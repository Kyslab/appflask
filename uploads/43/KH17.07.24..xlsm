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updateLinks="always" codeName="ThisWorkbook" defaultThemeVersion="124226"/>
  <mc:AlternateContent xmlns:mc="http://schemas.openxmlformats.org/markup-compatibility/2006">
    <mc:Choice Requires="x15">
      <x15ac:absPath xmlns:x15ac="http://schemas.microsoft.com/office/spreadsheetml/2010/11/ac" url="D:\Dropbox\1. Tien_duong_tu_13.08.2021\"/>
    </mc:Choice>
  </mc:AlternateContent>
  <xr:revisionPtr revIDLastSave="0" documentId="13_ncr:1_{CE170665-3C64-49F7-AEB4-B36F1A295465}" xr6:coauthVersionLast="47" xr6:coauthVersionMax="47" xr10:uidLastSave="{00000000-0000-0000-0000-000000000000}"/>
  <bookViews>
    <workbookView xWindow="28665" yWindow="4455" windowWidth="15630" windowHeight="11070" xr2:uid="{00000000-000D-0000-FFFF-FFFF00000000}"/>
  </bookViews>
  <sheets>
    <sheet name="KH." sheetId="230" r:id="rId1"/>
    <sheet name="HT" sheetId="243" r:id="rId2"/>
    <sheet name="pt" sheetId="227" r:id="rId3"/>
    <sheet name="Khach_hang" sheetId="231" r:id="rId4"/>
    <sheet name="23" sheetId="235" r:id="rId5"/>
    <sheet name="giaroi" sheetId="242" r:id="rId6"/>
    <sheet name="gia3" sheetId="241" r:id="rId7"/>
    <sheet name="cthuc" sheetId="220" r:id="rId8"/>
    <sheet name="sochu" sheetId="223" r:id="rId9"/>
    <sheet name="Hanghoa" sheetId="232" r:id="rId10"/>
    <sheet name="thu tien" sheetId="233" r:id="rId11"/>
    <sheet name="Sheet1" sheetId="234" r:id="rId12"/>
  </sheets>
  <functionGroups builtInGroupCount="19"/>
  <externalReferences>
    <externalReference r:id="rId13"/>
    <externalReference r:id="rId14"/>
    <externalReference r:id="rId15"/>
    <externalReference r:id="rId16"/>
    <externalReference r:id="rId17"/>
  </externalReferences>
  <definedNames>
    <definedName name="_xlnm._FilterDatabase" localSheetId="4" hidden="1">'23'!$A$10:$BJ$10</definedName>
    <definedName name="_xlnm._FilterDatabase" localSheetId="7" hidden="1">cthuc!$AL$3:$AN$130</definedName>
    <definedName name="_xlnm._FilterDatabase" localSheetId="6" hidden="1">'gia3'!$A$5:$T$216</definedName>
    <definedName name="_xlnm._FilterDatabase" localSheetId="5" hidden="1">giaroi!$A$3:$S$231</definedName>
    <definedName name="_xlnm._FilterDatabase" localSheetId="9" hidden="1">Hanghoa!$A$2:$C$1682</definedName>
    <definedName name="_xlnm._FilterDatabase" localSheetId="1" hidden="1">HT!$A$10:$BL$18</definedName>
    <definedName name="_xlnm._FilterDatabase" localSheetId="0" hidden="1">KH.!$F$7:$AU$7</definedName>
    <definedName name="a" localSheetId="4">#REF!</definedName>
    <definedName name="a" localSheetId="1">#REF!</definedName>
    <definedName name="dinhmucvt">#REF!</definedName>
    <definedName name="dmdo1">#REF!</definedName>
    <definedName name="_xlnm.Print_Titles" localSheetId="4">'23'!$6:$8</definedName>
    <definedName name="_xlnm.Print_Titles" localSheetId="6">'gia3'!$3:$5</definedName>
    <definedName name="_xlnm.Print_Titles" localSheetId="5">giaroi!$3:$4</definedName>
    <definedName name="_xlnm.Print_Titles" localSheetId="1">HT!$6:$8</definedName>
    <definedName name="qa" localSheetId="4">#REF!</definedName>
    <definedName name="qa" localSheetId="1">#REF!</definedName>
    <definedName name="SAVoucher" localSheetId="4">#REF!</definedName>
    <definedName name="SAVoucher" localSheetId="1">#REF!</definedName>
    <definedName name="xevc" localSheetId="4">'23'!#REF!</definedName>
    <definedName name="xevc" localSheetId="1">HT!#REF!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15" i="230" l="1"/>
  <c r="S14" i="230"/>
  <c r="S13" i="230"/>
  <c r="S12" i="230"/>
  <c r="S10" i="230"/>
  <c r="BL29" i="243"/>
  <c r="BJ29" i="243"/>
  <c r="BE29" i="243"/>
  <c r="AV29" i="243"/>
  <c r="AM29" i="243"/>
  <c r="AJ29" i="243"/>
  <c r="AI29" i="243"/>
  <c r="AH29" i="243"/>
  <c r="AG29" i="243"/>
  <c r="BH29" i="243" s="1"/>
  <c r="AF29" i="243"/>
  <c r="AE29" i="243"/>
  <c r="AA29" i="243"/>
  <c r="BK29" i="243" s="1"/>
  <c r="Z29" i="243"/>
  <c r="X29" i="243"/>
  <c r="P29" i="243"/>
  <c r="Q29" i="243" s="1"/>
  <c r="O29" i="243"/>
  <c r="M29" i="243"/>
  <c r="BL28" i="243"/>
  <c r="BK28" i="243"/>
  <c r="BJ28" i="243"/>
  <c r="BE28" i="243"/>
  <c r="BD28" i="243"/>
  <c r="AV28" i="243"/>
  <c r="AM28" i="243"/>
  <c r="AN28" i="243" s="1"/>
  <c r="AO28" i="243" s="1"/>
  <c r="AJ28" i="243"/>
  <c r="AI28" i="243"/>
  <c r="AH28" i="243"/>
  <c r="AG28" i="243"/>
  <c r="BH28" i="243" s="1"/>
  <c r="AF28" i="243"/>
  <c r="AE28" i="243"/>
  <c r="AA28" i="243"/>
  <c r="AL28" i="243" s="1"/>
  <c r="Z28" i="243"/>
  <c r="X28" i="243"/>
  <c r="AK28" i="243" s="1"/>
  <c r="P28" i="243"/>
  <c r="Q28" i="243" s="1"/>
  <c r="O28" i="243"/>
  <c r="M28" i="243"/>
  <c r="BL27" i="243"/>
  <c r="BK27" i="243"/>
  <c r="BJ27" i="243"/>
  <c r="BE27" i="243"/>
  <c r="BC27" i="243"/>
  <c r="AV27" i="243"/>
  <c r="AM27" i="243"/>
  <c r="AN27" i="243" s="1"/>
  <c r="AO27" i="243" s="1"/>
  <c r="AJ27" i="243"/>
  <c r="AI27" i="243"/>
  <c r="AH27" i="243"/>
  <c r="AG27" i="243"/>
  <c r="BH27" i="243" s="1"/>
  <c r="AF27" i="243"/>
  <c r="AE27" i="243"/>
  <c r="AA27" i="243"/>
  <c r="AL27" i="243" s="1"/>
  <c r="Z27" i="243"/>
  <c r="X27" i="243"/>
  <c r="AK27" i="243" s="1"/>
  <c r="P27" i="243"/>
  <c r="Q27" i="243" s="1"/>
  <c r="O27" i="243"/>
  <c r="M27" i="243"/>
  <c r="BL26" i="243"/>
  <c r="BJ26" i="243"/>
  <c r="BE26" i="243"/>
  <c r="AV26" i="243"/>
  <c r="AM26" i="243"/>
  <c r="AJ26" i="243"/>
  <c r="AI26" i="243"/>
  <c r="AQ26" i="243" s="1"/>
  <c r="AW26" i="243" s="1"/>
  <c r="AH26" i="243"/>
  <c r="AG26" i="243"/>
  <c r="AF26" i="243"/>
  <c r="AE26" i="243"/>
  <c r="AA26" i="243"/>
  <c r="BC26" i="243" s="1"/>
  <c r="Z26" i="243"/>
  <c r="X26" i="243"/>
  <c r="P26" i="243"/>
  <c r="Q26" i="243" s="1"/>
  <c r="O26" i="243"/>
  <c r="M26" i="243"/>
  <c r="BL25" i="243"/>
  <c r="BK25" i="243"/>
  <c r="BJ25" i="243"/>
  <c r="BE25" i="243"/>
  <c r="BD25" i="243"/>
  <c r="AW25" i="243"/>
  <c r="AV25" i="243"/>
  <c r="AN25" i="243"/>
  <c r="AO25" i="243" s="1"/>
  <c r="AM25" i="243"/>
  <c r="AK25" i="243"/>
  <c r="AJ25" i="243"/>
  <c r="AI25" i="243"/>
  <c r="AQ25" i="243" s="1"/>
  <c r="AH25" i="243"/>
  <c r="AG25" i="243"/>
  <c r="AF25" i="243"/>
  <c r="AE25" i="243"/>
  <c r="AA25" i="243"/>
  <c r="Z25" i="243"/>
  <c r="X25" i="243"/>
  <c r="P25" i="243"/>
  <c r="Q25" i="243" s="1"/>
  <c r="O25" i="243"/>
  <c r="M25" i="243"/>
  <c r="BL24" i="243"/>
  <c r="BJ24" i="243"/>
  <c r="BE24" i="243"/>
  <c r="AV24" i="243"/>
  <c r="AQ24" i="243"/>
  <c r="AM24" i="243"/>
  <c r="AN24" i="243" s="1"/>
  <c r="AO24" i="243" s="1"/>
  <c r="AK24" i="243"/>
  <c r="AJ24" i="243"/>
  <c r="AI24" i="243"/>
  <c r="AW24" i="243" s="1"/>
  <c r="AH24" i="243"/>
  <c r="AF24" i="243"/>
  <c r="AE24" i="243"/>
  <c r="AA24" i="243"/>
  <c r="Z24" i="243"/>
  <c r="X24" i="243"/>
  <c r="P24" i="243"/>
  <c r="Q24" i="243" s="1"/>
  <c r="O24" i="243"/>
  <c r="M24" i="243"/>
  <c r="AG24" i="243" s="1"/>
  <c r="BL23" i="243"/>
  <c r="BJ23" i="243"/>
  <c r="BE23" i="243"/>
  <c r="AV23" i="243"/>
  <c r="AN23" i="243"/>
  <c r="AM23" i="243"/>
  <c r="AJ23" i="243"/>
  <c r="AI23" i="243"/>
  <c r="AH23" i="243"/>
  <c r="AF23" i="243"/>
  <c r="AE23" i="243"/>
  <c r="AA23" i="243"/>
  <c r="BK23" i="243" s="1"/>
  <c r="Z23" i="243"/>
  <c r="X23" i="243"/>
  <c r="AK23" i="243" s="1"/>
  <c r="P23" i="243"/>
  <c r="Q23" i="243" s="1"/>
  <c r="O23" i="243"/>
  <c r="M23" i="243"/>
  <c r="AG23" i="243" s="1"/>
  <c r="BL22" i="243"/>
  <c r="BJ22" i="243"/>
  <c r="BG22" i="243"/>
  <c r="BE22" i="243"/>
  <c r="AV22" i="243"/>
  <c r="AQ22" i="243"/>
  <c r="AM22" i="243"/>
  <c r="AN22" i="243" s="1"/>
  <c r="AL22" i="243"/>
  <c r="AK22" i="243"/>
  <c r="AJ22" i="243"/>
  <c r="AI22" i="243"/>
  <c r="AH22" i="243"/>
  <c r="AG22" i="243"/>
  <c r="BB22" i="243" s="1"/>
  <c r="AF22" i="243"/>
  <c r="AE22" i="243"/>
  <c r="AA22" i="243"/>
  <c r="BC22" i="243" s="1"/>
  <c r="Z22" i="243"/>
  <c r="X22" i="243"/>
  <c r="P22" i="243"/>
  <c r="Q22" i="243" s="1"/>
  <c r="O22" i="243"/>
  <c r="M22" i="243"/>
  <c r="BL21" i="243"/>
  <c r="BJ21" i="243"/>
  <c r="BE21" i="243"/>
  <c r="BC21" i="243"/>
  <c r="AV21" i="243"/>
  <c r="AM21" i="243"/>
  <c r="AN21" i="243" s="1"/>
  <c r="AJ21" i="243"/>
  <c r="AI21" i="243"/>
  <c r="AQ21" i="243" s="1"/>
  <c r="AH21" i="243"/>
  <c r="AF21" i="243"/>
  <c r="AE21" i="243"/>
  <c r="AA21" i="243"/>
  <c r="BD21" i="243" s="1"/>
  <c r="Z21" i="243"/>
  <c r="X21" i="243"/>
  <c r="Q21" i="243"/>
  <c r="P21" i="243"/>
  <c r="O21" i="243"/>
  <c r="M21" i="243"/>
  <c r="AG21" i="243" s="1"/>
  <c r="BB21" i="243" s="1"/>
  <c r="BL20" i="243"/>
  <c r="BJ20" i="243"/>
  <c r="BE20" i="243"/>
  <c r="AV20" i="243"/>
  <c r="AM20" i="243"/>
  <c r="AK20" i="243"/>
  <c r="AJ20" i="243"/>
  <c r="AI20" i="243"/>
  <c r="AH20" i="243"/>
  <c r="AG20" i="243"/>
  <c r="BG20" i="243" s="1"/>
  <c r="AF20" i="243"/>
  <c r="AE20" i="243"/>
  <c r="AA20" i="243"/>
  <c r="BD20" i="243" s="1"/>
  <c r="Z20" i="243"/>
  <c r="X20" i="243"/>
  <c r="P20" i="243"/>
  <c r="Q20" i="243" s="1"/>
  <c r="O20" i="243"/>
  <c r="M20" i="243"/>
  <c r="BL19" i="243"/>
  <c r="BK19" i="243"/>
  <c r="BJ19" i="243"/>
  <c r="BF19" i="243"/>
  <c r="BE19" i="243"/>
  <c r="AV19" i="243"/>
  <c r="AM19" i="243"/>
  <c r="AL19" i="243"/>
  <c r="AJ19" i="243"/>
  <c r="AI19" i="243"/>
  <c r="AQ19" i="243" s="1"/>
  <c r="AH19" i="243"/>
  <c r="AG19" i="243"/>
  <c r="BH19" i="243" s="1"/>
  <c r="AF19" i="243"/>
  <c r="AE19" i="243"/>
  <c r="AA19" i="243"/>
  <c r="BD19" i="243" s="1"/>
  <c r="Z19" i="243"/>
  <c r="X19" i="243"/>
  <c r="AK19" i="243" s="1"/>
  <c r="Q19" i="243"/>
  <c r="P19" i="243"/>
  <c r="O19" i="243"/>
  <c r="M19" i="243"/>
  <c r="BL18" i="243"/>
  <c r="BJ18" i="243"/>
  <c r="BE18" i="243"/>
  <c r="AV18" i="243"/>
  <c r="AM18" i="243"/>
  <c r="AN18" i="243" s="1"/>
  <c r="AO18" i="243" s="1"/>
  <c r="AL18" i="243"/>
  <c r="AK18" i="243"/>
  <c r="AJ18" i="243"/>
  <c r="AI18" i="243"/>
  <c r="AH18" i="243"/>
  <c r="AG18" i="243"/>
  <c r="AF18" i="243"/>
  <c r="AE18" i="243"/>
  <c r="AA18" i="243"/>
  <c r="BK18" i="243" s="1"/>
  <c r="Z18" i="243"/>
  <c r="X18" i="243"/>
  <c r="P18" i="243"/>
  <c r="Q18" i="243" s="1"/>
  <c r="O18" i="243"/>
  <c r="M18" i="243"/>
  <c r="BL17" i="243"/>
  <c r="BK17" i="243"/>
  <c r="BJ17" i="243"/>
  <c r="BE17" i="243"/>
  <c r="AV17" i="243"/>
  <c r="AM17" i="243"/>
  <c r="AN17" i="243" s="1"/>
  <c r="AL17" i="243"/>
  <c r="AK17" i="243"/>
  <c r="AJ17" i="243"/>
  <c r="AI17" i="243"/>
  <c r="AH17" i="243"/>
  <c r="AF17" i="243"/>
  <c r="AE17" i="243"/>
  <c r="AA17" i="243"/>
  <c r="BD17" i="243" s="1"/>
  <c r="Z17" i="243"/>
  <c r="X17" i="243"/>
  <c r="P17" i="243"/>
  <c r="Q17" i="243" s="1"/>
  <c r="O17" i="243"/>
  <c r="M17" i="243"/>
  <c r="AG17" i="243" s="1"/>
  <c r="BL16" i="243"/>
  <c r="BJ16" i="243"/>
  <c r="BE16" i="243"/>
  <c r="AV16" i="243"/>
  <c r="AM16" i="243"/>
  <c r="AN16" i="243" s="1"/>
  <c r="AK16" i="243"/>
  <c r="AJ16" i="243"/>
  <c r="AI16" i="243"/>
  <c r="AQ16" i="243" s="1"/>
  <c r="AH16" i="243"/>
  <c r="AG16" i="243"/>
  <c r="BB16" i="243" s="1"/>
  <c r="AF16" i="243"/>
  <c r="AE16" i="243"/>
  <c r="AA16" i="243"/>
  <c r="BC16" i="243" s="1"/>
  <c r="Z16" i="243"/>
  <c r="X16" i="243"/>
  <c r="P16" i="243"/>
  <c r="Q16" i="243" s="1"/>
  <c r="O16" i="243"/>
  <c r="M16" i="243"/>
  <c r="BL15" i="243"/>
  <c r="BJ15" i="243"/>
  <c r="BE15" i="243"/>
  <c r="AV15" i="243"/>
  <c r="AM15" i="243"/>
  <c r="AJ15" i="243"/>
  <c r="AI15" i="243"/>
  <c r="AQ15" i="243" s="1"/>
  <c r="AW15" i="243" s="1"/>
  <c r="AH15" i="243"/>
  <c r="AF15" i="243"/>
  <c r="AE15" i="243"/>
  <c r="AA15" i="243"/>
  <c r="BD15" i="243" s="1"/>
  <c r="Z15" i="243"/>
  <c r="X15" i="243"/>
  <c r="P15" i="243"/>
  <c r="Q15" i="243" s="1"/>
  <c r="O15" i="243"/>
  <c r="M15" i="243"/>
  <c r="AG15" i="243" s="1"/>
  <c r="BG15" i="243" s="1"/>
  <c r="BL14" i="243"/>
  <c r="BJ14" i="243"/>
  <c r="BE14" i="243"/>
  <c r="AV14" i="243"/>
  <c r="AQ14" i="243"/>
  <c r="AN14" i="243"/>
  <c r="AO14" i="243" s="1"/>
  <c r="AM14" i="243"/>
  <c r="AK14" i="243"/>
  <c r="AJ14" i="243"/>
  <c r="AI14" i="243"/>
  <c r="AH14" i="243"/>
  <c r="AG14" i="243"/>
  <c r="BG14" i="243" s="1"/>
  <c r="AF14" i="243"/>
  <c r="AE14" i="243"/>
  <c r="AA14" i="243"/>
  <c r="BD14" i="243" s="1"/>
  <c r="Z14" i="243"/>
  <c r="X14" i="243"/>
  <c r="P14" i="243"/>
  <c r="Q14" i="243" s="1"/>
  <c r="O14" i="243"/>
  <c r="M14" i="243"/>
  <c r="M13" i="243"/>
  <c r="O13" i="243"/>
  <c r="P13" i="243"/>
  <c r="Q13" i="243" s="1"/>
  <c r="X13" i="243"/>
  <c r="AK13" i="243" s="1"/>
  <c r="Z13" i="243"/>
  <c r="AA13" i="243"/>
  <c r="AE13" i="243"/>
  <c r="AF13" i="243"/>
  <c r="AG13" i="243"/>
  <c r="BB13" i="243" s="1"/>
  <c r="AH13" i="243"/>
  <c r="AI13" i="243"/>
  <c r="AJ13" i="243"/>
  <c r="AM13" i="243"/>
  <c r="AN13" i="243" s="1"/>
  <c r="AQ13" i="243"/>
  <c r="AV13" i="243"/>
  <c r="AW13" i="243"/>
  <c r="BD13" i="243"/>
  <c r="BE13" i="243"/>
  <c r="BJ13" i="243"/>
  <c r="BL13" i="243"/>
  <c r="M12" i="243"/>
  <c r="AG12" i="243" s="1"/>
  <c r="O12" i="243"/>
  <c r="P12" i="243"/>
  <c r="Q12" i="243"/>
  <c r="X12" i="243"/>
  <c r="AK12" i="243" s="1"/>
  <c r="Z12" i="243"/>
  <c r="AA12" i="243"/>
  <c r="BK12" i="243" s="1"/>
  <c r="AE12" i="243"/>
  <c r="AF12" i="243"/>
  <c r="AH12" i="243"/>
  <c r="AI12" i="243"/>
  <c r="AJ12" i="243"/>
  <c r="AM12" i="243"/>
  <c r="AO12" i="243" s="1"/>
  <c r="AN12" i="243"/>
  <c r="AQ12" i="243"/>
  <c r="AV12" i="243"/>
  <c r="BD12" i="243"/>
  <c r="BE12" i="243"/>
  <c r="BJ12" i="243"/>
  <c r="BL12" i="243"/>
  <c r="BC15" i="243" l="1"/>
  <c r="BD26" i="243"/>
  <c r="BC23" i="243"/>
  <c r="BD24" i="243"/>
  <c r="BK26" i="243"/>
  <c r="BK24" i="243"/>
  <c r="AN20" i="243"/>
  <c r="AO20" i="243" s="1"/>
  <c r="BK15" i="243"/>
  <c r="AL24" i="243"/>
  <c r="BC29" i="243"/>
  <c r="AL16" i="243"/>
  <c r="AQ20" i="243"/>
  <c r="AW20" i="243" s="1"/>
  <c r="BK21" i="243"/>
  <c r="AQ27" i="243"/>
  <c r="AW27" i="243" s="1"/>
  <c r="AW12" i="243"/>
  <c r="AQ17" i="243"/>
  <c r="AW17" i="243" s="1"/>
  <c r="BC19" i="243"/>
  <c r="AW22" i="243"/>
  <c r="AL23" i="243"/>
  <c r="AL25" i="243"/>
  <c r="AL13" i="243"/>
  <c r="AL12" i="243"/>
  <c r="AW14" i="243"/>
  <c r="BC17" i="243"/>
  <c r="BC18" i="243"/>
  <c r="AO23" i="243"/>
  <c r="BB15" i="243"/>
  <c r="BG19" i="243"/>
  <c r="BG16" i="243"/>
  <c r="BF20" i="243"/>
  <c r="BG24" i="243"/>
  <c r="BH24" i="243"/>
  <c r="BF24" i="243"/>
  <c r="BB24" i="243"/>
  <c r="BH15" i="243"/>
  <c r="BF15" i="243"/>
  <c r="AW16" i="243"/>
  <c r="BG18" i="243"/>
  <c r="BF18" i="243"/>
  <c r="BB18" i="243"/>
  <c r="AN15" i="243"/>
  <c r="AO15" i="243" s="1"/>
  <c r="BH17" i="243"/>
  <c r="BG17" i="243"/>
  <c r="BF17" i="243"/>
  <c r="BB17" i="243"/>
  <c r="BH18" i="243"/>
  <c r="BC20" i="243"/>
  <c r="AL20" i="243"/>
  <c r="BK20" i="243"/>
  <c r="AK21" i="243"/>
  <c r="AQ23" i="243"/>
  <c r="AN26" i="243"/>
  <c r="AO26" i="243" s="1"/>
  <c r="BC14" i="243"/>
  <c r="AL14" i="243"/>
  <c r="BK14" i="243"/>
  <c r="AK15" i="243"/>
  <c r="AO17" i="243"/>
  <c r="AK26" i="243"/>
  <c r="AW21" i="243"/>
  <c r="BH23" i="243"/>
  <c r="BG23" i="243"/>
  <c r="BF23" i="243"/>
  <c r="BB23" i="243"/>
  <c r="BG29" i="243"/>
  <c r="BF29" i="243"/>
  <c r="BB29" i="243"/>
  <c r="BH21" i="243"/>
  <c r="BG21" i="243"/>
  <c r="BF21" i="243"/>
  <c r="AO21" i="243"/>
  <c r="BH25" i="243"/>
  <c r="BG25" i="243"/>
  <c r="BF25" i="243"/>
  <c r="BB25" i="243"/>
  <c r="BH26" i="243"/>
  <c r="BG26" i="243"/>
  <c r="BF26" i="243"/>
  <c r="BB26" i="243"/>
  <c r="BH14" i="243"/>
  <c r="AO16" i="243"/>
  <c r="BD16" i="243"/>
  <c r="AW19" i="243"/>
  <c r="BH20" i="243"/>
  <c r="AO22" i="243"/>
  <c r="BD22" i="243"/>
  <c r="BB27" i="243"/>
  <c r="BB28" i="243"/>
  <c r="AK29" i="243"/>
  <c r="BF16" i="243"/>
  <c r="BF22" i="243"/>
  <c r="BD23" i="243"/>
  <c r="BC24" i="243"/>
  <c r="BC25" i="243"/>
  <c r="AL26" i="243"/>
  <c r="BD27" i="243"/>
  <c r="BC28" i="243"/>
  <c r="AL29" i="243"/>
  <c r="BH22" i="243"/>
  <c r="AN29" i="243"/>
  <c r="AO29" i="243" s="1"/>
  <c r="BH16" i="243"/>
  <c r="AN19" i="243"/>
  <c r="AO19" i="243" s="1"/>
  <c r="BG27" i="243"/>
  <c r="AQ28" i="243"/>
  <c r="BF28" i="243"/>
  <c r="BF27" i="243"/>
  <c r="AQ18" i="243"/>
  <c r="BD29" i="243"/>
  <c r="BB14" i="243"/>
  <c r="BK16" i="243"/>
  <c r="BB20" i="243"/>
  <c r="BK22" i="243"/>
  <c r="BG28" i="243"/>
  <c r="AQ29" i="243"/>
  <c r="BD18" i="243"/>
  <c r="BB19" i="243"/>
  <c r="AL15" i="243"/>
  <c r="AL21" i="243"/>
  <c r="BF14" i="243"/>
  <c r="BB12" i="243"/>
  <c r="BF12" i="243"/>
  <c r="BG12" i="243"/>
  <c r="BH12" i="243"/>
  <c r="BH13" i="243"/>
  <c r="BG13" i="243"/>
  <c r="BF13" i="243"/>
  <c r="BK13" i="243"/>
  <c r="BC13" i="243"/>
  <c r="AO13" i="243"/>
  <c r="BC12" i="243"/>
  <c r="AW18" i="243" l="1"/>
  <c r="AW23" i="243"/>
  <c r="AW29" i="243"/>
  <c r="AW28" i="243"/>
  <c r="S9" i="230" l="1"/>
  <c r="S8" i="230"/>
  <c r="R10" i="230" l="1"/>
  <c r="R13" i="230"/>
  <c r="R14" i="230" l="1"/>
  <c r="O11" i="243"/>
  <c r="E1030" i="232"/>
  <c r="C1030" i="232"/>
  <c r="BS8" i="230"/>
  <c r="C985" i="232"/>
  <c r="BR9" i="230"/>
  <c r="D7" i="241"/>
  <c r="D8" i="241"/>
  <c r="D9" i="241"/>
  <c r="D10" i="241"/>
  <c r="D11" i="241"/>
  <c r="D12" i="241"/>
  <c r="D13" i="241"/>
  <c r="D14" i="241"/>
  <c r="D15" i="241"/>
  <c r="D16" i="241"/>
  <c r="D17" i="241"/>
  <c r="D18" i="241"/>
  <c r="D19" i="241"/>
  <c r="D20" i="241"/>
  <c r="D21" i="241"/>
  <c r="D22" i="241"/>
  <c r="D23" i="241"/>
  <c r="D24" i="241"/>
  <c r="D25" i="241"/>
  <c r="D26" i="241"/>
  <c r="D27" i="241"/>
  <c r="D28" i="241"/>
  <c r="D29" i="241"/>
  <c r="D30" i="241"/>
  <c r="D31" i="241"/>
  <c r="D32" i="241"/>
  <c r="D33" i="241"/>
  <c r="D34" i="241"/>
  <c r="D35" i="241"/>
  <c r="D36" i="241"/>
  <c r="D37" i="241"/>
  <c r="D38" i="241"/>
  <c r="D39" i="241"/>
  <c r="D40" i="241"/>
  <c r="D41" i="241"/>
  <c r="D42" i="241"/>
  <c r="D43" i="241"/>
  <c r="D44" i="241"/>
  <c r="D45" i="241"/>
  <c r="D46" i="241"/>
  <c r="D47" i="241"/>
  <c r="D48" i="241"/>
  <c r="D49" i="241"/>
  <c r="D50" i="241"/>
  <c r="D51" i="241"/>
  <c r="D52" i="241"/>
  <c r="D53" i="241"/>
  <c r="D54" i="241"/>
  <c r="D55" i="241"/>
  <c r="D56" i="241"/>
  <c r="D57" i="241"/>
  <c r="D58" i="241"/>
  <c r="D59" i="241"/>
  <c r="D60" i="241"/>
  <c r="D61" i="241"/>
  <c r="D62" i="241"/>
  <c r="D63" i="241"/>
  <c r="D64" i="241"/>
  <c r="D65" i="241"/>
  <c r="D66" i="241"/>
  <c r="D67" i="241"/>
  <c r="D68" i="241"/>
  <c r="D69" i="241"/>
  <c r="D70" i="241"/>
  <c r="D71" i="241"/>
  <c r="D72" i="241"/>
  <c r="D73" i="241"/>
  <c r="D74" i="241"/>
  <c r="D75" i="241"/>
  <c r="D76" i="241"/>
  <c r="D77" i="241"/>
  <c r="D78" i="241"/>
  <c r="D79" i="241"/>
  <c r="D80" i="241"/>
  <c r="D81" i="241"/>
  <c r="D82" i="241"/>
  <c r="D83" i="241"/>
  <c r="D84" i="241"/>
  <c r="D85" i="241"/>
  <c r="D86" i="241"/>
  <c r="D87" i="241"/>
  <c r="D88" i="241"/>
  <c r="D89" i="241"/>
  <c r="D90" i="241"/>
  <c r="D91" i="241"/>
  <c r="D92" i="241"/>
  <c r="D93" i="241"/>
  <c r="D94" i="241"/>
  <c r="D95" i="241"/>
  <c r="D96" i="241"/>
  <c r="D97" i="241"/>
  <c r="D98" i="241"/>
  <c r="D99" i="241"/>
  <c r="D100" i="241"/>
  <c r="D101" i="241"/>
  <c r="D102" i="241"/>
  <c r="D103" i="241"/>
  <c r="D104" i="241"/>
  <c r="D105" i="241"/>
  <c r="D106" i="241"/>
  <c r="D107" i="241"/>
  <c r="D108" i="241"/>
  <c r="D109" i="241"/>
  <c r="D110" i="241"/>
  <c r="D111" i="241"/>
  <c r="D112" i="241"/>
  <c r="D113" i="241"/>
  <c r="D114" i="241"/>
  <c r="D115" i="241"/>
  <c r="D116" i="241"/>
  <c r="D117" i="241"/>
  <c r="D118" i="241"/>
  <c r="D119" i="241"/>
  <c r="D120" i="241"/>
  <c r="D121" i="241"/>
  <c r="D122" i="241"/>
  <c r="D123" i="241"/>
  <c r="D124" i="241"/>
  <c r="D125" i="241"/>
  <c r="D126" i="241"/>
  <c r="D127" i="241"/>
  <c r="D128" i="241"/>
  <c r="D129" i="241"/>
  <c r="D130" i="241"/>
  <c r="D131" i="241"/>
  <c r="D132" i="241"/>
  <c r="D133" i="241"/>
  <c r="D134" i="241"/>
  <c r="D135" i="241"/>
  <c r="D136" i="241"/>
  <c r="D137" i="241"/>
  <c r="D138" i="241"/>
  <c r="D139" i="241"/>
  <c r="D140" i="241"/>
  <c r="D141" i="241"/>
  <c r="D142" i="241"/>
  <c r="D143" i="241"/>
  <c r="D144" i="241"/>
  <c r="D145" i="241"/>
  <c r="D146" i="241"/>
  <c r="D147" i="241"/>
  <c r="D148" i="241"/>
  <c r="D149" i="241"/>
  <c r="D150" i="241"/>
  <c r="D151" i="241"/>
  <c r="D152" i="241"/>
  <c r="D153" i="241"/>
  <c r="D154" i="241"/>
  <c r="D155" i="241"/>
  <c r="D156" i="241"/>
  <c r="D157" i="241"/>
  <c r="D158" i="241"/>
  <c r="D159" i="241"/>
  <c r="D160" i="241"/>
  <c r="D161" i="241"/>
  <c r="D162" i="241"/>
  <c r="D163" i="241"/>
  <c r="D164" i="241"/>
  <c r="D165" i="241"/>
  <c r="D166" i="241"/>
  <c r="D167" i="241"/>
  <c r="D168" i="241"/>
  <c r="D169" i="241"/>
  <c r="D170" i="241"/>
  <c r="D171" i="241"/>
  <c r="D172" i="241"/>
  <c r="D173" i="241"/>
  <c r="D174" i="241"/>
  <c r="D175" i="241"/>
  <c r="D176" i="241"/>
  <c r="D177" i="241"/>
  <c r="D178" i="241"/>
  <c r="D179" i="241"/>
  <c r="D180" i="241"/>
  <c r="D181" i="241"/>
  <c r="D182" i="241"/>
  <c r="D183" i="241"/>
  <c r="D184" i="241"/>
  <c r="D185" i="241"/>
  <c r="D186" i="241"/>
  <c r="D187" i="241"/>
  <c r="D188" i="241"/>
  <c r="D189" i="241"/>
  <c r="D190" i="241"/>
  <c r="D191" i="241"/>
  <c r="D192" i="241"/>
  <c r="D193" i="241"/>
  <c r="D194" i="241"/>
  <c r="D195" i="241"/>
  <c r="D196" i="241"/>
  <c r="D197" i="241"/>
  <c r="D198" i="241"/>
  <c r="D199" i="241"/>
  <c r="D200" i="241"/>
  <c r="D201" i="241"/>
  <c r="BU102" i="230"/>
  <c r="BU101" i="230"/>
  <c r="BU100" i="230"/>
  <c r="BU99" i="230"/>
  <c r="BU98" i="230"/>
  <c r="BU97" i="230"/>
  <c r="BU96" i="230"/>
  <c r="BU95" i="230"/>
  <c r="BU94" i="230"/>
  <c r="BU93" i="230"/>
  <c r="BU92" i="230"/>
  <c r="BU91" i="230"/>
  <c r="BU90" i="230"/>
  <c r="BU89" i="230"/>
  <c r="BU88" i="230"/>
  <c r="BU87" i="230"/>
  <c r="BU86" i="230"/>
  <c r="BU85" i="230"/>
  <c r="BU84" i="230"/>
  <c r="BU83" i="230"/>
  <c r="BU82" i="230"/>
  <c r="BU81" i="230"/>
  <c r="BU80" i="230"/>
  <c r="BU79" i="230"/>
  <c r="BU78" i="230"/>
  <c r="BU77" i="230"/>
  <c r="BU76" i="230"/>
  <c r="BU75" i="230"/>
  <c r="BU74" i="230"/>
  <c r="BU73" i="230"/>
  <c r="BU72" i="230"/>
  <c r="BU71" i="230"/>
  <c r="BU70" i="230"/>
  <c r="BU69" i="230"/>
  <c r="BU68" i="230"/>
  <c r="BU67" i="230"/>
  <c r="BU66" i="230"/>
  <c r="BU65" i="230"/>
  <c r="BY7" i="230" a="1"/>
  <c r="BY7" i="230" s="1"/>
  <c r="BY6" i="230" a="1"/>
  <c r="BY6" i="230" s="1"/>
  <c r="BY5" i="230" a="1"/>
  <c r="BY5" i="230" s="1"/>
  <c r="Q76" i="220"/>
  <c r="R76" i="220" s="1"/>
  <c r="O76" i="220"/>
  <c r="P76" i="220" s="1"/>
  <c r="Q75" i="220"/>
  <c r="R75" i="220" s="1"/>
  <c r="O75" i="220"/>
  <c r="P75" i="220" s="1"/>
  <c r="Q74" i="220"/>
  <c r="R74" i="220" s="1"/>
  <c r="O74" i="220"/>
  <c r="P74" i="220" s="1"/>
  <c r="Q73" i="220"/>
  <c r="R73" i="220" s="1"/>
  <c r="O73" i="220"/>
  <c r="P73" i="220" s="1"/>
  <c r="Q72" i="220"/>
  <c r="R72" i="220" s="1"/>
  <c r="O72" i="220"/>
  <c r="P72" i="220" s="1"/>
  <c r="Q71" i="220"/>
  <c r="R71" i="220" s="1"/>
  <c r="O71" i="220"/>
  <c r="P71" i="220" s="1"/>
  <c r="Q70" i="220"/>
  <c r="R70" i="220" s="1"/>
  <c r="O70" i="220"/>
  <c r="P70" i="220" s="1"/>
  <c r="Q69" i="220"/>
  <c r="R69" i="220" s="1"/>
  <c r="O69" i="220"/>
  <c r="P69" i="220" s="1"/>
  <c r="Q68" i="220"/>
  <c r="R68" i="220" s="1"/>
  <c r="O68" i="220"/>
  <c r="P68" i="220" s="1"/>
  <c r="Q67" i="220"/>
  <c r="R67" i="220" s="1"/>
  <c r="O67" i="220"/>
  <c r="P67" i="220" s="1"/>
  <c r="Q66" i="220"/>
  <c r="R66" i="220" s="1"/>
  <c r="O66" i="220"/>
  <c r="P66" i="220" s="1"/>
  <c r="Q65" i="220"/>
  <c r="R65" i="220" s="1"/>
  <c r="O65" i="220"/>
  <c r="P65" i="220" s="1"/>
  <c r="Q64" i="220"/>
  <c r="R64" i="220" s="1"/>
  <c r="O64" i="220"/>
  <c r="P64" i="220" s="1"/>
  <c r="Q63" i="220"/>
  <c r="R63" i="220" s="1"/>
  <c r="O63" i="220"/>
  <c r="P63" i="220" s="1"/>
  <c r="Q62" i="220"/>
  <c r="R62" i="220" s="1"/>
  <c r="O62" i="220"/>
  <c r="P62" i="220" s="1"/>
  <c r="Q61" i="220"/>
  <c r="R61" i="220" s="1"/>
  <c r="O61" i="220"/>
  <c r="P61" i="220" s="1"/>
  <c r="Q60" i="220"/>
  <c r="R60" i="220" s="1"/>
  <c r="O60" i="220"/>
  <c r="P60" i="220" s="1"/>
  <c r="Q59" i="220"/>
  <c r="R59" i="220" s="1"/>
  <c r="O59" i="220"/>
  <c r="P59" i="220" s="1"/>
  <c r="Q58" i="220"/>
  <c r="R58" i="220" s="1"/>
  <c r="O58" i="220"/>
  <c r="P58" i="220" s="1"/>
  <c r="Q57" i="220"/>
  <c r="R57" i="220" s="1"/>
  <c r="O57" i="220"/>
  <c r="P57" i="220" s="1"/>
  <c r="O56" i="220"/>
  <c r="P56" i="220" s="1"/>
  <c r="O55" i="220"/>
  <c r="P55" i="220" s="1"/>
  <c r="O54" i="220"/>
  <c r="P54" i="220" s="1"/>
  <c r="O53" i="220"/>
  <c r="P53" i="220" s="1"/>
  <c r="O52" i="220"/>
  <c r="P52" i="220" s="1"/>
  <c r="O51" i="220"/>
  <c r="P51" i="220" s="1"/>
  <c r="O50" i="220"/>
  <c r="P50" i="220" s="1"/>
  <c r="O49" i="220"/>
  <c r="P49" i="220" s="1"/>
  <c r="O48" i="220"/>
  <c r="P48" i="220" s="1"/>
  <c r="O47" i="220"/>
  <c r="P47" i="220" s="1"/>
  <c r="O46" i="220"/>
  <c r="P46" i="220" s="1"/>
  <c r="O45" i="220"/>
  <c r="P45" i="220" s="1"/>
  <c r="O44" i="220"/>
  <c r="P44" i="220" s="1"/>
  <c r="O43" i="220"/>
  <c r="P43" i="220" s="1"/>
  <c r="O42" i="220"/>
  <c r="P42" i="220" s="1"/>
  <c r="O41" i="220"/>
  <c r="P41" i="220" s="1"/>
  <c r="O40" i="220"/>
  <c r="P40" i="220" s="1"/>
  <c r="O39" i="220"/>
  <c r="P39" i="220" s="1"/>
  <c r="O38" i="220"/>
  <c r="P38" i="220" s="1"/>
  <c r="O37" i="220"/>
  <c r="P37" i="220" s="1"/>
  <c r="O36" i="220"/>
  <c r="P36" i="220" s="1"/>
  <c r="O35" i="220"/>
  <c r="P35" i="220" s="1"/>
  <c r="O34" i="220"/>
  <c r="P34" i="220" s="1"/>
  <c r="O33" i="220"/>
  <c r="P33" i="220" s="1"/>
  <c r="O32" i="220"/>
  <c r="P32" i="220" s="1"/>
  <c r="O31" i="220"/>
  <c r="P31" i="220" s="1"/>
  <c r="O30" i="220"/>
  <c r="P30" i="220" s="1"/>
  <c r="O29" i="220"/>
  <c r="P29" i="220" s="1"/>
  <c r="O28" i="220"/>
  <c r="P28" i="220" s="1"/>
  <c r="O27" i="220"/>
  <c r="P27" i="220" s="1"/>
  <c r="O26" i="220"/>
  <c r="P26" i="220" s="1"/>
  <c r="O25" i="220"/>
  <c r="P25" i="220" s="1"/>
  <c r="O24" i="220"/>
  <c r="P24" i="220" s="1"/>
  <c r="O23" i="220"/>
  <c r="P23" i="220" s="1"/>
  <c r="O22" i="220"/>
  <c r="P22" i="220" s="1"/>
  <c r="O21" i="220"/>
  <c r="P21" i="220" s="1"/>
  <c r="O20" i="220"/>
  <c r="P20" i="220" s="1"/>
  <c r="O19" i="220"/>
  <c r="P19" i="220" s="1"/>
  <c r="O18" i="220"/>
  <c r="P18" i="220" s="1"/>
  <c r="O17" i="220"/>
  <c r="P17" i="220" s="1"/>
  <c r="O16" i="220"/>
  <c r="P16" i="220" s="1"/>
  <c r="O15" i="220"/>
  <c r="P15" i="220" s="1"/>
  <c r="O14" i="220"/>
  <c r="P14" i="220" s="1"/>
  <c r="O13" i="220"/>
  <c r="P13" i="220" s="1"/>
  <c r="O12" i="220"/>
  <c r="P12" i="220" s="1"/>
  <c r="O11" i="220"/>
  <c r="P11" i="220" s="1"/>
  <c r="O10" i="220"/>
  <c r="P10" i="220" s="1"/>
  <c r="O9" i="220"/>
  <c r="P9" i="220" s="1"/>
  <c r="O8" i="220"/>
  <c r="P8" i="220" s="1"/>
  <c r="O7" i="220"/>
  <c r="P7" i="220" s="1"/>
  <c r="O6" i="220"/>
  <c r="P6" i="220" s="1"/>
  <c r="O5" i="220"/>
  <c r="P5" i="220" s="1"/>
  <c r="O4" i="220"/>
  <c r="P4" i="220" s="1"/>
  <c r="AL76" i="220"/>
  <c r="AL75" i="220"/>
  <c r="AL74" i="220"/>
  <c r="AL73" i="220"/>
  <c r="AL72" i="220"/>
  <c r="AL71" i="220"/>
  <c r="AL70" i="220"/>
  <c r="AL69" i="220"/>
  <c r="AL68" i="220"/>
  <c r="AL67" i="220"/>
  <c r="AL66" i="220"/>
  <c r="AL65" i="220"/>
  <c r="AL64" i="220"/>
  <c r="AL63" i="220"/>
  <c r="AL62" i="220"/>
  <c r="AL61" i="220"/>
  <c r="AL60" i="220"/>
  <c r="AL59" i="220"/>
  <c r="AL58" i="220"/>
  <c r="AL57" i="220"/>
  <c r="AL56" i="220"/>
  <c r="AL55" i="220"/>
  <c r="AL54" i="220"/>
  <c r="AL53" i="220"/>
  <c r="AL52" i="220"/>
  <c r="AL51" i="220"/>
  <c r="AL50" i="220"/>
  <c r="AL49" i="220"/>
  <c r="AL48" i="220"/>
  <c r="AL47" i="220"/>
  <c r="AL46" i="220"/>
  <c r="AL45" i="220"/>
  <c r="AL44" i="220"/>
  <c r="AL43" i="220"/>
  <c r="AL42" i="220"/>
  <c r="AL41" i="220"/>
  <c r="AL40" i="220"/>
  <c r="AL39" i="220"/>
  <c r="AL38" i="220"/>
  <c r="AL37" i="220"/>
  <c r="AL36" i="220"/>
  <c r="AL35" i="220"/>
  <c r="AL34" i="220"/>
  <c r="AL33" i="220"/>
  <c r="AL32" i="220"/>
  <c r="AL31" i="220"/>
  <c r="AL30" i="220"/>
  <c r="AL29" i="220"/>
  <c r="AL28" i="220"/>
  <c r="AL27" i="220"/>
  <c r="AL26" i="220"/>
  <c r="AL25" i="220"/>
  <c r="AL24" i="220"/>
  <c r="AL23" i="220"/>
  <c r="AL22" i="220"/>
  <c r="AL21" i="220"/>
  <c r="AL20" i="220"/>
  <c r="AL19" i="220"/>
  <c r="AL18" i="220"/>
  <c r="AL17" i="220"/>
  <c r="AL16" i="220"/>
  <c r="AL15" i="220"/>
  <c r="AL14" i="220"/>
  <c r="AL13" i="220"/>
  <c r="AL12" i="220"/>
  <c r="AL11" i="220"/>
  <c r="AL10" i="220"/>
  <c r="AL9" i="220"/>
  <c r="AL8" i="220"/>
  <c r="AL7" i="220"/>
  <c r="AL6" i="220"/>
  <c r="AL5" i="220"/>
  <c r="AL4" i="220"/>
  <c r="AC61" i="227"/>
  <c r="AB61" i="227"/>
  <c r="Z61" i="227"/>
  <c r="W61" i="227"/>
  <c r="V61" i="227"/>
  <c r="U61" i="227"/>
  <c r="S61" i="227"/>
  <c r="R61" i="227"/>
  <c r="Q61" i="227"/>
  <c r="P61" i="227"/>
  <c r="O61" i="227"/>
  <c r="J61" i="227"/>
  <c r="AC60" i="227"/>
  <c r="AB60" i="227"/>
  <c r="Z60" i="227"/>
  <c r="W60" i="227"/>
  <c r="V60" i="227"/>
  <c r="U60" i="227"/>
  <c r="S60" i="227"/>
  <c r="R60" i="227"/>
  <c r="Q60" i="227"/>
  <c r="P60" i="227"/>
  <c r="O60" i="227"/>
  <c r="J60" i="227"/>
  <c r="AC59" i="227"/>
  <c r="V59" i="227"/>
  <c r="S59" i="227"/>
  <c r="O59" i="227"/>
  <c r="AC58" i="227"/>
  <c r="V58" i="227"/>
  <c r="S58" i="227"/>
  <c r="O58" i="227"/>
  <c r="AC57" i="227"/>
  <c r="V57" i="227"/>
  <c r="S57" i="227"/>
  <c r="O57" i="227"/>
  <c r="AC56" i="227"/>
  <c r="V56" i="227"/>
  <c r="S56" i="227"/>
  <c r="O56" i="227"/>
  <c r="AC55" i="227"/>
  <c r="V55" i="227"/>
  <c r="S55" i="227"/>
  <c r="O55" i="227"/>
  <c r="AC54" i="227"/>
  <c r="V54" i="227"/>
  <c r="S54" i="227"/>
  <c r="O54" i="227"/>
  <c r="AC53" i="227"/>
  <c r="V53" i="227"/>
  <c r="S53" i="227"/>
  <c r="O53" i="227"/>
  <c r="AC52" i="227"/>
  <c r="V52" i="227"/>
  <c r="S52" i="227"/>
  <c r="O52" i="227"/>
  <c r="AC51" i="227"/>
  <c r="V51" i="227"/>
  <c r="S51" i="227"/>
  <c r="O51" i="227"/>
  <c r="AC50" i="227"/>
  <c r="V50" i="227"/>
  <c r="S50" i="227"/>
  <c r="O50" i="227"/>
  <c r="AC49" i="227"/>
  <c r="V49" i="227"/>
  <c r="S49" i="227"/>
  <c r="O49" i="227"/>
  <c r="AC48" i="227"/>
  <c r="V48" i="227"/>
  <c r="S48" i="227"/>
  <c r="O48" i="227"/>
  <c r="AC47" i="227"/>
  <c r="V47" i="227"/>
  <c r="S47" i="227"/>
  <c r="O47" i="227"/>
  <c r="AC46" i="227"/>
  <c r="V46" i="227"/>
  <c r="S46" i="227"/>
  <c r="O46" i="227"/>
  <c r="AC45" i="227"/>
  <c r="V45" i="227"/>
  <c r="S45" i="227"/>
  <c r="O45" i="227"/>
  <c r="AC44" i="227"/>
  <c r="V44" i="227"/>
  <c r="S44" i="227"/>
  <c r="O44" i="227"/>
  <c r="AC43" i="227"/>
  <c r="V43" i="227"/>
  <c r="S43" i="227"/>
  <c r="O43" i="227"/>
  <c r="AC42" i="227"/>
  <c r="V42" i="227"/>
  <c r="S42" i="227"/>
  <c r="O42" i="227"/>
  <c r="AC41" i="227"/>
  <c r="V41" i="227"/>
  <c r="S41" i="227"/>
  <c r="O41" i="227"/>
  <c r="AC40" i="227"/>
  <c r="V40" i="227"/>
  <c r="S40" i="227"/>
  <c r="O40" i="227"/>
  <c r="AC39" i="227"/>
  <c r="V39" i="227"/>
  <c r="S39" i="227"/>
  <c r="O39" i="227"/>
  <c r="AC38" i="227"/>
  <c r="V38" i="227"/>
  <c r="S38" i="227"/>
  <c r="O38" i="227"/>
  <c r="AC37" i="227"/>
  <c r="V37" i="227"/>
  <c r="S37" i="227"/>
  <c r="O37" i="227"/>
  <c r="AC36" i="227"/>
  <c r="V36" i="227"/>
  <c r="S36" i="227"/>
  <c r="O36" i="227"/>
  <c r="AC35" i="227"/>
  <c r="V35" i="227"/>
  <c r="S35" i="227"/>
  <c r="O35" i="227"/>
  <c r="AC34" i="227"/>
  <c r="V34" i="227"/>
  <c r="S34" i="227"/>
  <c r="O34" i="227"/>
  <c r="AC33" i="227"/>
  <c r="V33" i="227"/>
  <c r="S33" i="227"/>
  <c r="O33" i="227"/>
  <c r="AC32" i="227"/>
  <c r="V32" i="227"/>
  <c r="S32" i="227"/>
  <c r="O32" i="227"/>
  <c r="AC31" i="227"/>
  <c r="V31" i="227"/>
  <c r="S31" i="227"/>
  <c r="O31" i="227"/>
  <c r="AC30" i="227"/>
  <c r="V30" i="227"/>
  <c r="S30" i="227"/>
  <c r="O30" i="227"/>
  <c r="AC29" i="227"/>
  <c r="V29" i="227"/>
  <c r="S29" i="227"/>
  <c r="O29" i="227"/>
  <c r="AC28" i="227"/>
  <c r="V28" i="227"/>
  <c r="S28" i="227"/>
  <c r="O28" i="227"/>
  <c r="AC27" i="227"/>
  <c r="V27" i="227"/>
  <c r="S27" i="227"/>
  <c r="O27" i="227"/>
  <c r="AC26" i="227"/>
  <c r="V26" i="227"/>
  <c r="S26" i="227"/>
  <c r="O26" i="227"/>
  <c r="AC25" i="227"/>
  <c r="V25" i="227"/>
  <c r="S25" i="227"/>
  <c r="O25" i="227"/>
  <c r="AC24" i="227"/>
  <c r="V24" i="227"/>
  <c r="S24" i="227"/>
  <c r="O24" i="227"/>
  <c r="AC23" i="227"/>
  <c r="V23" i="227"/>
  <c r="S23" i="227"/>
  <c r="O23" i="227"/>
  <c r="AC22" i="227"/>
  <c r="V22" i="227"/>
  <c r="S22" i="227"/>
  <c r="O22" i="227"/>
  <c r="AC21" i="227"/>
  <c r="V21" i="227"/>
  <c r="S21" i="227"/>
  <c r="O21" i="227"/>
  <c r="AC20" i="227"/>
  <c r="V20" i="227"/>
  <c r="S20" i="227"/>
  <c r="O20" i="227"/>
  <c r="AC19" i="227"/>
  <c r="V19" i="227"/>
  <c r="S19" i="227"/>
  <c r="O19" i="227"/>
  <c r="AC18" i="227"/>
  <c r="V18" i="227"/>
  <c r="S18" i="227"/>
  <c r="O18" i="227"/>
  <c r="AC17" i="227"/>
  <c r="V17" i="227"/>
  <c r="S17" i="227"/>
  <c r="O17" i="227"/>
  <c r="AC16" i="227"/>
  <c r="V16" i="227"/>
  <c r="S16" i="227"/>
  <c r="O16" i="227"/>
  <c r="AC15" i="227"/>
  <c r="V15" i="227"/>
  <c r="S15" i="227"/>
  <c r="O15" i="227"/>
  <c r="AC14" i="227"/>
  <c r="V14" i="227"/>
  <c r="S14" i="227"/>
  <c r="O14" i="227"/>
  <c r="AC13" i="227"/>
  <c r="V13" i="227"/>
  <c r="S13" i="227"/>
  <c r="O13" i="227"/>
  <c r="AC12" i="227"/>
  <c r="V12" i="227"/>
  <c r="S12" i="227"/>
  <c r="O12" i="227"/>
  <c r="AC11" i="227"/>
  <c r="V11" i="227"/>
  <c r="S11" i="227"/>
  <c r="O11" i="227"/>
  <c r="AC10" i="227"/>
  <c r="V10" i="227"/>
  <c r="S10" i="227"/>
  <c r="O10" i="227"/>
  <c r="AC9" i="227"/>
  <c r="V9" i="227"/>
  <c r="S9" i="227"/>
  <c r="O9" i="227"/>
  <c r="AC8" i="227"/>
  <c r="V8" i="227"/>
  <c r="S8" i="227"/>
  <c r="O8" i="227"/>
  <c r="AC7" i="227"/>
  <c r="V7" i="227"/>
  <c r="S7" i="227"/>
  <c r="O7" i="227"/>
  <c r="AC6" i="227"/>
  <c r="V6" i="227"/>
  <c r="S6" i="227"/>
  <c r="O6" i="227"/>
  <c r="AC5" i="227"/>
  <c r="V5" i="227"/>
  <c r="S5" i="227"/>
  <c r="O5" i="227"/>
  <c r="AC4" i="227"/>
  <c r="V4" i="227"/>
  <c r="S4" i="227"/>
  <c r="O4" i="227"/>
  <c r="AC3" i="227"/>
  <c r="V3" i="227"/>
  <c r="S3" i="227"/>
  <c r="O3" i="227"/>
  <c r="AB2" i="227"/>
  <c r="AA2" i="227"/>
  <c r="Z2" i="227"/>
  <c r="Y2" i="227"/>
  <c r="X2" i="227"/>
  <c r="W2" i="227"/>
  <c r="V2" i="227"/>
  <c r="U2" i="227"/>
  <c r="T2" i="227"/>
  <c r="S2" i="227"/>
  <c r="R2" i="227"/>
  <c r="Q2" i="227"/>
  <c r="P2" i="227"/>
  <c r="O2" i="227"/>
  <c r="N2" i="227"/>
  <c r="M2" i="227"/>
  <c r="L2" i="227"/>
  <c r="K2" i="227"/>
  <c r="R6" i="230"/>
  <c r="R5" i="230"/>
  <c r="R95" i="230"/>
  <c r="U95" i="230" s="1"/>
  <c r="R94" i="230"/>
  <c r="U94" i="230" s="1"/>
  <c r="R93" i="230"/>
  <c r="U93" i="230" s="1"/>
  <c r="R92" i="230"/>
  <c r="U92" i="230" s="1"/>
  <c r="R91" i="230"/>
  <c r="U91" i="230" s="1"/>
  <c r="R90" i="230"/>
  <c r="U90" i="230" s="1"/>
  <c r="R89" i="230"/>
  <c r="U89" i="230" s="1"/>
  <c r="R88" i="230"/>
  <c r="U88" i="230" s="1"/>
  <c r="R87" i="230"/>
  <c r="U87" i="230" s="1"/>
  <c r="R86" i="230"/>
  <c r="U86" i="230" s="1"/>
  <c r="R85" i="230"/>
  <c r="U85" i="230" s="1"/>
  <c r="R84" i="230"/>
  <c r="U84" i="230" s="1"/>
  <c r="R83" i="230"/>
  <c r="U83" i="230" s="1"/>
  <c r="R82" i="230"/>
  <c r="U82" i="230" s="1"/>
  <c r="R81" i="230"/>
  <c r="U81" i="230" s="1"/>
  <c r="R80" i="230"/>
  <c r="U80" i="230" s="1"/>
  <c r="R79" i="230"/>
  <c r="U79" i="230" s="1"/>
  <c r="R78" i="230"/>
  <c r="U78" i="230" s="1"/>
  <c r="R77" i="230"/>
  <c r="U77" i="230" s="1"/>
  <c r="R76" i="230"/>
  <c r="U76" i="230" s="1"/>
  <c r="R75" i="230"/>
  <c r="U75" i="230" s="1"/>
  <c r="R74" i="230"/>
  <c r="U74" i="230" s="1"/>
  <c r="R73" i="230"/>
  <c r="U73" i="230" s="1"/>
  <c r="R72" i="230"/>
  <c r="U72" i="230" s="1"/>
  <c r="R71" i="230"/>
  <c r="U71" i="230" s="1"/>
  <c r="R70" i="230"/>
  <c r="U70" i="230" s="1"/>
  <c r="R69" i="230"/>
  <c r="U69" i="230" s="1"/>
  <c r="R68" i="230"/>
  <c r="U68" i="230" s="1"/>
  <c r="R67" i="230"/>
  <c r="U67" i="230" s="1"/>
  <c r="S69" i="230" l="1"/>
  <c r="S87" i="230"/>
  <c r="S78" i="230"/>
  <c r="S72" i="230"/>
  <c r="S81" i="230"/>
  <c r="S90" i="230"/>
  <c r="S75" i="230"/>
  <c r="S84" i="230"/>
  <c r="S93" i="230"/>
  <c r="T69" i="230"/>
  <c r="T72" i="230"/>
  <c r="T75" i="230"/>
  <c r="T78" i="230"/>
  <c r="T81" i="230"/>
  <c r="T84" i="230"/>
  <c r="T87" i="230"/>
  <c r="T90" i="230"/>
  <c r="T93" i="230"/>
  <c r="S67" i="230"/>
  <c r="S70" i="230"/>
  <c r="S73" i="230"/>
  <c r="S76" i="230"/>
  <c r="S79" i="230"/>
  <c r="S82" i="230"/>
  <c r="S85" i="230"/>
  <c r="S88" i="230"/>
  <c r="S91" i="230"/>
  <c r="S94" i="230"/>
  <c r="T67" i="230"/>
  <c r="T70" i="230"/>
  <c r="T73" i="230"/>
  <c r="T76" i="230"/>
  <c r="T79" i="230"/>
  <c r="T82" i="230"/>
  <c r="T85" i="230"/>
  <c r="T88" i="230"/>
  <c r="T91" i="230"/>
  <c r="T94" i="230"/>
  <c r="S68" i="230"/>
  <c r="S71" i="230"/>
  <c r="S74" i="230"/>
  <c r="S77" i="230"/>
  <c r="S80" i="230"/>
  <c r="S83" i="230"/>
  <c r="S86" i="230"/>
  <c r="S89" i="230"/>
  <c r="S92" i="230"/>
  <c r="S95" i="230"/>
  <c r="T68" i="230"/>
  <c r="T71" i="230"/>
  <c r="T74" i="230"/>
  <c r="T77" i="230"/>
  <c r="T80" i="230"/>
  <c r="T83" i="230"/>
  <c r="T86" i="230"/>
  <c r="T89" i="230"/>
  <c r="T92" i="230"/>
  <c r="T95" i="230"/>
  <c r="AA47" i="235"/>
  <c r="Z47" i="235"/>
  <c r="X47" i="235"/>
  <c r="P47" i="235"/>
  <c r="Q47" i="235" s="1"/>
  <c r="R47" i="235" s="1"/>
  <c r="O47" i="235"/>
  <c r="M47" i="235"/>
  <c r="BL46" i="235" l="1"/>
  <c r="BJ46" i="235"/>
  <c r="BE46" i="235"/>
  <c r="AV46" i="235"/>
  <c r="AQ46" i="235"/>
  <c r="AM46" i="235"/>
  <c r="AN46" i="235" s="1"/>
  <c r="AO46" i="235" s="1"/>
  <c r="AK46" i="235"/>
  <c r="AJ46" i="235"/>
  <c r="AI46" i="235"/>
  <c r="AW46" i="235" s="1"/>
  <c r="AH46" i="235"/>
  <c r="AG46" i="235"/>
  <c r="BG46" i="235" s="1"/>
  <c r="AF46" i="235"/>
  <c r="AE46" i="235"/>
  <c r="AA46" i="235"/>
  <c r="BC46" i="235" s="1"/>
  <c r="Z46" i="235"/>
  <c r="X46" i="235"/>
  <c r="P46" i="235"/>
  <c r="Q46" i="235" s="1"/>
  <c r="R46" i="235" s="1"/>
  <c r="O46" i="235"/>
  <c r="M46" i="235"/>
  <c r="A46" i="235"/>
  <c r="AD46" i="235" s="1"/>
  <c r="AL46" i="235" l="1"/>
  <c r="BD46" i="235"/>
  <c r="BH46" i="235"/>
  <c r="AS46" i="235"/>
  <c r="AT46" i="235" s="1"/>
  <c r="AU46" i="235" s="1"/>
  <c r="BB46" i="235"/>
  <c r="BF46" i="235"/>
  <c r="BK46" i="235"/>
  <c r="AY46" i="235" l="1"/>
  <c r="AZ46" i="235" s="1"/>
  <c r="BA46" i="235" s="1"/>
  <c r="BP138" i="230"/>
  <c r="BP137" i="230"/>
  <c r="BP136" i="230"/>
  <c r="BP135" i="230"/>
  <c r="BN4" i="230" l="1"/>
  <c r="BN147" i="230"/>
  <c r="BN146" i="230"/>
  <c r="BN145" i="230"/>
  <c r="BN144" i="230"/>
  <c r="BN143" i="230"/>
  <c r="BN142" i="230"/>
  <c r="BN141" i="230"/>
  <c r="BN140" i="230"/>
  <c r="BN139" i="230"/>
  <c r="BN138" i="230"/>
  <c r="BN137" i="230"/>
  <c r="BN136" i="230"/>
  <c r="BN135" i="230"/>
  <c r="E1229" i="232" l="1"/>
  <c r="E1228" i="232"/>
  <c r="E1227" i="232"/>
  <c r="E1226" i="232"/>
  <c r="E1225" i="232"/>
  <c r="E1224" i="232"/>
  <c r="E1223" i="232"/>
  <c r="E1222" i="232"/>
  <c r="E1221" i="232"/>
  <c r="E1220" i="232"/>
  <c r="E1219" i="232"/>
  <c r="E1218" i="232"/>
  <c r="E1217" i="232"/>
  <c r="E1216" i="232"/>
  <c r="E1215" i="232"/>
  <c r="E1214" i="232"/>
  <c r="E1213" i="232"/>
  <c r="E1212" i="232"/>
  <c r="E1211" i="232"/>
  <c r="E1210" i="232"/>
  <c r="E1209" i="232"/>
  <c r="E1208" i="232"/>
  <c r="E1207" i="232"/>
  <c r="E1206" i="232"/>
  <c r="E1205" i="232"/>
  <c r="E1204" i="232"/>
  <c r="E1203" i="232"/>
  <c r="E1202" i="232"/>
  <c r="E1201" i="232"/>
  <c r="E1200" i="232"/>
  <c r="E1199" i="232"/>
  <c r="E1198" i="232"/>
  <c r="E1197" i="232"/>
  <c r="E1196" i="232"/>
  <c r="E1195" i="232"/>
  <c r="E1194" i="232"/>
  <c r="E1193" i="232"/>
  <c r="E1192" i="232"/>
  <c r="E1191" i="232"/>
  <c r="E1190" i="232"/>
  <c r="E1189" i="232"/>
  <c r="E1188" i="232"/>
  <c r="E1187" i="232"/>
  <c r="E1186" i="232"/>
  <c r="E1185" i="232"/>
  <c r="E1184" i="232"/>
  <c r="E1183" i="232"/>
  <c r="E1182" i="232"/>
  <c r="E1181" i="232"/>
  <c r="E1180" i="232"/>
  <c r="E1179" i="232"/>
  <c r="E1178" i="232"/>
  <c r="E1177" i="232"/>
  <c r="E1176" i="232"/>
  <c r="E1175" i="232"/>
  <c r="E1174" i="232"/>
  <c r="E1173" i="232"/>
  <c r="E1172" i="232"/>
  <c r="E1171" i="232"/>
  <c r="E1170" i="232"/>
  <c r="E1169" i="232"/>
  <c r="E1168" i="232"/>
  <c r="E1167" i="232"/>
  <c r="E1166" i="232"/>
  <c r="E1165" i="232"/>
  <c r="E1164" i="232"/>
  <c r="E1163" i="232"/>
  <c r="E1162" i="232"/>
  <c r="E1161" i="232"/>
  <c r="E1160" i="232"/>
  <c r="E1159" i="232"/>
  <c r="E1158" i="232"/>
  <c r="E1157" i="232"/>
  <c r="E1156" i="232"/>
  <c r="E1155" i="232"/>
  <c r="E1154" i="232"/>
  <c r="E1153" i="232"/>
  <c r="E1152" i="232"/>
  <c r="E1151" i="232"/>
  <c r="E1150" i="232"/>
  <c r="E1149" i="232"/>
  <c r="E1148" i="232"/>
  <c r="E1147" i="232"/>
  <c r="E1146" i="232"/>
  <c r="E1145" i="232"/>
  <c r="E1144" i="232"/>
  <c r="E1143" i="232"/>
  <c r="E1142" i="232"/>
  <c r="E1141" i="232"/>
  <c r="E1140" i="232"/>
  <c r="E1139" i="232"/>
  <c r="E1138" i="232"/>
  <c r="E1137" i="232"/>
  <c r="E1136" i="232"/>
  <c r="E1135" i="232"/>
  <c r="E1134" i="232"/>
  <c r="E1133" i="232"/>
  <c r="E1132" i="232"/>
  <c r="E1131" i="232"/>
  <c r="E1130" i="232"/>
  <c r="E1129" i="232"/>
  <c r="E1128" i="232"/>
  <c r="E1127" i="232"/>
  <c r="E1126" i="232"/>
  <c r="E1125" i="232"/>
  <c r="E1124" i="232"/>
  <c r="E1123" i="232"/>
  <c r="E1122" i="232"/>
  <c r="E1121" i="232"/>
  <c r="E1120" i="232"/>
  <c r="E1119" i="232"/>
  <c r="E1118" i="232"/>
  <c r="E1117" i="232"/>
  <c r="E1116" i="232"/>
  <c r="E1115" i="232"/>
  <c r="E1114" i="232"/>
  <c r="E1113" i="232"/>
  <c r="E1112" i="232"/>
  <c r="E1111" i="232"/>
  <c r="E1110" i="232"/>
  <c r="E1109" i="232"/>
  <c r="E1108" i="232"/>
  <c r="E1107" i="232"/>
  <c r="E1106" i="232"/>
  <c r="E1105" i="232"/>
  <c r="E1104" i="232"/>
  <c r="E1103" i="232"/>
  <c r="E1102" i="232"/>
  <c r="E1101" i="232"/>
  <c r="E1100" i="232"/>
  <c r="E1099" i="232"/>
  <c r="E1098" i="232"/>
  <c r="E1097" i="232"/>
  <c r="E1096" i="232"/>
  <c r="E1095" i="232"/>
  <c r="E1094" i="232"/>
  <c r="E1093" i="232"/>
  <c r="E1092" i="232"/>
  <c r="E1091" i="232"/>
  <c r="E1090" i="232"/>
  <c r="E1089" i="232"/>
  <c r="E1088" i="232"/>
  <c r="E1087" i="232"/>
  <c r="E1086" i="232"/>
  <c r="E1085" i="232"/>
  <c r="E1084" i="232"/>
  <c r="E1083" i="232"/>
  <c r="E1082" i="232"/>
  <c r="E1081" i="232"/>
  <c r="E1080" i="232"/>
  <c r="E1079" i="232"/>
  <c r="E1078" i="232"/>
  <c r="E1077" i="232"/>
  <c r="E1076" i="232"/>
  <c r="E1075" i="232"/>
  <c r="E1074" i="232"/>
  <c r="E1073" i="232"/>
  <c r="E1072" i="232"/>
  <c r="E1071" i="232"/>
  <c r="E1070" i="232"/>
  <c r="E1069" i="232"/>
  <c r="E1068" i="232"/>
  <c r="E1067" i="232"/>
  <c r="E1066" i="232"/>
  <c r="E1065" i="232"/>
  <c r="E1064" i="232"/>
  <c r="E1063" i="232"/>
  <c r="E1062" i="232"/>
  <c r="E1061" i="232"/>
  <c r="E1060" i="232"/>
  <c r="E1059" i="232"/>
  <c r="E1058" i="232"/>
  <c r="E1057" i="232"/>
  <c r="E1056" i="232"/>
  <c r="E1055" i="232"/>
  <c r="E1054" i="232"/>
  <c r="E1053" i="232"/>
  <c r="E1052" i="232"/>
  <c r="E1051" i="232"/>
  <c r="E1050" i="232"/>
  <c r="E1049" i="232"/>
  <c r="E1048" i="232"/>
  <c r="E1047" i="232"/>
  <c r="E1046" i="232"/>
  <c r="E984" i="232"/>
  <c r="E983" i="232"/>
  <c r="E982" i="232"/>
  <c r="E981" i="232"/>
  <c r="E980" i="232"/>
  <c r="E979" i="232"/>
  <c r="E978" i="232"/>
  <c r="E977" i="232"/>
  <c r="E976" i="232"/>
  <c r="E975" i="232"/>
  <c r="E974" i="232"/>
  <c r="E973" i="232"/>
  <c r="E972" i="232"/>
  <c r="E971" i="232"/>
  <c r="E970" i="232"/>
  <c r="E969" i="232"/>
  <c r="E968" i="232"/>
  <c r="E967" i="232"/>
  <c r="E966" i="232"/>
  <c r="E965" i="232"/>
  <c r="E964" i="232"/>
  <c r="E963" i="232"/>
  <c r="E962" i="232"/>
  <c r="E961" i="232"/>
  <c r="E960" i="232"/>
  <c r="E959" i="232"/>
  <c r="E958" i="232"/>
  <c r="E957" i="232"/>
  <c r="E956" i="232"/>
  <c r="E955" i="232"/>
  <c r="E954" i="232"/>
  <c r="E953" i="232"/>
  <c r="E952" i="232"/>
  <c r="E951" i="232"/>
  <c r="E950" i="232"/>
  <c r="E949" i="232"/>
  <c r="E948" i="232"/>
  <c r="E947" i="232"/>
  <c r="E946" i="232"/>
  <c r="E945" i="232"/>
  <c r="E944" i="232"/>
  <c r="E943" i="232"/>
  <c r="E942" i="232"/>
  <c r="E941" i="232"/>
  <c r="E940" i="232"/>
  <c r="E939" i="232"/>
  <c r="E938" i="232"/>
  <c r="E937" i="232"/>
  <c r="E936" i="232"/>
  <c r="E935" i="232"/>
  <c r="E934" i="232"/>
  <c r="E933" i="232"/>
  <c r="E932" i="232"/>
  <c r="E931" i="232"/>
  <c r="E930" i="232"/>
  <c r="E929" i="232"/>
  <c r="E928" i="232"/>
  <c r="E927" i="232"/>
  <c r="E926" i="232"/>
  <c r="E925" i="232"/>
  <c r="E924" i="232"/>
  <c r="E923" i="232"/>
  <c r="E922" i="232"/>
  <c r="E921" i="232"/>
  <c r="E920" i="232"/>
  <c r="E919" i="232"/>
  <c r="E918" i="232"/>
  <c r="E917" i="232"/>
  <c r="E916" i="232"/>
  <c r="E915" i="232"/>
  <c r="E914" i="232"/>
  <c r="E913" i="232"/>
  <c r="E912" i="232"/>
  <c r="E911" i="232"/>
  <c r="E910" i="232"/>
  <c r="E909" i="232"/>
  <c r="E908" i="232"/>
  <c r="E907" i="232"/>
  <c r="E906" i="232"/>
  <c r="E905" i="232"/>
  <c r="E904" i="232"/>
  <c r="E903" i="232"/>
  <c r="E902" i="232"/>
  <c r="E901" i="232"/>
  <c r="E900" i="232"/>
  <c r="E899" i="232"/>
  <c r="E898" i="232"/>
  <c r="E897" i="232"/>
  <c r="E896" i="232"/>
  <c r="E895" i="232"/>
  <c r="E894" i="232"/>
  <c r="E893" i="232"/>
  <c r="E892" i="232"/>
  <c r="E891" i="232"/>
  <c r="E890" i="232"/>
  <c r="E889" i="232"/>
  <c r="E888" i="232"/>
  <c r="E887" i="232"/>
  <c r="E886" i="232"/>
  <c r="E885" i="232"/>
  <c r="E884" i="232"/>
  <c r="E883" i="232"/>
  <c r="E882" i="232"/>
  <c r="E881" i="232"/>
  <c r="E880" i="232"/>
  <c r="E879" i="232"/>
  <c r="E878" i="232"/>
  <c r="E877" i="232"/>
  <c r="E876" i="232"/>
  <c r="E875" i="232"/>
  <c r="E874" i="232"/>
  <c r="E873" i="232"/>
  <c r="E872" i="232"/>
  <c r="E871" i="232"/>
  <c r="E870" i="232"/>
  <c r="E869" i="232"/>
  <c r="E868" i="232"/>
  <c r="E867" i="232"/>
  <c r="E866" i="232"/>
  <c r="E865" i="232"/>
  <c r="E864" i="232"/>
  <c r="E863" i="232"/>
  <c r="E862" i="232"/>
  <c r="E861" i="232"/>
  <c r="E860" i="232"/>
  <c r="E859" i="232"/>
  <c r="E858" i="232"/>
  <c r="E857" i="232"/>
  <c r="E856" i="232"/>
  <c r="E855" i="232"/>
  <c r="E854" i="232"/>
  <c r="E853" i="232"/>
  <c r="E852" i="232"/>
  <c r="E851" i="232"/>
  <c r="E850" i="232"/>
  <c r="E849" i="232"/>
  <c r="E848" i="232"/>
  <c r="E847" i="232"/>
  <c r="E846" i="232"/>
  <c r="E845" i="232"/>
  <c r="E844" i="232"/>
  <c r="E843" i="232"/>
  <c r="E842" i="232"/>
  <c r="E841" i="232"/>
  <c r="E840" i="232"/>
  <c r="E839" i="232"/>
  <c r="E838" i="232"/>
  <c r="E837" i="232"/>
  <c r="E836" i="232"/>
  <c r="E835" i="232"/>
  <c r="E834" i="232"/>
  <c r="E833" i="232"/>
  <c r="E832" i="232"/>
  <c r="E831" i="232"/>
  <c r="E830" i="232"/>
  <c r="E829" i="232"/>
  <c r="E828" i="232"/>
  <c r="E827" i="232"/>
  <c r="E826" i="232"/>
  <c r="E825" i="232"/>
  <c r="E824" i="232"/>
  <c r="E823" i="232"/>
  <c r="E822" i="232"/>
  <c r="E821" i="232"/>
  <c r="E820" i="232"/>
  <c r="E819" i="232"/>
  <c r="E818" i="232"/>
  <c r="E817" i="232"/>
  <c r="E816" i="232"/>
  <c r="E815" i="232"/>
  <c r="E814" i="232"/>
  <c r="E813" i="232"/>
  <c r="E812" i="232"/>
  <c r="E811" i="232"/>
  <c r="E810" i="232"/>
  <c r="E809" i="232"/>
  <c r="E808" i="232"/>
  <c r="E807" i="232"/>
  <c r="E806" i="232"/>
  <c r="E805" i="232"/>
  <c r="E804" i="232"/>
  <c r="E803" i="232"/>
  <c r="E802" i="232"/>
  <c r="E801" i="232"/>
  <c r="E800" i="232"/>
  <c r="E799" i="232"/>
  <c r="E798" i="232"/>
  <c r="E797" i="232"/>
  <c r="E796" i="232"/>
  <c r="E795" i="232"/>
  <c r="E794" i="232"/>
  <c r="E793" i="232"/>
  <c r="E792" i="232"/>
  <c r="E791" i="232"/>
  <c r="E790" i="232"/>
  <c r="E789" i="232"/>
  <c r="E788" i="232"/>
  <c r="E787" i="232"/>
  <c r="E786" i="232"/>
  <c r="E785" i="232"/>
  <c r="E784" i="232"/>
  <c r="E783" i="232"/>
  <c r="E782" i="232"/>
  <c r="E781" i="232"/>
  <c r="E780" i="232"/>
  <c r="E779" i="232"/>
  <c r="E778" i="232"/>
  <c r="E777" i="232"/>
  <c r="E776" i="232"/>
  <c r="E775" i="232"/>
  <c r="E774" i="232"/>
  <c r="E773" i="232"/>
  <c r="E772" i="232"/>
  <c r="E771" i="232"/>
  <c r="E770" i="232"/>
  <c r="E769" i="232"/>
  <c r="E768" i="232"/>
  <c r="E767" i="232"/>
  <c r="E766" i="232"/>
  <c r="E765" i="232"/>
  <c r="E764" i="232"/>
  <c r="E763" i="232"/>
  <c r="E762" i="232"/>
  <c r="E761" i="232"/>
  <c r="E760" i="232"/>
  <c r="E759" i="232"/>
  <c r="E758" i="232"/>
  <c r="E757" i="232"/>
  <c r="E756" i="232"/>
  <c r="E755" i="232"/>
  <c r="E754" i="232"/>
  <c r="E753" i="232"/>
  <c r="E752" i="232"/>
  <c r="E751" i="232"/>
  <c r="E750" i="232"/>
  <c r="E749" i="232"/>
  <c r="E748" i="232"/>
  <c r="E747" i="232"/>
  <c r="E746" i="232"/>
  <c r="E745" i="232"/>
  <c r="E744" i="232"/>
  <c r="E743" i="232"/>
  <c r="E742" i="232"/>
  <c r="E741" i="232"/>
  <c r="E740" i="232"/>
  <c r="E739" i="232"/>
  <c r="E738" i="232"/>
  <c r="E737" i="232"/>
  <c r="E736" i="232"/>
  <c r="E735" i="232"/>
  <c r="E734" i="232"/>
  <c r="E733" i="232"/>
  <c r="E732" i="232"/>
  <c r="E731" i="232"/>
  <c r="E730" i="232"/>
  <c r="E729" i="232"/>
  <c r="E728" i="232"/>
  <c r="E727" i="232"/>
  <c r="E726" i="232"/>
  <c r="E725" i="232"/>
  <c r="E724" i="232"/>
  <c r="E723" i="232"/>
  <c r="E722" i="232"/>
  <c r="E721" i="232"/>
  <c r="E720" i="232"/>
  <c r="E719" i="232"/>
  <c r="E718" i="232"/>
  <c r="E717" i="232"/>
  <c r="E716" i="232"/>
  <c r="E715" i="232"/>
  <c r="E714" i="232"/>
  <c r="E713" i="232"/>
  <c r="E712" i="232"/>
  <c r="E711" i="232"/>
  <c r="E710" i="232"/>
  <c r="E709" i="232"/>
  <c r="E708" i="232"/>
  <c r="E707" i="232"/>
  <c r="E706" i="232"/>
  <c r="E705" i="232"/>
  <c r="E704" i="232"/>
  <c r="E703" i="232"/>
  <c r="E702" i="232"/>
  <c r="E701" i="232"/>
  <c r="E700" i="232"/>
  <c r="E699" i="232"/>
  <c r="E698" i="232"/>
  <c r="E697" i="232"/>
  <c r="E696" i="232"/>
  <c r="E695" i="232"/>
  <c r="E694" i="232"/>
  <c r="E693" i="232"/>
  <c r="E692" i="232"/>
  <c r="E691" i="232"/>
  <c r="E690" i="232"/>
  <c r="E689" i="232"/>
  <c r="E688" i="232"/>
  <c r="E687" i="232"/>
  <c r="E686" i="232"/>
  <c r="E685" i="232"/>
  <c r="E684" i="232"/>
  <c r="E683" i="232"/>
  <c r="E682" i="232"/>
  <c r="E681" i="232"/>
  <c r="E680" i="232"/>
  <c r="E679" i="232"/>
  <c r="E678" i="232"/>
  <c r="E677" i="232"/>
  <c r="E676" i="232"/>
  <c r="E675" i="232"/>
  <c r="E674" i="232"/>
  <c r="E673" i="232"/>
  <c r="E672" i="232"/>
  <c r="E671" i="232"/>
  <c r="E670" i="232"/>
  <c r="E669" i="232"/>
  <c r="E668" i="232"/>
  <c r="E667" i="232"/>
  <c r="E666" i="232"/>
  <c r="E665" i="232"/>
  <c r="E664" i="232"/>
  <c r="E663" i="232"/>
  <c r="E662" i="232"/>
  <c r="E661" i="232"/>
  <c r="E660" i="232"/>
  <c r="E659" i="232"/>
  <c r="E658" i="232"/>
  <c r="E657" i="232"/>
  <c r="E656" i="232"/>
  <c r="E655" i="232"/>
  <c r="E654" i="232"/>
  <c r="E653" i="232"/>
  <c r="E652" i="232"/>
  <c r="E651" i="232"/>
  <c r="E650" i="232"/>
  <c r="E649" i="232"/>
  <c r="E648" i="232"/>
  <c r="E647" i="232"/>
  <c r="E646" i="232"/>
  <c r="E645" i="232"/>
  <c r="E644" i="232"/>
  <c r="E643" i="232"/>
  <c r="E642" i="232"/>
  <c r="E641" i="232"/>
  <c r="E640" i="232"/>
  <c r="E639" i="232"/>
  <c r="E638" i="232"/>
  <c r="E637" i="232"/>
  <c r="E636" i="232"/>
  <c r="E635" i="232"/>
  <c r="E634" i="232"/>
  <c r="E633" i="232"/>
  <c r="E632" i="232"/>
  <c r="E631" i="232"/>
  <c r="E630" i="232"/>
  <c r="E629" i="232"/>
  <c r="E628" i="232"/>
  <c r="E627" i="232"/>
  <c r="E626" i="232"/>
  <c r="E625" i="232"/>
  <c r="E624" i="232"/>
  <c r="E623" i="232"/>
  <c r="E622" i="232"/>
  <c r="E621" i="232"/>
  <c r="E620" i="232"/>
  <c r="E619" i="232"/>
  <c r="E618" i="232"/>
  <c r="E617" i="232"/>
  <c r="E616" i="232"/>
  <c r="E615" i="232"/>
  <c r="E614" i="232"/>
  <c r="E613" i="232"/>
  <c r="E612" i="232"/>
  <c r="E611" i="232"/>
  <c r="E610" i="232"/>
  <c r="E609" i="232"/>
  <c r="E608" i="232"/>
  <c r="E607" i="232"/>
  <c r="E606" i="232"/>
  <c r="E605" i="232"/>
  <c r="E604" i="232"/>
  <c r="E603" i="232"/>
  <c r="E602" i="232"/>
  <c r="E601" i="232"/>
  <c r="E600" i="232"/>
  <c r="E599" i="232"/>
  <c r="E598" i="232"/>
  <c r="E597" i="232"/>
  <c r="E596" i="232"/>
  <c r="E595" i="232"/>
  <c r="E594" i="232"/>
  <c r="E593" i="232"/>
  <c r="E592" i="232"/>
  <c r="E591" i="232"/>
  <c r="E590" i="232"/>
  <c r="E589" i="232"/>
  <c r="E588" i="232"/>
  <c r="E587" i="232"/>
  <c r="E586" i="232"/>
  <c r="E585" i="232"/>
  <c r="E584" i="232"/>
  <c r="E583" i="232"/>
  <c r="E582" i="232"/>
  <c r="E581" i="232"/>
  <c r="E580" i="232"/>
  <c r="E579" i="232"/>
  <c r="E578" i="232"/>
  <c r="E577" i="232"/>
  <c r="E576" i="232"/>
  <c r="E575" i="232"/>
  <c r="E574" i="232"/>
  <c r="E573" i="232"/>
  <c r="E572" i="232"/>
  <c r="E571" i="232"/>
  <c r="E570" i="232"/>
  <c r="E569" i="232"/>
  <c r="E568" i="232"/>
  <c r="E567" i="232"/>
  <c r="E566" i="232"/>
  <c r="E565" i="232"/>
  <c r="E564" i="232"/>
  <c r="E563" i="232"/>
  <c r="E562" i="232"/>
  <c r="E561" i="232"/>
  <c r="E560" i="232"/>
  <c r="E559" i="232"/>
  <c r="E558" i="232"/>
  <c r="E557" i="232"/>
  <c r="E556" i="232"/>
  <c r="E555" i="232"/>
  <c r="E554" i="232"/>
  <c r="E553" i="232"/>
  <c r="E552" i="232"/>
  <c r="E551" i="232"/>
  <c r="E550" i="232"/>
  <c r="E549" i="232"/>
  <c r="E548" i="232"/>
  <c r="E547" i="232"/>
  <c r="E546" i="232"/>
  <c r="E545" i="232"/>
  <c r="E544" i="232"/>
  <c r="E543" i="232"/>
  <c r="E542" i="232"/>
  <c r="E541" i="232"/>
  <c r="E540" i="232"/>
  <c r="E539" i="232"/>
  <c r="E538" i="232"/>
  <c r="E537" i="232"/>
  <c r="E536" i="232"/>
  <c r="E535" i="232"/>
  <c r="E534" i="232"/>
  <c r="E533" i="232"/>
  <c r="E532" i="232"/>
  <c r="E531" i="232"/>
  <c r="E530" i="232"/>
  <c r="E529" i="232"/>
  <c r="E528" i="232"/>
  <c r="E527" i="232"/>
  <c r="E526" i="232"/>
  <c r="E525" i="232"/>
  <c r="E524" i="232"/>
  <c r="E523" i="232"/>
  <c r="E522" i="232"/>
  <c r="E521" i="232"/>
  <c r="E520" i="232"/>
  <c r="E519" i="232"/>
  <c r="E518" i="232"/>
  <c r="E517" i="232"/>
  <c r="E516" i="232"/>
  <c r="E515" i="232"/>
  <c r="E514" i="232"/>
  <c r="E513" i="232"/>
  <c r="E512" i="232"/>
  <c r="E511" i="232"/>
  <c r="E510" i="232"/>
  <c r="E509" i="232"/>
  <c r="E508" i="232"/>
  <c r="E507" i="232"/>
  <c r="E506" i="232"/>
  <c r="E505" i="232"/>
  <c r="E504" i="232"/>
  <c r="E503" i="232"/>
  <c r="E502" i="232"/>
  <c r="E501" i="232"/>
  <c r="E500" i="232"/>
  <c r="E499" i="232"/>
  <c r="E498" i="232"/>
  <c r="E497" i="232"/>
  <c r="E496" i="232"/>
  <c r="E495" i="232"/>
  <c r="E494" i="232"/>
  <c r="E493" i="232"/>
  <c r="E492" i="232"/>
  <c r="E491" i="232"/>
  <c r="E490" i="232"/>
  <c r="E489" i="232"/>
  <c r="E488" i="232"/>
  <c r="E487" i="232"/>
  <c r="E486" i="232"/>
  <c r="E485" i="232"/>
  <c r="E484" i="232"/>
  <c r="E483" i="232"/>
  <c r="E482" i="232"/>
  <c r="E481" i="232"/>
  <c r="E480" i="232"/>
  <c r="E479" i="232"/>
  <c r="E478" i="232"/>
  <c r="E477" i="232"/>
  <c r="E476" i="232"/>
  <c r="E475" i="232"/>
  <c r="E474" i="232"/>
  <c r="E473" i="232"/>
  <c r="E472" i="232"/>
  <c r="E471" i="232"/>
  <c r="E470" i="232"/>
  <c r="E469" i="232"/>
  <c r="E468" i="232"/>
  <c r="E467" i="232"/>
  <c r="E466" i="232"/>
  <c r="E465" i="232"/>
  <c r="E464" i="232"/>
  <c r="E463" i="232"/>
  <c r="E462" i="232"/>
  <c r="E461" i="232"/>
  <c r="E460" i="232"/>
  <c r="E459" i="232"/>
  <c r="E458" i="232"/>
  <c r="E457" i="232"/>
  <c r="E456" i="232"/>
  <c r="E455" i="232"/>
  <c r="E454" i="232"/>
  <c r="E453" i="232"/>
  <c r="E452" i="232"/>
  <c r="E451" i="232"/>
  <c r="E450" i="232"/>
  <c r="E449" i="232"/>
  <c r="E448" i="232"/>
  <c r="E447" i="232"/>
  <c r="E446" i="232"/>
  <c r="E445" i="232"/>
  <c r="E444" i="232"/>
  <c r="E443" i="232"/>
  <c r="E442" i="232"/>
  <c r="E441" i="232"/>
  <c r="E440" i="232"/>
  <c r="E439" i="232"/>
  <c r="E438" i="232"/>
  <c r="E437" i="232"/>
  <c r="E436" i="232"/>
  <c r="E435" i="232"/>
  <c r="E434" i="232"/>
  <c r="E433" i="232"/>
  <c r="E432" i="232"/>
  <c r="E431" i="232"/>
  <c r="E430" i="232"/>
  <c r="E429" i="232"/>
  <c r="E428" i="232"/>
  <c r="E427" i="232"/>
  <c r="E426" i="232"/>
  <c r="E425" i="232"/>
  <c r="E424" i="232"/>
  <c r="E423" i="232"/>
  <c r="E422" i="232"/>
  <c r="E421" i="232"/>
  <c r="E420" i="232"/>
  <c r="E419" i="232"/>
  <c r="E418" i="232"/>
  <c r="E417" i="232"/>
  <c r="E416" i="232"/>
  <c r="E415" i="232"/>
  <c r="E414" i="232"/>
  <c r="E413" i="232"/>
  <c r="E412" i="232"/>
  <c r="E411" i="232"/>
  <c r="E410" i="232"/>
  <c r="E409" i="232"/>
  <c r="E408" i="232"/>
  <c r="E407" i="232"/>
  <c r="E406" i="232"/>
  <c r="E405" i="232"/>
  <c r="E404" i="232"/>
  <c r="E403" i="232"/>
  <c r="E402" i="232"/>
  <c r="E401" i="232"/>
  <c r="E400" i="232"/>
  <c r="E399" i="232"/>
  <c r="E398" i="232"/>
  <c r="E397" i="232"/>
  <c r="E396" i="232"/>
  <c r="E395" i="232"/>
  <c r="E394" i="232"/>
  <c r="E393" i="232"/>
  <c r="E392" i="232"/>
  <c r="E391" i="232"/>
  <c r="E390" i="232"/>
  <c r="E389" i="232"/>
  <c r="E388" i="232"/>
  <c r="E387" i="232"/>
  <c r="E386" i="232"/>
  <c r="E385" i="232"/>
  <c r="E384" i="232"/>
  <c r="E383" i="232"/>
  <c r="E382" i="232"/>
  <c r="E381" i="232"/>
  <c r="E380" i="232"/>
  <c r="E379" i="232"/>
  <c r="E378" i="232"/>
  <c r="E377" i="232"/>
  <c r="E376" i="232"/>
  <c r="E375" i="232"/>
  <c r="E374" i="232"/>
  <c r="E373" i="232"/>
  <c r="E372" i="232"/>
  <c r="E371" i="232"/>
  <c r="E370" i="232"/>
  <c r="E369" i="232"/>
  <c r="E368" i="232"/>
  <c r="E367" i="232"/>
  <c r="E366" i="232"/>
  <c r="E365" i="232"/>
  <c r="E364" i="232"/>
  <c r="E363" i="232"/>
  <c r="E362" i="232"/>
  <c r="E361" i="232"/>
  <c r="E360" i="232"/>
  <c r="E359" i="232"/>
  <c r="E358" i="232"/>
  <c r="E357" i="232"/>
  <c r="E356" i="232"/>
  <c r="E355" i="232"/>
  <c r="E354" i="232"/>
  <c r="E353" i="232"/>
  <c r="E352" i="232"/>
  <c r="E351" i="232"/>
  <c r="E350" i="232"/>
  <c r="E349" i="232"/>
  <c r="E348" i="232"/>
  <c r="E347" i="232"/>
  <c r="E346" i="232"/>
  <c r="E345" i="232"/>
  <c r="E344" i="232"/>
  <c r="E343" i="232"/>
  <c r="E342" i="232"/>
  <c r="E341" i="232"/>
  <c r="E340" i="232"/>
  <c r="E339" i="232"/>
  <c r="E338" i="232"/>
  <c r="E337" i="232"/>
  <c r="E336" i="232"/>
  <c r="E335" i="232"/>
  <c r="E334" i="232"/>
  <c r="E333" i="232"/>
  <c r="E332" i="232"/>
  <c r="E331" i="232"/>
  <c r="E330" i="232"/>
  <c r="E329" i="232"/>
  <c r="E328" i="232"/>
  <c r="E327" i="232"/>
  <c r="E326" i="232"/>
  <c r="E325" i="232"/>
  <c r="E324" i="232"/>
  <c r="E323" i="232"/>
  <c r="E322" i="232"/>
  <c r="E321" i="232"/>
  <c r="E320" i="232"/>
  <c r="E319" i="232"/>
  <c r="E318" i="232"/>
  <c r="E317" i="232"/>
  <c r="E316" i="232"/>
  <c r="E315" i="232"/>
  <c r="E314" i="232"/>
  <c r="E313" i="232"/>
  <c r="E312" i="232"/>
  <c r="E311" i="232"/>
  <c r="E310" i="232"/>
  <c r="E309" i="232"/>
  <c r="E308" i="232"/>
  <c r="E307" i="232"/>
  <c r="E306" i="232"/>
  <c r="E305" i="232"/>
  <c r="E304" i="232"/>
  <c r="E303" i="232"/>
  <c r="E302" i="232"/>
  <c r="E301" i="232"/>
  <c r="E300" i="232"/>
  <c r="E299" i="232"/>
  <c r="E298" i="232"/>
  <c r="E297" i="232"/>
  <c r="E296" i="232"/>
  <c r="E295" i="232"/>
  <c r="E294" i="232"/>
  <c r="E293" i="232"/>
  <c r="E292" i="232"/>
  <c r="E291" i="232"/>
  <c r="E290" i="232"/>
  <c r="E289" i="232"/>
  <c r="E288" i="232"/>
  <c r="E287" i="232"/>
  <c r="E286" i="232"/>
  <c r="E285" i="232"/>
  <c r="E284" i="232"/>
  <c r="E283" i="232"/>
  <c r="E282" i="232"/>
  <c r="E281" i="232"/>
  <c r="E280" i="232"/>
  <c r="E279" i="232"/>
  <c r="E278" i="232"/>
  <c r="E277" i="232"/>
  <c r="E276" i="232"/>
  <c r="E275" i="232"/>
  <c r="E274" i="232"/>
  <c r="E273" i="232"/>
  <c r="E272" i="232"/>
  <c r="E271" i="232"/>
  <c r="E270" i="232"/>
  <c r="E269" i="232"/>
  <c r="E268" i="232"/>
  <c r="E267" i="232"/>
  <c r="E266" i="232"/>
  <c r="E265" i="232"/>
  <c r="E264" i="232"/>
  <c r="E263" i="232"/>
  <c r="E262" i="232"/>
  <c r="E261" i="232"/>
  <c r="E260" i="232"/>
  <c r="E259" i="232"/>
  <c r="E258" i="232"/>
  <c r="E257" i="232"/>
  <c r="E256" i="232"/>
  <c r="E255" i="232"/>
  <c r="E254" i="232"/>
  <c r="E253" i="232"/>
  <c r="E252" i="232"/>
  <c r="E251" i="232"/>
  <c r="E250" i="232"/>
  <c r="E249" i="232"/>
  <c r="E248" i="232"/>
  <c r="E247" i="232"/>
  <c r="E246" i="232"/>
  <c r="E245" i="232"/>
  <c r="E244" i="232"/>
  <c r="E243" i="232"/>
  <c r="E242" i="232"/>
  <c r="E241" i="232"/>
  <c r="E240" i="232"/>
  <c r="E239" i="232"/>
  <c r="E238" i="232"/>
  <c r="E237" i="232"/>
  <c r="E236" i="232"/>
  <c r="E235" i="232"/>
  <c r="E234" i="232"/>
  <c r="E233" i="232"/>
  <c r="E232" i="232"/>
  <c r="E231" i="232"/>
  <c r="E230" i="232"/>
  <c r="E229" i="232"/>
  <c r="E228" i="232"/>
  <c r="E227" i="232"/>
  <c r="E226" i="232"/>
  <c r="E225" i="232"/>
  <c r="E224" i="232"/>
  <c r="E223" i="232"/>
  <c r="E222" i="232"/>
  <c r="E221" i="232"/>
  <c r="E220" i="232"/>
  <c r="E219" i="232"/>
  <c r="E218" i="232"/>
  <c r="E217" i="232"/>
  <c r="E216" i="232"/>
  <c r="E215" i="232"/>
  <c r="E214" i="232"/>
  <c r="E213" i="232"/>
  <c r="E212" i="232"/>
  <c r="E211" i="232"/>
  <c r="E210" i="232"/>
  <c r="E209" i="232"/>
  <c r="E208" i="232"/>
  <c r="E207" i="232"/>
  <c r="E206" i="232"/>
  <c r="E205" i="232"/>
  <c r="E204" i="232"/>
  <c r="E203" i="232"/>
  <c r="E202" i="232"/>
  <c r="E201" i="232"/>
  <c r="E200" i="232"/>
  <c r="E199" i="232"/>
  <c r="E198" i="232"/>
  <c r="E197" i="232"/>
  <c r="E196" i="232"/>
  <c r="E195" i="232"/>
  <c r="E194" i="232"/>
  <c r="E193" i="232"/>
  <c r="E192" i="232"/>
  <c r="E191" i="232"/>
  <c r="E190" i="232"/>
  <c r="E189" i="232"/>
  <c r="E188" i="232"/>
  <c r="E187" i="232"/>
  <c r="E186" i="232"/>
  <c r="E185" i="232"/>
  <c r="E184" i="232"/>
  <c r="E183" i="232"/>
  <c r="E182" i="232"/>
  <c r="E181" i="232"/>
  <c r="E180" i="232"/>
  <c r="E179" i="232"/>
  <c r="E178" i="232"/>
  <c r="E177" i="232"/>
  <c r="E176" i="232"/>
  <c r="E175" i="232"/>
  <c r="E174" i="232"/>
  <c r="E173" i="232"/>
  <c r="E172" i="232"/>
  <c r="E171" i="232"/>
  <c r="E170" i="232"/>
  <c r="E169" i="232"/>
  <c r="E168" i="232"/>
  <c r="E167" i="232"/>
  <c r="E166" i="232"/>
  <c r="E165" i="232"/>
  <c r="E164" i="232"/>
  <c r="E163" i="232"/>
  <c r="E162" i="232"/>
  <c r="E161" i="232"/>
  <c r="E160" i="232"/>
  <c r="E159" i="232"/>
  <c r="E158" i="232"/>
  <c r="E157" i="232"/>
  <c r="E156" i="232"/>
  <c r="E155" i="232"/>
  <c r="E154" i="232"/>
  <c r="E153" i="232"/>
  <c r="E152" i="232"/>
  <c r="E151" i="232"/>
  <c r="E150" i="232"/>
  <c r="E149" i="232"/>
  <c r="E148" i="232"/>
  <c r="E147" i="232"/>
  <c r="E146" i="232"/>
  <c r="E145" i="232"/>
  <c r="E144" i="232"/>
  <c r="E143" i="232"/>
  <c r="E142" i="232"/>
  <c r="E141" i="232"/>
  <c r="E140" i="232"/>
  <c r="E139" i="232"/>
  <c r="E138" i="232"/>
  <c r="E137" i="232"/>
  <c r="E136" i="232"/>
  <c r="E135" i="232"/>
  <c r="E134" i="232"/>
  <c r="E133" i="232"/>
  <c r="E132" i="232"/>
  <c r="E131" i="232"/>
  <c r="E130" i="232"/>
  <c r="E129" i="232"/>
  <c r="E128" i="232"/>
  <c r="E127" i="232"/>
  <c r="E126" i="232"/>
  <c r="E125" i="232"/>
  <c r="E124" i="232"/>
  <c r="E123" i="232"/>
  <c r="E122" i="232"/>
  <c r="E121" i="232"/>
  <c r="E120" i="232"/>
  <c r="E119" i="232"/>
  <c r="E118" i="232"/>
  <c r="E117" i="232"/>
  <c r="E116" i="232"/>
  <c r="E115" i="232"/>
  <c r="E114" i="232"/>
  <c r="E113" i="232"/>
  <c r="E112" i="232"/>
  <c r="E111" i="232"/>
  <c r="E110" i="232"/>
  <c r="E109" i="232"/>
  <c r="E108" i="232"/>
  <c r="E107" i="232"/>
  <c r="E106" i="232"/>
  <c r="E105" i="232"/>
  <c r="E104" i="232"/>
  <c r="E103" i="232"/>
  <c r="E102" i="232"/>
  <c r="E101" i="232"/>
  <c r="E100" i="232"/>
  <c r="E99" i="232"/>
  <c r="E98" i="232"/>
  <c r="E97" i="232"/>
  <c r="E96" i="232"/>
  <c r="E95" i="232"/>
  <c r="E94" i="232"/>
  <c r="E93" i="232"/>
  <c r="E92" i="232"/>
  <c r="E91" i="232"/>
  <c r="E90" i="232"/>
  <c r="E89" i="232"/>
  <c r="E88" i="232"/>
  <c r="E87" i="232"/>
  <c r="E86" i="232"/>
  <c r="E85" i="232"/>
  <c r="E84" i="232"/>
  <c r="E83" i="232"/>
  <c r="E82" i="232"/>
  <c r="E81" i="232"/>
  <c r="E80" i="232"/>
  <c r="E79" i="232"/>
  <c r="E78" i="232"/>
  <c r="E77" i="232"/>
  <c r="E76" i="232"/>
  <c r="E75" i="232"/>
  <c r="E74" i="232"/>
  <c r="E73" i="232"/>
  <c r="E72" i="232"/>
  <c r="E71" i="232"/>
  <c r="E70" i="232"/>
  <c r="E69" i="232"/>
  <c r="E68" i="232"/>
  <c r="E67" i="232"/>
  <c r="E66" i="232"/>
  <c r="E65" i="232"/>
  <c r="E64" i="232"/>
  <c r="E63" i="232"/>
  <c r="E62" i="232"/>
  <c r="E61" i="232"/>
  <c r="E60" i="232"/>
  <c r="E59" i="232"/>
  <c r="E58" i="232"/>
  <c r="E57" i="232"/>
  <c r="E56" i="232"/>
  <c r="E55" i="232"/>
  <c r="E54" i="232"/>
  <c r="E53" i="232"/>
  <c r="E52" i="232"/>
  <c r="E51" i="232"/>
  <c r="E50" i="232"/>
  <c r="E49" i="232"/>
  <c r="E48" i="232"/>
  <c r="E47" i="232"/>
  <c r="E46" i="232"/>
  <c r="E45" i="232"/>
  <c r="E44" i="232"/>
  <c r="E43" i="232"/>
  <c r="E42" i="232"/>
  <c r="E41" i="232"/>
  <c r="E40" i="232"/>
  <c r="E39" i="232"/>
  <c r="E38" i="232"/>
  <c r="E37" i="232"/>
  <c r="E36" i="232"/>
  <c r="E35" i="232"/>
  <c r="E34" i="232"/>
  <c r="E33" i="232"/>
  <c r="E32" i="232"/>
  <c r="E31" i="232"/>
  <c r="E30" i="232"/>
  <c r="E29" i="232"/>
  <c r="E28" i="232"/>
  <c r="E27" i="232"/>
  <c r="E26" i="232"/>
  <c r="E25" i="232"/>
  <c r="E24" i="232"/>
  <c r="E23" i="232"/>
  <c r="E22" i="232"/>
  <c r="E21" i="232"/>
  <c r="E20" i="232"/>
  <c r="E19" i="232"/>
  <c r="E18" i="232"/>
  <c r="E17" i="232"/>
  <c r="E16" i="232"/>
  <c r="E15" i="232"/>
  <c r="E14" i="232"/>
  <c r="E13" i="232"/>
  <c r="E12" i="232"/>
  <c r="E11" i="232"/>
  <c r="E10" i="232"/>
  <c r="E9" i="232"/>
  <c r="E8" i="232"/>
  <c r="E7" i="232"/>
  <c r="E6" i="232"/>
  <c r="E5" i="232"/>
  <c r="E4" i="232"/>
  <c r="E3" i="232"/>
  <c r="BO147" i="230" l="1"/>
  <c r="BO146" i="230"/>
  <c r="BO145" i="230"/>
  <c r="BO144" i="230"/>
  <c r="BO143" i="230"/>
  <c r="BO142" i="230"/>
  <c r="BO141" i="230"/>
  <c r="BO140" i="230"/>
  <c r="BO139" i="230"/>
  <c r="BO138" i="230"/>
  <c r="BO137" i="230"/>
  <c r="BO136" i="230"/>
  <c r="BO135" i="230"/>
  <c r="AM130" i="220" l="1"/>
  <c r="AM129" i="220"/>
  <c r="AM128" i="220"/>
  <c r="AM127" i="220"/>
  <c r="AM126" i="220"/>
  <c r="AM125" i="220"/>
  <c r="AM124" i="220"/>
  <c r="AM123" i="220"/>
  <c r="AM122" i="220"/>
  <c r="AM121" i="220"/>
  <c r="AM120" i="220"/>
  <c r="AM119" i="220"/>
  <c r="AM118" i="220"/>
  <c r="AM117" i="220"/>
  <c r="AM116" i="220"/>
  <c r="AM115" i="220"/>
  <c r="AM114" i="220"/>
  <c r="AM113" i="220"/>
  <c r="AM112" i="220"/>
  <c r="AM111" i="220"/>
  <c r="AM110" i="220"/>
  <c r="AM109" i="220"/>
  <c r="AM108" i="220"/>
  <c r="AM107" i="220"/>
  <c r="AM106" i="220"/>
  <c r="AM105" i="220"/>
  <c r="AM104" i="220"/>
  <c r="AM103" i="220"/>
  <c r="AM102" i="220"/>
  <c r="AM101" i="220"/>
  <c r="AM100" i="220"/>
  <c r="AM99" i="220"/>
  <c r="AM98" i="220"/>
  <c r="AM97" i="220"/>
  <c r="AM96" i="220"/>
  <c r="AM95" i="220"/>
  <c r="AM94" i="220"/>
  <c r="AM93" i="220"/>
  <c r="AM92" i="220"/>
  <c r="AM91" i="220"/>
  <c r="AM90" i="220"/>
  <c r="AM89" i="220"/>
  <c r="AM88" i="220"/>
  <c r="AM87" i="220"/>
  <c r="AM86" i="220"/>
  <c r="AM85" i="220"/>
  <c r="AM84" i="220"/>
  <c r="AM83" i="220"/>
  <c r="AM82" i="220"/>
  <c r="AM81" i="220"/>
  <c r="AM80" i="220"/>
  <c r="AM79" i="220"/>
  <c r="AM78" i="220"/>
  <c r="AM77" i="220"/>
  <c r="AM76" i="220"/>
  <c r="AM75" i="220"/>
  <c r="AM74" i="220"/>
  <c r="AM73" i="220"/>
  <c r="AM72" i="220"/>
  <c r="AM71" i="220"/>
  <c r="AM70" i="220"/>
  <c r="AM69" i="220"/>
  <c r="AM68" i="220"/>
  <c r="AM67" i="220"/>
  <c r="AM66" i="220"/>
  <c r="AM65" i="220"/>
  <c r="AM64" i="220"/>
  <c r="AM63" i="220"/>
  <c r="AM62" i="220"/>
  <c r="AM61" i="220"/>
  <c r="AM60" i="220"/>
  <c r="AM59" i="220"/>
  <c r="AM58" i="220"/>
  <c r="AM57" i="220"/>
  <c r="AM56" i="220"/>
  <c r="AM55" i="220"/>
  <c r="AM54" i="220"/>
  <c r="AM53" i="220"/>
  <c r="AM52" i="220"/>
  <c r="AM51" i="220"/>
  <c r="AM50" i="220"/>
  <c r="AM49" i="220"/>
  <c r="AM48" i="220"/>
  <c r="AM47" i="220"/>
  <c r="AM46" i="220"/>
  <c r="AM45" i="220"/>
  <c r="AM44" i="220"/>
  <c r="AM43" i="220"/>
  <c r="AM42" i="220"/>
  <c r="AM41" i="220"/>
  <c r="AM40" i="220"/>
  <c r="AM39" i="220"/>
  <c r="AM38" i="220"/>
  <c r="AM37" i="220"/>
  <c r="AM36" i="220"/>
  <c r="AM35" i="220"/>
  <c r="AM34" i="220"/>
  <c r="AM33" i="220"/>
  <c r="AM32" i="220"/>
  <c r="AM31" i="220"/>
  <c r="AM30" i="220"/>
  <c r="AM29" i="220"/>
  <c r="AM28" i="220"/>
  <c r="AM27" i="220"/>
  <c r="AM26" i="220"/>
  <c r="AM25" i="220"/>
  <c r="AM24" i="220"/>
  <c r="AM23" i="220"/>
  <c r="AM22" i="220"/>
  <c r="AM21" i="220"/>
  <c r="AM20" i="220"/>
  <c r="AM19" i="220"/>
  <c r="AM18" i="220"/>
  <c r="AM17" i="220"/>
  <c r="AM16" i="220"/>
  <c r="AM15" i="220"/>
  <c r="AM14" i="220"/>
  <c r="AM13" i="220"/>
  <c r="AM12" i="220"/>
  <c r="AM11" i="220"/>
  <c r="AM10" i="220"/>
  <c r="AM9" i="220"/>
  <c r="AM8" i="220"/>
  <c r="AM7" i="220"/>
  <c r="C983" i="232" l="1"/>
  <c r="BH20" i="220" l="1"/>
  <c r="BH19" i="220"/>
  <c r="BH18" i="220"/>
  <c r="BH17" i="220"/>
  <c r="BH16" i="220"/>
  <c r="BH15" i="220"/>
  <c r="BH14" i="220"/>
  <c r="BH13" i="220"/>
  <c r="BH12" i="220"/>
  <c r="BH11" i="220"/>
  <c r="BH10" i="220"/>
  <c r="BH9" i="220"/>
  <c r="BH8" i="220"/>
  <c r="BH7" i="220"/>
  <c r="BH6" i="220"/>
  <c r="BH5" i="220"/>
  <c r="BH4" i="220"/>
  <c r="AZ43" i="220" l="1"/>
  <c r="AZ42" i="220"/>
  <c r="AZ41" i="220"/>
  <c r="AZ40" i="220"/>
  <c r="AZ39" i="220"/>
  <c r="AZ38" i="220"/>
  <c r="AZ37" i="220"/>
  <c r="AZ36" i="220"/>
  <c r="AZ35" i="220"/>
  <c r="AZ34" i="220"/>
  <c r="AZ33" i="220"/>
  <c r="AZ32" i="220"/>
  <c r="AZ31" i="220"/>
  <c r="AZ30" i="220"/>
  <c r="AZ29" i="220"/>
  <c r="AZ28" i="220"/>
  <c r="AZ27" i="220"/>
  <c r="AZ26" i="220"/>
  <c r="AZ25" i="220"/>
  <c r="AZ24" i="220"/>
  <c r="AZ23" i="220"/>
  <c r="AZ22" i="220"/>
  <c r="AZ21" i="220"/>
  <c r="AZ20" i="220"/>
  <c r="AZ19" i="220"/>
  <c r="AZ18" i="220"/>
  <c r="AZ17" i="220"/>
  <c r="AZ16" i="220"/>
  <c r="AZ15" i="220"/>
  <c r="AZ14" i="220"/>
  <c r="AZ13" i="220"/>
  <c r="AZ12" i="220"/>
  <c r="AZ11" i="220"/>
  <c r="AZ10" i="220"/>
  <c r="AZ9" i="220"/>
  <c r="AZ8" i="220"/>
  <c r="AZ7" i="220"/>
  <c r="AZ6" i="220"/>
  <c r="AZ5" i="220"/>
  <c r="AZ4" i="220"/>
  <c r="AZ3" i="220"/>
  <c r="BG1" i="220"/>
  <c r="BL134" i="230" l="1"/>
  <c r="BL133" i="230"/>
  <c r="BL132" i="230"/>
  <c r="BL131" i="230"/>
  <c r="BL130" i="230"/>
  <c r="BL129" i="230"/>
  <c r="BL128" i="230"/>
  <c r="BL127" i="230"/>
  <c r="BL126" i="230"/>
  <c r="BL125" i="230"/>
  <c r="BL124" i="230"/>
  <c r="BL123" i="230"/>
  <c r="BL122" i="230"/>
  <c r="BL121" i="230"/>
  <c r="BL120" i="230"/>
  <c r="BL119" i="230"/>
  <c r="BL118" i="230"/>
  <c r="BL117" i="230"/>
  <c r="BL116" i="230"/>
  <c r="BL115" i="230"/>
  <c r="BL114" i="230"/>
  <c r="BL113" i="230"/>
  <c r="BL112" i="230"/>
  <c r="BL111" i="230"/>
  <c r="BL110" i="230"/>
  <c r="BL109" i="230"/>
  <c r="BL108" i="230"/>
  <c r="BL107" i="230"/>
  <c r="BL106" i="230"/>
  <c r="BL105" i="230"/>
  <c r="BL104" i="230"/>
  <c r="BL103" i="230"/>
  <c r="BL102" i="230"/>
  <c r="BL101" i="230"/>
  <c r="BL100" i="230"/>
  <c r="BL99" i="230"/>
  <c r="BL98" i="230"/>
  <c r="BL97" i="230"/>
  <c r="BL96" i="230"/>
  <c r="BL95" i="230"/>
  <c r="BL94" i="230"/>
  <c r="BL93" i="230"/>
  <c r="BL92" i="230"/>
  <c r="BL91" i="230"/>
  <c r="BL90" i="230"/>
  <c r="BL89" i="230"/>
  <c r="BL88" i="230"/>
  <c r="BL87" i="230"/>
  <c r="BL86" i="230"/>
  <c r="BL85" i="230"/>
  <c r="BL84" i="230"/>
  <c r="BL83" i="230"/>
  <c r="BL82" i="230"/>
  <c r="BL81" i="230"/>
  <c r="BL80" i="230"/>
  <c r="BL79" i="230"/>
  <c r="BL78" i="230"/>
  <c r="BL77" i="230"/>
  <c r="BL76" i="230"/>
  <c r="BL75" i="230"/>
  <c r="BL74" i="230"/>
  <c r="BL73" i="230"/>
  <c r="BL72" i="230"/>
  <c r="BL71" i="230"/>
  <c r="BL70" i="230"/>
  <c r="BL69" i="230"/>
  <c r="BL68" i="230"/>
  <c r="BL67" i="230"/>
  <c r="BN29" i="243" l="1"/>
  <c r="BN28" i="243"/>
  <c r="BN27" i="243"/>
  <c r="BN26" i="243"/>
  <c r="BN25" i="243"/>
  <c r="BN24" i="243"/>
  <c r="BN23" i="243"/>
  <c r="BN22" i="243"/>
  <c r="BN21" i="243"/>
  <c r="BN20" i="243"/>
  <c r="BN19" i="243"/>
  <c r="BN18" i="243"/>
  <c r="BN17" i="243"/>
  <c r="BN16" i="243"/>
  <c r="BN15" i="243"/>
  <c r="BN14" i="243"/>
  <c r="BN13" i="243"/>
  <c r="BN12" i="243"/>
  <c r="BN11" i="243"/>
  <c r="AA14" i="220" l="1"/>
  <c r="AA13" i="220"/>
  <c r="AA12" i="220"/>
  <c r="AA11" i="220"/>
  <c r="AA10" i="220"/>
  <c r="AA9" i="220"/>
  <c r="AA8" i="220"/>
  <c r="BW12" i="243" l="1"/>
  <c r="BR2" i="230" l="1"/>
  <c r="Q254" i="242" l="1"/>
  <c r="P254" i="242"/>
  <c r="O254" i="242"/>
  <c r="N254" i="242"/>
  <c r="M254" i="242"/>
  <c r="L254" i="242"/>
  <c r="Q251" i="242"/>
  <c r="P251" i="242"/>
  <c r="O251" i="242"/>
  <c r="N251" i="242"/>
  <c r="M251" i="242"/>
  <c r="L251" i="242"/>
  <c r="Q250" i="242"/>
  <c r="P250" i="242"/>
  <c r="O250" i="242"/>
  <c r="N250" i="242"/>
  <c r="M250" i="242"/>
  <c r="L250" i="242"/>
  <c r="Q249" i="242"/>
  <c r="P249" i="242"/>
  <c r="O249" i="242"/>
  <c r="N249" i="242"/>
  <c r="M249" i="242"/>
  <c r="L249" i="242"/>
  <c r="Q248" i="242"/>
  <c r="P248" i="242"/>
  <c r="O248" i="242"/>
  <c r="N248" i="242"/>
  <c r="M248" i="242"/>
  <c r="L248" i="242"/>
  <c r="Q245" i="242"/>
  <c r="P245" i="242"/>
  <c r="O245" i="242"/>
  <c r="N245" i="242"/>
  <c r="M245" i="242"/>
  <c r="L245" i="242"/>
  <c r="Q244" i="242"/>
  <c r="P244" i="242"/>
  <c r="O244" i="242"/>
  <c r="N244" i="242"/>
  <c r="M244" i="242"/>
  <c r="L244" i="242"/>
  <c r="Q243" i="242"/>
  <c r="P243" i="242"/>
  <c r="O243" i="242"/>
  <c r="N243" i="242"/>
  <c r="M243" i="242"/>
  <c r="L243" i="242"/>
  <c r="Q242" i="242"/>
  <c r="P242" i="242"/>
  <c r="O242" i="242"/>
  <c r="N242" i="242"/>
  <c r="M242" i="242"/>
  <c r="L242" i="242"/>
  <c r="Q241" i="242"/>
  <c r="P241" i="242"/>
  <c r="O241" i="242"/>
  <c r="N241" i="242"/>
  <c r="M241" i="242"/>
  <c r="L241" i="242"/>
  <c r="Q240" i="242"/>
  <c r="P240" i="242"/>
  <c r="O240" i="242"/>
  <c r="N240" i="242"/>
  <c r="M240" i="242"/>
  <c r="L240" i="242"/>
  <c r="N236" i="242"/>
  <c r="M236" i="242"/>
  <c r="L236" i="242"/>
  <c r="Q235" i="242"/>
  <c r="P235" i="242"/>
  <c r="O235" i="242"/>
  <c r="N235" i="242"/>
  <c r="M235" i="242"/>
  <c r="L235" i="242"/>
  <c r="Q233" i="242"/>
  <c r="P233" i="242"/>
  <c r="O233" i="242"/>
  <c r="N233" i="242"/>
  <c r="M233" i="242"/>
  <c r="L233" i="242"/>
  <c r="Q232" i="242"/>
  <c r="P232" i="242"/>
  <c r="O232" i="242"/>
  <c r="N232" i="242"/>
  <c r="M232" i="242"/>
  <c r="L232" i="242"/>
  <c r="BH134" i="230" l="1"/>
  <c r="BG134" i="230"/>
  <c r="BE134" i="230"/>
  <c r="BD134" i="230"/>
  <c r="BC134" i="230"/>
  <c r="BB134" i="230"/>
  <c r="BA134" i="230"/>
  <c r="BI134" i="230" s="1"/>
  <c r="AZ134" i="230"/>
  <c r="BH133" i="230"/>
  <c r="BG133" i="230"/>
  <c r="BE133" i="230"/>
  <c r="BD133" i="230"/>
  <c r="BC133" i="230"/>
  <c r="BB133" i="230"/>
  <c r="BA133" i="230"/>
  <c r="BI133" i="230" s="1"/>
  <c r="AZ133" i="230"/>
  <c r="BH132" i="230"/>
  <c r="BG132" i="230"/>
  <c r="BE132" i="230"/>
  <c r="BD132" i="230"/>
  <c r="BC132" i="230"/>
  <c r="BB132" i="230"/>
  <c r="BA132" i="230"/>
  <c r="BI132" i="230" s="1"/>
  <c r="AZ132" i="230"/>
  <c r="BH131" i="230"/>
  <c r="BG131" i="230"/>
  <c r="BE131" i="230"/>
  <c r="BD131" i="230"/>
  <c r="BC131" i="230"/>
  <c r="BB131" i="230"/>
  <c r="BA131" i="230"/>
  <c r="BI131" i="230" s="1"/>
  <c r="AZ131" i="230"/>
  <c r="BH130" i="230"/>
  <c r="BG130" i="230"/>
  <c r="BE130" i="230"/>
  <c r="BD130" i="230"/>
  <c r="BC130" i="230"/>
  <c r="BB130" i="230"/>
  <c r="BA130" i="230"/>
  <c r="BI130" i="230" s="1"/>
  <c r="AZ130" i="230"/>
  <c r="BH129" i="230"/>
  <c r="BG129" i="230"/>
  <c r="BE129" i="230"/>
  <c r="BD129" i="230"/>
  <c r="BC129" i="230"/>
  <c r="BB129" i="230"/>
  <c r="BA129" i="230"/>
  <c r="BI129" i="230" s="1"/>
  <c r="AZ129" i="230"/>
  <c r="BH128" i="230"/>
  <c r="BG128" i="230"/>
  <c r="BE128" i="230"/>
  <c r="BD128" i="230"/>
  <c r="BC128" i="230"/>
  <c r="BB128" i="230"/>
  <c r="BA128" i="230"/>
  <c r="BI128" i="230" s="1"/>
  <c r="AZ128" i="230"/>
  <c r="BH127" i="230"/>
  <c r="BG127" i="230"/>
  <c r="BE127" i="230"/>
  <c r="BD127" i="230"/>
  <c r="BC127" i="230"/>
  <c r="BB127" i="230"/>
  <c r="BA127" i="230"/>
  <c r="BI127" i="230" s="1"/>
  <c r="AZ127" i="230"/>
  <c r="BH126" i="230"/>
  <c r="BG126" i="230"/>
  <c r="BE126" i="230"/>
  <c r="BD126" i="230"/>
  <c r="BC126" i="230"/>
  <c r="BB126" i="230"/>
  <c r="BA126" i="230"/>
  <c r="BI126" i="230" s="1"/>
  <c r="AZ126" i="230"/>
  <c r="BH125" i="230"/>
  <c r="BG125" i="230"/>
  <c r="BE125" i="230"/>
  <c r="BD125" i="230"/>
  <c r="BC125" i="230"/>
  <c r="BB125" i="230"/>
  <c r="BA125" i="230"/>
  <c r="BI125" i="230" s="1"/>
  <c r="AZ125" i="230"/>
  <c r="BH124" i="230"/>
  <c r="BG124" i="230"/>
  <c r="BE124" i="230"/>
  <c r="BD124" i="230"/>
  <c r="BC124" i="230"/>
  <c r="BB124" i="230"/>
  <c r="BA124" i="230"/>
  <c r="BI124" i="230" s="1"/>
  <c r="AZ124" i="230"/>
  <c r="BH123" i="230"/>
  <c r="BG123" i="230"/>
  <c r="BE123" i="230"/>
  <c r="BD123" i="230"/>
  <c r="BC123" i="230"/>
  <c r="BA123" i="230"/>
  <c r="BI123" i="230" s="1"/>
  <c r="AZ123" i="230"/>
  <c r="BH122" i="230"/>
  <c r="BG122" i="230"/>
  <c r="BE122" i="230"/>
  <c r="BD122" i="230"/>
  <c r="BC122" i="230"/>
  <c r="BA122" i="230"/>
  <c r="BI122" i="230" s="1"/>
  <c r="AZ122" i="230"/>
  <c r="BH121" i="230"/>
  <c r="BG121" i="230"/>
  <c r="BE121" i="230"/>
  <c r="BD121" i="230"/>
  <c r="BC121" i="230"/>
  <c r="BA121" i="230"/>
  <c r="BI121" i="230" s="1"/>
  <c r="AZ121" i="230"/>
  <c r="BH120" i="230"/>
  <c r="BG120" i="230"/>
  <c r="BE120" i="230"/>
  <c r="BD120" i="230"/>
  <c r="BC120" i="230"/>
  <c r="BA120" i="230"/>
  <c r="BI120" i="230" s="1"/>
  <c r="AZ120" i="230"/>
  <c r="BH119" i="230"/>
  <c r="BG119" i="230"/>
  <c r="BE119" i="230"/>
  <c r="BD119" i="230"/>
  <c r="BC119" i="230"/>
  <c r="BA119" i="230"/>
  <c r="BI119" i="230" s="1"/>
  <c r="AZ119" i="230"/>
  <c r="BJ119" i="230" s="1"/>
  <c r="BH118" i="230"/>
  <c r="BG118" i="230"/>
  <c r="BE118" i="230"/>
  <c r="BD118" i="230"/>
  <c r="BC118" i="230"/>
  <c r="BA118" i="230"/>
  <c r="BI118" i="230" s="1"/>
  <c r="AZ118" i="230"/>
  <c r="BJ118" i="230" s="1"/>
  <c r="BH117" i="230"/>
  <c r="BG117" i="230"/>
  <c r="BE117" i="230"/>
  <c r="BD117" i="230"/>
  <c r="BC117" i="230"/>
  <c r="BA117" i="230"/>
  <c r="BI117" i="230" s="1"/>
  <c r="AZ117" i="230"/>
  <c r="BJ117" i="230" s="1"/>
  <c r="BH116" i="230"/>
  <c r="BG116" i="230"/>
  <c r="BE116" i="230"/>
  <c r="BD116" i="230"/>
  <c r="BC116" i="230"/>
  <c r="BA116" i="230"/>
  <c r="BI116" i="230" s="1"/>
  <c r="AZ116" i="230"/>
  <c r="BJ116" i="230" s="1"/>
  <c r="BH115" i="230"/>
  <c r="BG115" i="230"/>
  <c r="BE115" i="230"/>
  <c r="BD115" i="230"/>
  <c r="BC115" i="230"/>
  <c r="BA115" i="230"/>
  <c r="BI115" i="230" s="1"/>
  <c r="AZ115" i="230"/>
  <c r="BJ115" i="230" s="1"/>
  <c r="BH114" i="230"/>
  <c r="BG114" i="230"/>
  <c r="BE114" i="230"/>
  <c r="BD114" i="230"/>
  <c r="BC114" i="230"/>
  <c r="BA114" i="230"/>
  <c r="BI114" i="230" s="1"/>
  <c r="AZ114" i="230"/>
  <c r="BJ114" i="230" s="1"/>
  <c r="BH113" i="230"/>
  <c r="BG113" i="230"/>
  <c r="BE113" i="230"/>
  <c r="BD113" i="230"/>
  <c r="BC113" i="230"/>
  <c r="BA113" i="230"/>
  <c r="BI113" i="230" s="1"/>
  <c r="AZ113" i="230"/>
  <c r="BJ113" i="230" s="1"/>
  <c r="BH112" i="230"/>
  <c r="BG112" i="230"/>
  <c r="BE112" i="230"/>
  <c r="BD112" i="230"/>
  <c r="BC112" i="230"/>
  <c r="BA112" i="230"/>
  <c r="BI112" i="230" s="1"/>
  <c r="AZ112" i="230"/>
  <c r="BJ112" i="230" s="1"/>
  <c r="BH111" i="230"/>
  <c r="BG111" i="230"/>
  <c r="BE111" i="230"/>
  <c r="BD111" i="230"/>
  <c r="BC111" i="230"/>
  <c r="BA111" i="230"/>
  <c r="BI111" i="230" s="1"/>
  <c r="AZ111" i="230"/>
  <c r="BJ111" i="230" s="1"/>
  <c r="BH110" i="230"/>
  <c r="BG110" i="230"/>
  <c r="BE110" i="230"/>
  <c r="BD110" i="230"/>
  <c r="BC110" i="230"/>
  <c r="BA110" i="230"/>
  <c r="BI110" i="230" s="1"/>
  <c r="AZ110" i="230"/>
  <c r="BJ110" i="230" s="1"/>
  <c r="BH109" i="230"/>
  <c r="BG109" i="230"/>
  <c r="BE109" i="230"/>
  <c r="BD109" i="230"/>
  <c r="BC109" i="230"/>
  <c r="BA109" i="230"/>
  <c r="BI109" i="230" s="1"/>
  <c r="AZ109" i="230"/>
  <c r="BJ109" i="230" s="1"/>
  <c r="BH108" i="230"/>
  <c r="BG108" i="230"/>
  <c r="BE108" i="230"/>
  <c r="BD108" i="230"/>
  <c r="BC108" i="230"/>
  <c r="BA108" i="230"/>
  <c r="BI108" i="230" s="1"/>
  <c r="AZ108" i="230"/>
  <c r="BJ108" i="230" s="1"/>
  <c r="BH107" i="230"/>
  <c r="BG107" i="230"/>
  <c r="BE107" i="230"/>
  <c r="BD107" i="230"/>
  <c r="BC107" i="230"/>
  <c r="BA107" i="230"/>
  <c r="BI107" i="230" s="1"/>
  <c r="AZ107" i="230"/>
  <c r="BJ107" i="230" s="1"/>
  <c r="BH106" i="230"/>
  <c r="BG106" i="230"/>
  <c r="BE106" i="230"/>
  <c r="BD106" i="230"/>
  <c r="BC106" i="230"/>
  <c r="BA106" i="230"/>
  <c r="BI106" i="230" s="1"/>
  <c r="AZ106" i="230"/>
  <c r="BJ106" i="230" s="1"/>
  <c r="BH105" i="230"/>
  <c r="BG105" i="230"/>
  <c r="BE105" i="230"/>
  <c r="BD105" i="230"/>
  <c r="BC105" i="230"/>
  <c r="BA105" i="230"/>
  <c r="BI105" i="230" s="1"/>
  <c r="AZ105" i="230"/>
  <c r="BJ105" i="230" s="1"/>
  <c r="BH104" i="230"/>
  <c r="BG104" i="230"/>
  <c r="BE104" i="230"/>
  <c r="BD104" i="230"/>
  <c r="BC104" i="230"/>
  <c r="BA104" i="230"/>
  <c r="BI104" i="230" s="1"/>
  <c r="AZ104" i="230"/>
  <c r="BJ104" i="230" s="1"/>
  <c r="BH103" i="230"/>
  <c r="BG103" i="230"/>
  <c r="BE103" i="230"/>
  <c r="BD103" i="230"/>
  <c r="BC103" i="230"/>
  <c r="BA103" i="230"/>
  <c r="BI103" i="230" s="1"/>
  <c r="AZ103" i="230"/>
  <c r="BJ103" i="230" s="1"/>
  <c r="BH102" i="230"/>
  <c r="BG102" i="230"/>
  <c r="BE102" i="230"/>
  <c r="BD102" i="230"/>
  <c r="BC102" i="230"/>
  <c r="BA102" i="230"/>
  <c r="BI102" i="230" s="1"/>
  <c r="AZ102" i="230"/>
  <c r="BJ102" i="230" s="1"/>
  <c r="BH101" i="230"/>
  <c r="BG101" i="230"/>
  <c r="BE101" i="230"/>
  <c r="BD101" i="230"/>
  <c r="BC101" i="230"/>
  <c r="BA101" i="230"/>
  <c r="BI101" i="230" s="1"/>
  <c r="AZ101" i="230"/>
  <c r="BJ101" i="230" s="1"/>
  <c r="BH100" i="230"/>
  <c r="BG100" i="230"/>
  <c r="BE100" i="230"/>
  <c r="BD100" i="230"/>
  <c r="BC100" i="230"/>
  <c r="BA100" i="230"/>
  <c r="BI100" i="230" s="1"/>
  <c r="AZ100" i="230"/>
  <c r="BJ100" i="230" s="1"/>
  <c r="BH99" i="230"/>
  <c r="BG99" i="230"/>
  <c r="BE99" i="230"/>
  <c r="BD99" i="230"/>
  <c r="BC99" i="230"/>
  <c r="BA99" i="230"/>
  <c r="BI99" i="230" s="1"/>
  <c r="AZ99" i="230"/>
  <c r="BJ99" i="230" s="1"/>
  <c r="BH98" i="230"/>
  <c r="BG98" i="230"/>
  <c r="BE98" i="230"/>
  <c r="BD98" i="230"/>
  <c r="BC98" i="230"/>
  <c r="BA98" i="230"/>
  <c r="BI98" i="230" s="1"/>
  <c r="AZ98" i="230"/>
  <c r="BJ98" i="230" s="1"/>
  <c r="BH97" i="230"/>
  <c r="BG97" i="230"/>
  <c r="BE97" i="230"/>
  <c r="BD97" i="230"/>
  <c r="BC97" i="230"/>
  <c r="BA97" i="230"/>
  <c r="BI97" i="230" s="1"/>
  <c r="AZ97" i="230"/>
  <c r="BJ97" i="230" s="1"/>
  <c r="BH96" i="230"/>
  <c r="BG96" i="230"/>
  <c r="BE96" i="230"/>
  <c r="BD96" i="230"/>
  <c r="BC96" i="230"/>
  <c r="BA96" i="230"/>
  <c r="BI96" i="230" s="1"/>
  <c r="AZ96" i="230"/>
  <c r="BJ96" i="230" s="1"/>
  <c r="BH95" i="230"/>
  <c r="BG95" i="230"/>
  <c r="BE95" i="230"/>
  <c r="BD95" i="230"/>
  <c r="BC95" i="230"/>
  <c r="BA95" i="230"/>
  <c r="BI95" i="230" s="1"/>
  <c r="AZ95" i="230"/>
  <c r="BJ95" i="230" s="1"/>
  <c r="BH94" i="230"/>
  <c r="BG94" i="230"/>
  <c r="BE94" i="230"/>
  <c r="BD94" i="230"/>
  <c r="BC94" i="230"/>
  <c r="BA94" i="230"/>
  <c r="BI94" i="230" s="1"/>
  <c r="AZ94" i="230"/>
  <c r="BJ94" i="230" s="1"/>
  <c r="BH93" i="230"/>
  <c r="BG93" i="230"/>
  <c r="BE93" i="230"/>
  <c r="BD93" i="230"/>
  <c r="BC93" i="230"/>
  <c r="BA93" i="230"/>
  <c r="BI93" i="230" s="1"/>
  <c r="AZ93" i="230"/>
  <c r="BJ93" i="230" s="1"/>
  <c r="BH92" i="230"/>
  <c r="BG92" i="230"/>
  <c r="BE92" i="230"/>
  <c r="BD92" i="230"/>
  <c r="BC92" i="230"/>
  <c r="BA92" i="230"/>
  <c r="BI92" i="230" s="1"/>
  <c r="AZ92" i="230"/>
  <c r="BJ92" i="230" s="1"/>
  <c r="BH91" i="230"/>
  <c r="BG91" i="230"/>
  <c r="BE91" i="230"/>
  <c r="BD91" i="230"/>
  <c r="BC91" i="230"/>
  <c r="BA91" i="230"/>
  <c r="BI91" i="230" s="1"/>
  <c r="AZ91" i="230"/>
  <c r="BJ91" i="230" s="1"/>
  <c r="BH90" i="230"/>
  <c r="BG90" i="230"/>
  <c r="BE90" i="230"/>
  <c r="BD90" i="230"/>
  <c r="BC90" i="230"/>
  <c r="BA90" i="230"/>
  <c r="BI90" i="230" s="1"/>
  <c r="AZ90" i="230"/>
  <c r="BJ90" i="230" s="1"/>
  <c r="BH89" i="230"/>
  <c r="BG89" i="230"/>
  <c r="BE89" i="230"/>
  <c r="BD89" i="230"/>
  <c r="BC89" i="230"/>
  <c r="BA89" i="230"/>
  <c r="BI89" i="230" s="1"/>
  <c r="AZ89" i="230"/>
  <c r="BJ89" i="230" s="1"/>
  <c r="BH88" i="230"/>
  <c r="BG88" i="230"/>
  <c r="BE88" i="230"/>
  <c r="BD88" i="230"/>
  <c r="BC88" i="230"/>
  <c r="BA88" i="230"/>
  <c r="BI88" i="230" s="1"/>
  <c r="AZ88" i="230"/>
  <c r="BJ88" i="230" s="1"/>
  <c r="BH87" i="230"/>
  <c r="BG87" i="230"/>
  <c r="BE87" i="230"/>
  <c r="BD87" i="230"/>
  <c r="BC87" i="230"/>
  <c r="BA87" i="230"/>
  <c r="BI87" i="230" s="1"/>
  <c r="AZ87" i="230"/>
  <c r="BJ87" i="230" s="1"/>
  <c r="BH86" i="230"/>
  <c r="BG86" i="230"/>
  <c r="BE86" i="230"/>
  <c r="BD86" i="230"/>
  <c r="BC86" i="230"/>
  <c r="BA86" i="230"/>
  <c r="BI86" i="230" s="1"/>
  <c r="AZ86" i="230"/>
  <c r="BJ86" i="230" s="1"/>
  <c r="BH85" i="230"/>
  <c r="BG85" i="230"/>
  <c r="BE85" i="230"/>
  <c r="BD85" i="230"/>
  <c r="BC85" i="230"/>
  <c r="BA85" i="230"/>
  <c r="BI85" i="230" s="1"/>
  <c r="AZ85" i="230"/>
  <c r="BJ85" i="230" s="1"/>
  <c r="BH84" i="230"/>
  <c r="BG84" i="230"/>
  <c r="BE84" i="230"/>
  <c r="BD84" i="230"/>
  <c r="BC84" i="230"/>
  <c r="BA84" i="230"/>
  <c r="BI84" i="230" s="1"/>
  <c r="AZ84" i="230"/>
  <c r="BJ84" i="230" s="1"/>
  <c r="BI83" i="230"/>
  <c r="BH83" i="230"/>
  <c r="BG83" i="230"/>
  <c r="BE83" i="230"/>
  <c r="BD83" i="230"/>
  <c r="BC83" i="230"/>
  <c r="BA83" i="230"/>
  <c r="AZ83" i="230"/>
  <c r="BJ83" i="230" s="1"/>
  <c r="BH82" i="230"/>
  <c r="BG82" i="230"/>
  <c r="BE82" i="230"/>
  <c r="BD82" i="230"/>
  <c r="BC82" i="230"/>
  <c r="BA82" i="230"/>
  <c r="BI82" i="230" s="1"/>
  <c r="AZ82" i="230"/>
  <c r="BJ82" i="230" s="1"/>
  <c r="BH81" i="230"/>
  <c r="BG81" i="230"/>
  <c r="BE81" i="230"/>
  <c r="BD81" i="230"/>
  <c r="BC81" i="230"/>
  <c r="BA81" i="230"/>
  <c r="BI81" i="230" s="1"/>
  <c r="AZ81" i="230"/>
  <c r="BJ81" i="230" s="1"/>
  <c r="BH80" i="230"/>
  <c r="BG80" i="230"/>
  <c r="BE80" i="230"/>
  <c r="BD80" i="230"/>
  <c r="BC80" i="230"/>
  <c r="BA80" i="230"/>
  <c r="BI80" i="230" s="1"/>
  <c r="AZ80" i="230"/>
  <c r="BJ80" i="230" s="1"/>
  <c r="BH79" i="230"/>
  <c r="BG79" i="230"/>
  <c r="BE79" i="230"/>
  <c r="BD79" i="230"/>
  <c r="BC79" i="230"/>
  <c r="BA79" i="230"/>
  <c r="BI79" i="230" s="1"/>
  <c r="AZ79" i="230"/>
  <c r="BJ79" i="230" s="1"/>
  <c r="BH78" i="230"/>
  <c r="BG78" i="230"/>
  <c r="BE78" i="230"/>
  <c r="BD78" i="230"/>
  <c r="BC78" i="230"/>
  <c r="BA78" i="230"/>
  <c r="BI78" i="230" s="1"/>
  <c r="AZ78" i="230"/>
  <c r="BJ78" i="230" s="1"/>
  <c r="BH77" i="230"/>
  <c r="BG77" i="230"/>
  <c r="BE77" i="230"/>
  <c r="BD77" i="230"/>
  <c r="BC77" i="230"/>
  <c r="BA77" i="230"/>
  <c r="BI77" i="230" s="1"/>
  <c r="AZ77" i="230"/>
  <c r="BJ77" i="230" s="1"/>
  <c r="BH76" i="230"/>
  <c r="BG76" i="230"/>
  <c r="BE76" i="230"/>
  <c r="BD76" i="230"/>
  <c r="BC76" i="230"/>
  <c r="BA76" i="230"/>
  <c r="BI76" i="230" s="1"/>
  <c r="AZ76" i="230"/>
  <c r="BJ76" i="230" s="1"/>
  <c r="BH75" i="230"/>
  <c r="BG75" i="230"/>
  <c r="BE75" i="230"/>
  <c r="BD75" i="230"/>
  <c r="BC75" i="230"/>
  <c r="BA75" i="230"/>
  <c r="BI75" i="230" s="1"/>
  <c r="AZ75" i="230"/>
  <c r="BJ75" i="230" s="1"/>
  <c r="BH74" i="230"/>
  <c r="BG74" i="230"/>
  <c r="BE74" i="230"/>
  <c r="BD74" i="230"/>
  <c r="BC74" i="230"/>
  <c r="BA74" i="230"/>
  <c r="BI74" i="230" s="1"/>
  <c r="AZ74" i="230"/>
  <c r="BJ74" i="230" s="1"/>
  <c r="BH73" i="230"/>
  <c r="BG73" i="230"/>
  <c r="BE73" i="230"/>
  <c r="BD73" i="230"/>
  <c r="BC73" i="230"/>
  <c r="BA73" i="230"/>
  <c r="BI73" i="230" s="1"/>
  <c r="AZ73" i="230"/>
  <c r="BJ73" i="230" s="1"/>
  <c r="BH72" i="230"/>
  <c r="BG72" i="230"/>
  <c r="BE72" i="230"/>
  <c r="BD72" i="230"/>
  <c r="BC72" i="230"/>
  <c r="BA72" i="230"/>
  <c r="BI72" i="230" s="1"/>
  <c r="AZ72" i="230"/>
  <c r="BJ72" i="230" s="1"/>
  <c r="BH71" i="230"/>
  <c r="BG71" i="230"/>
  <c r="BE71" i="230"/>
  <c r="BD71" i="230"/>
  <c r="BC71" i="230"/>
  <c r="BA71" i="230"/>
  <c r="BI71" i="230" s="1"/>
  <c r="AZ71" i="230"/>
  <c r="BJ71" i="230" s="1"/>
  <c r="BH70" i="230"/>
  <c r="BG70" i="230"/>
  <c r="BE70" i="230"/>
  <c r="BD70" i="230"/>
  <c r="BC70" i="230"/>
  <c r="BA70" i="230"/>
  <c r="BI70" i="230" s="1"/>
  <c r="AZ70" i="230"/>
  <c r="BJ70" i="230" s="1"/>
  <c r="BH69" i="230"/>
  <c r="BG69" i="230"/>
  <c r="BE69" i="230"/>
  <c r="BD69" i="230"/>
  <c r="BC69" i="230"/>
  <c r="BA69" i="230"/>
  <c r="BI69" i="230" s="1"/>
  <c r="AZ69" i="230"/>
  <c r="BJ69" i="230" s="1"/>
  <c r="BH68" i="230"/>
  <c r="BG68" i="230"/>
  <c r="BE68" i="230"/>
  <c r="BD68" i="230"/>
  <c r="BC68" i="230"/>
  <c r="BA68" i="230"/>
  <c r="BI68" i="230" s="1"/>
  <c r="AZ68" i="230"/>
  <c r="BJ68" i="230" s="1"/>
  <c r="BH67" i="230"/>
  <c r="BG67" i="230"/>
  <c r="BE67" i="230"/>
  <c r="BD67" i="230"/>
  <c r="BC67" i="230"/>
  <c r="BA67" i="230"/>
  <c r="BI67" i="230" s="1"/>
  <c r="AZ67" i="230"/>
  <c r="BJ67" i="230" s="1"/>
  <c r="BH66" i="230"/>
  <c r="BG66" i="230"/>
  <c r="BD66" i="230"/>
  <c r="BC66" i="230"/>
  <c r="BA66" i="230"/>
  <c r="BI66" i="230" s="1"/>
  <c r="BH65" i="230"/>
  <c r="BG65" i="230"/>
  <c r="BD65" i="230"/>
  <c r="BC65" i="230"/>
  <c r="BA65" i="230"/>
  <c r="BI65" i="230" s="1"/>
  <c r="BC64" i="230"/>
  <c r="BA64" i="230"/>
  <c r="BI64" i="230" s="1"/>
  <c r="BC63" i="230"/>
  <c r="BA63" i="230"/>
  <c r="BI63" i="230" s="1"/>
  <c r="BC62" i="230"/>
  <c r="BA62" i="230"/>
  <c r="BI62" i="230" s="1"/>
  <c r="BC61" i="230"/>
  <c r="BA61" i="230"/>
  <c r="BI61" i="230" s="1"/>
  <c r="BC60" i="230"/>
  <c r="BA60" i="230"/>
  <c r="BI60" i="230" s="1"/>
  <c r="BC59" i="230"/>
  <c r="BA59" i="230"/>
  <c r="BI59" i="230" s="1"/>
  <c r="BC58" i="230"/>
  <c r="BA58" i="230"/>
  <c r="BI58" i="230" s="1"/>
  <c r="BC57" i="230"/>
  <c r="BA57" i="230"/>
  <c r="BI57" i="230" s="1"/>
  <c r="BC56" i="230"/>
  <c r="BA56" i="230"/>
  <c r="BI56" i="230" s="1"/>
  <c r="BC55" i="230"/>
  <c r="BA55" i="230"/>
  <c r="BI55" i="230" s="1"/>
  <c r="BC54" i="230"/>
  <c r="BA54" i="230"/>
  <c r="BI54" i="230" s="1"/>
  <c r="BC53" i="230"/>
  <c r="BA53" i="230"/>
  <c r="BI53" i="230" s="1"/>
  <c r="BC52" i="230"/>
  <c r="BA52" i="230"/>
  <c r="BI52" i="230" s="1"/>
  <c r="BC51" i="230"/>
  <c r="BA51" i="230"/>
  <c r="BI51" i="230" s="1"/>
  <c r="BC50" i="230"/>
  <c r="BA50" i="230"/>
  <c r="BI50" i="230" s="1"/>
  <c r="BC49" i="230"/>
  <c r="BA49" i="230"/>
  <c r="BI49" i="230" s="1"/>
  <c r="BC48" i="230"/>
  <c r="BA48" i="230"/>
  <c r="BI48" i="230" s="1"/>
  <c r="BC47" i="230"/>
  <c r="BA47" i="230"/>
  <c r="BI47" i="230" s="1"/>
  <c r="BC46" i="230"/>
  <c r="BA46" i="230"/>
  <c r="BI46" i="230" s="1"/>
  <c r="BC45" i="230"/>
  <c r="BA45" i="230"/>
  <c r="BI45" i="230" s="1"/>
  <c r="BC44" i="230"/>
  <c r="BA44" i="230"/>
  <c r="BI44" i="230" s="1"/>
  <c r="BC43" i="230"/>
  <c r="BA43" i="230"/>
  <c r="BI43" i="230" s="1"/>
  <c r="BC42" i="230"/>
  <c r="BA42" i="230"/>
  <c r="BI42" i="230" s="1"/>
  <c r="BC41" i="230"/>
  <c r="BA41" i="230"/>
  <c r="BI41" i="230" s="1"/>
  <c r="BC40" i="230"/>
  <c r="BA40" i="230"/>
  <c r="BI40" i="230" s="1"/>
  <c r="BC39" i="230"/>
  <c r="BA39" i="230"/>
  <c r="BI39" i="230" s="1"/>
  <c r="BC38" i="230"/>
  <c r="BA38" i="230"/>
  <c r="BI38" i="230" s="1"/>
  <c r="BC37" i="230"/>
  <c r="BA37" i="230"/>
  <c r="BI37" i="230" s="1"/>
  <c r="BC36" i="230"/>
  <c r="BA36" i="230"/>
  <c r="BI36" i="230" s="1"/>
  <c r="BC35" i="230"/>
  <c r="BA35" i="230"/>
  <c r="BI35" i="230" s="1"/>
  <c r="BC34" i="230"/>
  <c r="BA34" i="230"/>
  <c r="BI34" i="230" s="1"/>
  <c r="BC33" i="230"/>
  <c r="BA33" i="230"/>
  <c r="BI33" i="230" s="1"/>
  <c r="BC32" i="230"/>
  <c r="BA32" i="230"/>
  <c r="BI32" i="230" s="1"/>
  <c r="BC31" i="230"/>
  <c r="BA31" i="230"/>
  <c r="BI31" i="230" s="1"/>
  <c r="BC30" i="230"/>
  <c r="BA30" i="230"/>
  <c r="BI30" i="230" s="1"/>
  <c r="BC29" i="230"/>
  <c r="BA29" i="230"/>
  <c r="BI29" i="230" s="1"/>
  <c r="BC28" i="230"/>
  <c r="BA28" i="230"/>
  <c r="BI28" i="230" s="1"/>
  <c r="BC27" i="230"/>
  <c r="BA27" i="230"/>
  <c r="BI27" i="230" s="1"/>
  <c r="BC26" i="230"/>
  <c r="BA26" i="230"/>
  <c r="BI26" i="230" s="1"/>
  <c r="BC25" i="230"/>
  <c r="BA25" i="230"/>
  <c r="BI25" i="230" s="1"/>
  <c r="BC24" i="230"/>
  <c r="BA24" i="230"/>
  <c r="BI24" i="230" s="1"/>
  <c r="BC23" i="230"/>
  <c r="BA23" i="230"/>
  <c r="BI23" i="230" s="1"/>
  <c r="BC22" i="230"/>
  <c r="BA22" i="230"/>
  <c r="BI22" i="230" s="1"/>
  <c r="BC21" i="230"/>
  <c r="BA21" i="230"/>
  <c r="BI21" i="230" s="1"/>
  <c r="BC20" i="230"/>
  <c r="BA20" i="230"/>
  <c r="BI20" i="230" s="1"/>
  <c r="BC19" i="230"/>
  <c r="BA19" i="230"/>
  <c r="BI19" i="230" s="1"/>
  <c r="BC18" i="230"/>
  <c r="BA18" i="230"/>
  <c r="BI18" i="230" s="1"/>
  <c r="BC17" i="230"/>
  <c r="BA17" i="230"/>
  <c r="BI17" i="230" s="1"/>
  <c r="BC16" i="230"/>
  <c r="BA16" i="230"/>
  <c r="BI16" i="230" s="1"/>
  <c r="BC15" i="230"/>
  <c r="BA15" i="230"/>
  <c r="BI15" i="230" s="1"/>
  <c r="BC14" i="230"/>
  <c r="BA14" i="230"/>
  <c r="BC13" i="230"/>
  <c r="BA13" i="230"/>
  <c r="BC12" i="230"/>
  <c r="BA12" i="230"/>
  <c r="BC11" i="230"/>
  <c r="BA11" i="230"/>
  <c r="BC10" i="230"/>
  <c r="BA10" i="230"/>
  <c r="BC9" i="230"/>
  <c r="BA9" i="230"/>
  <c r="BI9" i="230" s="1"/>
  <c r="BC8" i="230"/>
  <c r="BA8" i="230"/>
  <c r="BK77" i="230" l="1"/>
  <c r="BK72" i="230"/>
  <c r="BK82" i="230"/>
  <c r="BK88" i="230"/>
  <c r="BK92" i="230"/>
  <c r="BK96" i="230"/>
  <c r="BK104" i="230"/>
  <c r="BK108" i="230"/>
  <c r="BK112" i="230"/>
  <c r="BK71" i="230"/>
  <c r="BK76" i="230"/>
  <c r="BK81" i="230"/>
  <c r="BK87" i="230"/>
  <c r="BK91" i="230"/>
  <c r="BK95" i="230"/>
  <c r="BK103" i="230"/>
  <c r="BK107" i="230"/>
  <c r="BK111" i="230"/>
  <c r="BK119" i="230"/>
  <c r="BK69" i="230"/>
  <c r="BK74" i="230"/>
  <c r="BK80" i="230"/>
  <c r="BK85" i="230"/>
  <c r="BK90" i="230"/>
  <c r="BK94" i="230"/>
  <c r="BK98" i="230"/>
  <c r="BK106" i="230"/>
  <c r="BK110" i="230"/>
  <c r="BK114" i="230"/>
  <c r="BK75" i="230"/>
  <c r="BK68" i="230"/>
  <c r="BK73" i="230"/>
  <c r="BK79" i="230"/>
  <c r="BK84" i="230"/>
  <c r="BK89" i="230"/>
  <c r="BK93" i="230"/>
  <c r="BK97" i="230"/>
  <c r="BK105" i="230"/>
  <c r="BK109" i="230"/>
  <c r="BK113" i="230"/>
  <c r="BK67" i="230"/>
  <c r="BK83" i="230"/>
  <c r="BK70" i="230"/>
  <c r="BK78" i="230"/>
  <c r="BK86" i="230"/>
  <c r="BK99" i="230"/>
  <c r="BK100" i="230"/>
  <c r="BK101" i="230"/>
  <c r="BK102" i="230"/>
  <c r="BK115" i="230"/>
  <c r="BK116" i="230"/>
  <c r="BK117" i="230"/>
  <c r="BK118" i="230"/>
  <c r="AM6" i="220" l="1"/>
  <c r="AM5" i="220"/>
  <c r="AM4" i="220"/>
  <c r="AH73" i="230" l="1"/>
  <c r="AH72" i="230"/>
  <c r="AH71" i="230"/>
  <c r="AH70" i="230"/>
  <c r="AH69" i="230"/>
  <c r="AH68" i="230"/>
  <c r="AH67" i="230"/>
  <c r="AH66" i="230"/>
  <c r="AA61" i="227" s="1"/>
  <c r="AH65" i="230"/>
  <c r="AA60" i="227" s="1"/>
  <c r="K3854" i="231" l="1"/>
  <c r="J3854" i="231"/>
  <c r="K3853" i="231"/>
  <c r="J3853" i="231"/>
  <c r="K3852" i="231"/>
  <c r="J3852" i="231"/>
  <c r="K3851" i="231"/>
  <c r="J3851" i="231"/>
  <c r="K3850" i="231"/>
  <c r="J3850" i="231"/>
  <c r="K3849" i="231"/>
  <c r="J3849" i="231"/>
  <c r="K3848" i="231"/>
  <c r="J3848" i="231"/>
  <c r="K3847" i="231"/>
  <c r="J3847" i="231"/>
  <c r="K3846" i="231"/>
  <c r="J3846" i="231"/>
  <c r="K3845" i="231"/>
  <c r="J3845" i="231"/>
  <c r="K3844" i="231"/>
  <c r="J3844" i="231"/>
  <c r="K3843" i="231"/>
  <c r="J3843" i="231"/>
  <c r="K3842" i="231"/>
  <c r="J3842" i="231"/>
  <c r="K3841" i="231"/>
  <c r="J3841" i="231"/>
  <c r="K3840" i="231"/>
  <c r="J3840" i="231"/>
  <c r="K3839" i="231"/>
  <c r="J3839" i="231"/>
  <c r="K3838" i="231"/>
  <c r="J3838" i="231"/>
  <c r="K3837" i="231"/>
  <c r="J3837" i="231"/>
  <c r="K3836" i="231"/>
  <c r="J3836" i="231"/>
  <c r="K3835" i="231"/>
  <c r="J3835" i="231"/>
  <c r="K3834" i="231"/>
  <c r="J3834" i="231"/>
  <c r="K3833" i="231"/>
  <c r="J3833" i="231"/>
  <c r="K3832" i="231"/>
  <c r="J3832" i="231"/>
  <c r="K3831" i="231"/>
  <c r="J3831" i="231"/>
  <c r="K3830" i="231"/>
  <c r="J3830" i="231"/>
  <c r="K3829" i="231"/>
  <c r="J3829" i="231"/>
  <c r="K3828" i="231"/>
  <c r="J3828" i="231"/>
  <c r="K3827" i="231"/>
  <c r="J3827" i="231"/>
  <c r="K3826" i="231"/>
  <c r="J3826" i="231"/>
  <c r="K3825" i="231"/>
  <c r="J3825" i="231"/>
  <c r="K3824" i="231"/>
  <c r="J3824" i="231"/>
  <c r="K3823" i="231"/>
  <c r="J3823" i="231"/>
  <c r="K3822" i="231"/>
  <c r="J3822" i="231"/>
  <c r="K3821" i="231"/>
  <c r="J3821" i="231"/>
  <c r="K3820" i="231"/>
  <c r="J3820" i="231"/>
  <c r="K3819" i="231"/>
  <c r="J3819" i="231"/>
  <c r="K3818" i="231"/>
  <c r="J3818" i="231"/>
  <c r="K3817" i="231"/>
  <c r="J3817" i="231"/>
  <c r="K3816" i="231"/>
  <c r="J3816" i="231"/>
  <c r="K3815" i="231"/>
  <c r="J3815" i="231"/>
  <c r="K3814" i="231"/>
  <c r="J3814" i="231"/>
  <c r="K3813" i="231"/>
  <c r="J3813" i="231"/>
  <c r="K3812" i="231"/>
  <c r="J3812" i="231"/>
  <c r="K3811" i="231"/>
  <c r="J3811" i="231"/>
  <c r="K3810" i="231"/>
  <c r="J3810" i="231"/>
  <c r="K3809" i="231"/>
  <c r="J3809" i="231"/>
  <c r="K3808" i="231"/>
  <c r="J3808" i="231"/>
  <c r="K3807" i="231"/>
  <c r="J3807" i="231"/>
  <c r="K3806" i="231"/>
  <c r="J3806" i="231"/>
  <c r="K3805" i="231"/>
  <c r="J3805" i="231"/>
  <c r="K3804" i="231"/>
  <c r="J3804" i="231"/>
  <c r="K3803" i="231"/>
  <c r="J3803" i="231"/>
  <c r="K3802" i="231"/>
  <c r="J3802" i="231"/>
  <c r="K3801" i="231"/>
  <c r="J3801" i="231"/>
  <c r="K3800" i="231"/>
  <c r="J3800" i="231"/>
  <c r="K3799" i="231"/>
  <c r="J3799" i="231"/>
  <c r="K3798" i="231"/>
  <c r="J3798" i="231"/>
  <c r="K3797" i="231"/>
  <c r="J3797" i="231"/>
  <c r="K3796" i="231"/>
  <c r="J3796" i="231"/>
  <c r="K3795" i="231"/>
  <c r="J3795" i="231"/>
  <c r="K3794" i="231"/>
  <c r="J3794" i="231"/>
  <c r="K3793" i="231"/>
  <c r="J3793" i="231"/>
  <c r="K3792" i="231"/>
  <c r="J3792" i="231"/>
  <c r="K3791" i="231"/>
  <c r="J3791" i="231"/>
  <c r="K3790" i="231"/>
  <c r="J3790" i="231"/>
  <c r="K3789" i="231"/>
  <c r="J3789" i="231"/>
  <c r="K3788" i="231"/>
  <c r="J3788" i="231"/>
  <c r="K3787" i="231"/>
  <c r="J3787" i="231"/>
  <c r="K3786" i="231"/>
  <c r="J3786" i="231"/>
  <c r="K3785" i="231"/>
  <c r="J3785" i="231"/>
  <c r="K3784" i="231"/>
  <c r="J3784" i="231"/>
  <c r="K3783" i="231"/>
  <c r="J3783" i="231"/>
  <c r="K3782" i="231"/>
  <c r="J3782" i="231"/>
  <c r="K3781" i="231"/>
  <c r="J3781" i="231"/>
  <c r="K3780" i="231"/>
  <c r="J3780" i="231"/>
  <c r="K3779" i="231"/>
  <c r="J3779" i="231"/>
  <c r="K3778" i="231"/>
  <c r="J3778" i="231"/>
  <c r="K3777" i="231"/>
  <c r="J3777" i="231"/>
  <c r="K3776" i="231"/>
  <c r="J3776" i="231"/>
  <c r="K3775" i="231"/>
  <c r="J3775" i="231"/>
  <c r="K3774" i="231"/>
  <c r="J3774" i="231"/>
  <c r="K3773" i="231"/>
  <c r="J3773" i="231"/>
  <c r="K3772" i="231"/>
  <c r="J3772" i="231"/>
  <c r="K3771" i="231"/>
  <c r="J3771" i="231"/>
  <c r="K3770" i="231"/>
  <c r="J3770" i="231"/>
  <c r="K3769" i="231"/>
  <c r="J3769" i="231"/>
  <c r="K3768" i="231"/>
  <c r="J3768" i="231"/>
  <c r="K3767" i="231"/>
  <c r="J3767" i="231"/>
  <c r="K3766" i="231"/>
  <c r="J3766" i="231"/>
  <c r="K3765" i="231"/>
  <c r="J3765" i="231"/>
  <c r="K3764" i="231"/>
  <c r="J3764" i="231"/>
  <c r="K3763" i="231"/>
  <c r="J3763" i="231"/>
  <c r="K3762" i="231"/>
  <c r="J3762" i="231"/>
  <c r="K3761" i="231"/>
  <c r="J3761" i="231"/>
  <c r="K3760" i="231"/>
  <c r="J3760" i="231"/>
  <c r="K3759" i="231"/>
  <c r="J3759" i="231"/>
  <c r="K3758" i="231"/>
  <c r="J3758" i="231"/>
  <c r="K3757" i="231"/>
  <c r="J3757" i="231"/>
  <c r="K3756" i="231"/>
  <c r="J3756" i="231"/>
  <c r="K3755" i="231"/>
  <c r="J3755" i="231"/>
  <c r="K3754" i="231"/>
  <c r="J3754" i="231"/>
  <c r="K3753" i="231"/>
  <c r="J3753" i="231"/>
  <c r="K3752" i="231"/>
  <c r="J3752" i="231"/>
  <c r="K3751" i="231"/>
  <c r="J3751" i="231"/>
  <c r="K3750" i="231"/>
  <c r="J3750" i="231"/>
  <c r="K3749" i="231"/>
  <c r="J3749" i="231"/>
  <c r="K3748" i="231"/>
  <c r="J3748" i="231"/>
  <c r="K3747" i="231"/>
  <c r="J3747" i="231"/>
  <c r="K3746" i="231"/>
  <c r="J3746" i="231"/>
  <c r="K3745" i="231"/>
  <c r="J3745" i="231"/>
  <c r="K3744" i="231"/>
  <c r="J3744" i="231"/>
  <c r="K3743" i="231"/>
  <c r="J3743" i="231"/>
  <c r="K3742" i="231"/>
  <c r="J3742" i="231"/>
  <c r="K3741" i="231"/>
  <c r="J3741" i="231"/>
  <c r="K3740" i="231"/>
  <c r="J3740" i="231"/>
  <c r="K3739" i="231"/>
  <c r="J3739" i="231"/>
  <c r="K3738" i="231"/>
  <c r="J3738" i="231"/>
  <c r="K3737" i="231"/>
  <c r="J3737" i="231"/>
  <c r="K3736" i="231"/>
  <c r="J3736" i="231"/>
  <c r="K3735" i="231"/>
  <c r="J3735" i="231"/>
  <c r="K3734" i="231"/>
  <c r="J3734" i="231"/>
  <c r="K3733" i="231"/>
  <c r="J3733" i="231"/>
  <c r="K3732" i="231"/>
  <c r="J3732" i="231"/>
  <c r="K3731" i="231"/>
  <c r="J3731" i="231"/>
  <c r="K3730" i="231"/>
  <c r="J3730" i="231"/>
  <c r="K3729" i="231"/>
  <c r="J3729" i="231"/>
  <c r="K3728" i="231"/>
  <c r="J3728" i="231"/>
  <c r="K3727" i="231"/>
  <c r="J3727" i="231"/>
  <c r="K3726" i="231"/>
  <c r="J3726" i="231"/>
  <c r="K3725" i="231"/>
  <c r="J3725" i="231"/>
  <c r="K3724" i="231"/>
  <c r="J3724" i="231"/>
  <c r="K3723" i="231"/>
  <c r="J3723" i="231"/>
  <c r="K3722" i="231"/>
  <c r="J3722" i="231"/>
  <c r="K3721" i="231"/>
  <c r="J3721" i="231"/>
  <c r="K3720" i="231"/>
  <c r="J3720" i="231"/>
  <c r="K3719" i="231"/>
  <c r="J3719" i="231"/>
  <c r="K3718" i="231"/>
  <c r="J3718" i="231"/>
  <c r="K3717" i="231"/>
  <c r="J3717" i="231"/>
  <c r="K3716" i="231"/>
  <c r="J3716" i="231"/>
  <c r="K3715" i="231"/>
  <c r="J3715" i="231"/>
  <c r="K3714" i="231"/>
  <c r="J3714" i="231"/>
  <c r="K3713" i="231"/>
  <c r="J3713" i="231"/>
  <c r="K3712" i="231"/>
  <c r="J3712" i="231"/>
  <c r="K3711" i="231"/>
  <c r="J3711" i="231"/>
  <c r="K3710" i="231"/>
  <c r="J3710" i="231"/>
  <c r="K3709" i="231"/>
  <c r="J3709" i="231"/>
  <c r="K3708" i="231"/>
  <c r="J3708" i="231"/>
  <c r="K3707" i="231"/>
  <c r="J3707" i="231"/>
  <c r="K3706" i="231"/>
  <c r="J3706" i="231"/>
  <c r="K3705" i="231"/>
  <c r="J3705" i="231"/>
  <c r="K3704" i="231"/>
  <c r="J3704" i="231"/>
  <c r="K3703" i="231"/>
  <c r="J3703" i="231"/>
  <c r="K3702" i="231"/>
  <c r="J3702" i="231"/>
  <c r="K3701" i="231"/>
  <c r="J3701" i="231"/>
  <c r="K3700" i="231"/>
  <c r="J3700" i="231"/>
  <c r="K3699" i="231"/>
  <c r="J3699" i="231"/>
  <c r="K3698" i="231"/>
  <c r="J3698" i="231"/>
  <c r="K3697" i="231"/>
  <c r="J3697" i="231"/>
  <c r="K3696" i="231"/>
  <c r="J3696" i="231"/>
  <c r="K3695" i="231"/>
  <c r="J3695" i="231"/>
  <c r="K3694" i="231"/>
  <c r="J3694" i="231"/>
  <c r="K3693" i="231"/>
  <c r="J3693" i="231"/>
  <c r="K3692" i="231"/>
  <c r="J3692" i="231"/>
  <c r="K3691" i="231"/>
  <c r="J3691" i="231"/>
  <c r="K3690" i="231"/>
  <c r="J3690" i="231"/>
  <c r="K3689" i="231"/>
  <c r="J3689" i="231"/>
  <c r="K3688" i="231"/>
  <c r="J3688" i="231"/>
  <c r="K3687" i="231"/>
  <c r="J3687" i="231"/>
  <c r="K3686" i="231"/>
  <c r="J3686" i="231"/>
  <c r="K3685" i="231"/>
  <c r="J3685" i="231"/>
  <c r="K3684" i="231"/>
  <c r="J3684" i="231"/>
  <c r="K3683" i="231"/>
  <c r="J3683" i="231"/>
  <c r="K3682" i="231"/>
  <c r="J3682" i="231"/>
  <c r="K3681" i="231"/>
  <c r="J3681" i="231"/>
  <c r="K3680" i="231"/>
  <c r="J3680" i="231"/>
  <c r="K3679" i="231"/>
  <c r="J3679" i="231"/>
  <c r="K3678" i="231"/>
  <c r="J3678" i="231"/>
  <c r="K3677" i="231"/>
  <c r="J3677" i="231"/>
  <c r="K3676" i="231"/>
  <c r="J3676" i="231"/>
  <c r="K3675" i="231"/>
  <c r="J3675" i="231"/>
  <c r="K3674" i="231"/>
  <c r="J3674" i="231"/>
  <c r="K3673" i="231"/>
  <c r="J3673" i="231"/>
  <c r="K3672" i="231"/>
  <c r="J3672" i="231"/>
  <c r="K3671" i="231"/>
  <c r="J3671" i="231"/>
  <c r="K3670" i="231"/>
  <c r="J3670" i="231"/>
  <c r="K3669" i="231"/>
  <c r="J3669" i="231"/>
  <c r="K3668" i="231"/>
  <c r="J3668" i="231"/>
  <c r="K3667" i="231"/>
  <c r="J3667" i="231"/>
  <c r="K3666" i="231"/>
  <c r="J3666" i="231"/>
  <c r="K3665" i="231"/>
  <c r="J3665" i="231"/>
  <c r="K3664" i="231"/>
  <c r="J3664" i="231"/>
  <c r="K3663" i="231"/>
  <c r="J3663" i="231"/>
  <c r="K3662" i="231"/>
  <c r="J3662" i="231"/>
  <c r="K3661" i="231"/>
  <c r="J3661" i="231"/>
  <c r="K3660" i="231"/>
  <c r="J3660" i="231"/>
  <c r="K3659" i="231"/>
  <c r="J3659" i="231"/>
  <c r="K3658" i="231"/>
  <c r="J3658" i="231"/>
  <c r="K3657" i="231"/>
  <c r="J3657" i="231"/>
  <c r="K3656" i="231"/>
  <c r="J3656" i="231"/>
  <c r="K3655" i="231"/>
  <c r="J3655" i="231"/>
  <c r="K3654" i="231"/>
  <c r="J3654" i="231"/>
  <c r="K3653" i="231"/>
  <c r="J3653" i="231"/>
  <c r="K3652" i="231"/>
  <c r="J3652" i="231"/>
  <c r="K3651" i="231"/>
  <c r="J3651" i="231"/>
  <c r="K3650" i="231"/>
  <c r="J3650" i="231"/>
  <c r="K3649" i="231"/>
  <c r="J3649" i="231"/>
  <c r="K3648" i="231"/>
  <c r="J3648" i="231"/>
  <c r="K3647" i="231"/>
  <c r="J3647" i="231"/>
  <c r="K3646" i="231"/>
  <c r="J3646" i="231"/>
  <c r="K3645" i="231"/>
  <c r="J3645" i="231"/>
  <c r="K3644" i="231"/>
  <c r="J3644" i="231"/>
  <c r="K3643" i="231"/>
  <c r="J3643" i="231"/>
  <c r="K3642" i="231"/>
  <c r="J3642" i="231"/>
  <c r="K3641" i="231"/>
  <c r="J3641" i="231"/>
  <c r="K3640" i="231"/>
  <c r="J3640" i="231"/>
  <c r="K3639" i="231"/>
  <c r="J3639" i="231"/>
  <c r="K3638" i="231"/>
  <c r="J3638" i="231"/>
  <c r="K3637" i="231"/>
  <c r="J3637" i="231"/>
  <c r="K3636" i="231"/>
  <c r="J3636" i="231"/>
  <c r="K3635" i="231"/>
  <c r="J3635" i="231"/>
  <c r="K3634" i="231"/>
  <c r="J3634" i="231"/>
  <c r="K3633" i="231"/>
  <c r="J3633" i="231"/>
  <c r="K3632" i="231"/>
  <c r="J3632" i="231"/>
  <c r="K3631" i="231"/>
  <c r="J3631" i="231"/>
  <c r="K3630" i="231"/>
  <c r="J3630" i="231"/>
  <c r="K3629" i="231"/>
  <c r="J3629" i="231"/>
  <c r="K3628" i="231"/>
  <c r="J3628" i="231"/>
  <c r="K3627" i="231"/>
  <c r="J3627" i="231"/>
  <c r="K3626" i="231"/>
  <c r="J3626" i="231"/>
  <c r="K3625" i="231"/>
  <c r="J3625" i="231"/>
  <c r="K3624" i="231"/>
  <c r="J3624" i="231"/>
  <c r="K3623" i="231"/>
  <c r="J3623" i="231"/>
  <c r="K3622" i="231"/>
  <c r="J3622" i="231"/>
  <c r="K3621" i="231"/>
  <c r="J3621" i="231"/>
  <c r="K3620" i="231"/>
  <c r="J3620" i="231"/>
  <c r="K3619" i="231"/>
  <c r="J3619" i="231"/>
  <c r="K3618" i="231"/>
  <c r="J3618" i="231"/>
  <c r="K3617" i="231"/>
  <c r="J3617" i="231"/>
  <c r="K3616" i="231"/>
  <c r="J3616" i="231"/>
  <c r="K3615" i="231"/>
  <c r="J3615" i="231"/>
  <c r="K3614" i="231"/>
  <c r="J3614" i="231"/>
  <c r="K3613" i="231"/>
  <c r="J3613" i="231"/>
  <c r="K3612" i="231"/>
  <c r="J3612" i="231"/>
  <c r="K3611" i="231"/>
  <c r="J3611" i="231"/>
  <c r="K3610" i="231"/>
  <c r="J3610" i="231"/>
  <c r="K3609" i="231"/>
  <c r="J3609" i="231"/>
  <c r="K3608" i="231"/>
  <c r="J3608" i="231"/>
  <c r="K3607" i="231"/>
  <c r="J3607" i="231"/>
  <c r="K3606" i="231"/>
  <c r="J3606" i="231"/>
  <c r="K3605" i="231"/>
  <c r="J3605" i="231"/>
  <c r="K3604" i="231"/>
  <c r="J3604" i="231"/>
  <c r="K3603" i="231"/>
  <c r="J3603" i="231"/>
  <c r="K3602" i="231"/>
  <c r="J3602" i="231"/>
  <c r="K3601" i="231"/>
  <c r="J3601" i="231"/>
  <c r="K3600" i="231"/>
  <c r="J3600" i="231"/>
  <c r="K3599" i="231"/>
  <c r="J3599" i="231"/>
  <c r="K3598" i="231"/>
  <c r="J3598" i="231"/>
  <c r="K3597" i="231"/>
  <c r="J3597" i="231"/>
  <c r="K3596" i="231"/>
  <c r="J3596" i="231"/>
  <c r="K3595" i="231"/>
  <c r="J3595" i="231"/>
  <c r="K3594" i="231"/>
  <c r="J3594" i="231"/>
  <c r="K3593" i="231"/>
  <c r="J3593" i="231"/>
  <c r="K3592" i="231"/>
  <c r="J3592" i="231"/>
  <c r="K3591" i="231"/>
  <c r="J3591" i="231"/>
  <c r="K3590" i="231"/>
  <c r="J3590" i="231"/>
  <c r="K3589" i="231"/>
  <c r="J3589" i="231"/>
  <c r="K3588" i="231"/>
  <c r="J3588" i="231"/>
  <c r="K3587" i="231"/>
  <c r="J3587" i="231"/>
  <c r="K3586" i="231"/>
  <c r="J3586" i="231"/>
  <c r="K3585" i="231"/>
  <c r="J3585" i="231"/>
  <c r="K3584" i="231"/>
  <c r="J3584" i="231"/>
  <c r="K3583" i="231"/>
  <c r="J3583" i="231"/>
  <c r="K3582" i="231"/>
  <c r="J3582" i="231"/>
  <c r="K3581" i="231"/>
  <c r="J3581" i="231"/>
  <c r="K3580" i="231"/>
  <c r="J3580" i="231"/>
  <c r="K3579" i="231"/>
  <c r="J3579" i="231"/>
  <c r="K3578" i="231"/>
  <c r="J3578" i="231"/>
  <c r="K3577" i="231"/>
  <c r="J3577" i="231"/>
  <c r="K3576" i="231"/>
  <c r="J3576" i="231"/>
  <c r="K3575" i="231"/>
  <c r="J3575" i="231"/>
  <c r="K3574" i="231"/>
  <c r="J3574" i="231"/>
  <c r="K3573" i="231"/>
  <c r="J3573" i="231"/>
  <c r="K3572" i="231"/>
  <c r="J3572" i="231"/>
  <c r="K3571" i="231"/>
  <c r="J3571" i="231"/>
  <c r="K3570" i="231"/>
  <c r="J3570" i="231"/>
  <c r="K3569" i="231"/>
  <c r="J3569" i="231"/>
  <c r="K3568" i="231"/>
  <c r="J3568" i="231"/>
  <c r="K3567" i="231"/>
  <c r="J3567" i="231"/>
  <c r="K3566" i="231"/>
  <c r="J3566" i="231"/>
  <c r="K3565" i="231"/>
  <c r="J3565" i="231"/>
  <c r="K3564" i="231"/>
  <c r="J3564" i="231"/>
  <c r="K3563" i="231"/>
  <c r="J3563" i="231"/>
  <c r="K3562" i="231"/>
  <c r="J3562" i="231"/>
  <c r="K3561" i="231"/>
  <c r="J3561" i="231"/>
  <c r="K3560" i="231"/>
  <c r="J3560" i="231"/>
  <c r="K3559" i="231"/>
  <c r="J3559" i="231"/>
  <c r="K3558" i="231"/>
  <c r="J3558" i="231"/>
  <c r="K3557" i="231"/>
  <c r="J3557" i="231"/>
  <c r="K3556" i="231"/>
  <c r="J3556" i="231"/>
  <c r="K3555" i="231"/>
  <c r="J3555" i="231"/>
  <c r="K3554" i="231"/>
  <c r="J3554" i="231"/>
  <c r="K3553" i="231"/>
  <c r="J3553" i="231"/>
  <c r="K3552" i="231"/>
  <c r="J3552" i="231"/>
  <c r="K3551" i="231"/>
  <c r="J3551" i="231"/>
  <c r="K3550" i="231"/>
  <c r="J3550" i="231"/>
  <c r="K3549" i="231"/>
  <c r="J3549" i="231"/>
  <c r="K3548" i="231"/>
  <c r="J3548" i="231"/>
  <c r="K3547" i="231"/>
  <c r="J3547" i="231"/>
  <c r="K3546" i="231"/>
  <c r="J3546" i="231"/>
  <c r="K3545" i="231"/>
  <c r="J3545" i="231"/>
  <c r="K3544" i="231"/>
  <c r="J3544" i="231"/>
  <c r="K3543" i="231"/>
  <c r="J3543" i="231"/>
  <c r="K3542" i="231"/>
  <c r="J3542" i="231"/>
  <c r="K3541" i="231"/>
  <c r="J3541" i="231"/>
  <c r="K3540" i="231"/>
  <c r="J3540" i="231"/>
  <c r="K3539" i="231"/>
  <c r="J3539" i="231"/>
  <c r="K3538" i="231"/>
  <c r="J3538" i="231"/>
  <c r="K3537" i="231"/>
  <c r="J3537" i="231"/>
  <c r="K3536" i="231"/>
  <c r="J3536" i="231"/>
  <c r="K3535" i="231"/>
  <c r="J3535" i="231"/>
  <c r="K3534" i="231"/>
  <c r="J3534" i="231"/>
  <c r="K3533" i="231"/>
  <c r="J3533" i="231"/>
  <c r="K3532" i="231"/>
  <c r="J3532" i="231"/>
  <c r="K3531" i="231"/>
  <c r="J3531" i="231"/>
  <c r="K3530" i="231"/>
  <c r="J3530" i="231"/>
  <c r="K3529" i="231"/>
  <c r="J3529" i="231"/>
  <c r="K3528" i="231"/>
  <c r="J3528" i="231"/>
  <c r="K3527" i="231"/>
  <c r="J3527" i="231"/>
  <c r="K3526" i="231"/>
  <c r="J3526" i="231"/>
  <c r="K3525" i="231"/>
  <c r="J3525" i="231"/>
  <c r="K3524" i="231"/>
  <c r="J3524" i="231"/>
  <c r="K3523" i="231"/>
  <c r="J3523" i="231"/>
  <c r="K3522" i="231"/>
  <c r="J3522" i="231"/>
  <c r="K3521" i="231"/>
  <c r="J3521" i="231"/>
  <c r="K3520" i="231"/>
  <c r="J3520" i="231"/>
  <c r="K3519" i="231"/>
  <c r="J3519" i="231"/>
  <c r="K3518" i="231"/>
  <c r="J3518" i="231"/>
  <c r="K3517" i="231"/>
  <c r="J3517" i="231"/>
  <c r="K3516" i="231"/>
  <c r="J3516" i="231"/>
  <c r="K3515" i="231"/>
  <c r="J3515" i="231"/>
  <c r="K3514" i="231"/>
  <c r="J3514" i="231"/>
  <c r="K3513" i="231"/>
  <c r="J3513" i="231"/>
  <c r="K3512" i="231"/>
  <c r="J3512" i="231"/>
  <c r="K3511" i="231"/>
  <c r="J3511" i="231"/>
  <c r="K3510" i="231"/>
  <c r="J3510" i="231"/>
  <c r="K3509" i="231"/>
  <c r="J3509" i="231"/>
  <c r="K3508" i="231"/>
  <c r="J3508" i="231"/>
  <c r="K3507" i="231"/>
  <c r="J3507" i="231"/>
  <c r="K3506" i="231"/>
  <c r="J3506" i="231"/>
  <c r="K3505" i="231"/>
  <c r="J3505" i="231"/>
  <c r="K3504" i="231"/>
  <c r="J3504" i="231"/>
  <c r="K3503" i="231"/>
  <c r="J3503" i="231"/>
  <c r="K3502" i="231"/>
  <c r="J3502" i="231"/>
  <c r="K3501" i="231"/>
  <c r="J3501" i="231"/>
  <c r="K3500" i="231"/>
  <c r="J3500" i="231"/>
  <c r="K3499" i="231"/>
  <c r="J3499" i="231"/>
  <c r="K3498" i="231"/>
  <c r="J3498" i="231"/>
  <c r="K3497" i="231"/>
  <c r="J3497" i="231"/>
  <c r="K3496" i="231"/>
  <c r="J3496" i="231"/>
  <c r="K3495" i="231"/>
  <c r="J3495" i="231"/>
  <c r="K3494" i="231"/>
  <c r="J3494" i="231"/>
  <c r="K3493" i="231"/>
  <c r="J3493" i="231"/>
  <c r="K3492" i="231"/>
  <c r="J3492" i="231"/>
  <c r="K3491" i="231"/>
  <c r="J3491" i="231"/>
  <c r="K3490" i="231"/>
  <c r="J3490" i="231"/>
  <c r="K3489" i="231"/>
  <c r="J3489" i="231"/>
  <c r="K3488" i="231"/>
  <c r="J3488" i="231"/>
  <c r="K3487" i="231"/>
  <c r="J3487" i="231"/>
  <c r="K3486" i="231"/>
  <c r="J3486" i="231"/>
  <c r="K3485" i="231"/>
  <c r="J3485" i="231"/>
  <c r="K3484" i="231"/>
  <c r="J3484" i="231"/>
  <c r="K3483" i="231"/>
  <c r="J3483" i="231"/>
  <c r="K3482" i="231"/>
  <c r="J3482" i="231"/>
  <c r="K3481" i="231"/>
  <c r="J3481" i="231"/>
  <c r="K3480" i="231"/>
  <c r="J3480" i="231"/>
  <c r="K3479" i="231"/>
  <c r="J3479" i="231"/>
  <c r="K3478" i="231"/>
  <c r="J3478" i="231"/>
  <c r="K3477" i="231"/>
  <c r="J3477" i="231"/>
  <c r="K3476" i="231"/>
  <c r="J3476" i="231"/>
  <c r="K3475" i="231"/>
  <c r="J3475" i="231"/>
  <c r="K3474" i="231"/>
  <c r="J3474" i="231"/>
  <c r="K3473" i="231"/>
  <c r="J3473" i="231"/>
  <c r="K3472" i="231"/>
  <c r="J3472" i="231"/>
  <c r="K3471" i="231"/>
  <c r="J3471" i="231"/>
  <c r="K3470" i="231"/>
  <c r="J3470" i="231"/>
  <c r="K3469" i="231"/>
  <c r="J3469" i="231"/>
  <c r="K3468" i="231"/>
  <c r="J3468" i="231"/>
  <c r="K3467" i="231"/>
  <c r="J3467" i="231"/>
  <c r="K3466" i="231"/>
  <c r="J3466" i="231"/>
  <c r="K3465" i="231"/>
  <c r="J3465" i="231"/>
  <c r="K3464" i="231"/>
  <c r="J3464" i="231"/>
  <c r="K3463" i="231"/>
  <c r="J3463" i="231"/>
  <c r="K3462" i="231"/>
  <c r="J3462" i="231"/>
  <c r="K3461" i="231"/>
  <c r="J3461" i="231"/>
  <c r="K3460" i="231"/>
  <c r="J3460" i="231"/>
  <c r="K3459" i="231"/>
  <c r="J3459" i="231"/>
  <c r="K3458" i="231"/>
  <c r="J3458" i="231"/>
  <c r="K3457" i="231"/>
  <c r="J3457" i="231"/>
  <c r="K3456" i="231"/>
  <c r="J3456" i="231"/>
  <c r="K3455" i="231"/>
  <c r="J3455" i="231"/>
  <c r="K3454" i="231"/>
  <c r="J3454" i="231"/>
  <c r="K3453" i="231"/>
  <c r="J3453" i="231"/>
  <c r="K3452" i="231"/>
  <c r="J3452" i="231"/>
  <c r="K3451" i="231"/>
  <c r="J3451" i="231"/>
  <c r="K3450" i="231"/>
  <c r="J3450" i="231"/>
  <c r="K3449" i="231"/>
  <c r="J3449" i="231"/>
  <c r="K3448" i="231"/>
  <c r="J3448" i="231"/>
  <c r="K3447" i="231"/>
  <c r="J3447" i="231"/>
  <c r="K3446" i="231"/>
  <c r="J3446" i="231"/>
  <c r="K3445" i="231"/>
  <c r="J3445" i="231"/>
  <c r="K3444" i="231"/>
  <c r="J3444" i="231"/>
  <c r="K3443" i="231"/>
  <c r="J3443" i="231"/>
  <c r="K3442" i="231"/>
  <c r="J3442" i="231"/>
  <c r="K3441" i="231"/>
  <c r="J3441" i="231"/>
  <c r="K3440" i="231"/>
  <c r="J3440" i="231"/>
  <c r="K3439" i="231"/>
  <c r="J3439" i="231"/>
  <c r="K3438" i="231"/>
  <c r="J3438" i="231"/>
  <c r="K3437" i="231"/>
  <c r="J3437" i="231"/>
  <c r="K3436" i="231"/>
  <c r="J3436" i="231"/>
  <c r="K3435" i="231"/>
  <c r="J3435" i="231"/>
  <c r="K3434" i="231"/>
  <c r="J3434" i="231"/>
  <c r="K3433" i="231"/>
  <c r="J3433" i="231"/>
  <c r="K3432" i="231"/>
  <c r="J3432" i="231"/>
  <c r="K3431" i="231"/>
  <c r="J3431" i="231"/>
  <c r="K3430" i="231"/>
  <c r="J3430" i="231"/>
  <c r="K3429" i="231"/>
  <c r="J3429" i="231"/>
  <c r="K3428" i="231"/>
  <c r="J3428" i="231"/>
  <c r="K3427" i="231"/>
  <c r="J3427" i="231"/>
  <c r="K3426" i="231"/>
  <c r="J3426" i="231"/>
  <c r="K3425" i="231"/>
  <c r="J3425" i="231"/>
  <c r="K3424" i="231"/>
  <c r="J3424" i="231"/>
  <c r="K3423" i="231"/>
  <c r="J3423" i="231"/>
  <c r="K3422" i="231"/>
  <c r="J3422" i="231"/>
  <c r="K3421" i="231"/>
  <c r="J3421" i="231"/>
  <c r="K3420" i="231"/>
  <c r="J3420" i="231"/>
  <c r="K3419" i="231"/>
  <c r="J3419" i="231"/>
  <c r="K3418" i="231"/>
  <c r="J3418" i="231"/>
  <c r="K3417" i="231"/>
  <c r="J3417" i="231"/>
  <c r="K3416" i="231"/>
  <c r="J3416" i="231"/>
  <c r="K3415" i="231"/>
  <c r="J3415" i="231"/>
  <c r="K3414" i="231"/>
  <c r="J3414" i="231"/>
  <c r="K3413" i="231"/>
  <c r="J3413" i="231"/>
  <c r="K3412" i="231"/>
  <c r="J3412" i="231"/>
  <c r="K3411" i="231"/>
  <c r="J3411" i="231"/>
  <c r="K3410" i="231"/>
  <c r="J3410" i="231"/>
  <c r="K3409" i="231"/>
  <c r="J3409" i="231"/>
  <c r="K3408" i="231"/>
  <c r="J3408" i="231"/>
  <c r="K3407" i="231"/>
  <c r="J3407" i="231"/>
  <c r="K3406" i="231"/>
  <c r="J3406" i="231"/>
  <c r="K3405" i="231"/>
  <c r="J3405" i="231"/>
  <c r="K3404" i="231"/>
  <c r="J3404" i="231"/>
  <c r="K3403" i="231"/>
  <c r="J3403" i="231"/>
  <c r="K3402" i="231"/>
  <c r="J3402" i="231"/>
  <c r="K3401" i="231"/>
  <c r="J3401" i="231"/>
  <c r="K3400" i="231"/>
  <c r="J3400" i="231"/>
  <c r="K3399" i="231"/>
  <c r="J3399" i="231"/>
  <c r="K3398" i="231"/>
  <c r="J3398" i="231"/>
  <c r="K3397" i="231"/>
  <c r="J3397" i="231"/>
  <c r="K3396" i="231"/>
  <c r="J3396" i="231"/>
  <c r="K3395" i="231"/>
  <c r="J3395" i="231"/>
  <c r="K3394" i="231"/>
  <c r="J3394" i="231"/>
  <c r="K3393" i="231"/>
  <c r="J3393" i="231"/>
  <c r="K3392" i="231"/>
  <c r="J3392" i="231"/>
  <c r="K3391" i="231"/>
  <c r="J3391" i="231"/>
  <c r="K3390" i="231"/>
  <c r="J3390" i="231"/>
  <c r="K3389" i="231"/>
  <c r="J3389" i="231"/>
  <c r="K3388" i="231"/>
  <c r="J3388" i="231"/>
  <c r="K3387" i="231"/>
  <c r="J3387" i="231"/>
  <c r="K3386" i="231"/>
  <c r="J3386" i="231"/>
  <c r="K3385" i="231"/>
  <c r="J3385" i="231"/>
  <c r="K3384" i="231"/>
  <c r="J3384" i="231"/>
  <c r="K3383" i="231"/>
  <c r="J3383" i="231"/>
  <c r="K3382" i="231"/>
  <c r="J3382" i="231"/>
  <c r="K3381" i="231"/>
  <c r="J3381" i="231"/>
  <c r="K3380" i="231"/>
  <c r="J3380" i="231"/>
  <c r="K3379" i="231"/>
  <c r="J3379" i="231"/>
  <c r="K3378" i="231"/>
  <c r="J3378" i="231"/>
  <c r="K3377" i="231"/>
  <c r="J3377" i="231"/>
  <c r="K3376" i="231"/>
  <c r="J3376" i="231"/>
  <c r="K3375" i="231"/>
  <c r="J3375" i="231"/>
  <c r="K3374" i="231"/>
  <c r="J3374" i="231"/>
  <c r="K3373" i="231"/>
  <c r="J3373" i="231"/>
  <c r="K3372" i="231"/>
  <c r="J3372" i="231"/>
  <c r="K3371" i="231"/>
  <c r="J3371" i="231"/>
  <c r="K3370" i="231"/>
  <c r="J3370" i="231"/>
  <c r="K3369" i="231"/>
  <c r="J3369" i="231"/>
  <c r="K3368" i="231"/>
  <c r="J3368" i="231"/>
  <c r="K3367" i="231"/>
  <c r="J3367" i="231"/>
  <c r="K3366" i="231"/>
  <c r="J3366" i="231"/>
  <c r="K3365" i="231"/>
  <c r="J3365" i="231"/>
  <c r="K3364" i="231"/>
  <c r="J3364" i="231"/>
  <c r="K3363" i="231"/>
  <c r="J3363" i="231"/>
  <c r="K3362" i="231"/>
  <c r="J3362" i="231"/>
  <c r="K3361" i="231"/>
  <c r="J3361" i="231"/>
  <c r="K3360" i="231"/>
  <c r="J3360" i="231"/>
  <c r="K3359" i="231"/>
  <c r="J3359" i="231"/>
  <c r="K3358" i="231"/>
  <c r="J3358" i="231"/>
  <c r="K3357" i="231"/>
  <c r="J3357" i="231"/>
  <c r="K3356" i="231"/>
  <c r="J3356" i="231"/>
  <c r="K3355" i="231"/>
  <c r="J3355" i="231"/>
  <c r="K3354" i="231"/>
  <c r="J3354" i="231"/>
  <c r="K3353" i="231"/>
  <c r="J3353" i="231"/>
  <c r="K3352" i="231"/>
  <c r="J3352" i="231"/>
  <c r="K3351" i="231"/>
  <c r="J3351" i="231"/>
  <c r="K3350" i="231"/>
  <c r="J3350" i="231"/>
  <c r="K3349" i="231"/>
  <c r="J3349" i="231"/>
  <c r="K3348" i="231"/>
  <c r="J3348" i="231"/>
  <c r="K3347" i="231"/>
  <c r="J3347" i="231"/>
  <c r="K3346" i="231"/>
  <c r="J3346" i="231"/>
  <c r="K3345" i="231"/>
  <c r="J3345" i="231"/>
  <c r="K3344" i="231"/>
  <c r="J3344" i="231"/>
  <c r="K3343" i="231"/>
  <c r="J3343" i="231"/>
  <c r="K3342" i="231"/>
  <c r="J3342" i="231"/>
  <c r="K3341" i="231"/>
  <c r="J3341" i="231"/>
  <c r="K3340" i="231"/>
  <c r="J3340" i="231"/>
  <c r="K3339" i="231"/>
  <c r="J3339" i="231"/>
  <c r="K3338" i="231"/>
  <c r="J3338" i="231"/>
  <c r="K3337" i="231"/>
  <c r="J3337" i="231"/>
  <c r="K3336" i="231"/>
  <c r="J3336" i="231"/>
  <c r="K3335" i="231"/>
  <c r="J3335" i="231"/>
  <c r="K3334" i="231"/>
  <c r="J3334" i="231"/>
  <c r="K3333" i="231"/>
  <c r="J3333" i="231"/>
  <c r="K3332" i="231"/>
  <c r="J3332" i="231"/>
  <c r="K3331" i="231"/>
  <c r="J3331" i="231"/>
  <c r="K3330" i="231"/>
  <c r="J3330" i="231"/>
  <c r="K3329" i="231"/>
  <c r="J3329" i="231"/>
  <c r="K3328" i="231"/>
  <c r="J3328" i="231"/>
  <c r="K3327" i="231"/>
  <c r="J3327" i="231"/>
  <c r="K3326" i="231"/>
  <c r="J3326" i="231"/>
  <c r="K3325" i="231"/>
  <c r="J3325" i="231"/>
  <c r="K3324" i="231"/>
  <c r="J3324" i="231"/>
  <c r="K3323" i="231"/>
  <c r="J3323" i="231"/>
  <c r="K3322" i="231"/>
  <c r="J3322" i="231"/>
  <c r="K3321" i="231"/>
  <c r="J3321" i="231"/>
  <c r="K3320" i="231"/>
  <c r="J3320" i="231"/>
  <c r="K3319" i="231"/>
  <c r="J3319" i="231"/>
  <c r="K3318" i="231"/>
  <c r="J3318" i="231"/>
  <c r="K3317" i="231"/>
  <c r="J3317" i="231"/>
  <c r="K3316" i="231"/>
  <c r="J3316" i="231"/>
  <c r="K3315" i="231"/>
  <c r="J3315" i="231"/>
  <c r="K3314" i="231"/>
  <c r="J3314" i="231"/>
  <c r="K3313" i="231"/>
  <c r="J3313" i="231"/>
  <c r="K3312" i="231"/>
  <c r="J3312" i="231"/>
  <c r="K3311" i="231"/>
  <c r="J3311" i="231"/>
  <c r="K3310" i="231"/>
  <c r="J3310" i="231"/>
  <c r="K3309" i="231"/>
  <c r="J3309" i="231"/>
  <c r="K3308" i="231"/>
  <c r="J3308" i="231"/>
  <c r="K3307" i="231"/>
  <c r="J3307" i="231"/>
  <c r="K3306" i="231"/>
  <c r="J3306" i="231"/>
  <c r="K3305" i="231"/>
  <c r="J3305" i="231"/>
  <c r="K3304" i="231"/>
  <c r="J3304" i="231"/>
  <c r="K3303" i="231"/>
  <c r="J3303" i="231"/>
  <c r="K3302" i="231"/>
  <c r="J3302" i="231"/>
  <c r="K3301" i="231"/>
  <c r="J3301" i="231"/>
  <c r="K3300" i="231"/>
  <c r="J3300" i="231"/>
  <c r="K3299" i="231"/>
  <c r="J3299" i="231"/>
  <c r="K3298" i="231"/>
  <c r="J3298" i="231"/>
  <c r="K3297" i="231"/>
  <c r="J3297" i="231"/>
  <c r="K3296" i="231"/>
  <c r="J3296" i="231"/>
  <c r="K3295" i="231"/>
  <c r="J3295" i="231"/>
  <c r="K3294" i="231"/>
  <c r="J3294" i="231"/>
  <c r="K3293" i="231"/>
  <c r="J3293" i="231"/>
  <c r="K3292" i="231"/>
  <c r="J3292" i="231"/>
  <c r="K3291" i="231"/>
  <c r="J3291" i="231"/>
  <c r="K3290" i="231"/>
  <c r="J3290" i="231"/>
  <c r="K3289" i="231"/>
  <c r="J3289" i="231"/>
  <c r="K3288" i="231"/>
  <c r="J3288" i="231"/>
  <c r="K3287" i="231"/>
  <c r="J3287" i="231"/>
  <c r="K3286" i="231"/>
  <c r="J3286" i="231"/>
  <c r="K3285" i="231"/>
  <c r="J3285" i="231"/>
  <c r="K3284" i="231"/>
  <c r="J3284" i="231"/>
  <c r="K3283" i="231"/>
  <c r="J3283" i="231"/>
  <c r="K3282" i="231"/>
  <c r="J3282" i="231"/>
  <c r="K3281" i="231"/>
  <c r="J3281" i="231"/>
  <c r="K3280" i="231"/>
  <c r="J3280" i="231"/>
  <c r="K3279" i="231"/>
  <c r="J3279" i="231"/>
  <c r="K3278" i="231"/>
  <c r="J3278" i="231"/>
  <c r="K3277" i="231"/>
  <c r="J3277" i="231"/>
  <c r="K3276" i="231"/>
  <c r="J3276" i="231"/>
  <c r="K3275" i="231"/>
  <c r="J3275" i="231"/>
  <c r="K3274" i="231"/>
  <c r="J3274" i="231"/>
  <c r="K3273" i="231"/>
  <c r="J3273" i="231"/>
  <c r="K3272" i="231"/>
  <c r="J3272" i="231"/>
  <c r="K3271" i="231"/>
  <c r="J3271" i="231"/>
  <c r="K3270" i="231"/>
  <c r="J3270" i="231"/>
  <c r="K3269" i="231"/>
  <c r="J3269" i="231"/>
  <c r="K3268" i="231"/>
  <c r="J3268" i="231"/>
  <c r="K3267" i="231"/>
  <c r="J3267" i="231"/>
  <c r="K3266" i="231"/>
  <c r="J3266" i="231"/>
  <c r="K3265" i="231"/>
  <c r="J3265" i="231"/>
  <c r="K3264" i="231"/>
  <c r="J3264" i="231"/>
  <c r="K3263" i="231"/>
  <c r="J3263" i="231"/>
  <c r="K3262" i="231"/>
  <c r="J3262" i="231"/>
  <c r="K3261" i="231"/>
  <c r="J3261" i="231"/>
  <c r="K3260" i="231"/>
  <c r="J3260" i="231"/>
  <c r="K3259" i="231"/>
  <c r="J3259" i="231"/>
  <c r="K3258" i="231"/>
  <c r="J3258" i="231"/>
  <c r="K3257" i="231"/>
  <c r="J3257" i="231"/>
  <c r="K3256" i="231"/>
  <c r="J3256" i="231"/>
  <c r="K3255" i="231"/>
  <c r="J3255" i="231"/>
  <c r="K3254" i="231"/>
  <c r="J3254" i="231"/>
  <c r="K3253" i="231"/>
  <c r="J3253" i="231"/>
  <c r="K3252" i="231"/>
  <c r="J3252" i="231"/>
  <c r="K3251" i="231"/>
  <c r="J3251" i="231"/>
  <c r="K3250" i="231"/>
  <c r="J3250" i="231"/>
  <c r="K3249" i="231"/>
  <c r="J3249" i="231"/>
  <c r="K3248" i="231"/>
  <c r="J3248" i="231"/>
  <c r="K3247" i="231"/>
  <c r="J3247" i="231"/>
  <c r="K3246" i="231"/>
  <c r="J3246" i="231"/>
  <c r="K3245" i="231"/>
  <c r="J3245" i="231"/>
  <c r="K3244" i="231"/>
  <c r="J3244" i="231"/>
  <c r="K3243" i="231"/>
  <c r="J3243" i="231"/>
  <c r="K3242" i="231"/>
  <c r="J3242" i="231"/>
  <c r="K3241" i="231"/>
  <c r="J3241" i="231"/>
  <c r="K3240" i="231"/>
  <c r="J3240" i="231"/>
  <c r="K3239" i="231"/>
  <c r="J3239" i="231"/>
  <c r="K3238" i="231"/>
  <c r="J3238" i="231"/>
  <c r="K3237" i="231"/>
  <c r="J3237" i="231"/>
  <c r="K3236" i="231"/>
  <c r="J3236" i="231"/>
  <c r="K3235" i="231"/>
  <c r="J3235" i="231"/>
  <c r="K3234" i="231"/>
  <c r="J3234" i="231"/>
  <c r="K3233" i="231"/>
  <c r="J3233" i="231"/>
  <c r="K3232" i="231"/>
  <c r="J3232" i="231"/>
  <c r="K3231" i="231"/>
  <c r="J3231" i="231"/>
  <c r="K3230" i="231"/>
  <c r="J3230" i="231"/>
  <c r="K3229" i="231"/>
  <c r="J3229" i="231"/>
  <c r="K3228" i="231"/>
  <c r="J3228" i="231"/>
  <c r="K3227" i="231"/>
  <c r="J3227" i="231"/>
  <c r="K3226" i="231"/>
  <c r="J3226" i="231"/>
  <c r="K3225" i="231"/>
  <c r="J3225" i="231"/>
  <c r="K3224" i="231"/>
  <c r="J3224" i="231"/>
  <c r="K3223" i="231"/>
  <c r="J3223" i="231"/>
  <c r="K3222" i="231"/>
  <c r="J3222" i="231"/>
  <c r="K3221" i="231"/>
  <c r="J3221" i="231"/>
  <c r="K3220" i="231"/>
  <c r="J3220" i="231"/>
  <c r="K3219" i="231"/>
  <c r="J3219" i="231"/>
  <c r="K3218" i="231"/>
  <c r="J3218" i="231"/>
  <c r="K3217" i="231"/>
  <c r="J3217" i="231"/>
  <c r="K3216" i="231"/>
  <c r="J3216" i="231"/>
  <c r="K3215" i="231"/>
  <c r="J3215" i="231"/>
  <c r="K3214" i="231"/>
  <c r="J3214" i="231"/>
  <c r="K3213" i="231"/>
  <c r="J3213" i="231"/>
  <c r="K3212" i="231"/>
  <c r="J3212" i="231"/>
  <c r="K3211" i="231"/>
  <c r="J3211" i="231"/>
  <c r="K3210" i="231"/>
  <c r="J3210" i="231"/>
  <c r="K3209" i="231"/>
  <c r="J3209" i="231"/>
  <c r="K3208" i="231"/>
  <c r="J3208" i="231"/>
  <c r="K3207" i="231"/>
  <c r="J3207" i="231"/>
  <c r="K3206" i="231"/>
  <c r="J3206" i="231"/>
  <c r="K3205" i="231"/>
  <c r="J3205" i="231"/>
  <c r="K3204" i="231"/>
  <c r="J3204" i="231"/>
  <c r="K3203" i="231"/>
  <c r="J3203" i="231"/>
  <c r="K3202" i="231"/>
  <c r="J3202" i="231"/>
  <c r="K3201" i="231"/>
  <c r="J3201" i="231"/>
  <c r="K3200" i="231"/>
  <c r="J3200" i="231"/>
  <c r="K3199" i="231"/>
  <c r="J3199" i="231"/>
  <c r="K3198" i="231"/>
  <c r="J3198" i="231"/>
  <c r="K3197" i="231"/>
  <c r="J3197" i="231"/>
  <c r="K3196" i="231"/>
  <c r="J3196" i="231"/>
  <c r="K3195" i="231"/>
  <c r="J3195" i="231"/>
  <c r="K3194" i="231"/>
  <c r="J3194" i="231"/>
  <c r="K3193" i="231"/>
  <c r="J3193" i="231"/>
  <c r="K3192" i="231"/>
  <c r="J3192" i="231"/>
  <c r="K3191" i="231"/>
  <c r="J3191" i="231"/>
  <c r="K3190" i="231"/>
  <c r="J3190" i="231"/>
  <c r="K3189" i="231"/>
  <c r="J3189" i="231"/>
  <c r="K3188" i="231"/>
  <c r="J3188" i="231"/>
  <c r="K3187" i="231"/>
  <c r="J3187" i="231"/>
  <c r="K3186" i="231"/>
  <c r="J3186" i="231"/>
  <c r="K3185" i="231"/>
  <c r="J3185" i="231"/>
  <c r="K3184" i="231"/>
  <c r="J3184" i="231"/>
  <c r="K3183" i="231"/>
  <c r="J3183" i="231"/>
  <c r="K3182" i="231"/>
  <c r="J3182" i="231"/>
  <c r="K3181" i="231"/>
  <c r="J3181" i="231"/>
  <c r="K3180" i="231"/>
  <c r="J3180" i="231"/>
  <c r="K3179" i="231"/>
  <c r="J3179" i="231"/>
  <c r="K3178" i="231"/>
  <c r="J3178" i="231"/>
  <c r="K3177" i="231"/>
  <c r="J3177" i="231"/>
  <c r="K3176" i="231"/>
  <c r="J3176" i="231"/>
  <c r="K3175" i="231"/>
  <c r="J3175" i="231"/>
  <c r="K3174" i="231"/>
  <c r="J3174" i="231"/>
  <c r="K3173" i="231"/>
  <c r="J3173" i="231"/>
  <c r="K3172" i="231"/>
  <c r="J3172" i="231"/>
  <c r="K3171" i="231"/>
  <c r="J3171" i="231"/>
  <c r="K3170" i="231"/>
  <c r="J3170" i="231"/>
  <c r="K3169" i="231"/>
  <c r="J3169" i="231"/>
  <c r="K3168" i="231"/>
  <c r="J3168" i="231"/>
  <c r="K3167" i="231"/>
  <c r="J3167" i="231"/>
  <c r="K3166" i="231"/>
  <c r="J3166" i="231"/>
  <c r="K3165" i="231"/>
  <c r="J3165" i="231"/>
  <c r="K3164" i="231"/>
  <c r="J3164" i="231"/>
  <c r="K3163" i="231"/>
  <c r="J3163" i="231"/>
  <c r="K3162" i="231"/>
  <c r="J3162" i="231"/>
  <c r="K3161" i="231"/>
  <c r="J3161" i="231"/>
  <c r="K3160" i="231"/>
  <c r="J3160" i="231"/>
  <c r="K3159" i="231"/>
  <c r="J3159" i="231"/>
  <c r="K3158" i="231"/>
  <c r="J3158" i="231"/>
  <c r="K3157" i="231"/>
  <c r="J3157" i="231"/>
  <c r="K3156" i="231"/>
  <c r="J3156" i="231"/>
  <c r="K3155" i="231"/>
  <c r="J3155" i="231"/>
  <c r="K3154" i="231"/>
  <c r="J3154" i="231"/>
  <c r="K3153" i="231"/>
  <c r="J3153" i="231"/>
  <c r="K3152" i="231"/>
  <c r="J3152" i="231"/>
  <c r="K3151" i="231"/>
  <c r="J3151" i="231"/>
  <c r="K3150" i="231"/>
  <c r="J3150" i="231"/>
  <c r="K3149" i="231"/>
  <c r="J3149" i="231"/>
  <c r="K3148" i="231"/>
  <c r="J3148" i="231"/>
  <c r="K3147" i="231"/>
  <c r="J3147" i="231"/>
  <c r="K3146" i="231"/>
  <c r="J3146" i="231"/>
  <c r="K3145" i="231"/>
  <c r="J3145" i="231"/>
  <c r="K3144" i="231"/>
  <c r="J3144" i="231"/>
  <c r="K3143" i="231"/>
  <c r="J3143" i="231"/>
  <c r="K3142" i="231"/>
  <c r="J3142" i="231"/>
  <c r="K3141" i="231"/>
  <c r="J3141" i="231"/>
  <c r="K3140" i="231"/>
  <c r="J3140" i="231"/>
  <c r="K3139" i="231"/>
  <c r="J3139" i="231"/>
  <c r="K3138" i="231"/>
  <c r="J3138" i="231"/>
  <c r="K3137" i="231"/>
  <c r="J3137" i="231"/>
  <c r="K3136" i="231"/>
  <c r="J3136" i="231"/>
  <c r="K3135" i="231"/>
  <c r="J3135" i="231"/>
  <c r="K3134" i="231"/>
  <c r="J3134" i="231"/>
  <c r="K3133" i="231"/>
  <c r="J3133" i="231"/>
  <c r="K3132" i="231"/>
  <c r="J3132" i="231"/>
  <c r="K3131" i="231"/>
  <c r="J3131" i="231"/>
  <c r="K3130" i="231"/>
  <c r="J3130" i="231"/>
  <c r="K3129" i="231"/>
  <c r="J3129" i="231"/>
  <c r="K3128" i="231"/>
  <c r="J3128" i="231"/>
  <c r="K3127" i="231"/>
  <c r="J3127" i="231"/>
  <c r="K3126" i="231"/>
  <c r="J3126" i="231"/>
  <c r="K3125" i="231"/>
  <c r="J3125" i="231"/>
  <c r="K3124" i="231"/>
  <c r="J3124" i="231"/>
  <c r="K3123" i="231"/>
  <c r="J3123" i="231"/>
  <c r="K3122" i="231"/>
  <c r="J3122" i="231"/>
  <c r="K3121" i="231"/>
  <c r="J3121" i="231"/>
  <c r="K3120" i="231"/>
  <c r="J3120" i="231"/>
  <c r="K3119" i="231"/>
  <c r="J3119" i="231"/>
  <c r="K3118" i="231"/>
  <c r="J3118" i="231"/>
  <c r="K3117" i="231"/>
  <c r="J3117" i="231"/>
  <c r="K3116" i="231"/>
  <c r="J3116" i="231"/>
  <c r="K3115" i="231"/>
  <c r="J3115" i="231"/>
  <c r="K3114" i="231"/>
  <c r="J3114" i="231"/>
  <c r="K3113" i="231"/>
  <c r="J3113" i="231"/>
  <c r="K3112" i="231"/>
  <c r="J3112" i="231"/>
  <c r="K3111" i="231"/>
  <c r="J3111" i="231"/>
  <c r="K3110" i="231"/>
  <c r="J3110" i="231"/>
  <c r="K3109" i="231"/>
  <c r="J3109" i="231"/>
  <c r="K3108" i="231"/>
  <c r="J3108" i="231"/>
  <c r="K3107" i="231"/>
  <c r="J3107" i="231"/>
  <c r="K3106" i="231"/>
  <c r="J3106" i="231"/>
  <c r="K3105" i="231"/>
  <c r="J3105" i="231"/>
  <c r="K3104" i="231"/>
  <c r="J3104" i="231"/>
  <c r="K3103" i="231"/>
  <c r="J3103" i="231"/>
  <c r="K3102" i="231"/>
  <c r="J3102" i="231"/>
  <c r="K3101" i="231"/>
  <c r="J3101" i="231"/>
  <c r="K3100" i="231"/>
  <c r="J3100" i="231"/>
  <c r="K3099" i="231"/>
  <c r="J3099" i="231"/>
  <c r="K3098" i="231"/>
  <c r="J3098" i="231"/>
  <c r="K3097" i="231"/>
  <c r="J3097" i="231"/>
  <c r="K3096" i="231"/>
  <c r="J3096" i="231"/>
  <c r="K3095" i="231"/>
  <c r="J3095" i="231"/>
  <c r="K3094" i="231"/>
  <c r="J3094" i="231"/>
  <c r="K3093" i="231"/>
  <c r="J3093" i="231"/>
  <c r="K3092" i="231"/>
  <c r="J3092" i="231"/>
  <c r="K3091" i="231"/>
  <c r="J3091" i="231"/>
  <c r="K3090" i="231"/>
  <c r="J3090" i="231"/>
  <c r="K3089" i="231"/>
  <c r="J3089" i="231"/>
  <c r="K3088" i="231"/>
  <c r="J3088" i="231"/>
  <c r="K3087" i="231"/>
  <c r="J3087" i="231"/>
  <c r="K3086" i="231"/>
  <c r="J3086" i="231"/>
  <c r="K3085" i="231"/>
  <c r="J3085" i="231"/>
  <c r="K3084" i="231"/>
  <c r="J3084" i="231"/>
  <c r="K3083" i="231"/>
  <c r="J3083" i="231"/>
  <c r="K3082" i="231"/>
  <c r="J3082" i="231"/>
  <c r="K3081" i="231"/>
  <c r="J3081" i="231"/>
  <c r="K3080" i="231"/>
  <c r="J3080" i="231"/>
  <c r="K3079" i="231"/>
  <c r="J3079" i="231"/>
  <c r="K3078" i="231"/>
  <c r="J3078" i="231"/>
  <c r="K3077" i="231"/>
  <c r="J3077" i="231"/>
  <c r="K3076" i="231"/>
  <c r="J3076" i="231"/>
  <c r="K3075" i="231"/>
  <c r="J3075" i="231"/>
  <c r="K3074" i="231"/>
  <c r="J3074" i="231"/>
  <c r="K3073" i="231"/>
  <c r="J3073" i="231"/>
  <c r="K3072" i="231"/>
  <c r="J3072" i="231"/>
  <c r="K3071" i="231"/>
  <c r="J3071" i="231"/>
  <c r="K3070" i="231"/>
  <c r="J3070" i="231"/>
  <c r="K3069" i="231"/>
  <c r="J3069" i="231"/>
  <c r="K3068" i="231"/>
  <c r="J3068" i="231"/>
  <c r="K3067" i="231"/>
  <c r="J3067" i="231"/>
  <c r="K3066" i="231"/>
  <c r="J3066" i="231"/>
  <c r="K3065" i="231"/>
  <c r="J3065" i="231"/>
  <c r="K3064" i="231"/>
  <c r="J3064" i="231"/>
  <c r="K3063" i="231"/>
  <c r="J3063" i="231"/>
  <c r="K3062" i="231"/>
  <c r="J3062" i="231"/>
  <c r="K3061" i="231"/>
  <c r="J3061" i="231"/>
  <c r="K3060" i="231"/>
  <c r="J3060" i="231"/>
  <c r="K3059" i="231"/>
  <c r="J3059" i="231"/>
  <c r="K3058" i="231"/>
  <c r="J3058" i="231"/>
  <c r="K3057" i="231"/>
  <c r="J3057" i="231"/>
  <c r="K3056" i="231"/>
  <c r="J3056" i="231"/>
  <c r="K3055" i="231"/>
  <c r="J3055" i="231"/>
  <c r="K3054" i="231"/>
  <c r="J3054" i="231"/>
  <c r="K3053" i="231"/>
  <c r="J3053" i="231"/>
  <c r="K3052" i="231"/>
  <c r="J3052" i="231"/>
  <c r="K3051" i="231"/>
  <c r="J3051" i="231"/>
  <c r="K3050" i="231"/>
  <c r="J3050" i="231"/>
  <c r="K3049" i="231"/>
  <c r="J3049" i="231"/>
  <c r="K3048" i="231"/>
  <c r="J3048" i="231"/>
  <c r="K3047" i="231"/>
  <c r="J3047" i="231"/>
  <c r="K3046" i="231"/>
  <c r="J3046" i="231"/>
  <c r="K3045" i="231"/>
  <c r="J3045" i="231"/>
  <c r="K3044" i="231"/>
  <c r="J3044" i="231"/>
  <c r="K3043" i="231"/>
  <c r="J3043" i="231"/>
  <c r="K3042" i="231"/>
  <c r="J3042" i="231"/>
  <c r="K3041" i="231"/>
  <c r="J3041" i="231"/>
  <c r="K3040" i="231"/>
  <c r="J3040" i="231"/>
  <c r="K3039" i="231"/>
  <c r="J3039" i="231"/>
  <c r="K3038" i="231"/>
  <c r="J3038" i="231"/>
  <c r="K3037" i="231"/>
  <c r="J3037" i="231"/>
  <c r="K3036" i="231"/>
  <c r="J3036" i="231"/>
  <c r="K3035" i="231"/>
  <c r="J3035" i="231"/>
  <c r="K3034" i="231"/>
  <c r="J3034" i="231"/>
  <c r="K3033" i="231"/>
  <c r="J3033" i="231"/>
  <c r="K3032" i="231"/>
  <c r="J3032" i="231"/>
  <c r="K3031" i="231"/>
  <c r="J3031" i="231"/>
  <c r="K3030" i="231"/>
  <c r="J3030" i="231"/>
  <c r="K3029" i="231"/>
  <c r="J3029" i="231"/>
  <c r="K3028" i="231"/>
  <c r="J3028" i="231"/>
  <c r="K3027" i="231"/>
  <c r="J3027" i="231"/>
  <c r="K3026" i="231"/>
  <c r="J3026" i="231"/>
  <c r="K3025" i="231"/>
  <c r="J3025" i="231"/>
  <c r="K3024" i="231"/>
  <c r="J3024" i="231"/>
  <c r="K3023" i="231"/>
  <c r="J3023" i="231"/>
  <c r="K3022" i="231"/>
  <c r="J3022" i="231"/>
  <c r="K3021" i="231"/>
  <c r="J3021" i="231"/>
  <c r="K3020" i="231"/>
  <c r="J3020" i="231"/>
  <c r="K3019" i="231"/>
  <c r="J3019" i="231"/>
  <c r="K3018" i="231"/>
  <c r="J3018" i="231"/>
  <c r="K3017" i="231"/>
  <c r="J3017" i="231"/>
  <c r="K3016" i="231"/>
  <c r="J3016" i="231"/>
  <c r="K3015" i="231"/>
  <c r="J3015" i="231"/>
  <c r="K3014" i="231"/>
  <c r="J3014" i="231"/>
  <c r="K3013" i="231"/>
  <c r="J3013" i="231"/>
  <c r="K3012" i="231"/>
  <c r="J3012" i="231"/>
  <c r="K3011" i="231"/>
  <c r="J3011" i="231"/>
  <c r="K3010" i="231"/>
  <c r="J3010" i="231"/>
  <c r="K3009" i="231"/>
  <c r="J3009" i="231"/>
  <c r="K3008" i="231"/>
  <c r="J3008" i="231"/>
  <c r="K3007" i="231"/>
  <c r="J3007" i="231"/>
  <c r="K3006" i="231"/>
  <c r="J3006" i="231"/>
  <c r="K3005" i="231"/>
  <c r="J3005" i="231"/>
  <c r="K3004" i="231"/>
  <c r="J3004" i="231"/>
  <c r="K3003" i="231"/>
  <c r="J3003" i="231"/>
  <c r="K3002" i="231"/>
  <c r="J3002" i="231"/>
  <c r="K3001" i="231"/>
  <c r="J3001" i="231"/>
  <c r="K3000" i="231"/>
  <c r="J3000" i="231"/>
  <c r="K2999" i="231"/>
  <c r="J2999" i="231"/>
  <c r="K2998" i="231"/>
  <c r="J2998" i="231"/>
  <c r="K2997" i="231"/>
  <c r="J2997" i="231"/>
  <c r="K2996" i="231"/>
  <c r="J2996" i="231"/>
  <c r="K2995" i="231"/>
  <c r="J2995" i="231"/>
  <c r="K2994" i="231"/>
  <c r="J2994" i="231"/>
  <c r="K2993" i="231"/>
  <c r="J2993" i="231"/>
  <c r="K2992" i="231"/>
  <c r="J2992" i="231"/>
  <c r="K2991" i="231"/>
  <c r="J2991" i="231"/>
  <c r="K2990" i="231"/>
  <c r="J2990" i="231"/>
  <c r="K2989" i="231"/>
  <c r="J2989" i="231"/>
  <c r="K2988" i="231"/>
  <c r="J2988" i="231"/>
  <c r="K2987" i="231"/>
  <c r="J2987" i="231"/>
  <c r="K2986" i="231"/>
  <c r="J2986" i="231"/>
  <c r="K2985" i="231"/>
  <c r="J2985" i="231"/>
  <c r="K2984" i="231"/>
  <c r="J2984" i="231"/>
  <c r="K2983" i="231"/>
  <c r="J2983" i="231"/>
  <c r="K2982" i="231"/>
  <c r="J2982" i="231"/>
  <c r="K2981" i="231"/>
  <c r="J2981" i="231"/>
  <c r="K2980" i="231"/>
  <c r="J2980" i="231"/>
  <c r="K2979" i="231"/>
  <c r="J2979" i="231"/>
  <c r="K2978" i="231"/>
  <c r="J2978" i="231"/>
  <c r="K2977" i="231"/>
  <c r="J2977" i="231"/>
  <c r="K2976" i="231"/>
  <c r="J2976" i="231"/>
  <c r="K2975" i="231"/>
  <c r="J2975" i="231"/>
  <c r="K2974" i="231"/>
  <c r="J2974" i="231"/>
  <c r="K2973" i="231"/>
  <c r="J2973" i="231"/>
  <c r="K2972" i="231"/>
  <c r="J2972" i="231"/>
  <c r="K2971" i="231"/>
  <c r="J2971" i="231"/>
  <c r="K2970" i="231"/>
  <c r="J2970" i="231"/>
  <c r="K2969" i="231"/>
  <c r="J2969" i="231"/>
  <c r="K2968" i="231"/>
  <c r="J2968" i="231"/>
  <c r="K2967" i="231"/>
  <c r="J2967" i="231"/>
  <c r="K2966" i="231"/>
  <c r="J2966" i="231"/>
  <c r="K2965" i="231"/>
  <c r="J2965" i="231"/>
  <c r="K2964" i="231"/>
  <c r="J2964" i="231"/>
  <c r="K2963" i="231"/>
  <c r="J2963" i="231"/>
  <c r="K2962" i="231"/>
  <c r="J2962" i="231"/>
  <c r="K2961" i="231"/>
  <c r="J2961" i="231"/>
  <c r="K2960" i="231"/>
  <c r="J2960" i="231"/>
  <c r="K2959" i="231"/>
  <c r="J2959" i="231"/>
  <c r="K2958" i="231"/>
  <c r="J2958" i="231"/>
  <c r="K2957" i="231"/>
  <c r="J2957" i="231"/>
  <c r="K2956" i="231"/>
  <c r="J2956" i="231"/>
  <c r="K2955" i="231"/>
  <c r="J2955" i="231"/>
  <c r="K2954" i="231"/>
  <c r="J2954" i="231"/>
  <c r="K2953" i="231"/>
  <c r="J2953" i="231"/>
  <c r="K2952" i="231"/>
  <c r="J2952" i="231"/>
  <c r="K2951" i="231"/>
  <c r="J2951" i="231"/>
  <c r="K2950" i="231"/>
  <c r="J2950" i="231"/>
  <c r="K2949" i="231"/>
  <c r="J2949" i="231"/>
  <c r="K2948" i="231"/>
  <c r="J2948" i="231"/>
  <c r="K2947" i="231"/>
  <c r="J2947" i="231"/>
  <c r="K2946" i="231"/>
  <c r="J2946" i="231"/>
  <c r="K2945" i="231"/>
  <c r="J2945" i="231"/>
  <c r="K2944" i="231"/>
  <c r="J2944" i="231"/>
  <c r="K2943" i="231"/>
  <c r="J2943" i="231"/>
  <c r="K2942" i="231"/>
  <c r="J2942" i="231"/>
  <c r="K2941" i="231"/>
  <c r="J2941" i="231"/>
  <c r="K2940" i="231"/>
  <c r="J2940" i="231"/>
  <c r="K2939" i="231"/>
  <c r="J2939" i="231"/>
  <c r="K2938" i="231"/>
  <c r="J2938" i="231"/>
  <c r="K2937" i="231"/>
  <c r="J2937" i="231"/>
  <c r="K2936" i="231"/>
  <c r="J2936" i="231"/>
  <c r="K2935" i="231"/>
  <c r="J2935" i="231"/>
  <c r="K2934" i="231"/>
  <c r="J2934" i="231"/>
  <c r="K2933" i="231"/>
  <c r="J2933" i="231"/>
  <c r="K2932" i="231"/>
  <c r="J2932" i="231"/>
  <c r="K2931" i="231"/>
  <c r="J2931" i="231"/>
  <c r="K2930" i="231"/>
  <c r="J2930" i="231"/>
  <c r="K2929" i="231"/>
  <c r="J2929" i="231"/>
  <c r="K2928" i="231"/>
  <c r="J2928" i="231"/>
  <c r="K2927" i="231"/>
  <c r="J2927" i="231"/>
  <c r="K2926" i="231"/>
  <c r="J2926" i="231"/>
  <c r="K2925" i="231"/>
  <c r="J2925" i="231"/>
  <c r="K2924" i="231"/>
  <c r="J2924" i="231"/>
  <c r="K2923" i="231"/>
  <c r="J2923" i="231"/>
  <c r="K2922" i="231"/>
  <c r="J2922" i="231"/>
  <c r="K2921" i="231"/>
  <c r="J2921" i="231"/>
  <c r="K2920" i="231"/>
  <c r="J2920" i="231"/>
  <c r="K2919" i="231"/>
  <c r="J2919" i="231"/>
  <c r="K2918" i="231"/>
  <c r="J2918" i="231"/>
  <c r="K2917" i="231"/>
  <c r="J2917" i="231"/>
  <c r="K2916" i="231"/>
  <c r="J2916" i="231"/>
  <c r="K2915" i="231"/>
  <c r="J2915" i="231"/>
  <c r="K2914" i="231"/>
  <c r="J2914" i="231"/>
  <c r="K2913" i="231"/>
  <c r="J2913" i="231"/>
  <c r="K2912" i="231"/>
  <c r="J2912" i="231"/>
  <c r="K2911" i="231"/>
  <c r="J2911" i="231"/>
  <c r="K2910" i="231"/>
  <c r="J2910" i="231"/>
  <c r="K2909" i="231"/>
  <c r="J2909" i="231"/>
  <c r="K2908" i="231"/>
  <c r="J2908" i="231"/>
  <c r="K2907" i="231"/>
  <c r="J2907" i="231"/>
  <c r="K2906" i="231"/>
  <c r="J2906" i="231"/>
  <c r="K2905" i="231"/>
  <c r="J2905" i="231"/>
  <c r="K2904" i="231"/>
  <c r="J2904" i="231"/>
  <c r="K2903" i="231"/>
  <c r="J2903" i="231"/>
  <c r="K2902" i="231"/>
  <c r="J2902" i="231"/>
  <c r="K2901" i="231"/>
  <c r="J2901" i="231"/>
  <c r="K2900" i="231"/>
  <c r="J2900" i="231"/>
  <c r="K2899" i="231"/>
  <c r="J2899" i="231"/>
  <c r="K2898" i="231"/>
  <c r="J2898" i="231"/>
  <c r="K2897" i="231"/>
  <c r="J2897" i="231"/>
  <c r="K2896" i="231"/>
  <c r="J2896" i="231"/>
  <c r="K2895" i="231"/>
  <c r="J2895" i="231"/>
  <c r="K2894" i="231"/>
  <c r="J2894" i="231"/>
  <c r="K2893" i="231"/>
  <c r="J2893" i="231"/>
  <c r="K2892" i="231"/>
  <c r="J2892" i="231"/>
  <c r="K2891" i="231"/>
  <c r="J2891" i="231"/>
  <c r="K2890" i="231"/>
  <c r="J2890" i="231"/>
  <c r="K2889" i="231"/>
  <c r="J2889" i="231"/>
  <c r="K2888" i="231"/>
  <c r="J2888" i="231"/>
  <c r="K2887" i="231"/>
  <c r="J2887" i="231"/>
  <c r="K2886" i="231"/>
  <c r="J2886" i="231"/>
  <c r="K2885" i="231"/>
  <c r="J2885" i="231"/>
  <c r="K2884" i="231"/>
  <c r="J2884" i="231"/>
  <c r="K2883" i="231"/>
  <c r="J2883" i="231"/>
  <c r="K2882" i="231"/>
  <c r="J2882" i="231"/>
  <c r="K2881" i="231"/>
  <c r="J2881" i="231"/>
  <c r="K2880" i="231"/>
  <c r="J2880" i="231"/>
  <c r="K2879" i="231"/>
  <c r="J2879" i="231"/>
  <c r="K2878" i="231"/>
  <c r="J2878" i="231"/>
  <c r="K2877" i="231"/>
  <c r="J2877" i="231"/>
  <c r="K2876" i="231"/>
  <c r="J2876" i="231"/>
  <c r="K2875" i="231"/>
  <c r="J2875" i="231"/>
  <c r="K2874" i="231"/>
  <c r="J2874" i="231"/>
  <c r="K2873" i="231"/>
  <c r="J2873" i="231"/>
  <c r="K2872" i="231"/>
  <c r="J2872" i="231"/>
  <c r="K2871" i="231"/>
  <c r="J2871" i="231"/>
  <c r="K2870" i="231"/>
  <c r="J2870" i="231"/>
  <c r="K2869" i="231"/>
  <c r="J2869" i="231"/>
  <c r="K2868" i="231"/>
  <c r="J2868" i="231"/>
  <c r="K2867" i="231"/>
  <c r="J2867" i="231"/>
  <c r="K2866" i="231"/>
  <c r="J2866" i="231"/>
  <c r="K2865" i="231"/>
  <c r="J2865" i="231"/>
  <c r="K2864" i="231"/>
  <c r="J2864" i="231"/>
  <c r="K2863" i="231"/>
  <c r="J2863" i="231"/>
  <c r="K2862" i="231"/>
  <c r="J2862" i="231"/>
  <c r="K2861" i="231"/>
  <c r="J2861" i="231"/>
  <c r="K2860" i="231"/>
  <c r="J2860" i="231"/>
  <c r="K2859" i="231"/>
  <c r="J2859" i="231"/>
  <c r="K2858" i="231"/>
  <c r="J2858" i="231"/>
  <c r="K2857" i="231"/>
  <c r="J2857" i="231"/>
  <c r="K2856" i="231"/>
  <c r="J2856" i="231"/>
  <c r="K2855" i="231"/>
  <c r="J2855" i="231"/>
  <c r="K2854" i="231"/>
  <c r="J2854" i="231"/>
  <c r="K2853" i="231"/>
  <c r="J2853" i="231"/>
  <c r="K2852" i="231"/>
  <c r="J2852" i="231"/>
  <c r="K2851" i="231"/>
  <c r="J2851" i="231"/>
  <c r="K2850" i="231"/>
  <c r="J2850" i="231"/>
  <c r="K2849" i="231"/>
  <c r="J2849" i="231"/>
  <c r="K2848" i="231"/>
  <c r="J2848" i="231"/>
  <c r="K2847" i="231"/>
  <c r="J2847" i="231"/>
  <c r="K2846" i="231"/>
  <c r="J2846" i="231"/>
  <c r="K2845" i="231"/>
  <c r="J2845" i="231"/>
  <c r="K2844" i="231"/>
  <c r="J2844" i="231"/>
  <c r="K2843" i="231"/>
  <c r="J2843" i="231"/>
  <c r="K2842" i="231"/>
  <c r="J2842" i="231"/>
  <c r="K2841" i="231"/>
  <c r="J2841" i="231"/>
  <c r="K2840" i="231"/>
  <c r="J2840" i="231"/>
  <c r="K2839" i="231"/>
  <c r="J2839" i="231"/>
  <c r="K2838" i="231"/>
  <c r="J2838" i="231"/>
  <c r="K2837" i="231"/>
  <c r="J2837" i="231"/>
  <c r="K2836" i="231"/>
  <c r="J2836" i="231"/>
  <c r="K2835" i="231"/>
  <c r="J2835" i="231"/>
  <c r="K2834" i="231"/>
  <c r="J2834" i="231"/>
  <c r="K2833" i="231"/>
  <c r="J2833" i="231"/>
  <c r="K2832" i="231"/>
  <c r="J2832" i="231"/>
  <c r="K2831" i="231"/>
  <c r="J2831" i="231"/>
  <c r="K2830" i="231"/>
  <c r="J2830" i="231"/>
  <c r="K2829" i="231"/>
  <c r="J2829" i="231"/>
  <c r="K2828" i="231"/>
  <c r="J2828" i="231"/>
  <c r="K2827" i="231"/>
  <c r="J2827" i="231"/>
  <c r="K2826" i="231"/>
  <c r="J2826" i="231"/>
  <c r="K2825" i="231"/>
  <c r="J2825" i="231"/>
  <c r="K2824" i="231"/>
  <c r="J2824" i="231"/>
  <c r="K2823" i="231"/>
  <c r="J2823" i="231"/>
  <c r="K2822" i="231"/>
  <c r="J2822" i="231"/>
  <c r="K2821" i="231"/>
  <c r="J2821" i="231"/>
  <c r="K2820" i="231"/>
  <c r="J2820" i="231"/>
  <c r="K2819" i="231"/>
  <c r="J2819" i="231"/>
  <c r="K2818" i="231"/>
  <c r="J2818" i="231"/>
  <c r="K2817" i="231"/>
  <c r="J2817" i="231"/>
  <c r="K2816" i="231"/>
  <c r="J2816" i="231"/>
  <c r="K2815" i="231"/>
  <c r="J2815" i="231"/>
  <c r="K2814" i="231"/>
  <c r="J2814" i="231"/>
  <c r="K2813" i="231"/>
  <c r="J2813" i="231"/>
  <c r="K2812" i="231"/>
  <c r="J2812" i="231"/>
  <c r="K2811" i="231"/>
  <c r="J2811" i="231"/>
  <c r="K2810" i="231"/>
  <c r="J2810" i="231"/>
  <c r="K2809" i="231"/>
  <c r="J2809" i="231"/>
  <c r="K2808" i="231"/>
  <c r="J2808" i="231"/>
  <c r="K2807" i="231"/>
  <c r="J2807" i="231"/>
  <c r="K2806" i="231"/>
  <c r="J2806" i="231"/>
  <c r="K2805" i="231"/>
  <c r="J2805" i="231"/>
  <c r="K2804" i="231"/>
  <c r="J2804" i="231"/>
  <c r="K2803" i="231"/>
  <c r="J2803" i="231"/>
  <c r="K2802" i="231"/>
  <c r="J2802" i="231"/>
  <c r="K2801" i="231"/>
  <c r="J2801" i="231"/>
  <c r="K2800" i="231"/>
  <c r="J2800" i="231"/>
  <c r="K2799" i="231"/>
  <c r="J2799" i="231"/>
  <c r="K2798" i="231"/>
  <c r="J2798" i="231"/>
  <c r="K2797" i="231"/>
  <c r="J2797" i="231"/>
  <c r="K2796" i="231"/>
  <c r="J2796" i="231"/>
  <c r="K2795" i="231"/>
  <c r="J2795" i="231"/>
  <c r="K2794" i="231"/>
  <c r="J2794" i="231"/>
  <c r="K2793" i="231"/>
  <c r="J2793" i="231"/>
  <c r="K2792" i="231"/>
  <c r="J2792" i="231"/>
  <c r="K2791" i="231"/>
  <c r="J2791" i="231"/>
  <c r="K2790" i="231"/>
  <c r="J2790" i="231"/>
  <c r="K2789" i="231"/>
  <c r="J2789" i="231"/>
  <c r="K2788" i="231"/>
  <c r="J2788" i="231"/>
  <c r="K2787" i="231"/>
  <c r="J2787" i="231"/>
  <c r="K2786" i="231"/>
  <c r="J2786" i="231"/>
  <c r="K2785" i="231"/>
  <c r="J2785" i="231"/>
  <c r="K2784" i="231"/>
  <c r="J2784" i="231"/>
  <c r="K2783" i="231"/>
  <c r="J2783" i="231"/>
  <c r="K2782" i="231"/>
  <c r="J2782" i="231"/>
  <c r="K2781" i="231"/>
  <c r="J2781" i="231"/>
  <c r="K2780" i="231"/>
  <c r="J2780" i="231"/>
  <c r="K2779" i="231"/>
  <c r="J2779" i="231"/>
  <c r="K2778" i="231"/>
  <c r="J2778" i="231"/>
  <c r="K2777" i="231"/>
  <c r="J2777" i="231"/>
  <c r="K2776" i="231"/>
  <c r="J2776" i="231"/>
  <c r="K2775" i="231"/>
  <c r="J2775" i="231"/>
  <c r="K2774" i="231"/>
  <c r="J2774" i="231"/>
  <c r="K2773" i="231"/>
  <c r="J2773" i="231"/>
  <c r="K2772" i="231"/>
  <c r="J2772" i="231"/>
  <c r="K2771" i="231"/>
  <c r="J2771" i="231"/>
  <c r="K2770" i="231"/>
  <c r="J2770" i="231"/>
  <c r="K2769" i="231"/>
  <c r="J2769" i="231"/>
  <c r="K2768" i="231"/>
  <c r="J2768" i="231"/>
  <c r="K2767" i="231"/>
  <c r="J2767" i="231"/>
  <c r="K2766" i="231"/>
  <c r="J2766" i="231"/>
  <c r="K2765" i="231"/>
  <c r="J2765" i="231"/>
  <c r="K2764" i="231"/>
  <c r="J2764" i="231"/>
  <c r="K2763" i="231"/>
  <c r="J2763" i="231"/>
  <c r="K2762" i="231"/>
  <c r="J2762" i="231"/>
  <c r="K2761" i="231"/>
  <c r="J2761" i="231"/>
  <c r="K2760" i="231"/>
  <c r="J2760" i="231"/>
  <c r="K2759" i="231"/>
  <c r="J2759" i="231"/>
  <c r="K2758" i="231"/>
  <c r="J2758" i="231"/>
  <c r="K2757" i="231"/>
  <c r="J2757" i="231"/>
  <c r="K2756" i="231"/>
  <c r="J2756" i="231"/>
  <c r="K2755" i="231"/>
  <c r="J2755" i="231"/>
  <c r="K2754" i="231"/>
  <c r="J2754" i="231"/>
  <c r="K2753" i="231"/>
  <c r="J2753" i="231"/>
  <c r="K2752" i="231"/>
  <c r="J2752" i="231"/>
  <c r="K2751" i="231"/>
  <c r="J2751" i="231"/>
  <c r="K2750" i="231"/>
  <c r="J2750" i="231"/>
  <c r="K2749" i="231"/>
  <c r="J2749" i="231"/>
  <c r="K2748" i="231"/>
  <c r="J2748" i="231"/>
  <c r="K2747" i="231"/>
  <c r="J2747" i="231"/>
  <c r="K2746" i="231"/>
  <c r="J2746" i="231"/>
  <c r="K2745" i="231"/>
  <c r="J2745" i="231"/>
  <c r="K2744" i="231"/>
  <c r="J2744" i="231"/>
  <c r="K2743" i="231"/>
  <c r="J2743" i="231"/>
  <c r="K2742" i="231"/>
  <c r="J2742" i="231"/>
  <c r="K2741" i="231"/>
  <c r="J2741" i="231"/>
  <c r="K2740" i="231"/>
  <c r="J2740" i="231"/>
  <c r="K2739" i="231"/>
  <c r="J2739" i="231"/>
  <c r="K2738" i="231"/>
  <c r="J2738" i="231"/>
  <c r="K2737" i="231"/>
  <c r="J2737" i="231"/>
  <c r="K2736" i="231"/>
  <c r="J2736" i="231"/>
  <c r="K2735" i="231"/>
  <c r="J2735" i="231"/>
  <c r="K2734" i="231"/>
  <c r="J2734" i="231"/>
  <c r="K2733" i="231"/>
  <c r="J2733" i="231"/>
  <c r="K2732" i="231"/>
  <c r="J2732" i="231"/>
  <c r="K2731" i="231"/>
  <c r="J2731" i="231"/>
  <c r="K2730" i="231"/>
  <c r="J2730" i="231"/>
  <c r="K2729" i="231"/>
  <c r="J2729" i="231"/>
  <c r="K2728" i="231"/>
  <c r="J2728" i="231"/>
  <c r="K2727" i="231"/>
  <c r="J2727" i="231"/>
  <c r="K2726" i="231"/>
  <c r="J2726" i="231"/>
  <c r="K2725" i="231"/>
  <c r="J2725" i="231"/>
  <c r="K2724" i="231"/>
  <c r="J2724" i="231"/>
  <c r="K2723" i="231"/>
  <c r="J2723" i="231"/>
  <c r="K2722" i="231"/>
  <c r="J2722" i="231"/>
  <c r="K2721" i="231"/>
  <c r="J2721" i="231"/>
  <c r="K2720" i="231"/>
  <c r="J2720" i="231"/>
  <c r="K2719" i="231"/>
  <c r="J2719" i="231"/>
  <c r="K2718" i="231"/>
  <c r="J2718" i="231"/>
  <c r="K2717" i="231"/>
  <c r="J2717" i="231"/>
  <c r="K2716" i="231"/>
  <c r="J2716" i="231"/>
  <c r="K2715" i="231"/>
  <c r="J2715" i="231"/>
  <c r="K2714" i="231"/>
  <c r="J2714" i="231"/>
  <c r="K2713" i="231"/>
  <c r="J2713" i="231"/>
  <c r="K2712" i="231"/>
  <c r="J2712" i="231"/>
  <c r="K2711" i="231"/>
  <c r="J2711" i="231"/>
  <c r="K2710" i="231"/>
  <c r="J2710" i="231"/>
  <c r="K2709" i="231"/>
  <c r="J2709" i="231"/>
  <c r="K2708" i="231"/>
  <c r="J2708" i="231"/>
  <c r="K2707" i="231"/>
  <c r="J2707" i="231"/>
  <c r="K2706" i="231"/>
  <c r="J2706" i="231"/>
  <c r="K2705" i="231"/>
  <c r="J2705" i="231"/>
  <c r="K2704" i="231"/>
  <c r="J2704" i="231"/>
  <c r="K2703" i="231"/>
  <c r="J2703" i="231"/>
  <c r="K2702" i="231"/>
  <c r="J2702" i="231"/>
  <c r="K2701" i="231"/>
  <c r="J2701" i="231"/>
  <c r="K2700" i="231"/>
  <c r="J2700" i="231"/>
  <c r="K2699" i="231"/>
  <c r="J2699" i="231"/>
  <c r="K2698" i="231"/>
  <c r="J2698" i="231"/>
  <c r="K2697" i="231"/>
  <c r="J2697" i="231"/>
  <c r="K2696" i="231"/>
  <c r="J2696" i="231"/>
  <c r="K2695" i="231"/>
  <c r="J2695" i="231"/>
  <c r="K2694" i="231"/>
  <c r="J2694" i="231"/>
  <c r="K2693" i="231"/>
  <c r="J2693" i="231"/>
  <c r="K2692" i="231"/>
  <c r="J2692" i="231"/>
  <c r="K2691" i="231"/>
  <c r="J2691" i="231"/>
  <c r="K2690" i="231"/>
  <c r="J2690" i="231"/>
  <c r="K2689" i="231"/>
  <c r="J2689" i="231"/>
  <c r="K2688" i="231"/>
  <c r="J2688" i="231"/>
  <c r="K2687" i="231"/>
  <c r="J2687" i="231"/>
  <c r="K2686" i="231"/>
  <c r="J2686" i="231"/>
  <c r="K2685" i="231"/>
  <c r="J2685" i="231"/>
  <c r="K2684" i="231"/>
  <c r="J2684" i="231"/>
  <c r="K2683" i="231"/>
  <c r="J2683" i="231"/>
  <c r="K2682" i="231"/>
  <c r="J2682" i="231"/>
  <c r="K2681" i="231"/>
  <c r="J2681" i="231"/>
  <c r="K2680" i="231"/>
  <c r="J2680" i="231"/>
  <c r="K2679" i="231"/>
  <c r="J2679" i="231"/>
  <c r="K2678" i="231"/>
  <c r="J2678" i="231"/>
  <c r="K2677" i="231"/>
  <c r="J2677" i="231"/>
  <c r="K2676" i="231"/>
  <c r="J2676" i="231"/>
  <c r="K2675" i="231"/>
  <c r="J2675" i="231"/>
  <c r="K2674" i="231"/>
  <c r="J2674" i="231"/>
  <c r="K2673" i="231"/>
  <c r="J2673" i="231"/>
  <c r="K2672" i="231"/>
  <c r="J2672" i="231"/>
  <c r="K2671" i="231"/>
  <c r="J2671" i="231"/>
  <c r="K2670" i="231"/>
  <c r="J2670" i="231"/>
  <c r="K2669" i="231"/>
  <c r="J2669" i="231"/>
  <c r="K2668" i="231"/>
  <c r="J2668" i="231"/>
  <c r="K2667" i="231"/>
  <c r="J2667" i="231"/>
  <c r="K2666" i="231"/>
  <c r="J2666" i="231"/>
  <c r="K2665" i="231"/>
  <c r="J2665" i="231"/>
  <c r="K2664" i="231"/>
  <c r="J2664" i="231"/>
  <c r="K2663" i="231"/>
  <c r="J2663" i="231"/>
  <c r="K2662" i="231"/>
  <c r="J2662" i="231"/>
  <c r="K2661" i="231"/>
  <c r="J2661" i="231"/>
  <c r="K2660" i="231"/>
  <c r="J2660" i="231"/>
  <c r="K2659" i="231"/>
  <c r="J2659" i="231"/>
  <c r="K2658" i="231"/>
  <c r="J2658" i="231"/>
  <c r="K2657" i="231"/>
  <c r="J2657" i="231"/>
  <c r="K2656" i="231"/>
  <c r="J2656" i="231"/>
  <c r="K2655" i="231"/>
  <c r="J2655" i="231"/>
  <c r="K2654" i="231"/>
  <c r="J2654" i="231"/>
  <c r="K2653" i="231"/>
  <c r="J2653" i="231"/>
  <c r="K2652" i="231"/>
  <c r="J2652" i="231"/>
  <c r="K2651" i="231"/>
  <c r="J2651" i="231"/>
  <c r="K2650" i="231"/>
  <c r="J2650" i="231"/>
  <c r="K2649" i="231"/>
  <c r="J2649" i="231"/>
  <c r="K2648" i="231"/>
  <c r="J2648" i="231"/>
  <c r="K2647" i="231"/>
  <c r="J2647" i="231"/>
  <c r="K2646" i="231"/>
  <c r="J2646" i="231"/>
  <c r="K2645" i="231"/>
  <c r="J2645" i="231"/>
  <c r="K2644" i="231"/>
  <c r="J2644" i="231"/>
  <c r="K2643" i="231"/>
  <c r="J2643" i="231"/>
  <c r="K2642" i="231"/>
  <c r="J2642" i="231"/>
  <c r="K2641" i="231"/>
  <c r="J2641" i="231"/>
  <c r="K2640" i="231"/>
  <c r="J2640" i="231"/>
  <c r="K2639" i="231"/>
  <c r="J2639" i="231"/>
  <c r="K2638" i="231"/>
  <c r="J2638" i="231"/>
  <c r="K2637" i="231"/>
  <c r="J2637" i="231"/>
  <c r="K2636" i="231"/>
  <c r="J2636" i="231"/>
  <c r="K2635" i="231"/>
  <c r="J2635" i="231"/>
  <c r="K2634" i="231"/>
  <c r="J2634" i="231"/>
  <c r="K2633" i="231"/>
  <c r="J2633" i="231"/>
  <c r="K2632" i="231"/>
  <c r="J2632" i="231"/>
  <c r="K2631" i="231"/>
  <c r="J2631" i="231"/>
  <c r="K2630" i="231"/>
  <c r="J2630" i="231"/>
  <c r="K2629" i="231"/>
  <c r="J2629" i="231"/>
  <c r="K2628" i="231"/>
  <c r="J2628" i="231"/>
  <c r="K2627" i="231"/>
  <c r="J2627" i="231"/>
  <c r="K2626" i="231"/>
  <c r="J2626" i="231"/>
  <c r="K2625" i="231"/>
  <c r="J2625" i="231"/>
  <c r="K2624" i="231"/>
  <c r="J2624" i="231"/>
  <c r="K2623" i="231"/>
  <c r="J2623" i="231"/>
  <c r="K2622" i="231"/>
  <c r="J2622" i="231"/>
  <c r="K2621" i="231"/>
  <c r="J2621" i="231"/>
  <c r="K2620" i="231"/>
  <c r="J2620" i="231"/>
  <c r="K2619" i="231"/>
  <c r="J2619" i="231"/>
  <c r="K2618" i="231"/>
  <c r="J2618" i="231"/>
  <c r="K2617" i="231"/>
  <c r="J2617" i="231"/>
  <c r="K2616" i="231"/>
  <c r="J2616" i="231"/>
  <c r="K2615" i="231"/>
  <c r="J2615" i="231"/>
  <c r="K2614" i="231"/>
  <c r="J2614" i="231"/>
  <c r="K2613" i="231"/>
  <c r="J2613" i="231"/>
  <c r="K2612" i="231"/>
  <c r="J2612" i="231"/>
  <c r="K2611" i="231"/>
  <c r="J2611" i="231"/>
  <c r="K2610" i="231"/>
  <c r="J2610" i="231"/>
  <c r="K2609" i="231"/>
  <c r="J2609" i="231"/>
  <c r="K2608" i="231"/>
  <c r="J2608" i="231"/>
  <c r="K2607" i="231"/>
  <c r="J2607" i="231"/>
  <c r="K2606" i="231"/>
  <c r="J2606" i="231"/>
  <c r="K2605" i="231"/>
  <c r="J2605" i="231"/>
  <c r="K2604" i="231"/>
  <c r="J2604" i="231"/>
  <c r="K2603" i="231"/>
  <c r="J2603" i="231"/>
  <c r="K2602" i="231"/>
  <c r="J2602" i="231"/>
  <c r="K2601" i="231"/>
  <c r="J2601" i="231"/>
  <c r="K2600" i="231"/>
  <c r="J2600" i="231"/>
  <c r="K2599" i="231"/>
  <c r="J2599" i="231"/>
  <c r="K2598" i="231"/>
  <c r="J2598" i="231"/>
  <c r="K2597" i="231"/>
  <c r="J2597" i="231"/>
  <c r="K2596" i="231"/>
  <c r="J2596" i="231"/>
  <c r="K2595" i="231"/>
  <c r="J2595" i="231"/>
  <c r="K2594" i="231"/>
  <c r="J2594" i="231"/>
  <c r="K2593" i="231"/>
  <c r="J2593" i="231"/>
  <c r="K2592" i="231"/>
  <c r="J2592" i="231"/>
  <c r="K2591" i="231"/>
  <c r="J2591" i="231"/>
  <c r="K2590" i="231"/>
  <c r="J2590" i="231"/>
  <c r="K2589" i="231"/>
  <c r="J2589" i="231"/>
  <c r="K2588" i="231"/>
  <c r="J2588" i="231"/>
  <c r="K2587" i="231"/>
  <c r="J2587" i="231"/>
  <c r="K2586" i="231"/>
  <c r="J2586" i="231"/>
  <c r="K2585" i="231"/>
  <c r="J2585" i="231"/>
  <c r="K2584" i="231"/>
  <c r="J2584" i="231"/>
  <c r="K2583" i="231"/>
  <c r="J2583" i="231"/>
  <c r="K2582" i="231"/>
  <c r="J2582" i="231"/>
  <c r="K2581" i="231"/>
  <c r="J2581" i="231"/>
  <c r="K2580" i="231"/>
  <c r="J2580" i="231"/>
  <c r="K2579" i="231"/>
  <c r="J2579" i="231"/>
  <c r="K2578" i="231"/>
  <c r="J2578" i="231"/>
  <c r="K2577" i="231"/>
  <c r="J2577" i="231"/>
  <c r="K2576" i="231"/>
  <c r="J2576" i="231"/>
  <c r="K2575" i="231"/>
  <c r="J2575" i="231"/>
  <c r="K2574" i="231"/>
  <c r="J2574" i="231"/>
  <c r="K2573" i="231"/>
  <c r="J2573" i="231"/>
  <c r="K2572" i="231"/>
  <c r="J2572" i="231"/>
  <c r="K2571" i="231"/>
  <c r="J2571" i="231"/>
  <c r="K2570" i="231"/>
  <c r="J2570" i="231"/>
  <c r="K2569" i="231"/>
  <c r="J2569" i="231"/>
  <c r="K2568" i="231"/>
  <c r="J2568" i="231"/>
  <c r="K2567" i="231"/>
  <c r="J2567" i="231"/>
  <c r="K2566" i="231"/>
  <c r="J2566" i="231"/>
  <c r="K2565" i="231"/>
  <c r="J2565" i="231"/>
  <c r="K2564" i="231"/>
  <c r="J2564" i="231"/>
  <c r="K2563" i="231"/>
  <c r="J2563" i="231"/>
  <c r="K2562" i="231"/>
  <c r="J2562" i="231"/>
  <c r="K2561" i="231"/>
  <c r="J2561" i="231"/>
  <c r="K2560" i="231"/>
  <c r="J2560" i="231"/>
  <c r="K2559" i="231"/>
  <c r="J2559" i="231"/>
  <c r="K2558" i="231"/>
  <c r="J2558" i="231"/>
  <c r="K2557" i="231"/>
  <c r="J2557" i="231"/>
  <c r="K2556" i="231"/>
  <c r="J2556" i="231"/>
  <c r="K2555" i="231"/>
  <c r="J2555" i="231"/>
  <c r="K2554" i="231"/>
  <c r="J2554" i="231"/>
  <c r="K2553" i="231"/>
  <c r="J2553" i="231"/>
  <c r="K2552" i="231"/>
  <c r="J2552" i="231"/>
  <c r="K2551" i="231"/>
  <c r="J2551" i="231"/>
  <c r="K2550" i="231"/>
  <c r="J2550" i="231"/>
  <c r="K2549" i="231"/>
  <c r="J2549" i="231"/>
  <c r="K2548" i="231"/>
  <c r="J2548" i="231"/>
  <c r="K2547" i="231"/>
  <c r="J2547" i="231"/>
  <c r="K2546" i="231"/>
  <c r="J2546" i="231"/>
  <c r="K2545" i="231"/>
  <c r="J2545" i="231"/>
  <c r="K2544" i="231"/>
  <c r="J2544" i="231"/>
  <c r="K2543" i="231"/>
  <c r="J2543" i="231"/>
  <c r="K2542" i="231"/>
  <c r="J2542" i="231"/>
  <c r="K2541" i="231"/>
  <c r="J2541" i="231"/>
  <c r="K2540" i="231"/>
  <c r="J2540" i="231"/>
  <c r="K2539" i="231"/>
  <c r="J2539" i="231"/>
  <c r="K2538" i="231"/>
  <c r="J2538" i="231"/>
  <c r="K2537" i="231"/>
  <c r="J2537" i="231"/>
  <c r="K2536" i="231"/>
  <c r="J2536" i="231"/>
  <c r="K2535" i="231"/>
  <c r="J2535" i="231"/>
  <c r="K2534" i="231"/>
  <c r="J2534" i="231"/>
  <c r="K2533" i="231"/>
  <c r="J2533" i="231"/>
  <c r="K2532" i="231"/>
  <c r="J2532" i="231"/>
  <c r="K2531" i="231"/>
  <c r="J2531" i="231"/>
  <c r="K2530" i="231"/>
  <c r="J2530" i="231"/>
  <c r="K2529" i="231"/>
  <c r="J2529" i="231"/>
  <c r="K2528" i="231"/>
  <c r="J2528" i="231"/>
  <c r="K2527" i="231"/>
  <c r="J2527" i="231"/>
  <c r="K2526" i="231"/>
  <c r="J2526" i="231"/>
  <c r="K2525" i="231"/>
  <c r="J2525" i="231"/>
  <c r="K2524" i="231"/>
  <c r="J2524" i="231"/>
  <c r="K2523" i="231"/>
  <c r="J2523" i="231"/>
  <c r="K2522" i="231"/>
  <c r="J2522" i="231"/>
  <c r="K2521" i="231"/>
  <c r="J2521" i="231"/>
  <c r="K2520" i="231"/>
  <c r="J2520" i="231"/>
  <c r="K2519" i="231"/>
  <c r="J2519" i="231"/>
  <c r="K2518" i="231"/>
  <c r="J2518" i="231"/>
  <c r="K2517" i="231"/>
  <c r="J2517" i="231"/>
  <c r="K2516" i="231"/>
  <c r="J2516" i="231"/>
  <c r="K2515" i="231"/>
  <c r="J2515" i="231"/>
  <c r="K2514" i="231"/>
  <c r="J2514" i="231"/>
  <c r="K2513" i="231"/>
  <c r="J2513" i="231"/>
  <c r="K2512" i="231"/>
  <c r="J2512" i="231"/>
  <c r="K2511" i="231"/>
  <c r="J2511" i="231"/>
  <c r="K2510" i="231"/>
  <c r="J2510" i="231"/>
  <c r="K2509" i="231"/>
  <c r="J2509" i="231"/>
  <c r="K2508" i="231"/>
  <c r="J2508" i="231"/>
  <c r="K2507" i="231"/>
  <c r="J2507" i="231"/>
  <c r="K2506" i="231"/>
  <c r="J2506" i="231"/>
  <c r="K2505" i="231"/>
  <c r="J2505" i="231"/>
  <c r="K2504" i="231"/>
  <c r="J2504" i="231"/>
  <c r="K2503" i="231"/>
  <c r="J2503" i="231"/>
  <c r="K2502" i="231"/>
  <c r="J2502" i="231"/>
  <c r="K2501" i="231"/>
  <c r="J2501" i="231"/>
  <c r="K2500" i="231"/>
  <c r="J2500" i="231"/>
  <c r="K2499" i="231"/>
  <c r="J2499" i="231"/>
  <c r="K2498" i="231"/>
  <c r="J2498" i="231"/>
  <c r="K2497" i="231"/>
  <c r="J2497" i="231"/>
  <c r="K2496" i="231"/>
  <c r="J2496" i="231"/>
  <c r="K2495" i="231"/>
  <c r="J2495" i="231"/>
  <c r="K2494" i="231"/>
  <c r="J2494" i="231"/>
  <c r="K2493" i="231"/>
  <c r="J2493" i="231"/>
  <c r="K2492" i="231"/>
  <c r="J2492" i="231"/>
  <c r="K2491" i="231"/>
  <c r="J2491" i="231"/>
  <c r="K2490" i="231"/>
  <c r="J2490" i="231"/>
  <c r="K2489" i="231"/>
  <c r="J2489" i="231"/>
  <c r="K2488" i="231"/>
  <c r="J2488" i="231"/>
  <c r="K2487" i="231"/>
  <c r="J2487" i="231"/>
  <c r="K2486" i="231"/>
  <c r="J2486" i="231"/>
  <c r="K2485" i="231"/>
  <c r="J2485" i="231"/>
  <c r="K2484" i="231"/>
  <c r="J2484" i="231"/>
  <c r="K2483" i="231"/>
  <c r="J2483" i="231"/>
  <c r="K2482" i="231"/>
  <c r="J2482" i="231"/>
  <c r="K2481" i="231"/>
  <c r="J2481" i="231"/>
  <c r="K2480" i="231"/>
  <c r="J2480" i="231"/>
  <c r="K2479" i="231"/>
  <c r="J2479" i="231"/>
  <c r="K2478" i="231"/>
  <c r="J2478" i="231"/>
  <c r="K2477" i="231"/>
  <c r="J2477" i="231"/>
  <c r="K2476" i="231"/>
  <c r="J2476" i="231"/>
  <c r="K2475" i="231"/>
  <c r="J2475" i="231"/>
  <c r="K2474" i="231"/>
  <c r="J2474" i="231"/>
  <c r="K2473" i="231"/>
  <c r="J2473" i="231"/>
  <c r="K2472" i="231"/>
  <c r="J2472" i="231"/>
  <c r="K2471" i="231"/>
  <c r="J2471" i="231"/>
  <c r="K2470" i="231"/>
  <c r="J2470" i="231"/>
  <c r="K2469" i="231"/>
  <c r="J2469" i="231"/>
  <c r="K2468" i="231"/>
  <c r="J2468" i="231"/>
  <c r="K2467" i="231"/>
  <c r="J2467" i="231"/>
  <c r="K2466" i="231"/>
  <c r="J2466" i="231"/>
  <c r="K2465" i="231"/>
  <c r="J2465" i="231"/>
  <c r="K2464" i="231"/>
  <c r="J2464" i="231"/>
  <c r="K2463" i="231"/>
  <c r="J2463" i="231"/>
  <c r="K2462" i="231"/>
  <c r="J2462" i="231"/>
  <c r="K2461" i="231"/>
  <c r="J2461" i="231"/>
  <c r="K2460" i="231"/>
  <c r="J2460" i="231"/>
  <c r="K2459" i="231"/>
  <c r="J2459" i="231"/>
  <c r="K2458" i="231"/>
  <c r="J2458" i="231"/>
  <c r="K2457" i="231"/>
  <c r="J2457" i="231"/>
  <c r="K2456" i="231"/>
  <c r="J2456" i="231"/>
  <c r="K2455" i="231"/>
  <c r="J2455" i="231"/>
  <c r="K2454" i="231"/>
  <c r="J2454" i="231"/>
  <c r="K2453" i="231"/>
  <c r="J2453" i="231"/>
  <c r="K2452" i="231"/>
  <c r="J2452" i="231"/>
  <c r="K2451" i="231"/>
  <c r="J2451" i="231"/>
  <c r="K2450" i="231"/>
  <c r="J2450" i="231"/>
  <c r="K2449" i="231"/>
  <c r="J2449" i="231"/>
  <c r="K2448" i="231"/>
  <c r="J2448" i="231"/>
  <c r="K2447" i="231"/>
  <c r="J2447" i="231"/>
  <c r="K2446" i="231"/>
  <c r="J2446" i="231"/>
  <c r="K2445" i="231"/>
  <c r="J2445" i="231"/>
  <c r="K2444" i="231"/>
  <c r="J2444" i="231"/>
  <c r="K2443" i="231"/>
  <c r="J2443" i="231"/>
  <c r="K2442" i="231"/>
  <c r="J2442" i="231"/>
  <c r="K2441" i="231"/>
  <c r="J2441" i="231"/>
  <c r="K2440" i="231"/>
  <c r="J2440" i="231"/>
  <c r="K2439" i="231"/>
  <c r="J2439" i="231"/>
  <c r="K2438" i="231"/>
  <c r="J2438" i="231"/>
  <c r="K2437" i="231"/>
  <c r="J2437" i="231"/>
  <c r="K2436" i="231"/>
  <c r="J2436" i="231"/>
  <c r="K2435" i="231"/>
  <c r="J2435" i="231"/>
  <c r="K2434" i="231"/>
  <c r="J2434" i="231"/>
  <c r="K2433" i="231"/>
  <c r="J2433" i="231"/>
  <c r="K2432" i="231"/>
  <c r="J2432" i="231"/>
  <c r="K2431" i="231"/>
  <c r="J2431" i="231"/>
  <c r="K2430" i="231"/>
  <c r="J2430" i="231"/>
  <c r="K2429" i="231"/>
  <c r="J2429" i="231"/>
  <c r="K2428" i="231"/>
  <c r="J2428" i="231"/>
  <c r="K2427" i="231"/>
  <c r="J2427" i="231"/>
  <c r="K2426" i="231"/>
  <c r="J2426" i="231"/>
  <c r="K2425" i="231"/>
  <c r="J2425" i="231"/>
  <c r="K2424" i="231"/>
  <c r="J2424" i="231"/>
  <c r="K2423" i="231"/>
  <c r="J2423" i="231"/>
  <c r="K2422" i="231"/>
  <c r="J2422" i="231"/>
  <c r="K2421" i="231"/>
  <c r="J2421" i="231"/>
  <c r="K2420" i="231"/>
  <c r="J2420" i="231"/>
  <c r="K2419" i="231"/>
  <c r="J2419" i="231"/>
  <c r="K2418" i="231"/>
  <c r="J2418" i="231"/>
  <c r="K2417" i="231"/>
  <c r="J2417" i="231"/>
  <c r="K2416" i="231"/>
  <c r="J2416" i="231"/>
  <c r="K2415" i="231"/>
  <c r="J2415" i="231"/>
  <c r="K2414" i="231"/>
  <c r="J2414" i="231"/>
  <c r="K2413" i="231"/>
  <c r="J2413" i="231"/>
  <c r="K2412" i="231"/>
  <c r="J2412" i="231"/>
  <c r="K2411" i="231"/>
  <c r="J2411" i="231"/>
  <c r="K2410" i="231"/>
  <c r="J2410" i="231"/>
  <c r="K2409" i="231"/>
  <c r="J2409" i="231"/>
  <c r="K2408" i="231"/>
  <c r="J2408" i="231"/>
  <c r="K2407" i="231"/>
  <c r="J2407" i="231"/>
  <c r="K2406" i="231"/>
  <c r="J2406" i="231"/>
  <c r="K2405" i="231"/>
  <c r="J2405" i="231"/>
  <c r="K2404" i="231"/>
  <c r="J2404" i="231"/>
  <c r="K2403" i="231"/>
  <c r="J2403" i="231"/>
  <c r="K2402" i="231"/>
  <c r="J2402" i="231"/>
  <c r="K2401" i="231"/>
  <c r="J2401" i="231"/>
  <c r="K2400" i="231"/>
  <c r="J2400" i="231"/>
  <c r="K2399" i="231"/>
  <c r="J2399" i="231"/>
  <c r="K2398" i="231"/>
  <c r="J2398" i="231"/>
  <c r="K2397" i="231"/>
  <c r="J2397" i="231"/>
  <c r="K2396" i="231"/>
  <c r="J2396" i="231"/>
  <c r="K2395" i="231"/>
  <c r="J2395" i="231"/>
  <c r="K2394" i="231"/>
  <c r="J2394" i="231"/>
  <c r="K2393" i="231"/>
  <c r="J2393" i="231"/>
  <c r="K2392" i="231"/>
  <c r="J2392" i="231"/>
  <c r="K2391" i="231"/>
  <c r="J2391" i="231"/>
  <c r="K2390" i="231"/>
  <c r="J2390" i="231"/>
  <c r="K2389" i="231"/>
  <c r="J2389" i="231"/>
  <c r="K2388" i="231"/>
  <c r="J2388" i="231"/>
  <c r="K2387" i="231"/>
  <c r="J2387" i="231"/>
  <c r="K2386" i="231"/>
  <c r="J2386" i="231"/>
  <c r="K2385" i="231"/>
  <c r="J2385" i="231"/>
  <c r="K2384" i="231"/>
  <c r="J2384" i="231"/>
  <c r="K2383" i="231"/>
  <c r="J2383" i="231"/>
  <c r="K2382" i="231"/>
  <c r="J2382" i="231"/>
  <c r="K2381" i="231"/>
  <c r="J2381" i="231"/>
  <c r="K2380" i="231"/>
  <c r="J2380" i="231"/>
  <c r="K2379" i="231"/>
  <c r="J2379" i="231"/>
  <c r="K2378" i="231"/>
  <c r="J2378" i="231"/>
  <c r="K2377" i="231"/>
  <c r="J2377" i="231"/>
  <c r="K2376" i="231"/>
  <c r="J2376" i="231"/>
  <c r="K2375" i="231"/>
  <c r="J2375" i="231"/>
  <c r="K2374" i="231"/>
  <c r="J2374" i="231"/>
  <c r="K2373" i="231"/>
  <c r="J2373" i="231"/>
  <c r="K2372" i="231"/>
  <c r="J2372" i="231"/>
  <c r="K2371" i="231"/>
  <c r="J2371" i="231"/>
  <c r="K2370" i="231"/>
  <c r="J2370" i="231"/>
  <c r="K2369" i="231"/>
  <c r="J2369" i="231"/>
  <c r="K2368" i="231"/>
  <c r="J2368" i="231"/>
  <c r="K2367" i="231"/>
  <c r="J2367" i="231"/>
  <c r="K2366" i="231"/>
  <c r="J2366" i="231"/>
  <c r="K2365" i="231"/>
  <c r="J2365" i="231"/>
  <c r="K2364" i="231"/>
  <c r="J2364" i="231"/>
  <c r="K2363" i="231"/>
  <c r="J2363" i="231"/>
  <c r="K2362" i="231"/>
  <c r="J2362" i="231"/>
  <c r="K2361" i="231"/>
  <c r="J2361" i="231"/>
  <c r="K2360" i="231"/>
  <c r="J2360" i="231"/>
  <c r="K2359" i="231"/>
  <c r="J2359" i="231"/>
  <c r="K2358" i="231"/>
  <c r="J2358" i="231"/>
  <c r="K2357" i="231"/>
  <c r="J2357" i="231"/>
  <c r="K2356" i="231"/>
  <c r="J2356" i="231"/>
  <c r="K2355" i="231"/>
  <c r="J2355" i="231"/>
  <c r="K2354" i="231"/>
  <c r="J2354" i="231"/>
  <c r="K2353" i="231"/>
  <c r="J2353" i="231"/>
  <c r="K2352" i="231"/>
  <c r="J2352" i="231"/>
  <c r="K2351" i="231"/>
  <c r="J2351" i="231"/>
  <c r="K2350" i="231"/>
  <c r="J2350" i="231"/>
  <c r="K2349" i="231"/>
  <c r="J2349" i="231"/>
  <c r="K2348" i="231"/>
  <c r="J2348" i="231"/>
  <c r="K2347" i="231"/>
  <c r="J2347" i="231"/>
  <c r="K2346" i="231"/>
  <c r="J2346" i="231"/>
  <c r="K2345" i="231"/>
  <c r="J2345" i="231"/>
  <c r="K2344" i="231"/>
  <c r="J2344" i="231"/>
  <c r="K2343" i="231"/>
  <c r="J2343" i="231"/>
  <c r="K2342" i="231"/>
  <c r="J2342" i="231"/>
  <c r="K2341" i="231"/>
  <c r="J2341" i="231"/>
  <c r="K2340" i="231"/>
  <c r="J2340" i="231"/>
  <c r="K2339" i="231"/>
  <c r="J2339" i="231"/>
  <c r="K2338" i="231"/>
  <c r="J2338" i="231"/>
  <c r="K2337" i="231"/>
  <c r="J2337" i="231"/>
  <c r="K2336" i="231"/>
  <c r="J2336" i="231"/>
  <c r="K2335" i="231"/>
  <c r="J2335" i="231"/>
  <c r="K2334" i="231"/>
  <c r="J2334" i="231"/>
  <c r="K2333" i="231"/>
  <c r="J2333" i="231"/>
  <c r="K2332" i="231"/>
  <c r="J2332" i="231"/>
  <c r="K2331" i="231"/>
  <c r="J2331" i="231"/>
  <c r="K2330" i="231"/>
  <c r="J2330" i="231"/>
  <c r="K2329" i="231"/>
  <c r="J2329" i="231"/>
  <c r="K2328" i="231"/>
  <c r="J2328" i="231"/>
  <c r="K2327" i="231"/>
  <c r="J2327" i="231"/>
  <c r="K2326" i="231"/>
  <c r="J2326" i="231"/>
  <c r="K2325" i="231"/>
  <c r="J2325" i="231"/>
  <c r="K2324" i="231"/>
  <c r="J2324" i="231"/>
  <c r="K2323" i="231"/>
  <c r="J2323" i="231"/>
  <c r="K2322" i="231"/>
  <c r="J2322" i="231"/>
  <c r="K2321" i="231"/>
  <c r="J2321" i="231"/>
  <c r="K2320" i="231"/>
  <c r="J2320" i="231"/>
  <c r="K2319" i="231"/>
  <c r="J2319" i="231"/>
  <c r="K2318" i="231"/>
  <c r="J2318" i="231"/>
  <c r="K2317" i="231"/>
  <c r="J2317" i="231"/>
  <c r="K2316" i="231"/>
  <c r="J2316" i="231"/>
  <c r="K2315" i="231"/>
  <c r="J2315" i="231"/>
  <c r="K2314" i="231"/>
  <c r="J2314" i="231"/>
  <c r="K2313" i="231"/>
  <c r="J2313" i="231"/>
  <c r="K2312" i="231"/>
  <c r="J2312" i="231"/>
  <c r="K2311" i="231"/>
  <c r="J2311" i="231"/>
  <c r="K2310" i="231"/>
  <c r="J2310" i="231"/>
  <c r="K2309" i="231"/>
  <c r="J2309" i="231"/>
  <c r="K2308" i="231"/>
  <c r="J2308" i="231"/>
  <c r="K2307" i="231"/>
  <c r="J2307" i="231"/>
  <c r="K2306" i="231"/>
  <c r="J2306" i="231"/>
  <c r="K2305" i="231"/>
  <c r="J2305" i="231"/>
  <c r="K2304" i="231"/>
  <c r="J2304" i="231"/>
  <c r="K2303" i="231"/>
  <c r="J2303" i="231"/>
  <c r="K2302" i="231"/>
  <c r="J2302" i="231"/>
  <c r="K2301" i="231"/>
  <c r="J2301" i="231"/>
  <c r="K2300" i="231"/>
  <c r="J2300" i="231"/>
  <c r="K2299" i="231"/>
  <c r="J2299" i="231"/>
  <c r="K2298" i="231"/>
  <c r="J2298" i="231"/>
  <c r="K2297" i="231"/>
  <c r="J2297" i="231"/>
  <c r="K2296" i="231"/>
  <c r="J2296" i="231"/>
  <c r="K2295" i="231"/>
  <c r="J2295" i="231"/>
  <c r="K2294" i="231"/>
  <c r="J2294" i="231"/>
  <c r="K2293" i="231"/>
  <c r="J2293" i="231"/>
  <c r="K2292" i="231"/>
  <c r="J2292" i="231"/>
  <c r="K2291" i="231"/>
  <c r="J2291" i="231"/>
  <c r="K2290" i="231"/>
  <c r="J2290" i="231"/>
  <c r="K2289" i="231"/>
  <c r="J2289" i="231"/>
  <c r="K2288" i="231"/>
  <c r="J2288" i="231"/>
  <c r="K2287" i="231"/>
  <c r="J2287" i="231"/>
  <c r="K2286" i="231"/>
  <c r="J2286" i="231"/>
  <c r="K2285" i="231"/>
  <c r="J2285" i="231"/>
  <c r="K2284" i="231"/>
  <c r="J2284" i="231"/>
  <c r="K2283" i="231"/>
  <c r="J2283" i="231"/>
  <c r="K2282" i="231"/>
  <c r="J2282" i="231"/>
  <c r="K2281" i="231"/>
  <c r="J2281" i="231"/>
  <c r="K2280" i="231"/>
  <c r="J2280" i="231"/>
  <c r="K2279" i="231"/>
  <c r="J2279" i="231"/>
  <c r="K2278" i="231"/>
  <c r="J2278" i="231"/>
  <c r="K2277" i="231"/>
  <c r="J2277" i="231"/>
  <c r="K2276" i="231"/>
  <c r="J2276" i="231"/>
  <c r="K2275" i="231"/>
  <c r="J2275" i="231"/>
  <c r="K2274" i="231"/>
  <c r="J2274" i="231"/>
  <c r="K2273" i="231"/>
  <c r="J2273" i="231"/>
  <c r="K2272" i="231"/>
  <c r="J2272" i="231"/>
  <c r="K2271" i="231"/>
  <c r="J2271" i="231"/>
  <c r="K2270" i="231"/>
  <c r="J2270" i="231"/>
  <c r="K2269" i="231"/>
  <c r="J2269" i="231"/>
  <c r="K2268" i="231"/>
  <c r="J2268" i="231"/>
  <c r="K2267" i="231"/>
  <c r="J2267" i="231"/>
  <c r="K2266" i="231"/>
  <c r="J2266" i="231"/>
  <c r="K2265" i="231"/>
  <c r="J2265" i="231"/>
  <c r="K2264" i="231"/>
  <c r="J2264" i="231"/>
  <c r="K2263" i="231"/>
  <c r="J2263" i="231"/>
  <c r="K2262" i="231"/>
  <c r="J2262" i="231"/>
  <c r="K2261" i="231"/>
  <c r="J2261" i="231"/>
  <c r="K2260" i="231"/>
  <c r="J2260" i="231"/>
  <c r="K2259" i="231"/>
  <c r="J2259" i="231"/>
  <c r="K2258" i="231"/>
  <c r="J2258" i="231"/>
  <c r="K2257" i="231"/>
  <c r="J2257" i="231"/>
  <c r="K2256" i="231"/>
  <c r="J2256" i="231"/>
  <c r="K2255" i="231"/>
  <c r="J2255" i="231"/>
  <c r="K2254" i="231"/>
  <c r="J2254" i="231"/>
  <c r="K2253" i="231"/>
  <c r="J2253" i="231"/>
  <c r="K2252" i="231"/>
  <c r="J2252" i="231"/>
  <c r="K2251" i="231"/>
  <c r="J2251" i="231"/>
  <c r="K2250" i="231"/>
  <c r="J2250" i="231"/>
  <c r="K2249" i="231"/>
  <c r="J2249" i="231"/>
  <c r="K2248" i="231"/>
  <c r="J2248" i="231"/>
  <c r="K2247" i="231"/>
  <c r="J2247" i="231"/>
  <c r="K2246" i="231"/>
  <c r="J2246" i="231"/>
  <c r="K2245" i="231"/>
  <c r="J2245" i="231"/>
  <c r="K2244" i="231"/>
  <c r="J2244" i="231"/>
  <c r="K2243" i="231"/>
  <c r="J2243" i="231"/>
  <c r="K2242" i="231"/>
  <c r="J2242" i="231"/>
  <c r="K2241" i="231"/>
  <c r="J2241" i="231"/>
  <c r="K2240" i="231"/>
  <c r="J2240" i="231"/>
  <c r="K2239" i="231"/>
  <c r="J2239" i="231"/>
  <c r="K2238" i="231"/>
  <c r="J2238" i="231"/>
  <c r="K2237" i="231"/>
  <c r="J2237" i="231"/>
  <c r="K2236" i="231"/>
  <c r="J2236" i="231"/>
  <c r="K2235" i="231"/>
  <c r="J2235" i="231"/>
  <c r="K2234" i="231"/>
  <c r="J2234" i="231"/>
  <c r="K2233" i="231"/>
  <c r="J2233" i="231"/>
  <c r="K2232" i="231"/>
  <c r="J2232" i="231"/>
  <c r="K2231" i="231"/>
  <c r="J2231" i="231"/>
  <c r="K2230" i="231"/>
  <c r="J2230" i="231"/>
  <c r="K2229" i="231"/>
  <c r="J2229" i="231"/>
  <c r="K2228" i="231"/>
  <c r="J2228" i="231"/>
  <c r="K2227" i="231"/>
  <c r="J2227" i="231"/>
  <c r="K2226" i="231"/>
  <c r="J2226" i="231"/>
  <c r="K2225" i="231"/>
  <c r="J2225" i="231"/>
  <c r="K2224" i="231"/>
  <c r="J2224" i="231"/>
  <c r="K2223" i="231"/>
  <c r="J2223" i="231"/>
  <c r="K2222" i="231"/>
  <c r="J2222" i="231"/>
  <c r="K2221" i="231"/>
  <c r="J2221" i="231"/>
  <c r="K2220" i="231"/>
  <c r="J2220" i="231"/>
  <c r="K2219" i="231"/>
  <c r="J2219" i="231"/>
  <c r="K2218" i="231"/>
  <c r="J2218" i="231"/>
  <c r="K2217" i="231"/>
  <c r="J2217" i="231"/>
  <c r="K2216" i="231"/>
  <c r="J2216" i="231"/>
  <c r="K2215" i="231"/>
  <c r="J2215" i="231"/>
  <c r="K2214" i="231"/>
  <c r="J2214" i="231"/>
  <c r="K2213" i="231"/>
  <c r="J2213" i="231"/>
  <c r="K2212" i="231"/>
  <c r="J2212" i="231"/>
  <c r="K2211" i="231"/>
  <c r="J2211" i="231"/>
  <c r="K2210" i="231"/>
  <c r="J2210" i="231"/>
  <c r="K2209" i="231"/>
  <c r="J2209" i="231"/>
  <c r="K2208" i="231"/>
  <c r="J2208" i="231"/>
  <c r="K2207" i="231"/>
  <c r="J2207" i="231"/>
  <c r="K2206" i="231"/>
  <c r="J2206" i="231"/>
  <c r="K2205" i="231"/>
  <c r="J2205" i="231"/>
  <c r="K2204" i="231"/>
  <c r="J2204" i="231"/>
  <c r="K2203" i="231"/>
  <c r="J2203" i="231"/>
  <c r="K2202" i="231"/>
  <c r="J2202" i="231"/>
  <c r="K2201" i="231"/>
  <c r="J2201" i="231"/>
  <c r="K2200" i="231"/>
  <c r="J2200" i="231"/>
  <c r="K2199" i="231"/>
  <c r="J2199" i="231"/>
  <c r="K2198" i="231"/>
  <c r="J2198" i="231"/>
  <c r="K2197" i="231"/>
  <c r="J2197" i="231"/>
  <c r="K2196" i="231"/>
  <c r="J2196" i="231"/>
  <c r="K2195" i="231"/>
  <c r="J2195" i="231"/>
  <c r="K2194" i="231"/>
  <c r="J2194" i="231"/>
  <c r="K2193" i="231"/>
  <c r="J2193" i="231"/>
  <c r="K2192" i="231"/>
  <c r="J2192" i="231"/>
  <c r="K2191" i="231"/>
  <c r="J2191" i="231"/>
  <c r="K2190" i="231"/>
  <c r="J2190" i="231"/>
  <c r="K2189" i="231"/>
  <c r="J2189" i="231"/>
  <c r="K2188" i="231"/>
  <c r="J2188" i="231"/>
  <c r="K2187" i="231"/>
  <c r="J2187" i="231"/>
  <c r="K2186" i="231"/>
  <c r="J2186" i="231"/>
  <c r="K2185" i="231"/>
  <c r="J2185" i="231"/>
  <c r="K2184" i="231"/>
  <c r="J2184" i="231"/>
  <c r="K2183" i="231"/>
  <c r="J2183" i="231"/>
  <c r="K2182" i="231"/>
  <c r="J2182" i="231"/>
  <c r="K2181" i="231"/>
  <c r="J2181" i="231"/>
  <c r="K2180" i="231"/>
  <c r="J2180" i="231"/>
  <c r="K2179" i="231"/>
  <c r="J2179" i="231"/>
  <c r="K2178" i="231"/>
  <c r="J2178" i="231"/>
  <c r="K2177" i="231"/>
  <c r="J2177" i="231"/>
  <c r="K2176" i="231"/>
  <c r="J2176" i="231"/>
  <c r="K2175" i="231"/>
  <c r="J2175" i="231"/>
  <c r="K2174" i="231"/>
  <c r="J2174" i="231"/>
  <c r="K2173" i="231"/>
  <c r="J2173" i="231"/>
  <c r="K2172" i="231"/>
  <c r="J2172" i="231"/>
  <c r="K2171" i="231"/>
  <c r="J2171" i="231"/>
  <c r="K2170" i="231"/>
  <c r="J2170" i="231"/>
  <c r="K2169" i="231"/>
  <c r="J2169" i="231"/>
  <c r="K2168" i="231"/>
  <c r="J2168" i="231"/>
  <c r="K2167" i="231"/>
  <c r="J2167" i="231"/>
  <c r="K2166" i="231"/>
  <c r="J2166" i="231"/>
  <c r="K2165" i="231"/>
  <c r="J2165" i="231"/>
  <c r="K2164" i="231"/>
  <c r="J2164" i="231"/>
  <c r="K2163" i="231"/>
  <c r="J2163" i="231"/>
  <c r="K2162" i="231"/>
  <c r="J2162" i="231"/>
  <c r="K2161" i="231"/>
  <c r="J2161" i="231"/>
  <c r="K2160" i="231"/>
  <c r="J2160" i="231"/>
  <c r="K2159" i="231"/>
  <c r="J2159" i="231"/>
  <c r="K2158" i="231"/>
  <c r="J2158" i="231"/>
  <c r="K2157" i="231"/>
  <c r="J2157" i="231"/>
  <c r="K2156" i="231"/>
  <c r="J2156" i="231"/>
  <c r="K2155" i="231"/>
  <c r="J2155" i="231"/>
  <c r="K2154" i="231"/>
  <c r="J2154" i="231"/>
  <c r="K2153" i="231"/>
  <c r="J2153" i="231"/>
  <c r="K2152" i="231"/>
  <c r="J2152" i="231"/>
  <c r="K2151" i="231"/>
  <c r="J2151" i="231"/>
  <c r="K2150" i="231"/>
  <c r="J2150" i="231"/>
  <c r="K2149" i="231"/>
  <c r="J2149" i="231"/>
  <c r="K2148" i="231"/>
  <c r="J2148" i="231"/>
  <c r="K2147" i="231"/>
  <c r="J2147" i="231"/>
  <c r="K2146" i="231"/>
  <c r="J2146" i="231"/>
  <c r="K2145" i="231"/>
  <c r="J2145" i="231"/>
  <c r="K2144" i="231"/>
  <c r="J2144" i="231"/>
  <c r="K2143" i="231"/>
  <c r="J2143" i="231"/>
  <c r="K2142" i="231"/>
  <c r="J2142" i="231"/>
  <c r="K2141" i="231"/>
  <c r="J2141" i="231"/>
  <c r="K2140" i="231"/>
  <c r="J2140" i="231"/>
  <c r="K2139" i="231"/>
  <c r="J2139" i="231"/>
  <c r="K2138" i="231"/>
  <c r="J2138" i="231"/>
  <c r="K2137" i="231"/>
  <c r="J2137" i="231"/>
  <c r="K2136" i="231"/>
  <c r="J2136" i="231"/>
  <c r="K2135" i="231"/>
  <c r="J2135" i="231"/>
  <c r="K2134" i="231"/>
  <c r="J2134" i="231"/>
  <c r="K2133" i="231"/>
  <c r="J2133" i="231"/>
  <c r="K2132" i="231"/>
  <c r="J2132" i="231"/>
  <c r="K2131" i="231"/>
  <c r="J2131" i="231"/>
  <c r="K2130" i="231"/>
  <c r="J2130" i="231"/>
  <c r="K2129" i="231"/>
  <c r="J2129" i="231"/>
  <c r="K2128" i="231"/>
  <c r="J2128" i="231"/>
  <c r="K2127" i="231"/>
  <c r="J2127" i="231"/>
  <c r="K2126" i="231"/>
  <c r="J2126" i="231"/>
  <c r="K2125" i="231"/>
  <c r="J2125" i="231"/>
  <c r="K2124" i="231"/>
  <c r="J2124" i="231"/>
  <c r="K2123" i="231"/>
  <c r="J2123" i="231"/>
  <c r="K2122" i="231"/>
  <c r="J2122" i="231"/>
  <c r="K2121" i="231"/>
  <c r="J2121" i="231"/>
  <c r="K2120" i="231"/>
  <c r="J2120" i="231"/>
  <c r="K2119" i="231"/>
  <c r="J2119" i="231"/>
  <c r="K2118" i="231"/>
  <c r="J2118" i="231"/>
  <c r="K2117" i="231"/>
  <c r="J2117" i="231"/>
  <c r="K2116" i="231"/>
  <c r="J2116" i="231"/>
  <c r="K2115" i="231"/>
  <c r="J2115" i="231"/>
  <c r="K2114" i="231"/>
  <c r="J2114" i="231"/>
  <c r="K2113" i="231"/>
  <c r="J2113" i="231"/>
  <c r="K2112" i="231"/>
  <c r="J2112" i="231"/>
  <c r="K2111" i="231"/>
  <c r="J2111" i="231"/>
  <c r="K2110" i="231"/>
  <c r="J2110" i="231"/>
  <c r="K2109" i="231"/>
  <c r="J2109" i="231"/>
  <c r="K2108" i="231"/>
  <c r="J2108" i="231"/>
  <c r="K2107" i="231"/>
  <c r="J2107" i="231"/>
  <c r="K2106" i="231"/>
  <c r="J2106" i="231"/>
  <c r="K2105" i="231"/>
  <c r="J2105" i="231"/>
  <c r="K2104" i="231"/>
  <c r="J2104" i="231"/>
  <c r="K2103" i="231"/>
  <c r="J2103" i="231"/>
  <c r="K2102" i="231"/>
  <c r="J2102" i="231"/>
  <c r="K2101" i="231"/>
  <c r="J2101" i="231"/>
  <c r="K2100" i="231"/>
  <c r="J2100" i="231"/>
  <c r="K2099" i="231"/>
  <c r="J2099" i="231"/>
  <c r="K2098" i="231"/>
  <c r="J2098" i="231"/>
  <c r="K2097" i="231"/>
  <c r="J2097" i="231"/>
  <c r="K2096" i="231"/>
  <c r="J2096" i="231"/>
  <c r="K2095" i="231"/>
  <c r="J2095" i="231"/>
  <c r="K2094" i="231"/>
  <c r="J2094" i="231"/>
  <c r="K2093" i="231"/>
  <c r="J2093" i="231"/>
  <c r="K2092" i="231"/>
  <c r="J2092" i="231"/>
  <c r="K2091" i="231"/>
  <c r="J2091" i="231"/>
  <c r="K2090" i="231"/>
  <c r="J2090" i="231"/>
  <c r="K2089" i="231"/>
  <c r="J2089" i="231"/>
  <c r="K2088" i="231"/>
  <c r="J2088" i="231"/>
  <c r="K2087" i="231"/>
  <c r="J2087" i="231"/>
  <c r="K2086" i="231"/>
  <c r="J2086" i="231"/>
  <c r="K2085" i="231"/>
  <c r="J2085" i="231"/>
  <c r="K2084" i="231"/>
  <c r="J2084" i="231"/>
  <c r="K2083" i="231"/>
  <c r="J2083" i="231"/>
  <c r="K2082" i="231"/>
  <c r="J2082" i="231"/>
  <c r="K2081" i="231"/>
  <c r="J2081" i="231"/>
  <c r="K2080" i="231"/>
  <c r="J2080" i="231"/>
  <c r="K2079" i="231"/>
  <c r="J2079" i="231"/>
  <c r="K2078" i="231"/>
  <c r="J2078" i="231"/>
  <c r="K2077" i="231"/>
  <c r="J2077" i="231"/>
  <c r="K2076" i="231"/>
  <c r="J2076" i="231"/>
  <c r="K2075" i="231"/>
  <c r="J2075" i="231"/>
  <c r="K2074" i="231"/>
  <c r="J2074" i="231"/>
  <c r="K2073" i="231"/>
  <c r="J2073" i="231"/>
  <c r="K2072" i="231"/>
  <c r="J2072" i="231"/>
  <c r="K2071" i="231"/>
  <c r="J2071" i="231"/>
  <c r="K2070" i="231"/>
  <c r="J2070" i="231"/>
  <c r="K2069" i="231"/>
  <c r="J2069" i="231"/>
  <c r="K2068" i="231"/>
  <c r="J2068" i="231"/>
  <c r="K2067" i="231"/>
  <c r="J2067" i="231"/>
  <c r="K2066" i="231"/>
  <c r="J2066" i="231"/>
  <c r="K2065" i="231"/>
  <c r="J2065" i="231"/>
  <c r="K2064" i="231"/>
  <c r="J2064" i="231"/>
  <c r="K2063" i="231"/>
  <c r="J2063" i="231"/>
  <c r="K2062" i="231"/>
  <c r="J2062" i="231"/>
  <c r="K2061" i="231"/>
  <c r="J2061" i="231"/>
  <c r="K2060" i="231"/>
  <c r="J2060" i="231"/>
  <c r="K2059" i="231"/>
  <c r="J2059" i="231"/>
  <c r="K2058" i="231"/>
  <c r="J2058" i="231"/>
  <c r="K2057" i="231"/>
  <c r="J2057" i="231"/>
  <c r="K2056" i="231"/>
  <c r="J2056" i="231"/>
  <c r="K2055" i="231"/>
  <c r="J2055" i="231"/>
  <c r="K2054" i="231"/>
  <c r="J2054" i="231"/>
  <c r="K2053" i="231"/>
  <c r="J2053" i="231"/>
  <c r="K2052" i="231"/>
  <c r="J2052" i="231"/>
  <c r="K2051" i="231"/>
  <c r="J2051" i="231"/>
  <c r="K2050" i="231"/>
  <c r="J2050" i="231"/>
  <c r="K2049" i="231"/>
  <c r="J2049" i="231"/>
  <c r="K2048" i="231"/>
  <c r="J2048" i="231"/>
  <c r="K2047" i="231"/>
  <c r="J2047" i="231"/>
  <c r="K2046" i="231"/>
  <c r="J2046" i="231"/>
  <c r="K2045" i="231"/>
  <c r="J2045" i="231"/>
  <c r="K2044" i="231"/>
  <c r="J2044" i="231"/>
  <c r="K2043" i="231"/>
  <c r="J2043" i="231"/>
  <c r="K2042" i="231"/>
  <c r="J2042" i="231"/>
  <c r="K2041" i="231"/>
  <c r="J2041" i="231"/>
  <c r="K2040" i="231"/>
  <c r="J2040" i="231"/>
  <c r="K2039" i="231"/>
  <c r="J2039" i="231"/>
  <c r="K2038" i="231"/>
  <c r="J2038" i="231"/>
  <c r="K2037" i="231"/>
  <c r="J2037" i="231"/>
  <c r="K2036" i="231"/>
  <c r="J2036" i="231"/>
  <c r="K2035" i="231"/>
  <c r="J2035" i="231"/>
  <c r="K2034" i="231"/>
  <c r="J2034" i="231"/>
  <c r="K2033" i="231"/>
  <c r="J2033" i="231"/>
  <c r="K2032" i="231"/>
  <c r="J2032" i="231"/>
  <c r="K2031" i="231"/>
  <c r="J2031" i="231"/>
  <c r="K2030" i="231"/>
  <c r="J2030" i="231"/>
  <c r="K2029" i="231"/>
  <c r="J2029" i="231"/>
  <c r="K2028" i="231"/>
  <c r="J2028" i="231"/>
  <c r="K2027" i="231"/>
  <c r="J2027" i="231"/>
  <c r="K2026" i="231"/>
  <c r="J2026" i="231"/>
  <c r="K2025" i="231"/>
  <c r="J2025" i="231"/>
  <c r="K2024" i="231"/>
  <c r="J2024" i="231"/>
  <c r="K2023" i="231"/>
  <c r="J2023" i="231"/>
  <c r="K2022" i="231"/>
  <c r="J2022" i="231"/>
  <c r="K2021" i="231"/>
  <c r="J2021" i="231"/>
  <c r="K2020" i="231"/>
  <c r="J2020" i="231"/>
  <c r="K2019" i="231"/>
  <c r="J2019" i="231"/>
  <c r="K2018" i="231"/>
  <c r="J2018" i="231"/>
  <c r="K2017" i="231"/>
  <c r="J2017" i="231"/>
  <c r="K2016" i="231"/>
  <c r="J2016" i="231"/>
  <c r="K2015" i="231"/>
  <c r="J2015" i="231"/>
  <c r="K2014" i="231"/>
  <c r="J2014" i="231"/>
  <c r="K2013" i="231"/>
  <c r="J2013" i="231"/>
  <c r="K2012" i="231"/>
  <c r="J2012" i="231"/>
  <c r="K2011" i="231"/>
  <c r="J2011" i="231"/>
  <c r="K2010" i="231"/>
  <c r="J2010" i="231"/>
  <c r="K2009" i="231"/>
  <c r="J2009" i="231"/>
  <c r="K2008" i="231"/>
  <c r="J2008" i="231"/>
  <c r="K2007" i="231"/>
  <c r="J2007" i="231"/>
  <c r="K2006" i="231"/>
  <c r="J2006" i="231"/>
  <c r="K2005" i="231"/>
  <c r="J2005" i="231"/>
  <c r="K2004" i="231"/>
  <c r="J2004" i="231"/>
  <c r="K2003" i="231"/>
  <c r="J2003" i="231"/>
  <c r="K2002" i="231"/>
  <c r="J2002" i="231"/>
  <c r="K2001" i="231"/>
  <c r="J2001" i="231"/>
  <c r="K2000" i="231"/>
  <c r="J2000" i="231"/>
  <c r="K1999" i="231"/>
  <c r="J1999" i="231"/>
  <c r="K1998" i="231"/>
  <c r="J1998" i="231"/>
  <c r="K1997" i="231"/>
  <c r="J1997" i="231"/>
  <c r="K1996" i="231"/>
  <c r="J1996" i="231"/>
  <c r="K1995" i="231"/>
  <c r="J1995" i="231"/>
  <c r="K1994" i="231"/>
  <c r="J1994" i="231"/>
  <c r="K1993" i="231"/>
  <c r="J1993" i="231"/>
  <c r="K1992" i="231"/>
  <c r="J1992" i="231"/>
  <c r="K1991" i="231"/>
  <c r="J1991" i="231"/>
  <c r="K1990" i="231"/>
  <c r="J1990" i="231"/>
  <c r="K1989" i="231"/>
  <c r="J1989" i="231"/>
  <c r="K1988" i="231"/>
  <c r="J1988" i="231"/>
  <c r="K1987" i="231"/>
  <c r="J1987" i="231"/>
  <c r="K1986" i="231"/>
  <c r="J1986" i="231"/>
  <c r="K1985" i="231"/>
  <c r="J1985" i="231"/>
  <c r="K1984" i="231"/>
  <c r="J1984" i="231"/>
  <c r="K1983" i="231"/>
  <c r="J1983" i="231"/>
  <c r="K1982" i="231"/>
  <c r="J1982" i="231"/>
  <c r="K1981" i="231"/>
  <c r="J1981" i="231"/>
  <c r="K1980" i="231"/>
  <c r="J1980" i="231"/>
  <c r="K1979" i="231"/>
  <c r="J1979" i="231"/>
  <c r="K1978" i="231"/>
  <c r="J1978" i="231"/>
  <c r="K1977" i="231"/>
  <c r="J1977" i="231"/>
  <c r="K1976" i="231"/>
  <c r="J1976" i="231"/>
  <c r="K1975" i="231"/>
  <c r="J1975" i="231"/>
  <c r="K1974" i="231"/>
  <c r="J1974" i="231"/>
  <c r="K1973" i="231"/>
  <c r="J1973" i="231"/>
  <c r="K1972" i="231"/>
  <c r="J1972" i="231"/>
  <c r="K1971" i="231"/>
  <c r="J1971" i="231"/>
  <c r="K1970" i="231"/>
  <c r="J1970" i="231"/>
  <c r="K1969" i="231"/>
  <c r="J1969" i="231"/>
  <c r="K1968" i="231"/>
  <c r="J1968" i="231"/>
  <c r="K1967" i="231"/>
  <c r="J1967" i="231"/>
  <c r="K1966" i="231"/>
  <c r="J1966" i="231"/>
  <c r="K1965" i="231"/>
  <c r="J1965" i="231"/>
  <c r="K1964" i="231"/>
  <c r="J1964" i="231"/>
  <c r="K1963" i="231"/>
  <c r="J1963" i="231"/>
  <c r="K1962" i="231"/>
  <c r="J1962" i="231"/>
  <c r="K1961" i="231"/>
  <c r="J1961" i="231"/>
  <c r="K1960" i="231"/>
  <c r="J1960" i="231"/>
  <c r="K1959" i="231"/>
  <c r="J1959" i="231"/>
  <c r="K1958" i="231"/>
  <c r="J1958" i="231"/>
  <c r="K1957" i="231"/>
  <c r="J1957" i="231"/>
  <c r="K1956" i="231"/>
  <c r="J1956" i="231"/>
  <c r="K1955" i="231"/>
  <c r="J1955" i="231"/>
  <c r="K1954" i="231"/>
  <c r="J1954" i="231"/>
  <c r="K1953" i="231"/>
  <c r="J1953" i="231"/>
  <c r="K1952" i="231"/>
  <c r="J1952" i="231"/>
  <c r="K1951" i="231"/>
  <c r="J1951" i="231"/>
  <c r="K1950" i="231"/>
  <c r="J1950" i="231"/>
  <c r="K1949" i="231"/>
  <c r="J1949" i="231"/>
  <c r="K1948" i="231"/>
  <c r="J1948" i="231"/>
  <c r="K1947" i="231"/>
  <c r="J1947" i="231"/>
  <c r="K1946" i="231"/>
  <c r="J1946" i="231"/>
  <c r="K1945" i="231"/>
  <c r="J1945" i="231"/>
  <c r="K1944" i="231"/>
  <c r="J1944" i="231"/>
  <c r="K1943" i="231"/>
  <c r="J1943" i="231"/>
  <c r="K1942" i="231"/>
  <c r="J1942" i="231"/>
  <c r="K1941" i="231"/>
  <c r="J1941" i="231"/>
  <c r="K1940" i="231"/>
  <c r="J1940" i="231"/>
  <c r="K1939" i="231"/>
  <c r="J1939" i="231"/>
  <c r="K1938" i="231"/>
  <c r="J1938" i="231"/>
  <c r="K1937" i="231"/>
  <c r="J1937" i="231"/>
  <c r="K1936" i="231"/>
  <c r="J1936" i="231"/>
  <c r="K1935" i="231"/>
  <c r="J1935" i="231"/>
  <c r="K1934" i="231"/>
  <c r="J1934" i="231"/>
  <c r="K1933" i="231"/>
  <c r="J1933" i="231"/>
  <c r="K1932" i="231"/>
  <c r="J1932" i="231"/>
  <c r="K1931" i="231"/>
  <c r="J1931" i="231"/>
  <c r="K1930" i="231"/>
  <c r="J1930" i="231"/>
  <c r="K1929" i="231"/>
  <c r="J1929" i="231"/>
  <c r="K1928" i="231"/>
  <c r="J1928" i="231"/>
  <c r="K1927" i="231"/>
  <c r="J1927" i="231"/>
  <c r="K1926" i="231"/>
  <c r="J1926" i="231"/>
  <c r="K1925" i="231"/>
  <c r="J1925" i="231"/>
  <c r="K1924" i="231"/>
  <c r="J1924" i="231"/>
  <c r="K1923" i="231"/>
  <c r="J1923" i="231"/>
  <c r="K1922" i="231"/>
  <c r="J1922" i="231"/>
  <c r="K1921" i="231"/>
  <c r="J1921" i="231"/>
  <c r="K1920" i="231"/>
  <c r="J1920" i="231"/>
  <c r="K1919" i="231"/>
  <c r="J1919" i="231"/>
  <c r="K1918" i="231"/>
  <c r="J1918" i="231"/>
  <c r="K1917" i="231"/>
  <c r="J1917" i="231"/>
  <c r="K1916" i="231"/>
  <c r="J1916" i="231"/>
  <c r="K1915" i="231"/>
  <c r="J1915" i="231"/>
  <c r="K1914" i="231"/>
  <c r="J1914" i="231"/>
  <c r="K1913" i="231"/>
  <c r="J1913" i="231"/>
  <c r="K1912" i="231"/>
  <c r="J1912" i="231"/>
  <c r="K1911" i="231"/>
  <c r="J1911" i="231"/>
  <c r="K1910" i="231"/>
  <c r="J1910" i="231"/>
  <c r="K1909" i="231"/>
  <c r="J1909" i="231"/>
  <c r="K1908" i="231"/>
  <c r="J1908" i="231"/>
  <c r="K1907" i="231"/>
  <c r="J1907" i="231"/>
  <c r="K1906" i="231"/>
  <c r="J1906" i="231"/>
  <c r="K1905" i="231"/>
  <c r="J1905" i="231"/>
  <c r="K1904" i="231"/>
  <c r="J1904" i="231"/>
  <c r="K1903" i="231"/>
  <c r="J1903" i="231"/>
  <c r="K1902" i="231"/>
  <c r="J1902" i="231"/>
  <c r="K1901" i="231"/>
  <c r="J1901" i="231"/>
  <c r="K1900" i="231"/>
  <c r="J1900" i="231"/>
  <c r="K1899" i="231"/>
  <c r="J1899" i="231"/>
  <c r="K1898" i="231"/>
  <c r="J1898" i="231"/>
  <c r="K1897" i="231"/>
  <c r="J1897" i="231"/>
  <c r="K1896" i="231"/>
  <c r="J1896" i="231"/>
  <c r="K1895" i="231"/>
  <c r="J1895" i="231"/>
  <c r="K1894" i="231"/>
  <c r="J1894" i="231"/>
  <c r="K1893" i="231"/>
  <c r="J1893" i="231"/>
  <c r="K1892" i="231"/>
  <c r="J1892" i="231"/>
  <c r="K1891" i="231"/>
  <c r="J1891" i="231"/>
  <c r="K1890" i="231"/>
  <c r="J1890" i="231"/>
  <c r="K1889" i="231"/>
  <c r="J1889" i="231"/>
  <c r="K1888" i="231"/>
  <c r="J1888" i="231"/>
  <c r="K1887" i="231"/>
  <c r="J1887" i="231"/>
  <c r="K1886" i="231"/>
  <c r="J1886" i="231"/>
  <c r="K1885" i="231"/>
  <c r="J1885" i="231"/>
  <c r="K1884" i="231"/>
  <c r="J1884" i="231"/>
  <c r="K1883" i="231"/>
  <c r="J1883" i="231"/>
  <c r="K1882" i="231"/>
  <c r="J1882" i="231"/>
  <c r="K1881" i="231"/>
  <c r="J1881" i="231"/>
  <c r="K1880" i="231"/>
  <c r="J1880" i="231"/>
  <c r="K1879" i="231"/>
  <c r="J1879" i="231"/>
  <c r="K1878" i="231"/>
  <c r="J1878" i="231"/>
  <c r="K1877" i="231"/>
  <c r="J1877" i="231"/>
  <c r="K1876" i="231"/>
  <c r="J1876" i="231"/>
  <c r="K1875" i="231"/>
  <c r="J1875" i="231"/>
  <c r="K1874" i="231"/>
  <c r="J1874" i="231"/>
  <c r="K1873" i="231"/>
  <c r="J1873" i="231"/>
  <c r="K1872" i="231"/>
  <c r="J1872" i="231"/>
  <c r="K1871" i="231"/>
  <c r="J1871" i="231"/>
  <c r="K1870" i="231"/>
  <c r="J1870" i="231"/>
  <c r="K1869" i="231"/>
  <c r="J1869" i="231"/>
  <c r="K1868" i="231"/>
  <c r="J1868" i="231"/>
  <c r="K1867" i="231"/>
  <c r="J1867" i="231"/>
  <c r="K1866" i="231"/>
  <c r="J1866" i="231"/>
  <c r="K1865" i="231"/>
  <c r="J1865" i="231"/>
  <c r="K1864" i="231"/>
  <c r="J1864" i="231"/>
  <c r="K1863" i="231"/>
  <c r="J1863" i="231"/>
  <c r="K1862" i="231"/>
  <c r="J1862" i="231"/>
  <c r="K1861" i="231"/>
  <c r="J1861" i="231"/>
  <c r="K1860" i="231"/>
  <c r="J1860" i="231"/>
  <c r="K1859" i="231"/>
  <c r="J1859" i="231"/>
  <c r="K1858" i="231"/>
  <c r="J1858" i="231"/>
  <c r="K1857" i="231"/>
  <c r="J1857" i="231"/>
  <c r="K1856" i="231"/>
  <c r="J1856" i="231"/>
  <c r="K1855" i="231"/>
  <c r="J1855" i="231"/>
  <c r="K1854" i="231"/>
  <c r="J1854" i="231"/>
  <c r="K1853" i="231"/>
  <c r="J1853" i="231"/>
  <c r="K1852" i="231"/>
  <c r="J1852" i="231"/>
  <c r="K1851" i="231"/>
  <c r="J1851" i="231"/>
  <c r="K1850" i="231"/>
  <c r="J1850" i="231"/>
  <c r="K1849" i="231"/>
  <c r="J1849" i="231"/>
  <c r="K1848" i="231"/>
  <c r="J1848" i="231"/>
  <c r="K1847" i="231"/>
  <c r="J1847" i="231"/>
  <c r="K1846" i="231"/>
  <c r="J1846" i="231"/>
  <c r="K1845" i="231"/>
  <c r="J1845" i="231"/>
  <c r="K1844" i="231"/>
  <c r="J1844" i="231"/>
  <c r="K1843" i="231"/>
  <c r="J1843" i="231"/>
  <c r="K1842" i="231"/>
  <c r="J1842" i="231"/>
  <c r="K1841" i="231"/>
  <c r="J1841" i="231"/>
  <c r="K1840" i="231"/>
  <c r="J1840" i="231"/>
  <c r="K1839" i="231"/>
  <c r="J1839" i="231"/>
  <c r="K1838" i="231"/>
  <c r="J1838" i="231"/>
  <c r="K1837" i="231"/>
  <c r="J1837" i="231"/>
  <c r="K1836" i="231"/>
  <c r="J1836" i="231"/>
  <c r="K1835" i="231"/>
  <c r="J1835" i="231"/>
  <c r="K1834" i="231"/>
  <c r="J1834" i="231"/>
  <c r="K1833" i="231"/>
  <c r="J1833" i="231"/>
  <c r="K1832" i="231"/>
  <c r="J1832" i="231"/>
  <c r="K1831" i="231"/>
  <c r="J1831" i="231"/>
  <c r="K1830" i="231"/>
  <c r="J1830" i="231"/>
  <c r="K1829" i="231"/>
  <c r="J1829" i="231"/>
  <c r="K1828" i="231"/>
  <c r="J1828" i="231"/>
  <c r="K1827" i="231"/>
  <c r="J1827" i="231"/>
  <c r="K1826" i="231"/>
  <c r="J1826" i="231"/>
  <c r="K1825" i="231"/>
  <c r="J1825" i="231"/>
  <c r="K1824" i="231"/>
  <c r="J1824" i="231"/>
  <c r="K1823" i="231"/>
  <c r="J1823" i="231"/>
  <c r="K1822" i="231"/>
  <c r="J1822" i="231"/>
  <c r="K1821" i="231"/>
  <c r="J1821" i="231"/>
  <c r="K1820" i="231"/>
  <c r="J1820" i="231"/>
  <c r="K1819" i="231"/>
  <c r="J1819" i="231"/>
  <c r="K1818" i="231"/>
  <c r="J1818" i="231"/>
  <c r="K1817" i="231"/>
  <c r="J1817" i="231"/>
  <c r="K1816" i="231"/>
  <c r="J1816" i="231"/>
  <c r="K1815" i="231"/>
  <c r="J1815" i="231"/>
  <c r="K1814" i="231"/>
  <c r="J1814" i="231"/>
  <c r="K1813" i="231"/>
  <c r="J1813" i="231"/>
  <c r="K1812" i="231"/>
  <c r="J1812" i="231"/>
  <c r="K1811" i="231"/>
  <c r="J1811" i="231"/>
  <c r="K1810" i="231"/>
  <c r="J1810" i="231"/>
  <c r="K1809" i="231"/>
  <c r="J1809" i="231"/>
  <c r="K1808" i="231"/>
  <c r="J1808" i="231"/>
  <c r="K1807" i="231"/>
  <c r="J1807" i="231"/>
  <c r="K1806" i="231"/>
  <c r="J1806" i="231"/>
  <c r="K1805" i="231"/>
  <c r="J1805" i="231"/>
  <c r="K1804" i="231"/>
  <c r="J1804" i="231"/>
  <c r="K1803" i="231"/>
  <c r="J1803" i="231"/>
  <c r="K1802" i="231"/>
  <c r="J1802" i="231"/>
  <c r="K1801" i="231"/>
  <c r="J1801" i="231"/>
  <c r="K1800" i="231"/>
  <c r="J1800" i="231"/>
  <c r="K1799" i="231"/>
  <c r="J1799" i="231"/>
  <c r="K1798" i="231"/>
  <c r="J1798" i="231"/>
  <c r="K1797" i="231"/>
  <c r="J1797" i="231"/>
  <c r="K1796" i="231"/>
  <c r="J1796" i="231"/>
  <c r="K1795" i="231"/>
  <c r="J1795" i="231"/>
  <c r="K1794" i="231"/>
  <c r="J1794" i="231"/>
  <c r="K1793" i="231"/>
  <c r="J1793" i="231"/>
  <c r="K1792" i="231"/>
  <c r="J1792" i="231"/>
  <c r="K1791" i="231"/>
  <c r="J1791" i="231"/>
  <c r="K1790" i="231"/>
  <c r="J1790" i="231"/>
  <c r="K1789" i="231"/>
  <c r="J1789" i="231"/>
  <c r="K1788" i="231"/>
  <c r="J1788" i="231"/>
  <c r="K1787" i="231"/>
  <c r="J1787" i="231"/>
  <c r="K1786" i="231"/>
  <c r="J1786" i="231"/>
  <c r="K1785" i="231"/>
  <c r="J1785" i="231"/>
  <c r="K1784" i="231"/>
  <c r="J1784" i="231"/>
  <c r="K1783" i="231"/>
  <c r="J1783" i="231"/>
  <c r="K1782" i="231"/>
  <c r="J1782" i="231"/>
  <c r="K1781" i="231"/>
  <c r="J1781" i="231"/>
  <c r="K1780" i="231"/>
  <c r="J1780" i="231"/>
  <c r="K1779" i="231"/>
  <c r="J1779" i="231"/>
  <c r="K1778" i="231"/>
  <c r="J1778" i="231"/>
  <c r="K1777" i="231"/>
  <c r="J1777" i="231"/>
  <c r="K1776" i="231"/>
  <c r="J1776" i="231"/>
  <c r="K1775" i="231"/>
  <c r="J1775" i="231"/>
  <c r="K1774" i="231"/>
  <c r="J1774" i="231"/>
  <c r="K1773" i="231"/>
  <c r="J1773" i="231"/>
  <c r="K1772" i="231"/>
  <c r="J1772" i="231"/>
  <c r="K1771" i="231"/>
  <c r="J1771" i="231"/>
  <c r="K1770" i="231"/>
  <c r="J1770" i="231"/>
  <c r="K1769" i="231"/>
  <c r="J1769" i="231"/>
  <c r="K1768" i="231"/>
  <c r="J1768" i="231"/>
  <c r="K1767" i="231"/>
  <c r="J1767" i="231"/>
  <c r="K1766" i="231"/>
  <c r="J1766" i="231"/>
  <c r="K1765" i="231"/>
  <c r="J1765" i="231"/>
  <c r="K1764" i="231"/>
  <c r="J1764" i="231"/>
  <c r="K1763" i="231"/>
  <c r="J1763" i="231"/>
  <c r="K1762" i="231"/>
  <c r="J1762" i="231"/>
  <c r="K1761" i="231"/>
  <c r="J1761" i="231"/>
  <c r="K1760" i="231"/>
  <c r="J1760" i="231"/>
  <c r="K1759" i="231"/>
  <c r="J1759" i="231"/>
  <c r="K1758" i="231"/>
  <c r="J1758" i="231"/>
  <c r="K1757" i="231"/>
  <c r="J1757" i="231"/>
  <c r="K1756" i="231"/>
  <c r="J1756" i="231"/>
  <c r="K1755" i="231"/>
  <c r="J1755" i="231"/>
  <c r="K1754" i="231"/>
  <c r="J1754" i="231"/>
  <c r="K1753" i="231"/>
  <c r="J1753" i="231"/>
  <c r="K1752" i="231"/>
  <c r="J1752" i="231"/>
  <c r="K1751" i="231"/>
  <c r="J1751" i="231"/>
  <c r="K1750" i="231"/>
  <c r="J1750" i="231"/>
  <c r="K1749" i="231"/>
  <c r="J1749" i="231"/>
  <c r="K1748" i="231"/>
  <c r="J1748" i="231"/>
  <c r="K1747" i="231"/>
  <c r="J1747" i="231"/>
  <c r="K1746" i="231"/>
  <c r="J1746" i="231"/>
  <c r="K1745" i="231"/>
  <c r="J1745" i="231"/>
  <c r="K1744" i="231"/>
  <c r="J1744" i="231"/>
  <c r="K1743" i="231"/>
  <c r="J1743" i="231"/>
  <c r="K1742" i="231"/>
  <c r="J1742" i="231"/>
  <c r="K1741" i="231"/>
  <c r="J1741" i="231"/>
  <c r="K1740" i="231"/>
  <c r="J1740" i="231"/>
  <c r="K1739" i="231"/>
  <c r="J1739" i="231"/>
  <c r="K1738" i="231"/>
  <c r="J1738" i="231"/>
  <c r="K1737" i="231"/>
  <c r="J1737" i="231"/>
  <c r="K1736" i="231"/>
  <c r="J1736" i="231"/>
  <c r="K1735" i="231"/>
  <c r="J1735" i="231"/>
  <c r="K1734" i="231"/>
  <c r="J1734" i="231"/>
  <c r="K1733" i="231"/>
  <c r="J1733" i="231"/>
  <c r="K1732" i="231"/>
  <c r="J1732" i="231"/>
  <c r="K1731" i="231"/>
  <c r="J1731" i="231"/>
  <c r="K1730" i="231"/>
  <c r="J1730" i="231"/>
  <c r="K1729" i="231"/>
  <c r="J1729" i="231"/>
  <c r="K1728" i="231"/>
  <c r="J1728" i="231"/>
  <c r="K1727" i="231"/>
  <c r="J1727" i="231"/>
  <c r="K1726" i="231"/>
  <c r="J1726" i="231"/>
  <c r="K1725" i="231"/>
  <c r="J1725" i="231"/>
  <c r="K1724" i="231"/>
  <c r="J1724" i="231"/>
  <c r="K1723" i="231"/>
  <c r="J1723" i="231"/>
  <c r="K1722" i="231"/>
  <c r="J1722" i="231"/>
  <c r="K1721" i="231"/>
  <c r="J1721" i="231"/>
  <c r="K1720" i="231"/>
  <c r="J1720" i="231"/>
  <c r="K1719" i="231"/>
  <c r="J1719" i="231"/>
  <c r="K1718" i="231"/>
  <c r="J1718" i="231"/>
  <c r="K1717" i="231"/>
  <c r="J1717" i="231"/>
  <c r="K1716" i="231"/>
  <c r="J1716" i="231"/>
  <c r="K1715" i="231"/>
  <c r="J1715" i="231"/>
  <c r="K1714" i="231"/>
  <c r="J1714" i="231"/>
  <c r="K1713" i="231"/>
  <c r="J1713" i="231"/>
  <c r="K1712" i="231"/>
  <c r="J1712" i="231"/>
  <c r="K1711" i="231"/>
  <c r="J1711" i="231"/>
  <c r="K1710" i="231"/>
  <c r="J1710" i="231"/>
  <c r="K1709" i="231"/>
  <c r="J1709" i="231"/>
  <c r="K1708" i="231"/>
  <c r="J1708" i="231"/>
  <c r="K1707" i="231"/>
  <c r="J1707" i="231"/>
  <c r="K1706" i="231"/>
  <c r="J1706" i="231"/>
  <c r="K1705" i="231"/>
  <c r="J1705" i="231"/>
  <c r="K1704" i="231"/>
  <c r="J1704" i="231"/>
  <c r="K1703" i="231"/>
  <c r="J1703" i="231"/>
  <c r="K1702" i="231"/>
  <c r="J1702" i="231"/>
  <c r="K1701" i="231"/>
  <c r="J1701" i="231"/>
  <c r="K1700" i="231"/>
  <c r="J1700" i="231"/>
  <c r="K1699" i="231"/>
  <c r="J1699" i="231"/>
  <c r="K1698" i="231"/>
  <c r="J1698" i="231"/>
  <c r="K1697" i="231"/>
  <c r="J1697" i="231"/>
  <c r="K1696" i="231"/>
  <c r="J1696" i="231"/>
  <c r="K1695" i="231"/>
  <c r="J1695" i="231"/>
  <c r="K1694" i="231"/>
  <c r="J1694" i="231"/>
  <c r="K1693" i="231"/>
  <c r="J1693" i="231"/>
  <c r="K1692" i="231"/>
  <c r="J1692" i="231"/>
  <c r="K1691" i="231"/>
  <c r="J1691" i="231"/>
  <c r="K1690" i="231"/>
  <c r="J1690" i="231"/>
  <c r="K1689" i="231"/>
  <c r="J1689" i="231"/>
  <c r="K1688" i="231"/>
  <c r="J1688" i="231"/>
  <c r="K1687" i="231"/>
  <c r="J1687" i="231"/>
  <c r="K1686" i="231"/>
  <c r="J1686" i="231"/>
  <c r="K1685" i="231"/>
  <c r="J1685" i="231"/>
  <c r="K1684" i="231"/>
  <c r="J1684" i="231"/>
  <c r="K1683" i="231"/>
  <c r="J1683" i="231"/>
  <c r="K1682" i="231"/>
  <c r="J1682" i="231"/>
  <c r="K1681" i="231"/>
  <c r="J1681" i="231"/>
  <c r="K1680" i="231"/>
  <c r="J1680" i="231"/>
  <c r="K1679" i="231"/>
  <c r="J1679" i="231"/>
  <c r="K1678" i="231"/>
  <c r="J1678" i="231"/>
  <c r="K1677" i="231"/>
  <c r="J1677" i="231"/>
  <c r="K1676" i="231"/>
  <c r="J1676" i="231"/>
  <c r="K1675" i="231"/>
  <c r="J1675" i="231"/>
  <c r="K1674" i="231"/>
  <c r="J1674" i="231"/>
  <c r="K1673" i="231"/>
  <c r="J1673" i="231"/>
  <c r="K1672" i="231"/>
  <c r="J1672" i="231"/>
  <c r="K1671" i="231"/>
  <c r="J1671" i="231"/>
  <c r="K1670" i="231"/>
  <c r="J1670" i="231"/>
  <c r="K1669" i="231"/>
  <c r="J1669" i="231"/>
  <c r="K1668" i="231"/>
  <c r="J1668" i="231"/>
  <c r="K1667" i="231"/>
  <c r="J1667" i="231"/>
  <c r="K1666" i="231"/>
  <c r="J1666" i="231"/>
  <c r="K1665" i="231"/>
  <c r="J1665" i="231"/>
  <c r="K1664" i="231"/>
  <c r="J1664" i="231"/>
  <c r="K1663" i="231"/>
  <c r="J1663" i="231"/>
  <c r="K1662" i="231"/>
  <c r="J1662" i="231"/>
  <c r="K1661" i="231"/>
  <c r="J1661" i="231"/>
  <c r="K1660" i="231"/>
  <c r="J1660" i="231"/>
  <c r="K1659" i="231"/>
  <c r="J1659" i="231"/>
  <c r="K1658" i="231"/>
  <c r="J1658" i="231"/>
  <c r="K1657" i="231"/>
  <c r="J1657" i="231"/>
  <c r="K1656" i="231"/>
  <c r="J1656" i="231"/>
  <c r="K1655" i="231"/>
  <c r="J1655" i="231"/>
  <c r="K1654" i="231"/>
  <c r="J1654" i="231"/>
  <c r="K1653" i="231"/>
  <c r="J1653" i="231"/>
  <c r="K1652" i="231"/>
  <c r="J1652" i="231"/>
  <c r="K1651" i="231"/>
  <c r="J1651" i="231"/>
  <c r="K1650" i="231"/>
  <c r="J1650" i="231"/>
  <c r="K1649" i="231"/>
  <c r="J1649" i="231"/>
  <c r="K1648" i="231"/>
  <c r="J1648" i="231"/>
  <c r="K1647" i="231"/>
  <c r="J1647" i="231"/>
  <c r="K1646" i="231"/>
  <c r="J1646" i="231"/>
  <c r="K1645" i="231"/>
  <c r="J1645" i="231"/>
  <c r="K1644" i="231"/>
  <c r="J1644" i="231"/>
  <c r="K1643" i="231"/>
  <c r="J1643" i="231"/>
  <c r="K1642" i="231"/>
  <c r="J1642" i="231"/>
  <c r="K1641" i="231"/>
  <c r="J1641" i="231"/>
  <c r="K1640" i="231"/>
  <c r="J1640" i="231"/>
  <c r="K1639" i="231"/>
  <c r="J1639" i="231"/>
  <c r="K1638" i="231"/>
  <c r="J1638" i="231"/>
  <c r="K1637" i="231"/>
  <c r="J1637" i="231"/>
  <c r="K1636" i="231"/>
  <c r="J1636" i="231"/>
  <c r="K1635" i="231"/>
  <c r="J1635" i="231"/>
  <c r="K1634" i="231"/>
  <c r="J1634" i="231"/>
  <c r="K1633" i="231"/>
  <c r="J1633" i="231"/>
  <c r="K1632" i="231"/>
  <c r="J1632" i="231"/>
  <c r="K1631" i="231"/>
  <c r="J1631" i="231"/>
  <c r="K1630" i="231"/>
  <c r="J1630" i="231"/>
  <c r="K1629" i="231"/>
  <c r="J1629" i="231"/>
  <c r="K1628" i="231"/>
  <c r="J1628" i="231"/>
  <c r="K1627" i="231"/>
  <c r="J1627" i="231"/>
  <c r="K1626" i="231"/>
  <c r="J1626" i="231"/>
  <c r="K1625" i="231"/>
  <c r="J1625" i="231"/>
  <c r="K1624" i="231"/>
  <c r="J1624" i="231"/>
  <c r="K1623" i="231"/>
  <c r="J1623" i="231"/>
  <c r="K1622" i="231"/>
  <c r="J1622" i="231"/>
  <c r="K1621" i="231"/>
  <c r="J1621" i="231"/>
  <c r="K1620" i="231"/>
  <c r="J1620" i="231"/>
  <c r="K1619" i="231"/>
  <c r="J1619" i="231"/>
  <c r="K1618" i="231"/>
  <c r="J1618" i="231"/>
  <c r="K1617" i="231"/>
  <c r="J1617" i="231"/>
  <c r="K1616" i="231"/>
  <c r="J1616" i="231"/>
  <c r="K1615" i="231"/>
  <c r="J1615" i="231"/>
  <c r="K1614" i="231"/>
  <c r="J1614" i="231"/>
  <c r="K1613" i="231"/>
  <c r="J1613" i="231"/>
  <c r="K1612" i="231"/>
  <c r="J1612" i="231"/>
  <c r="K1611" i="231"/>
  <c r="J1611" i="231"/>
  <c r="K1610" i="231"/>
  <c r="J1610" i="231"/>
  <c r="K1609" i="231"/>
  <c r="J1609" i="231"/>
  <c r="K1608" i="231"/>
  <c r="J1608" i="231"/>
  <c r="K1607" i="231"/>
  <c r="J1607" i="231"/>
  <c r="K1606" i="231"/>
  <c r="J1606" i="231"/>
  <c r="K1605" i="231"/>
  <c r="J1605" i="231"/>
  <c r="K1604" i="231"/>
  <c r="J1604" i="231"/>
  <c r="K1603" i="231"/>
  <c r="J1603" i="231"/>
  <c r="K1602" i="231"/>
  <c r="J1602" i="231"/>
  <c r="K1601" i="231"/>
  <c r="J1601" i="231"/>
  <c r="K1600" i="231"/>
  <c r="J1600" i="231"/>
  <c r="K1599" i="231"/>
  <c r="J1599" i="231"/>
  <c r="K1598" i="231"/>
  <c r="J1598" i="231"/>
  <c r="K1597" i="231"/>
  <c r="J1597" i="231"/>
  <c r="K1596" i="231"/>
  <c r="J1596" i="231"/>
  <c r="K1595" i="231"/>
  <c r="J1595" i="231"/>
  <c r="K1594" i="231"/>
  <c r="J1594" i="231"/>
  <c r="K1593" i="231"/>
  <c r="J1593" i="231"/>
  <c r="K1592" i="231"/>
  <c r="J1592" i="231"/>
  <c r="K1591" i="231"/>
  <c r="J1591" i="231"/>
  <c r="K1590" i="231"/>
  <c r="J1590" i="231"/>
  <c r="K1589" i="231"/>
  <c r="J1589" i="231"/>
  <c r="K1588" i="231"/>
  <c r="J1588" i="231"/>
  <c r="K1587" i="231"/>
  <c r="J1587" i="231"/>
  <c r="K1586" i="231"/>
  <c r="J1586" i="231"/>
  <c r="K1585" i="231"/>
  <c r="J1585" i="231"/>
  <c r="K1584" i="231"/>
  <c r="J1584" i="231"/>
  <c r="K1583" i="231"/>
  <c r="J1583" i="231"/>
  <c r="K1582" i="231"/>
  <c r="J1582" i="231"/>
  <c r="K1581" i="231"/>
  <c r="J1581" i="231"/>
  <c r="K1580" i="231"/>
  <c r="J1580" i="231"/>
  <c r="K1579" i="231"/>
  <c r="J1579" i="231"/>
  <c r="K1578" i="231"/>
  <c r="J1578" i="231"/>
  <c r="K1577" i="231"/>
  <c r="J1577" i="231"/>
  <c r="K1576" i="231"/>
  <c r="J1576" i="231"/>
  <c r="K1575" i="231"/>
  <c r="J1575" i="231"/>
  <c r="K1574" i="231"/>
  <c r="J1574" i="231"/>
  <c r="K1573" i="231"/>
  <c r="J1573" i="231"/>
  <c r="K1572" i="231"/>
  <c r="J1572" i="231"/>
  <c r="K1571" i="231"/>
  <c r="J1571" i="231"/>
  <c r="K1570" i="231"/>
  <c r="J1570" i="231"/>
  <c r="K1569" i="231"/>
  <c r="J1569" i="231"/>
  <c r="K1568" i="231"/>
  <c r="J1568" i="231"/>
  <c r="K1567" i="231"/>
  <c r="J1567" i="231"/>
  <c r="K1566" i="231"/>
  <c r="J1566" i="231"/>
  <c r="K1565" i="231"/>
  <c r="J1565" i="231"/>
  <c r="K1564" i="231"/>
  <c r="J1564" i="231"/>
  <c r="K1563" i="231"/>
  <c r="J1563" i="231"/>
  <c r="K1562" i="231"/>
  <c r="J1562" i="231"/>
  <c r="K1561" i="231"/>
  <c r="J1561" i="231"/>
  <c r="K1560" i="231"/>
  <c r="J1560" i="231"/>
  <c r="K1559" i="231"/>
  <c r="J1559" i="231"/>
  <c r="K1558" i="231"/>
  <c r="J1558" i="231"/>
  <c r="K1557" i="231"/>
  <c r="J1557" i="231"/>
  <c r="K1556" i="231"/>
  <c r="J1556" i="231"/>
  <c r="K1555" i="231"/>
  <c r="J1555" i="231"/>
  <c r="K1554" i="231"/>
  <c r="J1554" i="231"/>
  <c r="K1553" i="231"/>
  <c r="J1553" i="231"/>
  <c r="K1552" i="231"/>
  <c r="J1552" i="231"/>
  <c r="K1551" i="231"/>
  <c r="J1551" i="231"/>
  <c r="K1550" i="231"/>
  <c r="J1550" i="231"/>
  <c r="K1549" i="231"/>
  <c r="J1549" i="231"/>
  <c r="K1548" i="231"/>
  <c r="J1548" i="231"/>
  <c r="K1547" i="231"/>
  <c r="J1547" i="231"/>
  <c r="K1546" i="231"/>
  <c r="J1546" i="231"/>
  <c r="K1545" i="231"/>
  <c r="J1545" i="231"/>
  <c r="K1544" i="231"/>
  <c r="J1544" i="231"/>
  <c r="K1543" i="231"/>
  <c r="J1543" i="231"/>
  <c r="K1542" i="231"/>
  <c r="J1542" i="231"/>
  <c r="K1541" i="231"/>
  <c r="J1541" i="231"/>
  <c r="K1540" i="231"/>
  <c r="J1540" i="231"/>
  <c r="K1539" i="231"/>
  <c r="J1539" i="231"/>
  <c r="K1538" i="231"/>
  <c r="J1538" i="231"/>
  <c r="K1537" i="231"/>
  <c r="J1537" i="231"/>
  <c r="K1536" i="231"/>
  <c r="J1536" i="231"/>
  <c r="K1535" i="231"/>
  <c r="J1535" i="231"/>
  <c r="K1534" i="231"/>
  <c r="J1534" i="231"/>
  <c r="K1533" i="231"/>
  <c r="J1533" i="231"/>
  <c r="K1532" i="231"/>
  <c r="J1532" i="231"/>
  <c r="K1531" i="231"/>
  <c r="J1531" i="231"/>
  <c r="K1530" i="231"/>
  <c r="J1530" i="231"/>
  <c r="K1529" i="231"/>
  <c r="J1529" i="231"/>
  <c r="K1528" i="231"/>
  <c r="J1528" i="231"/>
  <c r="K1527" i="231"/>
  <c r="J1527" i="231"/>
  <c r="K1526" i="231"/>
  <c r="J1526" i="231"/>
  <c r="K1525" i="231"/>
  <c r="J1525" i="231"/>
  <c r="K1524" i="231"/>
  <c r="J1524" i="231"/>
  <c r="K1523" i="231"/>
  <c r="J1523" i="231"/>
  <c r="K1522" i="231"/>
  <c r="J1522" i="231"/>
  <c r="K1521" i="231"/>
  <c r="J1521" i="231"/>
  <c r="K1520" i="231"/>
  <c r="J1520" i="231"/>
  <c r="K1519" i="231"/>
  <c r="J1519" i="231"/>
  <c r="K1518" i="231"/>
  <c r="J1518" i="231"/>
  <c r="K1517" i="231"/>
  <c r="J1517" i="231"/>
  <c r="K1516" i="231"/>
  <c r="J1516" i="231"/>
  <c r="K1515" i="231"/>
  <c r="J1515" i="231"/>
  <c r="K1514" i="231"/>
  <c r="J1514" i="231"/>
  <c r="K1513" i="231"/>
  <c r="J1513" i="231"/>
  <c r="K1512" i="231"/>
  <c r="J1512" i="231"/>
  <c r="K1511" i="231"/>
  <c r="J1511" i="231"/>
  <c r="K1510" i="231"/>
  <c r="J1510" i="231"/>
  <c r="K1509" i="231"/>
  <c r="J1509" i="231"/>
  <c r="K1508" i="231"/>
  <c r="J1508" i="231"/>
  <c r="K1507" i="231"/>
  <c r="J1507" i="231"/>
  <c r="K1506" i="231"/>
  <c r="J1506" i="231"/>
  <c r="K1505" i="231"/>
  <c r="J1505" i="231"/>
  <c r="K1504" i="231"/>
  <c r="J1504" i="231"/>
  <c r="K1503" i="231"/>
  <c r="J1503" i="231"/>
  <c r="K1502" i="231"/>
  <c r="J1502" i="231"/>
  <c r="K1501" i="231"/>
  <c r="J1501" i="231"/>
  <c r="K1500" i="231"/>
  <c r="J1500" i="231"/>
  <c r="K1499" i="231"/>
  <c r="J1499" i="231"/>
  <c r="K1498" i="231"/>
  <c r="J1498" i="231"/>
  <c r="K1497" i="231"/>
  <c r="J1497" i="231"/>
  <c r="K1496" i="231"/>
  <c r="J1496" i="231"/>
  <c r="K1495" i="231"/>
  <c r="J1495" i="231"/>
  <c r="K1494" i="231"/>
  <c r="J1494" i="231"/>
  <c r="K1493" i="231"/>
  <c r="J1493" i="231"/>
  <c r="K1492" i="231"/>
  <c r="J1492" i="231"/>
  <c r="K1491" i="231"/>
  <c r="J1491" i="231"/>
  <c r="K1490" i="231"/>
  <c r="J1490" i="231"/>
  <c r="K1489" i="231"/>
  <c r="J1489" i="231"/>
  <c r="K1488" i="231"/>
  <c r="J1488" i="231"/>
  <c r="K1487" i="231"/>
  <c r="J1487" i="231"/>
  <c r="K1486" i="231"/>
  <c r="J1486" i="231"/>
  <c r="K1485" i="231"/>
  <c r="J1485" i="231"/>
  <c r="K1484" i="231"/>
  <c r="J1484" i="231"/>
  <c r="K1483" i="231"/>
  <c r="J1483" i="231"/>
  <c r="K1482" i="231"/>
  <c r="J1482" i="231"/>
  <c r="K1481" i="231"/>
  <c r="J1481" i="231"/>
  <c r="K1480" i="231"/>
  <c r="J1480" i="231"/>
  <c r="K1479" i="231"/>
  <c r="J1479" i="231"/>
  <c r="K1478" i="231"/>
  <c r="J1478" i="231"/>
  <c r="K1477" i="231"/>
  <c r="J1477" i="231"/>
  <c r="K1476" i="231"/>
  <c r="J1476" i="231"/>
  <c r="K1475" i="231"/>
  <c r="J1475" i="231"/>
  <c r="K1474" i="231"/>
  <c r="J1474" i="231"/>
  <c r="K1473" i="231"/>
  <c r="J1473" i="231"/>
  <c r="K1472" i="231"/>
  <c r="J1472" i="231"/>
  <c r="K1471" i="231"/>
  <c r="J1471" i="231"/>
  <c r="K1470" i="231"/>
  <c r="J1470" i="231"/>
  <c r="K1469" i="231"/>
  <c r="J1469" i="231"/>
  <c r="K1468" i="231"/>
  <c r="J1468" i="231"/>
  <c r="K1467" i="231"/>
  <c r="J1467" i="231"/>
  <c r="K1466" i="231"/>
  <c r="J1466" i="231"/>
  <c r="K1465" i="231"/>
  <c r="J1465" i="231"/>
  <c r="K1464" i="231"/>
  <c r="J1464" i="231"/>
  <c r="K1463" i="231"/>
  <c r="J1463" i="231"/>
  <c r="K1462" i="231"/>
  <c r="J1462" i="231"/>
  <c r="K1461" i="231"/>
  <c r="J1461" i="231"/>
  <c r="K1460" i="231"/>
  <c r="J1460" i="231"/>
  <c r="K1459" i="231"/>
  <c r="J1459" i="231"/>
  <c r="K1458" i="231"/>
  <c r="J1458" i="231"/>
  <c r="K1457" i="231"/>
  <c r="J1457" i="231"/>
  <c r="K1456" i="231"/>
  <c r="J1456" i="231"/>
  <c r="K1455" i="231"/>
  <c r="J1455" i="231"/>
  <c r="K1454" i="231"/>
  <c r="J1454" i="231"/>
  <c r="K1453" i="231"/>
  <c r="J1453" i="231"/>
  <c r="K1452" i="231"/>
  <c r="J1452" i="231"/>
  <c r="K1451" i="231"/>
  <c r="J1451" i="231"/>
  <c r="K1450" i="231"/>
  <c r="J1450" i="231"/>
  <c r="K1449" i="231"/>
  <c r="J1449" i="231"/>
  <c r="K1448" i="231"/>
  <c r="J1448" i="231"/>
  <c r="K1447" i="231"/>
  <c r="J1447" i="231"/>
  <c r="K1446" i="231"/>
  <c r="J1446" i="231"/>
  <c r="K1445" i="231"/>
  <c r="J1445" i="231"/>
  <c r="K1444" i="231"/>
  <c r="J1444" i="231"/>
  <c r="K1443" i="231"/>
  <c r="J1443" i="231"/>
  <c r="K1442" i="231"/>
  <c r="J1442" i="231"/>
  <c r="K1441" i="231"/>
  <c r="J1441" i="231"/>
  <c r="K1440" i="231"/>
  <c r="J1440" i="231"/>
  <c r="K1439" i="231"/>
  <c r="J1439" i="231"/>
  <c r="K1438" i="231"/>
  <c r="J1438" i="231"/>
  <c r="K1437" i="231"/>
  <c r="J1437" i="231"/>
  <c r="K1436" i="231"/>
  <c r="J1436" i="231"/>
  <c r="K1435" i="231"/>
  <c r="J1435" i="231"/>
  <c r="K1434" i="231"/>
  <c r="J1434" i="231"/>
  <c r="K1433" i="231"/>
  <c r="J1433" i="231"/>
  <c r="K1432" i="231"/>
  <c r="J1432" i="231"/>
  <c r="K1431" i="231"/>
  <c r="J1431" i="231"/>
  <c r="K1430" i="231"/>
  <c r="J1430" i="231"/>
  <c r="K1429" i="231"/>
  <c r="J1429" i="231"/>
  <c r="K1428" i="231"/>
  <c r="J1428" i="231"/>
  <c r="K1427" i="231"/>
  <c r="J1427" i="231"/>
  <c r="K1426" i="231"/>
  <c r="J1426" i="231"/>
  <c r="K1425" i="231"/>
  <c r="J1425" i="231"/>
  <c r="K1424" i="231"/>
  <c r="J1424" i="231"/>
  <c r="K1423" i="231"/>
  <c r="J1423" i="231"/>
  <c r="K1422" i="231"/>
  <c r="J1422" i="231"/>
  <c r="K1421" i="231"/>
  <c r="J1421" i="231"/>
  <c r="K1420" i="231"/>
  <c r="J1420" i="231"/>
  <c r="K1419" i="231"/>
  <c r="J1419" i="231"/>
  <c r="K1418" i="231"/>
  <c r="J1418" i="231"/>
  <c r="K1417" i="231"/>
  <c r="J1417" i="231"/>
  <c r="K1416" i="231"/>
  <c r="J1416" i="231"/>
  <c r="K1415" i="231"/>
  <c r="J1415" i="231"/>
  <c r="K1414" i="231"/>
  <c r="J1414" i="231"/>
  <c r="K1413" i="231"/>
  <c r="J1413" i="231"/>
  <c r="K1412" i="231"/>
  <c r="J1412" i="231"/>
  <c r="K1411" i="231"/>
  <c r="J1411" i="231"/>
  <c r="K1410" i="231"/>
  <c r="J1410" i="231"/>
  <c r="K1409" i="231"/>
  <c r="J1409" i="231"/>
  <c r="K1408" i="231"/>
  <c r="J1408" i="231"/>
  <c r="K1407" i="231"/>
  <c r="J1407" i="231"/>
  <c r="K1406" i="231"/>
  <c r="J1406" i="231"/>
  <c r="K1405" i="231"/>
  <c r="J1405" i="231"/>
  <c r="K1404" i="231"/>
  <c r="J1404" i="231"/>
  <c r="K1403" i="231"/>
  <c r="J1403" i="231"/>
  <c r="K1402" i="231"/>
  <c r="J1402" i="231"/>
  <c r="K1401" i="231"/>
  <c r="J1401" i="231"/>
  <c r="K1400" i="231"/>
  <c r="J1400" i="231"/>
  <c r="K1399" i="231"/>
  <c r="J1399" i="231"/>
  <c r="K1398" i="231"/>
  <c r="J1398" i="231"/>
  <c r="K1397" i="231"/>
  <c r="J1397" i="231"/>
  <c r="K1396" i="231"/>
  <c r="J1396" i="231"/>
  <c r="K1395" i="231"/>
  <c r="J1395" i="231"/>
  <c r="K1394" i="231"/>
  <c r="J1394" i="231"/>
  <c r="K1393" i="231"/>
  <c r="J1393" i="231"/>
  <c r="K1392" i="231"/>
  <c r="J1392" i="231"/>
  <c r="K1391" i="231"/>
  <c r="J1391" i="231"/>
  <c r="K1390" i="231"/>
  <c r="J1390" i="231"/>
  <c r="K1389" i="231"/>
  <c r="J1389" i="231"/>
  <c r="K1388" i="231"/>
  <c r="J1388" i="231"/>
  <c r="K1387" i="231"/>
  <c r="J1387" i="231"/>
  <c r="K1386" i="231"/>
  <c r="J1386" i="231"/>
  <c r="K1385" i="231"/>
  <c r="J1385" i="231"/>
  <c r="K1384" i="231"/>
  <c r="J1384" i="231"/>
  <c r="K1383" i="231"/>
  <c r="J1383" i="231"/>
  <c r="K1382" i="231"/>
  <c r="J1382" i="231"/>
  <c r="K1381" i="231"/>
  <c r="J1381" i="231"/>
  <c r="K1380" i="231"/>
  <c r="J1380" i="231"/>
  <c r="K1379" i="231"/>
  <c r="J1379" i="231"/>
  <c r="K1378" i="231"/>
  <c r="J1378" i="231"/>
  <c r="K1377" i="231"/>
  <c r="J1377" i="231"/>
  <c r="K1376" i="231"/>
  <c r="J1376" i="231"/>
  <c r="K1375" i="231"/>
  <c r="J1375" i="231"/>
  <c r="K1374" i="231"/>
  <c r="J1374" i="231"/>
  <c r="K1373" i="231"/>
  <c r="J1373" i="231"/>
  <c r="K1372" i="231"/>
  <c r="J1372" i="231"/>
  <c r="K1371" i="231"/>
  <c r="J1371" i="231"/>
  <c r="K1370" i="231"/>
  <c r="J1370" i="231"/>
  <c r="K1369" i="231"/>
  <c r="J1369" i="231"/>
  <c r="K1368" i="231"/>
  <c r="J1368" i="231"/>
  <c r="K1367" i="231"/>
  <c r="J1367" i="231"/>
  <c r="K1366" i="231"/>
  <c r="J1366" i="231"/>
  <c r="K1365" i="231"/>
  <c r="J1365" i="231"/>
  <c r="K1364" i="231"/>
  <c r="J1364" i="231"/>
  <c r="K1363" i="231"/>
  <c r="J1363" i="231"/>
  <c r="K1362" i="231"/>
  <c r="J1362" i="231"/>
  <c r="K1361" i="231"/>
  <c r="J1361" i="231"/>
  <c r="K1360" i="231"/>
  <c r="J1360" i="231"/>
  <c r="K1359" i="231"/>
  <c r="J1359" i="231"/>
  <c r="K1358" i="231"/>
  <c r="J1358" i="231"/>
  <c r="K1357" i="231"/>
  <c r="J1357" i="231"/>
  <c r="K1356" i="231"/>
  <c r="J1356" i="231"/>
  <c r="K1355" i="231"/>
  <c r="J1355" i="231"/>
  <c r="K1354" i="231"/>
  <c r="J1354" i="231"/>
  <c r="K1353" i="231"/>
  <c r="J1353" i="231"/>
  <c r="K1352" i="231"/>
  <c r="J1352" i="231"/>
  <c r="K1351" i="231"/>
  <c r="J1351" i="231"/>
  <c r="K1350" i="231"/>
  <c r="J1350" i="231"/>
  <c r="K1349" i="231"/>
  <c r="J1349" i="231"/>
  <c r="K1348" i="231"/>
  <c r="J1348" i="231"/>
  <c r="K1347" i="231"/>
  <c r="J1347" i="231"/>
  <c r="K1346" i="231"/>
  <c r="J1346" i="231"/>
  <c r="K1345" i="231"/>
  <c r="J1345" i="231"/>
  <c r="K1344" i="231"/>
  <c r="J1344" i="231"/>
  <c r="K1343" i="231"/>
  <c r="J1343" i="231"/>
  <c r="K1342" i="231"/>
  <c r="J1342" i="231"/>
  <c r="K1341" i="231"/>
  <c r="J1341" i="231"/>
  <c r="K1340" i="231"/>
  <c r="J1340" i="231"/>
  <c r="K1339" i="231"/>
  <c r="J1339" i="231"/>
  <c r="K1338" i="231"/>
  <c r="J1338" i="231"/>
  <c r="K1337" i="231"/>
  <c r="J1337" i="231"/>
  <c r="K1336" i="231"/>
  <c r="J1336" i="231"/>
  <c r="K1335" i="231"/>
  <c r="J1335" i="231"/>
  <c r="K1334" i="231"/>
  <c r="J1334" i="231"/>
  <c r="K1333" i="231"/>
  <c r="J1333" i="231"/>
  <c r="K1332" i="231"/>
  <c r="J1332" i="231"/>
  <c r="K1331" i="231"/>
  <c r="J1331" i="231"/>
  <c r="K1330" i="231"/>
  <c r="J1330" i="231"/>
  <c r="K1329" i="231"/>
  <c r="J1329" i="231"/>
  <c r="K1328" i="231"/>
  <c r="J1328" i="231"/>
  <c r="K1327" i="231"/>
  <c r="J1327" i="231"/>
  <c r="K1326" i="231"/>
  <c r="J1326" i="231"/>
  <c r="K1325" i="231"/>
  <c r="J1325" i="231"/>
  <c r="K1324" i="231"/>
  <c r="J1324" i="231"/>
  <c r="K1323" i="231"/>
  <c r="J1323" i="231"/>
  <c r="K1322" i="231"/>
  <c r="J1322" i="231"/>
  <c r="K1321" i="231"/>
  <c r="J1321" i="231"/>
  <c r="K1320" i="231"/>
  <c r="J1320" i="231"/>
  <c r="K1319" i="231"/>
  <c r="J1319" i="231"/>
  <c r="K1318" i="231"/>
  <c r="J1318" i="231"/>
  <c r="K1317" i="231"/>
  <c r="J1317" i="231"/>
  <c r="K1316" i="231"/>
  <c r="J1316" i="231"/>
  <c r="K1315" i="231"/>
  <c r="J1315" i="231"/>
  <c r="K1314" i="231"/>
  <c r="J1314" i="231"/>
  <c r="K1313" i="231"/>
  <c r="J1313" i="231"/>
  <c r="K1312" i="231"/>
  <c r="J1312" i="231"/>
  <c r="K1311" i="231"/>
  <c r="J1311" i="231"/>
  <c r="K1310" i="231"/>
  <c r="J1310" i="231"/>
  <c r="K1309" i="231"/>
  <c r="J1309" i="231"/>
  <c r="K1308" i="231"/>
  <c r="J1308" i="231"/>
  <c r="K1307" i="231"/>
  <c r="J1307" i="231"/>
  <c r="K1306" i="231"/>
  <c r="J1306" i="231"/>
  <c r="K1305" i="231"/>
  <c r="J1305" i="231"/>
  <c r="K1304" i="231"/>
  <c r="J1304" i="231"/>
  <c r="K1303" i="231"/>
  <c r="J1303" i="231"/>
  <c r="K1302" i="231"/>
  <c r="J1302" i="231"/>
  <c r="K1301" i="231"/>
  <c r="J1301" i="231"/>
  <c r="K1300" i="231"/>
  <c r="J1300" i="231"/>
  <c r="K1299" i="231"/>
  <c r="J1299" i="231"/>
  <c r="K1298" i="231"/>
  <c r="J1298" i="231"/>
  <c r="K1297" i="231"/>
  <c r="J1297" i="231"/>
  <c r="K1296" i="231"/>
  <c r="J1296" i="231"/>
  <c r="K1295" i="231"/>
  <c r="J1295" i="231"/>
  <c r="K1294" i="231"/>
  <c r="J1294" i="231"/>
  <c r="K1293" i="231"/>
  <c r="J1293" i="231"/>
  <c r="K1292" i="231"/>
  <c r="J1292" i="231"/>
  <c r="K1291" i="231"/>
  <c r="J1291" i="231"/>
  <c r="K1290" i="231"/>
  <c r="J1290" i="231"/>
  <c r="K1289" i="231"/>
  <c r="J1289" i="231"/>
  <c r="K1288" i="231"/>
  <c r="J1288" i="231"/>
  <c r="K1287" i="231"/>
  <c r="J1287" i="231"/>
  <c r="K1286" i="231"/>
  <c r="J1286" i="231"/>
  <c r="K1285" i="231"/>
  <c r="J1285" i="231"/>
  <c r="K1284" i="231"/>
  <c r="J1284" i="231"/>
  <c r="K1283" i="231"/>
  <c r="J1283" i="231"/>
  <c r="K1282" i="231"/>
  <c r="J1282" i="231"/>
  <c r="K1281" i="231"/>
  <c r="J1281" i="231"/>
  <c r="K1280" i="231"/>
  <c r="J1280" i="231"/>
  <c r="K1279" i="231"/>
  <c r="J1279" i="231"/>
  <c r="K1278" i="231"/>
  <c r="J1278" i="231"/>
  <c r="K1277" i="231"/>
  <c r="J1277" i="231"/>
  <c r="K1276" i="231"/>
  <c r="J1276" i="231"/>
  <c r="K1275" i="231"/>
  <c r="J1275" i="231"/>
  <c r="K1274" i="231"/>
  <c r="J1274" i="231"/>
  <c r="K1273" i="231"/>
  <c r="J1273" i="231"/>
  <c r="K1272" i="231"/>
  <c r="J1272" i="231"/>
  <c r="K1271" i="231"/>
  <c r="J1271" i="231"/>
  <c r="K1270" i="231"/>
  <c r="J1270" i="231"/>
  <c r="K1269" i="231"/>
  <c r="J1269" i="231"/>
  <c r="K1268" i="231"/>
  <c r="J1268" i="231"/>
  <c r="K1267" i="231"/>
  <c r="J1267" i="231"/>
  <c r="K1266" i="231"/>
  <c r="J1266" i="231"/>
  <c r="K1265" i="231"/>
  <c r="J1265" i="231"/>
  <c r="K1264" i="231"/>
  <c r="J1264" i="231"/>
  <c r="K1263" i="231"/>
  <c r="J1263" i="231"/>
  <c r="K1262" i="231"/>
  <c r="J1262" i="231"/>
  <c r="K1261" i="231"/>
  <c r="J1261" i="231"/>
  <c r="K1260" i="231"/>
  <c r="J1260" i="231"/>
  <c r="K1259" i="231"/>
  <c r="J1259" i="231"/>
  <c r="K1258" i="231"/>
  <c r="J1258" i="231"/>
  <c r="K1257" i="231"/>
  <c r="J1257" i="231"/>
  <c r="K1256" i="231"/>
  <c r="J1256" i="231"/>
  <c r="K1255" i="231"/>
  <c r="J1255" i="231"/>
  <c r="K1254" i="231"/>
  <c r="J1254" i="231"/>
  <c r="K1253" i="231"/>
  <c r="J1253" i="231"/>
  <c r="K1252" i="231"/>
  <c r="J1252" i="231"/>
  <c r="K1251" i="231"/>
  <c r="J1251" i="231"/>
  <c r="K1250" i="231"/>
  <c r="J1250" i="231"/>
  <c r="K1249" i="231"/>
  <c r="J1249" i="231"/>
  <c r="K1248" i="231"/>
  <c r="J1248" i="231"/>
  <c r="K1247" i="231"/>
  <c r="J1247" i="231"/>
  <c r="K1246" i="231"/>
  <c r="J1246" i="231"/>
  <c r="K1245" i="231"/>
  <c r="J1245" i="231"/>
  <c r="K1244" i="231"/>
  <c r="J1244" i="231"/>
  <c r="K1243" i="231"/>
  <c r="J1243" i="231"/>
  <c r="K1242" i="231"/>
  <c r="J1242" i="231"/>
  <c r="K1241" i="231"/>
  <c r="J1241" i="231"/>
  <c r="K1240" i="231"/>
  <c r="J1240" i="231"/>
  <c r="K1239" i="231"/>
  <c r="J1239" i="231"/>
  <c r="K1238" i="231"/>
  <c r="J1238" i="231"/>
  <c r="K1237" i="231"/>
  <c r="J1237" i="231"/>
  <c r="K1236" i="231"/>
  <c r="J1236" i="231"/>
  <c r="K1235" i="231"/>
  <c r="J1235" i="231"/>
  <c r="K1234" i="231"/>
  <c r="J1234" i="231"/>
  <c r="K1233" i="231"/>
  <c r="J1233" i="231"/>
  <c r="K1232" i="231"/>
  <c r="J1232" i="231"/>
  <c r="K1231" i="231"/>
  <c r="J1231" i="231"/>
  <c r="K1230" i="231"/>
  <c r="J1230" i="231"/>
  <c r="K1229" i="231"/>
  <c r="J1229" i="231"/>
  <c r="K1228" i="231"/>
  <c r="J1228" i="231"/>
  <c r="K1227" i="231"/>
  <c r="J1227" i="231"/>
  <c r="K1226" i="231"/>
  <c r="J1226" i="231"/>
  <c r="K1225" i="231"/>
  <c r="J1225" i="231"/>
  <c r="K1224" i="231"/>
  <c r="J1224" i="231"/>
  <c r="K1223" i="231"/>
  <c r="J1223" i="231"/>
  <c r="K1222" i="231"/>
  <c r="J1222" i="231"/>
  <c r="K1221" i="231"/>
  <c r="J1221" i="231"/>
  <c r="K1220" i="231"/>
  <c r="J1220" i="231"/>
  <c r="K1219" i="231"/>
  <c r="J1219" i="231"/>
  <c r="K1218" i="231"/>
  <c r="J1218" i="231"/>
  <c r="K1217" i="231"/>
  <c r="J1217" i="231"/>
  <c r="K1216" i="231"/>
  <c r="J1216" i="231"/>
  <c r="K1215" i="231"/>
  <c r="J1215" i="231"/>
  <c r="K1214" i="231"/>
  <c r="J1214" i="231"/>
  <c r="K1213" i="231"/>
  <c r="J1213" i="231"/>
  <c r="K1212" i="231"/>
  <c r="J1212" i="231"/>
  <c r="K1211" i="231"/>
  <c r="J1211" i="231"/>
  <c r="K1210" i="231"/>
  <c r="J1210" i="231"/>
  <c r="K1209" i="231"/>
  <c r="J1209" i="231"/>
  <c r="K1208" i="231"/>
  <c r="J1208" i="231"/>
  <c r="K1207" i="231"/>
  <c r="J1207" i="231"/>
  <c r="K1206" i="231"/>
  <c r="J1206" i="231"/>
  <c r="K1205" i="231"/>
  <c r="J1205" i="231"/>
  <c r="K1204" i="231"/>
  <c r="J1204" i="231"/>
  <c r="K1203" i="231"/>
  <c r="J1203" i="231"/>
  <c r="K1202" i="231"/>
  <c r="J1202" i="231"/>
  <c r="K1201" i="231"/>
  <c r="J1201" i="231"/>
  <c r="K1200" i="231"/>
  <c r="J1200" i="231"/>
  <c r="K1199" i="231"/>
  <c r="J1199" i="231"/>
  <c r="K1198" i="231"/>
  <c r="J1198" i="231"/>
  <c r="K1197" i="231"/>
  <c r="J1197" i="231"/>
  <c r="K1196" i="231"/>
  <c r="J1196" i="231"/>
  <c r="K1195" i="231"/>
  <c r="J1195" i="231"/>
  <c r="K1194" i="231"/>
  <c r="J1194" i="231"/>
  <c r="K1193" i="231"/>
  <c r="J1193" i="231"/>
  <c r="K1192" i="231"/>
  <c r="J1192" i="231"/>
  <c r="K1191" i="231"/>
  <c r="J1191" i="231"/>
  <c r="K1190" i="231"/>
  <c r="J1190" i="231"/>
  <c r="K1189" i="231"/>
  <c r="J1189" i="231"/>
  <c r="K1188" i="231"/>
  <c r="J1188" i="231"/>
  <c r="K1187" i="231"/>
  <c r="J1187" i="231"/>
  <c r="K1186" i="231"/>
  <c r="J1186" i="231"/>
  <c r="K1185" i="231"/>
  <c r="J1185" i="231"/>
  <c r="K1184" i="231"/>
  <c r="J1184" i="231"/>
  <c r="K1183" i="231"/>
  <c r="J1183" i="231"/>
  <c r="K1182" i="231"/>
  <c r="J1182" i="231"/>
  <c r="K1181" i="231"/>
  <c r="J1181" i="231"/>
  <c r="K1180" i="231"/>
  <c r="J1180" i="231"/>
  <c r="K1179" i="231"/>
  <c r="J1179" i="231"/>
  <c r="K1178" i="231"/>
  <c r="J1178" i="231"/>
  <c r="K1177" i="231"/>
  <c r="J1177" i="231"/>
  <c r="K1176" i="231"/>
  <c r="J1176" i="231"/>
  <c r="K1175" i="231"/>
  <c r="J1175" i="231"/>
  <c r="K1174" i="231"/>
  <c r="J1174" i="231"/>
  <c r="K1173" i="231"/>
  <c r="J1173" i="231"/>
  <c r="K1172" i="231"/>
  <c r="J1172" i="231"/>
  <c r="K1171" i="231"/>
  <c r="J1171" i="231"/>
  <c r="K1170" i="231"/>
  <c r="J1170" i="231"/>
  <c r="K1169" i="231"/>
  <c r="J1169" i="231"/>
  <c r="K1168" i="231"/>
  <c r="J1168" i="231"/>
  <c r="K1167" i="231"/>
  <c r="J1167" i="231"/>
  <c r="K1166" i="231"/>
  <c r="J1166" i="231"/>
  <c r="K1165" i="231"/>
  <c r="J1165" i="231"/>
  <c r="K1164" i="231"/>
  <c r="J1164" i="231"/>
  <c r="K1163" i="231"/>
  <c r="J1163" i="231"/>
  <c r="K1162" i="231"/>
  <c r="J1162" i="231"/>
  <c r="K1161" i="231"/>
  <c r="J1161" i="231"/>
  <c r="K1160" i="231"/>
  <c r="J1160" i="231"/>
  <c r="K1159" i="231"/>
  <c r="J1159" i="231"/>
  <c r="K1158" i="231"/>
  <c r="J1158" i="231"/>
  <c r="K1157" i="231"/>
  <c r="J1157" i="231"/>
  <c r="K1156" i="231"/>
  <c r="J1156" i="231"/>
  <c r="K1155" i="231"/>
  <c r="J1155" i="231"/>
  <c r="K1154" i="231"/>
  <c r="J1154" i="231"/>
  <c r="K1153" i="231"/>
  <c r="J1153" i="231"/>
  <c r="K1152" i="231"/>
  <c r="J1152" i="231"/>
  <c r="K1151" i="231"/>
  <c r="J1151" i="231"/>
  <c r="K1150" i="231"/>
  <c r="J1150" i="231"/>
  <c r="K1149" i="231"/>
  <c r="J1149" i="231"/>
  <c r="K1148" i="231"/>
  <c r="J1148" i="231"/>
  <c r="K1147" i="231"/>
  <c r="J1147" i="231"/>
  <c r="K1146" i="231"/>
  <c r="J1146" i="231"/>
  <c r="K1145" i="231"/>
  <c r="J1145" i="231"/>
  <c r="K1144" i="231"/>
  <c r="J1144" i="231"/>
  <c r="K1143" i="231"/>
  <c r="J1143" i="231"/>
  <c r="K1142" i="231"/>
  <c r="J1142" i="231"/>
  <c r="K1141" i="231"/>
  <c r="J1141" i="231"/>
  <c r="K1140" i="231"/>
  <c r="J1140" i="231"/>
  <c r="K1139" i="231"/>
  <c r="J1139" i="231"/>
  <c r="K1138" i="231"/>
  <c r="J1138" i="231"/>
  <c r="K1137" i="231"/>
  <c r="J1137" i="231"/>
  <c r="K1136" i="231"/>
  <c r="J1136" i="231"/>
  <c r="K1135" i="231"/>
  <c r="J1135" i="231"/>
  <c r="K1134" i="231"/>
  <c r="J1134" i="231"/>
  <c r="K1133" i="231"/>
  <c r="J1133" i="231"/>
  <c r="K1132" i="231"/>
  <c r="J1132" i="231"/>
  <c r="K1131" i="231"/>
  <c r="J1131" i="231"/>
  <c r="K1130" i="231"/>
  <c r="J1130" i="231"/>
  <c r="K1129" i="231"/>
  <c r="J1129" i="231"/>
  <c r="K1128" i="231"/>
  <c r="J1128" i="231"/>
  <c r="K1127" i="231"/>
  <c r="J1127" i="231"/>
  <c r="K1126" i="231"/>
  <c r="J1126" i="231"/>
  <c r="K1125" i="231"/>
  <c r="J1125" i="231"/>
  <c r="K1124" i="231"/>
  <c r="J1124" i="231"/>
  <c r="K1123" i="231"/>
  <c r="J1123" i="231"/>
  <c r="K1122" i="231"/>
  <c r="J1122" i="231"/>
  <c r="K1121" i="231"/>
  <c r="J1121" i="231"/>
  <c r="K1120" i="231"/>
  <c r="J1120" i="231"/>
  <c r="K1119" i="231"/>
  <c r="J1119" i="231"/>
  <c r="K1118" i="231"/>
  <c r="J1118" i="231"/>
  <c r="K1117" i="231"/>
  <c r="J1117" i="231"/>
  <c r="K1116" i="231"/>
  <c r="J1116" i="231"/>
  <c r="K1115" i="231"/>
  <c r="J1115" i="231"/>
  <c r="K1114" i="231"/>
  <c r="J1114" i="231"/>
  <c r="K1113" i="231"/>
  <c r="J1113" i="231"/>
  <c r="K1112" i="231"/>
  <c r="J1112" i="231"/>
  <c r="K1111" i="231"/>
  <c r="J1111" i="231"/>
  <c r="K1110" i="231"/>
  <c r="J1110" i="231"/>
  <c r="K1109" i="231"/>
  <c r="J1109" i="231"/>
  <c r="K1108" i="231"/>
  <c r="J1108" i="231"/>
  <c r="K1107" i="231"/>
  <c r="J1107" i="231"/>
  <c r="K1106" i="231"/>
  <c r="J1106" i="231"/>
  <c r="K1105" i="231"/>
  <c r="J1105" i="231"/>
  <c r="K1104" i="231"/>
  <c r="J1104" i="231"/>
  <c r="K1103" i="231"/>
  <c r="J1103" i="231"/>
  <c r="K1102" i="231"/>
  <c r="J1102" i="231"/>
  <c r="K1101" i="231"/>
  <c r="J1101" i="231"/>
  <c r="K1100" i="231"/>
  <c r="J1100" i="231"/>
  <c r="K1099" i="231"/>
  <c r="J1099" i="231"/>
  <c r="K1098" i="231"/>
  <c r="J1098" i="231"/>
  <c r="K1097" i="231"/>
  <c r="J1097" i="231"/>
  <c r="K1096" i="231"/>
  <c r="J1096" i="231"/>
  <c r="K1095" i="231"/>
  <c r="J1095" i="231"/>
  <c r="K1094" i="231"/>
  <c r="J1094" i="231"/>
  <c r="K1093" i="231"/>
  <c r="J1093" i="231"/>
  <c r="K1092" i="231"/>
  <c r="J1092" i="231"/>
  <c r="K1091" i="231"/>
  <c r="J1091" i="231"/>
  <c r="K1090" i="231"/>
  <c r="J1090" i="231"/>
  <c r="K1089" i="231"/>
  <c r="J1089" i="231"/>
  <c r="K1088" i="231"/>
  <c r="J1088" i="231"/>
  <c r="K1087" i="231"/>
  <c r="J1087" i="231"/>
  <c r="K1086" i="231"/>
  <c r="J1086" i="231"/>
  <c r="K1085" i="231"/>
  <c r="J1085" i="231"/>
  <c r="K1084" i="231"/>
  <c r="J1084" i="231"/>
  <c r="K1083" i="231"/>
  <c r="J1083" i="231"/>
  <c r="K1082" i="231"/>
  <c r="J1082" i="231"/>
  <c r="K1081" i="231"/>
  <c r="J1081" i="231"/>
  <c r="K1080" i="231"/>
  <c r="J1080" i="231"/>
  <c r="K1079" i="231"/>
  <c r="J1079" i="231"/>
  <c r="K1078" i="231"/>
  <c r="J1078" i="231"/>
  <c r="K1077" i="231"/>
  <c r="J1077" i="231"/>
  <c r="K1076" i="231"/>
  <c r="J1076" i="231"/>
  <c r="K1075" i="231"/>
  <c r="J1075" i="231"/>
  <c r="K1074" i="231"/>
  <c r="J1074" i="231"/>
  <c r="K1073" i="231"/>
  <c r="J1073" i="231"/>
  <c r="K1072" i="231"/>
  <c r="J1072" i="231"/>
  <c r="K1071" i="231"/>
  <c r="J1071" i="231"/>
  <c r="K1070" i="231"/>
  <c r="J1070" i="231"/>
  <c r="K1069" i="231"/>
  <c r="J1069" i="231"/>
  <c r="K1068" i="231"/>
  <c r="J1068" i="231"/>
  <c r="K1067" i="231"/>
  <c r="J1067" i="231"/>
  <c r="K1066" i="231"/>
  <c r="J1066" i="231"/>
  <c r="K1065" i="231"/>
  <c r="J1065" i="231"/>
  <c r="K1064" i="231"/>
  <c r="J1064" i="231"/>
  <c r="K1063" i="231"/>
  <c r="J1063" i="231"/>
  <c r="K1062" i="231"/>
  <c r="J1062" i="231"/>
  <c r="K1061" i="231"/>
  <c r="J1061" i="231"/>
  <c r="K1060" i="231"/>
  <c r="J1060" i="231"/>
  <c r="K1059" i="231"/>
  <c r="J1059" i="231"/>
  <c r="K1058" i="231"/>
  <c r="J1058" i="231"/>
  <c r="K1057" i="231"/>
  <c r="J1057" i="231"/>
  <c r="K1056" i="231"/>
  <c r="J1056" i="231"/>
  <c r="K1055" i="231"/>
  <c r="J1055" i="231"/>
  <c r="K1054" i="231"/>
  <c r="J1054" i="231"/>
  <c r="K1053" i="231"/>
  <c r="J1053" i="231"/>
  <c r="K1052" i="231"/>
  <c r="J1052" i="231"/>
  <c r="K1051" i="231"/>
  <c r="J1051" i="231"/>
  <c r="K1050" i="231"/>
  <c r="J1050" i="231"/>
  <c r="K1049" i="231"/>
  <c r="J1049" i="231"/>
  <c r="K1048" i="231"/>
  <c r="J1048" i="231"/>
  <c r="K1047" i="231"/>
  <c r="J1047" i="231"/>
  <c r="K1046" i="231"/>
  <c r="J1046" i="231"/>
  <c r="K1045" i="231"/>
  <c r="J1045" i="231"/>
  <c r="K1044" i="231"/>
  <c r="J1044" i="231"/>
  <c r="K1043" i="231"/>
  <c r="J1043" i="231"/>
  <c r="K1042" i="231"/>
  <c r="J1042" i="231"/>
  <c r="K1041" i="231"/>
  <c r="J1041" i="231"/>
  <c r="K1040" i="231"/>
  <c r="J1040" i="231"/>
  <c r="K1039" i="231"/>
  <c r="J1039" i="231"/>
  <c r="K1038" i="231"/>
  <c r="J1038" i="231"/>
  <c r="K1037" i="231"/>
  <c r="J1037" i="231"/>
  <c r="K1036" i="231"/>
  <c r="J1036" i="231"/>
  <c r="K1035" i="231"/>
  <c r="J1035" i="231"/>
  <c r="K1034" i="231"/>
  <c r="J1034" i="231"/>
  <c r="K1033" i="231"/>
  <c r="J1033" i="231"/>
  <c r="K1032" i="231"/>
  <c r="J1032" i="231"/>
  <c r="K1031" i="231"/>
  <c r="J1031" i="231"/>
  <c r="K1030" i="231"/>
  <c r="J1030" i="231"/>
  <c r="K1029" i="231"/>
  <c r="J1029" i="231"/>
  <c r="K1028" i="231"/>
  <c r="J1028" i="231"/>
  <c r="K1027" i="231"/>
  <c r="J1027" i="231"/>
  <c r="K1026" i="231"/>
  <c r="J1026" i="231"/>
  <c r="K1025" i="231"/>
  <c r="J1025" i="231"/>
  <c r="K1024" i="231"/>
  <c r="J1024" i="231"/>
  <c r="K1023" i="231"/>
  <c r="J1023" i="231"/>
  <c r="K1022" i="231"/>
  <c r="J1022" i="231"/>
  <c r="K1021" i="231"/>
  <c r="J1021" i="231"/>
  <c r="K1020" i="231"/>
  <c r="J1020" i="231"/>
  <c r="K1019" i="231"/>
  <c r="J1019" i="231"/>
  <c r="K1018" i="231"/>
  <c r="J1018" i="231"/>
  <c r="K1017" i="231"/>
  <c r="J1017" i="231"/>
  <c r="K1016" i="231"/>
  <c r="J1016" i="231"/>
  <c r="K1015" i="231"/>
  <c r="J1015" i="231"/>
  <c r="K1014" i="231"/>
  <c r="J1014" i="231"/>
  <c r="K1013" i="231"/>
  <c r="J1013" i="231"/>
  <c r="K1012" i="231"/>
  <c r="J1012" i="231"/>
  <c r="K1011" i="231"/>
  <c r="J1011" i="231"/>
  <c r="K1010" i="231"/>
  <c r="J1010" i="231"/>
  <c r="K1009" i="231"/>
  <c r="J1009" i="231"/>
  <c r="K1008" i="231"/>
  <c r="J1008" i="231"/>
  <c r="K1007" i="231"/>
  <c r="J1007" i="231"/>
  <c r="K1006" i="231"/>
  <c r="J1006" i="231"/>
  <c r="K1005" i="231"/>
  <c r="J1005" i="231"/>
  <c r="K1004" i="231"/>
  <c r="J1004" i="231"/>
  <c r="K1003" i="231"/>
  <c r="J1003" i="231"/>
  <c r="K1002" i="231"/>
  <c r="J1002" i="231"/>
  <c r="K1001" i="231"/>
  <c r="J1001" i="231"/>
  <c r="K1000" i="231"/>
  <c r="J1000" i="231"/>
  <c r="K999" i="231"/>
  <c r="J999" i="231"/>
  <c r="K998" i="231"/>
  <c r="J998" i="231"/>
  <c r="K997" i="231"/>
  <c r="J997" i="231"/>
  <c r="K996" i="231"/>
  <c r="J996" i="231"/>
  <c r="K995" i="231"/>
  <c r="J995" i="231"/>
  <c r="K994" i="231"/>
  <c r="J994" i="231"/>
  <c r="K993" i="231"/>
  <c r="J993" i="231"/>
  <c r="K992" i="231"/>
  <c r="J992" i="231"/>
  <c r="K991" i="231"/>
  <c r="J991" i="231"/>
  <c r="K990" i="231"/>
  <c r="J990" i="231"/>
  <c r="K989" i="231"/>
  <c r="J989" i="231"/>
  <c r="K988" i="231"/>
  <c r="J988" i="231"/>
  <c r="K987" i="231"/>
  <c r="J987" i="231"/>
  <c r="K986" i="231"/>
  <c r="J986" i="231"/>
  <c r="K985" i="231"/>
  <c r="J985" i="231"/>
  <c r="K984" i="231"/>
  <c r="J984" i="231"/>
  <c r="K983" i="231"/>
  <c r="J983" i="231"/>
  <c r="K982" i="231"/>
  <c r="J982" i="231"/>
  <c r="K981" i="231"/>
  <c r="J981" i="231"/>
  <c r="K980" i="231"/>
  <c r="J980" i="231"/>
  <c r="K979" i="231"/>
  <c r="J979" i="231"/>
  <c r="K978" i="231"/>
  <c r="J978" i="231"/>
  <c r="K977" i="231"/>
  <c r="J977" i="231"/>
  <c r="K976" i="231"/>
  <c r="J976" i="231"/>
  <c r="K975" i="231"/>
  <c r="J975" i="231"/>
  <c r="K974" i="231"/>
  <c r="J974" i="231"/>
  <c r="K973" i="231"/>
  <c r="J973" i="231"/>
  <c r="K972" i="231"/>
  <c r="J972" i="231"/>
  <c r="K971" i="231"/>
  <c r="J971" i="231"/>
  <c r="K970" i="231"/>
  <c r="J970" i="231"/>
  <c r="K969" i="231"/>
  <c r="J969" i="231"/>
  <c r="K968" i="231"/>
  <c r="J968" i="231"/>
  <c r="K967" i="231"/>
  <c r="J967" i="231"/>
  <c r="K966" i="231"/>
  <c r="J966" i="231"/>
  <c r="K965" i="231"/>
  <c r="J965" i="231"/>
  <c r="K964" i="231"/>
  <c r="J964" i="231"/>
  <c r="K963" i="231"/>
  <c r="J963" i="231"/>
  <c r="K962" i="231"/>
  <c r="J962" i="231"/>
  <c r="K961" i="231"/>
  <c r="J961" i="231"/>
  <c r="K960" i="231"/>
  <c r="J960" i="231"/>
  <c r="K959" i="231"/>
  <c r="J959" i="231"/>
  <c r="K958" i="231"/>
  <c r="J958" i="231"/>
  <c r="K957" i="231"/>
  <c r="J957" i="231"/>
  <c r="K956" i="231"/>
  <c r="J956" i="231"/>
  <c r="K955" i="231"/>
  <c r="J955" i="231"/>
  <c r="K954" i="231"/>
  <c r="J954" i="231"/>
  <c r="K953" i="231"/>
  <c r="J953" i="231"/>
  <c r="K952" i="231"/>
  <c r="J952" i="231"/>
  <c r="K951" i="231"/>
  <c r="J951" i="231"/>
  <c r="K950" i="231"/>
  <c r="J950" i="231"/>
  <c r="K949" i="231"/>
  <c r="J949" i="231"/>
  <c r="K948" i="231"/>
  <c r="J948" i="231"/>
  <c r="K947" i="231"/>
  <c r="J947" i="231"/>
  <c r="K946" i="231"/>
  <c r="J946" i="231"/>
  <c r="K945" i="231"/>
  <c r="J945" i="231"/>
  <c r="K944" i="231"/>
  <c r="J944" i="231"/>
  <c r="K943" i="231"/>
  <c r="J943" i="231"/>
  <c r="K942" i="231"/>
  <c r="J942" i="231"/>
  <c r="K941" i="231"/>
  <c r="J941" i="231"/>
  <c r="K940" i="231"/>
  <c r="J940" i="231"/>
  <c r="K939" i="231"/>
  <c r="J939" i="231"/>
  <c r="K938" i="231"/>
  <c r="J938" i="231"/>
  <c r="K937" i="231"/>
  <c r="J937" i="231"/>
  <c r="K936" i="231"/>
  <c r="J936" i="231"/>
  <c r="K935" i="231"/>
  <c r="J935" i="231"/>
  <c r="K934" i="231"/>
  <c r="J934" i="231"/>
  <c r="K933" i="231"/>
  <c r="J933" i="231"/>
  <c r="K932" i="231"/>
  <c r="J932" i="231"/>
  <c r="K931" i="231"/>
  <c r="J931" i="231"/>
  <c r="K930" i="231"/>
  <c r="J930" i="231"/>
  <c r="K929" i="231"/>
  <c r="J929" i="231"/>
  <c r="K928" i="231"/>
  <c r="J928" i="231"/>
  <c r="K927" i="231"/>
  <c r="J927" i="231"/>
  <c r="K926" i="231"/>
  <c r="J926" i="231"/>
  <c r="K925" i="231"/>
  <c r="J925" i="231"/>
  <c r="K924" i="231"/>
  <c r="J924" i="231"/>
  <c r="K923" i="231"/>
  <c r="J923" i="231"/>
  <c r="K922" i="231"/>
  <c r="J922" i="231"/>
  <c r="K921" i="231"/>
  <c r="J921" i="231"/>
  <c r="K920" i="231"/>
  <c r="J920" i="231"/>
  <c r="K919" i="231"/>
  <c r="J919" i="231"/>
  <c r="K918" i="231"/>
  <c r="J918" i="231"/>
  <c r="K917" i="231"/>
  <c r="J917" i="231"/>
  <c r="K916" i="231"/>
  <c r="J916" i="231"/>
  <c r="K915" i="231"/>
  <c r="J915" i="231"/>
  <c r="K914" i="231"/>
  <c r="J914" i="231"/>
  <c r="K913" i="231"/>
  <c r="J913" i="231"/>
  <c r="K912" i="231"/>
  <c r="J912" i="231"/>
  <c r="K911" i="231"/>
  <c r="J911" i="231"/>
  <c r="K910" i="231"/>
  <c r="J910" i="231"/>
  <c r="K909" i="231"/>
  <c r="J909" i="231"/>
  <c r="K908" i="231"/>
  <c r="J908" i="231"/>
  <c r="K907" i="231"/>
  <c r="J907" i="231"/>
  <c r="K906" i="231"/>
  <c r="J906" i="231"/>
  <c r="K905" i="231"/>
  <c r="J905" i="231"/>
  <c r="K904" i="231"/>
  <c r="J904" i="231"/>
  <c r="K903" i="231"/>
  <c r="J903" i="231"/>
  <c r="K902" i="231"/>
  <c r="J902" i="231"/>
  <c r="K901" i="231"/>
  <c r="J901" i="231"/>
  <c r="K900" i="231"/>
  <c r="J900" i="231"/>
  <c r="K899" i="231"/>
  <c r="J899" i="231"/>
  <c r="K898" i="231"/>
  <c r="J898" i="231"/>
  <c r="K897" i="231"/>
  <c r="J897" i="231"/>
  <c r="K896" i="231"/>
  <c r="J896" i="231"/>
  <c r="K895" i="231"/>
  <c r="J895" i="231"/>
  <c r="K894" i="231"/>
  <c r="J894" i="231"/>
  <c r="K893" i="231"/>
  <c r="J893" i="231"/>
  <c r="K892" i="231"/>
  <c r="J892" i="231"/>
  <c r="K891" i="231"/>
  <c r="J891" i="231"/>
  <c r="K890" i="231"/>
  <c r="J890" i="231"/>
  <c r="K889" i="231"/>
  <c r="J889" i="231"/>
  <c r="K888" i="231"/>
  <c r="J888" i="231"/>
  <c r="K887" i="231"/>
  <c r="J887" i="231"/>
  <c r="K886" i="231"/>
  <c r="J886" i="231"/>
  <c r="K885" i="231"/>
  <c r="J885" i="231"/>
  <c r="K884" i="231"/>
  <c r="J884" i="231"/>
  <c r="K883" i="231"/>
  <c r="J883" i="231"/>
  <c r="K882" i="231"/>
  <c r="J882" i="231"/>
  <c r="K881" i="231"/>
  <c r="J881" i="231"/>
  <c r="K880" i="231"/>
  <c r="J880" i="231"/>
  <c r="K879" i="231"/>
  <c r="J879" i="231"/>
  <c r="K878" i="231"/>
  <c r="J878" i="231"/>
  <c r="K877" i="231"/>
  <c r="J877" i="231"/>
  <c r="K876" i="231"/>
  <c r="J876" i="231"/>
  <c r="K875" i="231"/>
  <c r="J875" i="231"/>
  <c r="K874" i="231"/>
  <c r="J874" i="231"/>
  <c r="K873" i="231"/>
  <c r="J873" i="231"/>
  <c r="K872" i="231"/>
  <c r="J872" i="231"/>
  <c r="K871" i="231"/>
  <c r="J871" i="231"/>
  <c r="K870" i="231"/>
  <c r="J870" i="231"/>
  <c r="K869" i="231"/>
  <c r="J869" i="231"/>
  <c r="K868" i="231"/>
  <c r="J868" i="231"/>
  <c r="K867" i="231"/>
  <c r="J867" i="231"/>
  <c r="K866" i="231"/>
  <c r="J866" i="231"/>
  <c r="K865" i="231"/>
  <c r="J865" i="231"/>
  <c r="K864" i="231"/>
  <c r="J864" i="231"/>
  <c r="K863" i="231"/>
  <c r="J863" i="231"/>
  <c r="K862" i="231"/>
  <c r="J862" i="231"/>
  <c r="K861" i="231"/>
  <c r="J861" i="231"/>
  <c r="K860" i="231"/>
  <c r="J860" i="231"/>
  <c r="K859" i="231"/>
  <c r="J859" i="231"/>
  <c r="K858" i="231"/>
  <c r="J858" i="231"/>
  <c r="K857" i="231"/>
  <c r="J857" i="231"/>
  <c r="K856" i="231"/>
  <c r="J856" i="231"/>
  <c r="K855" i="231"/>
  <c r="J855" i="231"/>
  <c r="K854" i="231"/>
  <c r="J854" i="231"/>
  <c r="K853" i="231"/>
  <c r="J853" i="231"/>
  <c r="K852" i="231"/>
  <c r="J852" i="231"/>
  <c r="K851" i="231"/>
  <c r="J851" i="231"/>
  <c r="K850" i="231"/>
  <c r="J850" i="231"/>
  <c r="K849" i="231"/>
  <c r="J849" i="231"/>
  <c r="K848" i="231"/>
  <c r="J848" i="231"/>
  <c r="K847" i="231"/>
  <c r="J847" i="231"/>
  <c r="K846" i="231"/>
  <c r="J846" i="231"/>
  <c r="K845" i="231"/>
  <c r="J845" i="231"/>
  <c r="K844" i="231"/>
  <c r="J844" i="231"/>
  <c r="K843" i="231"/>
  <c r="J843" i="231"/>
  <c r="K842" i="231"/>
  <c r="J842" i="231"/>
  <c r="K841" i="231"/>
  <c r="J841" i="231"/>
  <c r="K840" i="231"/>
  <c r="J840" i="231"/>
  <c r="K839" i="231"/>
  <c r="J839" i="231"/>
  <c r="K838" i="231"/>
  <c r="J838" i="231"/>
  <c r="K837" i="231"/>
  <c r="J837" i="231"/>
  <c r="K836" i="231"/>
  <c r="J836" i="231"/>
  <c r="K835" i="231"/>
  <c r="J835" i="231"/>
  <c r="K834" i="231"/>
  <c r="J834" i="231"/>
  <c r="K833" i="231"/>
  <c r="J833" i="231"/>
  <c r="K832" i="231"/>
  <c r="J832" i="231"/>
  <c r="K831" i="231"/>
  <c r="J831" i="231"/>
  <c r="K830" i="231"/>
  <c r="J830" i="231"/>
  <c r="K829" i="231"/>
  <c r="J829" i="231"/>
  <c r="K828" i="231"/>
  <c r="J828" i="231"/>
  <c r="K827" i="231"/>
  <c r="J827" i="231"/>
  <c r="K826" i="231"/>
  <c r="J826" i="231"/>
  <c r="K825" i="231"/>
  <c r="J825" i="231"/>
  <c r="K824" i="231"/>
  <c r="J824" i="231"/>
  <c r="K823" i="231"/>
  <c r="J823" i="231"/>
  <c r="K822" i="231"/>
  <c r="J822" i="231"/>
  <c r="K821" i="231"/>
  <c r="J821" i="231"/>
  <c r="K820" i="231"/>
  <c r="J820" i="231"/>
  <c r="K819" i="231"/>
  <c r="J819" i="231"/>
  <c r="K818" i="231"/>
  <c r="J818" i="231"/>
  <c r="K817" i="231"/>
  <c r="J817" i="231"/>
  <c r="K816" i="231"/>
  <c r="J816" i="231"/>
  <c r="K815" i="231"/>
  <c r="J815" i="231"/>
  <c r="K814" i="231"/>
  <c r="J814" i="231"/>
  <c r="K813" i="231"/>
  <c r="J813" i="231"/>
  <c r="K812" i="231"/>
  <c r="J812" i="231"/>
  <c r="K811" i="231"/>
  <c r="J811" i="231"/>
  <c r="K810" i="231"/>
  <c r="J810" i="231"/>
  <c r="K809" i="231"/>
  <c r="J809" i="231"/>
  <c r="K808" i="231"/>
  <c r="J808" i="231"/>
  <c r="K807" i="231"/>
  <c r="J807" i="231"/>
  <c r="K806" i="231"/>
  <c r="J806" i="231"/>
  <c r="K805" i="231"/>
  <c r="J805" i="231"/>
  <c r="K804" i="231"/>
  <c r="J804" i="231"/>
  <c r="K803" i="231"/>
  <c r="J803" i="231"/>
  <c r="K802" i="231"/>
  <c r="J802" i="231"/>
  <c r="K801" i="231"/>
  <c r="J801" i="231"/>
  <c r="K800" i="231"/>
  <c r="J800" i="231"/>
  <c r="K799" i="231"/>
  <c r="J799" i="231"/>
  <c r="K798" i="231"/>
  <c r="J798" i="231"/>
  <c r="K797" i="231"/>
  <c r="J797" i="231"/>
  <c r="K796" i="231"/>
  <c r="J796" i="231"/>
  <c r="K795" i="231"/>
  <c r="J795" i="231"/>
  <c r="K794" i="231"/>
  <c r="J794" i="231"/>
  <c r="K793" i="231"/>
  <c r="J793" i="231"/>
  <c r="K792" i="231"/>
  <c r="J792" i="231"/>
  <c r="K791" i="231"/>
  <c r="J791" i="231"/>
  <c r="K790" i="231"/>
  <c r="J790" i="231"/>
  <c r="K789" i="231"/>
  <c r="J789" i="231"/>
  <c r="K788" i="231"/>
  <c r="J788" i="231"/>
  <c r="K787" i="231"/>
  <c r="J787" i="231"/>
  <c r="K786" i="231"/>
  <c r="J786" i="231"/>
  <c r="K785" i="231"/>
  <c r="J785" i="231"/>
  <c r="K784" i="231"/>
  <c r="J784" i="231"/>
  <c r="K783" i="231"/>
  <c r="J783" i="231"/>
  <c r="K782" i="231"/>
  <c r="J782" i="231"/>
  <c r="K781" i="231"/>
  <c r="J781" i="231"/>
  <c r="K780" i="231"/>
  <c r="J780" i="231"/>
  <c r="K779" i="231"/>
  <c r="J779" i="231"/>
  <c r="K778" i="231"/>
  <c r="J778" i="231"/>
  <c r="K777" i="231"/>
  <c r="J777" i="231"/>
  <c r="K776" i="231"/>
  <c r="J776" i="231"/>
  <c r="K775" i="231"/>
  <c r="J775" i="231"/>
  <c r="K774" i="231"/>
  <c r="J774" i="231"/>
  <c r="K773" i="231"/>
  <c r="J773" i="231"/>
  <c r="K772" i="231"/>
  <c r="J772" i="231"/>
  <c r="K771" i="231"/>
  <c r="J771" i="231"/>
  <c r="K770" i="231"/>
  <c r="J770" i="231"/>
  <c r="K769" i="231"/>
  <c r="J769" i="231"/>
  <c r="K768" i="231"/>
  <c r="J768" i="231"/>
  <c r="K767" i="231"/>
  <c r="J767" i="231"/>
  <c r="K766" i="231"/>
  <c r="J766" i="231"/>
  <c r="K765" i="231"/>
  <c r="J765" i="231"/>
  <c r="K764" i="231"/>
  <c r="J764" i="231"/>
  <c r="K763" i="231"/>
  <c r="J763" i="231"/>
  <c r="K762" i="231"/>
  <c r="J762" i="231"/>
  <c r="K761" i="231"/>
  <c r="J761" i="231"/>
  <c r="K760" i="231"/>
  <c r="J760" i="231"/>
  <c r="K759" i="231"/>
  <c r="J759" i="231"/>
  <c r="K758" i="231"/>
  <c r="J758" i="231"/>
  <c r="K757" i="231"/>
  <c r="J757" i="231"/>
  <c r="K756" i="231"/>
  <c r="J756" i="231"/>
  <c r="K755" i="231"/>
  <c r="J755" i="231"/>
  <c r="K754" i="231"/>
  <c r="J754" i="231"/>
  <c r="K753" i="231"/>
  <c r="J753" i="231"/>
  <c r="K752" i="231"/>
  <c r="J752" i="231"/>
  <c r="K751" i="231"/>
  <c r="J751" i="231"/>
  <c r="K750" i="231"/>
  <c r="J750" i="231"/>
  <c r="K749" i="231"/>
  <c r="J749" i="231"/>
  <c r="K748" i="231"/>
  <c r="J748" i="231"/>
  <c r="K747" i="231"/>
  <c r="J747" i="231"/>
  <c r="K746" i="231"/>
  <c r="J746" i="231"/>
  <c r="K745" i="231"/>
  <c r="J745" i="231"/>
  <c r="K744" i="231"/>
  <c r="J744" i="231"/>
  <c r="K743" i="231"/>
  <c r="J743" i="231"/>
  <c r="K742" i="231"/>
  <c r="J742" i="231"/>
  <c r="K741" i="231"/>
  <c r="J741" i="231"/>
  <c r="K740" i="231"/>
  <c r="J740" i="231"/>
  <c r="K739" i="231"/>
  <c r="J739" i="231"/>
  <c r="K738" i="231"/>
  <c r="J738" i="231"/>
  <c r="K737" i="231"/>
  <c r="J737" i="231"/>
  <c r="K736" i="231"/>
  <c r="J736" i="231"/>
  <c r="K735" i="231"/>
  <c r="J735" i="231"/>
  <c r="K734" i="231"/>
  <c r="J734" i="231"/>
  <c r="K733" i="231"/>
  <c r="J733" i="231"/>
  <c r="K732" i="231"/>
  <c r="J732" i="231"/>
  <c r="K731" i="231"/>
  <c r="J731" i="231"/>
  <c r="K730" i="231"/>
  <c r="J730" i="231"/>
  <c r="K729" i="231"/>
  <c r="J729" i="231"/>
  <c r="K728" i="231"/>
  <c r="J728" i="231"/>
  <c r="K727" i="231"/>
  <c r="J727" i="231"/>
  <c r="K726" i="231"/>
  <c r="J726" i="231"/>
  <c r="K725" i="231"/>
  <c r="J725" i="231"/>
  <c r="K724" i="231"/>
  <c r="J724" i="231"/>
  <c r="K723" i="231"/>
  <c r="J723" i="231"/>
  <c r="K722" i="231"/>
  <c r="J722" i="231"/>
  <c r="K721" i="231"/>
  <c r="J721" i="231"/>
  <c r="K720" i="231"/>
  <c r="J720" i="231"/>
  <c r="K719" i="231"/>
  <c r="J719" i="231"/>
  <c r="K718" i="231"/>
  <c r="J718" i="231"/>
  <c r="K717" i="231"/>
  <c r="J717" i="231"/>
  <c r="K716" i="231"/>
  <c r="J716" i="231"/>
  <c r="K715" i="231"/>
  <c r="J715" i="231"/>
  <c r="K714" i="231"/>
  <c r="J714" i="231"/>
  <c r="K713" i="231"/>
  <c r="J713" i="231"/>
  <c r="K712" i="231"/>
  <c r="J712" i="231"/>
  <c r="K711" i="231"/>
  <c r="J711" i="231"/>
  <c r="K710" i="231"/>
  <c r="J710" i="231"/>
  <c r="K709" i="231"/>
  <c r="J709" i="231"/>
  <c r="K708" i="231"/>
  <c r="J708" i="231"/>
  <c r="K707" i="231"/>
  <c r="J707" i="231"/>
  <c r="K706" i="231"/>
  <c r="J706" i="231"/>
  <c r="K705" i="231"/>
  <c r="J705" i="231"/>
  <c r="K704" i="231"/>
  <c r="J704" i="231"/>
  <c r="K703" i="231"/>
  <c r="J703" i="231"/>
  <c r="K702" i="231"/>
  <c r="J702" i="231"/>
  <c r="K701" i="231"/>
  <c r="J701" i="231"/>
  <c r="K700" i="231"/>
  <c r="J700" i="231"/>
  <c r="K699" i="231"/>
  <c r="J699" i="231"/>
  <c r="K698" i="231"/>
  <c r="J698" i="231"/>
  <c r="K697" i="231"/>
  <c r="J697" i="231"/>
  <c r="K696" i="231"/>
  <c r="J696" i="231"/>
  <c r="K695" i="231"/>
  <c r="J695" i="231"/>
  <c r="K694" i="231"/>
  <c r="J694" i="231"/>
  <c r="K693" i="231"/>
  <c r="J693" i="231"/>
  <c r="K692" i="231"/>
  <c r="J692" i="231"/>
  <c r="K691" i="231"/>
  <c r="J691" i="231"/>
  <c r="K690" i="231"/>
  <c r="J690" i="231"/>
  <c r="K689" i="231"/>
  <c r="J689" i="231"/>
  <c r="K688" i="231"/>
  <c r="J688" i="231"/>
  <c r="K687" i="231"/>
  <c r="J687" i="231"/>
  <c r="K686" i="231"/>
  <c r="J686" i="231"/>
  <c r="K685" i="231"/>
  <c r="J685" i="231"/>
  <c r="K684" i="231"/>
  <c r="J684" i="231"/>
  <c r="K683" i="231"/>
  <c r="J683" i="231"/>
  <c r="K682" i="231"/>
  <c r="J682" i="231"/>
  <c r="K681" i="231"/>
  <c r="J681" i="231"/>
  <c r="K680" i="231"/>
  <c r="J680" i="231"/>
  <c r="K679" i="231"/>
  <c r="J679" i="231"/>
  <c r="K678" i="231"/>
  <c r="J678" i="231"/>
  <c r="K677" i="231"/>
  <c r="J677" i="231"/>
  <c r="K676" i="231"/>
  <c r="J676" i="231"/>
  <c r="K675" i="231"/>
  <c r="J675" i="231"/>
  <c r="K674" i="231"/>
  <c r="J674" i="231"/>
  <c r="K673" i="231"/>
  <c r="J673" i="231"/>
  <c r="K672" i="231"/>
  <c r="J672" i="231"/>
  <c r="K671" i="231"/>
  <c r="J671" i="231"/>
  <c r="K670" i="231"/>
  <c r="J670" i="231"/>
  <c r="K669" i="231"/>
  <c r="J669" i="231"/>
  <c r="K668" i="231"/>
  <c r="J668" i="231"/>
  <c r="K667" i="231"/>
  <c r="J667" i="231"/>
  <c r="K666" i="231"/>
  <c r="J666" i="231"/>
  <c r="K665" i="231"/>
  <c r="J665" i="231"/>
  <c r="K664" i="231"/>
  <c r="J664" i="231"/>
  <c r="K663" i="231"/>
  <c r="J663" i="231"/>
  <c r="K662" i="231"/>
  <c r="J662" i="231"/>
  <c r="K661" i="231"/>
  <c r="J661" i="231"/>
  <c r="K660" i="231"/>
  <c r="J660" i="231"/>
  <c r="K659" i="231"/>
  <c r="J659" i="231"/>
  <c r="K658" i="231"/>
  <c r="J658" i="231"/>
  <c r="K657" i="231"/>
  <c r="J657" i="231"/>
  <c r="K656" i="231"/>
  <c r="J656" i="231"/>
  <c r="K655" i="231"/>
  <c r="J655" i="231"/>
  <c r="K654" i="231"/>
  <c r="J654" i="231"/>
  <c r="K653" i="231"/>
  <c r="J653" i="231"/>
  <c r="K652" i="231"/>
  <c r="J652" i="231"/>
  <c r="K651" i="231"/>
  <c r="J651" i="231"/>
  <c r="K650" i="231"/>
  <c r="J650" i="231"/>
  <c r="K649" i="231"/>
  <c r="J649" i="231"/>
  <c r="K648" i="231"/>
  <c r="J648" i="231"/>
  <c r="K647" i="231"/>
  <c r="J647" i="231"/>
  <c r="K646" i="231"/>
  <c r="J646" i="231"/>
  <c r="K645" i="231"/>
  <c r="J645" i="231"/>
  <c r="K644" i="231"/>
  <c r="J644" i="231"/>
  <c r="K643" i="231"/>
  <c r="J643" i="231"/>
  <c r="K642" i="231"/>
  <c r="J642" i="231"/>
  <c r="K641" i="231"/>
  <c r="J641" i="231"/>
  <c r="K640" i="231"/>
  <c r="J640" i="231"/>
  <c r="K639" i="231"/>
  <c r="J639" i="231"/>
  <c r="K638" i="231"/>
  <c r="J638" i="231"/>
  <c r="K637" i="231"/>
  <c r="J637" i="231"/>
  <c r="K636" i="231"/>
  <c r="J636" i="231"/>
  <c r="K635" i="231"/>
  <c r="J635" i="231"/>
  <c r="K634" i="231"/>
  <c r="J634" i="231"/>
  <c r="K633" i="231"/>
  <c r="J633" i="231"/>
  <c r="K632" i="231"/>
  <c r="J632" i="231"/>
  <c r="K631" i="231"/>
  <c r="J631" i="231"/>
  <c r="K630" i="231"/>
  <c r="J630" i="231"/>
  <c r="K629" i="231"/>
  <c r="J629" i="231"/>
  <c r="K628" i="231"/>
  <c r="J628" i="231"/>
  <c r="K627" i="231"/>
  <c r="J627" i="231"/>
  <c r="K626" i="231"/>
  <c r="J626" i="231"/>
  <c r="K625" i="231"/>
  <c r="J625" i="231"/>
  <c r="K624" i="231"/>
  <c r="J624" i="231"/>
  <c r="K623" i="231"/>
  <c r="J623" i="231"/>
  <c r="K622" i="231"/>
  <c r="J622" i="231"/>
  <c r="K621" i="231"/>
  <c r="J621" i="231"/>
  <c r="K620" i="231"/>
  <c r="J620" i="231"/>
  <c r="K619" i="231"/>
  <c r="J619" i="231"/>
  <c r="K618" i="231"/>
  <c r="J618" i="231"/>
  <c r="K617" i="231"/>
  <c r="J617" i="231"/>
  <c r="K616" i="231"/>
  <c r="J616" i="231"/>
  <c r="K615" i="231"/>
  <c r="J615" i="231"/>
  <c r="K614" i="231"/>
  <c r="J614" i="231"/>
  <c r="K613" i="231"/>
  <c r="J613" i="231"/>
  <c r="K612" i="231"/>
  <c r="J612" i="231"/>
  <c r="K611" i="231"/>
  <c r="J611" i="231"/>
  <c r="K610" i="231"/>
  <c r="J610" i="231"/>
  <c r="K609" i="231"/>
  <c r="J609" i="231"/>
  <c r="K608" i="231"/>
  <c r="J608" i="231"/>
  <c r="K607" i="231"/>
  <c r="J607" i="231"/>
  <c r="K606" i="231"/>
  <c r="J606" i="231"/>
  <c r="K605" i="231"/>
  <c r="J605" i="231"/>
  <c r="K604" i="231"/>
  <c r="J604" i="231"/>
  <c r="K603" i="231"/>
  <c r="J603" i="231"/>
  <c r="K602" i="231"/>
  <c r="J602" i="231"/>
  <c r="K601" i="231"/>
  <c r="J601" i="231"/>
  <c r="K600" i="231"/>
  <c r="J600" i="231"/>
  <c r="K599" i="231"/>
  <c r="J599" i="231"/>
  <c r="K598" i="231"/>
  <c r="J598" i="231"/>
  <c r="K597" i="231"/>
  <c r="J597" i="231"/>
  <c r="K596" i="231"/>
  <c r="J596" i="231"/>
  <c r="K595" i="231"/>
  <c r="J595" i="231"/>
  <c r="K594" i="231"/>
  <c r="J594" i="231"/>
  <c r="K593" i="231"/>
  <c r="J593" i="231"/>
  <c r="K592" i="231"/>
  <c r="J592" i="231"/>
  <c r="K591" i="231"/>
  <c r="J591" i="231"/>
  <c r="K590" i="231"/>
  <c r="J590" i="231"/>
  <c r="K589" i="231"/>
  <c r="J589" i="231"/>
  <c r="K588" i="231"/>
  <c r="J588" i="231"/>
  <c r="K587" i="231"/>
  <c r="J587" i="231"/>
  <c r="K586" i="231"/>
  <c r="J586" i="231"/>
  <c r="K585" i="231"/>
  <c r="J585" i="231"/>
  <c r="K584" i="231"/>
  <c r="J584" i="231"/>
  <c r="K583" i="231"/>
  <c r="J583" i="231"/>
  <c r="K582" i="231"/>
  <c r="J582" i="231"/>
  <c r="K581" i="231"/>
  <c r="J581" i="231"/>
  <c r="K580" i="231"/>
  <c r="J580" i="231"/>
  <c r="K579" i="231"/>
  <c r="J579" i="231"/>
  <c r="K578" i="231"/>
  <c r="J578" i="231"/>
  <c r="K577" i="231"/>
  <c r="J577" i="231"/>
  <c r="K576" i="231"/>
  <c r="J576" i="231"/>
  <c r="K575" i="231"/>
  <c r="J575" i="231"/>
  <c r="K574" i="231"/>
  <c r="J574" i="231"/>
  <c r="K573" i="231"/>
  <c r="J573" i="231"/>
  <c r="K572" i="231"/>
  <c r="J572" i="231"/>
  <c r="K571" i="231"/>
  <c r="J571" i="231"/>
  <c r="K570" i="231"/>
  <c r="J570" i="231"/>
  <c r="K569" i="231"/>
  <c r="J569" i="231"/>
  <c r="K568" i="231"/>
  <c r="J568" i="231"/>
  <c r="K567" i="231"/>
  <c r="J567" i="231"/>
  <c r="K566" i="231"/>
  <c r="J566" i="231"/>
  <c r="K565" i="231"/>
  <c r="J565" i="231"/>
  <c r="K564" i="231"/>
  <c r="J564" i="231"/>
  <c r="K563" i="231"/>
  <c r="J563" i="231"/>
  <c r="K562" i="231"/>
  <c r="J562" i="231"/>
  <c r="K561" i="231"/>
  <c r="J561" i="231"/>
  <c r="K560" i="231"/>
  <c r="J560" i="231"/>
  <c r="K559" i="231"/>
  <c r="J559" i="231"/>
  <c r="K558" i="231"/>
  <c r="J558" i="231"/>
  <c r="K557" i="231"/>
  <c r="J557" i="231"/>
  <c r="K556" i="231"/>
  <c r="J556" i="231"/>
  <c r="K555" i="231"/>
  <c r="J555" i="231"/>
  <c r="K554" i="231"/>
  <c r="J554" i="231"/>
  <c r="K553" i="231"/>
  <c r="J553" i="231"/>
  <c r="K552" i="231"/>
  <c r="J552" i="231"/>
  <c r="K551" i="231"/>
  <c r="J551" i="231"/>
  <c r="K550" i="231"/>
  <c r="J550" i="231"/>
  <c r="K549" i="231"/>
  <c r="J549" i="231"/>
  <c r="K548" i="231"/>
  <c r="J548" i="231"/>
  <c r="K547" i="231"/>
  <c r="J547" i="231"/>
  <c r="K546" i="231"/>
  <c r="J546" i="231"/>
  <c r="K545" i="231"/>
  <c r="J545" i="231"/>
  <c r="K544" i="231"/>
  <c r="J544" i="231"/>
  <c r="K543" i="231"/>
  <c r="J543" i="231"/>
  <c r="K542" i="231"/>
  <c r="J542" i="231"/>
  <c r="K541" i="231"/>
  <c r="J541" i="231"/>
  <c r="K540" i="231"/>
  <c r="J540" i="231"/>
  <c r="K539" i="231"/>
  <c r="J539" i="231"/>
  <c r="K538" i="231"/>
  <c r="J538" i="231"/>
  <c r="K537" i="231"/>
  <c r="J537" i="231"/>
  <c r="K536" i="231"/>
  <c r="J536" i="231"/>
  <c r="K535" i="231"/>
  <c r="J535" i="231"/>
  <c r="K534" i="231"/>
  <c r="J534" i="231"/>
  <c r="K533" i="231"/>
  <c r="J533" i="231"/>
  <c r="K532" i="231"/>
  <c r="J532" i="231"/>
  <c r="K531" i="231"/>
  <c r="J531" i="231"/>
  <c r="K530" i="231"/>
  <c r="J530" i="231"/>
  <c r="K529" i="231"/>
  <c r="J529" i="231"/>
  <c r="K528" i="231"/>
  <c r="J528" i="231"/>
  <c r="K527" i="231"/>
  <c r="J527" i="231"/>
  <c r="K526" i="231"/>
  <c r="J526" i="231"/>
  <c r="K525" i="231"/>
  <c r="J525" i="231"/>
  <c r="K524" i="231"/>
  <c r="J524" i="231"/>
  <c r="K523" i="231"/>
  <c r="J523" i="231"/>
  <c r="K522" i="231"/>
  <c r="J522" i="231"/>
  <c r="K521" i="231"/>
  <c r="J521" i="231"/>
  <c r="K520" i="231"/>
  <c r="J520" i="231"/>
  <c r="K519" i="231"/>
  <c r="J519" i="231"/>
  <c r="K518" i="231"/>
  <c r="J518" i="231"/>
  <c r="K517" i="231"/>
  <c r="J517" i="231"/>
  <c r="K516" i="231"/>
  <c r="J516" i="231"/>
  <c r="K515" i="231"/>
  <c r="J515" i="231"/>
  <c r="K514" i="231"/>
  <c r="J514" i="231"/>
  <c r="K513" i="231"/>
  <c r="J513" i="231"/>
  <c r="K512" i="231"/>
  <c r="J512" i="231"/>
  <c r="K511" i="231"/>
  <c r="J511" i="231"/>
  <c r="K510" i="231"/>
  <c r="J510" i="231"/>
  <c r="K509" i="231"/>
  <c r="J509" i="231"/>
  <c r="K508" i="231"/>
  <c r="J508" i="231"/>
  <c r="K507" i="231"/>
  <c r="J507" i="231"/>
  <c r="K506" i="231"/>
  <c r="J506" i="231"/>
  <c r="K505" i="231"/>
  <c r="J505" i="231"/>
  <c r="K504" i="231"/>
  <c r="J504" i="231"/>
  <c r="K503" i="231"/>
  <c r="J503" i="231"/>
  <c r="K502" i="231"/>
  <c r="J502" i="231"/>
  <c r="K501" i="231"/>
  <c r="J501" i="231"/>
  <c r="K500" i="231"/>
  <c r="J500" i="231"/>
  <c r="K499" i="231"/>
  <c r="J499" i="231"/>
  <c r="K498" i="231"/>
  <c r="J498" i="231"/>
  <c r="K497" i="231"/>
  <c r="J497" i="231"/>
  <c r="K496" i="231"/>
  <c r="J496" i="231"/>
  <c r="K495" i="231"/>
  <c r="J495" i="231"/>
  <c r="K494" i="231"/>
  <c r="J494" i="231"/>
  <c r="K493" i="231"/>
  <c r="J493" i="231"/>
  <c r="K492" i="231"/>
  <c r="J492" i="231"/>
  <c r="K491" i="231"/>
  <c r="J491" i="231"/>
  <c r="K490" i="231"/>
  <c r="J490" i="231"/>
  <c r="K489" i="231"/>
  <c r="J489" i="231"/>
  <c r="K488" i="231"/>
  <c r="J488" i="231"/>
  <c r="K487" i="231"/>
  <c r="J487" i="231"/>
  <c r="K486" i="231"/>
  <c r="J486" i="231"/>
  <c r="K485" i="231"/>
  <c r="J485" i="231"/>
  <c r="K484" i="231"/>
  <c r="J484" i="231"/>
  <c r="K483" i="231"/>
  <c r="J483" i="231"/>
  <c r="K482" i="231"/>
  <c r="J482" i="231"/>
  <c r="K481" i="231"/>
  <c r="J481" i="231"/>
  <c r="K480" i="231"/>
  <c r="J480" i="231"/>
  <c r="K479" i="231"/>
  <c r="J479" i="231"/>
  <c r="K478" i="231"/>
  <c r="J478" i="231"/>
  <c r="K477" i="231"/>
  <c r="J477" i="231"/>
  <c r="K476" i="231"/>
  <c r="J476" i="231"/>
  <c r="K475" i="231"/>
  <c r="J475" i="231"/>
  <c r="K474" i="231"/>
  <c r="J474" i="231"/>
  <c r="K473" i="231"/>
  <c r="J473" i="231"/>
  <c r="K472" i="231"/>
  <c r="J472" i="231"/>
  <c r="K471" i="231"/>
  <c r="J471" i="231"/>
  <c r="K470" i="231"/>
  <c r="J470" i="231"/>
  <c r="K469" i="231"/>
  <c r="J469" i="231"/>
  <c r="K468" i="231"/>
  <c r="J468" i="231"/>
  <c r="K467" i="231"/>
  <c r="J467" i="231"/>
  <c r="K466" i="231"/>
  <c r="J466" i="231"/>
  <c r="K465" i="231"/>
  <c r="J465" i="231"/>
  <c r="K464" i="231"/>
  <c r="J464" i="231"/>
  <c r="K463" i="231"/>
  <c r="J463" i="231"/>
  <c r="K462" i="231"/>
  <c r="J462" i="231"/>
  <c r="K461" i="231"/>
  <c r="J461" i="231"/>
  <c r="K460" i="231"/>
  <c r="J460" i="231"/>
  <c r="K459" i="231"/>
  <c r="J459" i="231"/>
  <c r="K458" i="231"/>
  <c r="J458" i="231"/>
  <c r="K457" i="231"/>
  <c r="J457" i="231"/>
  <c r="K456" i="231"/>
  <c r="J456" i="231"/>
  <c r="K455" i="231"/>
  <c r="J455" i="231"/>
  <c r="K454" i="231"/>
  <c r="J454" i="231"/>
  <c r="K453" i="231"/>
  <c r="J453" i="231"/>
  <c r="K452" i="231"/>
  <c r="J452" i="231"/>
  <c r="K451" i="231"/>
  <c r="J451" i="231"/>
  <c r="K450" i="231"/>
  <c r="J450" i="231"/>
  <c r="K449" i="231"/>
  <c r="J449" i="231"/>
  <c r="K448" i="231"/>
  <c r="J448" i="231"/>
  <c r="K447" i="231"/>
  <c r="J447" i="231"/>
  <c r="K446" i="231"/>
  <c r="J446" i="231"/>
  <c r="K445" i="231"/>
  <c r="J445" i="231"/>
  <c r="K444" i="231"/>
  <c r="J444" i="231"/>
  <c r="K443" i="231"/>
  <c r="J443" i="231"/>
  <c r="K442" i="231"/>
  <c r="J442" i="231"/>
  <c r="K441" i="231"/>
  <c r="J441" i="231"/>
  <c r="K440" i="231"/>
  <c r="J440" i="231"/>
  <c r="K439" i="231"/>
  <c r="J439" i="231"/>
  <c r="K438" i="231"/>
  <c r="J438" i="231"/>
  <c r="K437" i="231"/>
  <c r="J437" i="231"/>
  <c r="K436" i="231"/>
  <c r="J436" i="231"/>
  <c r="K435" i="231"/>
  <c r="J435" i="231"/>
  <c r="K434" i="231"/>
  <c r="J434" i="231"/>
  <c r="K433" i="231"/>
  <c r="J433" i="231"/>
  <c r="K432" i="231"/>
  <c r="J432" i="231"/>
  <c r="K431" i="231"/>
  <c r="J431" i="231"/>
  <c r="K430" i="231"/>
  <c r="J430" i="231"/>
  <c r="K429" i="231"/>
  <c r="J429" i="231"/>
  <c r="K428" i="231"/>
  <c r="J428" i="231"/>
  <c r="K427" i="231"/>
  <c r="J427" i="231"/>
  <c r="K426" i="231"/>
  <c r="J426" i="231"/>
  <c r="K425" i="231"/>
  <c r="J425" i="231"/>
  <c r="K424" i="231"/>
  <c r="J424" i="231"/>
  <c r="K423" i="231"/>
  <c r="J423" i="231"/>
  <c r="K422" i="231"/>
  <c r="J422" i="231"/>
  <c r="K421" i="231"/>
  <c r="J421" i="231"/>
  <c r="K420" i="231"/>
  <c r="J420" i="231"/>
  <c r="K419" i="231"/>
  <c r="J419" i="231"/>
  <c r="K418" i="231"/>
  <c r="J418" i="231"/>
  <c r="K417" i="231"/>
  <c r="J417" i="231"/>
  <c r="K416" i="231"/>
  <c r="J416" i="231"/>
  <c r="K415" i="231"/>
  <c r="J415" i="231"/>
  <c r="K414" i="231"/>
  <c r="J414" i="231"/>
  <c r="K413" i="231"/>
  <c r="J413" i="231"/>
  <c r="K412" i="231"/>
  <c r="J412" i="231"/>
  <c r="K411" i="231"/>
  <c r="J411" i="231"/>
  <c r="K410" i="231"/>
  <c r="J410" i="231"/>
  <c r="K409" i="231"/>
  <c r="J409" i="231"/>
  <c r="K408" i="231"/>
  <c r="J408" i="231"/>
  <c r="K407" i="231"/>
  <c r="J407" i="231"/>
  <c r="K406" i="231"/>
  <c r="J406" i="231"/>
  <c r="K405" i="231"/>
  <c r="J405" i="231"/>
  <c r="K404" i="231"/>
  <c r="J404" i="231"/>
  <c r="K403" i="231"/>
  <c r="J403" i="231"/>
  <c r="K402" i="231"/>
  <c r="J402" i="231"/>
  <c r="K401" i="231"/>
  <c r="J401" i="231"/>
  <c r="K400" i="231"/>
  <c r="J400" i="231"/>
  <c r="K399" i="231"/>
  <c r="J399" i="231"/>
  <c r="K398" i="231"/>
  <c r="J398" i="231"/>
  <c r="K397" i="231"/>
  <c r="J397" i="231"/>
  <c r="K396" i="231"/>
  <c r="J396" i="231"/>
  <c r="K395" i="231"/>
  <c r="J395" i="231"/>
  <c r="K394" i="231"/>
  <c r="J394" i="231"/>
  <c r="K393" i="231"/>
  <c r="J393" i="231"/>
  <c r="K392" i="231"/>
  <c r="J392" i="231"/>
  <c r="K391" i="231"/>
  <c r="J391" i="231"/>
  <c r="K390" i="231"/>
  <c r="J390" i="231"/>
  <c r="K389" i="231"/>
  <c r="J389" i="231"/>
  <c r="K388" i="231"/>
  <c r="J388" i="231"/>
  <c r="K387" i="231"/>
  <c r="J387" i="231"/>
  <c r="K386" i="231"/>
  <c r="J386" i="231"/>
  <c r="K385" i="231"/>
  <c r="J385" i="231"/>
  <c r="K384" i="231"/>
  <c r="J384" i="231"/>
  <c r="K383" i="231"/>
  <c r="J383" i="231"/>
  <c r="K382" i="231"/>
  <c r="J382" i="231"/>
  <c r="K381" i="231"/>
  <c r="J381" i="231"/>
  <c r="K380" i="231"/>
  <c r="J380" i="231"/>
  <c r="K379" i="231"/>
  <c r="J379" i="231"/>
  <c r="K378" i="231"/>
  <c r="J378" i="231"/>
  <c r="K377" i="231"/>
  <c r="J377" i="231"/>
  <c r="K376" i="231"/>
  <c r="J376" i="231"/>
  <c r="K375" i="231"/>
  <c r="J375" i="231"/>
  <c r="K374" i="231"/>
  <c r="J374" i="231"/>
  <c r="K373" i="231"/>
  <c r="J373" i="231"/>
  <c r="K372" i="231"/>
  <c r="J372" i="231"/>
  <c r="K371" i="231"/>
  <c r="J371" i="231"/>
  <c r="K370" i="231"/>
  <c r="J370" i="231"/>
  <c r="K369" i="231"/>
  <c r="J369" i="231"/>
  <c r="K368" i="231"/>
  <c r="J368" i="231"/>
  <c r="K367" i="231"/>
  <c r="J367" i="231"/>
  <c r="K366" i="231"/>
  <c r="J366" i="231"/>
  <c r="K365" i="231"/>
  <c r="J365" i="231"/>
  <c r="K364" i="231"/>
  <c r="J364" i="231"/>
  <c r="K363" i="231"/>
  <c r="J363" i="231"/>
  <c r="K362" i="231"/>
  <c r="J362" i="231"/>
  <c r="K361" i="231"/>
  <c r="J361" i="231"/>
  <c r="K360" i="231"/>
  <c r="J360" i="231"/>
  <c r="K359" i="231"/>
  <c r="J359" i="231"/>
  <c r="K358" i="231"/>
  <c r="J358" i="231"/>
  <c r="K357" i="231"/>
  <c r="J357" i="231"/>
  <c r="K356" i="231"/>
  <c r="J356" i="231"/>
  <c r="K355" i="231"/>
  <c r="J355" i="231"/>
  <c r="K354" i="231"/>
  <c r="J354" i="231"/>
  <c r="K353" i="231"/>
  <c r="J353" i="231"/>
  <c r="K352" i="231"/>
  <c r="J352" i="231"/>
  <c r="K351" i="231"/>
  <c r="J351" i="231"/>
  <c r="K350" i="231"/>
  <c r="J350" i="231"/>
  <c r="K349" i="231"/>
  <c r="J349" i="231"/>
  <c r="K348" i="231"/>
  <c r="J348" i="231"/>
  <c r="K347" i="231"/>
  <c r="J347" i="231"/>
  <c r="K346" i="231"/>
  <c r="J346" i="231"/>
  <c r="K345" i="231"/>
  <c r="J345" i="231"/>
  <c r="K344" i="231"/>
  <c r="J344" i="231"/>
  <c r="K343" i="231"/>
  <c r="J343" i="231"/>
  <c r="K342" i="231"/>
  <c r="J342" i="231"/>
  <c r="K341" i="231"/>
  <c r="J341" i="231"/>
  <c r="K340" i="231"/>
  <c r="J340" i="231"/>
  <c r="K339" i="231"/>
  <c r="J339" i="231"/>
  <c r="K338" i="231"/>
  <c r="J338" i="231"/>
  <c r="K337" i="231"/>
  <c r="J337" i="231"/>
  <c r="K336" i="231"/>
  <c r="J336" i="231"/>
  <c r="K335" i="231"/>
  <c r="J335" i="231"/>
  <c r="K334" i="231"/>
  <c r="J334" i="231"/>
  <c r="K333" i="231"/>
  <c r="J333" i="231"/>
  <c r="K332" i="231"/>
  <c r="J332" i="231"/>
  <c r="K331" i="231"/>
  <c r="J331" i="231"/>
  <c r="K330" i="231"/>
  <c r="J330" i="231"/>
  <c r="K329" i="231"/>
  <c r="J329" i="231"/>
  <c r="K328" i="231"/>
  <c r="J328" i="231"/>
  <c r="K327" i="231"/>
  <c r="J327" i="231"/>
  <c r="K326" i="231"/>
  <c r="J326" i="231"/>
  <c r="K325" i="231"/>
  <c r="J325" i="231"/>
  <c r="K324" i="231"/>
  <c r="J324" i="231"/>
  <c r="K323" i="231"/>
  <c r="J323" i="231"/>
  <c r="K322" i="231"/>
  <c r="J322" i="231"/>
  <c r="K321" i="231"/>
  <c r="J321" i="231"/>
  <c r="K320" i="231"/>
  <c r="J320" i="231"/>
  <c r="K319" i="231"/>
  <c r="J319" i="231"/>
  <c r="K318" i="231"/>
  <c r="J318" i="231"/>
  <c r="K317" i="231"/>
  <c r="J317" i="231"/>
  <c r="K316" i="231"/>
  <c r="J316" i="231"/>
  <c r="K315" i="231"/>
  <c r="J315" i="231"/>
  <c r="K314" i="231"/>
  <c r="J314" i="231"/>
  <c r="K313" i="231"/>
  <c r="J313" i="231"/>
  <c r="K312" i="231"/>
  <c r="J312" i="231"/>
  <c r="K311" i="231"/>
  <c r="J311" i="231"/>
  <c r="K310" i="231"/>
  <c r="J310" i="231"/>
  <c r="K309" i="231"/>
  <c r="J309" i="231"/>
  <c r="K308" i="231"/>
  <c r="J308" i="231"/>
  <c r="K307" i="231"/>
  <c r="J307" i="231"/>
  <c r="K306" i="231"/>
  <c r="J306" i="231"/>
  <c r="K305" i="231"/>
  <c r="J305" i="231"/>
  <c r="K304" i="231"/>
  <c r="J304" i="231"/>
  <c r="K303" i="231"/>
  <c r="J303" i="231"/>
  <c r="K302" i="231"/>
  <c r="J302" i="231"/>
  <c r="K301" i="231"/>
  <c r="J301" i="231"/>
  <c r="K300" i="231"/>
  <c r="J300" i="231"/>
  <c r="K299" i="231"/>
  <c r="J299" i="231"/>
  <c r="K298" i="231"/>
  <c r="J298" i="231"/>
  <c r="K297" i="231"/>
  <c r="J297" i="231"/>
  <c r="K296" i="231"/>
  <c r="J296" i="231"/>
  <c r="K295" i="231"/>
  <c r="J295" i="231"/>
  <c r="K294" i="231"/>
  <c r="J294" i="231"/>
  <c r="K293" i="231"/>
  <c r="J293" i="231"/>
  <c r="K292" i="231"/>
  <c r="J292" i="231"/>
  <c r="K291" i="231"/>
  <c r="J291" i="231"/>
  <c r="K290" i="231"/>
  <c r="J290" i="231"/>
  <c r="K289" i="231"/>
  <c r="J289" i="231"/>
  <c r="K288" i="231"/>
  <c r="J288" i="231"/>
  <c r="K287" i="231"/>
  <c r="J287" i="231"/>
  <c r="K286" i="231"/>
  <c r="J286" i="231"/>
  <c r="K285" i="231"/>
  <c r="J285" i="231"/>
  <c r="K284" i="231"/>
  <c r="J284" i="231"/>
  <c r="K283" i="231"/>
  <c r="J283" i="231"/>
  <c r="K282" i="231"/>
  <c r="J282" i="231"/>
  <c r="K281" i="231"/>
  <c r="J281" i="231"/>
  <c r="K280" i="231"/>
  <c r="J280" i="231"/>
  <c r="K279" i="231"/>
  <c r="J279" i="231"/>
  <c r="K278" i="231"/>
  <c r="J278" i="231"/>
  <c r="K277" i="231"/>
  <c r="J277" i="231"/>
  <c r="K276" i="231"/>
  <c r="J276" i="231"/>
  <c r="K275" i="231"/>
  <c r="J275" i="231"/>
  <c r="K274" i="231"/>
  <c r="J274" i="231"/>
  <c r="K273" i="231"/>
  <c r="J273" i="231"/>
  <c r="K272" i="231"/>
  <c r="J272" i="231"/>
  <c r="K271" i="231"/>
  <c r="J271" i="231"/>
  <c r="K270" i="231"/>
  <c r="J270" i="231"/>
  <c r="K269" i="231"/>
  <c r="J269" i="231"/>
  <c r="K268" i="231"/>
  <c r="J268" i="231"/>
  <c r="K267" i="231"/>
  <c r="J267" i="231"/>
  <c r="K266" i="231"/>
  <c r="J266" i="231"/>
  <c r="K265" i="231"/>
  <c r="J265" i="231"/>
  <c r="K264" i="231"/>
  <c r="J264" i="231"/>
  <c r="K263" i="231"/>
  <c r="J263" i="231"/>
  <c r="K262" i="231"/>
  <c r="J262" i="231"/>
  <c r="K261" i="231"/>
  <c r="J261" i="231"/>
  <c r="K260" i="231"/>
  <c r="J260" i="231"/>
  <c r="K259" i="231"/>
  <c r="J259" i="231"/>
  <c r="K258" i="231"/>
  <c r="J258" i="231"/>
  <c r="K257" i="231"/>
  <c r="J257" i="231"/>
  <c r="K256" i="231"/>
  <c r="J256" i="231"/>
  <c r="K255" i="231"/>
  <c r="J255" i="231"/>
  <c r="K254" i="231"/>
  <c r="J254" i="231"/>
  <c r="K253" i="231"/>
  <c r="J253" i="231"/>
  <c r="K252" i="231"/>
  <c r="J252" i="231"/>
  <c r="K251" i="231"/>
  <c r="J251" i="231"/>
  <c r="K250" i="231"/>
  <c r="J250" i="231"/>
  <c r="K249" i="231"/>
  <c r="J249" i="231"/>
  <c r="K248" i="231"/>
  <c r="J248" i="231"/>
  <c r="K247" i="231"/>
  <c r="J247" i="231"/>
  <c r="K246" i="231"/>
  <c r="J246" i="231"/>
  <c r="K245" i="231"/>
  <c r="J245" i="231"/>
  <c r="K244" i="231"/>
  <c r="J244" i="231"/>
  <c r="K243" i="231"/>
  <c r="J243" i="231"/>
  <c r="K242" i="231"/>
  <c r="J242" i="231"/>
  <c r="K241" i="231"/>
  <c r="J241" i="231"/>
  <c r="K240" i="231"/>
  <c r="J240" i="231"/>
  <c r="K239" i="231"/>
  <c r="J239" i="231"/>
  <c r="K238" i="231"/>
  <c r="J238" i="231"/>
  <c r="K237" i="231"/>
  <c r="J237" i="231"/>
  <c r="K236" i="231"/>
  <c r="J236" i="231"/>
  <c r="K235" i="231"/>
  <c r="J235" i="231"/>
  <c r="K234" i="231"/>
  <c r="J234" i="231"/>
  <c r="K233" i="231"/>
  <c r="J233" i="231"/>
  <c r="K232" i="231"/>
  <c r="J232" i="231"/>
  <c r="K231" i="231"/>
  <c r="J231" i="231"/>
  <c r="K230" i="231"/>
  <c r="J230" i="231"/>
  <c r="K229" i="231"/>
  <c r="J229" i="231"/>
  <c r="K228" i="231"/>
  <c r="J228" i="231"/>
  <c r="K227" i="231"/>
  <c r="J227" i="231"/>
  <c r="K226" i="231"/>
  <c r="J226" i="231"/>
  <c r="K225" i="231"/>
  <c r="J225" i="231"/>
  <c r="K224" i="231"/>
  <c r="J224" i="231"/>
  <c r="K223" i="231"/>
  <c r="J223" i="231"/>
  <c r="K222" i="231"/>
  <c r="J222" i="231"/>
  <c r="K221" i="231"/>
  <c r="J221" i="231"/>
  <c r="K220" i="231"/>
  <c r="J220" i="231"/>
  <c r="K219" i="231"/>
  <c r="J219" i="231"/>
  <c r="K218" i="231"/>
  <c r="J218" i="231"/>
  <c r="K217" i="231"/>
  <c r="J217" i="231"/>
  <c r="K216" i="231"/>
  <c r="J216" i="231"/>
  <c r="K215" i="231"/>
  <c r="J215" i="231"/>
  <c r="K214" i="231"/>
  <c r="J214" i="231"/>
  <c r="K213" i="231"/>
  <c r="J213" i="231"/>
  <c r="K212" i="231"/>
  <c r="J212" i="231"/>
  <c r="K211" i="231"/>
  <c r="J211" i="231"/>
  <c r="K210" i="231"/>
  <c r="J210" i="231"/>
  <c r="K209" i="231"/>
  <c r="J209" i="231"/>
  <c r="K208" i="231"/>
  <c r="J208" i="231"/>
  <c r="K207" i="231"/>
  <c r="J207" i="231"/>
  <c r="K206" i="231"/>
  <c r="J206" i="231"/>
  <c r="K205" i="231"/>
  <c r="J205" i="231"/>
  <c r="K204" i="231"/>
  <c r="J204" i="231"/>
  <c r="K203" i="231"/>
  <c r="J203" i="231"/>
  <c r="K202" i="231"/>
  <c r="J202" i="231"/>
  <c r="K201" i="231"/>
  <c r="J201" i="231"/>
  <c r="K200" i="231"/>
  <c r="J200" i="231"/>
  <c r="K199" i="231"/>
  <c r="J199" i="231"/>
  <c r="K198" i="231"/>
  <c r="J198" i="231"/>
  <c r="K197" i="231"/>
  <c r="J197" i="231"/>
  <c r="K196" i="231"/>
  <c r="J196" i="231"/>
  <c r="K195" i="231"/>
  <c r="J195" i="231"/>
  <c r="K194" i="231"/>
  <c r="J194" i="231"/>
  <c r="K193" i="231"/>
  <c r="J193" i="231"/>
  <c r="K192" i="231"/>
  <c r="J192" i="231"/>
  <c r="K191" i="231"/>
  <c r="J191" i="231"/>
  <c r="K190" i="231"/>
  <c r="J190" i="231"/>
  <c r="K189" i="231"/>
  <c r="J189" i="231"/>
  <c r="K188" i="231"/>
  <c r="J188" i="231"/>
  <c r="K187" i="231"/>
  <c r="J187" i="231"/>
  <c r="K186" i="231"/>
  <c r="J186" i="231"/>
  <c r="K185" i="231"/>
  <c r="J185" i="231"/>
  <c r="K184" i="231"/>
  <c r="J184" i="231"/>
  <c r="K183" i="231"/>
  <c r="J183" i="231"/>
  <c r="K182" i="231"/>
  <c r="J182" i="231"/>
  <c r="K181" i="231"/>
  <c r="J181" i="231"/>
  <c r="K180" i="231"/>
  <c r="J180" i="231"/>
  <c r="K179" i="231"/>
  <c r="J179" i="231"/>
  <c r="K178" i="231"/>
  <c r="J178" i="231"/>
  <c r="K177" i="231"/>
  <c r="J177" i="231"/>
  <c r="K176" i="231"/>
  <c r="J176" i="231"/>
  <c r="K175" i="231"/>
  <c r="J175" i="231"/>
  <c r="K174" i="231"/>
  <c r="J174" i="231"/>
  <c r="K173" i="231"/>
  <c r="J173" i="231"/>
  <c r="K172" i="231"/>
  <c r="J172" i="231"/>
  <c r="K171" i="231"/>
  <c r="J171" i="231"/>
  <c r="K170" i="231"/>
  <c r="J170" i="231"/>
  <c r="K169" i="231"/>
  <c r="J169" i="231"/>
  <c r="K168" i="231"/>
  <c r="J168" i="231"/>
  <c r="K167" i="231"/>
  <c r="J167" i="231"/>
  <c r="K166" i="231"/>
  <c r="J166" i="231"/>
  <c r="K165" i="231"/>
  <c r="J165" i="231"/>
  <c r="K164" i="231"/>
  <c r="J164" i="231"/>
  <c r="K163" i="231"/>
  <c r="J163" i="231"/>
  <c r="K162" i="231"/>
  <c r="J162" i="231"/>
  <c r="K161" i="231"/>
  <c r="J161" i="231"/>
  <c r="K160" i="231"/>
  <c r="J160" i="231"/>
  <c r="K159" i="231"/>
  <c r="J159" i="231"/>
  <c r="K158" i="231"/>
  <c r="J158" i="231"/>
  <c r="K157" i="231"/>
  <c r="J157" i="231"/>
  <c r="K156" i="231"/>
  <c r="J156" i="231"/>
  <c r="K155" i="231"/>
  <c r="J155" i="231"/>
  <c r="K154" i="231"/>
  <c r="J154" i="231"/>
  <c r="K153" i="231"/>
  <c r="J153" i="231"/>
  <c r="K152" i="231"/>
  <c r="J152" i="231"/>
  <c r="K151" i="231"/>
  <c r="J151" i="231"/>
  <c r="K150" i="231"/>
  <c r="J150" i="231"/>
  <c r="K149" i="231"/>
  <c r="J149" i="231"/>
  <c r="K148" i="231"/>
  <c r="J148" i="231"/>
  <c r="K147" i="231"/>
  <c r="J147" i="231"/>
  <c r="K146" i="231"/>
  <c r="J146" i="231"/>
  <c r="K145" i="231"/>
  <c r="J145" i="231"/>
  <c r="K144" i="231"/>
  <c r="J144" i="231"/>
  <c r="K143" i="231"/>
  <c r="J143" i="231"/>
  <c r="K142" i="231"/>
  <c r="J142" i="231"/>
  <c r="K141" i="231"/>
  <c r="J141" i="231"/>
  <c r="K140" i="231"/>
  <c r="J140" i="231"/>
  <c r="K139" i="231"/>
  <c r="J139" i="231"/>
  <c r="K138" i="231"/>
  <c r="J138" i="231"/>
  <c r="K137" i="231"/>
  <c r="J137" i="231"/>
  <c r="K136" i="231"/>
  <c r="J136" i="231"/>
  <c r="K135" i="231"/>
  <c r="J135" i="231"/>
  <c r="K134" i="231"/>
  <c r="J134" i="231"/>
  <c r="K133" i="231"/>
  <c r="J133" i="231"/>
  <c r="K132" i="231"/>
  <c r="J132" i="231"/>
  <c r="K131" i="231"/>
  <c r="J131" i="231"/>
  <c r="K130" i="231"/>
  <c r="J130" i="231"/>
  <c r="K129" i="231"/>
  <c r="J129" i="231"/>
  <c r="K128" i="231"/>
  <c r="J128" i="231"/>
  <c r="K127" i="231"/>
  <c r="J127" i="231"/>
  <c r="K126" i="231"/>
  <c r="J126" i="231"/>
  <c r="K125" i="231"/>
  <c r="J125" i="231"/>
  <c r="K124" i="231"/>
  <c r="J124" i="231"/>
  <c r="K123" i="231"/>
  <c r="J123" i="231"/>
  <c r="K122" i="231"/>
  <c r="J122" i="231"/>
  <c r="K121" i="231"/>
  <c r="J121" i="231"/>
  <c r="K120" i="231"/>
  <c r="J120" i="231"/>
  <c r="K119" i="231"/>
  <c r="J119" i="231"/>
  <c r="K118" i="231"/>
  <c r="J118" i="231"/>
  <c r="K117" i="231"/>
  <c r="J117" i="231"/>
  <c r="K116" i="231"/>
  <c r="J116" i="231"/>
  <c r="K115" i="231"/>
  <c r="J115" i="231"/>
  <c r="K114" i="231"/>
  <c r="J114" i="231"/>
  <c r="K113" i="231"/>
  <c r="J113" i="231"/>
  <c r="K112" i="231"/>
  <c r="J112" i="231"/>
  <c r="K111" i="231"/>
  <c r="J111" i="231"/>
  <c r="K110" i="231"/>
  <c r="J110" i="231"/>
  <c r="K109" i="231"/>
  <c r="J109" i="231"/>
  <c r="K108" i="231"/>
  <c r="J108" i="231"/>
  <c r="K107" i="231"/>
  <c r="J107" i="231"/>
  <c r="K106" i="231"/>
  <c r="J106" i="231"/>
  <c r="K105" i="231"/>
  <c r="J105" i="231"/>
  <c r="K104" i="231"/>
  <c r="J104" i="231"/>
  <c r="K103" i="231"/>
  <c r="J103" i="231"/>
  <c r="K102" i="231"/>
  <c r="J102" i="231"/>
  <c r="K101" i="231"/>
  <c r="J101" i="231"/>
  <c r="K100" i="231"/>
  <c r="J100" i="231"/>
  <c r="K99" i="231"/>
  <c r="J99" i="231"/>
  <c r="K98" i="231"/>
  <c r="J98" i="231"/>
  <c r="K97" i="231"/>
  <c r="J97" i="231"/>
  <c r="K96" i="231"/>
  <c r="J96" i="231"/>
  <c r="K95" i="231"/>
  <c r="J95" i="231"/>
  <c r="K94" i="231"/>
  <c r="J94" i="231"/>
  <c r="K93" i="231"/>
  <c r="J93" i="231"/>
  <c r="K92" i="231"/>
  <c r="J92" i="231"/>
  <c r="K91" i="231"/>
  <c r="J91" i="231"/>
  <c r="K90" i="231"/>
  <c r="J90" i="231"/>
  <c r="K89" i="231"/>
  <c r="J89" i="231"/>
  <c r="K88" i="231"/>
  <c r="J88" i="231"/>
  <c r="K87" i="231"/>
  <c r="J87" i="231"/>
  <c r="K86" i="231"/>
  <c r="J86" i="231"/>
  <c r="K85" i="231"/>
  <c r="J85" i="231"/>
  <c r="K84" i="231"/>
  <c r="J84" i="231"/>
  <c r="K83" i="231"/>
  <c r="J83" i="231"/>
  <c r="K82" i="231"/>
  <c r="J82" i="231"/>
  <c r="K81" i="231"/>
  <c r="J81" i="231"/>
  <c r="K80" i="231"/>
  <c r="J80" i="231"/>
  <c r="K79" i="231"/>
  <c r="J79" i="231"/>
  <c r="K78" i="231"/>
  <c r="J78" i="231"/>
  <c r="K77" i="231"/>
  <c r="J77" i="231"/>
  <c r="K76" i="231"/>
  <c r="J76" i="231"/>
  <c r="K75" i="231"/>
  <c r="J75" i="231"/>
  <c r="K74" i="231"/>
  <c r="J74" i="231"/>
  <c r="K73" i="231"/>
  <c r="J73" i="231"/>
  <c r="K72" i="231"/>
  <c r="J72" i="231"/>
  <c r="K71" i="231"/>
  <c r="J71" i="231"/>
  <c r="K70" i="231"/>
  <c r="J70" i="231"/>
  <c r="K69" i="231"/>
  <c r="J69" i="231"/>
  <c r="K68" i="231"/>
  <c r="J68" i="231"/>
  <c r="K67" i="231"/>
  <c r="J67" i="231"/>
  <c r="K66" i="231"/>
  <c r="J66" i="231"/>
  <c r="K65" i="231"/>
  <c r="J65" i="231"/>
  <c r="K64" i="231"/>
  <c r="J64" i="231"/>
  <c r="K63" i="231"/>
  <c r="J63" i="231"/>
  <c r="K62" i="231"/>
  <c r="J62" i="231"/>
  <c r="K61" i="231"/>
  <c r="J61" i="231"/>
  <c r="K60" i="231"/>
  <c r="J60" i="231"/>
  <c r="K59" i="231"/>
  <c r="J59" i="231"/>
  <c r="K58" i="231"/>
  <c r="J58" i="231"/>
  <c r="K57" i="231"/>
  <c r="J57" i="231"/>
  <c r="K56" i="231"/>
  <c r="J56" i="231"/>
  <c r="K55" i="231"/>
  <c r="J55" i="231"/>
  <c r="K54" i="231"/>
  <c r="J54" i="231"/>
  <c r="K53" i="231"/>
  <c r="J53" i="231"/>
  <c r="K52" i="231"/>
  <c r="J52" i="231"/>
  <c r="K51" i="231"/>
  <c r="J51" i="231"/>
  <c r="K50" i="231"/>
  <c r="J50" i="231"/>
  <c r="K49" i="231"/>
  <c r="J49" i="231"/>
  <c r="K48" i="231"/>
  <c r="J48" i="231"/>
  <c r="K47" i="231"/>
  <c r="J47" i="231"/>
  <c r="K46" i="231"/>
  <c r="J46" i="231"/>
  <c r="K45" i="231"/>
  <c r="J45" i="231"/>
  <c r="K44" i="231"/>
  <c r="J44" i="231"/>
  <c r="K43" i="231"/>
  <c r="J43" i="231"/>
  <c r="K42" i="231"/>
  <c r="J42" i="231"/>
  <c r="K41" i="231"/>
  <c r="J41" i="231"/>
  <c r="K40" i="231"/>
  <c r="J40" i="231"/>
  <c r="K39" i="231"/>
  <c r="J39" i="231"/>
  <c r="K38" i="231"/>
  <c r="J38" i="231"/>
  <c r="K37" i="231"/>
  <c r="J37" i="231"/>
  <c r="K36" i="231"/>
  <c r="J36" i="231"/>
  <c r="K35" i="231"/>
  <c r="J35" i="231"/>
  <c r="K34" i="231"/>
  <c r="J34" i="231"/>
  <c r="K33" i="231"/>
  <c r="J33" i="231"/>
  <c r="K32" i="231"/>
  <c r="J32" i="231"/>
  <c r="K31" i="231"/>
  <c r="J31" i="231"/>
  <c r="K30" i="231"/>
  <c r="J30" i="231"/>
  <c r="K29" i="231"/>
  <c r="J29" i="231"/>
  <c r="K28" i="231"/>
  <c r="J28" i="231"/>
  <c r="K27" i="231"/>
  <c r="J27" i="231"/>
  <c r="K26" i="231"/>
  <c r="J26" i="231"/>
  <c r="K25" i="231"/>
  <c r="J25" i="231"/>
  <c r="K24" i="231"/>
  <c r="J24" i="231"/>
  <c r="K23" i="231"/>
  <c r="J23" i="231"/>
  <c r="K22" i="231"/>
  <c r="J22" i="231"/>
  <c r="K21" i="231"/>
  <c r="J21" i="231"/>
  <c r="K20" i="231"/>
  <c r="J20" i="231"/>
  <c r="K19" i="231"/>
  <c r="J19" i="231"/>
  <c r="K18" i="231"/>
  <c r="J18" i="231"/>
  <c r="K17" i="231"/>
  <c r="J17" i="231"/>
  <c r="K16" i="231"/>
  <c r="J16" i="231"/>
  <c r="K15" i="231"/>
  <c r="J15" i="231"/>
  <c r="K14" i="231"/>
  <c r="J14" i="231"/>
  <c r="K13" i="231"/>
  <c r="J13" i="231"/>
  <c r="K12" i="231"/>
  <c r="J12" i="231"/>
  <c r="K11" i="231"/>
  <c r="J11" i="231"/>
  <c r="K10" i="231"/>
  <c r="J10" i="231"/>
  <c r="K9" i="231"/>
  <c r="J9" i="231"/>
  <c r="K8" i="231"/>
  <c r="J8" i="231"/>
  <c r="K7" i="231"/>
  <c r="J7" i="231"/>
  <c r="K6" i="231"/>
  <c r="J6" i="231"/>
  <c r="K5" i="231"/>
  <c r="J5" i="231"/>
  <c r="K4" i="231"/>
  <c r="J4" i="231"/>
  <c r="K3" i="231"/>
  <c r="J3" i="231"/>
  <c r="BI54" i="220" l="1"/>
  <c r="BI50" i="220"/>
  <c r="BI46" i="220"/>
  <c r="BI42" i="220"/>
  <c r="BI38" i="220"/>
  <c r="BI34" i="220"/>
  <c r="BI30" i="220"/>
  <c r="BI26" i="220"/>
  <c r="BI22" i="220"/>
  <c r="BI18" i="220"/>
  <c r="BI14" i="220"/>
  <c r="BI10" i="220"/>
  <c r="BI6" i="220"/>
  <c r="BI9" i="220"/>
  <c r="BI5" i="220"/>
  <c r="BI48" i="220"/>
  <c r="BI40" i="220"/>
  <c r="BI36" i="220"/>
  <c r="BI28" i="220"/>
  <c r="BI20" i="220"/>
  <c r="BI16" i="220"/>
  <c r="BI8" i="220"/>
  <c r="BI51" i="220"/>
  <c r="BI47" i="220"/>
  <c r="BI39" i="220"/>
  <c r="BI35" i="220"/>
  <c r="BI27" i="220"/>
  <c r="BI19" i="220"/>
  <c r="BI15" i="220"/>
  <c r="BI7" i="220"/>
  <c r="BI53" i="220"/>
  <c r="BI49" i="220"/>
  <c r="BI45" i="220"/>
  <c r="BI41" i="220"/>
  <c r="BI37" i="220"/>
  <c r="BI33" i="220"/>
  <c r="BI29" i="220"/>
  <c r="BI25" i="220"/>
  <c r="BI21" i="220"/>
  <c r="BI17" i="220"/>
  <c r="BI13" i="220"/>
  <c r="BI52" i="220"/>
  <c r="BI44" i="220"/>
  <c r="BI32" i="220"/>
  <c r="BI24" i="220"/>
  <c r="BI12" i="220"/>
  <c r="BI4" i="220"/>
  <c r="BI43" i="220"/>
  <c r="BI31" i="220"/>
  <c r="BI23" i="220"/>
  <c r="BI11" i="220"/>
  <c r="BI3" i="220"/>
  <c r="C1682" i="232"/>
  <c r="C1681" i="232"/>
  <c r="C1680" i="232"/>
  <c r="C1679" i="232"/>
  <c r="C1678" i="232"/>
  <c r="C1677" i="232"/>
  <c r="C1676" i="232"/>
  <c r="C1675" i="232"/>
  <c r="C1674" i="232"/>
  <c r="C1673" i="232"/>
  <c r="C1672" i="232"/>
  <c r="C1671" i="232"/>
  <c r="C1670" i="232"/>
  <c r="C1669" i="232"/>
  <c r="C1668" i="232"/>
  <c r="C1667" i="232"/>
  <c r="C1666" i="232"/>
  <c r="C1665" i="232"/>
  <c r="C1664" i="232"/>
  <c r="C1663" i="232"/>
  <c r="C1662" i="232"/>
  <c r="C1661" i="232"/>
  <c r="C1660" i="232"/>
  <c r="C1659" i="232"/>
  <c r="C1658" i="232"/>
  <c r="C1657" i="232"/>
  <c r="C1656" i="232"/>
  <c r="C1655" i="232"/>
  <c r="C1654" i="232"/>
  <c r="C1653" i="232"/>
  <c r="C1652" i="232"/>
  <c r="C1651" i="232"/>
  <c r="C1650" i="232"/>
  <c r="C1649" i="232"/>
  <c r="C1648" i="232"/>
  <c r="C1647" i="232"/>
  <c r="C1646" i="232"/>
  <c r="C1645" i="232"/>
  <c r="C1644" i="232"/>
  <c r="C1643" i="232"/>
  <c r="C1642" i="232"/>
  <c r="C1641" i="232"/>
  <c r="C1640" i="232"/>
  <c r="C1639" i="232"/>
  <c r="C1638" i="232"/>
  <c r="AM63" i="230" l="1"/>
  <c r="AM62" i="230"/>
  <c r="AM61" i="230"/>
  <c r="AM60" i="230"/>
  <c r="AM59" i="230"/>
  <c r="AM58" i="230"/>
  <c r="AM57" i="230"/>
  <c r="AM56" i="230"/>
  <c r="AM55" i="230"/>
  <c r="G66" i="230"/>
  <c r="R66" i="230" s="1"/>
  <c r="G65" i="230"/>
  <c r="R65" i="230" s="1"/>
  <c r="G64" i="230"/>
  <c r="G63" i="230"/>
  <c r="AM64" i="230"/>
  <c r="K60" i="227" l="1"/>
  <c r="K61" i="227"/>
  <c r="U65" i="230"/>
  <c r="N60" i="227" s="1"/>
  <c r="T65" i="230"/>
  <c r="M60" i="227" s="1"/>
  <c r="S65" i="230"/>
  <c r="L60" i="227" s="1"/>
  <c r="U66" i="230"/>
  <c r="N61" i="227" s="1"/>
  <c r="T66" i="230"/>
  <c r="M61" i="227" s="1"/>
  <c r="S66" i="230"/>
  <c r="L61" i="227" s="1"/>
  <c r="O63" i="230"/>
  <c r="I63" i="230"/>
  <c r="N63" i="230"/>
  <c r="J63" i="230"/>
  <c r="M63" i="230"/>
  <c r="AL63" i="230"/>
  <c r="BL64" i="230"/>
  <c r="BE64" i="230"/>
  <c r="K64" i="230"/>
  <c r="O64" i="230"/>
  <c r="H64" i="230"/>
  <c r="L64" i="230"/>
  <c r="P64" i="230"/>
  <c r="K63" i="230"/>
  <c r="J64" i="230"/>
  <c r="N64" i="230"/>
  <c r="AL64" i="230"/>
  <c r="BL65" i="230"/>
  <c r="BE65" i="230"/>
  <c r="BL66" i="230"/>
  <c r="BE66" i="230"/>
  <c r="I64" i="230"/>
  <c r="M64" i="230"/>
  <c r="BL63" i="230"/>
  <c r="BE63" i="230"/>
  <c r="H63" i="230"/>
  <c r="L63" i="230"/>
  <c r="P63" i="230"/>
  <c r="B703" i="230"/>
  <c r="B702" i="230"/>
  <c r="B701" i="230"/>
  <c r="B700" i="230"/>
  <c r="B699" i="230"/>
  <c r="B698" i="230"/>
  <c r="B697" i="230"/>
  <c r="B696" i="230"/>
  <c r="B695" i="230"/>
  <c r="B694" i="230"/>
  <c r="B693" i="230"/>
  <c r="B691" i="230"/>
  <c r="B690" i="230"/>
  <c r="B689" i="230"/>
  <c r="B688" i="230"/>
  <c r="B687" i="230"/>
  <c r="B686" i="230"/>
  <c r="B685" i="230"/>
  <c r="B684" i="230"/>
  <c r="B683" i="230"/>
  <c r="B682" i="230"/>
  <c r="B681" i="230"/>
  <c r="B679" i="230" l="1"/>
  <c r="B678" i="230"/>
  <c r="B677" i="230"/>
  <c r="B676" i="230"/>
  <c r="B675" i="230"/>
  <c r="B674" i="230"/>
  <c r="B673" i="230"/>
  <c r="B672" i="230"/>
  <c r="B671" i="230"/>
  <c r="B670" i="230"/>
  <c r="B669" i="230"/>
  <c r="B667" i="230"/>
  <c r="B666" i="230"/>
  <c r="B665" i="230"/>
  <c r="B664" i="230"/>
  <c r="B663" i="230"/>
  <c r="B662" i="230"/>
  <c r="B661" i="230"/>
  <c r="B660" i="230"/>
  <c r="B659" i="230"/>
  <c r="B658" i="230"/>
  <c r="B657" i="230"/>
  <c r="B655" i="230"/>
  <c r="B654" i="230"/>
  <c r="B653" i="230"/>
  <c r="B652" i="230"/>
  <c r="B651" i="230"/>
  <c r="B650" i="230"/>
  <c r="B649" i="230"/>
  <c r="B648" i="230"/>
  <c r="B647" i="230"/>
  <c r="B646" i="230"/>
  <c r="B645" i="230"/>
  <c r="B643" i="230"/>
  <c r="B642" i="230"/>
  <c r="B641" i="230"/>
  <c r="B640" i="230"/>
  <c r="B639" i="230"/>
  <c r="B638" i="230"/>
  <c r="B637" i="230"/>
  <c r="B636" i="230"/>
  <c r="B635" i="230"/>
  <c r="B634" i="230"/>
  <c r="B633" i="230"/>
  <c r="B631" i="230"/>
  <c r="B630" i="230"/>
  <c r="B629" i="230"/>
  <c r="B628" i="230"/>
  <c r="B627" i="230"/>
  <c r="B626" i="230"/>
  <c r="B625" i="230"/>
  <c r="B624" i="230"/>
  <c r="B623" i="230"/>
  <c r="B622" i="230"/>
  <c r="B621" i="230"/>
  <c r="B619" i="230"/>
  <c r="B618" i="230"/>
  <c r="B617" i="230"/>
  <c r="B616" i="230"/>
  <c r="B615" i="230"/>
  <c r="B614" i="230"/>
  <c r="B613" i="230"/>
  <c r="B612" i="230"/>
  <c r="B611" i="230"/>
  <c r="B610" i="230"/>
  <c r="B609" i="230"/>
  <c r="B607" i="230"/>
  <c r="B606" i="230"/>
  <c r="B605" i="230"/>
  <c r="B604" i="230"/>
  <c r="B603" i="230"/>
  <c r="B602" i="230"/>
  <c r="B601" i="230"/>
  <c r="B600" i="230"/>
  <c r="B599" i="230"/>
  <c r="B598" i="230"/>
  <c r="B597" i="230"/>
  <c r="B595" i="230"/>
  <c r="B594" i="230"/>
  <c r="B593" i="230"/>
  <c r="B592" i="230"/>
  <c r="B591" i="230"/>
  <c r="B590" i="230"/>
  <c r="B589" i="230"/>
  <c r="B588" i="230"/>
  <c r="B587" i="230"/>
  <c r="B586" i="230"/>
  <c r="B585" i="230"/>
  <c r="B583" i="230"/>
  <c r="B582" i="230"/>
  <c r="B581" i="230"/>
  <c r="B580" i="230"/>
  <c r="B579" i="230"/>
  <c r="B578" i="230"/>
  <c r="B577" i="230"/>
  <c r="B576" i="230"/>
  <c r="B575" i="230"/>
  <c r="B574" i="230"/>
  <c r="B573" i="230"/>
  <c r="B571" i="230" l="1"/>
  <c r="B570" i="230"/>
  <c r="B569" i="230"/>
  <c r="B568" i="230"/>
  <c r="B567" i="230"/>
  <c r="B566" i="230"/>
  <c r="B565" i="230"/>
  <c r="B564" i="230"/>
  <c r="B563" i="230"/>
  <c r="B562" i="230"/>
  <c r="B561" i="230"/>
  <c r="B559" i="230"/>
  <c r="B558" i="230"/>
  <c r="B557" i="230"/>
  <c r="B556" i="230"/>
  <c r="B555" i="230"/>
  <c r="B554" i="230"/>
  <c r="B553" i="230"/>
  <c r="B552" i="230"/>
  <c r="B551" i="230"/>
  <c r="B550" i="230"/>
  <c r="B549" i="230"/>
  <c r="B547" i="230"/>
  <c r="B546" i="230"/>
  <c r="B545" i="230"/>
  <c r="B544" i="230"/>
  <c r="B543" i="230"/>
  <c r="B542" i="230"/>
  <c r="B541" i="230"/>
  <c r="B540" i="230"/>
  <c r="B539" i="230"/>
  <c r="B538" i="230"/>
  <c r="B537" i="230"/>
  <c r="B535" i="230"/>
  <c r="B534" i="230"/>
  <c r="B533" i="230"/>
  <c r="B532" i="230"/>
  <c r="B531" i="230"/>
  <c r="B530" i="230"/>
  <c r="B529" i="230"/>
  <c r="B528" i="230"/>
  <c r="B527" i="230"/>
  <c r="B526" i="230"/>
  <c r="B525" i="230"/>
  <c r="C982" i="232" l="1"/>
  <c r="AW123" i="230" l="1"/>
  <c r="BB123" i="230" s="1"/>
  <c r="AW122" i="230"/>
  <c r="BB122" i="230" s="1"/>
  <c r="AW121" i="230"/>
  <c r="BB121" i="230" s="1"/>
  <c r="AW120" i="230"/>
  <c r="BB120" i="230" s="1"/>
  <c r="AW119" i="230"/>
  <c r="BB119" i="230" s="1"/>
  <c r="AW118" i="230"/>
  <c r="BB118" i="230" s="1"/>
  <c r="AW117" i="230"/>
  <c r="BB117" i="230" s="1"/>
  <c r="AW116" i="230"/>
  <c r="BB116" i="230" s="1"/>
  <c r="AW115" i="230"/>
  <c r="BB115" i="230" s="1"/>
  <c r="AW114" i="230"/>
  <c r="BB114" i="230" s="1"/>
  <c r="AW113" i="230"/>
  <c r="BB113" i="230" s="1"/>
  <c r="AW112" i="230"/>
  <c r="BB112" i="230" s="1"/>
  <c r="AW111" i="230"/>
  <c r="BB111" i="230" s="1"/>
  <c r="AW110" i="230"/>
  <c r="BB110" i="230" s="1"/>
  <c r="AW109" i="230"/>
  <c r="BB109" i="230" s="1"/>
  <c r="AW108" i="230"/>
  <c r="BB108" i="230" s="1"/>
  <c r="AW107" i="230"/>
  <c r="BB107" i="230" s="1"/>
  <c r="AW106" i="230"/>
  <c r="BB106" i="230" s="1"/>
  <c r="AW105" i="230"/>
  <c r="BB105" i="230" s="1"/>
  <c r="AW104" i="230"/>
  <c r="BB104" i="230" s="1"/>
  <c r="AW103" i="230"/>
  <c r="BB103" i="230" s="1"/>
  <c r="AW102" i="230"/>
  <c r="BB102" i="230" s="1"/>
  <c r="AW101" i="230"/>
  <c r="BB101" i="230" s="1"/>
  <c r="AW100" i="230"/>
  <c r="BB100" i="230" s="1"/>
  <c r="AW99" i="230"/>
  <c r="BB99" i="230" s="1"/>
  <c r="AW98" i="230"/>
  <c r="BB98" i="230" s="1"/>
  <c r="AW97" i="230"/>
  <c r="BB97" i="230" s="1"/>
  <c r="AW96" i="230"/>
  <c r="BB96" i="230" s="1"/>
  <c r="AW95" i="230"/>
  <c r="BB95" i="230" s="1"/>
  <c r="AW94" i="230"/>
  <c r="BB94" i="230" s="1"/>
  <c r="AW93" i="230"/>
  <c r="BB93" i="230" s="1"/>
  <c r="AW92" i="230"/>
  <c r="BB92" i="230" s="1"/>
  <c r="AW91" i="230"/>
  <c r="BB91" i="230" s="1"/>
  <c r="AW90" i="230"/>
  <c r="BB90" i="230" s="1"/>
  <c r="AW89" i="230"/>
  <c r="BB89" i="230" s="1"/>
  <c r="AW88" i="230"/>
  <c r="BB88" i="230" s="1"/>
  <c r="AW87" i="230"/>
  <c r="BB87" i="230" s="1"/>
  <c r="AW86" i="230"/>
  <c r="BB86" i="230" s="1"/>
  <c r="AW85" i="230"/>
  <c r="BB85" i="230" s="1"/>
  <c r="AW84" i="230"/>
  <c r="BB84" i="230" s="1"/>
  <c r="AW83" i="230"/>
  <c r="BB83" i="230" s="1"/>
  <c r="AW82" i="230"/>
  <c r="BB82" i="230" s="1"/>
  <c r="AW81" i="230"/>
  <c r="BB81" i="230" s="1"/>
  <c r="AW80" i="230"/>
  <c r="BB80" i="230" s="1"/>
  <c r="AW79" i="230"/>
  <c r="BB79" i="230" s="1"/>
  <c r="AW78" i="230"/>
  <c r="BB78" i="230" s="1"/>
  <c r="AW77" i="230"/>
  <c r="BB77" i="230" s="1"/>
  <c r="AW76" i="230"/>
  <c r="BB76" i="230" s="1"/>
  <c r="AW75" i="230"/>
  <c r="BB75" i="230" s="1"/>
  <c r="AW74" i="230"/>
  <c r="BB74" i="230" s="1"/>
  <c r="AW73" i="230"/>
  <c r="BB73" i="230" s="1"/>
  <c r="AW72" i="230"/>
  <c r="BB72" i="230" s="1"/>
  <c r="AW71" i="230"/>
  <c r="BB71" i="230" s="1"/>
  <c r="AW70" i="230"/>
  <c r="BB70" i="230" s="1"/>
  <c r="AW69" i="230"/>
  <c r="BB69" i="230" s="1"/>
  <c r="AW68" i="230"/>
  <c r="BB68" i="230" s="1"/>
  <c r="AW67" i="230"/>
  <c r="BB67" i="230" s="1"/>
  <c r="AW66" i="230"/>
  <c r="BB66" i="230" s="1"/>
  <c r="AW65" i="230"/>
  <c r="BB65" i="230" s="1"/>
  <c r="M11" i="243" l="1"/>
  <c r="AG11" i="243" s="1"/>
  <c r="D298" i="242" l="1"/>
  <c r="D297" i="242"/>
  <c r="D296" i="242"/>
  <c r="D295" i="242"/>
  <c r="D294" i="242"/>
  <c r="D293" i="242"/>
  <c r="D292" i="242"/>
  <c r="D291" i="242"/>
  <c r="D290" i="242"/>
  <c r="BL44" i="235" l="1"/>
  <c r="BJ44" i="235"/>
  <c r="BE44" i="235"/>
  <c r="AV44" i="235"/>
  <c r="AQ44" i="235"/>
  <c r="AT44" i="235" s="1"/>
  <c r="AM44" i="235"/>
  <c r="AN44" i="235" s="1"/>
  <c r="AJ44" i="235"/>
  <c r="AI44" i="235"/>
  <c r="AW44" i="235" s="1"/>
  <c r="AH44" i="235"/>
  <c r="AG44" i="235"/>
  <c r="BG44" i="235" s="1"/>
  <c r="AF44" i="235"/>
  <c r="AE44" i="235"/>
  <c r="AD44" i="235"/>
  <c r="AA44" i="235"/>
  <c r="BC44" i="235" s="1"/>
  <c r="Z44" i="235"/>
  <c r="X44" i="235"/>
  <c r="P44" i="235"/>
  <c r="Q44" i="235" s="1"/>
  <c r="R44" i="235" s="1"/>
  <c r="O44" i="235"/>
  <c r="M44" i="235"/>
  <c r="BD44" i="235" l="1"/>
  <c r="BH44" i="235"/>
  <c r="AO44" i="235"/>
  <c r="AK44" i="235"/>
  <c r="AL44" i="235"/>
  <c r="BB44" i="235"/>
  <c r="BF44" i="235"/>
  <c r="BK44" i="235"/>
  <c r="AA43" i="235"/>
  <c r="Z43" i="235"/>
  <c r="X43" i="235"/>
  <c r="P43" i="235"/>
  <c r="Q43" i="235" s="1"/>
  <c r="R43" i="235" s="1"/>
  <c r="O43" i="235"/>
  <c r="M43" i="235"/>
  <c r="AY44" i="235" l="1"/>
  <c r="AZ44" i="235" s="1"/>
  <c r="BA44" i="235" s="1"/>
  <c r="AU44" i="235"/>
  <c r="T216" i="241"/>
  <c r="T215" i="241"/>
  <c r="T214" i="241"/>
  <c r="T213" i="241"/>
  <c r="T212" i="241"/>
  <c r="T211" i="241"/>
  <c r="T210" i="241"/>
  <c r="T209" i="241"/>
  <c r="T208" i="241"/>
  <c r="T207" i="241"/>
  <c r="T206" i="241"/>
  <c r="T205" i="241"/>
  <c r="T204" i="241"/>
  <c r="T203" i="241"/>
  <c r="T202" i="241"/>
  <c r="T201" i="241"/>
  <c r="T200" i="241"/>
  <c r="T199" i="241"/>
  <c r="T198" i="241"/>
  <c r="T197" i="241"/>
  <c r="T196" i="241"/>
  <c r="T195" i="241"/>
  <c r="T194" i="241"/>
  <c r="T193" i="241"/>
  <c r="T192" i="241"/>
  <c r="T191" i="241"/>
  <c r="T190" i="241"/>
  <c r="T189" i="241"/>
  <c r="T188" i="241"/>
  <c r="T187" i="241"/>
  <c r="T186" i="241"/>
  <c r="T185" i="241"/>
  <c r="T184" i="241"/>
  <c r="T183" i="241"/>
  <c r="T182" i="241"/>
  <c r="T181" i="241"/>
  <c r="T180" i="241"/>
  <c r="T179" i="241"/>
  <c r="T178" i="241"/>
  <c r="T177" i="241"/>
  <c r="T176" i="241"/>
  <c r="T175" i="241"/>
  <c r="T174" i="241"/>
  <c r="T173" i="241"/>
  <c r="T172" i="241"/>
  <c r="T171" i="241"/>
  <c r="T170" i="241"/>
  <c r="T169" i="241"/>
  <c r="T168" i="241"/>
  <c r="T167" i="241"/>
  <c r="T166" i="241"/>
  <c r="T165" i="241"/>
  <c r="T164" i="241"/>
  <c r="T163" i="241"/>
  <c r="T162" i="241"/>
  <c r="T161" i="241"/>
  <c r="T160" i="241"/>
  <c r="T159" i="241"/>
  <c r="T158" i="241"/>
  <c r="T157" i="241"/>
  <c r="T156" i="241"/>
  <c r="T155" i="241"/>
  <c r="T154" i="241"/>
  <c r="T153" i="241"/>
  <c r="T152" i="241"/>
  <c r="T151" i="241"/>
  <c r="T150" i="241"/>
  <c r="T149" i="241"/>
  <c r="T148" i="241"/>
  <c r="T147" i="241"/>
  <c r="T146" i="241"/>
  <c r="T145" i="241"/>
  <c r="T144" i="241"/>
  <c r="T143" i="241"/>
  <c r="T142" i="241"/>
  <c r="T141" i="241"/>
  <c r="T140" i="241"/>
  <c r="T139" i="241"/>
  <c r="T138" i="241"/>
  <c r="T137" i="241"/>
  <c r="T136" i="241"/>
  <c r="T135" i="241"/>
  <c r="T134" i="241"/>
  <c r="T133" i="241"/>
  <c r="T132" i="241"/>
  <c r="T131" i="241"/>
  <c r="T130" i="241"/>
  <c r="T129" i="241"/>
  <c r="T128" i="241"/>
  <c r="T127" i="241"/>
  <c r="T126" i="241"/>
  <c r="T125" i="241"/>
  <c r="T124" i="241"/>
  <c r="T123" i="241"/>
  <c r="T122" i="241"/>
  <c r="T121" i="241"/>
  <c r="T120" i="241"/>
  <c r="T119" i="241"/>
  <c r="T118" i="241"/>
  <c r="T117" i="241"/>
  <c r="T116" i="241"/>
  <c r="T115" i="241"/>
  <c r="T114" i="241"/>
  <c r="T113" i="241"/>
  <c r="T112" i="241"/>
  <c r="T111" i="241"/>
  <c r="T110" i="241"/>
  <c r="T109" i="241"/>
  <c r="T108" i="241"/>
  <c r="T107" i="241"/>
  <c r="T106" i="241"/>
  <c r="T105" i="241"/>
  <c r="T104" i="241"/>
  <c r="T103" i="241"/>
  <c r="T102" i="241"/>
  <c r="T101" i="241"/>
  <c r="T100" i="241"/>
  <c r="T99" i="241"/>
  <c r="T98" i="241"/>
  <c r="T97" i="241"/>
  <c r="T96" i="241"/>
  <c r="T95" i="241"/>
  <c r="T94" i="241"/>
  <c r="T93" i="241"/>
  <c r="T92" i="241"/>
  <c r="T91" i="241"/>
  <c r="T90" i="241"/>
  <c r="T89" i="241"/>
  <c r="T88" i="241"/>
  <c r="T87" i="241"/>
  <c r="T86" i="241"/>
  <c r="T85" i="241"/>
  <c r="T84" i="241"/>
  <c r="T83" i="241"/>
  <c r="T82" i="241"/>
  <c r="T81" i="241"/>
  <c r="T80" i="241"/>
  <c r="T79" i="241"/>
  <c r="T78" i="241"/>
  <c r="T77" i="241"/>
  <c r="T76" i="241"/>
  <c r="T75" i="241"/>
  <c r="T74" i="241"/>
  <c r="T73" i="241"/>
  <c r="T72" i="241"/>
  <c r="T71" i="241"/>
  <c r="T70" i="241"/>
  <c r="T69" i="241"/>
  <c r="T68" i="241"/>
  <c r="T67" i="241"/>
  <c r="T66" i="241"/>
  <c r="T65" i="241"/>
  <c r="T64" i="241"/>
  <c r="T63" i="241"/>
  <c r="T62" i="241"/>
  <c r="T61" i="241"/>
  <c r="T60" i="241"/>
  <c r="T59" i="241"/>
  <c r="T58" i="241"/>
  <c r="T57" i="241"/>
  <c r="T56" i="241"/>
  <c r="T55" i="241"/>
  <c r="T54" i="241"/>
  <c r="T53" i="241"/>
  <c r="T52" i="241"/>
  <c r="T51" i="241"/>
  <c r="T50" i="241"/>
  <c r="T49" i="241"/>
  <c r="T48" i="241"/>
  <c r="T47" i="241"/>
  <c r="T46" i="241"/>
  <c r="T45" i="241"/>
  <c r="T44" i="241"/>
  <c r="T43" i="241"/>
  <c r="T42" i="241"/>
  <c r="T41" i="241"/>
  <c r="T40" i="241"/>
  <c r="T39" i="241"/>
  <c r="T38" i="241"/>
  <c r="T37" i="241"/>
  <c r="T36" i="241"/>
  <c r="T35" i="241"/>
  <c r="T34" i="241"/>
  <c r="T33" i="241"/>
  <c r="T32" i="241"/>
  <c r="T31" i="241"/>
  <c r="T30" i="241"/>
  <c r="T29" i="241"/>
  <c r="T28" i="241"/>
  <c r="T27" i="241"/>
  <c r="T26" i="241"/>
  <c r="T25" i="241"/>
  <c r="T24" i="241"/>
  <c r="T23" i="241"/>
  <c r="T22" i="241"/>
  <c r="T21" i="241"/>
  <c r="T20" i="241"/>
  <c r="T19" i="241"/>
  <c r="T18" i="241"/>
  <c r="T17" i="241"/>
  <c r="T16" i="241"/>
  <c r="T15" i="241"/>
  <c r="T14" i="241"/>
  <c r="T13" i="241"/>
  <c r="T12" i="241"/>
  <c r="T11" i="241"/>
  <c r="T10" i="241"/>
  <c r="T9" i="241"/>
  <c r="T8" i="241"/>
  <c r="T7" i="241"/>
  <c r="P6" i="231" l="1"/>
  <c r="P5" i="231"/>
  <c r="P4" i="231"/>
  <c r="P3" i="231"/>
  <c r="P2" i="231"/>
  <c r="P1" i="231"/>
  <c r="AU66" i="220" l="1"/>
  <c r="AU65" i="220"/>
  <c r="AU64" i="220"/>
  <c r="AU63" i="220"/>
  <c r="AU62" i="220"/>
  <c r="AU61" i="220"/>
  <c r="AU60" i="220"/>
  <c r="AU59" i="220"/>
  <c r="AU58" i="220"/>
  <c r="AU57" i="220"/>
  <c r="AU56" i="220"/>
  <c r="AU55" i="220"/>
  <c r="AU54" i="220"/>
  <c r="AU53" i="220"/>
  <c r="AU52" i="220"/>
  <c r="AU51" i="220"/>
  <c r="AU50" i="220"/>
  <c r="AU49" i="220"/>
  <c r="AU48" i="220"/>
  <c r="AU47" i="220"/>
  <c r="AU46" i="220"/>
  <c r="AU45" i="220"/>
  <c r="AU44" i="220"/>
  <c r="AU43" i="220"/>
  <c r="AU42" i="220"/>
  <c r="AU41" i="220"/>
  <c r="AU40" i="220"/>
  <c r="AU39" i="220"/>
  <c r="AU38" i="220"/>
  <c r="AU37" i="220"/>
  <c r="AU36" i="220"/>
  <c r="AU35" i="220"/>
  <c r="AU34" i="220"/>
  <c r="AU33" i="220"/>
  <c r="AU32" i="220"/>
  <c r="AU31" i="220"/>
  <c r="AU30" i="220"/>
  <c r="AU29" i="220"/>
  <c r="AU28" i="220"/>
  <c r="AU27" i="220"/>
  <c r="AU26" i="220"/>
  <c r="AU25" i="220"/>
  <c r="AU24" i="220"/>
  <c r="AU23" i="220"/>
  <c r="AU22" i="220"/>
  <c r="AU21" i="220"/>
  <c r="AU20" i="220"/>
  <c r="AU19" i="220"/>
  <c r="AU18" i="220"/>
  <c r="AU17" i="220"/>
  <c r="AU16" i="220"/>
  <c r="AU15" i="220"/>
  <c r="AU14" i="220"/>
  <c r="AU13" i="220"/>
  <c r="AU12" i="220"/>
  <c r="AU4" i="220"/>
  <c r="AU5" i="220" s="1"/>
  <c r="AU6" i="220" s="1"/>
  <c r="AU7" i="220" s="1"/>
  <c r="AU8" i="220" s="1"/>
  <c r="AU9" i="220"/>
  <c r="AU10" i="220" s="1"/>
  <c r="AU11" i="220" s="1"/>
  <c r="BQ42" i="235" l="1"/>
  <c r="BP42" i="235"/>
  <c r="BO42" i="235"/>
  <c r="BM42" i="235"/>
  <c r="BL42" i="235"/>
  <c r="BJ42" i="235"/>
  <c r="BE42" i="235"/>
  <c r="AV42" i="235"/>
  <c r="AQ42" i="235"/>
  <c r="AM42" i="235"/>
  <c r="AN42" i="235" s="1"/>
  <c r="AO42" i="235" s="1"/>
  <c r="AI42" i="235"/>
  <c r="AH42" i="235"/>
  <c r="AF42" i="235"/>
  <c r="AE42" i="235"/>
  <c r="AD42" i="235"/>
  <c r="AA42" i="235"/>
  <c r="BC42" i="235" s="1"/>
  <c r="Z42" i="235"/>
  <c r="W42" i="235"/>
  <c r="X42" i="235" s="1"/>
  <c r="P42" i="235"/>
  <c r="Q42" i="235" s="1"/>
  <c r="R42" i="235" s="1"/>
  <c r="O42" i="235"/>
  <c r="M42" i="235"/>
  <c r="AG42" i="235" s="1"/>
  <c r="AW42" i="235" l="1"/>
  <c r="AJ42" i="235"/>
  <c r="BG42" i="235"/>
  <c r="BH42" i="235"/>
  <c r="BF42" i="235"/>
  <c r="BB42" i="235"/>
  <c r="AK42" i="235"/>
  <c r="AL42" i="235"/>
  <c r="AS42" i="235"/>
  <c r="AT42" i="235" s="1"/>
  <c r="BK42" i="235"/>
  <c r="BD42" i="235"/>
  <c r="AY42" i="235" l="1"/>
  <c r="AZ42" i="235" s="1"/>
  <c r="BA42" i="235" s="1"/>
  <c r="AU42" i="235"/>
  <c r="BQ41" i="235"/>
  <c r="BP41" i="235"/>
  <c r="BO41" i="235"/>
  <c r="BM41" i="235"/>
  <c r="BL41" i="235"/>
  <c r="BJ41" i="235"/>
  <c r="BE41" i="235"/>
  <c r="AV41" i="235"/>
  <c r="AQ41" i="235"/>
  <c r="AM41" i="235"/>
  <c r="AJ41" i="235"/>
  <c r="AI41" i="235"/>
  <c r="AH41" i="235"/>
  <c r="AF41" i="235"/>
  <c r="AE41" i="235"/>
  <c r="AD41" i="235"/>
  <c r="AA41" i="235"/>
  <c r="AL41" i="235" s="1"/>
  <c r="Z41" i="235"/>
  <c r="X41" i="235"/>
  <c r="P41" i="235"/>
  <c r="Q41" i="235" s="1"/>
  <c r="R41" i="235" s="1"/>
  <c r="O41" i="235"/>
  <c r="M41" i="235"/>
  <c r="AG41" i="235" s="1"/>
  <c r="BQ40" i="235"/>
  <c r="BP40" i="235"/>
  <c r="BO40" i="235"/>
  <c r="BM40" i="235"/>
  <c r="BL40" i="235"/>
  <c r="BJ40" i="235"/>
  <c r="BE40" i="235"/>
  <c r="AV40" i="235"/>
  <c r="AQ40" i="235"/>
  <c r="AM40" i="235"/>
  <c r="AJ40" i="235"/>
  <c r="AI40" i="235"/>
  <c r="AH40" i="235"/>
  <c r="AF40" i="235"/>
  <c r="AE40" i="235"/>
  <c r="AD40" i="235"/>
  <c r="AA40" i="235"/>
  <c r="BD40" i="235" s="1"/>
  <c r="Z40" i="235"/>
  <c r="X40" i="235"/>
  <c r="AK40" i="235" s="1"/>
  <c r="P40" i="235"/>
  <c r="Q40" i="235" s="1"/>
  <c r="R40" i="235" s="1"/>
  <c r="O40" i="235"/>
  <c r="M40" i="235"/>
  <c r="AG40" i="235" s="1"/>
  <c r="AW41" i="235" l="1"/>
  <c r="BK41" i="235"/>
  <c r="AS40" i="235"/>
  <c r="AS41" i="235"/>
  <c r="AT41" i="235" s="1"/>
  <c r="BH41" i="235"/>
  <c r="BG41" i="235"/>
  <c r="BF41" i="235"/>
  <c r="BB41" i="235"/>
  <c r="BC40" i="235"/>
  <c r="BK40" i="235"/>
  <c r="AW40" i="235"/>
  <c r="BC41" i="235"/>
  <c r="AL40" i="235"/>
  <c r="AT40" i="235"/>
  <c r="BF40" i="235"/>
  <c r="BH40" i="235"/>
  <c r="BG40" i="235"/>
  <c r="BB40" i="235"/>
  <c r="AN41" i="235"/>
  <c r="AO41" i="235" s="1"/>
  <c r="AN40" i="235"/>
  <c r="AO40" i="235" s="1"/>
  <c r="AK41" i="235"/>
  <c r="BD41" i="235"/>
  <c r="AM54" i="230"/>
  <c r="AM53" i="230"/>
  <c r="AM52" i="230"/>
  <c r="AM51" i="230"/>
  <c r="AM50" i="230"/>
  <c r="AM49" i="230"/>
  <c r="AM48" i="230"/>
  <c r="AM47" i="230"/>
  <c r="O48" i="230"/>
  <c r="G62" i="230"/>
  <c r="G61" i="230"/>
  <c r="G60" i="230"/>
  <c r="G59" i="230"/>
  <c r="G58" i="230"/>
  <c r="G57" i="230"/>
  <c r="G56" i="230"/>
  <c r="G55" i="230"/>
  <c r="G54" i="230"/>
  <c r="G53" i="230"/>
  <c r="G52" i="230"/>
  <c r="G51" i="230"/>
  <c r="G50" i="230"/>
  <c r="G49" i="230"/>
  <c r="G48" i="230"/>
  <c r="G47" i="230"/>
  <c r="G46" i="230"/>
  <c r="G45" i="230"/>
  <c r="G44" i="230"/>
  <c r="G43" i="230"/>
  <c r="G42" i="230"/>
  <c r="G41" i="230"/>
  <c r="G40" i="230"/>
  <c r="B523" i="230"/>
  <c r="B522" i="230"/>
  <c r="B521" i="230"/>
  <c r="B520" i="230"/>
  <c r="B519" i="230"/>
  <c r="B518" i="230"/>
  <c r="B517" i="230"/>
  <c r="B516" i="230"/>
  <c r="B515" i="230"/>
  <c r="B514" i="230"/>
  <c r="B513" i="230"/>
  <c r="B511" i="230"/>
  <c r="B510" i="230"/>
  <c r="B509" i="230"/>
  <c r="B508" i="230"/>
  <c r="B507" i="230"/>
  <c r="B506" i="230"/>
  <c r="B505" i="230"/>
  <c r="B504" i="230"/>
  <c r="B503" i="230"/>
  <c r="B502" i="230"/>
  <c r="B501" i="230"/>
  <c r="B499" i="230"/>
  <c r="B498" i="230"/>
  <c r="B497" i="230"/>
  <c r="B496" i="230"/>
  <c r="B495" i="230"/>
  <c r="B494" i="230"/>
  <c r="B493" i="230"/>
  <c r="B492" i="230"/>
  <c r="B491" i="230"/>
  <c r="B490" i="230"/>
  <c r="B489" i="230"/>
  <c r="B487" i="230"/>
  <c r="B486" i="230"/>
  <c r="B485" i="230"/>
  <c r="B484" i="230"/>
  <c r="B483" i="230"/>
  <c r="B482" i="230"/>
  <c r="B481" i="230"/>
  <c r="B480" i="230"/>
  <c r="B479" i="230"/>
  <c r="B478" i="230"/>
  <c r="B477" i="230"/>
  <c r="B475" i="230"/>
  <c r="B474" i="230"/>
  <c r="B473" i="230"/>
  <c r="B472" i="230"/>
  <c r="B471" i="230"/>
  <c r="B470" i="230"/>
  <c r="B469" i="230"/>
  <c r="B468" i="230"/>
  <c r="B467" i="230"/>
  <c r="B466" i="230"/>
  <c r="B465" i="230"/>
  <c r="B463" i="230"/>
  <c r="B462" i="230"/>
  <c r="B461" i="230"/>
  <c r="B460" i="230"/>
  <c r="B459" i="230"/>
  <c r="B458" i="230"/>
  <c r="B457" i="230"/>
  <c r="B456" i="230"/>
  <c r="B455" i="230"/>
  <c r="B454" i="230"/>
  <c r="B453" i="230"/>
  <c r="B451" i="230"/>
  <c r="B450" i="230"/>
  <c r="B449" i="230"/>
  <c r="B448" i="230"/>
  <c r="B447" i="230"/>
  <c r="B446" i="230"/>
  <c r="B445" i="230"/>
  <c r="B444" i="230"/>
  <c r="B443" i="230"/>
  <c r="B442" i="230"/>
  <c r="B441" i="230"/>
  <c r="B439" i="230"/>
  <c r="B438" i="230"/>
  <c r="B437" i="230"/>
  <c r="B436" i="230"/>
  <c r="B435" i="230"/>
  <c r="B434" i="230"/>
  <c r="B433" i="230"/>
  <c r="B432" i="230"/>
  <c r="B431" i="230"/>
  <c r="B430" i="230"/>
  <c r="B429" i="230"/>
  <c r="B427" i="230"/>
  <c r="B426" i="230"/>
  <c r="B425" i="230"/>
  <c r="B424" i="230"/>
  <c r="B423" i="230"/>
  <c r="B422" i="230"/>
  <c r="B421" i="230"/>
  <c r="B420" i="230"/>
  <c r="B419" i="230"/>
  <c r="B418" i="230"/>
  <c r="B417" i="230"/>
  <c r="B415" i="230"/>
  <c r="B414" i="230"/>
  <c r="B413" i="230"/>
  <c r="B412" i="230"/>
  <c r="B411" i="230"/>
  <c r="B410" i="230"/>
  <c r="B409" i="230"/>
  <c r="B408" i="230"/>
  <c r="B407" i="230"/>
  <c r="B406" i="230"/>
  <c r="B405" i="230"/>
  <c r="B403" i="230"/>
  <c r="B402" i="230"/>
  <c r="B401" i="230"/>
  <c r="B400" i="230"/>
  <c r="B399" i="230"/>
  <c r="B398" i="230"/>
  <c r="B397" i="230"/>
  <c r="B396" i="230"/>
  <c r="B395" i="230"/>
  <c r="B394" i="230"/>
  <c r="B393" i="230"/>
  <c r="B391" i="230"/>
  <c r="B390" i="230"/>
  <c r="B389" i="230"/>
  <c r="B388" i="230"/>
  <c r="B387" i="230"/>
  <c r="B386" i="230"/>
  <c r="B385" i="230"/>
  <c r="B384" i="230"/>
  <c r="B383" i="230"/>
  <c r="B382" i="230"/>
  <c r="B381" i="230"/>
  <c r="B379" i="230"/>
  <c r="B378" i="230"/>
  <c r="B377" i="230"/>
  <c r="B376" i="230"/>
  <c r="B375" i="230"/>
  <c r="B374" i="230"/>
  <c r="B373" i="230"/>
  <c r="B372" i="230"/>
  <c r="B371" i="230"/>
  <c r="B370" i="230"/>
  <c r="B369" i="230"/>
  <c r="N49" i="230" l="1"/>
  <c r="O50" i="230"/>
  <c r="O52" i="230"/>
  <c r="O49" i="230"/>
  <c r="AL53" i="230"/>
  <c r="AL54" i="230"/>
  <c r="AL49" i="230"/>
  <c r="L45" i="230"/>
  <c r="N46" i="230"/>
  <c r="N45" i="230"/>
  <c r="M50" i="230"/>
  <c r="AY40" i="235"/>
  <c r="AZ40" i="235" s="1"/>
  <c r="BA40" i="235" s="1"/>
  <c r="O46" i="230"/>
  <c r="O54" i="230"/>
  <c r="AU40" i="235"/>
  <c r="N50" i="230"/>
  <c r="AL50" i="230"/>
  <c r="H50" i="230"/>
  <c r="H54" i="230"/>
  <c r="N53" i="230"/>
  <c r="O53" i="230"/>
  <c r="M46" i="230"/>
  <c r="M54" i="230"/>
  <c r="N54" i="230"/>
  <c r="O43" i="230"/>
  <c r="BL43" i="230"/>
  <c r="BE43" i="230"/>
  <c r="BL47" i="230"/>
  <c r="BE47" i="230"/>
  <c r="BL51" i="230"/>
  <c r="BE51" i="230"/>
  <c r="BL55" i="230"/>
  <c r="BE55" i="230"/>
  <c r="P55" i="230"/>
  <c r="L55" i="230"/>
  <c r="H55" i="230"/>
  <c r="K55" i="230"/>
  <c r="J55" i="230"/>
  <c r="I55" i="230"/>
  <c r="AL55" i="230"/>
  <c r="O55" i="230"/>
  <c r="N55" i="230"/>
  <c r="M55" i="230"/>
  <c r="BL59" i="230"/>
  <c r="BE59" i="230"/>
  <c r="AL59" i="230"/>
  <c r="O59" i="230"/>
  <c r="K59" i="230"/>
  <c r="N59" i="230"/>
  <c r="J59" i="230"/>
  <c r="M59" i="230"/>
  <c r="I59" i="230"/>
  <c r="P59" i="230"/>
  <c r="L59" i="230"/>
  <c r="H59" i="230"/>
  <c r="L47" i="230"/>
  <c r="P47" i="230"/>
  <c r="L51" i="230"/>
  <c r="P51" i="230"/>
  <c r="AL47" i="230"/>
  <c r="AL51" i="230"/>
  <c r="BL40" i="230"/>
  <c r="BE40" i="230"/>
  <c r="N44" i="230"/>
  <c r="BL44" i="230"/>
  <c r="BE44" i="230"/>
  <c r="BL48" i="230"/>
  <c r="BE48" i="230"/>
  <c r="BL52" i="230"/>
  <c r="BE52" i="230"/>
  <c r="BL56" i="230"/>
  <c r="BE56" i="230"/>
  <c r="N56" i="230"/>
  <c r="J56" i="230"/>
  <c r="H56" i="230"/>
  <c r="O56" i="230"/>
  <c r="AL56" i="230"/>
  <c r="M56" i="230"/>
  <c r="I56" i="230"/>
  <c r="P56" i="230"/>
  <c r="L56" i="230"/>
  <c r="K56" i="230"/>
  <c r="BL60" i="230"/>
  <c r="BE60" i="230"/>
  <c r="M60" i="230"/>
  <c r="I60" i="230"/>
  <c r="K60" i="230"/>
  <c r="AL60" i="230"/>
  <c r="P60" i="230"/>
  <c r="L60" i="230"/>
  <c r="H60" i="230"/>
  <c r="O60" i="230"/>
  <c r="N60" i="230"/>
  <c r="J60" i="230"/>
  <c r="H51" i="230"/>
  <c r="L43" i="230"/>
  <c r="M47" i="230"/>
  <c r="L48" i="230"/>
  <c r="P48" i="230"/>
  <c r="M51" i="230"/>
  <c r="L52" i="230"/>
  <c r="P52" i="230"/>
  <c r="BL41" i="230"/>
  <c r="BE41" i="230"/>
  <c r="M45" i="230"/>
  <c r="BL45" i="230"/>
  <c r="BE45" i="230"/>
  <c r="BL49" i="230"/>
  <c r="BE49" i="230"/>
  <c r="BL53" i="230"/>
  <c r="BE53" i="230"/>
  <c r="BL57" i="230"/>
  <c r="BE57" i="230"/>
  <c r="M57" i="230"/>
  <c r="I57" i="230"/>
  <c r="AL57" i="230"/>
  <c r="K57" i="230"/>
  <c r="P57" i="230"/>
  <c r="L57" i="230"/>
  <c r="H57" i="230"/>
  <c r="O57" i="230"/>
  <c r="N57" i="230"/>
  <c r="J57" i="230"/>
  <c r="BL61" i="230"/>
  <c r="BE61" i="230"/>
  <c r="M61" i="230"/>
  <c r="I61" i="230"/>
  <c r="AL61" i="230"/>
  <c r="K61" i="230"/>
  <c r="P61" i="230"/>
  <c r="L61" i="230"/>
  <c r="H61" i="230"/>
  <c r="O61" i="230"/>
  <c r="N61" i="230"/>
  <c r="J61" i="230"/>
  <c r="H52" i="230"/>
  <c r="N43" i="230"/>
  <c r="P45" i="230"/>
  <c r="N47" i="230"/>
  <c r="M48" i="230"/>
  <c r="L49" i="230"/>
  <c r="P49" i="230"/>
  <c r="N51" i="230"/>
  <c r="M52" i="230"/>
  <c r="L53" i="230"/>
  <c r="P53" i="230"/>
  <c r="AL48" i="230"/>
  <c r="AL52" i="230"/>
  <c r="P42" i="230"/>
  <c r="BL42" i="230"/>
  <c r="BE42" i="230"/>
  <c r="BL46" i="230"/>
  <c r="BE46" i="230"/>
  <c r="BL50" i="230"/>
  <c r="BE50" i="230"/>
  <c r="BL54" i="230"/>
  <c r="BE54" i="230"/>
  <c r="BL58" i="230"/>
  <c r="BE58" i="230"/>
  <c r="N58" i="230"/>
  <c r="J58" i="230"/>
  <c r="L58" i="230"/>
  <c r="M58" i="230"/>
  <c r="I58" i="230"/>
  <c r="P58" i="230"/>
  <c r="H58" i="230"/>
  <c r="AL58" i="230"/>
  <c r="O58" i="230"/>
  <c r="K58" i="230"/>
  <c r="BL62" i="230"/>
  <c r="BE62" i="230"/>
  <c r="AL62" i="230"/>
  <c r="N62" i="230"/>
  <c r="J62" i="230"/>
  <c r="L62" i="230"/>
  <c r="M62" i="230"/>
  <c r="I62" i="230"/>
  <c r="P62" i="230"/>
  <c r="H62" i="230"/>
  <c r="O62" i="230"/>
  <c r="K62" i="230"/>
  <c r="H53" i="230"/>
  <c r="P43" i="230"/>
  <c r="L46" i="230"/>
  <c r="P46" i="230"/>
  <c r="O47" i="230"/>
  <c r="N48" i="230"/>
  <c r="M49" i="230"/>
  <c r="L50" i="230"/>
  <c r="P50" i="230"/>
  <c r="O51" i="230"/>
  <c r="N52" i="230"/>
  <c r="M53" i="230"/>
  <c r="L54" i="230"/>
  <c r="P54" i="230"/>
  <c r="AU41" i="235"/>
  <c r="AY41" i="235"/>
  <c r="AZ41" i="235" s="1"/>
  <c r="BA41" i="235" s="1"/>
  <c r="M42" i="230"/>
  <c r="O44" i="230"/>
  <c r="N42" i="230"/>
  <c r="M43" i="230"/>
  <c r="L44" i="230"/>
  <c r="P44" i="230"/>
  <c r="O45" i="230"/>
  <c r="O42" i="230"/>
  <c r="M44" i="230"/>
  <c r="L42" i="230"/>
  <c r="M41" i="230"/>
  <c r="O41" i="230"/>
  <c r="L41" i="230"/>
  <c r="N41" i="230"/>
  <c r="P41" i="230"/>
  <c r="H49" i="230"/>
  <c r="H48" i="230"/>
  <c r="H47" i="230"/>
  <c r="H46" i="230"/>
  <c r="H45" i="230"/>
  <c r="H44" i="230"/>
  <c r="H43" i="230"/>
  <c r="H42" i="230"/>
  <c r="H41" i="230"/>
  <c r="S208" i="242" l="1"/>
  <c r="S207" i="242"/>
  <c r="S241" i="242" s="1"/>
  <c r="S189" i="242"/>
  <c r="S242" i="242" s="1"/>
  <c r="S180" i="242"/>
  <c r="S232" i="242" s="1"/>
  <c r="S173" i="242"/>
  <c r="S233" i="242" s="1"/>
  <c r="S157" i="242"/>
  <c r="S235" i="242" s="1"/>
  <c r="S124" i="242"/>
  <c r="S240" i="242" s="1"/>
  <c r="S98" i="242"/>
  <c r="S236" i="242" s="1"/>
  <c r="S84" i="242"/>
  <c r="S82" i="242"/>
  <c r="S245" i="242" s="1"/>
  <c r="S51" i="242"/>
  <c r="S249" i="242" s="1"/>
  <c r="S38" i="242"/>
  <c r="S243" i="242" s="1"/>
  <c r="S25" i="242"/>
  <c r="S244" i="242" s="1"/>
  <c r="S18" i="242"/>
  <c r="S248" i="242" s="1"/>
  <c r="R84" i="242"/>
  <c r="R208" i="242"/>
  <c r="AY123" i="230" l="1"/>
  <c r="AY122" i="230"/>
  <c r="AY121" i="230"/>
  <c r="AY120" i="230"/>
  <c r="AY119" i="230"/>
  <c r="AY118" i="230"/>
  <c r="AY117" i="230"/>
  <c r="AY116" i="230"/>
  <c r="AY115" i="230"/>
  <c r="AY114" i="230"/>
  <c r="AY113" i="230"/>
  <c r="AY112" i="230"/>
  <c r="AY111" i="230"/>
  <c r="AY110" i="230"/>
  <c r="AY109" i="230"/>
  <c r="AY108" i="230"/>
  <c r="AY107" i="230"/>
  <c r="AY106" i="230"/>
  <c r="AY105" i="230"/>
  <c r="AY104" i="230"/>
  <c r="AY103" i="230"/>
  <c r="AY102" i="230"/>
  <c r="AY101" i="230"/>
  <c r="AY100" i="230"/>
  <c r="AY99" i="230"/>
  <c r="AY98" i="230"/>
  <c r="AY97" i="230"/>
  <c r="AY96" i="230"/>
  <c r="AY95" i="230"/>
  <c r="AY94" i="230"/>
  <c r="AY93" i="230"/>
  <c r="AY92" i="230"/>
  <c r="AY91" i="230"/>
  <c r="AY90" i="230"/>
  <c r="AY89" i="230"/>
  <c r="AY88" i="230"/>
  <c r="AY87" i="230"/>
  <c r="AY86" i="230"/>
  <c r="AY85" i="230"/>
  <c r="AY84" i="230"/>
  <c r="AY83" i="230"/>
  <c r="AY82" i="230"/>
  <c r="AY81" i="230"/>
  <c r="AY80" i="230"/>
  <c r="AY79" i="230"/>
  <c r="AY78" i="230"/>
  <c r="AY77" i="230"/>
  <c r="AY76" i="230"/>
  <c r="AY75" i="230"/>
  <c r="AY74" i="230"/>
  <c r="AY73" i="230"/>
  <c r="AY72" i="230"/>
  <c r="AY71" i="230"/>
  <c r="AY70" i="230"/>
  <c r="AY69" i="230"/>
  <c r="AY68" i="230"/>
  <c r="AY67" i="230"/>
  <c r="AY66" i="230"/>
  <c r="AY65" i="230"/>
  <c r="BL11" i="243" l="1"/>
  <c r="BS29" i="243" l="1"/>
  <c r="BQ29" i="243"/>
  <c r="BP29" i="243"/>
  <c r="BO29" i="243"/>
  <c r="BM29" i="243"/>
  <c r="BS28" i="243"/>
  <c r="BQ28" i="243"/>
  <c r="BP28" i="243"/>
  <c r="BO28" i="243"/>
  <c r="BM28" i="243"/>
  <c r="BS27" i="243"/>
  <c r="BQ27" i="243"/>
  <c r="BP27" i="243"/>
  <c r="BO27" i="243"/>
  <c r="BM27" i="243"/>
  <c r="BS26" i="243"/>
  <c r="BQ26" i="243"/>
  <c r="BP26" i="243"/>
  <c r="BO26" i="243"/>
  <c r="BM26" i="243"/>
  <c r="BS25" i="243"/>
  <c r="BQ25" i="243"/>
  <c r="BP25" i="243"/>
  <c r="BO25" i="243"/>
  <c r="BM25" i="243"/>
  <c r="BS24" i="243"/>
  <c r="BQ24" i="243"/>
  <c r="BP24" i="243"/>
  <c r="BO24" i="243"/>
  <c r="BM24" i="243"/>
  <c r="BS23" i="243"/>
  <c r="BQ23" i="243"/>
  <c r="BP23" i="243"/>
  <c r="BO23" i="243"/>
  <c r="BM23" i="243"/>
  <c r="BS22" i="243"/>
  <c r="BQ22" i="243"/>
  <c r="BP22" i="243"/>
  <c r="BO22" i="243"/>
  <c r="BM22" i="243"/>
  <c r="BS21" i="243"/>
  <c r="BQ21" i="243"/>
  <c r="BP21" i="243"/>
  <c r="BO21" i="243"/>
  <c r="BM21" i="243"/>
  <c r="BS20" i="243"/>
  <c r="BQ20" i="243"/>
  <c r="BP20" i="243"/>
  <c r="BO20" i="243"/>
  <c r="BM20" i="243"/>
  <c r="BS19" i="243"/>
  <c r="BQ19" i="243"/>
  <c r="BP19" i="243"/>
  <c r="BO19" i="243"/>
  <c r="BM19" i="243"/>
  <c r="BS18" i="243"/>
  <c r="BQ18" i="243"/>
  <c r="BP18" i="243"/>
  <c r="BO18" i="243"/>
  <c r="BM18" i="243"/>
  <c r="BS17" i="243"/>
  <c r="BQ17" i="243"/>
  <c r="BP17" i="243"/>
  <c r="BO17" i="243"/>
  <c r="BM17" i="243"/>
  <c r="BS16" i="243"/>
  <c r="BQ16" i="243"/>
  <c r="BP16" i="243"/>
  <c r="BO16" i="243"/>
  <c r="BM16" i="243"/>
  <c r="BS15" i="243"/>
  <c r="BQ15" i="243"/>
  <c r="BP15" i="243"/>
  <c r="BO15" i="243"/>
  <c r="BM15" i="243"/>
  <c r="BS14" i="243"/>
  <c r="BQ14" i="243"/>
  <c r="BP14" i="243"/>
  <c r="BO14" i="243"/>
  <c r="BM14" i="243"/>
  <c r="BS13" i="243"/>
  <c r="BQ13" i="243"/>
  <c r="BP13" i="243"/>
  <c r="BO13" i="243"/>
  <c r="BM13" i="243"/>
  <c r="BS11" i="243"/>
  <c r="BQ11" i="243"/>
  <c r="BP11" i="243"/>
  <c r="BO11" i="243"/>
  <c r="BM11" i="243"/>
  <c r="BS12" i="243"/>
  <c r="BQ12" i="243"/>
  <c r="BP12" i="243"/>
  <c r="BO12" i="243"/>
  <c r="BM12" i="243"/>
  <c r="BU29" i="243" l="1"/>
  <c r="BT29" i="243"/>
  <c r="BV29" i="243" s="1"/>
  <c r="BU19" i="243"/>
  <c r="BT19" i="243"/>
  <c r="BV19" i="243" s="1"/>
  <c r="BT22" i="243"/>
  <c r="BV22" i="243" s="1"/>
  <c r="BU22" i="243"/>
  <c r="BT27" i="243"/>
  <c r="BV27" i="243" s="1"/>
  <c r="BU27" i="243"/>
  <c r="BT15" i="243"/>
  <c r="BU15" i="243"/>
  <c r="BT20" i="243"/>
  <c r="BV20" i="243" s="1"/>
  <c r="BU20" i="243"/>
  <c r="BU18" i="243"/>
  <c r="BT18" i="243"/>
  <c r="BV18" i="243" s="1"/>
  <c r="BT24" i="243"/>
  <c r="BV24" i="243" s="1"/>
  <c r="BU24" i="243"/>
  <c r="BT12" i="243"/>
  <c r="BU12" i="243"/>
  <c r="BT23" i="243"/>
  <c r="BV23" i="243" s="1"/>
  <c r="BU23" i="243"/>
  <c r="BT11" i="243"/>
  <c r="BV11" i="243" s="1"/>
  <c r="BU11" i="243"/>
  <c r="BU16" i="243"/>
  <c r="BT16" i="243"/>
  <c r="BV16" i="243" s="1"/>
  <c r="BU28" i="243"/>
  <c r="BT28" i="243"/>
  <c r="BV28" i="243" s="1"/>
  <c r="BU17" i="243"/>
  <c r="BT17" i="243"/>
  <c r="BV17" i="243" s="1"/>
  <c r="BT21" i="243"/>
  <c r="BV21" i="243" s="1"/>
  <c r="BU21" i="243"/>
  <c r="BT13" i="243"/>
  <c r="BV13" i="243" s="1"/>
  <c r="BU13" i="243"/>
  <c r="BT25" i="243"/>
  <c r="BV25" i="243" s="1"/>
  <c r="BU25" i="243"/>
  <c r="BT14" i="243"/>
  <c r="BV14" i="243" s="1"/>
  <c r="BU14" i="243"/>
  <c r="BT26" i="243"/>
  <c r="BV26" i="243" s="1"/>
  <c r="BU26" i="243"/>
  <c r="BV15" i="243"/>
  <c r="BV12" i="243"/>
  <c r="Q56" i="220"/>
  <c r="R56" i="220" s="1"/>
  <c r="Q55" i="220"/>
  <c r="R55" i="220" s="1"/>
  <c r="Q54" i="220"/>
  <c r="R54" i="220" s="1"/>
  <c r="Q53" i="220"/>
  <c r="R53" i="220" s="1"/>
  <c r="Q52" i="220"/>
  <c r="R52" i="220" s="1"/>
  <c r="Q51" i="220"/>
  <c r="R51" i="220" s="1"/>
  <c r="Q50" i="220"/>
  <c r="R50" i="220" s="1"/>
  <c r="Q49" i="220"/>
  <c r="R49" i="220" s="1"/>
  <c r="Q48" i="220"/>
  <c r="R48" i="220" s="1"/>
  <c r="Q47" i="220"/>
  <c r="R47" i="220" s="1"/>
  <c r="Q46" i="220"/>
  <c r="R46" i="220" s="1"/>
  <c r="Q45" i="220"/>
  <c r="R45" i="220" s="1"/>
  <c r="Q44" i="220"/>
  <c r="R44" i="220" s="1"/>
  <c r="Q43" i="220"/>
  <c r="R43" i="220" s="1"/>
  <c r="Q42" i="220"/>
  <c r="R42" i="220" s="1"/>
  <c r="Q41" i="220"/>
  <c r="R41" i="220" s="1"/>
  <c r="Q40" i="220"/>
  <c r="R40" i="220" s="1"/>
  <c r="Q39" i="220"/>
  <c r="R39" i="220" s="1"/>
  <c r="Q38" i="220"/>
  <c r="R38" i="220" s="1"/>
  <c r="Q37" i="220"/>
  <c r="R37" i="220" s="1"/>
  <c r="Q36" i="220"/>
  <c r="R36" i="220" s="1"/>
  <c r="Q35" i="220"/>
  <c r="R35" i="220" s="1"/>
  <c r="Q34" i="220"/>
  <c r="R34" i="220" s="1"/>
  <c r="Q33" i="220"/>
  <c r="R33" i="220" s="1"/>
  <c r="Q32" i="220"/>
  <c r="R32" i="220" s="1"/>
  <c r="Q31" i="220"/>
  <c r="R31" i="220" s="1"/>
  <c r="Q30" i="220"/>
  <c r="R30" i="220" s="1"/>
  <c r="Q29" i="220"/>
  <c r="R29" i="220" s="1"/>
  <c r="Q28" i="220"/>
  <c r="R28" i="220" s="1"/>
  <c r="Q27" i="220"/>
  <c r="R27" i="220" s="1"/>
  <c r="Q26" i="220"/>
  <c r="R26" i="220" s="1"/>
  <c r="Q25" i="220"/>
  <c r="R25" i="220" s="1"/>
  <c r="Q24" i="220"/>
  <c r="R24" i="220" s="1"/>
  <c r="Q23" i="220"/>
  <c r="R23" i="220" s="1"/>
  <c r="Q22" i="220"/>
  <c r="R22" i="220" s="1"/>
  <c r="Q21" i="220"/>
  <c r="R21" i="220" s="1"/>
  <c r="Q20" i="220"/>
  <c r="R20" i="220" s="1"/>
  <c r="Q19" i="220"/>
  <c r="R19" i="220" s="1"/>
  <c r="Q18" i="220"/>
  <c r="R18" i="220" s="1"/>
  <c r="Q17" i="220"/>
  <c r="R17" i="220" s="1"/>
  <c r="Q16" i="220"/>
  <c r="R16" i="220" s="1"/>
  <c r="Q15" i="220"/>
  <c r="R15" i="220" s="1"/>
  <c r="Q14" i="220"/>
  <c r="R14" i="220" s="1"/>
  <c r="Q13" i="220"/>
  <c r="R13" i="220" s="1"/>
  <c r="Q12" i="220"/>
  <c r="R12" i="220" s="1"/>
  <c r="Q11" i="220"/>
  <c r="R11" i="220" s="1"/>
  <c r="Q10" i="220"/>
  <c r="R10" i="220" s="1"/>
  <c r="Q9" i="220"/>
  <c r="R9" i="220" s="1"/>
  <c r="Q8" i="220"/>
  <c r="R8" i="220" s="1"/>
  <c r="Q7" i="220"/>
  <c r="R7" i="220" s="1"/>
  <c r="Q6" i="220"/>
  <c r="R6" i="220" s="1"/>
  <c r="Q5" i="220"/>
  <c r="R5" i="220" s="1"/>
  <c r="BJ11" i="243"/>
  <c r="BE11" i="243"/>
  <c r="AV11" i="243"/>
  <c r="AM11" i="243"/>
  <c r="AN11" i="243" s="1"/>
  <c r="AJ11" i="243"/>
  <c r="AI11" i="243"/>
  <c r="AQ11" i="243" s="1"/>
  <c r="AH11" i="243"/>
  <c r="BG11" i="243"/>
  <c r="AF11" i="243"/>
  <c r="AE11" i="243"/>
  <c r="AA11" i="243"/>
  <c r="Z11" i="243"/>
  <c r="X11" i="243"/>
  <c r="AK11" i="243" s="1"/>
  <c r="P11" i="243"/>
  <c r="Q11" i="243" s="1"/>
  <c r="Q4" i="220" s="1"/>
  <c r="R4" i="220" s="1"/>
  <c r="AB9" i="243"/>
  <c r="V9" i="243"/>
  <c r="U9" i="243"/>
  <c r="AI4" i="243"/>
  <c r="AL11" i="243" l="1"/>
  <c r="AS11" i="243"/>
  <c r="AM9" i="243"/>
  <c r="AW11" i="243"/>
  <c r="AO11" i="243"/>
  <c r="BB11" i="243"/>
  <c r="BF11" i="243"/>
  <c r="BK11" i="243"/>
  <c r="BD11" i="243"/>
  <c r="BH11" i="243"/>
  <c r="AI9" i="243"/>
  <c r="X9" i="243"/>
  <c r="BC11" i="243"/>
  <c r="AQ9" i="243"/>
  <c r="AN9" i="243" l="1"/>
  <c r="AO9" i="243"/>
  <c r="AK9" i="243"/>
  <c r="Y38" i="235" l="1"/>
  <c r="X38" i="235"/>
  <c r="V38" i="235"/>
  <c r="N38" i="235"/>
  <c r="O38" i="235" s="1"/>
  <c r="P38" i="235" s="1"/>
  <c r="M38" i="235"/>
  <c r="K38" i="235"/>
  <c r="AT36" i="235" l="1"/>
  <c r="AO36" i="235"/>
  <c r="AK36" i="235"/>
  <c r="AL36" i="235" s="1"/>
  <c r="AM36" i="235" s="1"/>
  <c r="AH36" i="235"/>
  <c r="AG36" i="235"/>
  <c r="AF36" i="235"/>
  <c r="AE36" i="235"/>
  <c r="AD36" i="235"/>
  <c r="AC36" i="235"/>
  <c r="AB36" i="235"/>
  <c r="Y36" i="235"/>
  <c r="AJ36" i="235" s="1"/>
  <c r="X36" i="235"/>
  <c r="V36" i="235"/>
  <c r="AI36" i="235" s="1"/>
  <c r="N36" i="235"/>
  <c r="O36" i="235" s="1"/>
  <c r="P36" i="235" s="1"/>
  <c r="M36" i="235"/>
  <c r="K36" i="235"/>
  <c r="AT35" i="235"/>
  <c r="AO35" i="235"/>
  <c r="AR35" i="235" s="1"/>
  <c r="AK35" i="235"/>
  <c r="AL35" i="235" s="1"/>
  <c r="AM35" i="235" s="1"/>
  <c r="AH35" i="235"/>
  <c r="AG35" i="235"/>
  <c r="AF35" i="235"/>
  <c r="AE35" i="235"/>
  <c r="AD35" i="235"/>
  <c r="AC35" i="235"/>
  <c r="AB35" i="235"/>
  <c r="Y35" i="235"/>
  <c r="AJ35" i="235" s="1"/>
  <c r="X35" i="235"/>
  <c r="V35" i="235"/>
  <c r="AI35" i="235" s="1"/>
  <c r="N35" i="235"/>
  <c r="O35" i="235" s="1"/>
  <c r="P35" i="235" s="1"/>
  <c r="M35" i="235"/>
  <c r="K35" i="235"/>
  <c r="AS35" i="235" l="1"/>
  <c r="AQ36" i="235"/>
  <c r="AR36" i="235" s="1"/>
  <c r="AS36" i="235" s="1"/>
  <c r="R230" i="242" l="1"/>
  <c r="R229" i="242"/>
  <c r="S229" i="242"/>
  <c r="R228" i="242"/>
  <c r="S228" i="242"/>
  <c r="R227" i="242"/>
  <c r="S227" i="242"/>
  <c r="R226" i="242"/>
  <c r="S226" i="242"/>
  <c r="R225" i="242"/>
  <c r="S225" i="242"/>
  <c r="R224" i="242"/>
  <c r="S224" i="242"/>
  <c r="R223" i="242"/>
  <c r="S223" i="242"/>
  <c r="R222" i="242"/>
  <c r="S222" i="242"/>
  <c r="R221" i="242"/>
  <c r="S221" i="242"/>
  <c r="R220" i="242"/>
  <c r="S220" i="242"/>
  <c r="R219" i="242"/>
  <c r="S219" i="242"/>
  <c r="R218" i="242"/>
  <c r="S218" i="242"/>
  <c r="R217" i="242"/>
  <c r="S217" i="242"/>
  <c r="R216" i="242"/>
  <c r="S216" i="242"/>
  <c r="R215" i="242"/>
  <c r="S215" i="242"/>
  <c r="R214" i="242"/>
  <c r="S214" i="242"/>
  <c r="R213" i="242"/>
  <c r="S213" i="242"/>
  <c r="R212" i="242"/>
  <c r="S212" i="242"/>
  <c r="R211" i="242"/>
  <c r="S211" i="242"/>
  <c r="R210" i="242"/>
  <c r="S210" i="242"/>
  <c r="R209" i="242"/>
  <c r="S209" i="242"/>
  <c r="D208" i="242"/>
  <c r="K241" i="242"/>
  <c r="J241" i="242"/>
  <c r="I241" i="242"/>
  <c r="H241" i="242"/>
  <c r="G241" i="242"/>
  <c r="F241" i="242"/>
  <c r="D207" i="242"/>
  <c r="R206" i="242"/>
  <c r="S206" i="242"/>
  <c r="R205" i="242"/>
  <c r="S205" i="242"/>
  <c r="K251" i="242"/>
  <c r="J251" i="242"/>
  <c r="I251" i="242"/>
  <c r="H251" i="242"/>
  <c r="G251" i="242"/>
  <c r="F251" i="242"/>
  <c r="S204" i="242"/>
  <c r="S251" i="242" s="1"/>
  <c r="R203" i="242"/>
  <c r="S203" i="242"/>
  <c r="K250" i="242"/>
  <c r="J250" i="242"/>
  <c r="I250" i="242"/>
  <c r="H250" i="242"/>
  <c r="G250" i="242"/>
  <c r="F250" i="242"/>
  <c r="S202" i="242"/>
  <c r="S250" i="242" s="1"/>
  <c r="R201" i="242"/>
  <c r="S201" i="242"/>
  <c r="R200" i="242"/>
  <c r="S200" i="242"/>
  <c r="R199" i="242"/>
  <c r="S199" i="242"/>
  <c r="R198" i="242"/>
  <c r="S198" i="242"/>
  <c r="R197" i="242"/>
  <c r="S197" i="242"/>
  <c r="R196" i="242"/>
  <c r="S196" i="242"/>
  <c r="R195" i="242"/>
  <c r="S195" i="242"/>
  <c r="R194" i="242"/>
  <c r="S194" i="242"/>
  <c r="R193" i="242"/>
  <c r="S193" i="242"/>
  <c r="R192" i="242"/>
  <c r="S192" i="242"/>
  <c r="R191" i="242"/>
  <c r="S191" i="242"/>
  <c r="R190" i="242"/>
  <c r="S190" i="242"/>
  <c r="K242" i="242"/>
  <c r="J242" i="242"/>
  <c r="I242" i="242"/>
  <c r="H242" i="242"/>
  <c r="G242" i="242"/>
  <c r="F242" i="242"/>
  <c r="D189" i="242"/>
  <c r="R188" i="242"/>
  <c r="S188" i="242"/>
  <c r="R187" i="242"/>
  <c r="S187" i="242"/>
  <c r="R186" i="242"/>
  <c r="S186" i="242"/>
  <c r="R185" i="242"/>
  <c r="S185" i="242"/>
  <c r="R184" i="242"/>
  <c r="S184" i="242"/>
  <c r="R183" i="242"/>
  <c r="S183" i="242"/>
  <c r="R182" i="242"/>
  <c r="S182" i="242"/>
  <c r="R181" i="242"/>
  <c r="S181" i="242"/>
  <c r="K232" i="242"/>
  <c r="J232" i="242"/>
  <c r="I232" i="242"/>
  <c r="H232" i="242"/>
  <c r="G232" i="242"/>
  <c r="F232" i="242"/>
  <c r="D180" i="242"/>
  <c r="R179" i="242"/>
  <c r="S179" i="242"/>
  <c r="R178" i="242"/>
  <c r="S178" i="242"/>
  <c r="R177" i="242"/>
  <c r="S177" i="242"/>
  <c r="R176" i="242"/>
  <c r="S176" i="242"/>
  <c r="R175" i="242"/>
  <c r="S175" i="242"/>
  <c r="R174" i="242"/>
  <c r="S174" i="242"/>
  <c r="K233" i="242"/>
  <c r="J233" i="242"/>
  <c r="I233" i="242"/>
  <c r="H233" i="242"/>
  <c r="G233" i="242"/>
  <c r="F233" i="242"/>
  <c r="D173" i="242"/>
  <c r="R172" i="242"/>
  <c r="S172" i="242"/>
  <c r="R171" i="242"/>
  <c r="S171" i="242"/>
  <c r="R170" i="242"/>
  <c r="S170" i="242"/>
  <c r="R169" i="242"/>
  <c r="S169" i="242"/>
  <c r="R168" i="242"/>
  <c r="S168" i="242"/>
  <c r="R167" i="242"/>
  <c r="S167" i="242"/>
  <c r="R166" i="242"/>
  <c r="S166" i="242"/>
  <c r="R165" i="242"/>
  <c r="S165" i="242"/>
  <c r="R164" i="242"/>
  <c r="S164" i="242"/>
  <c r="R163" i="242"/>
  <c r="S163" i="242"/>
  <c r="R162" i="242"/>
  <c r="S162" i="242"/>
  <c r="R161" i="242"/>
  <c r="S161" i="242"/>
  <c r="R160" i="242"/>
  <c r="S160" i="242"/>
  <c r="R159" i="242"/>
  <c r="S159" i="242"/>
  <c r="R158" i="242"/>
  <c r="S158" i="242"/>
  <c r="K235" i="242"/>
  <c r="J235" i="242"/>
  <c r="I235" i="242"/>
  <c r="H235" i="242"/>
  <c r="G235" i="242"/>
  <c r="F235" i="242"/>
  <c r="D157" i="242"/>
  <c r="R156" i="242"/>
  <c r="S156" i="242"/>
  <c r="R155" i="242"/>
  <c r="S155" i="242"/>
  <c r="R154" i="242"/>
  <c r="S154" i="242"/>
  <c r="R153" i="242"/>
  <c r="S153" i="242"/>
  <c r="R152" i="242"/>
  <c r="S152" i="242"/>
  <c r="R151" i="242"/>
  <c r="S151" i="242"/>
  <c r="R150" i="242"/>
  <c r="S150" i="242"/>
  <c r="R149" i="242"/>
  <c r="S149" i="242"/>
  <c r="R148" i="242"/>
  <c r="S148" i="242"/>
  <c r="R147" i="242"/>
  <c r="S147" i="242"/>
  <c r="R146" i="242"/>
  <c r="S146" i="242"/>
  <c r="R145" i="242"/>
  <c r="S145" i="242"/>
  <c r="R144" i="242"/>
  <c r="S144" i="242"/>
  <c r="R143" i="242"/>
  <c r="S143" i="242"/>
  <c r="R142" i="242"/>
  <c r="S142" i="242"/>
  <c r="R141" i="242"/>
  <c r="S141" i="242"/>
  <c r="R140" i="242"/>
  <c r="S140" i="242"/>
  <c r="R139" i="242"/>
  <c r="S139" i="242"/>
  <c r="R138" i="242"/>
  <c r="S138" i="242"/>
  <c r="R137" i="242"/>
  <c r="S137" i="242"/>
  <c r="R136" i="242"/>
  <c r="S136" i="242"/>
  <c r="R135" i="242"/>
  <c r="S135" i="242"/>
  <c r="R134" i="242"/>
  <c r="S134" i="242"/>
  <c r="R133" i="242"/>
  <c r="S133" i="242"/>
  <c r="R132" i="242"/>
  <c r="S132" i="242"/>
  <c r="R131" i="242"/>
  <c r="S131" i="242"/>
  <c r="R130" i="242"/>
  <c r="S130" i="242"/>
  <c r="R129" i="242"/>
  <c r="S129" i="242"/>
  <c r="R128" i="242"/>
  <c r="S128" i="242"/>
  <c r="R127" i="242"/>
  <c r="S127" i="242"/>
  <c r="R126" i="242"/>
  <c r="S126" i="242"/>
  <c r="R125" i="242"/>
  <c r="S125" i="242"/>
  <c r="K240" i="242"/>
  <c r="J240" i="242"/>
  <c r="I240" i="242"/>
  <c r="H240" i="242"/>
  <c r="G240" i="242"/>
  <c r="F240" i="242"/>
  <c r="D124" i="242"/>
  <c r="R123" i="242"/>
  <c r="S123" i="242"/>
  <c r="R122" i="242"/>
  <c r="S122" i="242"/>
  <c r="R121" i="242"/>
  <c r="S121" i="242"/>
  <c r="R120" i="242"/>
  <c r="S120" i="242"/>
  <c r="R119" i="242"/>
  <c r="S119" i="242"/>
  <c r="R118" i="242"/>
  <c r="S118" i="242"/>
  <c r="R117" i="242"/>
  <c r="S117" i="242"/>
  <c r="R116" i="242"/>
  <c r="S116" i="242"/>
  <c r="R115" i="242"/>
  <c r="S115" i="242"/>
  <c r="R114" i="242"/>
  <c r="S114" i="242"/>
  <c r="R113" i="242"/>
  <c r="S113" i="242"/>
  <c r="R112" i="242"/>
  <c r="S112" i="242"/>
  <c r="R111" i="242"/>
  <c r="S111" i="242"/>
  <c r="R110" i="242"/>
  <c r="S110" i="242"/>
  <c r="R109" i="242"/>
  <c r="S109" i="242"/>
  <c r="R108" i="242"/>
  <c r="S108" i="242"/>
  <c r="R107" i="242"/>
  <c r="S107" i="242"/>
  <c r="R106" i="242"/>
  <c r="S106" i="242"/>
  <c r="R105" i="242"/>
  <c r="S105" i="242"/>
  <c r="R104" i="242"/>
  <c r="S104" i="242"/>
  <c r="R103" i="242"/>
  <c r="S103" i="242"/>
  <c r="R102" i="242"/>
  <c r="S102" i="242"/>
  <c r="R101" i="242"/>
  <c r="S101" i="242"/>
  <c r="R100" i="242"/>
  <c r="S100" i="242"/>
  <c r="R99" i="242"/>
  <c r="S99" i="242"/>
  <c r="K236" i="242"/>
  <c r="J236" i="242"/>
  <c r="I236" i="242"/>
  <c r="H236" i="242"/>
  <c r="G236" i="242"/>
  <c r="F236" i="242"/>
  <c r="D98" i="242"/>
  <c r="R97" i="242"/>
  <c r="S97" i="242"/>
  <c r="R96" i="242"/>
  <c r="S96" i="242"/>
  <c r="R95" i="242"/>
  <c r="S95" i="242"/>
  <c r="R94" i="242"/>
  <c r="S94" i="242"/>
  <c r="R93" i="242"/>
  <c r="S93" i="242"/>
  <c r="R92" i="242"/>
  <c r="S92" i="242"/>
  <c r="R91" i="242"/>
  <c r="S91" i="242"/>
  <c r="R90" i="242"/>
  <c r="S90" i="242"/>
  <c r="R89" i="242"/>
  <c r="S89" i="242"/>
  <c r="R88" i="242"/>
  <c r="S88" i="242"/>
  <c r="R87" i="242"/>
  <c r="S87" i="242"/>
  <c r="R86" i="242"/>
  <c r="S86" i="242"/>
  <c r="R85" i="242"/>
  <c r="S85" i="242"/>
  <c r="D84" i="242"/>
  <c r="R83" i="242"/>
  <c r="S83" i="242"/>
  <c r="K245" i="242"/>
  <c r="J245" i="242"/>
  <c r="I245" i="242"/>
  <c r="H245" i="242"/>
  <c r="G245" i="242"/>
  <c r="F245" i="242"/>
  <c r="D82" i="242"/>
  <c r="R81" i="242"/>
  <c r="S81" i="242"/>
  <c r="R80" i="242"/>
  <c r="S80" i="242"/>
  <c r="R79" i="242"/>
  <c r="S79" i="242"/>
  <c r="R78" i="242"/>
  <c r="S78" i="242"/>
  <c r="R77" i="242"/>
  <c r="S77" i="242"/>
  <c r="R76" i="242"/>
  <c r="S76" i="242"/>
  <c r="R75" i="242"/>
  <c r="S75" i="242"/>
  <c r="R74" i="242"/>
  <c r="S74" i="242"/>
  <c r="R73" i="242"/>
  <c r="S73" i="242"/>
  <c r="R72" i="242"/>
  <c r="S72" i="242"/>
  <c r="R71" i="242"/>
  <c r="S71" i="242"/>
  <c r="R70" i="242"/>
  <c r="S70" i="242"/>
  <c r="R69" i="242"/>
  <c r="S69" i="242"/>
  <c r="R68" i="242"/>
  <c r="S68" i="242"/>
  <c r="R67" i="242"/>
  <c r="S67" i="242"/>
  <c r="K254" i="242"/>
  <c r="J254" i="242"/>
  <c r="I254" i="242"/>
  <c r="H254" i="242"/>
  <c r="G254" i="242"/>
  <c r="F254" i="242"/>
  <c r="S66" i="242"/>
  <c r="S254" i="242" s="1"/>
  <c r="R65" i="242"/>
  <c r="S65" i="242"/>
  <c r="R64" i="242"/>
  <c r="S64" i="242"/>
  <c r="R63" i="242"/>
  <c r="S63" i="242"/>
  <c r="R62" i="242"/>
  <c r="S62" i="242"/>
  <c r="R61" i="242"/>
  <c r="S61" i="242"/>
  <c r="R60" i="242"/>
  <c r="S60" i="242"/>
  <c r="R59" i="242"/>
  <c r="S59" i="242"/>
  <c r="R58" i="242"/>
  <c r="S58" i="242"/>
  <c r="R57" i="242"/>
  <c r="S57" i="242"/>
  <c r="R56" i="242"/>
  <c r="S56" i="242"/>
  <c r="R55" i="242"/>
  <c r="S55" i="242"/>
  <c r="R54" i="242"/>
  <c r="S54" i="242"/>
  <c r="R53" i="242"/>
  <c r="S53" i="242"/>
  <c r="R52" i="242"/>
  <c r="S52" i="242"/>
  <c r="K249" i="242"/>
  <c r="J249" i="242"/>
  <c r="I249" i="242"/>
  <c r="H249" i="242"/>
  <c r="G249" i="242"/>
  <c r="F249" i="242"/>
  <c r="D51" i="242"/>
  <c r="R50" i="242"/>
  <c r="S50" i="242"/>
  <c r="R49" i="242"/>
  <c r="S49" i="242"/>
  <c r="R48" i="242"/>
  <c r="S48" i="242"/>
  <c r="R47" i="242"/>
  <c r="S47" i="242"/>
  <c r="R46" i="242"/>
  <c r="S46" i="242"/>
  <c r="R45" i="242"/>
  <c r="S45" i="242"/>
  <c r="R44" i="242"/>
  <c r="S44" i="242"/>
  <c r="R43" i="242"/>
  <c r="S43" i="242"/>
  <c r="R42" i="242"/>
  <c r="S42" i="242"/>
  <c r="R41" i="242"/>
  <c r="S41" i="242"/>
  <c r="R40" i="242"/>
  <c r="S40" i="242"/>
  <c r="R39" i="242"/>
  <c r="S39" i="242"/>
  <c r="K243" i="242"/>
  <c r="J243" i="242"/>
  <c r="I243" i="242"/>
  <c r="H243" i="242"/>
  <c r="G243" i="242"/>
  <c r="F243" i="242"/>
  <c r="D38" i="242"/>
  <c r="R37" i="242"/>
  <c r="S37" i="242"/>
  <c r="R36" i="242"/>
  <c r="S36" i="242"/>
  <c r="R35" i="242"/>
  <c r="S35" i="242"/>
  <c r="R34" i="242"/>
  <c r="S34" i="242"/>
  <c r="R33" i="242"/>
  <c r="S33" i="242"/>
  <c r="R32" i="242"/>
  <c r="S32" i="242"/>
  <c r="R31" i="242"/>
  <c r="S31" i="242"/>
  <c r="R30" i="242"/>
  <c r="S30" i="242"/>
  <c r="R29" i="242"/>
  <c r="S29" i="242"/>
  <c r="R28" i="242"/>
  <c r="S28" i="242"/>
  <c r="R27" i="242"/>
  <c r="S27" i="242"/>
  <c r="R26" i="242"/>
  <c r="S26" i="242"/>
  <c r="K244" i="242"/>
  <c r="J244" i="242"/>
  <c r="I244" i="242"/>
  <c r="H244" i="242"/>
  <c r="G244" i="242"/>
  <c r="F244" i="242"/>
  <c r="D25" i="242"/>
  <c r="R24" i="242"/>
  <c r="S24" i="242"/>
  <c r="R23" i="242"/>
  <c r="S23" i="242"/>
  <c r="R22" i="242"/>
  <c r="S22" i="242"/>
  <c r="R21" i="242"/>
  <c r="S21" i="242"/>
  <c r="R20" i="242"/>
  <c r="S20" i="242"/>
  <c r="R19" i="242"/>
  <c r="S19" i="242"/>
  <c r="K248" i="242"/>
  <c r="J248" i="242"/>
  <c r="I248" i="242"/>
  <c r="H248" i="242"/>
  <c r="G248" i="242"/>
  <c r="F248" i="242"/>
  <c r="D18" i="242"/>
  <c r="R17" i="242"/>
  <c r="S17" i="242"/>
  <c r="R16" i="242"/>
  <c r="S16" i="242"/>
  <c r="R15" i="242"/>
  <c r="S15" i="242"/>
  <c r="R14" i="242"/>
  <c r="S14" i="242"/>
  <c r="R13" i="242"/>
  <c r="S13" i="242"/>
  <c r="R12" i="242"/>
  <c r="S12" i="242"/>
  <c r="R11" i="242"/>
  <c r="S11" i="242"/>
  <c r="R10" i="242"/>
  <c r="S10" i="242"/>
  <c r="R9" i="242"/>
  <c r="S9" i="242"/>
  <c r="R8" i="242"/>
  <c r="S8" i="242"/>
  <c r="R7" i="242"/>
  <c r="S7" i="242"/>
  <c r="R6" i="242"/>
  <c r="S6" i="242"/>
  <c r="R180" i="242" l="1"/>
  <c r="R232" i="242" s="1"/>
  <c r="E232" i="242"/>
  <c r="R207" i="242"/>
  <c r="R241" i="242" s="1"/>
  <c r="E241" i="242"/>
  <c r="R189" i="242"/>
  <c r="R242" i="242" s="1"/>
  <c r="E242" i="242"/>
  <c r="R25" i="242"/>
  <c r="R244" i="242" s="1"/>
  <c r="E244" i="242"/>
  <c r="R38" i="242"/>
  <c r="R243" i="242" s="1"/>
  <c r="E243" i="242"/>
  <c r="R82" i="242"/>
  <c r="R245" i="242" s="1"/>
  <c r="E245" i="242"/>
  <c r="R98" i="242"/>
  <c r="E236" i="242"/>
  <c r="R157" i="242"/>
  <c r="R235" i="242" s="1"/>
  <c r="E235" i="242"/>
  <c r="R18" i="242"/>
  <c r="R248" i="242" s="1"/>
  <c r="E248" i="242"/>
  <c r="R51" i="242"/>
  <c r="R249" i="242" s="1"/>
  <c r="E249" i="242"/>
  <c r="R66" i="242"/>
  <c r="R254" i="242" s="1"/>
  <c r="E254" i="242"/>
  <c r="R124" i="242"/>
  <c r="R240" i="242" s="1"/>
  <c r="E240" i="242"/>
  <c r="R173" i="242"/>
  <c r="R233" i="242" s="1"/>
  <c r="E233" i="242"/>
  <c r="R202" i="242"/>
  <c r="R250" i="242" s="1"/>
  <c r="E250" i="242"/>
  <c r="R204" i="242"/>
  <c r="R251" i="242" s="1"/>
  <c r="E251" i="242"/>
  <c r="D230" i="242"/>
  <c r="D120" i="242"/>
  <c r="D168" i="242"/>
  <c r="D204" i="242"/>
  <c r="D214" i="242"/>
  <c r="D140" i="242"/>
  <c r="D156" i="242"/>
  <c r="D192" i="242"/>
  <c r="D58" i="242"/>
  <c r="D62" i="242"/>
  <c r="D76" i="242"/>
  <c r="D109" i="242"/>
  <c r="D115" i="242"/>
  <c r="D131" i="242"/>
  <c r="D6" i="242"/>
  <c r="D10" i="242"/>
  <c r="D30" i="242"/>
  <c r="D40" i="242"/>
  <c r="D42" i="242"/>
  <c r="D46" i="242"/>
  <c r="D145" i="242"/>
  <c r="D151" i="242"/>
  <c r="D174" i="242"/>
  <c r="D176" i="242"/>
  <c r="D197" i="242"/>
  <c r="D203" i="242"/>
  <c r="D55" i="242"/>
  <c r="D57" i="242"/>
  <c r="D88" i="242"/>
  <c r="D104" i="242"/>
  <c r="D108" i="242"/>
  <c r="D112" i="242"/>
  <c r="D116" i="242"/>
  <c r="D126" i="242"/>
  <c r="D128" i="242"/>
  <c r="D132" i="242"/>
  <c r="D136" i="242"/>
  <c r="D172" i="242"/>
  <c r="D210" i="242"/>
  <c r="D56" i="242"/>
  <c r="D78" i="242"/>
  <c r="D105" i="242"/>
  <c r="D111" i="242"/>
  <c r="D113" i="242"/>
  <c r="D129" i="242"/>
  <c r="D133" i="242"/>
  <c r="D135" i="242"/>
  <c r="D206" i="242"/>
  <c r="D209" i="242"/>
  <c r="D22" i="242"/>
  <c r="D26" i="242"/>
  <c r="D28" i="242"/>
  <c r="D100" i="242"/>
  <c r="D147" i="242"/>
  <c r="D149" i="242"/>
  <c r="D199" i="242"/>
  <c r="D201" i="242"/>
  <c r="D15" i="242"/>
  <c r="D17" i="242"/>
  <c r="D19" i="242"/>
  <c r="D21" i="242"/>
  <c r="D27" i="242"/>
  <c r="D29" i="242"/>
  <c r="D35" i="242"/>
  <c r="D37" i="242"/>
  <c r="D39" i="242"/>
  <c r="D41" i="242"/>
  <c r="D70" i="242"/>
  <c r="D74" i="242"/>
  <c r="D99" i="242"/>
  <c r="D142" i="242"/>
  <c r="D144" i="242"/>
  <c r="D148" i="242"/>
  <c r="D152" i="242"/>
  <c r="D177" i="242"/>
  <c r="D179" i="242"/>
  <c r="D188" i="242"/>
  <c r="D194" i="242"/>
  <c r="D196" i="242"/>
  <c r="D200" i="242"/>
  <c r="D216" i="242"/>
  <c r="D218" i="242"/>
  <c r="D222" i="242"/>
  <c r="D226" i="242"/>
  <c r="D9" i="242"/>
  <c r="D50" i="242"/>
  <c r="D66" i="242"/>
  <c r="D72" i="242"/>
  <c r="D81" i="242"/>
  <c r="D89" i="242"/>
  <c r="D91" i="242"/>
  <c r="D93" i="242"/>
  <c r="D95" i="242"/>
  <c r="D97" i="242"/>
  <c r="D158" i="242"/>
  <c r="D160" i="242"/>
  <c r="D164" i="242"/>
  <c r="D184" i="242"/>
  <c r="D190" i="242"/>
  <c r="D215" i="242"/>
  <c r="D219" i="242"/>
  <c r="D221" i="242"/>
  <c r="D223" i="242"/>
  <c r="D225" i="242"/>
  <c r="D212" i="242"/>
  <c r="D14" i="242"/>
  <c r="D34" i="242"/>
  <c r="D47" i="242"/>
  <c r="D49" i="242"/>
  <c r="D54" i="242"/>
  <c r="D63" i="242"/>
  <c r="D65" i="242"/>
  <c r="D69" i="242"/>
  <c r="D73" i="242"/>
  <c r="D75" i="242"/>
  <c r="D92" i="242"/>
  <c r="D96" i="242"/>
  <c r="D161" i="242"/>
  <c r="D163" i="242"/>
  <c r="D165" i="242"/>
  <c r="D167" i="242"/>
  <c r="D181" i="242"/>
  <c r="D183" i="242"/>
  <c r="D185" i="242"/>
  <c r="D187" i="242"/>
  <c r="D7" i="242"/>
  <c r="D12" i="242"/>
  <c r="D23" i="242"/>
  <c r="D43" i="242"/>
  <c r="D45" i="242"/>
  <c r="D59" i="242"/>
  <c r="D61" i="242"/>
  <c r="D77" i="242"/>
  <c r="D79" i="242"/>
  <c r="D83" i="242"/>
  <c r="D85" i="242"/>
  <c r="D87" i="242"/>
  <c r="D94" i="242"/>
  <c r="D101" i="242"/>
  <c r="D103" i="242"/>
  <c r="D110" i="242"/>
  <c r="D117" i="242"/>
  <c r="D119" i="242"/>
  <c r="D130" i="242"/>
  <c r="D137" i="242"/>
  <c r="D139" i="242"/>
  <c r="D146" i="242"/>
  <c r="D153" i="242"/>
  <c r="D155" i="242"/>
  <c r="D162" i="242"/>
  <c r="D169" i="242"/>
  <c r="D171" i="242"/>
  <c r="D178" i="242"/>
  <c r="D191" i="242"/>
  <c r="D205" i="242"/>
  <c r="D211" i="242"/>
  <c r="D213" i="242"/>
  <c r="D227" i="242"/>
  <c r="D229" i="242"/>
  <c r="D67" i="242"/>
  <c r="D107" i="242"/>
  <c r="D114" i="242"/>
  <c r="D121" i="242"/>
  <c r="D123" i="242"/>
  <c r="D125" i="242"/>
  <c r="D127" i="242"/>
  <c r="D141" i="242"/>
  <c r="D143" i="242"/>
  <c r="D159" i="242"/>
  <c r="D175" i="242"/>
  <c r="D193" i="242"/>
  <c r="D195" i="242"/>
  <c r="D217" i="242"/>
  <c r="D13" i="242"/>
  <c r="D24" i="242"/>
  <c r="D31" i="242"/>
  <c r="D33" i="242"/>
  <c r="D44" i="242"/>
  <c r="D53" i="242"/>
  <c r="D60" i="242"/>
  <c r="D71" i="242"/>
  <c r="D8" i="242"/>
  <c r="D11" i="242"/>
  <c r="D32" i="242"/>
  <c r="D48" i="242"/>
  <c r="D64" i="242"/>
  <c r="D80" i="242"/>
  <c r="D102" i="242"/>
  <c r="D118" i="242"/>
  <c r="D134" i="242"/>
  <c r="D150" i="242"/>
  <c r="D182" i="242"/>
  <c r="D198" i="242"/>
  <c r="D220" i="242"/>
  <c r="D20" i="242"/>
  <c r="D36" i="242"/>
  <c r="D52" i="242"/>
  <c r="D68" i="242"/>
  <c r="D90" i="242"/>
  <c r="D106" i="242"/>
  <c r="D122" i="242"/>
  <c r="D138" i="242"/>
  <c r="D154" i="242"/>
  <c r="D170" i="242"/>
  <c r="D186" i="242"/>
  <c r="D202" i="242"/>
  <c r="D224" i="242"/>
  <c r="D16" i="242"/>
  <c r="D86" i="242"/>
  <c r="D166" i="242"/>
  <c r="D228" i="242"/>
  <c r="AV176" i="230" l="1"/>
  <c r="AV172" i="230"/>
  <c r="AV168" i="230"/>
  <c r="AV164" i="230"/>
  <c r="AV160" i="230"/>
  <c r="AV156" i="230"/>
  <c r="AV152" i="230"/>
  <c r="AV148" i="230"/>
  <c r="AV144" i="230"/>
  <c r="AV140" i="230"/>
  <c r="AV136" i="230"/>
  <c r="AV132" i="230"/>
  <c r="AV128" i="230"/>
  <c r="AV124" i="230"/>
  <c r="AV120" i="230"/>
  <c r="AV116" i="230"/>
  <c r="AV112" i="230"/>
  <c r="AV108" i="230"/>
  <c r="AV104" i="230"/>
  <c r="AV100" i="230"/>
  <c r="AV96" i="230"/>
  <c r="AV92" i="230"/>
  <c r="AV88" i="230"/>
  <c r="AV84" i="230"/>
  <c r="AV80" i="230"/>
  <c r="AV76" i="230"/>
  <c r="AV72" i="230"/>
  <c r="AV68" i="230"/>
  <c r="AV75" i="230"/>
  <c r="AV67" i="230"/>
  <c r="AV174" i="230"/>
  <c r="AV166" i="230"/>
  <c r="AV158" i="230"/>
  <c r="AV154" i="230"/>
  <c r="AV146" i="230"/>
  <c r="AV142" i="230"/>
  <c r="AV134" i="230"/>
  <c r="AV122" i="230"/>
  <c r="AV118" i="230"/>
  <c r="AV106" i="230"/>
  <c r="AV102" i="230"/>
  <c r="AV90" i="230"/>
  <c r="AV86" i="230"/>
  <c r="AV74" i="230"/>
  <c r="AV175" i="230"/>
  <c r="AV171" i="230"/>
  <c r="AV167" i="230"/>
  <c r="AV163" i="230"/>
  <c r="AV159" i="230"/>
  <c r="AV155" i="230"/>
  <c r="AV151" i="230"/>
  <c r="AV147" i="230"/>
  <c r="AV143" i="230"/>
  <c r="AV139" i="230"/>
  <c r="AV135" i="230"/>
  <c r="AV131" i="230"/>
  <c r="AV127" i="230"/>
  <c r="AV123" i="230"/>
  <c r="AV119" i="230"/>
  <c r="AV115" i="230"/>
  <c r="AV111" i="230"/>
  <c r="AV107" i="230"/>
  <c r="AV103" i="230"/>
  <c r="AV99" i="230"/>
  <c r="AV95" i="230"/>
  <c r="AV91" i="230"/>
  <c r="AV87" i="230"/>
  <c r="AV83" i="230"/>
  <c r="AV79" i="230"/>
  <c r="AV71" i="230"/>
  <c r="AV170" i="230"/>
  <c r="AV162" i="230"/>
  <c r="AV150" i="230"/>
  <c r="AV138" i="230"/>
  <c r="AV126" i="230"/>
  <c r="AV114" i="230"/>
  <c r="AV98" i="230"/>
  <c r="AV82" i="230"/>
  <c r="AV66" i="230"/>
  <c r="AV173" i="230"/>
  <c r="AV169" i="230"/>
  <c r="AV165" i="230"/>
  <c r="AV161" i="230"/>
  <c r="AV157" i="230"/>
  <c r="AV153" i="230"/>
  <c r="AV149" i="230"/>
  <c r="AV145" i="230"/>
  <c r="AV141" i="230"/>
  <c r="AV137" i="230"/>
  <c r="AV133" i="230"/>
  <c r="AV129" i="230"/>
  <c r="AV125" i="230"/>
  <c r="AV121" i="230"/>
  <c r="AV117" i="230"/>
  <c r="AV113" i="230"/>
  <c r="AV109" i="230"/>
  <c r="AV105" i="230"/>
  <c r="AV101" i="230"/>
  <c r="AV97" i="230"/>
  <c r="AV93" i="230"/>
  <c r="AV89" i="230"/>
  <c r="AV85" i="230"/>
  <c r="AV81" i="230"/>
  <c r="AV77" i="230"/>
  <c r="AV73" i="230"/>
  <c r="AV69" i="230"/>
  <c r="AV65" i="230"/>
  <c r="AV130" i="230"/>
  <c r="AV110" i="230"/>
  <c r="AV94" i="230"/>
  <c r="AV78" i="230"/>
  <c r="AV70" i="230"/>
  <c r="BH17" i="235"/>
  <c r="BC17" i="235"/>
  <c r="AT17" i="235"/>
  <c r="AO17" i="235"/>
  <c r="AK17" i="235"/>
  <c r="AL17" i="235" s="1"/>
  <c r="AM17" i="235" s="1"/>
  <c r="AH17" i="235"/>
  <c r="AG17" i="235"/>
  <c r="AF17" i="235"/>
  <c r="AE17" i="235"/>
  <c r="BD17" i="235" s="1"/>
  <c r="AD17" i="235"/>
  <c r="AC17" i="235"/>
  <c r="AB17" i="235"/>
  <c r="Y17" i="235"/>
  <c r="BI17" i="235" s="1"/>
  <c r="X17" i="235"/>
  <c r="V17" i="235"/>
  <c r="AI17" i="235" s="1"/>
  <c r="N17" i="235"/>
  <c r="O17" i="235" s="1"/>
  <c r="P17" i="235" s="1"/>
  <c r="M17" i="235"/>
  <c r="K17" i="235"/>
  <c r="BJ17" i="235"/>
  <c r="BE17" i="235" l="1"/>
  <c r="BA17" i="235"/>
  <c r="AU17" i="235"/>
  <c r="BB17" i="235"/>
  <c r="BF17" i="235"/>
  <c r="AJ17" i="235"/>
  <c r="AQ17" i="235"/>
  <c r="AR17" i="235" s="1"/>
  <c r="AZ17" i="235"/>
  <c r="AW17" i="235" l="1"/>
  <c r="AX17" i="235" s="1"/>
  <c r="AY17" i="235" s="1"/>
  <c r="AS17" i="235"/>
  <c r="AM46" i="230" l="1"/>
  <c r="AM45" i="230"/>
  <c r="AM44" i="230"/>
  <c r="AM43" i="230"/>
  <c r="AM42" i="230"/>
  <c r="AM41" i="230"/>
  <c r="AM40" i="230"/>
  <c r="AM39" i="230"/>
  <c r="AM38" i="230"/>
  <c r="AM37" i="230"/>
  <c r="AM36" i="230"/>
  <c r="AM35" i="230"/>
  <c r="AM34" i="230"/>
  <c r="AM33" i="230"/>
  <c r="AM32" i="230"/>
  <c r="AM31" i="230"/>
  <c r="AM30" i="230"/>
  <c r="AM29" i="230"/>
  <c r="AM28" i="230"/>
  <c r="AM27" i="230"/>
  <c r="AM26" i="230"/>
  <c r="AM25" i="230"/>
  <c r="AM24" i="230"/>
  <c r="AM23" i="230"/>
  <c r="AM22" i="230"/>
  <c r="AM21" i="230"/>
  <c r="AM20" i="230"/>
  <c r="AM19" i="230"/>
  <c r="AM18" i="230"/>
  <c r="AM17" i="230"/>
  <c r="AM16" i="230"/>
  <c r="AM15" i="230"/>
  <c r="AM14" i="230"/>
  <c r="AM13" i="230"/>
  <c r="AM12" i="230"/>
  <c r="AM11" i="230"/>
  <c r="AM10" i="230"/>
  <c r="AM9" i="230"/>
  <c r="AM8" i="230"/>
  <c r="B367" i="230" l="1"/>
  <c r="B366" i="230"/>
  <c r="B365" i="230"/>
  <c r="B364" i="230"/>
  <c r="B363" i="230"/>
  <c r="B362" i="230"/>
  <c r="B361" i="230"/>
  <c r="B360" i="230"/>
  <c r="B359" i="230"/>
  <c r="B358" i="230"/>
  <c r="B357" i="230"/>
  <c r="B355" i="230"/>
  <c r="B354" i="230"/>
  <c r="B353" i="230"/>
  <c r="B352" i="230"/>
  <c r="B351" i="230"/>
  <c r="B350" i="230"/>
  <c r="B349" i="230"/>
  <c r="B348" i="230"/>
  <c r="B347" i="230"/>
  <c r="B346" i="230"/>
  <c r="B345" i="230"/>
  <c r="B343" i="230"/>
  <c r="B342" i="230"/>
  <c r="B341" i="230"/>
  <c r="B340" i="230"/>
  <c r="B339" i="230"/>
  <c r="B338" i="230"/>
  <c r="B337" i="230"/>
  <c r="B336" i="230"/>
  <c r="B335" i="230"/>
  <c r="B334" i="230"/>
  <c r="B333" i="230"/>
  <c r="B331" i="230"/>
  <c r="B330" i="230"/>
  <c r="B329" i="230"/>
  <c r="B328" i="230"/>
  <c r="B327" i="230"/>
  <c r="B326" i="230"/>
  <c r="B325" i="230"/>
  <c r="B324" i="230"/>
  <c r="B323" i="230"/>
  <c r="B322" i="230"/>
  <c r="B321" i="230"/>
  <c r="B319" i="230"/>
  <c r="B318" i="230"/>
  <c r="B317" i="230"/>
  <c r="B316" i="230"/>
  <c r="B315" i="230"/>
  <c r="B314" i="230"/>
  <c r="B313" i="230"/>
  <c r="B312" i="230"/>
  <c r="B311" i="230"/>
  <c r="B310" i="230"/>
  <c r="B309" i="230"/>
  <c r="B307" i="230"/>
  <c r="B306" i="230"/>
  <c r="B305" i="230"/>
  <c r="B304" i="230"/>
  <c r="B303" i="230"/>
  <c r="B302" i="230"/>
  <c r="B301" i="230"/>
  <c r="B300" i="230"/>
  <c r="B299" i="230"/>
  <c r="B298" i="230"/>
  <c r="B297" i="230"/>
  <c r="B295" i="230"/>
  <c r="B294" i="230"/>
  <c r="B293" i="230"/>
  <c r="B292" i="230"/>
  <c r="B291" i="230"/>
  <c r="B290" i="230"/>
  <c r="B289" i="230"/>
  <c r="B288" i="230"/>
  <c r="B287" i="230"/>
  <c r="B286" i="230"/>
  <c r="B285" i="230"/>
  <c r="G39" i="230"/>
  <c r="G38" i="230"/>
  <c r="G37" i="230"/>
  <c r="G36" i="230"/>
  <c r="G35" i="230"/>
  <c r="G34" i="230"/>
  <c r="G33" i="230"/>
  <c r="G32" i="230"/>
  <c r="G31" i="230"/>
  <c r="BL33" i="230" l="1"/>
  <c r="BE33" i="230"/>
  <c r="BL37" i="230"/>
  <c r="BE37" i="230"/>
  <c r="BL34" i="230"/>
  <c r="BE34" i="230"/>
  <c r="BL38" i="230"/>
  <c r="BE38" i="230"/>
  <c r="L31" i="230"/>
  <c r="BL31" i="230"/>
  <c r="BE31" i="230"/>
  <c r="BL35" i="230"/>
  <c r="BE35" i="230"/>
  <c r="BL39" i="230"/>
  <c r="BE39" i="230"/>
  <c r="BL32" i="230"/>
  <c r="BE32" i="230"/>
  <c r="BL36" i="230"/>
  <c r="BE36" i="230"/>
  <c r="L33" i="230"/>
  <c r="H33" i="230"/>
  <c r="L37" i="230"/>
  <c r="H37" i="230"/>
  <c r="L35" i="230"/>
  <c r="H35" i="230"/>
  <c r="L34" i="230"/>
  <c r="H34" i="230"/>
  <c r="L32" i="230"/>
  <c r="H32" i="230"/>
  <c r="L36" i="230"/>
  <c r="H36" i="230"/>
  <c r="L38" i="230"/>
  <c r="H38" i="230"/>
  <c r="L39" i="230"/>
  <c r="H39" i="230"/>
  <c r="L40" i="230"/>
  <c r="H40" i="230"/>
  <c r="AL46" i="230"/>
  <c r="AL45" i="230"/>
  <c r="AL44" i="230"/>
  <c r="AL43" i="230"/>
  <c r="AL42" i="230"/>
  <c r="AL41" i="230"/>
  <c r="AL40" i="230"/>
  <c r="AL39" i="230"/>
  <c r="AL38" i="230"/>
  <c r="AL37" i="230"/>
  <c r="AL36" i="230"/>
  <c r="AL35" i="230"/>
  <c r="AL34" i="230"/>
  <c r="AL33" i="230"/>
  <c r="AL32" i="230"/>
  <c r="AL31" i="230"/>
  <c r="B283" i="230" l="1"/>
  <c r="B282" i="230"/>
  <c r="B281" i="230"/>
  <c r="B280" i="230"/>
  <c r="B279" i="230"/>
  <c r="B278" i="230"/>
  <c r="B277" i="230"/>
  <c r="B276" i="230"/>
  <c r="B275" i="230"/>
  <c r="B274" i="230"/>
  <c r="B273" i="230"/>
  <c r="B271" i="230"/>
  <c r="B270" i="230"/>
  <c r="B269" i="230"/>
  <c r="B268" i="230"/>
  <c r="B267" i="230"/>
  <c r="B266" i="230"/>
  <c r="B265" i="230"/>
  <c r="B264" i="230"/>
  <c r="B263" i="230"/>
  <c r="B262" i="230"/>
  <c r="B261" i="230"/>
  <c r="B259" i="230"/>
  <c r="B258" i="230"/>
  <c r="B257" i="230"/>
  <c r="B256" i="230"/>
  <c r="B255" i="230"/>
  <c r="B254" i="230"/>
  <c r="B253" i="230"/>
  <c r="B252" i="230"/>
  <c r="B251" i="230"/>
  <c r="B250" i="230"/>
  <c r="B249" i="230"/>
  <c r="B247" i="230"/>
  <c r="B246" i="230"/>
  <c r="B245" i="230"/>
  <c r="B244" i="230"/>
  <c r="B243" i="230"/>
  <c r="B242" i="230"/>
  <c r="B241" i="230"/>
  <c r="B240" i="230"/>
  <c r="B239" i="230"/>
  <c r="B238" i="230"/>
  <c r="B237" i="230"/>
  <c r="B235" i="230"/>
  <c r="B234" i="230"/>
  <c r="B233" i="230"/>
  <c r="B232" i="230"/>
  <c r="B231" i="230"/>
  <c r="B230" i="230"/>
  <c r="B229" i="230"/>
  <c r="B228" i="230"/>
  <c r="B227" i="230"/>
  <c r="B226" i="230"/>
  <c r="B225" i="230"/>
  <c r="B223" i="230"/>
  <c r="B222" i="230"/>
  <c r="B221" i="230"/>
  <c r="B220" i="230"/>
  <c r="B219" i="230"/>
  <c r="B218" i="230"/>
  <c r="B217" i="230"/>
  <c r="B216" i="230"/>
  <c r="B215" i="230"/>
  <c r="B214" i="230"/>
  <c r="B213" i="230"/>
  <c r="B211" i="230"/>
  <c r="B210" i="230"/>
  <c r="B209" i="230"/>
  <c r="B208" i="230"/>
  <c r="B207" i="230"/>
  <c r="B206" i="230"/>
  <c r="B205" i="230"/>
  <c r="B204" i="230"/>
  <c r="B203" i="230"/>
  <c r="B202" i="230"/>
  <c r="B201" i="230"/>
  <c r="B199" i="230"/>
  <c r="B198" i="230"/>
  <c r="B197" i="230"/>
  <c r="B196" i="230"/>
  <c r="B195" i="230"/>
  <c r="B194" i="230"/>
  <c r="B193" i="230"/>
  <c r="B192" i="230"/>
  <c r="B191" i="230"/>
  <c r="B190" i="230"/>
  <c r="B189" i="230"/>
  <c r="B187" i="230"/>
  <c r="B186" i="230"/>
  <c r="B185" i="230"/>
  <c r="B184" i="230"/>
  <c r="B183" i="230"/>
  <c r="B182" i="230"/>
  <c r="B181" i="230"/>
  <c r="B180" i="230"/>
  <c r="B179" i="230"/>
  <c r="B178" i="230"/>
  <c r="B177" i="230"/>
  <c r="B175" i="230"/>
  <c r="B174" i="230"/>
  <c r="B173" i="230"/>
  <c r="B172" i="230"/>
  <c r="B171" i="230"/>
  <c r="B170" i="230"/>
  <c r="B169" i="230"/>
  <c r="B168" i="230"/>
  <c r="B167" i="230"/>
  <c r="B166" i="230"/>
  <c r="B165" i="230"/>
  <c r="B163" i="230"/>
  <c r="B162" i="230"/>
  <c r="B161" i="230"/>
  <c r="B160" i="230"/>
  <c r="B159" i="230"/>
  <c r="B158" i="230"/>
  <c r="B157" i="230"/>
  <c r="B156" i="230"/>
  <c r="B155" i="230"/>
  <c r="B154" i="230"/>
  <c r="B153" i="230"/>
  <c r="B151" i="230"/>
  <c r="B150" i="230"/>
  <c r="B149" i="230"/>
  <c r="B148" i="230"/>
  <c r="B147" i="230"/>
  <c r="B146" i="230"/>
  <c r="B145" i="230"/>
  <c r="B144" i="230"/>
  <c r="B143" i="230"/>
  <c r="B142" i="230"/>
  <c r="B141" i="230"/>
  <c r="B139" i="230"/>
  <c r="B138" i="230"/>
  <c r="B137" i="230"/>
  <c r="B136" i="230"/>
  <c r="B135" i="230"/>
  <c r="B134" i="230"/>
  <c r="B133" i="230"/>
  <c r="B132" i="230"/>
  <c r="B131" i="230"/>
  <c r="B130" i="230"/>
  <c r="B129" i="230"/>
  <c r="B127" i="230"/>
  <c r="B126" i="230"/>
  <c r="B125" i="230"/>
  <c r="B124" i="230"/>
  <c r="B123" i="230"/>
  <c r="B122" i="230"/>
  <c r="B121" i="230"/>
  <c r="B120" i="230"/>
  <c r="B119" i="230"/>
  <c r="B118" i="230"/>
  <c r="B117" i="230"/>
  <c r="B115" i="230"/>
  <c r="B114" i="230"/>
  <c r="B113" i="230"/>
  <c r="B112" i="230"/>
  <c r="B111" i="230"/>
  <c r="B110" i="230"/>
  <c r="B109" i="230"/>
  <c r="B108" i="230"/>
  <c r="B107" i="230"/>
  <c r="B106" i="230"/>
  <c r="B105" i="230"/>
  <c r="B103" i="230"/>
  <c r="B102" i="230"/>
  <c r="B101" i="230"/>
  <c r="B100" i="230"/>
  <c r="B99" i="230"/>
  <c r="B98" i="230"/>
  <c r="B97" i="230"/>
  <c r="B96" i="230"/>
  <c r="B95" i="230"/>
  <c r="B94" i="230"/>
  <c r="B93" i="230"/>
  <c r="B91" i="230"/>
  <c r="B90" i="230"/>
  <c r="B89" i="230"/>
  <c r="B88" i="230"/>
  <c r="B87" i="230"/>
  <c r="B86" i="230"/>
  <c r="B85" i="230"/>
  <c r="B84" i="230"/>
  <c r="B83" i="230"/>
  <c r="B82" i="230"/>
  <c r="B81" i="230"/>
  <c r="B79" i="230"/>
  <c r="B78" i="230"/>
  <c r="B77" i="230"/>
  <c r="B76" i="230"/>
  <c r="B75" i="230"/>
  <c r="B74" i="230"/>
  <c r="B73" i="230"/>
  <c r="B72" i="230"/>
  <c r="B71" i="230"/>
  <c r="B70" i="230"/>
  <c r="B69" i="230"/>
  <c r="B67" i="230"/>
  <c r="B66" i="230"/>
  <c r="B65" i="230"/>
  <c r="B64" i="230"/>
  <c r="B63" i="230"/>
  <c r="B62" i="230"/>
  <c r="B61" i="230"/>
  <c r="B60" i="230"/>
  <c r="B59" i="230"/>
  <c r="B58" i="230"/>
  <c r="B57" i="230"/>
  <c r="B55" i="230"/>
  <c r="B54" i="230"/>
  <c r="B53" i="230"/>
  <c r="B52" i="230"/>
  <c r="B51" i="230"/>
  <c r="B50" i="230"/>
  <c r="B49" i="230"/>
  <c r="B48" i="230"/>
  <c r="B47" i="230"/>
  <c r="B46" i="230"/>
  <c r="B45" i="230"/>
  <c r="B43" i="230"/>
  <c r="B42" i="230"/>
  <c r="B41" i="230"/>
  <c r="B40" i="230"/>
  <c r="B39" i="230"/>
  <c r="B38" i="230"/>
  <c r="B37" i="230"/>
  <c r="B36" i="230"/>
  <c r="B35" i="230"/>
  <c r="B34" i="230"/>
  <c r="B33" i="230"/>
  <c r="B31" i="230"/>
  <c r="B30" i="230"/>
  <c r="B29" i="230"/>
  <c r="B28" i="230"/>
  <c r="B27" i="230"/>
  <c r="B26" i="230"/>
  <c r="B25" i="230"/>
  <c r="B24" i="230"/>
  <c r="B23" i="230"/>
  <c r="B22" i="230"/>
  <c r="B21" i="230"/>
  <c r="B19" i="230"/>
  <c r="B18" i="230"/>
  <c r="B17" i="230"/>
  <c r="B16" i="230"/>
  <c r="B15" i="230"/>
  <c r="B14" i="230"/>
  <c r="B13" i="230"/>
  <c r="B12" i="230"/>
  <c r="B11" i="230"/>
  <c r="B10" i="230"/>
  <c r="B9" i="230"/>
  <c r="BF134" i="230" l="1"/>
  <c r="BF122" i="230"/>
  <c r="BF110" i="230"/>
  <c r="BF98" i="230"/>
  <c r="BF133" i="230"/>
  <c r="BF121" i="230"/>
  <c r="BF109" i="230"/>
  <c r="BF97" i="230"/>
  <c r="BF132" i="230"/>
  <c r="BF120" i="230"/>
  <c r="BF108" i="230"/>
  <c r="BF96" i="230"/>
  <c r="BF131" i="230"/>
  <c r="BF119" i="230"/>
  <c r="BF107" i="230"/>
  <c r="BF130" i="230"/>
  <c r="BF118" i="230"/>
  <c r="BF106" i="230"/>
  <c r="BF129" i="230"/>
  <c r="BF117" i="230"/>
  <c r="BF105" i="230"/>
  <c r="BF128" i="230"/>
  <c r="BF116" i="230"/>
  <c r="BF104" i="230"/>
  <c r="BF113" i="230"/>
  <c r="BF100" i="230"/>
  <c r="BF127" i="230"/>
  <c r="BF115" i="230"/>
  <c r="BF103" i="230"/>
  <c r="BF125" i="230"/>
  <c r="BF124" i="230"/>
  <c r="BF126" i="230"/>
  <c r="BF114" i="230"/>
  <c r="BF102" i="230"/>
  <c r="BF101" i="230"/>
  <c r="BF112" i="230"/>
  <c r="BF123" i="230"/>
  <c r="BF111" i="230"/>
  <c r="BF99" i="230"/>
  <c r="BF76" i="230"/>
  <c r="BF80" i="230"/>
  <c r="BF84" i="230"/>
  <c r="BF73" i="230"/>
  <c r="BF78" i="230"/>
  <c r="BF83" i="230"/>
  <c r="BF77" i="230"/>
  <c r="BF92" i="230"/>
  <c r="BF94" i="230"/>
  <c r="BF72" i="230"/>
  <c r="BF88" i="230"/>
  <c r="BF69" i="230"/>
  <c r="BF85" i="230"/>
  <c r="BF86" i="230"/>
  <c r="BF82" i="230"/>
  <c r="BF79" i="230"/>
  <c r="BF68" i="230"/>
  <c r="BF89" i="230"/>
  <c r="BF81" i="230"/>
  <c r="BF74" i="230"/>
  <c r="BF93" i="230"/>
  <c r="BF70" i="230"/>
  <c r="BF67" i="230"/>
  <c r="BF95" i="230"/>
  <c r="BF75" i="230"/>
  <c r="BF71" i="230"/>
  <c r="BF91" i="230"/>
  <c r="BF87" i="230"/>
  <c r="BF90" i="230"/>
  <c r="BF65" i="230"/>
  <c r="BF66" i="230"/>
  <c r="BM132" i="230"/>
  <c r="BN132" i="230" s="1"/>
  <c r="BM92" i="230"/>
  <c r="BN92" i="230" s="1"/>
  <c r="BM124" i="230"/>
  <c r="BN124" i="230" s="1"/>
  <c r="BM116" i="230"/>
  <c r="BN116" i="230" s="1"/>
  <c r="BM108" i="230"/>
  <c r="BN108" i="230" s="1"/>
  <c r="BM100" i="230"/>
  <c r="BN100" i="230" s="1"/>
  <c r="BM84" i="230"/>
  <c r="BN84" i="230" s="1"/>
  <c r="BM76" i="230"/>
  <c r="BN76" i="230" s="1"/>
  <c r="BM68" i="230"/>
  <c r="BN68" i="230" s="1"/>
  <c r="BM72" i="230"/>
  <c r="BN72" i="230" s="1"/>
  <c r="BM104" i="230"/>
  <c r="BN104" i="230" s="1"/>
  <c r="BM70" i="230"/>
  <c r="BN70" i="230" s="1"/>
  <c r="BM86" i="230"/>
  <c r="BN86" i="230" s="1"/>
  <c r="BM102" i="230"/>
  <c r="BN102" i="230" s="1"/>
  <c r="BM118" i="230"/>
  <c r="BN118" i="230" s="1"/>
  <c r="BM134" i="230"/>
  <c r="BN134" i="230" s="1"/>
  <c r="BM101" i="230"/>
  <c r="BN101" i="230" s="1"/>
  <c r="BM91" i="230"/>
  <c r="BN91" i="230" s="1"/>
  <c r="BM123" i="230"/>
  <c r="BN123" i="230" s="1"/>
  <c r="BM87" i="230"/>
  <c r="BN87" i="230" s="1"/>
  <c r="BM127" i="230"/>
  <c r="BN127" i="230" s="1"/>
  <c r="BM117" i="230"/>
  <c r="BN117" i="230" s="1"/>
  <c r="BM81" i="230"/>
  <c r="BN81" i="230" s="1"/>
  <c r="BM113" i="230"/>
  <c r="BN113" i="230" s="1"/>
  <c r="BM80" i="230"/>
  <c r="BN80" i="230" s="1"/>
  <c r="BM112" i="230"/>
  <c r="BN112" i="230" s="1"/>
  <c r="BM74" i="230"/>
  <c r="BN74" i="230" s="1"/>
  <c r="BM90" i="230"/>
  <c r="BN90" i="230" s="1"/>
  <c r="BM106" i="230"/>
  <c r="BN106" i="230" s="1"/>
  <c r="BM122" i="230"/>
  <c r="BN122" i="230" s="1"/>
  <c r="BM95" i="230"/>
  <c r="BN95" i="230" s="1"/>
  <c r="BM125" i="230"/>
  <c r="BN125" i="230" s="1"/>
  <c r="BM99" i="230"/>
  <c r="BN99" i="230" s="1"/>
  <c r="BM131" i="230"/>
  <c r="BN131" i="230" s="1"/>
  <c r="BM103" i="230"/>
  <c r="BN103" i="230" s="1"/>
  <c r="BM69" i="230"/>
  <c r="BN69" i="230" s="1"/>
  <c r="BM133" i="230"/>
  <c r="BN133" i="230" s="1"/>
  <c r="BM89" i="230"/>
  <c r="BN89" i="230" s="1"/>
  <c r="BM121" i="230"/>
  <c r="BN121" i="230" s="1"/>
  <c r="BM88" i="230"/>
  <c r="BN88" i="230" s="1"/>
  <c r="BM120" i="230"/>
  <c r="BN120" i="230" s="1"/>
  <c r="BM78" i="230"/>
  <c r="BN78" i="230" s="1"/>
  <c r="BM94" i="230"/>
  <c r="BN94" i="230" s="1"/>
  <c r="BM110" i="230"/>
  <c r="BN110" i="230" s="1"/>
  <c r="BM126" i="230"/>
  <c r="BN126" i="230" s="1"/>
  <c r="BM85" i="230"/>
  <c r="BN85" i="230" s="1"/>
  <c r="BM75" i="230"/>
  <c r="BN75" i="230" s="1"/>
  <c r="BM107" i="230"/>
  <c r="BN107" i="230" s="1"/>
  <c r="BM71" i="230"/>
  <c r="BN71" i="230" s="1"/>
  <c r="BM111" i="230"/>
  <c r="BN111" i="230" s="1"/>
  <c r="BM77" i="230"/>
  <c r="BN77" i="230" s="1"/>
  <c r="BM67" i="230"/>
  <c r="BN67" i="230" s="1"/>
  <c r="BM97" i="230"/>
  <c r="BN97" i="230" s="1"/>
  <c r="BM129" i="230"/>
  <c r="BN129" i="230" s="1"/>
  <c r="BM96" i="230"/>
  <c r="BN96" i="230" s="1"/>
  <c r="BM128" i="230"/>
  <c r="BN128" i="230" s="1"/>
  <c r="BM82" i="230"/>
  <c r="BN82" i="230" s="1"/>
  <c r="BM98" i="230"/>
  <c r="BN98" i="230" s="1"/>
  <c r="BM114" i="230"/>
  <c r="BN114" i="230" s="1"/>
  <c r="BM130" i="230"/>
  <c r="BN130" i="230" s="1"/>
  <c r="BM93" i="230"/>
  <c r="BN93" i="230" s="1"/>
  <c r="BM83" i="230"/>
  <c r="BN83" i="230" s="1"/>
  <c r="BM115" i="230"/>
  <c r="BN115" i="230" s="1"/>
  <c r="BM79" i="230"/>
  <c r="BN79" i="230" s="1"/>
  <c r="BM119" i="230"/>
  <c r="BN119" i="230" s="1"/>
  <c r="BM109" i="230"/>
  <c r="BN109" i="230" s="1"/>
  <c r="BM73" i="230"/>
  <c r="BN73" i="230" s="1"/>
  <c r="BM105" i="230"/>
  <c r="BN105" i="230" s="1"/>
  <c r="AA63" i="230"/>
  <c r="AQ63" i="230"/>
  <c r="AD63" i="230"/>
  <c r="W58" i="227" s="1"/>
  <c r="AF65" i="230"/>
  <c r="AF66" i="230"/>
  <c r="AF63" i="230"/>
  <c r="Y63" i="230"/>
  <c r="R58" i="227" s="1"/>
  <c r="AF64" i="230"/>
  <c r="AQ64" i="230"/>
  <c r="W63" i="230"/>
  <c r="P58" i="227" s="1"/>
  <c r="AO63" i="230"/>
  <c r="W64" i="230"/>
  <c r="P59" i="227" s="1"/>
  <c r="AE63" i="230"/>
  <c r="AO64" i="230"/>
  <c r="BM63" i="230"/>
  <c r="BM65" i="230"/>
  <c r="AA64" i="230"/>
  <c r="BM64" i="230"/>
  <c r="AE64" i="230"/>
  <c r="Q64" i="230"/>
  <c r="AI63" i="230"/>
  <c r="Y64" i="230"/>
  <c r="R59" i="227" s="1"/>
  <c r="AD64" i="230"/>
  <c r="W59" i="227" s="1"/>
  <c r="AI64" i="230"/>
  <c r="Q63" i="230"/>
  <c r="BM66" i="230"/>
  <c r="Q54" i="230"/>
  <c r="AF40" i="230"/>
  <c r="AF60" i="230"/>
  <c r="AF45" i="230"/>
  <c r="AF49" i="230"/>
  <c r="AF53" i="230"/>
  <c r="AF57" i="230"/>
  <c r="AF42" i="230"/>
  <c r="AF46" i="230"/>
  <c r="AF50" i="230"/>
  <c r="AF54" i="230"/>
  <c r="AF58" i="230"/>
  <c r="AF59" i="230"/>
  <c r="AQ59" i="230"/>
  <c r="AF44" i="230"/>
  <c r="AF48" i="230"/>
  <c r="AF52" i="230"/>
  <c r="AF56" i="230"/>
  <c r="AF43" i="230"/>
  <c r="AF47" i="230"/>
  <c r="AF51" i="230"/>
  <c r="AF55" i="230"/>
  <c r="AQ55" i="230"/>
  <c r="AQ60" i="230"/>
  <c r="AQ61" i="230"/>
  <c r="AQ62" i="230"/>
  <c r="Q50" i="230"/>
  <c r="AQ56" i="230"/>
  <c r="AF41" i="230"/>
  <c r="AQ57" i="230"/>
  <c r="AF61" i="230"/>
  <c r="AQ58" i="230"/>
  <c r="AF62" i="230"/>
  <c r="Q42" i="230"/>
  <c r="W62" i="230"/>
  <c r="P57" i="227" s="1"/>
  <c r="BM50" i="230"/>
  <c r="W61" i="230"/>
  <c r="P56" i="227" s="1"/>
  <c r="BM57" i="230"/>
  <c r="AI60" i="230"/>
  <c r="W59" i="230"/>
  <c r="P54" i="227" s="1"/>
  <c r="Q47" i="230"/>
  <c r="AE58" i="230"/>
  <c r="Y57" i="230"/>
  <c r="R52" i="227" s="1"/>
  <c r="AO56" i="230"/>
  <c r="AD59" i="230"/>
  <c r="W54" i="227" s="1"/>
  <c r="AE55" i="230"/>
  <c r="AI62" i="230"/>
  <c r="AI58" i="230"/>
  <c r="AO61" i="230"/>
  <c r="AO60" i="230"/>
  <c r="AI55" i="230"/>
  <c r="BM43" i="230"/>
  <c r="AO62" i="230"/>
  <c r="W58" i="230"/>
  <c r="P53" i="227" s="1"/>
  <c r="W57" i="230"/>
  <c r="P52" i="227" s="1"/>
  <c r="AA60" i="230"/>
  <c r="W56" i="230"/>
  <c r="P51" i="227" s="1"/>
  <c r="BM44" i="230"/>
  <c r="AO55" i="230"/>
  <c r="Q46" i="230"/>
  <c r="AD58" i="230"/>
  <c r="BM46" i="230"/>
  <c r="AE61" i="230"/>
  <c r="BM53" i="230"/>
  <c r="AD60" i="230"/>
  <c r="W55" i="227" s="1"/>
  <c r="AD55" i="230"/>
  <c r="W50" i="227" s="1"/>
  <c r="Q62" i="230"/>
  <c r="AI61" i="230"/>
  <c r="AO57" i="230"/>
  <c r="Y56" i="230"/>
  <c r="R51" i="227" s="1"/>
  <c r="Y59" i="230"/>
  <c r="R54" i="227" s="1"/>
  <c r="Q44" i="230"/>
  <c r="AE62" i="230"/>
  <c r="Q57" i="230"/>
  <c r="AE59" i="230"/>
  <c r="BM55" i="230"/>
  <c r="Q41" i="230"/>
  <c r="Y62" i="230"/>
  <c r="R57" i="227" s="1"/>
  <c r="Q61" i="230"/>
  <c r="AE57" i="230"/>
  <c r="AE60" i="230"/>
  <c r="BM56" i="230"/>
  <c r="AI59" i="230"/>
  <c r="Y55" i="230"/>
  <c r="R50" i="227" s="1"/>
  <c r="AD62" i="230"/>
  <c r="BM58" i="230"/>
  <c r="BM42" i="230"/>
  <c r="AI57" i="230"/>
  <c r="BM49" i="230"/>
  <c r="BM60" i="230"/>
  <c r="Q55" i="230"/>
  <c r="BM62" i="230"/>
  <c r="AD61" i="230"/>
  <c r="W56" i="227" s="1"/>
  <c r="BM41" i="230"/>
  <c r="Q56" i="230"/>
  <c r="AO59" i="230"/>
  <c r="Q48" i="230"/>
  <c r="AO58" i="230"/>
  <c r="Q52" i="230"/>
  <c r="Q60" i="230"/>
  <c r="AE56" i="230"/>
  <c r="AA59" i="230"/>
  <c r="BM51" i="230"/>
  <c r="Q45" i="230"/>
  <c r="AI56" i="230"/>
  <c r="BM52" i="230"/>
  <c r="BM59" i="230"/>
  <c r="AA62" i="230"/>
  <c r="BM54" i="230"/>
  <c r="AA61" i="230"/>
  <c r="AD57" i="230"/>
  <c r="W52" i="227" s="1"/>
  <c r="BM45" i="230"/>
  <c r="BM40" i="230"/>
  <c r="Q43" i="230"/>
  <c r="Q58" i="230"/>
  <c r="BM61" i="230"/>
  <c r="Q51" i="230"/>
  <c r="Q59" i="230"/>
  <c r="Q53" i="230"/>
  <c r="Y58" i="230"/>
  <c r="R53" i="227" s="1"/>
  <c r="Y61" i="230"/>
  <c r="R56" i="227" s="1"/>
  <c r="Y60" i="230"/>
  <c r="R55" i="227" s="1"/>
  <c r="AD56" i="230"/>
  <c r="W51" i="227" s="1"/>
  <c r="W55" i="230"/>
  <c r="P50" i="227" s="1"/>
  <c r="BM47" i="230"/>
  <c r="Q49" i="230"/>
  <c r="AA58" i="230"/>
  <c r="AA57" i="230"/>
  <c r="W60" i="230"/>
  <c r="P55" i="227" s="1"/>
  <c r="AA56" i="230"/>
  <c r="BM48" i="230"/>
  <c r="AA55" i="230"/>
  <c r="AF33" i="230"/>
  <c r="AF37" i="230"/>
  <c r="AF34" i="230"/>
  <c r="AF38" i="230"/>
  <c r="AF31" i="230"/>
  <c r="AF35" i="230"/>
  <c r="AF39" i="230"/>
  <c r="AF32" i="230"/>
  <c r="AF36" i="230"/>
  <c r="BM38" i="230"/>
  <c r="Q39" i="230"/>
  <c r="BM32" i="230"/>
  <c r="Q32" i="230"/>
  <c r="BM33" i="230"/>
  <c r="Q37" i="230"/>
  <c r="BM31" i="230"/>
  <c r="BM36" i="230"/>
  <c r="Q38" i="230"/>
  <c r="BM37" i="230"/>
  <c r="Q34" i="230"/>
  <c r="BM35" i="230"/>
  <c r="Q33" i="230"/>
  <c r="Q40" i="230"/>
  <c r="BM34" i="230"/>
  <c r="Q36" i="230"/>
  <c r="BM39" i="230"/>
  <c r="Q35" i="230"/>
  <c r="AN4" i="230"/>
  <c r="AQ51" i="230"/>
  <c r="AQ50" i="230"/>
  <c r="AQ49" i="230"/>
  <c r="AI54" i="230"/>
  <c r="AE54" i="230"/>
  <c r="AD53" i="230"/>
  <c r="W48" i="227" s="1"/>
  <c r="AI50" i="230"/>
  <c r="AE50" i="230"/>
  <c r="AQ54" i="230"/>
  <c r="AQ53" i="230"/>
  <c r="AQ47" i="230"/>
  <c r="AI52" i="230"/>
  <c r="AE52" i="230"/>
  <c r="AD51" i="230"/>
  <c r="W46" i="227" s="1"/>
  <c r="AQ52" i="230"/>
  <c r="AE53" i="230"/>
  <c r="AD52" i="230"/>
  <c r="W47" i="227" s="1"/>
  <c r="AQ48" i="230"/>
  <c r="AD54" i="230"/>
  <c r="AI51" i="230"/>
  <c r="AD50" i="230"/>
  <c r="AI53" i="230"/>
  <c r="AE51" i="230"/>
  <c r="AQ46" i="230"/>
  <c r="AQ42" i="230"/>
  <c r="AQ38" i="230"/>
  <c r="AQ34" i="230"/>
  <c r="AQ32" i="230"/>
  <c r="AQ43" i="230"/>
  <c r="AQ35" i="230"/>
  <c r="AQ45" i="230"/>
  <c r="AQ41" i="230"/>
  <c r="AQ37" i="230"/>
  <c r="AQ33" i="230"/>
  <c r="AQ44" i="230"/>
  <c r="AQ40" i="230"/>
  <c r="AQ36" i="230"/>
  <c r="AQ39" i="230"/>
  <c r="AQ31" i="230"/>
  <c r="AE108" i="230"/>
  <c r="AE104" i="230"/>
  <c r="AE100" i="230"/>
  <c r="BV100" i="230" s="1"/>
  <c r="BW100" i="230" s="1"/>
  <c r="AE96" i="230"/>
  <c r="BV96" i="230" s="1"/>
  <c r="BW96" i="230" s="1"/>
  <c r="AE92" i="230"/>
  <c r="BV92" i="230" s="1"/>
  <c r="BW92" i="230" s="1"/>
  <c r="AE88" i="230"/>
  <c r="BV88" i="230" s="1"/>
  <c r="BW88" i="230" s="1"/>
  <c r="AE84" i="230"/>
  <c r="BV84" i="230" s="1"/>
  <c r="BW84" i="230" s="1"/>
  <c r="AE80" i="230"/>
  <c r="BV80" i="230" s="1"/>
  <c r="BW80" i="230" s="1"/>
  <c r="AE76" i="230"/>
  <c r="BV76" i="230" s="1"/>
  <c r="BW76" i="230" s="1"/>
  <c r="AE72" i="230"/>
  <c r="BV72" i="230" s="1"/>
  <c r="BW72" i="230" s="1"/>
  <c r="AE68" i="230"/>
  <c r="BV68" i="230" s="1"/>
  <c r="BW68" i="230" s="1"/>
  <c r="AE48" i="230"/>
  <c r="AE44" i="230"/>
  <c r="AE40" i="230"/>
  <c r="AE36" i="230"/>
  <c r="X31" i="227" s="1"/>
  <c r="AE32" i="230"/>
  <c r="X27" i="227" s="1"/>
  <c r="AE105" i="230"/>
  <c r="AE99" i="230"/>
  <c r="BV99" i="230" s="1"/>
  <c r="BW99" i="230" s="1"/>
  <c r="AE94" i="230"/>
  <c r="BV94" i="230" s="1"/>
  <c r="BW94" i="230" s="1"/>
  <c r="AE89" i="230"/>
  <c r="BV89" i="230" s="1"/>
  <c r="BW89" i="230" s="1"/>
  <c r="AE83" i="230"/>
  <c r="BV83" i="230" s="1"/>
  <c r="BW83" i="230" s="1"/>
  <c r="AE78" i="230"/>
  <c r="BV78" i="230" s="1"/>
  <c r="BW78" i="230" s="1"/>
  <c r="AE73" i="230"/>
  <c r="BV73" i="230" s="1"/>
  <c r="BW73" i="230" s="1"/>
  <c r="AE67" i="230"/>
  <c r="BV67" i="230" s="1"/>
  <c r="BW67" i="230" s="1"/>
  <c r="AE46" i="230"/>
  <c r="AE41" i="230"/>
  <c r="AE35" i="230"/>
  <c r="X30" i="227" s="1"/>
  <c r="AA70" i="230"/>
  <c r="AE109" i="230"/>
  <c r="AE103" i="230"/>
  <c r="AE98" i="230"/>
  <c r="BV98" i="230" s="1"/>
  <c r="BW98" i="230" s="1"/>
  <c r="AE93" i="230"/>
  <c r="BV93" i="230" s="1"/>
  <c r="BW93" i="230" s="1"/>
  <c r="AE87" i="230"/>
  <c r="BV87" i="230" s="1"/>
  <c r="BW87" i="230" s="1"/>
  <c r="AE82" i="230"/>
  <c r="BV82" i="230" s="1"/>
  <c r="BW82" i="230" s="1"/>
  <c r="AE77" i="230"/>
  <c r="BV77" i="230" s="1"/>
  <c r="BW77" i="230" s="1"/>
  <c r="AE71" i="230"/>
  <c r="BV71" i="230" s="1"/>
  <c r="BW71" i="230" s="1"/>
  <c r="AE66" i="230"/>
  <c r="AE45" i="230"/>
  <c r="AE39" i="230"/>
  <c r="X34" i="227" s="1"/>
  <c r="AE34" i="230"/>
  <c r="X29" i="227" s="1"/>
  <c r="AA69" i="230"/>
  <c r="AE107" i="230"/>
  <c r="AE102" i="230"/>
  <c r="AE97" i="230"/>
  <c r="BV97" i="230" s="1"/>
  <c r="BW97" i="230" s="1"/>
  <c r="AE91" i="230"/>
  <c r="BV91" i="230" s="1"/>
  <c r="BW91" i="230" s="1"/>
  <c r="AE86" i="230"/>
  <c r="BV86" i="230" s="1"/>
  <c r="BW86" i="230" s="1"/>
  <c r="AE81" i="230"/>
  <c r="BV81" i="230" s="1"/>
  <c r="BW81" i="230" s="1"/>
  <c r="AE75" i="230"/>
  <c r="BV75" i="230" s="1"/>
  <c r="BW75" i="230" s="1"/>
  <c r="AE70" i="230"/>
  <c r="BV70" i="230" s="1"/>
  <c r="BW70" i="230" s="1"/>
  <c r="AE65" i="230"/>
  <c r="AE49" i="230"/>
  <c r="AE43" i="230"/>
  <c r="AE38" i="230"/>
  <c r="X33" i="227" s="1"/>
  <c r="AE33" i="230"/>
  <c r="X28" i="227" s="1"/>
  <c r="AA68" i="230"/>
  <c r="AE90" i="230"/>
  <c r="BV90" i="230" s="1"/>
  <c r="BW90" i="230" s="1"/>
  <c r="AE69" i="230"/>
  <c r="BV69" i="230" s="1"/>
  <c r="BW69" i="230" s="1"/>
  <c r="AE47" i="230"/>
  <c r="AE74" i="230"/>
  <c r="BV74" i="230" s="1"/>
  <c r="BW74" i="230" s="1"/>
  <c r="AE106" i="230"/>
  <c r="AE85" i="230"/>
  <c r="BV85" i="230" s="1"/>
  <c r="BW85" i="230" s="1"/>
  <c r="AE42" i="230"/>
  <c r="AE95" i="230"/>
  <c r="BV95" i="230" s="1"/>
  <c r="BW95" i="230" s="1"/>
  <c r="AE31" i="230"/>
  <c r="X26" i="227" s="1"/>
  <c r="AE101" i="230"/>
  <c r="BV101" i="230" s="1"/>
  <c r="AE79" i="230"/>
  <c r="BV79" i="230" s="1"/>
  <c r="BW79" i="230" s="1"/>
  <c r="AE37" i="230"/>
  <c r="X32" i="227" s="1"/>
  <c r="G30" i="230"/>
  <c r="G29" i="230"/>
  <c r="G28" i="230"/>
  <c r="G27" i="230"/>
  <c r="G26" i="230"/>
  <c r="G25" i="230"/>
  <c r="G24" i="230"/>
  <c r="G23" i="230"/>
  <c r="G22" i="230"/>
  <c r="G21" i="230"/>
  <c r="G20" i="230"/>
  <c r="G19" i="230"/>
  <c r="G18" i="230"/>
  <c r="G17" i="230"/>
  <c r="BN33" i="230" l="1"/>
  <c r="AD28" i="227"/>
  <c r="BN55" i="230"/>
  <c r="AD50" i="227"/>
  <c r="BN44" i="230"/>
  <c r="AD39" i="227"/>
  <c r="BN42" i="230"/>
  <c r="AD37" i="227"/>
  <c r="BN57" i="230"/>
  <c r="AD52" i="227"/>
  <c r="BN64" i="230"/>
  <c r="AD59" i="227"/>
  <c r="BN58" i="230"/>
  <c r="AD53" i="227"/>
  <c r="BN35" i="230"/>
  <c r="AD30" i="227"/>
  <c r="W57" i="227"/>
  <c r="BN50" i="230"/>
  <c r="AD45" i="227"/>
  <c r="BN66" i="230"/>
  <c r="AD61" i="227"/>
  <c r="BN39" i="230"/>
  <c r="AD34" i="227"/>
  <c r="BN54" i="230"/>
  <c r="AD49" i="227"/>
  <c r="BN46" i="230"/>
  <c r="AD41" i="227"/>
  <c r="BN32" i="230"/>
  <c r="AD27" i="227"/>
  <c r="BN40" i="230"/>
  <c r="AD35" i="227"/>
  <c r="BN48" i="230"/>
  <c r="AD43" i="227"/>
  <c r="BN65" i="230"/>
  <c r="AD60" i="227"/>
  <c r="BN45" i="230"/>
  <c r="AD40" i="227"/>
  <c r="BN38" i="230"/>
  <c r="AD33" i="227"/>
  <c r="BN43" i="230"/>
  <c r="AD38" i="227"/>
  <c r="BN63" i="230"/>
  <c r="AD58" i="227"/>
  <c r="BN37" i="230"/>
  <c r="AD32" i="227"/>
  <c r="BN51" i="230"/>
  <c r="AD46" i="227"/>
  <c r="BN41" i="230"/>
  <c r="AD36" i="227"/>
  <c r="W45" i="227"/>
  <c r="BN56" i="230"/>
  <c r="AD51" i="227"/>
  <c r="BN53" i="230"/>
  <c r="AD48" i="227"/>
  <c r="BN62" i="230"/>
  <c r="AD57" i="227"/>
  <c r="W49" i="227"/>
  <c r="BN36" i="230"/>
  <c r="AD31" i="227"/>
  <c r="X60" i="227"/>
  <c r="BV65" i="230"/>
  <c r="BW65" i="230" s="1"/>
  <c r="BN34" i="230"/>
  <c r="AD29" i="227"/>
  <c r="BN31" i="230"/>
  <c r="AD26" i="227"/>
  <c r="BN59" i="230"/>
  <c r="AD54" i="227"/>
  <c r="BN60" i="230"/>
  <c r="AD55" i="227"/>
  <c r="W53" i="227"/>
  <c r="X61" i="227"/>
  <c r="BV66" i="230"/>
  <c r="BW66" i="230" s="1"/>
  <c r="BN47" i="230"/>
  <c r="AD42" i="227"/>
  <c r="BN52" i="230"/>
  <c r="AD47" i="227"/>
  <c r="BN49" i="230"/>
  <c r="AD44" i="227"/>
  <c r="BN61" i="230"/>
  <c r="AD56" i="227"/>
  <c r="R40" i="230"/>
  <c r="J35" i="227"/>
  <c r="AZ38" i="230"/>
  <c r="BJ38" i="230" s="1"/>
  <c r="BK38" i="230" s="1"/>
  <c r="Y33" i="227"/>
  <c r="AT47" i="230"/>
  <c r="X42" i="227"/>
  <c r="AT52" i="230"/>
  <c r="X47" i="227"/>
  <c r="R32" i="230"/>
  <c r="J27" i="227"/>
  <c r="AZ37" i="230"/>
  <c r="BJ37" i="230" s="1"/>
  <c r="BK37" i="230" s="1"/>
  <c r="Y32" i="227"/>
  <c r="R43" i="230"/>
  <c r="J38" i="227"/>
  <c r="R62" i="230"/>
  <c r="J57" i="227"/>
  <c r="AB60" i="230"/>
  <c r="BU60" i="230" s="1"/>
  <c r="BV60" i="230" s="1"/>
  <c r="BW60" i="230" s="1"/>
  <c r="T55" i="227"/>
  <c r="AW62" i="230"/>
  <c r="BB62" i="230" s="1"/>
  <c r="AB57" i="227"/>
  <c r="AZ59" i="230"/>
  <c r="BJ59" i="230" s="1"/>
  <c r="BK59" i="230" s="1"/>
  <c r="Y54" i="227"/>
  <c r="R54" i="230"/>
  <c r="J49" i="227"/>
  <c r="AZ58" i="230"/>
  <c r="BJ58" i="230" s="1"/>
  <c r="BK58" i="230" s="1"/>
  <c r="Y53" i="227"/>
  <c r="AZ63" i="230"/>
  <c r="BJ63" i="230" s="1"/>
  <c r="BK63" i="230" s="1"/>
  <c r="Y58" i="227"/>
  <c r="AT51" i="230"/>
  <c r="X46" i="227"/>
  <c r="R34" i="230"/>
  <c r="J29" i="227"/>
  <c r="AB55" i="230"/>
  <c r="BU55" i="230" s="1"/>
  <c r="BV55" i="230" s="1"/>
  <c r="BW55" i="230" s="1"/>
  <c r="T50" i="227"/>
  <c r="R45" i="230"/>
  <c r="J40" i="227"/>
  <c r="R56" i="230"/>
  <c r="J51" i="227"/>
  <c r="R57" i="230"/>
  <c r="J52" i="227"/>
  <c r="AZ54" i="230"/>
  <c r="BJ54" i="230" s="1"/>
  <c r="BK54" i="230" s="1"/>
  <c r="Y49" i="227"/>
  <c r="R63" i="230"/>
  <c r="J58" i="227"/>
  <c r="AB64" i="230"/>
  <c r="BU64" i="230" s="1"/>
  <c r="BV64" i="230" s="1"/>
  <c r="BW64" i="230" s="1"/>
  <c r="T59" i="227"/>
  <c r="AZ66" i="230"/>
  <c r="BJ66" i="230" s="1"/>
  <c r="BK66" i="230" s="1"/>
  <c r="Y61" i="227"/>
  <c r="AW59" i="230"/>
  <c r="BB59" i="230" s="1"/>
  <c r="AB54" i="227"/>
  <c r="R42" i="230"/>
  <c r="J37" i="227"/>
  <c r="AZ55" i="230"/>
  <c r="BJ55" i="230" s="1"/>
  <c r="BK55" i="230" s="1"/>
  <c r="Y50" i="227"/>
  <c r="AZ50" i="230"/>
  <c r="BJ50" i="230" s="1"/>
  <c r="BK50" i="230" s="1"/>
  <c r="Y45" i="227"/>
  <c r="AW64" i="230"/>
  <c r="BB64" i="230" s="1"/>
  <c r="AB59" i="227"/>
  <c r="AZ65" i="230"/>
  <c r="BJ65" i="230" s="1"/>
  <c r="BK65" i="230" s="1"/>
  <c r="Y60" i="227"/>
  <c r="AB59" i="230"/>
  <c r="BU59" i="230" s="1"/>
  <c r="BV59" i="230" s="1"/>
  <c r="BW59" i="230" s="1"/>
  <c r="T54" i="227"/>
  <c r="AZ46" i="230"/>
  <c r="BJ46" i="230" s="1"/>
  <c r="BK46" i="230" s="1"/>
  <c r="Y41" i="227"/>
  <c r="AT55" i="230"/>
  <c r="X50" i="227"/>
  <c r="R35" i="230"/>
  <c r="J30" i="227"/>
  <c r="AB56" i="230"/>
  <c r="BU56" i="230" s="1"/>
  <c r="BV56" i="230" s="1"/>
  <c r="BW56" i="230" s="1"/>
  <c r="T51" i="227"/>
  <c r="AZ62" i="230"/>
  <c r="BJ62" i="230" s="1"/>
  <c r="BK62" i="230" s="1"/>
  <c r="Y57" i="227"/>
  <c r="AZ51" i="230"/>
  <c r="BJ51" i="230" s="1"/>
  <c r="BK51" i="230" s="1"/>
  <c r="Y46" i="227"/>
  <c r="AW51" i="230"/>
  <c r="BB51" i="230" s="1"/>
  <c r="AB46" i="227"/>
  <c r="AT50" i="230"/>
  <c r="X45" i="227"/>
  <c r="R38" i="230"/>
  <c r="J33" i="227"/>
  <c r="AZ36" i="230"/>
  <c r="BJ36" i="230" s="1"/>
  <c r="BK36" i="230" s="1"/>
  <c r="Y31" i="227"/>
  <c r="R53" i="230"/>
  <c r="J48" i="227"/>
  <c r="AB61" i="230"/>
  <c r="BU61" i="230" s="1"/>
  <c r="BV61" i="230" s="1"/>
  <c r="BW61" i="230" s="1"/>
  <c r="T56" i="227"/>
  <c r="AT56" i="230"/>
  <c r="X51" i="227"/>
  <c r="AT60" i="230"/>
  <c r="X55" i="227"/>
  <c r="AT62" i="230"/>
  <c r="X57" i="227"/>
  <c r="AT61" i="230"/>
  <c r="X56" i="227"/>
  <c r="AW55" i="230"/>
  <c r="BB55" i="230" s="1"/>
  <c r="AB50" i="227"/>
  <c r="AZ47" i="230"/>
  <c r="BJ47" i="230" s="1"/>
  <c r="BK47" i="230" s="1"/>
  <c r="Y42" i="227"/>
  <c r="AZ42" i="230"/>
  <c r="BJ42" i="230" s="1"/>
  <c r="BK42" i="230" s="1"/>
  <c r="Y37" i="227"/>
  <c r="AT58" i="230"/>
  <c r="X53" i="227"/>
  <c r="AZ61" i="230"/>
  <c r="BJ61" i="230" s="1"/>
  <c r="BK61" i="230" s="1"/>
  <c r="Y56" i="227"/>
  <c r="AZ43" i="230"/>
  <c r="BJ43" i="230" s="1"/>
  <c r="BK43" i="230" s="1"/>
  <c r="Y38" i="227"/>
  <c r="AZ57" i="230"/>
  <c r="BJ57" i="230" s="1"/>
  <c r="BK57" i="230" s="1"/>
  <c r="Y52" i="227"/>
  <c r="AT63" i="230"/>
  <c r="X58" i="227"/>
  <c r="AB63" i="230"/>
  <c r="BU63" i="230" s="1"/>
  <c r="BV63" i="230" s="1"/>
  <c r="BW63" i="230" s="1"/>
  <c r="T58" i="227"/>
  <c r="AT43" i="230"/>
  <c r="X38" i="227"/>
  <c r="AW50" i="230"/>
  <c r="BB50" i="230" s="1"/>
  <c r="AB45" i="227"/>
  <c r="AZ32" i="230"/>
  <c r="BJ32" i="230" s="1"/>
  <c r="BK32" i="230" s="1"/>
  <c r="Y27" i="227"/>
  <c r="AB57" i="230"/>
  <c r="BU57" i="230" s="1"/>
  <c r="BV57" i="230" s="1"/>
  <c r="BW57" i="230" s="1"/>
  <c r="T52" i="227"/>
  <c r="R60" i="230"/>
  <c r="J55" i="227"/>
  <c r="AT57" i="230"/>
  <c r="X52" i="227"/>
  <c r="R44" i="230"/>
  <c r="J39" i="227"/>
  <c r="AT49" i="230"/>
  <c r="X44" i="227"/>
  <c r="R36" i="230"/>
  <c r="J31" i="227"/>
  <c r="AZ39" i="230"/>
  <c r="BJ39" i="230" s="1"/>
  <c r="BK39" i="230" s="1"/>
  <c r="Y34" i="227"/>
  <c r="AB58" i="230"/>
  <c r="BU58" i="230" s="1"/>
  <c r="BV58" i="230" s="1"/>
  <c r="BW58" i="230" s="1"/>
  <c r="T53" i="227"/>
  <c r="R59" i="230"/>
  <c r="J54" i="227"/>
  <c r="AB62" i="230"/>
  <c r="BU62" i="230" s="1"/>
  <c r="BV62" i="230" s="1"/>
  <c r="BW62" i="230" s="1"/>
  <c r="T57" i="227"/>
  <c r="R55" i="230"/>
  <c r="J50" i="227"/>
  <c r="R61" i="230"/>
  <c r="J56" i="227"/>
  <c r="R47" i="230"/>
  <c r="J42" i="227"/>
  <c r="AZ56" i="230"/>
  <c r="BJ56" i="230" s="1"/>
  <c r="BK56" i="230" s="1"/>
  <c r="Y51" i="227"/>
  <c r="AZ53" i="230"/>
  <c r="BJ53" i="230" s="1"/>
  <c r="BK53" i="230" s="1"/>
  <c r="Y48" i="227"/>
  <c r="AW53" i="230"/>
  <c r="BB53" i="230" s="1"/>
  <c r="AB48" i="227"/>
  <c r="R52" i="230"/>
  <c r="J47" i="227"/>
  <c r="R46" i="230"/>
  <c r="J41" i="227"/>
  <c r="AZ41" i="230"/>
  <c r="BJ41" i="230" s="1"/>
  <c r="BK41" i="230" s="1"/>
  <c r="Y36" i="227"/>
  <c r="AZ52" i="230"/>
  <c r="BJ52" i="230" s="1"/>
  <c r="BK52" i="230" s="1"/>
  <c r="Y47" i="227"/>
  <c r="AZ49" i="230"/>
  <c r="BJ49" i="230" s="1"/>
  <c r="BK49" i="230" s="1"/>
  <c r="Y44" i="227"/>
  <c r="AT42" i="230"/>
  <c r="X37" i="227"/>
  <c r="AT41" i="230"/>
  <c r="X36" i="227"/>
  <c r="R41" i="230"/>
  <c r="J36" i="227"/>
  <c r="AZ48" i="230"/>
  <c r="BJ48" i="230" s="1"/>
  <c r="BK48" i="230" s="1"/>
  <c r="Y43" i="227"/>
  <c r="AZ45" i="230"/>
  <c r="BJ45" i="230" s="1"/>
  <c r="BK45" i="230" s="1"/>
  <c r="Y40" i="227"/>
  <c r="AW63" i="230"/>
  <c r="BB63" i="230" s="1"/>
  <c r="AB58" i="227"/>
  <c r="AW52" i="230"/>
  <c r="BB52" i="230" s="1"/>
  <c r="AB47" i="227"/>
  <c r="AZ35" i="230"/>
  <c r="BJ35" i="230" s="1"/>
  <c r="BK35" i="230" s="1"/>
  <c r="Y30" i="227"/>
  <c r="AT46" i="230"/>
  <c r="X41" i="227"/>
  <c r="AT53" i="230"/>
  <c r="X48" i="227"/>
  <c r="R37" i="230"/>
  <c r="J32" i="227"/>
  <c r="R51" i="230"/>
  <c r="J46" i="227"/>
  <c r="AT48" i="230"/>
  <c r="X43" i="227"/>
  <c r="AW56" i="230"/>
  <c r="BB56" i="230" s="1"/>
  <c r="AB51" i="227"/>
  <c r="AW57" i="230"/>
  <c r="BB57" i="230" s="1"/>
  <c r="AB52" i="227"/>
  <c r="AZ44" i="230"/>
  <c r="BJ44" i="230" s="1"/>
  <c r="BK44" i="230" s="1"/>
  <c r="Y39" i="227"/>
  <c r="AZ60" i="230"/>
  <c r="BJ60" i="230" s="1"/>
  <c r="BK60" i="230" s="1"/>
  <c r="Y55" i="227"/>
  <c r="R64" i="230"/>
  <c r="J59" i="227"/>
  <c r="AZ33" i="230"/>
  <c r="BJ33" i="230" s="1"/>
  <c r="BK33" i="230" s="1"/>
  <c r="Y28" i="227"/>
  <c r="R39" i="230"/>
  <c r="J34" i="227"/>
  <c r="AT45" i="230"/>
  <c r="X40" i="227"/>
  <c r="AT40" i="230"/>
  <c r="X35" i="227"/>
  <c r="AT54" i="230"/>
  <c r="X49" i="227"/>
  <c r="R49" i="230"/>
  <c r="J44" i="227"/>
  <c r="AT44" i="230"/>
  <c r="X39" i="227"/>
  <c r="AW54" i="230"/>
  <c r="BB54" i="230" s="1"/>
  <c r="AB49" i="227"/>
  <c r="AZ31" i="230"/>
  <c r="BJ31" i="230" s="1"/>
  <c r="BK31" i="230" s="1"/>
  <c r="Y26" i="227"/>
  <c r="AW60" i="230"/>
  <c r="BB60" i="230" s="1"/>
  <c r="AB55" i="227"/>
  <c r="R50" i="230"/>
  <c r="J45" i="227"/>
  <c r="R33" i="230"/>
  <c r="J28" i="227"/>
  <c r="AZ34" i="230"/>
  <c r="BJ34" i="230" s="1"/>
  <c r="BK34" i="230" s="1"/>
  <c r="Y29" i="227"/>
  <c r="R58" i="230"/>
  <c r="J53" i="227"/>
  <c r="R48" i="230"/>
  <c r="J43" i="227"/>
  <c r="AT59" i="230"/>
  <c r="X54" i="227"/>
  <c r="AW61" i="230"/>
  <c r="BB61" i="230" s="1"/>
  <c r="AB56" i="227"/>
  <c r="AW58" i="230"/>
  <c r="BB58" i="230" s="1"/>
  <c r="AB53" i="227"/>
  <c r="AZ40" i="230"/>
  <c r="BJ40" i="230" s="1"/>
  <c r="BK40" i="230" s="1"/>
  <c r="Y35" i="227"/>
  <c r="AT64" i="230"/>
  <c r="X59" i="227"/>
  <c r="AZ64" i="230"/>
  <c r="BJ64" i="230" s="1"/>
  <c r="BK64" i="230" s="1"/>
  <c r="Y59" i="227"/>
  <c r="BL19" i="230"/>
  <c r="BM19" i="230" s="1"/>
  <c r="AF19" i="230"/>
  <c r="BE19" i="230"/>
  <c r="BL23" i="230"/>
  <c r="BM23" i="230" s="1"/>
  <c r="AF23" i="230"/>
  <c r="BE23" i="230"/>
  <c r="BL27" i="230"/>
  <c r="BM27" i="230" s="1"/>
  <c r="AF27" i="230"/>
  <c r="BE27" i="230"/>
  <c r="AP52" i="230"/>
  <c r="BH52" i="230"/>
  <c r="AP56" i="230"/>
  <c r="BH56" i="230"/>
  <c r="BD59" i="230"/>
  <c r="AV59" i="230" s="1"/>
  <c r="X59" i="230"/>
  <c r="Q54" i="227" s="1"/>
  <c r="AP60" i="230"/>
  <c r="BH60" i="230"/>
  <c r="BH58" i="230"/>
  <c r="AP58" i="230"/>
  <c r="AN56" i="230"/>
  <c r="BG56" i="230"/>
  <c r="AH56" i="230"/>
  <c r="AA51" i="227" s="1"/>
  <c r="AG56" i="230"/>
  <c r="Z51" i="227" s="1"/>
  <c r="AR56" i="230"/>
  <c r="AY56" i="230" s="1"/>
  <c r="BD64" i="230"/>
  <c r="AV64" i="230" s="1"/>
  <c r="X64" i="230"/>
  <c r="Q59" i="227" s="1"/>
  <c r="AG64" i="230"/>
  <c r="Z59" i="227" s="1"/>
  <c r="AN64" i="230"/>
  <c r="BG64" i="230"/>
  <c r="AH64" i="230"/>
  <c r="AA59" i="227" s="1"/>
  <c r="AR64" i="230"/>
  <c r="AY64" i="230" s="1"/>
  <c r="BP129" i="230"/>
  <c r="BO129" i="230"/>
  <c r="BP123" i="230"/>
  <c r="BO123" i="230"/>
  <c r="BP81" i="230"/>
  <c r="BO81" i="230"/>
  <c r="BP133" i="230"/>
  <c r="BO133" i="230"/>
  <c r="BP111" i="230"/>
  <c r="BO111" i="230"/>
  <c r="BP104" i="230"/>
  <c r="BO104" i="230"/>
  <c r="BP116" i="230"/>
  <c r="BO116" i="230"/>
  <c r="BP101" i="230"/>
  <c r="BO101" i="230"/>
  <c r="BP97" i="230"/>
  <c r="BO97" i="230"/>
  <c r="BP108" i="230"/>
  <c r="BO108" i="230"/>
  <c r="BP83" i="230"/>
  <c r="BO83" i="230"/>
  <c r="BP84" i="230"/>
  <c r="BO84" i="230"/>
  <c r="BP115" i="230"/>
  <c r="BO115" i="230"/>
  <c r="BP124" i="230"/>
  <c r="BO124" i="230"/>
  <c r="BP82" i="230"/>
  <c r="BO82" i="230"/>
  <c r="BP134" i="230"/>
  <c r="BO134" i="230"/>
  <c r="BP76" i="230"/>
  <c r="BO76" i="230"/>
  <c r="BL20" i="230"/>
  <c r="BM20" i="230" s="1"/>
  <c r="AF20" i="230"/>
  <c r="BE20" i="230"/>
  <c r="BL24" i="230"/>
  <c r="BM24" i="230" s="1"/>
  <c r="AF24" i="230"/>
  <c r="BE24" i="230"/>
  <c r="AQ28" i="230"/>
  <c r="BL28" i="230"/>
  <c r="BM28" i="230" s="1"/>
  <c r="AF28" i="230"/>
  <c r="BE28" i="230"/>
  <c r="AP54" i="230"/>
  <c r="BH54" i="230"/>
  <c r="BD60" i="230"/>
  <c r="AV60" i="230" s="1"/>
  <c r="X60" i="230"/>
  <c r="Q55" i="227" s="1"/>
  <c r="BD58" i="230"/>
  <c r="AV58" i="230" s="1"/>
  <c r="X58" i="230"/>
  <c r="Q53" i="227" s="1"/>
  <c r="AP57" i="230"/>
  <c r="BH57" i="230"/>
  <c r="AP61" i="230"/>
  <c r="BH61" i="230"/>
  <c r="BD62" i="230"/>
  <c r="AV62" i="230" s="1"/>
  <c r="X62" i="230"/>
  <c r="Q57" i="227" s="1"/>
  <c r="AN61" i="230"/>
  <c r="BG61" i="230"/>
  <c r="AH61" i="230"/>
  <c r="AA56" i="227" s="1"/>
  <c r="AG61" i="230"/>
  <c r="Z56" i="227" s="1"/>
  <c r="AR61" i="230"/>
  <c r="AY61" i="230" s="1"/>
  <c r="BP65" i="230"/>
  <c r="BO65" i="230"/>
  <c r="BD63" i="230"/>
  <c r="AV63" i="230" s="1"/>
  <c r="X63" i="230"/>
  <c r="Q58" i="227" s="1"/>
  <c r="AP63" i="230"/>
  <c r="BH63" i="230"/>
  <c r="BP112" i="230"/>
  <c r="BO112" i="230"/>
  <c r="BP93" i="230"/>
  <c r="BO93" i="230"/>
  <c r="BP74" i="230"/>
  <c r="BO74" i="230"/>
  <c r="BP118" i="230"/>
  <c r="BO118" i="230"/>
  <c r="BP109" i="230"/>
  <c r="BO109" i="230"/>
  <c r="BP87" i="230"/>
  <c r="BO87" i="230"/>
  <c r="BP86" i="230"/>
  <c r="BO86" i="230"/>
  <c r="BP126" i="230"/>
  <c r="BO126" i="230"/>
  <c r="BP85" i="230"/>
  <c r="BO85" i="230"/>
  <c r="BP91" i="230"/>
  <c r="BO91" i="230"/>
  <c r="BP79" i="230"/>
  <c r="BO79" i="230"/>
  <c r="BP100" i="230"/>
  <c r="BO100" i="230"/>
  <c r="BP78" i="230"/>
  <c r="BO78" i="230"/>
  <c r="BP107" i="230"/>
  <c r="BO107" i="230"/>
  <c r="BP75" i="230"/>
  <c r="BO75" i="230"/>
  <c r="BP122" i="230"/>
  <c r="BO122" i="230"/>
  <c r="BP98" i="230"/>
  <c r="BO98" i="230"/>
  <c r="BL17" i="230"/>
  <c r="BM17" i="230" s="1"/>
  <c r="AF17" i="230"/>
  <c r="BE17" i="230"/>
  <c r="BL21" i="230"/>
  <c r="BM21" i="230" s="1"/>
  <c r="AF21" i="230"/>
  <c r="BE21" i="230"/>
  <c r="BL25" i="230"/>
  <c r="BM25" i="230" s="1"/>
  <c r="AF25" i="230"/>
  <c r="BE25" i="230"/>
  <c r="L29" i="230"/>
  <c r="AE29" i="230" s="1"/>
  <c r="X24" i="227" s="1"/>
  <c r="BL29" i="230"/>
  <c r="BM29" i="230" s="1"/>
  <c r="AF29" i="230"/>
  <c r="BE29" i="230"/>
  <c r="AN60" i="230"/>
  <c r="BG60" i="230"/>
  <c r="AH60" i="230"/>
  <c r="AA55" i="227" s="1"/>
  <c r="AG60" i="230"/>
  <c r="Z55" i="227" s="1"/>
  <c r="AR60" i="230"/>
  <c r="AY60" i="230" s="1"/>
  <c r="BH62" i="230"/>
  <c r="AP62" i="230"/>
  <c r="BD56" i="230"/>
  <c r="AV56" i="230" s="1"/>
  <c r="X56" i="230"/>
  <c r="Q51" i="227" s="1"/>
  <c r="AN57" i="230"/>
  <c r="BG57" i="230"/>
  <c r="AH57" i="230"/>
  <c r="AA52" i="227" s="1"/>
  <c r="AG57" i="230"/>
  <c r="Z52" i="227" s="1"/>
  <c r="AR57" i="230"/>
  <c r="AY57" i="230" s="1"/>
  <c r="BD57" i="230"/>
  <c r="AV57" i="230" s="1"/>
  <c r="X57" i="230"/>
  <c r="Q52" i="227" s="1"/>
  <c r="AN59" i="230"/>
  <c r="BG59" i="230"/>
  <c r="AH59" i="230"/>
  <c r="AA54" i="227" s="1"/>
  <c r="AG59" i="230"/>
  <c r="Z54" i="227" s="1"/>
  <c r="AR59" i="230"/>
  <c r="AY59" i="230" s="1"/>
  <c r="BP66" i="230"/>
  <c r="BO66" i="230"/>
  <c r="AN63" i="230"/>
  <c r="BG63" i="230"/>
  <c r="AH63" i="230"/>
  <c r="AA58" i="227" s="1"/>
  <c r="AG63" i="230"/>
  <c r="Z58" i="227" s="1"/>
  <c r="AR63" i="230"/>
  <c r="AY63" i="230" s="1"/>
  <c r="BP95" i="230"/>
  <c r="BO95" i="230"/>
  <c r="BP105" i="230"/>
  <c r="BO105" i="230"/>
  <c r="BP67" i="230"/>
  <c r="BO67" i="230"/>
  <c r="BP106" i="230"/>
  <c r="BO106" i="230"/>
  <c r="BP92" i="230"/>
  <c r="BO92" i="230"/>
  <c r="BP80" i="230"/>
  <c r="BO80" i="230"/>
  <c r="BP117" i="230"/>
  <c r="BO117" i="230"/>
  <c r="BP102" i="230"/>
  <c r="BO102" i="230"/>
  <c r="BP69" i="230"/>
  <c r="BO69" i="230"/>
  <c r="BP120" i="230"/>
  <c r="BO120" i="230"/>
  <c r="BP72" i="230"/>
  <c r="BO72" i="230"/>
  <c r="BP131" i="230"/>
  <c r="BO131" i="230"/>
  <c r="BP113" i="230"/>
  <c r="BO113" i="230"/>
  <c r="BP119" i="230"/>
  <c r="BO119" i="230"/>
  <c r="BP71" i="230"/>
  <c r="BO71" i="230"/>
  <c r="BP68" i="230"/>
  <c r="BO68" i="230"/>
  <c r="BP114" i="230"/>
  <c r="BO114" i="230"/>
  <c r="BL18" i="230"/>
  <c r="BM18" i="230" s="1"/>
  <c r="AF18" i="230"/>
  <c r="BE18" i="230"/>
  <c r="BL22" i="230"/>
  <c r="BM22" i="230" s="1"/>
  <c r="AF22" i="230"/>
  <c r="BE22" i="230"/>
  <c r="BL26" i="230"/>
  <c r="BM26" i="230" s="1"/>
  <c r="AF26" i="230"/>
  <c r="BE26" i="230"/>
  <c r="L30" i="230"/>
  <c r="AE30" i="230" s="1"/>
  <c r="X25" i="227" s="1"/>
  <c r="BL30" i="230"/>
  <c r="BM30" i="230" s="1"/>
  <c r="AF30" i="230"/>
  <c r="BE30" i="230"/>
  <c r="AP50" i="230"/>
  <c r="BH50" i="230"/>
  <c r="AP51" i="230"/>
  <c r="BH51" i="230"/>
  <c r="AP53" i="230"/>
  <c r="BH53" i="230"/>
  <c r="AG55" i="230"/>
  <c r="Z50" i="227" s="1"/>
  <c r="AN55" i="230"/>
  <c r="BG55" i="230"/>
  <c r="AH55" i="230"/>
  <c r="AA50" i="227" s="1"/>
  <c r="AR55" i="230"/>
  <c r="AY55" i="230" s="1"/>
  <c r="BD61" i="230"/>
  <c r="AV61" i="230" s="1"/>
  <c r="X61" i="230"/>
  <c r="Q56" i="227" s="1"/>
  <c r="BD55" i="230"/>
  <c r="AV55" i="230" s="1"/>
  <c r="X55" i="230"/>
  <c r="Q50" i="227" s="1"/>
  <c r="AP55" i="230"/>
  <c r="BH55" i="230"/>
  <c r="AN58" i="230"/>
  <c r="BG58" i="230"/>
  <c r="AH58" i="230"/>
  <c r="AA53" i="227" s="1"/>
  <c r="AR58" i="230"/>
  <c r="AY58" i="230" s="1"/>
  <c r="AG58" i="230"/>
  <c r="Z53" i="227" s="1"/>
  <c r="AP59" i="230"/>
  <c r="BH59" i="230"/>
  <c r="AN62" i="230"/>
  <c r="BG62" i="230"/>
  <c r="AH62" i="230"/>
  <c r="AA57" i="227" s="1"/>
  <c r="AG62" i="230"/>
  <c r="Z57" i="227" s="1"/>
  <c r="AR62" i="230"/>
  <c r="AY62" i="230" s="1"/>
  <c r="AP64" i="230"/>
  <c r="BH64" i="230"/>
  <c r="BP77" i="230"/>
  <c r="BO77" i="230"/>
  <c r="BP88" i="230"/>
  <c r="BO88" i="230"/>
  <c r="BP90" i="230"/>
  <c r="BO90" i="230"/>
  <c r="BP128" i="230"/>
  <c r="BO128" i="230"/>
  <c r="BP121" i="230"/>
  <c r="BO121" i="230"/>
  <c r="BP73" i="230"/>
  <c r="BO73" i="230"/>
  <c r="BP132" i="230"/>
  <c r="BO132" i="230"/>
  <c r="BP127" i="230"/>
  <c r="BO127" i="230"/>
  <c r="BP125" i="230"/>
  <c r="BO125" i="230"/>
  <c r="BP103" i="230"/>
  <c r="BO103" i="230"/>
  <c r="BP99" i="230"/>
  <c r="BO99" i="230"/>
  <c r="BP70" i="230"/>
  <c r="BO70" i="230"/>
  <c r="BP96" i="230"/>
  <c r="BO96" i="230"/>
  <c r="BP89" i="230"/>
  <c r="BO89" i="230"/>
  <c r="BP94" i="230"/>
  <c r="BO94" i="230"/>
  <c r="BP110" i="230"/>
  <c r="BO110" i="230"/>
  <c r="BP130" i="230"/>
  <c r="BO130" i="230"/>
  <c r="L22" i="230"/>
  <c r="AE22" i="230" s="1"/>
  <c r="X17" i="227" s="1"/>
  <c r="L26" i="230"/>
  <c r="AE26" i="230" s="1"/>
  <c r="X21" i="227" s="1"/>
  <c r="L18" i="230"/>
  <c r="AE18" i="230" s="1"/>
  <c r="X13" i="227" s="1"/>
  <c r="L19" i="230"/>
  <c r="AE19" i="230" s="1"/>
  <c r="X14" i="227" s="1"/>
  <c r="L23" i="230"/>
  <c r="AE23" i="230" s="1"/>
  <c r="X18" i="227" s="1"/>
  <c r="L27" i="230"/>
  <c r="AE27" i="230" s="1"/>
  <c r="X22" i="227" s="1"/>
  <c r="L20" i="230"/>
  <c r="AE20" i="230" s="1"/>
  <c r="X15" i="227" s="1"/>
  <c r="L24" i="230"/>
  <c r="AE24" i="230" s="1"/>
  <c r="X19" i="227" s="1"/>
  <c r="L28" i="230"/>
  <c r="AE28" i="230" s="1"/>
  <c r="X23" i="227" s="1"/>
  <c r="L17" i="230"/>
  <c r="AE17" i="230" s="1"/>
  <c r="X12" i="227" s="1"/>
  <c r="L21" i="230"/>
  <c r="AE21" i="230" s="1"/>
  <c r="X16" i="227" s="1"/>
  <c r="L25" i="230"/>
  <c r="AE25" i="230" s="1"/>
  <c r="X20" i="227" s="1"/>
  <c r="AQ22" i="230"/>
  <c r="AQ30" i="230"/>
  <c r="AQ25" i="230"/>
  <c r="AQ23" i="230"/>
  <c r="AQ20" i="230"/>
  <c r="AQ29" i="230"/>
  <c r="AQ18" i="230"/>
  <c r="AQ17" i="230"/>
  <c r="AQ19" i="230"/>
  <c r="AQ21" i="230"/>
  <c r="AQ27" i="230"/>
  <c r="AQ24" i="230"/>
  <c r="AQ26" i="230"/>
  <c r="AL19" i="230"/>
  <c r="AL23" i="230"/>
  <c r="AL27" i="230"/>
  <c r="AL17" i="230"/>
  <c r="AL21" i="230"/>
  <c r="AL25" i="230"/>
  <c r="AL29" i="230"/>
  <c r="AL18" i="230"/>
  <c r="AL22" i="230"/>
  <c r="AL26" i="230"/>
  <c r="AL30" i="230"/>
  <c r="AL20" i="230"/>
  <c r="AL24" i="230"/>
  <c r="AL28" i="230"/>
  <c r="AN41" i="220"/>
  <c r="AN40" i="220"/>
  <c r="AN39" i="220"/>
  <c r="AN38" i="220"/>
  <c r="AN37" i="220"/>
  <c r="AN36" i="220"/>
  <c r="AN35" i="220"/>
  <c r="AN34" i="220"/>
  <c r="AN33" i="220"/>
  <c r="AN32" i="220"/>
  <c r="AN31" i="220"/>
  <c r="AN30" i="220"/>
  <c r="AN29" i="220"/>
  <c r="AN28" i="220"/>
  <c r="AN27" i="220"/>
  <c r="AN26" i="220"/>
  <c r="AN25" i="220"/>
  <c r="AN24" i="220"/>
  <c r="AN23" i="220"/>
  <c r="AN22" i="220"/>
  <c r="AN21" i="220"/>
  <c r="AN20" i="220"/>
  <c r="AN19" i="220"/>
  <c r="AN18" i="220"/>
  <c r="AN17" i="220"/>
  <c r="AN16" i="220"/>
  <c r="AN15" i="220"/>
  <c r="AN14" i="220"/>
  <c r="AN13" i="220"/>
  <c r="AN12" i="220"/>
  <c r="AN11" i="220"/>
  <c r="AN10" i="220"/>
  <c r="AN9" i="220"/>
  <c r="AN8" i="220"/>
  <c r="K35" i="227" l="1"/>
  <c r="BF40" i="230"/>
  <c r="K53" i="227"/>
  <c r="BF58" i="230"/>
  <c r="K58" i="227"/>
  <c r="BF63" i="230"/>
  <c r="K54" i="227"/>
  <c r="BF59" i="230"/>
  <c r="K59" i="227"/>
  <c r="BF64" i="230"/>
  <c r="K37" i="227"/>
  <c r="BF42" i="230"/>
  <c r="K42" i="227"/>
  <c r="BF47" i="230"/>
  <c r="K48" i="227"/>
  <c r="BF53" i="230"/>
  <c r="K40" i="227"/>
  <c r="BF45" i="230"/>
  <c r="K49" i="227"/>
  <c r="BF54" i="230"/>
  <c r="K46" i="227"/>
  <c r="BF51" i="230"/>
  <c r="K55" i="227"/>
  <c r="BF60" i="230"/>
  <c r="K45" i="227"/>
  <c r="BF50" i="230"/>
  <c r="K43" i="227"/>
  <c r="BF48" i="230"/>
  <c r="K36" i="227"/>
  <c r="BF41" i="230"/>
  <c r="K41" i="227"/>
  <c r="BF46" i="230"/>
  <c r="K56" i="227"/>
  <c r="BF61" i="230"/>
  <c r="K31" i="227"/>
  <c r="BF36" i="230"/>
  <c r="K27" i="227"/>
  <c r="BF32" i="230"/>
  <c r="K33" i="227"/>
  <c r="BF38" i="230"/>
  <c r="K28" i="227"/>
  <c r="BF33" i="230"/>
  <c r="K52" i="227"/>
  <c r="BF57" i="230"/>
  <c r="K51" i="227"/>
  <c r="BF56" i="230"/>
  <c r="K50" i="227"/>
  <c r="BF55" i="230"/>
  <c r="K44" i="227"/>
  <c r="BF49" i="230"/>
  <c r="K57" i="227"/>
  <c r="BF62" i="230"/>
  <c r="K32" i="227"/>
  <c r="BF37" i="230"/>
  <c r="K38" i="227"/>
  <c r="BF43" i="230"/>
  <c r="K34" i="227"/>
  <c r="BF39" i="230"/>
  <c r="K47" i="227"/>
  <c r="BF52" i="230"/>
  <c r="K30" i="227"/>
  <c r="BF35" i="230"/>
  <c r="K29" i="227"/>
  <c r="BF34" i="230"/>
  <c r="K39" i="227"/>
  <c r="BF44" i="230"/>
  <c r="BN28" i="230"/>
  <c r="AD23" i="227"/>
  <c r="BN21" i="230"/>
  <c r="AD16" i="227"/>
  <c r="BN19" i="230"/>
  <c r="AD14" i="227"/>
  <c r="BN18" i="230"/>
  <c r="AD13" i="227"/>
  <c r="BN24" i="230"/>
  <c r="AD19" i="227"/>
  <c r="BN30" i="230"/>
  <c r="AD25" i="227"/>
  <c r="BN20" i="230"/>
  <c r="AD15" i="227"/>
  <c r="BN17" i="230"/>
  <c r="AD12" i="227"/>
  <c r="BN29" i="230"/>
  <c r="AD24" i="227"/>
  <c r="BN27" i="230"/>
  <c r="AD22" i="227"/>
  <c r="BN26" i="230"/>
  <c r="AD21" i="227"/>
  <c r="BN25" i="230"/>
  <c r="AD20" i="227"/>
  <c r="BN23" i="230"/>
  <c r="AD18" i="227"/>
  <c r="BN22" i="230"/>
  <c r="AD17" i="227"/>
  <c r="S43" i="230"/>
  <c r="L38" i="227" s="1"/>
  <c r="U43" i="230"/>
  <c r="N38" i="227" s="1"/>
  <c r="U56" i="230"/>
  <c r="N51" i="227" s="1"/>
  <c r="S40" i="230"/>
  <c r="L35" i="227" s="1"/>
  <c r="T40" i="230"/>
  <c r="M35" i="227" s="1"/>
  <c r="U40" i="230"/>
  <c r="N35" i="227" s="1"/>
  <c r="T57" i="230"/>
  <c r="M52" i="227" s="1"/>
  <c r="T56" i="230"/>
  <c r="M51" i="227" s="1"/>
  <c r="T44" i="230"/>
  <c r="M39" i="227" s="1"/>
  <c r="U37" i="230"/>
  <c r="N32" i="227" s="1"/>
  <c r="S63" i="230"/>
  <c r="L58" i="227" s="1"/>
  <c r="S56" i="230"/>
  <c r="L51" i="227" s="1"/>
  <c r="T43" i="230"/>
  <c r="M38" i="227" s="1"/>
  <c r="S60" i="230"/>
  <c r="L55" i="227" s="1"/>
  <c r="S57" i="230"/>
  <c r="L52" i="227" s="1"/>
  <c r="T62" i="230"/>
  <c r="M57" i="227" s="1"/>
  <c r="S42" i="230"/>
  <c r="L37" i="227" s="1"/>
  <c r="U63" i="230"/>
  <c r="N58" i="227" s="1"/>
  <c r="S64" i="230"/>
  <c r="L59" i="227" s="1"/>
  <c r="S44" i="230"/>
  <c r="L39" i="227" s="1"/>
  <c r="T34" i="230"/>
  <c r="M29" i="227" s="1"/>
  <c r="T60" i="230"/>
  <c r="M55" i="227" s="1"/>
  <c r="S62" i="230"/>
  <c r="L57" i="227" s="1"/>
  <c r="T35" i="230"/>
  <c r="M30" i="227" s="1"/>
  <c r="S34" i="230"/>
  <c r="L29" i="227" s="1"/>
  <c r="U35" i="230"/>
  <c r="N30" i="227" s="1"/>
  <c r="T42" i="230"/>
  <c r="M37" i="227" s="1"/>
  <c r="U42" i="230"/>
  <c r="N37" i="227" s="1"/>
  <c r="U62" i="230"/>
  <c r="N57" i="227" s="1"/>
  <c r="U33" i="230"/>
  <c r="N28" i="227" s="1"/>
  <c r="S38" i="230"/>
  <c r="L33" i="227" s="1"/>
  <c r="S37" i="230"/>
  <c r="L32" i="227" s="1"/>
  <c r="U34" i="230"/>
  <c r="N29" i="227" s="1"/>
  <c r="U32" i="230"/>
  <c r="N27" i="227" s="1"/>
  <c r="T46" i="230"/>
  <c r="M41" i="227" s="1"/>
  <c r="T61" i="230"/>
  <c r="M56" i="227" s="1"/>
  <c r="U59" i="230"/>
  <c r="N54" i="227" s="1"/>
  <c r="S36" i="230"/>
  <c r="L31" i="227" s="1"/>
  <c r="T50" i="230"/>
  <c r="M45" i="227" s="1"/>
  <c r="U57" i="230"/>
  <c r="N52" i="227" s="1"/>
  <c r="T32" i="230"/>
  <c r="M27" i="227" s="1"/>
  <c r="S52" i="230"/>
  <c r="L47" i="227" s="1"/>
  <c r="S50" i="230"/>
  <c r="L45" i="227" s="1"/>
  <c r="U50" i="230"/>
  <c r="N45" i="227" s="1"/>
  <c r="T63" i="230"/>
  <c r="M58" i="227" s="1"/>
  <c r="U44" i="230"/>
  <c r="N39" i="227" s="1"/>
  <c r="T41" i="230"/>
  <c r="M36" i="227" s="1"/>
  <c r="T48" i="230"/>
  <c r="M43" i="227" s="1"/>
  <c r="T49" i="230"/>
  <c r="M44" i="227" s="1"/>
  <c r="S49" i="230"/>
  <c r="L44" i="227" s="1"/>
  <c r="U49" i="230"/>
  <c r="N44" i="227" s="1"/>
  <c r="U53" i="230"/>
  <c r="N48" i="227" s="1"/>
  <c r="T51" i="230"/>
  <c r="M46" i="227" s="1"/>
  <c r="S55" i="230"/>
  <c r="L50" i="227" s="1"/>
  <c r="T38" i="230"/>
  <c r="M33" i="227" s="1"/>
  <c r="S51" i="230"/>
  <c r="L46" i="227" s="1"/>
  <c r="T59" i="230"/>
  <c r="M54" i="227" s="1"/>
  <c r="T64" i="230"/>
  <c r="M59" i="227" s="1"/>
  <c r="U51" i="230"/>
  <c r="N46" i="227" s="1"/>
  <c r="S59" i="230"/>
  <c r="L54" i="227" s="1"/>
  <c r="U64" i="230"/>
  <c r="N59" i="227" s="1"/>
  <c r="T37" i="230"/>
  <c r="M32" i="227" s="1"/>
  <c r="T36" i="230"/>
  <c r="M31" i="227" s="1"/>
  <c r="S39" i="230"/>
  <c r="L34" i="227" s="1"/>
  <c r="S32" i="230"/>
  <c r="L27" i="227" s="1"/>
  <c r="U45" i="230"/>
  <c r="N40" i="227" s="1"/>
  <c r="AZ30" i="230"/>
  <c r="BJ30" i="230" s="1"/>
  <c r="BK30" i="230" s="1"/>
  <c r="Y25" i="227"/>
  <c r="S53" i="230"/>
  <c r="L48" i="227" s="1"/>
  <c r="S45" i="230"/>
  <c r="L40" i="227" s="1"/>
  <c r="T33" i="230"/>
  <c r="M28" i="227" s="1"/>
  <c r="AZ27" i="230"/>
  <c r="BJ27" i="230" s="1"/>
  <c r="BK27" i="230" s="1"/>
  <c r="Y22" i="227"/>
  <c r="T47" i="230"/>
  <c r="M42" i="227" s="1"/>
  <c r="AK56" i="230"/>
  <c r="U51" i="227"/>
  <c r="AK64" i="230"/>
  <c r="U59" i="227"/>
  <c r="AK55" i="230"/>
  <c r="U50" i="227"/>
  <c r="AZ26" i="230"/>
  <c r="BJ26" i="230" s="1"/>
  <c r="BK26" i="230" s="1"/>
  <c r="Y21" i="227"/>
  <c r="U47" i="230"/>
  <c r="N42" i="227" s="1"/>
  <c r="U36" i="230"/>
  <c r="N31" i="227" s="1"/>
  <c r="U38" i="230"/>
  <c r="N33" i="227" s="1"/>
  <c r="AZ25" i="230"/>
  <c r="BJ25" i="230" s="1"/>
  <c r="BK25" i="230" s="1"/>
  <c r="Y20" i="227"/>
  <c r="T54" i="230"/>
  <c r="M49" i="227" s="1"/>
  <c r="AZ23" i="230"/>
  <c r="BJ23" i="230" s="1"/>
  <c r="BK23" i="230" s="1"/>
  <c r="Y18" i="227"/>
  <c r="S46" i="230"/>
  <c r="L41" i="227" s="1"/>
  <c r="S61" i="230"/>
  <c r="L56" i="227" s="1"/>
  <c r="S35" i="230"/>
  <c r="L30" i="227" s="1"/>
  <c r="S54" i="230"/>
  <c r="L49" i="227" s="1"/>
  <c r="S48" i="230"/>
  <c r="L43" i="227" s="1"/>
  <c r="AZ22" i="230"/>
  <c r="BJ22" i="230" s="1"/>
  <c r="BK22" i="230" s="1"/>
  <c r="Y17" i="227"/>
  <c r="AZ28" i="230"/>
  <c r="BJ28" i="230" s="1"/>
  <c r="BK28" i="230" s="1"/>
  <c r="Y23" i="227"/>
  <c r="U46" i="230"/>
  <c r="N41" i="227" s="1"/>
  <c r="U61" i="230"/>
  <c r="N56" i="227" s="1"/>
  <c r="U54" i="230"/>
  <c r="N49" i="227" s="1"/>
  <c r="U48" i="230"/>
  <c r="N43" i="227" s="1"/>
  <c r="AK62" i="230"/>
  <c r="U57" i="227"/>
  <c r="AK60" i="230"/>
  <c r="U55" i="227"/>
  <c r="AZ21" i="230"/>
  <c r="BJ21" i="230" s="1"/>
  <c r="BK21" i="230" s="1"/>
  <c r="Y16" i="227"/>
  <c r="S41" i="230"/>
  <c r="L36" i="227" s="1"/>
  <c r="T52" i="230"/>
  <c r="M47" i="227" s="1"/>
  <c r="T55" i="230"/>
  <c r="M50" i="227" s="1"/>
  <c r="T39" i="230"/>
  <c r="M34" i="227" s="1"/>
  <c r="T58" i="230"/>
  <c r="M53" i="227" s="1"/>
  <c r="AZ19" i="230"/>
  <c r="BJ19" i="230" s="1"/>
  <c r="BK19" i="230" s="1"/>
  <c r="Y14" i="227"/>
  <c r="S58" i="230"/>
  <c r="L53" i="227" s="1"/>
  <c r="AK63" i="230"/>
  <c r="U58" i="227"/>
  <c r="AZ18" i="230"/>
  <c r="BJ18" i="230" s="1"/>
  <c r="BK18" i="230" s="1"/>
  <c r="Y13" i="227"/>
  <c r="U41" i="230"/>
  <c r="N36" i="227" s="1"/>
  <c r="U52" i="230"/>
  <c r="N47" i="227" s="1"/>
  <c r="U55" i="230"/>
  <c r="N50" i="227" s="1"/>
  <c r="U60" i="230"/>
  <c r="N55" i="227" s="1"/>
  <c r="U39" i="230"/>
  <c r="N34" i="227" s="1"/>
  <c r="U58" i="230"/>
  <c r="N53" i="227" s="1"/>
  <c r="AZ29" i="230"/>
  <c r="BJ29" i="230" s="1"/>
  <c r="BK29" i="230" s="1"/>
  <c r="Y24" i="227"/>
  <c r="AK57" i="230"/>
  <c r="U52" i="227"/>
  <c r="AZ20" i="230"/>
  <c r="BJ20" i="230" s="1"/>
  <c r="BK20" i="230" s="1"/>
  <c r="Y15" i="227"/>
  <c r="S47" i="230"/>
  <c r="L42" i="227" s="1"/>
  <c r="AZ17" i="230"/>
  <c r="BJ17" i="230" s="1"/>
  <c r="BK17" i="230" s="1"/>
  <c r="Y12" i="227"/>
  <c r="AZ24" i="230"/>
  <c r="BJ24" i="230" s="1"/>
  <c r="BK24" i="230" s="1"/>
  <c r="Y19" i="227"/>
  <c r="T53" i="230"/>
  <c r="M48" i="227" s="1"/>
  <c r="T45" i="230"/>
  <c r="M40" i="227" s="1"/>
  <c r="S33" i="230"/>
  <c r="L28" i="227" s="1"/>
  <c r="AK58" i="230"/>
  <c r="U53" i="227"/>
  <c r="AK61" i="230"/>
  <c r="U56" i="227"/>
  <c r="AK59" i="230"/>
  <c r="U54" i="227"/>
  <c r="G16" i="230"/>
  <c r="G15" i="230"/>
  <c r="G14" i="230"/>
  <c r="G13" i="230"/>
  <c r="G12" i="230"/>
  <c r="G11" i="230"/>
  <c r="G10" i="230"/>
  <c r="G9" i="230"/>
  <c r="G8" i="230"/>
  <c r="BP39" i="230" l="1"/>
  <c r="BO39" i="230"/>
  <c r="BP52" i="230"/>
  <c r="BO52" i="230"/>
  <c r="BP55" i="230"/>
  <c r="BO55" i="230"/>
  <c r="BP36" i="230"/>
  <c r="BO36" i="230"/>
  <c r="BO60" i="230"/>
  <c r="BP60" i="230"/>
  <c r="BP42" i="230"/>
  <c r="BO42" i="230"/>
  <c r="BP43" i="230"/>
  <c r="BO43" i="230"/>
  <c r="BP57" i="230"/>
  <c r="BO57" i="230"/>
  <c r="BP46" i="230"/>
  <c r="BO46" i="230"/>
  <c r="BP54" i="230"/>
  <c r="BO54" i="230"/>
  <c r="BO59" i="230"/>
  <c r="BP59" i="230"/>
  <c r="BP61" i="230"/>
  <c r="BO61" i="230"/>
  <c r="BP44" i="230"/>
  <c r="BO44" i="230"/>
  <c r="BP37" i="230"/>
  <c r="BO37" i="230"/>
  <c r="BO33" i="230"/>
  <c r="BP33" i="230"/>
  <c r="BO41" i="230"/>
  <c r="BP41" i="230"/>
  <c r="BP45" i="230"/>
  <c r="BO45" i="230"/>
  <c r="BP63" i="230"/>
  <c r="BO63" i="230"/>
  <c r="BO56" i="230"/>
  <c r="BP56" i="230"/>
  <c r="BP64" i="230"/>
  <c r="BO64" i="230"/>
  <c r="BP34" i="230"/>
  <c r="BO34" i="230"/>
  <c r="BP62" i="230"/>
  <c r="BO62" i="230"/>
  <c r="BP38" i="230"/>
  <c r="BO38" i="230"/>
  <c r="BO48" i="230"/>
  <c r="BP48" i="230"/>
  <c r="BP53" i="230"/>
  <c r="BO53" i="230"/>
  <c r="BP58" i="230"/>
  <c r="BO58" i="230"/>
  <c r="BP51" i="230"/>
  <c r="BO51" i="230"/>
  <c r="BO35" i="230"/>
  <c r="BP35" i="230"/>
  <c r="BP49" i="230"/>
  <c r="BO49" i="230"/>
  <c r="BP32" i="230"/>
  <c r="BO32" i="230"/>
  <c r="BO50" i="230"/>
  <c r="BP50" i="230"/>
  <c r="BP47" i="230"/>
  <c r="BO47" i="230"/>
  <c r="BP40" i="230"/>
  <c r="BO40" i="230"/>
  <c r="AF9" i="230"/>
  <c r="AF11" i="230"/>
  <c r="AF12" i="230"/>
  <c r="Y7" i="227" s="1"/>
  <c r="AF13" i="230"/>
  <c r="Y8" i="227" s="1"/>
  <c r="Y5" i="227"/>
  <c r="AF14" i="230"/>
  <c r="BL11" i="230"/>
  <c r="BM11" i="230" s="1"/>
  <c r="BE11" i="230"/>
  <c r="BL15" i="230"/>
  <c r="BM15" i="230" s="1"/>
  <c r="BE15" i="230"/>
  <c r="L8" i="230"/>
  <c r="BL8" i="230"/>
  <c r="BM8" i="230" s="1"/>
  <c r="BE8" i="230"/>
  <c r="BL12" i="230"/>
  <c r="BM12" i="230" s="1"/>
  <c r="AZ12" i="230"/>
  <c r="BJ12" i="230" s="1"/>
  <c r="BE12" i="230"/>
  <c r="BL16" i="230"/>
  <c r="BM16" i="230" s="1"/>
  <c r="BE16" i="230"/>
  <c r="BL9" i="230"/>
  <c r="BM9" i="230" s="1"/>
  <c r="BE9" i="230"/>
  <c r="BL13" i="230"/>
  <c r="BM13" i="230" s="1"/>
  <c r="BE13" i="230"/>
  <c r="BL10" i="230"/>
  <c r="BM10" i="230" s="1"/>
  <c r="BE10" i="230"/>
  <c r="BL14" i="230"/>
  <c r="BM14" i="230" s="1"/>
  <c r="BE14" i="230"/>
  <c r="L12" i="230"/>
  <c r="AE12" i="230" s="1"/>
  <c r="X7" i="227" s="1"/>
  <c r="L9" i="230"/>
  <c r="AE9" i="230" s="1"/>
  <c r="X4" i="227" s="1"/>
  <c r="L13" i="230"/>
  <c r="AE13" i="230" s="1"/>
  <c r="X8" i="227" s="1"/>
  <c r="L10" i="230"/>
  <c r="AE10" i="230" s="1"/>
  <c r="L14" i="230"/>
  <c r="X9" i="227" s="1"/>
  <c r="L11" i="230"/>
  <c r="L15" i="230"/>
  <c r="AE15" i="230" s="1"/>
  <c r="X10" i="227" s="1"/>
  <c r="L16" i="230"/>
  <c r="X11" i="227" s="1"/>
  <c r="AQ16" i="230"/>
  <c r="AQ15" i="230"/>
  <c r="AQ14" i="230"/>
  <c r="AQ11" i="230"/>
  <c r="AQ12" i="230"/>
  <c r="AQ13" i="230"/>
  <c r="AQ10" i="230"/>
  <c r="AQ9" i="230"/>
  <c r="AQ8" i="230"/>
  <c r="AL13" i="230"/>
  <c r="AL10" i="230"/>
  <c r="AL14" i="230"/>
  <c r="AL11" i="230"/>
  <c r="AL15" i="230"/>
  <c r="AL9" i="230"/>
  <c r="AL8" i="230"/>
  <c r="AL12" i="230"/>
  <c r="AL16" i="230"/>
  <c r="X5" i="227" l="1"/>
  <c r="AE11" i="230"/>
  <c r="X6" i="227" s="1"/>
  <c r="Z5" i="230"/>
  <c r="BN13" i="230"/>
  <c r="AD8" i="227"/>
  <c r="BN9" i="230"/>
  <c r="AD4" i="227"/>
  <c r="BN15" i="230"/>
  <c r="AD10" i="227"/>
  <c r="BN16" i="230"/>
  <c r="AD11" i="227"/>
  <c r="BN11" i="230"/>
  <c r="AD6" i="227"/>
  <c r="BN14" i="230"/>
  <c r="AD9" i="227"/>
  <c r="BN12" i="230"/>
  <c r="AD7" i="227"/>
  <c r="BN10" i="230"/>
  <c r="AD5" i="227"/>
  <c r="BN8" i="230"/>
  <c r="AD3" i="227"/>
  <c r="AZ13" i="230"/>
  <c r="BJ13" i="230" s="1"/>
  <c r="AZ15" i="230"/>
  <c r="BJ15" i="230" s="1"/>
  <c r="BK15" i="230" s="1"/>
  <c r="Y10" i="227"/>
  <c r="AZ16" i="230"/>
  <c r="BJ16" i="230" s="1"/>
  <c r="BK16" i="230" s="1"/>
  <c r="Y11" i="227"/>
  <c r="AZ14" i="230"/>
  <c r="BJ14" i="230" s="1"/>
  <c r="Y9" i="227"/>
  <c r="AZ8" i="230"/>
  <c r="Y3" i="227"/>
  <c r="AZ11" i="230"/>
  <c r="BJ11" i="230" s="1"/>
  <c r="Y6" i="227"/>
  <c r="AZ10" i="230"/>
  <c r="AZ9" i="230"/>
  <c r="BJ9" i="230" s="1"/>
  <c r="BK9" i="230" s="1"/>
  <c r="Y4" i="227"/>
  <c r="BO18" i="235"/>
  <c r="BO17" i="235"/>
  <c r="BO16" i="235"/>
  <c r="BO15" i="235"/>
  <c r="BO14" i="235"/>
  <c r="BO13" i="235"/>
  <c r="BO12" i="235"/>
  <c r="BO11" i="235"/>
  <c r="BN18" i="235"/>
  <c r="BN17" i="235"/>
  <c r="BN16" i="235"/>
  <c r="BN15" i="235"/>
  <c r="BN14" i="235"/>
  <c r="BN13" i="235"/>
  <c r="BN12" i="235"/>
  <c r="BN11" i="235"/>
  <c r="BQ29" i="235"/>
  <c r="BQ28" i="235"/>
  <c r="BQ27" i="235"/>
  <c r="BQ26" i="235"/>
  <c r="BQ25" i="235"/>
  <c r="BQ24" i="235"/>
  <c r="BQ23" i="235"/>
  <c r="BQ22" i="235"/>
  <c r="BQ21" i="235"/>
  <c r="BQ20" i="235"/>
  <c r="BQ19" i="235"/>
  <c r="BQ18" i="235"/>
  <c r="BQ17" i="235"/>
  <c r="BQ16" i="235"/>
  <c r="BQ15" i="235"/>
  <c r="BQ14" i="235"/>
  <c r="BQ13" i="235"/>
  <c r="BQ12" i="235"/>
  <c r="BQ11" i="235"/>
  <c r="BM12" i="235"/>
  <c r="BM13" i="235"/>
  <c r="BM14" i="235"/>
  <c r="BM15" i="235"/>
  <c r="BM16" i="235"/>
  <c r="BM17" i="235"/>
  <c r="BM18" i="235"/>
  <c r="BR18" i="235" s="1"/>
  <c r="BM11" i="235"/>
  <c r="BS11" i="235" l="1"/>
  <c r="BR11" i="235"/>
  <c r="BR13" i="235"/>
  <c r="BS13" i="235"/>
  <c r="BS14" i="235"/>
  <c r="BR14" i="235"/>
  <c r="BS12" i="235"/>
  <c r="BR12" i="235"/>
  <c r="BS15" i="235"/>
  <c r="BR15" i="235"/>
  <c r="BS17" i="235"/>
  <c r="BR17" i="235"/>
  <c r="BS16" i="235"/>
  <c r="BR16" i="235"/>
  <c r="BJ38" i="235" l="1"/>
  <c r="BH38" i="235"/>
  <c r="BC38" i="235"/>
  <c r="AT38" i="235"/>
  <c r="AO38" i="235"/>
  <c r="AK38" i="235"/>
  <c r="AI38" i="235"/>
  <c r="AH38" i="235"/>
  <c r="AG38" i="235"/>
  <c r="AF38" i="235"/>
  <c r="AE38" i="235"/>
  <c r="BF38" i="235" s="1"/>
  <c r="AD38" i="235"/>
  <c r="AC38" i="235"/>
  <c r="AB38" i="235"/>
  <c r="AJ38" i="235"/>
  <c r="BJ37" i="235"/>
  <c r="BH37" i="235"/>
  <c r="BC37" i="235"/>
  <c r="AT37" i="235"/>
  <c r="AO37" i="235"/>
  <c r="AK37" i="235"/>
  <c r="AL37" i="235" s="1"/>
  <c r="AH37" i="235"/>
  <c r="AG37" i="235"/>
  <c r="AF37" i="235"/>
  <c r="AD37" i="235"/>
  <c r="AC37" i="235"/>
  <c r="AB37" i="235"/>
  <c r="Y37" i="235"/>
  <c r="BB37" i="235" s="1"/>
  <c r="X37" i="235"/>
  <c r="V37" i="235"/>
  <c r="AI37" i="235" s="1"/>
  <c r="N37" i="235"/>
  <c r="O37" i="235" s="1"/>
  <c r="P37" i="235" s="1"/>
  <c r="M37" i="235"/>
  <c r="K37" i="235"/>
  <c r="AE37" i="235" s="1"/>
  <c r="BF37" i="235" s="1"/>
  <c r="BJ36" i="235"/>
  <c r="BH36" i="235"/>
  <c r="BC36" i="235"/>
  <c r="BA36" i="235"/>
  <c r="BJ35" i="235"/>
  <c r="BH35" i="235"/>
  <c r="BC35" i="235"/>
  <c r="BA35" i="235"/>
  <c r="AU35" i="235"/>
  <c r="BJ34" i="235"/>
  <c r="BH34" i="235"/>
  <c r="BC34" i="235"/>
  <c r="AT34" i="235"/>
  <c r="AO34" i="235"/>
  <c r="AK34" i="235"/>
  <c r="AL34" i="235" s="1"/>
  <c r="AH34" i="235"/>
  <c r="AG34" i="235"/>
  <c r="AF34" i="235"/>
  <c r="AD34" i="235"/>
  <c r="AC34" i="235"/>
  <c r="AB34" i="235"/>
  <c r="Y34" i="235"/>
  <c r="BI34" i="235" s="1"/>
  <c r="X34" i="235"/>
  <c r="V34" i="235"/>
  <c r="AI34" i="235" s="1"/>
  <c r="N34" i="235"/>
  <c r="O34" i="235" s="1"/>
  <c r="P34" i="235" s="1"/>
  <c r="M34" i="235"/>
  <c r="K34" i="235"/>
  <c r="AE34" i="235" s="1"/>
  <c r="BJ33" i="235"/>
  <c r="BI33" i="235"/>
  <c r="BH33" i="235"/>
  <c r="BD33" i="235"/>
  <c r="BC33" i="235"/>
  <c r="BA33" i="235"/>
  <c r="AU33" i="235"/>
  <c r="BB33" i="235"/>
  <c r="BJ32" i="235"/>
  <c r="BI32" i="235"/>
  <c r="BH32" i="235"/>
  <c r="BC32" i="235"/>
  <c r="BB32" i="235"/>
  <c r="AU32" i="235"/>
  <c r="BA32" i="235"/>
  <c r="BJ31" i="235"/>
  <c r="BH31" i="235"/>
  <c r="BE31" i="235"/>
  <c r="BC31" i="235"/>
  <c r="BB31" i="235"/>
  <c r="AU31" i="235"/>
  <c r="BJ30" i="235"/>
  <c r="BH30" i="235"/>
  <c r="BD30" i="235"/>
  <c r="BC30" i="235"/>
  <c r="AU30" i="235"/>
  <c r="BE30" i="235"/>
  <c r="BB30" i="235"/>
  <c r="BJ29" i="235"/>
  <c r="BI29" i="235"/>
  <c r="BH29" i="235"/>
  <c r="BC29" i="235"/>
  <c r="BA29" i="235"/>
  <c r="AZ29" i="235"/>
  <c r="AU29" i="235"/>
  <c r="BB29" i="235"/>
  <c r="BJ28" i="235"/>
  <c r="BH28" i="235"/>
  <c r="BC28" i="235"/>
  <c r="BB28" i="235"/>
  <c r="AU28" i="235"/>
  <c r="BE28" i="235"/>
  <c r="BJ27" i="235"/>
  <c r="BH27" i="235"/>
  <c r="BC27" i="235"/>
  <c r="BB27" i="235"/>
  <c r="BA27" i="235"/>
  <c r="AU27" i="235"/>
  <c r="BJ26" i="235"/>
  <c r="BH26" i="235"/>
  <c r="BF26" i="235"/>
  <c r="BE26" i="235"/>
  <c r="BC26" i="235"/>
  <c r="BB26" i="235"/>
  <c r="BA26" i="235"/>
  <c r="AU26" i="235"/>
  <c r="BD26" i="235"/>
  <c r="BJ25" i="235"/>
  <c r="BI25" i="235"/>
  <c r="BH25" i="235"/>
  <c r="BC25" i="235"/>
  <c r="BA25" i="235"/>
  <c r="BB25" i="235"/>
  <c r="BF25" i="235"/>
  <c r="BJ24" i="235"/>
  <c r="BI24" i="235"/>
  <c r="BH24" i="235"/>
  <c r="BF24" i="235"/>
  <c r="BD24" i="235"/>
  <c r="BC24" i="235"/>
  <c r="AZ24" i="235"/>
  <c r="AU24" i="235"/>
  <c r="BA24" i="235"/>
  <c r="BE24" i="235"/>
  <c r="BJ23" i="235"/>
  <c r="BH23" i="235"/>
  <c r="BF23" i="235"/>
  <c r="BC23" i="235"/>
  <c r="BB23" i="235"/>
  <c r="BA23" i="235"/>
  <c r="BJ22" i="235"/>
  <c r="BH22" i="235"/>
  <c r="BC22" i="235"/>
  <c r="AU22" i="235"/>
  <c r="AT22" i="235"/>
  <c r="AO22" i="235"/>
  <c r="AK22" i="235"/>
  <c r="AL22" i="235" s="1"/>
  <c r="AM22" i="235" s="1"/>
  <c r="AH22" i="235"/>
  <c r="AG22" i="235"/>
  <c r="AF22" i="235"/>
  <c r="AD22" i="235"/>
  <c r="AC22" i="235"/>
  <c r="AB22" i="235"/>
  <c r="Y22" i="235"/>
  <c r="AJ22" i="235" s="1"/>
  <c r="X22" i="235"/>
  <c r="V22" i="235"/>
  <c r="AI22" i="235" s="1"/>
  <c r="N22" i="235"/>
  <c r="O22" i="235" s="1"/>
  <c r="P22" i="235" s="1"/>
  <c r="M22" i="235"/>
  <c r="K22" i="235"/>
  <c r="AE22" i="235" s="1"/>
  <c r="BF22" i="235" s="1"/>
  <c r="BJ21" i="235"/>
  <c r="BH21" i="235"/>
  <c r="BC21" i="235"/>
  <c r="AT21" i="235"/>
  <c r="AO21" i="235"/>
  <c r="AK21" i="235"/>
  <c r="AH21" i="235"/>
  <c r="AG21" i="235"/>
  <c r="AF21" i="235"/>
  <c r="AD21" i="235"/>
  <c r="AC21" i="235"/>
  <c r="AB21" i="235"/>
  <c r="Y21" i="235"/>
  <c r="BB21" i="235" s="1"/>
  <c r="X21" i="235"/>
  <c r="V21" i="235"/>
  <c r="AI21" i="235" s="1"/>
  <c r="N21" i="235"/>
  <c r="O21" i="235" s="1"/>
  <c r="P21" i="235" s="1"/>
  <c r="M21" i="235"/>
  <c r="K21" i="235"/>
  <c r="AE21" i="235" s="1"/>
  <c r="BF21" i="235" s="1"/>
  <c r="BJ20" i="235"/>
  <c r="BH20" i="235"/>
  <c r="BC20" i="235"/>
  <c r="AT20" i="235"/>
  <c r="AO20" i="235"/>
  <c r="AK20" i="235"/>
  <c r="AL20" i="235" s="1"/>
  <c r="AH20" i="235"/>
  <c r="AG20" i="235"/>
  <c r="AF20" i="235"/>
  <c r="AD20" i="235"/>
  <c r="AC20" i="235"/>
  <c r="AB20" i="235"/>
  <c r="Y20" i="235"/>
  <c r="BA20" i="235" s="1"/>
  <c r="X20" i="235"/>
  <c r="V20" i="235"/>
  <c r="AI20" i="235" s="1"/>
  <c r="N20" i="235"/>
  <c r="O20" i="235" s="1"/>
  <c r="P20" i="235" s="1"/>
  <c r="M20" i="235"/>
  <c r="K20" i="235"/>
  <c r="AE20" i="235" s="1"/>
  <c r="BE20" i="235" s="1"/>
  <c r="BJ19" i="235"/>
  <c r="BH19" i="235"/>
  <c r="BC19" i="235"/>
  <c r="AT19" i="235"/>
  <c r="AK19" i="235"/>
  <c r="AL19" i="235" s="1"/>
  <c r="AM19" i="235" s="1"/>
  <c r="AH19" i="235"/>
  <c r="AG19" i="235"/>
  <c r="AF19" i="235"/>
  <c r="AD19" i="235"/>
  <c r="AC19" i="235"/>
  <c r="AB19" i="235"/>
  <c r="Y19" i="235"/>
  <c r="AJ19" i="235" s="1"/>
  <c r="X19" i="235"/>
  <c r="V19" i="235"/>
  <c r="AI19" i="235" s="1"/>
  <c r="AE19" i="235"/>
  <c r="BJ18" i="235"/>
  <c r="BH18" i="235"/>
  <c r="BC18" i="235"/>
  <c r="AT18" i="235"/>
  <c r="AK18" i="235"/>
  <c r="AL18" i="235" s="1"/>
  <c r="AM18" i="235" s="1"/>
  <c r="AH18" i="235"/>
  <c r="AG18" i="235"/>
  <c r="AF18" i="235"/>
  <c r="AE18" i="235"/>
  <c r="BE18" i="235" s="1"/>
  <c r="AD18" i="235"/>
  <c r="AC18" i="235"/>
  <c r="AB18" i="235"/>
  <c r="Y18" i="235"/>
  <c r="AJ18" i="235" s="1"/>
  <c r="X18" i="235"/>
  <c r="V18" i="235"/>
  <c r="AI18" i="235" s="1"/>
  <c r="BJ16" i="235"/>
  <c r="BH16" i="235"/>
  <c r="BC16" i="235"/>
  <c r="AT16" i="235"/>
  <c r="AO16" i="235"/>
  <c r="AK16" i="235"/>
  <c r="AL16" i="235" s="1"/>
  <c r="AM16" i="235" s="1"/>
  <c r="AH16" i="235"/>
  <c r="AG16" i="235"/>
  <c r="AF16" i="235"/>
  <c r="AE16" i="235"/>
  <c r="BE16" i="235" s="1"/>
  <c r="AD16" i="235"/>
  <c r="AC16" i="235"/>
  <c r="AB16" i="235"/>
  <c r="Y16" i="235"/>
  <c r="BA16" i="235" s="1"/>
  <c r="X16" i="235"/>
  <c r="V16" i="235"/>
  <c r="N16" i="235"/>
  <c r="O16" i="235" s="1"/>
  <c r="P16" i="235" s="1"/>
  <c r="M16" i="235"/>
  <c r="K16" i="235"/>
  <c r="BJ15" i="235"/>
  <c r="BH15" i="235"/>
  <c r="BC15" i="235"/>
  <c r="BB15" i="235"/>
  <c r="BE15" i="235"/>
  <c r="BH14" i="235"/>
  <c r="BC14" i="235"/>
  <c r="AT14" i="235"/>
  <c r="AK14" i="235"/>
  <c r="AH14" i="235"/>
  <c r="AG14" i="235"/>
  <c r="AF14" i="235"/>
  <c r="AD14" i="235"/>
  <c r="AC14" i="235"/>
  <c r="AB14" i="235"/>
  <c r="Y14" i="235"/>
  <c r="BB14" i="235" s="1"/>
  <c r="X14" i="235"/>
  <c r="V14" i="235"/>
  <c r="AI14" i="235" s="1"/>
  <c r="N14" i="235"/>
  <c r="O14" i="235" s="1"/>
  <c r="M14" i="235"/>
  <c r="K14" i="235"/>
  <c r="AE14" i="235" s="1"/>
  <c r="BF14" i="235" s="1"/>
  <c r="BJ13" i="235"/>
  <c r="BH13" i="235"/>
  <c r="BC13" i="235"/>
  <c r="AT13" i="235"/>
  <c r="AK13" i="235"/>
  <c r="AL13" i="235" s="1"/>
  <c r="AM13" i="235" s="1"/>
  <c r="AH13" i="235"/>
  <c r="AF13" i="235"/>
  <c r="AD13" i="235"/>
  <c r="AC13" i="235"/>
  <c r="AB13" i="235"/>
  <c r="Y13" i="235"/>
  <c r="X13" i="235"/>
  <c r="T13" i="235"/>
  <c r="N13" i="235"/>
  <c r="O13" i="235" s="1"/>
  <c r="P13" i="235" s="1"/>
  <c r="M13" i="235"/>
  <c r="K13" i="235"/>
  <c r="AE13" i="235" s="1"/>
  <c r="BJ12" i="235"/>
  <c r="BH12" i="235"/>
  <c r="BC12" i="235"/>
  <c r="AT12" i="235"/>
  <c r="AK12" i="235"/>
  <c r="AL12" i="235" s="1"/>
  <c r="AM12" i="235" s="1"/>
  <c r="AH12" i="235"/>
  <c r="AF12" i="235"/>
  <c r="AD12" i="235"/>
  <c r="AC12" i="235"/>
  <c r="AB12" i="235"/>
  <c r="Y12" i="235"/>
  <c r="BA12" i="235" s="1"/>
  <c r="X12" i="235"/>
  <c r="T12" i="235"/>
  <c r="AO12" i="235" s="1"/>
  <c r="N12" i="235"/>
  <c r="O12" i="235" s="1"/>
  <c r="P12" i="235" s="1"/>
  <c r="M12" i="235"/>
  <c r="K12" i="235"/>
  <c r="AE12" i="235" s="1"/>
  <c r="BJ11" i="235"/>
  <c r="BH11" i="235"/>
  <c r="BC11" i="235"/>
  <c r="AT11" i="235"/>
  <c r="AK11" i="235"/>
  <c r="AL11" i="235" s="1"/>
  <c r="AH11" i="235"/>
  <c r="AF11" i="235"/>
  <c r="AD11" i="235"/>
  <c r="AC11" i="235"/>
  <c r="AB11" i="235"/>
  <c r="Y11" i="235"/>
  <c r="BA11" i="235" s="1"/>
  <c r="X11" i="235"/>
  <c r="T11" i="235"/>
  <c r="AO11" i="235" s="1"/>
  <c r="N11" i="235"/>
  <c r="O11" i="235" s="1"/>
  <c r="P11" i="235" s="1"/>
  <c r="M11" i="235"/>
  <c r="K11" i="235"/>
  <c r="AE11" i="235" s="1"/>
  <c r="Z9" i="235"/>
  <c r="S9" i="235"/>
  <c r="AG4" i="235"/>
  <c r="BA37" i="235" l="1"/>
  <c r="AU34" i="235"/>
  <c r="AQ21" i="235"/>
  <c r="AU16" i="235"/>
  <c r="AM34" i="235"/>
  <c r="BF34" i="235"/>
  <c r="AZ34" i="235"/>
  <c r="BE34" i="235"/>
  <c r="BA14" i="235"/>
  <c r="BD14" i="235"/>
  <c r="BF16" i="235"/>
  <c r="BA21" i="235"/>
  <c r="BD37" i="235"/>
  <c r="AJ14" i="235"/>
  <c r="AZ14" i="235"/>
  <c r="BE14" i="235"/>
  <c r="AZ16" i="235"/>
  <c r="BB19" i="235"/>
  <c r="AM20" i="235"/>
  <c r="AU21" i="235"/>
  <c r="AU37" i="235"/>
  <c r="AZ37" i="235"/>
  <c r="BE37" i="235"/>
  <c r="AQ14" i="235"/>
  <c r="BI14" i="235"/>
  <c r="BD16" i="235"/>
  <c r="AJ21" i="235"/>
  <c r="BI21" i="235"/>
  <c r="BA34" i="235"/>
  <c r="AJ37" i="235"/>
  <c r="AQ37" i="235"/>
  <c r="AR37" i="235" s="1"/>
  <c r="AS37" i="235" s="1"/>
  <c r="BI37" i="235"/>
  <c r="AU38" i="235"/>
  <c r="AO19" i="235"/>
  <c r="AO18" i="235"/>
  <c r="BF18" i="235"/>
  <c r="BB18" i="235"/>
  <c r="BD11" i="235"/>
  <c r="AZ11" i="235"/>
  <c r="BF11" i="235"/>
  <c r="BE11" i="235"/>
  <c r="BD19" i="235"/>
  <c r="AZ19" i="235"/>
  <c r="BF19" i="235"/>
  <c r="BE19" i="235"/>
  <c r="AW30" i="235"/>
  <c r="AX30" i="235" s="1"/>
  <c r="AY30" i="235" s="1"/>
  <c r="BD12" i="235"/>
  <c r="AZ12" i="235"/>
  <c r="BF12" i="235"/>
  <c r="BE12" i="235"/>
  <c r="BI13" i="235"/>
  <c r="AQ13" i="235"/>
  <c r="AK9" i="235"/>
  <c r="AZ22" i="235"/>
  <c r="BD22" i="235"/>
  <c r="BI22" i="235"/>
  <c r="AU25" i="235"/>
  <c r="AL14" i="235"/>
  <c r="AM14" i="235" s="1"/>
  <c r="AZ18" i="235"/>
  <c r="BD18" i="235"/>
  <c r="BI18" i="235"/>
  <c r="AR21" i="235"/>
  <c r="BD21" i="235"/>
  <c r="AQ22" i="235"/>
  <c r="AR22" i="235" s="1"/>
  <c r="AS22" i="235" s="1"/>
  <c r="BE22" i="235"/>
  <c r="BI23" i="235"/>
  <c r="BD27" i="235"/>
  <c r="AZ27" i="235"/>
  <c r="BE27" i="235"/>
  <c r="AZ30" i="235"/>
  <c r="BF30" i="235"/>
  <c r="BF33" i="235"/>
  <c r="BE33" i="235"/>
  <c r="AZ33" i="235"/>
  <c r="BI35" i="235"/>
  <c r="AW35" i="235"/>
  <c r="AX35" i="235" s="1"/>
  <c r="BB35" i="235"/>
  <c r="BD35" i="235"/>
  <c r="AZ35" i="235"/>
  <c r="BE35" i="235"/>
  <c r="AZ38" i="235"/>
  <c r="BD38" i="235"/>
  <c r="BI38" i="235"/>
  <c r="BD13" i="235"/>
  <c r="AZ13" i="235"/>
  <c r="AJ13" i="235"/>
  <c r="BB13" i="235"/>
  <c r="AU20" i="235"/>
  <c r="BB20" i="235"/>
  <c r="BE36" i="235"/>
  <c r="BF36" i="235"/>
  <c r="AZ36" i="235"/>
  <c r="BD36" i="235"/>
  <c r="AQ38" i="235"/>
  <c r="AR38" i="235" s="1"/>
  <c r="AS38" i="235" s="1"/>
  <c r="AM11" i="235"/>
  <c r="AG12" i="235"/>
  <c r="AU12" i="235" s="1"/>
  <c r="V12" i="235"/>
  <c r="AU15" i="235"/>
  <c r="AI16" i="235"/>
  <c r="BB16" i="235"/>
  <c r="AJ20" i="235"/>
  <c r="AQ20" i="235"/>
  <c r="AR20" i="235" s="1"/>
  <c r="BI20" i="235"/>
  <c r="BA22" i="235"/>
  <c r="BD23" i="235"/>
  <c r="AZ23" i="235"/>
  <c r="BD25" i="235"/>
  <c r="BI27" i="235"/>
  <c r="BD31" i="235"/>
  <c r="AZ31" i="235"/>
  <c r="BF31" i="235"/>
  <c r="BE32" i="235"/>
  <c r="BD32" i="235"/>
  <c r="AW32" i="235"/>
  <c r="AX32" i="235" s="1"/>
  <c r="AY32" i="235" s="1"/>
  <c r="BF32" i="235"/>
  <c r="BI11" i="235"/>
  <c r="AQ11" i="235"/>
  <c r="AR11" i="235" s="1"/>
  <c r="AJ11" i="235"/>
  <c r="BB11" i="235"/>
  <c r="AG13" i="235"/>
  <c r="V13" i="235"/>
  <c r="BE13" i="235"/>
  <c r="AO14" i="235"/>
  <c r="AJ16" i="235"/>
  <c r="AQ16" i="235"/>
  <c r="AR16" i="235" s="1"/>
  <c r="BI16" i="235"/>
  <c r="BA18" i="235"/>
  <c r="BI19" i="235"/>
  <c r="BA19" i="235"/>
  <c r="BD20" i="235"/>
  <c r="AL21" i="235"/>
  <c r="AM21" i="235" s="1"/>
  <c r="AZ21" i="235"/>
  <c r="BE21" i="235"/>
  <c r="BB22" i="235"/>
  <c r="BE23" i="235"/>
  <c r="AZ25" i="235"/>
  <c r="BE25" i="235"/>
  <c r="BF27" i="235"/>
  <c r="BD28" i="235"/>
  <c r="BF29" i="235"/>
  <c r="BD29" i="235"/>
  <c r="BE29" i="235"/>
  <c r="AZ32" i="235"/>
  <c r="AJ34" i="235"/>
  <c r="BB34" i="235"/>
  <c r="AQ34" i="235"/>
  <c r="AR34" i="235" s="1"/>
  <c r="AS34" i="235" s="1"/>
  <c r="BD34" i="235"/>
  <c r="BF35" i="235"/>
  <c r="BB36" i="235"/>
  <c r="BI36" i="235"/>
  <c r="AM37" i="235"/>
  <c r="AL38" i="235"/>
  <c r="AM38" i="235" s="1"/>
  <c r="BA38" i="235"/>
  <c r="BE38" i="235"/>
  <c r="AG11" i="235"/>
  <c r="V11" i="235"/>
  <c r="T9" i="235"/>
  <c r="BI12" i="235"/>
  <c r="AQ12" i="235"/>
  <c r="AR12" i="235" s="1"/>
  <c r="AJ12" i="235"/>
  <c r="BB12" i="235"/>
  <c r="BA13" i="235"/>
  <c r="BF13" i="235"/>
  <c r="BI15" i="235"/>
  <c r="BD15" i="235"/>
  <c r="AZ15" i="235"/>
  <c r="BA15" i="235"/>
  <c r="BF15" i="235"/>
  <c r="AZ20" i="235"/>
  <c r="BF20" i="235"/>
  <c r="AS21" i="235"/>
  <c r="BA28" i="235"/>
  <c r="BI28" i="235"/>
  <c r="AZ28" i="235"/>
  <c r="BF28" i="235"/>
  <c r="BA30" i="235"/>
  <c r="BI30" i="235"/>
  <c r="AU36" i="235"/>
  <c r="BB38" i="235"/>
  <c r="AU23" i="235"/>
  <c r="AW24" i="235"/>
  <c r="AX24" i="235" s="1"/>
  <c r="BB24" i="235"/>
  <c r="AZ26" i="235"/>
  <c r="BI26" i="235"/>
  <c r="BI31" i="235"/>
  <c r="BA31" i="235"/>
  <c r="AR14" i="235" l="1"/>
  <c r="AU18" i="235"/>
  <c r="AQ18" i="235"/>
  <c r="AU19" i="235"/>
  <c r="AQ19" i="235"/>
  <c r="AR19" i="235" s="1"/>
  <c r="AW19" i="235" s="1"/>
  <c r="AX19" i="235" s="1"/>
  <c r="AY19" i="235" s="1"/>
  <c r="AR18" i="235"/>
  <c r="AW18" i="235" s="1"/>
  <c r="AX18" i="235" s="1"/>
  <c r="AY18" i="235" s="1"/>
  <c r="AL9" i="235"/>
  <c r="AW21" i="235"/>
  <c r="AX21" i="235" s="1"/>
  <c r="AY21" i="235" s="1"/>
  <c r="AW22" i="235"/>
  <c r="AX22" i="235" s="1"/>
  <c r="AY22" i="235" s="1"/>
  <c r="AW37" i="235"/>
  <c r="AX37" i="235" s="1"/>
  <c r="AY37" i="235" s="1"/>
  <c r="AW34" i="235"/>
  <c r="AX34" i="235" s="1"/>
  <c r="AY34" i="235" s="1"/>
  <c r="AW38" i="235"/>
  <c r="AX38" i="235" s="1"/>
  <c r="AY38" i="235" s="1"/>
  <c r="AW28" i="235"/>
  <c r="AX28" i="235" s="1"/>
  <c r="AY28" i="235" s="1"/>
  <c r="AW15" i="235"/>
  <c r="AX15" i="235" s="1"/>
  <c r="AY15" i="235" s="1"/>
  <c r="AW31" i="235"/>
  <c r="AX31" i="235" s="1"/>
  <c r="AY31" i="235" s="1"/>
  <c r="AW26" i="235"/>
  <c r="AX26" i="235" s="1"/>
  <c r="AY26" i="235" s="1"/>
  <c r="AS20" i="235"/>
  <c r="AO13" i="235"/>
  <c r="AI12" i="235"/>
  <c r="AW20" i="235"/>
  <c r="AX20" i="235" s="1"/>
  <c r="AY20" i="235" s="1"/>
  <c r="AW25" i="235"/>
  <c r="AX25" i="235" s="1"/>
  <c r="AY25" i="235" s="1"/>
  <c r="AU14" i="235"/>
  <c r="AW14" i="235" s="1"/>
  <c r="AI13" i="235"/>
  <c r="AW23" i="235"/>
  <c r="AX23" i="235" s="1"/>
  <c r="AY23" i="235" s="1"/>
  <c r="V9" i="235"/>
  <c r="AI11" i="235"/>
  <c r="AW29" i="235"/>
  <c r="AX29" i="235" s="1"/>
  <c r="AY29" i="235" s="1"/>
  <c r="AS14" i="235"/>
  <c r="AW36" i="235"/>
  <c r="AX36" i="235" s="1"/>
  <c r="AY36" i="235" s="1"/>
  <c r="AW33" i="235"/>
  <c r="AX33" i="235" s="1"/>
  <c r="AY33" i="235" s="1"/>
  <c r="AS18" i="235"/>
  <c r="AY24" i="235"/>
  <c r="AU11" i="235"/>
  <c r="AG9" i="235"/>
  <c r="AW16" i="235"/>
  <c r="AX16" i="235" s="1"/>
  <c r="AY16" i="235" s="1"/>
  <c r="AS16" i="235"/>
  <c r="AM9" i="235"/>
  <c r="AY35" i="235"/>
  <c r="AW27" i="235"/>
  <c r="AX27" i="235" s="1"/>
  <c r="AY27" i="235" s="1"/>
  <c r="AS19" i="235" l="1"/>
  <c r="AW12" i="235"/>
  <c r="AX12" i="235" s="1"/>
  <c r="AY12" i="235" s="1"/>
  <c r="AS12" i="235"/>
  <c r="AX14" i="235"/>
  <c r="AY14" i="235" s="1"/>
  <c r="AR13" i="235"/>
  <c r="AO9" i="235"/>
  <c r="AS13" i="235"/>
  <c r="AU13" i="235"/>
  <c r="AW11" i="235"/>
  <c r="AX11" i="235" s="1"/>
  <c r="AY11" i="235" s="1"/>
  <c r="AI9" i="235"/>
  <c r="AS11" i="235"/>
  <c r="AW13" i="235" l="1"/>
  <c r="AS9" i="235"/>
  <c r="AX13" i="235"/>
  <c r="AY13" i="235" s="1"/>
  <c r="AR9" i="235"/>
  <c r="D7" i="233" l="1"/>
  <c r="AI49" i="230" l="1"/>
  <c r="AB44" i="227" s="1"/>
  <c r="AI48" i="230"/>
  <c r="AB43" i="227" s="1"/>
  <c r="AI47" i="230"/>
  <c r="AB42" i="227" s="1"/>
  <c r="AI46" i="230"/>
  <c r="AI45" i="230"/>
  <c r="AI44" i="230"/>
  <c r="AI43" i="230"/>
  <c r="AI42" i="230"/>
  <c r="AI41" i="230"/>
  <c r="P40" i="230"/>
  <c r="AI40" i="230" s="1"/>
  <c r="P39" i="230"/>
  <c r="AI39" i="230" s="1"/>
  <c r="P38" i="230"/>
  <c r="AI38" i="230" s="1"/>
  <c r="P37" i="230"/>
  <c r="AI37" i="230" s="1"/>
  <c r="P36" i="230"/>
  <c r="AI36" i="230" s="1"/>
  <c r="P35" i="230"/>
  <c r="AI35" i="230" s="1"/>
  <c r="P34" i="230"/>
  <c r="AI34" i="230" s="1"/>
  <c r="P33" i="230"/>
  <c r="AI33" i="230" s="1"/>
  <c r="P32" i="230"/>
  <c r="AI32" i="230" s="1"/>
  <c r="P31" i="230"/>
  <c r="AI31" i="230" s="1"/>
  <c r="P30" i="230"/>
  <c r="AI30" i="230" s="1"/>
  <c r="P29" i="230"/>
  <c r="AI29" i="230" s="1"/>
  <c r="P28" i="230"/>
  <c r="AI28" i="230" s="1"/>
  <c r="P27" i="230"/>
  <c r="AI27" i="230" s="1"/>
  <c r="P26" i="230"/>
  <c r="AI26" i="230" s="1"/>
  <c r="P25" i="230"/>
  <c r="AI25" i="230" s="1"/>
  <c r="P24" i="230"/>
  <c r="AI24" i="230" s="1"/>
  <c r="P23" i="230"/>
  <c r="AI23" i="230" s="1"/>
  <c r="P22" i="230"/>
  <c r="AI22" i="230" s="1"/>
  <c r="P21" i="230"/>
  <c r="AI21" i="230" s="1"/>
  <c r="P20" i="230"/>
  <c r="AI20" i="230" s="1"/>
  <c r="P19" i="230"/>
  <c r="AI19" i="230" s="1"/>
  <c r="P18" i="230"/>
  <c r="AI18" i="230" s="1"/>
  <c r="P17" i="230"/>
  <c r="AI17" i="230" s="1"/>
  <c r="AW38" i="230" l="1"/>
  <c r="BB38" i="230" s="1"/>
  <c r="AB33" i="227"/>
  <c r="AW39" i="230"/>
  <c r="BB39" i="230" s="1"/>
  <c r="AB34" i="227"/>
  <c r="AW29" i="230"/>
  <c r="BB29" i="230" s="1"/>
  <c r="AB24" i="227"/>
  <c r="AW41" i="230"/>
  <c r="BB41" i="230" s="1"/>
  <c r="AB36" i="227"/>
  <c r="AW17" i="230"/>
  <c r="BB17" i="230" s="1"/>
  <c r="AB12" i="227"/>
  <c r="AW30" i="230"/>
  <c r="BB30" i="230" s="1"/>
  <c r="AB25" i="227"/>
  <c r="AW42" i="230"/>
  <c r="BB42" i="230" s="1"/>
  <c r="AB37" i="227"/>
  <c r="AW40" i="230"/>
  <c r="BB40" i="230" s="1"/>
  <c r="AB35" i="227"/>
  <c r="AW19" i="230"/>
  <c r="BB19" i="230" s="1"/>
  <c r="AB14" i="227"/>
  <c r="AW31" i="230"/>
  <c r="BB31" i="230" s="1"/>
  <c r="AB26" i="227"/>
  <c r="AW43" i="230"/>
  <c r="BB43" i="230" s="1"/>
  <c r="AB38" i="227"/>
  <c r="AW20" i="230"/>
  <c r="BB20" i="230" s="1"/>
  <c r="AB15" i="227"/>
  <c r="AW32" i="230"/>
  <c r="BB32" i="230" s="1"/>
  <c r="AB27" i="227"/>
  <c r="AW44" i="230"/>
  <c r="BB44" i="230" s="1"/>
  <c r="AB39" i="227"/>
  <c r="AW45" i="230"/>
  <c r="BB45" i="230" s="1"/>
  <c r="AB40" i="227"/>
  <c r="AW26" i="230"/>
  <c r="BB26" i="230" s="1"/>
  <c r="AB21" i="227"/>
  <c r="AW21" i="230"/>
  <c r="BB21" i="230" s="1"/>
  <c r="AB16" i="227"/>
  <c r="AW34" i="230"/>
  <c r="BB34" i="230" s="1"/>
  <c r="AB29" i="227"/>
  <c r="AW46" i="230"/>
  <c r="BB46" i="230" s="1"/>
  <c r="AB41" i="227"/>
  <c r="AW28" i="230"/>
  <c r="BB28" i="230" s="1"/>
  <c r="AB23" i="227"/>
  <c r="AW33" i="230"/>
  <c r="BB33" i="230" s="1"/>
  <c r="AB28" i="227"/>
  <c r="AW23" i="230"/>
  <c r="BB23" i="230" s="1"/>
  <c r="AB18" i="227"/>
  <c r="AW35" i="230"/>
  <c r="BB35" i="230" s="1"/>
  <c r="AB30" i="227"/>
  <c r="AW27" i="230"/>
  <c r="BB27" i="230" s="1"/>
  <c r="AB22" i="227"/>
  <c r="AW24" i="230"/>
  <c r="BB24" i="230" s="1"/>
  <c r="AB19" i="227"/>
  <c r="AW36" i="230"/>
  <c r="BB36" i="230" s="1"/>
  <c r="AB31" i="227"/>
  <c r="AW18" i="230"/>
  <c r="BB18" i="230" s="1"/>
  <c r="AB13" i="227"/>
  <c r="AW22" i="230"/>
  <c r="BB22" i="230" s="1"/>
  <c r="AB17" i="227"/>
  <c r="AW25" i="230"/>
  <c r="BB25" i="230" s="1"/>
  <c r="AB20" i="227"/>
  <c r="AW37" i="230"/>
  <c r="BB37" i="230" s="1"/>
  <c r="AB32" i="227"/>
  <c r="AW48" i="230"/>
  <c r="BB48" i="230" s="1"/>
  <c r="AW49" i="230"/>
  <c r="BB49" i="230" s="1"/>
  <c r="AW47" i="230"/>
  <c r="BB47" i="230" s="1"/>
  <c r="O40" i="230"/>
  <c r="O39" i="230"/>
  <c r="O38" i="230"/>
  <c r="O37" i="230"/>
  <c r="O36" i="230"/>
  <c r="O35" i="230"/>
  <c r="O34" i="230"/>
  <c r="O33" i="230"/>
  <c r="O32" i="230"/>
  <c r="O31" i="230"/>
  <c r="O30" i="230"/>
  <c r="O29" i="230"/>
  <c r="O28" i="230"/>
  <c r="O27" i="230"/>
  <c r="O26" i="230"/>
  <c r="O25" i="230"/>
  <c r="O24" i="230"/>
  <c r="O23" i="230"/>
  <c r="O22" i="230"/>
  <c r="O21" i="230"/>
  <c r="O20" i="230"/>
  <c r="O19" i="230"/>
  <c r="O18" i="230"/>
  <c r="O17" i="230"/>
  <c r="AD49" i="230"/>
  <c r="W44" i="227" s="1"/>
  <c r="AD48" i="230"/>
  <c r="W43" i="227" s="1"/>
  <c r="AD47" i="230"/>
  <c r="W42" i="227" s="1"/>
  <c r="AD46" i="230"/>
  <c r="AD45" i="230"/>
  <c r="AD44" i="230"/>
  <c r="AD43" i="230"/>
  <c r="AD42" i="230"/>
  <c r="AD41" i="230"/>
  <c r="M40" i="230"/>
  <c r="AD40" i="230" s="1"/>
  <c r="M39" i="230"/>
  <c r="AD39" i="230" s="1"/>
  <c r="M38" i="230"/>
  <c r="AD38" i="230" s="1"/>
  <c r="M37" i="230"/>
  <c r="AD37" i="230" s="1"/>
  <c r="M36" i="230"/>
  <c r="AD36" i="230" s="1"/>
  <c r="M35" i="230"/>
  <c r="AD35" i="230" s="1"/>
  <c r="M34" i="230"/>
  <c r="AD34" i="230" s="1"/>
  <c r="M33" i="230"/>
  <c r="AD33" i="230" s="1"/>
  <c r="M32" i="230"/>
  <c r="AD32" i="230" s="1"/>
  <c r="M31" i="230"/>
  <c r="AD31" i="230" s="1"/>
  <c r="M30" i="230"/>
  <c r="AD30" i="230" s="1"/>
  <c r="M29" i="230"/>
  <c r="AD29" i="230" s="1"/>
  <c r="M28" i="230"/>
  <c r="AD28" i="230" s="1"/>
  <c r="M27" i="230"/>
  <c r="AD27" i="230" s="1"/>
  <c r="M26" i="230"/>
  <c r="AD26" i="230" s="1"/>
  <c r="M25" i="230"/>
  <c r="AD25" i="230" s="1"/>
  <c r="M24" i="230"/>
  <c r="AD24" i="230" s="1"/>
  <c r="M23" i="230"/>
  <c r="AD23" i="230" s="1"/>
  <c r="M22" i="230"/>
  <c r="AD22" i="230" s="1"/>
  <c r="M21" i="230"/>
  <c r="AD21" i="230" s="1"/>
  <c r="M20" i="230"/>
  <c r="AD20" i="230" s="1"/>
  <c r="M19" i="230"/>
  <c r="AD19" i="230" s="1"/>
  <c r="M18" i="230"/>
  <c r="AD18" i="230" s="1"/>
  <c r="M17" i="230"/>
  <c r="AD17" i="230" s="1"/>
  <c r="BH42" i="230" l="1"/>
  <c r="W37" i="227"/>
  <c r="BH31" i="230"/>
  <c r="W26" i="227"/>
  <c r="BH43" i="230"/>
  <c r="W38" i="227"/>
  <c r="BH29" i="230"/>
  <c r="W24" i="227"/>
  <c r="BH19" i="230"/>
  <c r="W14" i="227"/>
  <c r="BH44" i="230"/>
  <c r="W39" i="227"/>
  <c r="BH20" i="230"/>
  <c r="W15" i="227"/>
  <c r="BH33" i="230"/>
  <c r="W28" i="227"/>
  <c r="BH45" i="230"/>
  <c r="W40" i="227"/>
  <c r="BH34" i="230"/>
  <c r="W29" i="227"/>
  <c r="BH46" i="230"/>
  <c r="W41" i="227"/>
  <c r="BH18" i="230"/>
  <c r="W13" i="227"/>
  <c r="BH23" i="230"/>
  <c r="W18" i="227"/>
  <c r="BH35" i="230"/>
  <c r="W30" i="227"/>
  <c r="BH17" i="230"/>
  <c r="W12" i="227"/>
  <c r="BH21" i="230"/>
  <c r="W16" i="227"/>
  <c r="BH32" i="230"/>
  <c r="W27" i="227"/>
  <c r="BH25" i="230"/>
  <c r="W20" i="227"/>
  <c r="BH30" i="230"/>
  <c r="W25" i="227"/>
  <c r="BH36" i="230"/>
  <c r="W31" i="227"/>
  <c r="BH26" i="230"/>
  <c r="W21" i="227"/>
  <c r="BH38" i="230"/>
  <c r="W33" i="227"/>
  <c r="BH41" i="230"/>
  <c r="W36" i="227"/>
  <c r="BH22" i="230"/>
  <c r="W17" i="227"/>
  <c r="BH37" i="230"/>
  <c r="W32" i="227"/>
  <c r="BH39" i="230"/>
  <c r="W34" i="227"/>
  <c r="BH24" i="230"/>
  <c r="W19" i="227"/>
  <c r="BH27" i="230"/>
  <c r="W22" i="227"/>
  <c r="BH28" i="230"/>
  <c r="W23" i="227"/>
  <c r="BH40" i="230"/>
  <c r="W35" i="227"/>
  <c r="AP48" i="230"/>
  <c r="BH48" i="230"/>
  <c r="AP49" i="230"/>
  <c r="BH49" i="230"/>
  <c r="AP47" i="230"/>
  <c r="BH47" i="230"/>
  <c r="C1637" i="232"/>
  <c r="C1636" i="232"/>
  <c r="C1635" i="232"/>
  <c r="C1634" i="232"/>
  <c r="C1633" i="232"/>
  <c r="C1632" i="232"/>
  <c r="C1631" i="232"/>
  <c r="C1630" i="232"/>
  <c r="C1629" i="232"/>
  <c r="C1628" i="232"/>
  <c r="C1627" i="232"/>
  <c r="C1626" i="232"/>
  <c r="C1625" i="232"/>
  <c r="C1624" i="232"/>
  <c r="C1623" i="232"/>
  <c r="C1622" i="232"/>
  <c r="C1621" i="232"/>
  <c r="C1620" i="232"/>
  <c r="C1619" i="232"/>
  <c r="C1618" i="232"/>
  <c r="C1617" i="232"/>
  <c r="C1616" i="232"/>
  <c r="C1615" i="232"/>
  <c r="C1614" i="232"/>
  <c r="C1613" i="232"/>
  <c r="C1612" i="232"/>
  <c r="C1611" i="232"/>
  <c r="C1610" i="232"/>
  <c r="C1609" i="232"/>
  <c r="C1608" i="232"/>
  <c r="C1607" i="232"/>
  <c r="C1606" i="232"/>
  <c r="C1605" i="232"/>
  <c r="C1604" i="232"/>
  <c r="C1603" i="232"/>
  <c r="C1602" i="232"/>
  <c r="C1601" i="232"/>
  <c r="C1600" i="232"/>
  <c r="C1599" i="232"/>
  <c r="C1598" i="232"/>
  <c r="C1597" i="232"/>
  <c r="C1596" i="232"/>
  <c r="C1595" i="232"/>
  <c r="C1594" i="232"/>
  <c r="C1593" i="232"/>
  <c r="C1592" i="232"/>
  <c r="C1591" i="232"/>
  <c r="C1590" i="232"/>
  <c r="C1589" i="232"/>
  <c r="C1588" i="232"/>
  <c r="C1587" i="232"/>
  <c r="C1586" i="232"/>
  <c r="C1585" i="232"/>
  <c r="C1584" i="232"/>
  <c r="C1583" i="232"/>
  <c r="C1582" i="232"/>
  <c r="C1581" i="232"/>
  <c r="C1580" i="232"/>
  <c r="C1579" i="232"/>
  <c r="C1578" i="232"/>
  <c r="C1577" i="232"/>
  <c r="C1576" i="232"/>
  <c r="C1575" i="232"/>
  <c r="C1574" i="232"/>
  <c r="C1573" i="232"/>
  <c r="C1572" i="232"/>
  <c r="C1571" i="232"/>
  <c r="C1570" i="232"/>
  <c r="C1569" i="232"/>
  <c r="C1568" i="232"/>
  <c r="C1567" i="232"/>
  <c r="C1566" i="232"/>
  <c r="C1565" i="232"/>
  <c r="C1564" i="232"/>
  <c r="C1563" i="232"/>
  <c r="C1562" i="232"/>
  <c r="C1561" i="232"/>
  <c r="C1560" i="232"/>
  <c r="C1559" i="232"/>
  <c r="C1558" i="232"/>
  <c r="C1557" i="232"/>
  <c r="C1556" i="232"/>
  <c r="C1555" i="232"/>
  <c r="C1554" i="232"/>
  <c r="C1553" i="232"/>
  <c r="C1552" i="232"/>
  <c r="C1551" i="232"/>
  <c r="C1550" i="232"/>
  <c r="C1549" i="232"/>
  <c r="C1548" i="232"/>
  <c r="C1547" i="232"/>
  <c r="C1546" i="232"/>
  <c r="C1545" i="232"/>
  <c r="C1544" i="232"/>
  <c r="C1543" i="232"/>
  <c r="C1542" i="232"/>
  <c r="C1541" i="232"/>
  <c r="C1540" i="232"/>
  <c r="C1539" i="232"/>
  <c r="C1538" i="232"/>
  <c r="C1537" i="232"/>
  <c r="C1536" i="232"/>
  <c r="C1535" i="232"/>
  <c r="C1534" i="232"/>
  <c r="C1533" i="232"/>
  <c r="C1532" i="232"/>
  <c r="C1531" i="232"/>
  <c r="C1530" i="232"/>
  <c r="C1529" i="232"/>
  <c r="C1528" i="232"/>
  <c r="C1527" i="232"/>
  <c r="C1526" i="232"/>
  <c r="C1525" i="232"/>
  <c r="C1524" i="232"/>
  <c r="C1523" i="232"/>
  <c r="C1522" i="232"/>
  <c r="C1521" i="232"/>
  <c r="C1520" i="232"/>
  <c r="C1519" i="232"/>
  <c r="C1518" i="232"/>
  <c r="C1517" i="232"/>
  <c r="C1516" i="232"/>
  <c r="C1515" i="232"/>
  <c r="C1514" i="232"/>
  <c r="C1513" i="232"/>
  <c r="C1512" i="232"/>
  <c r="C1511" i="232"/>
  <c r="C1510" i="232"/>
  <c r="C1509" i="232"/>
  <c r="C1508" i="232"/>
  <c r="C1507" i="232"/>
  <c r="C1506" i="232"/>
  <c r="C1505" i="232"/>
  <c r="C1504" i="232"/>
  <c r="C1503" i="232"/>
  <c r="C1502" i="232"/>
  <c r="C1501" i="232"/>
  <c r="C1500" i="232"/>
  <c r="C1499" i="232"/>
  <c r="C1498" i="232"/>
  <c r="C1497" i="232"/>
  <c r="C1496" i="232"/>
  <c r="C1495" i="232"/>
  <c r="C1494" i="232"/>
  <c r="C1493" i="232"/>
  <c r="C1492" i="232"/>
  <c r="C1491" i="232"/>
  <c r="C1490" i="232"/>
  <c r="C1489" i="232"/>
  <c r="C1488" i="232"/>
  <c r="C1487" i="232"/>
  <c r="C1486" i="232"/>
  <c r="C1485" i="232"/>
  <c r="C1484" i="232"/>
  <c r="C1483" i="232"/>
  <c r="C1482" i="232"/>
  <c r="C1481" i="232"/>
  <c r="C1480" i="232"/>
  <c r="C1479" i="232"/>
  <c r="C1478" i="232"/>
  <c r="C1477" i="232"/>
  <c r="C1476" i="232"/>
  <c r="C1475" i="232"/>
  <c r="C1474" i="232"/>
  <c r="C1473" i="232"/>
  <c r="C1472" i="232"/>
  <c r="C1471" i="232"/>
  <c r="C1470" i="232"/>
  <c r="C1469" i="232"/>
  <c r="C1468" i="232"/>
  <c r="C1467" i="232"/>
  <c r="C1466" i="232"/>
  <c r="C1465" i="232"/>
  <c r="C1464" i="232"/>
  <c r="C1463" i="232"/>
  <c r="C1462" i="232"/>
  <c r="C1461" i="232"/>
  <c r="C1460" i="232"/>
  <c r="C1459" i="232"/>
  <c r="C1458" i="232"/>
  <c r="C1457" i="232"/>
  <c r="C1456" i="232"/>
  <c r="C1455" i="232"/>
  <c r="C1454" i="232"/>
  <c r="C1453" i="232"/>
  <c r="C1452" i="232"/>
  <c r="C1451" i="232"/>
  <c r="C1450" i="232"/>
  <c r="C1449" i="232"/>
  <c r="C1448" i="232"/>
  <c r="C1447" i="232"/>
  <c r="C1446" i="232"/>
  <c r="C1445" i="232"/>
  <c r="C1444" i="232"/>
  <c r="C1443" i="232"/>
  <c r="C1442" i="232"/>
  <c r="C1441" i="232"/>
  <c r="C1440" i="232"/>
  <c r="C1439" i="232"/>
  <c r="C1438" i="232"/>
  <c r="C1437" i="232"/>
  <c r="C1436" i="232"/>
  <c r="C1435" i="232"/>
  <c r="C1434" i="232"/>
  <c r="C1433" i="232"/>
  <c r="C1432" i="232"/>
  <c r="C1431" i="232"/>
  <c r="C1430" i="232"/>
  <c r="C1429" i="232"/>
  <c r="C1428" i="232"/>
  <c r="C1427" i="232"/>
  <c r="C1426" i="232"/>
  <c r="C1425" i="232"/>
  <c r="C1424" i="232"/>
  <c r="C1423" i="232"/>
  <c r="C1422" i="232"/>
  <c r="C1421" i="232"/>
  <c r="C1420" i="232"/>
  <c r="C1419" i="232"/>
  <c r="C1418" i="232"/>
  <c r="C1417" i="232"/>
  <c r="C1416" i="232"/>
  <c r="C1415" i="232"/>
  <c r="C1414" i="232"/>
  <c r="C1413" i="232"/>
  <c r="C1412" i="232"/>
  <c r="C1411" i="232"/>
  <c r="C1410" i="232"/>
  <c r="C1409" i="232"/>
  <c r="C1408" i="232"/>
  <c r="C1407" i="232"/>
  <c r="C1406" i="232"/>
  <c r="C1405" i="232"/>
  <c r="C1404" i="232"/>
  <c r="C1403" i="232"/>
  <c r="C1402" i="232"/>
  <c r="C1401" i="232"/>
  <c r="C1400" i="232"/>
  <c r="C1399" i="232"/>
  <c r="C1398" i="232"/>
  <c r="C1397" i="232"/>
  <c r="C1396" i="232"/>
  <c r="C1395" i="232"/>
  <c r="C1394" i="232"/>
  <c r="C1393" i="232"/>
  <c r="C1392" i="232"/>
  <c r="C1391" i="232"/>
  <c r="C1390" i="232"/>
  <c r="C1389" i="232"/>
  <c r="C1388" i="232"/>
  <c r="C1387" i="232"/>
  <c r="C1386" i="232"/>
  <c r="C1385" i="232"/>
  <c r="C1384" i="232"/>
  <c r="C1383" i="232"/>
  <c r="C1382" i="232"/>
  <c r="C1381" i="232"/>
  <c r="C1380" i="232"/>
  <c r="C1379" i="232"/>
  <c r="C1378" i="232"/>
  <c r="C1377" i="232"/>
  <c r="C1376" i="232"/>
  <c r="C1375" i="232"/>
  <c r="C1374" i="232"/>
  <c r="C1373" i="232"/>
  <c r="C1372" i="232"/>
  <c r="C1371" i="232"/>
  <c r="C1370" i="232"/>
  <c r="C1369" i="232"/>
  <c r="C1368" i="232"/>
  <c r="C1367" i="232"/>
  <c r="C1366" i="232"/>
  <c r="C1365" i="232"/>
  <c r="C1364" i="232"/>
  <c r="C1363" i="232"/>
  <c r="C1362" i="232"/>
  <c r="C1361" i="232"/>
  <c r="C1360" i="232"/>
  <c r="C1359" i="232"/>
  <c r="C1358" i="232"/>
  <c r="C1357" i="232"/>
  <c r="C1356" i="232"/>
  <c r="C1355" i="232"/>
  <c r="C1354" i="232"/>
  <c r="C1353" i="232"/>
  <c r="C1352" i="232"/>
  <c r="C1351" i="232"/>
  <c r="C1350" i="232"/>
  <c r="C1349" i="232"/>
  <c r="C1348" i="232"/>
  <c r="C1347" i="232"/>
  <c r="C1346" i="232"/>
  <c r="C1345" i="232"/>
  <c r="C1344" i="232"/>
  <c r="C1343" i="232"/>
  <c r="C1342" i="232"/>
  <c r="C1341" i="232"/>
  <c r="C1340" i="232"/>
  <c r="C1339" i="232"/>
  <c r="C1338" i="232"/>
  <c r="C1337" i="232"/>
  <c r="C1336" i="232"/>
  <c r="C1335" i="232"/>
  <c r="C1334" i="232"/>
  <c r="C1333" i="232"/>
  <c r="C1332" i="232"/>
  <c r="C1331" i="232"/>
  <c r="C1330" i="232"/>
  <c r="C1329" i="232"/>
  <c r="C1328" i="232"/>
  <c r="C1327" i="232"/>
  <c r="C1326" i="232"/>
  <c r="C1325" i="232"/>
  <c r="C1324" i="232"/>
  <c r="C1323" i="232"/>
  <c r="C1322" i="232"/>
  <c r="C1321" i="232"/>
  <c r="C1320" i="232"/>
  <c r="C1319" i="232"/>
  <c r="C1318" i="232"/>
  <c r="C1317" i="232"/>
  <c r="C1316" i="232"/>
  <c r="C1315" i="232"/>
  <c r="C1314" i="232"/>
  <c r="C1313" i="232"/>
  <c r="C1312" i="232"/>
  <c r="C1311" i="232"/>
  <c r="C1310" i="232"/>
  <c r="C1309" i="232"/>
  <c r="C1308" i="232"/>
  <c r="C1307" i="232"/>
  <c r="C1306" i="232"/>
  <c r="C1305" i="232"/>
  <c r="C1304" i="232"/>
  <c r="C1303" i="232"/>
  <c r="C1302" i="232"/>
  <c r="C1301" i="232"/>
  <c r="C1300" i="232"/>
  <c r="C1299" i="232"/>
  <c r="C1298" i="232"/>
  <c r="C1297" i="232"/>
  <c r="C1296" i="232"/>
  <c r="C1295" i="232"/>
  <c r="C1294" i="232"/>
  <c r="C1293" i="232"/>
  <c r="C1292" i="232"/>
  <c r="C1291" i="232"/>
  <c r="C1290" i="232"/>
  <c r="C1289" i="232"/>
  <c r="C1288" i="232"/>
  <c r="C1287" i="232"/>
  <c r="C1286" i="232"/>
  <c r="C1285" i="232"/>
  <c r="C1284" i="232"/>
  <c r="C1283" i="232"/>
  <c r="C1282" i="232"/>
  <c r="C1281" i="232"/>
  <c r="C1280" i="232"/>
  <c r="C1279" i="232"/>
  <c r="C1278" i="232"/>
  <c r="C1277" i="232"/>
  <c r="C1276" i="232"/>
  <c r="C1275" i="232"/>
  <c r="C1274" i="232"/>
  <c r="C1273" i="232"/>
  <c r="C1272" i="232"/>
  <c r="C1271" i="232"/>
  <c r="C1270" i="232"/>
  <c r="C1269" i="232"/>
  <c r="C1268" i="232"/>
  <c r="C1267" i="232"/>
  <c r="C1266" i="232"/>
  <c r="C1265" i="232"/>
  <c r="C1264" i="232"/>
  <c r="C1263" i="232"/>
  <c r="C1262" i="232"/>
  <c r="C1261" i="232"/>
  <c r="C1260" i="232"/>
  <c r="C1259" i="232"/>
  <c r="C1258" i="232"/>
  <c r="C1257" i="232"/>
  <c r="C1256" i="232"/>
  <c r="C1255" i="232"/>
  <c r="C1254" i="232"/>
  <c r="C1253" i="232"/>
  <c r="C1252" i="232"/>
  <c r="C1251" i="232"/>
  <c r="C1250" i="232"/>
  <c r="C1249" i="232"/>
  <c r="C1248" i="232"/>
  <c r="C1247" i="232"/>
  <c r="C1246" i="232"/>
  <c r="C1245" i="232"/>
  <c r="C1244" i="232"/>
  <c r="C1243" i="232"/>
  <c r="C1242" i="232"/>
  <c r="C1241" i="232"/>
  <c r="C1240" i="232"/>
  <c r="C1239" i="232"/>
  <c r="C1238" i="232"/>
  <c r="C1237" i="232"/>
  <c r="C1236" i="232"/>
  <c r="C1235" i="232"/>
  <c r="C1234" i="232"/>
  <c r="C1233" i="232"/>
  <c r="C1232" i="232"/>
  <c r="C1231" i="232"/>
  <c r="C1230" i="232"/>
  <c r="C1229" i="232"/>
  <c r="C1228" i="232"/>
  <c r="C1227" i="232"/>
  <c r="C1226" i="232"/>
  <c r="C1225" i="232"/>
  <c r="C1224" i="232"/>
  <c r="C1223" i="232"/>
  <c r="C1222" i="232"/>
  <c r="C1221" i="232"/>
  <c r="C1220" i="232"/>
  <c r="C1219" i="232"/>
  <c r="C1218" i="232"/>
  <c r="C1217" i="232"/>
  <c r="C1216" i="232"/>
  <c r="C1215" i="232"/>
  <c r="C1214" i="232"/>
  <c r="C1213" i="232"/>
  <c r="C1212" i="232"/>
  <c r="C1211" i="232"/>
  <c r="C1210" i="232"/>
  <c r="C1209" i="232"/>
  <c r="C1208" i="232"/>
  <c r="C1207" i="232"/>
  <c r="C1206" i="232"/>
  <c r="C1205" i="232"/>
  <c r="C1204" i="232"/>
  <c r="C1203" i="232"/>
  <c r="C1202" i="232"/>
  <c r="C1201" i="232"/>
  <c r="C1200" i="232"/>
  <c r="C1199" i="232"/>
  <c r="C1198" i="232"/>
  <c r="C1197" i="232"/>
  <c r="C1196" i="232"/>
  <c r="C1195" i="232"/>
  <c r="C1194" i="232"/>
  <c r="C1193" i="232"/>
  <c r="C1192" i="232"/>
  <c r="C1191" i="232"/>
  <c r="C1190" i="232"/>
  <c r="C1189" i="232"/>
  <c r="C1188" i="232"/>
  <c r="C1187" i="232"/>
  <c r="C1186" i="232"/>
  <c r="C1185" i="232"/>
  <c r="C1184" i="232"/>
  <c r="C1183" i="232"/>
  <c r="C1182" i="232"/>
  <c r="C1181" i="232"/>
  <c r="C1180" i="232"/>
  <c r="C1179" i="232"/>
  <c r="C1178" i="232"/>
  <c r="C1177" i="232"/>
  <c r="C1176" i="232"/>
  <c r="C1175" i="232"/>
  <c r="C1174" i="232"/>
  <c r="C1173" i="232"/>
  <c r="C1172" i="232"/>
  <c r="C1171" i="232"/>
  <c r="C1170" i="232"/>
  <c r="C1169" i="232"/>
  <c r="C1168" i="232"/>
  <c r="C1167" i="232"/>
  <c r="C1166" i="232"/>
  <c r="C1165" i="232"/>
  <c r="C1164" i="232"/>
  <c r="C1163" i="232"/>
  <c r="C1162" i="232"/>
  <c r="C1161" i="232"/>
  <c r="C1160" i="232"/>
  <c r="C1159" i="232"/>
  <c r="C1158" i="232"/>
  <c r="C1157" i="232"/>
  <c r="C1156" i="232"/>
  <c r="C1155" i="232"/>
  <c r="C1154" i="232"/>
  <c r="C1153" i="232"/>
  <c r="C1152" i="232"/>
  <c r="C1151" i="232"/>
  <c r="C1150" i="232"/>
  <c r="C1149" i="232"/>
  <c r="C1148" i="232"/>
  <c r="C1147" i="232"/>
  <c r="C1146" i="232"/>
  <c r="C1145" i="232"/>
  <c r="C1144" i="232"/>
  <c r="C1143" i="232"/>
  <c r="C1142" i="232"/>
  <c r="C1141" i="232"/>
  <c r="C1140" i="232"/>
  <c r="C1139" i="232"/>
  <c r="C1138" i="232"/>
  <c r="C1137" i="232"/>
  <c r="C1136" i="232"/>
  <c r="C1135" i="232"/>
  <c r="C1134" i="232"/>
  <c r="C1133" i="232"/>
  <c r="C1132" i="232"/>
  <c r="C1131" i="232"/>
  <c r="C1130" i="232"/>
  <c r="C1129" i="232"/>
  <c r="C1128" i="232"/>
  <c r="C1127" i="232"/>
  <c r="C1126" i="232"/>
  <c r="C1125" i="232"/>
  <c r="C1124" i="232"/>
  <c r="C1123" i="232"/>
  <c r="C1122" i="232"/>
  <c r="C1121" i="232"/>
  <c r="C1120" i="232"/>
  <c r="C1119" i="232"/>
  <c r="C1118" i="232"/>
  <c r="C1117" i="232"/>
  <c r="C1116" i="232"/>
  <c r="C1115" i="232"/>
  <c r="C1114" i="232"/>
  <c r="C1113" i="232"/>
  <c r="C1112" i="232"/>
  <c r="C1111" i="232"/>
  <c r="C1110" i="232"/>
  <c r="C1109" i="232"/>
  <c r="C1108" i="232"/>
  <c r="C1107" i="232"/>
  <c r="C1106" i="232"/>
  <c r="C1105" i="232"/>
  <c r="C1104" i="232"/>
  <c r="C1103" i="232"/>
  <c r="C1102" i="232"/>
  <c r="C1101" i="232"/>
  <c r="C1100" i="232"/>
  <c r="C1099" i="232"/>
  <c r="C1098" i="232"/>
  <c r="C1097" i="232"/>
  <c r="C1096" i="232"/>
  <c r="C1095" i="232"/>
  <c r="C1094" i="232"/>
  <c r="C1093" i="232"/>
  <c r="C1092" i="232"/>
  <c r="C1091" i="232"/>
  <c r="C1090" i="232"/>
  <c r="C1089" i="232"/>
  <c r="C1088" i="232"/>
  <c r="C1087" i="232"/>
  <c r="C1086" i="232"/>
  <c r="C1085" i="232"/>
  <c r="C1084" i="232"/>
  <c r="C1083" i="232"/>
  <c r="C1082" i="232"/>
  <c r="C1081" i="232"/>
  <c r="C1080" i="232"/>
  <c r="C1079" i="232"/>
  <c r="C1078" i="232"/>
  <c r="C1077" i="232"/>
  <c r="C1076" i="232"/>
  <c r="C1075" i="232"/>
  <c r="C1074" i="232"/>
  <c r="C1073" i="232"/>
  <c r="C1072" i="232"/>
  <c r="C1071" i="232"/>
  <c r="C1070" i="232"/>
  <c r="C1069" i="232"/>
  <c r="C1068" i="232"/>
  <c r="C1067" i="232"/>
  <c r="C1066" i="232"/>
  <c r="C1065" i="232"/>
  <c r="C1064" i="232"/>
  <c r="C1063" i="232"/>
  <c r="C1062" i="232"/>
  <c r="C1061" i="232"/>
  <c r="C1060" i="232"/>
  <c r="C1059" i="232"/>
  <c r="C1058" i="232"/>
  <c r="C1057" i="232"/>
  <c r="C1056" i="232"/>
  <c r="C1055" i="232"/>
  <c r="C1054" i="232"/>
  <c r="C1053" i="232"/>
  <c r="C1052" i="232"/>
  <c r="C1051" i="232"/>
  <c r="C1050" i="232"/>
  <c r="C1049" i="232"/>
  <c r="C1048" i="232"/>
  <c r="C1047" i="232"/>
  <c r="C1046" i="232"/>
  <c r="C984" i="232"/>
  <c r="C981" i="232"/>
  <c r="C980" i="232"/>
  <c r="C979" i="232"/>
  <c r="C978" i="232"/>
  <c r="C977" i="232"/>
  <c r="C976" i="232"/>
  <c r="C975" i="232"/>
  <c r="C974" i="232"/>
  <c r="C973" i="232"/>
  <c r="C972" i="232"/>
  <c r="C971" i="232"/>
  <c r="C970" i="232"/>
  <c r="C969" i="232"/>
  <c r="C968" i="232"/>
  <c r="C967" i="232"/>
  <c r="C966" i="232"/>
  <c r="C965" i="232"/>
  <c r="C964" i="232"/>
  <c r="C963" i="232"/>
  <c r="C962" i="232"/>
  <c r="C961" i="232"/>
  <c r="C960" i="232"/>
  <c r="C959" i="232"/>
  <c r="C958" i="232"/>
  <c r="C957" i="232"/>
  <c r="C956" i="232"/>
  <c r="C955" i="232"/>
  <c r="C954" i="232"/>
  <c r="C953" i="232"/>
  <c r="C952" i="232"/>
  <c r="C951" i="232"/>
  <c r="C950" i="232"/>
  <c r="C949" i="232"/>
  <c r="C948" i="232"/>
  <c r="C947" i="232"/>
  <c r="C946" i="232"/>
  <c r="C945" i="232"/>
  <c r="C944" i="232"/>
  <c r="C943" i="232"/>
  <c r="C942" i="232"/>
  <c r="C941" i="232"/>
  <c r="C940" i="232"/>
  <c r="C939" i="232"/>
  <c r="C938" i="232"/>
  <c r="C937" i="232"/>
  <c r="C936" i="232"/>
  <c r="C935" i="232"/>
  <c r="C934" i="232"/>
  <c r="C933" i="232"/>
  <c r="C932" i="232"/>
  <c r="C931" i="232"/>
  <c r="C930" i="232"/>
  <c r="C929" i="232"/>
  <c r="C928" i="232"/>
  <c r="C927" i="232"/>
  <c r="C926" i="232"/>
  <c r="C925" i="232"/>
  <c r="C924" i="232"/>
  <c r="C923" i="232"/>
  <c r="C922" i="232"/>
  <c r="C921" i="232"/>
  <c r="C920" i="232"/>
  <c r="C919" i="232"/>
  <c r="C918" i="232"/>
  <c r="C917" i="232"/>
  <c r="C916" i="232"/>
  <c r="C915" i="232"/>
  <c r="C914" i="232"/>
  <c r="C913" i="232"/>
  <c r="C912" i="232"/>
  <c r="C911" i="232"/>
  <c r="C910" i="232"/>
  <c r="C909" i="232"/>
  <c r="C908" i="232"/>
  <c r="C907" i="232"/>
  <c r="C906" i="232"/>
  <c r="C905" i="232"/>
  <c r="C904" i="232"/>
  <c r="C903" i="232"/>
  <c r="C902" i="232"/>
  <c r="C901" i="232"/>
  <c r="C900" i="232"/>
  <c r="C899" i="232"/>
  <c r="C898" i="232"/>
  <c r="C897" i="232"/>
  <c r="C896" i="232"/>
  <c r="C895" i="232"/>
  <c r="C894" i="232"/>
  <c r="C893" i="232"/>
  <c r="C892" i="232"/>
  <c r="C891" i="232"/>
  <c r="C890" i="232"/>
  <c r="C889" i="232"/>
  <c r="C888" i="232"/>
  <c r="C887" i="232"/>
  <c r="C886" i="232"/>
  <c r="C885" i="232"/>
  <c r="C884" i="232"/>
  <c r="C883" i="232"/>
  <c r="C882" i="232"/>
  <c r="C881" i="232"/>
  <c r="C880" i="232"/>
  <c r="C879" i="232"/>
  <c r="C878" i="232"/>
  <c r="C877" i="232"/>
  <c r="C876" i="232"/>
  <c r="C875" i="232"/>
  <c r="C874" i="232"/>
  <c r="C873" i="232"/>
  <c r="C872" i="232"/>
  <c r="C871" i="232"/>
  <c r="C870" i="232"/>
  <c r="C869" i="232"/>
  <c r="C868" i="232"/>
  <c r="C867" i="232"/>
  <c r="C866" i="232"/>
  <c r="C865" i="232"/>
  <c r="C864" i="232"/>
  <c r="C863" i="232"/>
  <c r="C862" i="232"/>
  <c r="C861" i="232"/>
  <c r="C860" i="232"/>
  <c r="C859" i="232"/>
  <c r="C858" i="232"/>
  <c r="C857" i="232"/>
  <c r="C856" i="232"/>
  <c r="C855" i="232"/>
  <c r="C854" i="232"/>
  <c r="C853" i="232"/>
  <c r="C852" i="232"/>
  <c r="C851" i="232"/>
  <c r="C850" i="232"/>
  <c r="C849" i="232"/>
  <c r="C848" i="232"/>
  <c r="C847" i="232"/>
  <c r="C846" i="232"/>
  <c r="C845" i="232"/>
  <c r="C844" i="232"/>
  <c r="C843" i="232"/>
  <c r="C842" i="232"/>
  <c r="C841" i="232"/>
  <c r="C840" i="232"/>
  <c r="C839" i="232"/>
  <c r="C838" i="232"/>
  <c r="C837" i="232"/>
  <c r="C836" i="232"/>
  <c r="C835" i="232"/>
  <c r="C834" i="232"/>
  <c r="C833" i="232"/>
  <c r="C832" i="232"/>
  <c r="C831" i="232"/>
  <c r="C830" i="232"/>
  <c r="C829" i="232"/>
  <c r="C828" i="232"/>
  <c r="C827" i="232"/>
  <c r="C826" i="232"/>
  <c r="C825" i="232"/>
  <c r="C824" i="232"/>
  <c r="C823" i="232"/>
  <c r="C822" i="232"/>
  <c r="C821" i="232"/>
  <c r="C820" i="232"/>
  <c r="C819" i="232"/>
  <c r="C818" i="232"/>
  <c r="C817" i="232"/>
  <c r="C816" i="232"/>
  <c r="C815" i="232"/>
  <c r="C814" i="232"/>
  <c r="C813" i="232"/>
  <c r="C812" i="232"/>
  <c r="C811" i="232"/>
  <c r="C810" i="232"/>
  <c r="C809" i="232"/>
  <c r="C808" i="232"/>
  <c r="C807" i="232"/>
  <c r="C806" i="232"/>
  <c r="C805" i="232"/>
  <c r="C804" i="232"/>
  <c r="C803" i="232"/>
  <c r="C802" i="232"/>
  <c r="C801" i="232"/>
  <c r="C800" i="232"/>
  <c r="C799" i="232"/>
  <c r="C798" i="232"/>
  <c r="C797" i="232"/>
  <c r="C796" i="232"/>
  <c r="C795" i="232"/>
  <c r="C794" i="232"/>
  <c r="C793" i="232"/>
  <c r="C792" i="232"/>
  <c r="C791" i="232"/>
  <c r="C790" i="232"/>
  <c r="C789" i="232"/>
  <c r="C788" i="232"/>
  <c r="C787" i="232"/>
  <c r="C786" i="232"/>
  <c r="C785" i="232"/>
  <c r="C784" i="232"/>
  <c r="C783" i="232"/>
  <c r="C782" i="232"/>
  <c r="C781" i="232"/>
  <c r="C780" i="232"/>
  <c r="C779" i="232"/>
  <c r="C778" i="232"/>
  <c r="C777" i="232"/>
  <c r="C776" i="232"/>
  <c r="C775" i="232"/>
  <c r="C774" i="232"/>
  <c r="C773" i="232"/>
  <c r="C772" i="232"/>
  <c r="C771" i="232"/>
  <c r="C770" i="232"/>
  <c r="C769" i="232"/>
  <c r="C768" i="232"/>
  <c r="C767" i="232"/>
  <c r="C766" i="232"/>
  <c r="C765" i="232"/>
  <c r="C764" i="232"/>
  <c r="C763" i="232"/>
  <c r="C762" i="232"/>
  <c r="C761" i="232"/>
  <c r="C760" i="232"/>
  <c r="C759" i="232"/>
  <c r="C758" i="232"/>
  <c r="C757" i="232"/>
  <c r="C756" i="232"/>
  <c r="C755" i="232"/>
  <c r="C754" i="232"/>
  <c r="C753" i="232"/>
  <c r="C752" i="232"/>
  <c r="C751" i="232"/>
  <c r="C750" i="232"/>
  <c r="C749" i="232"/>
  <c r="C748" i="232"/>
  <c r="C747" i="232"/>
  <c r="C746" i="232"/>
  <c r="C745" i="232"/>
  <c r="C744" i="232"/>
  <c r="C743" i="232"/>
  <c r="C742" i="232"/>
  <c r="C741" i="232"/>
  <c r="C740" i="232"/>
  <c r="C739" i="232"/>
  <c r="C738" i="232"/>
  <c r="C737" i="232"/>
  <c r="C736" i="232"/>
  <c r="C735" i="232"/>
  <c r="C734" i="232"/>
  <c r="C733" i="232"/>
  <c r="C732" i="232"/>
  <c r="C731" i="232"/>
  <c r="C730" i="232"/>
  <c r="C729" i="232"/>
  <c r="C728" i="232"/>
  <c r="C727" i="232"/>
  <c r="C726" i="232"/>
  <c r="C725" i="232"/>
  <c r="C724" i="232"/>
  <c r="C723" i="232"/>
  <c r="C722" i="232"/>
  <c r="C721" i="232"/>
  <c r="C720" i="232"/>
  <c r="C719" i="232"/>
  <c r="C718" i="232"/>
  <c r="C717" i="232"/>
  <c r="C716" i="232"/>
  <c r="C715" i="232"/>
  <c r="C714" i="232"/>
  <c r="C713" i="232"/>
  <c r="C712" i="232"/>
  <c r="C711" i="232"/>
  <c r="C710" i="232"/>
  <c r="C709" i="232"/>
  <c r="C708" i="232"/>
  <c r="C707" i="232"/>
  <c r="C706" i="232"/>
  <c r="C705" i="232"/>
  <c r="C704" i="232"/>
  <c r="C703" i="232"/>
  <c r="C702" i="232"/>
  <c r="C701" i="232"/>
  <c r="C700" i="232"/>
  <c r="C699" i="232"/>
  <c r="C698" i="232"/>
  <c r="C697" i="232"/>
  <c r="C696" i="232"/>
  <c r="C695" i="232"/>
  <c r="C694" i="232"/>
  <c r="C693" i="232"/>
  <c r="C692" i="232"/>
  <c r="C691" i="232"/>
  <c r="C690" i="232"/>
  <c r="C689" i="232"/>
  <c r="C688" i="232"/>
  <c r="C687" i="232"/>
  <c r="C686" i="232"/>
  <c r="C685" i="232"/>
  <c r="C684" i="232"/>
  <c r="C683" i="232"/>
  <c r="C682" i="232"/>
  <c r="C681" i="232"/>
  <c r="C680" i="232"/>
  <c r="C679" i="232"/>
  <c r="C678" i="232"/>
  <c r="C677" i="232"/>
  <c r="C676" i="232"/>
  <c r="C675" i="232"/>
  <c r="C674" i="232"/>
  <c r="C673" i="232"/>
  <c r="C672" i="232"/>
  <c r="C671" i="232"/>
  <c r="C670" i="232"/>
  <c r="C669" i="232"/>
  <c r="C668" i="232"/>
  <c r="C667" i="232"/>
  <c r="C666" i="232"/>
  <c r="C665" i="232"/>
  <c r="C664" i="232"/>
  <c r="C663" i="232"/>
  <c r="C662" i="232"/>
  <c r="C661" i="232"/>
  <c r="C660" i="232"/>
  <c r="C659" i="232"/>
  <c r="C658" i="232"/>
  <c r="C657" i="232"/>
  <c r="C656" i="232"/>
  <c r="C655" i="232"/>
  <c r="C654" i="232"/>
  <c r="C653" i="232"/>
  <c r="C652" i="232"/>
  <c r="C651" i="232"/>
  <c r="C650" i="232"/>
  <c r="C649" i="232"/>
  <c r="C648" i="232"/>
  <c r="C647" i="232"/>
  <c r="C646" i="232"/>
  <c r="C645" i="232"/>
  <c r="C644" i="232"/>
  <c r="C643" i="232"/>
  <c r="C642" i="232"/>
  <c r="C641" i="232"/>
  <c r="C640" i="232"/>
  <c r="C639" i="232"/>
  <c r="C638" i="232"/>
  <c r="C637" i="232"/>
  <c r="C636" i="232"/>
  <c r="C635" i="232"/>
  <c r="C634" i="232"/>
  <c r="C633" i="232"/>
  <c r="C632" i="232"/>
  <c r="C631" i="232"/>
  <c r="C630" i="232"/>
  <c r="C629" i="232"/>
  <c r="C628" i="232"/>
  <c r="C627" i="232"/>
  <c r="C626" i="232"/>
  <c r="C625" i="232"/>
  <c r="C624" i="232"/>
  <c r="C623" i="232"/>
  <c r="C622" i="232"/>
  <c r="C621" i="232"/>
  <c r="C620" i="232"/>
  <c r="C619" i="232"/>
  <c r="C618" i="232"/>
  <c r="C617" i="232"/>
  <c r="C616" i="232"/>
  <c r="C615" i="232"/>
  <c r="C614" i="232"/>
  <c r="C613" i="232"/>
  <c r="C612" i="232"/>
  <c r="C611" i="232"/>
  <c r="C610" i="232"/>
  <c r="C609" i="232"/>
  <c r="C608" i="232"/>
  <c r="C607" i="232"/>
  <c r="C606" i="232"/>
  <c r="C605" i="232"/>
  <c r="C604" i="232"/>
  <c r="C603" i="232"/>
  <c r="C602" i="232"/>
  <c r="C601" i="232"/>
  <c r="C600" i="232"/>
  <c r="C599" i="232"/>
  <c r="C598" i="232"/>
  <c r="C597" i="232"/>
  <c r="C596" i="232"/>
  <c r="C595" i="232"/>
  <c r="C594" i="232"/>
  <c r="C593" i="232"/>
  <c r="C592" i="232"/>
  <c r="C591" i="232"/>
  <c r="C590" i="232"/>
  <c r="C589" i="232"/>
  <c r="C588" i="232"/>
  <c r="C587" i="232"/>
  <c r="C586" i="232"/>
  <c r="C585" i="232"/>
  <c r="C584" i="232"/>
  <c r="C583" i="232"/>
  <c r="C582" i="232"/>
  <c r="C581" i="232"/>
  <c r="C580" i="232"/>
  <c r="C579" i="232"/>
  <c r="C578" i="232"/>
  <c r="C577" i="232"/>
  <c r="C576" i="232"/>
  <c r="C575" i="232"/>
  <c r="C574" i="232"/>
  <c r="C573" i="232"/>
  <c r="C572" i="232"/>
  <c r="C571" i="232"/>
  <c r="C570" i="232"/>
  <c r="C569" i="232"/>
  <c r="C568" i="232"/>
  <c r="C567" i="232"/>
  <c r="C566" i="232"/>
  <c r="C565" i="232"/>
  <c r="C564" i="232"/>
  <c r="C563" i="232"/>
  <c r="C562" i="232"/>
  <c r="C561" i="232"/>
  <c r="C560" i="232"/>
  <c r="C559" i="232"/>
  <c r="C558" i="232"/>
  <c r="C557" i="232"/>
  <c r="C556" i="232"/>
  <c r="C555" i="232"/>
  <c r="C554" i="232"/>
  <c r="C553" i="232"/>
  <c r="C552" i="232"/>
  <c r="C551" i="232"/>
  <c r="C550" i="232"/>
  <c r="C549" i="232"/>
  <c r="C548" i="232"/>
  <c r="C547" i="232"/>
  <c r="C546" i="232"/>
  <c r="C545" i="232"/>
  <c r="C544" i="232"/>
  <c r="C543" i="232"/>
  <c r="C542" i="232"/>
  <c r="C541" i="232"/>
  <c r="C540" i="232"/>
  <c r="C539" i="232"/>
  <c r="C538" i="232"/>
  <c r="C537" i="232"/>
  <c r="C536" i="232"/>
  <c r="C535" i="232"/>
  <c r="C534" i="232"/>
  <c r="C533" i="232"/>
  <c r="C532" i="232"/>
  <c r="C531" i="232"/>
  <c r="C530" i="232"/>
  <c r="C529" i="232"/>
  <c r="C528" i="232"/>
  <c r="C527" i="232"/>
  <c r="C526" i="232"/>
  <c r="C525" i="232"/>
  <c r="C524" i="232"/>
  <c r="C523" i="232"/>
  <c r="C522" i="232"/>
  <c r="C521" i="232"/>
  <c r="C520" i="232"/>
  <c r="C519" i="232"/>
  <c r="C518" i="232"/>
  <c r="C517" i="232"/>
  <c r="C516" i="232"/>
  <c r="C515" i="232"/>
  <c r="C514" i="232"/>
  <c r="C513" i="232"/>
  <c r="C512" i="232"/>
  <c r="C511" i="232"/>
  <c r="C510" i="232"/>
  <c r="C509" i="232"/>
  <c r="C508" i="232"/>
  <c r="C507" i="232"/>
  <c r="C506" i="232"/>
  <c r="C505" i="232"/>
  <c r="C504" i="232"/>
  <c r="C503" i="232"/>
  <c r="C502" i="232"/>
  <c r="C501" i="232"/>
  <c r="C500" i="232"/>
  <c r="C499" i="232"/>
  <c r="C498" i="232"/>
  <c r="C497" i="232"/>
  <c r="C496" i="232"/>
  <c r="C495" i="232"/>
  <c r="C494" i="232"/>
  <c r="C493" i="232"/>
  <c r="C492" i="232"/>
  <c r="C491" i="232"/>
  <c r="C490" i="232"/>
  <c r="C489" i="232"/>
  <c r="C488" i="232"/>
  <c r="C487" i="232"/>
  <c r="C486" i="232"/>
  <c r="C485" i="232"/>
  <c r="C484" i="232"/>
  <c r="C483" i="232"/>
  <c r="C482" i="232"/>
  <c r="C481" i="232"/>
  <c r="C480" i="232"/>
  <c r="C479" i="232"/>
  <c r="C478" i="232"/>
  <c r="C477" i="232"/>
  <c r="C476" i="232"/>
  <c r="C475" i="232"/>
  <c r="C474" i="232"/>
  <c r="C473" i="232"/>
  <c r="C472" i="232"/>
  <c r="C471" i="232"/>
  <c r="C470" i="232"/>
  <c r="C469" i="232"/>
  <c r="C468" i="232"/>
  <c r="C467" i="232"/>
  <c r="C466" i="232"/>
  <c r="C465" i="232"/>
  <c r="C464" i="232"/>
  <c r="C463" i="232"/>
  <c r="C462" i="232"/>
  <c r="C461" i="232"/>
  <c r="C460" i="232"/>
  <c r="C459" i="232"/>
  <c r="C458" i="232"/>
  <c r="C457" i="232"/>
  <c r="C456" i="232"/>
  <c r="C455" i="232"/>
  <c r="C454" i="232"/>
  <c r="C453" i="232"/>
  <c r="C452" i="232"/>
  <c r="C451" i="232"/>
  <c r="C450" i="232"/>
  <c r="C449" i="232"/>
  <c r="C448" i="232"/>
  <c r="C447" i="232"/>
  <c r="C446" i="232"/>
  <c r="C445" i="232"/>
  <c r="C444" i="232"/>
  <c r="C443" i="232"/>
  <c r="C442" i="232"/>
  <c r="C441" i="232"/>
  <c r="C440" i="232"/>
  <c r="C439" i="232"/>
  <c r="C438" i="232"/>
  <c r="C437" i="232"/>
  <c r="C436" i="232"/>
  <c r="C435" i="232"/>
  <c r="C434" i="232"/>
  <c r="C433" i="232"/>
  <c r="C432" i="232"/>
  <c r="C431" i="232"/>
  <c r="C430" i="232"/>
  <c r="C429" i="232"/>
  <c r="C428" i="232"/>
  <c r="C427" i="232"/>
  <c r="C426" i="232"/>
  <c r="C425" i="232"/>
  <c r="C424" i="232"/>
  <c r="C423" i="232"/>
  <c r="C422" i="232"/>
  <c r="C421" i="232"/>
  <c r="C420" i="232"/>
  <c r="C419" i="232"/>
  <c r="C418" i="232"/>
  <c r="C417" i="232"/>
  <c r="C416" i="232"/>
  <c r="C415" i="232"/>
  <c r="C414" i="232"/>
  <c r="C413" i="232"/>
  <c r="C412" i="232"/>
  <c r="C411" i="232"/>
  <c r="C410" i="232"/>
  <c r="C409" i="232"/>
  <c r="C408" i="232"/>
  <c r="C407" i="232"/>
  <c r="C406" i="232"/>
  <c r="C405" i="232"/>
  <c r="C404" i="232"/>
  <c r="C403" i="232"/>
  <c r="C402" i="232"/>
  <c r="C401" i="232"/>
  <c r="C400" i="232"/>
  <c r="C399" i="232"/>
  <c r="C398" i="232"/>
  <c r="C397" i="232"/>
  <c r="C396" i="232"/>
  <c r="C395" i="232"/>
  <c r="C394" i="232"/>
  <c r="C393" i="232"/>
  <c r="C392" i="232"/>
  <c r="C391" i="232"/>
  <c r="C390" i="232"/>
  <c r="C389" i="232"/>
  <c r="C388" i="232"/>
  <c r="C387" i="232"/>
  <c r="C386" i="232"/>
  <c r="C385" i="232"/>
  <c r="C384" i="232"/>
  <c r="C383" i="232"/>
  <c r="C382" i="232"/>
  <c r="C381" i="232"/>
  <c r="C380" i="232"/>
  <c r="C379" i="232"/>
  <c r="C378" i="232"/>
  <c r="C377" i="232"/>
  <c r="C376" i="232"/>
  <c r="C375" i="232"/>
  <c r="C374" i="232"/>
  <c r="C373" i="232"/>
  <c r="C372" i="232"/>
  <c r="C371" i="232"/>
  <c r="C370" i="232"/>
  <c r="C369" i="232"/>
  <c r="C368" i="232"/>
  <c r="C367" i="232"/>
  <c r="C366" i="232"/>
  <c r="C365" i="232"/>
  <c r="C364" i="232"/>
  <c r="C363" i="232"/>
  <c r="C362" i="232"/>
  <c r="C361" i="232"/>
  <c r="C360" i="232"/>
  <c r="C359" i="232"/>
  <c r="C358" i="232"/>
  <c r="C357" i="232"/>
  <c r="C356" i="232"/>
  <c r="C355" i="232"/>
  <c r="C354" i="232"/>
  <c r="C353" i="232"/>
  <c r="C352" i="232"/>
  <c r="C351" i="232"/>
  <c r="C350" i="232"/>
  <c r="C349" i="232"/>
  <c r="C348" i="232"/>
  <c r="C347" i="232"/>
  <c r="C346" i="232"/>
  <c r="C345" i="232"/>
  <c r="C344" i="232"/>
  <c r="C343" i="232"/>
  <c r="C342" i="232"/>
  <c r="C341" i="232"/>
  <c r="C340" i="232"/>
  <c r="C339" i="232"/>
  <c r="C338" i="232"/>
  <c r="C337" i="232"/>
  <c r="C336" i="232"/>
  <c r="C335" i="232"/>
  <c r="C334" i="232"/>
  <c r="C333" i="232"/>
  <c r="C332" i="232"/>
  <c r="C331" i="232"/>
  <c r="C330" i="232"/>
  <c r="C329" i="232"/>
  <c r="C328" i="232"/>
  <c r="C327" i="232"/>
  <c r="C326" i="232"/>
  <c r="C325" i="232"/>
  <c r="C324" i="232"/>
  <c r="C323" i="232"/>
  <c r="C322" i="232"/>
  <c r="C321" i="232"/>
  <c r="C320" i="232"/>
  <c r="C319" i="232"/>
  <c r="C318" i="232"/>
  <c r="C317" i="232"/>
  <c r="C316" i="232"/>
  <c r="C315" i="232"/>
  <c r="C314" i="232"/>
  <c r="C313" i="232"/>
  <c r="C312" i="232"/>
  <c r="C311" i="232"/>
  <c r="C310" i="232"/>
  <c r="C309" i="232"/>
  <c r="C308" i="232"/>
  <c r="C307" i="232"/>
  <c r="C306" i="232"/>
  <c r="C305" i="232"/>
  <c r="C304" i="232"/>
  <c r="C303" i="232"/>
  <c r="C302" i="232"/>
  <c r="C301" i="232"/>
  <c r="C300" i="232"/>
  <c r="C299" i="232"/>
  <c r="C298" i="232"/>
  <c r="C297" i="232"/>
  <c r="C296" i="232"/>
  <c r="C295" i="232"/>
  <c r="C294" i="232"/>
  <c r="C293" i="232"/>
  <c r="C292" i="232"/>
  <c r="C291" i="232"/>
  <c r="C290" i="232"/>
  <c r="C289" i="232"/>
  <c r="C288" i="232"/>
  <c r="C287" i="232"/>
  <c r="C286" i="232"/>
  <c r="C285" i="232"/>
  <c r="C284" i="232"/>
  <c r="C283" i="232"/>
  <c r="C282" i="232"/>
  <c r="C281" i="232"/>
  <c r="C280" i="232"/>
  <c r="C279" i="232"/>
  <c r="C278" i="232"/>
  <c r="C277" i="232"/>
  <c r="C276" i="232"/>
  <c r="C275" i="232"/>
  <c r="C274" i="232"/>
  <c r="C273" i="232"/>
  <c r="C272" i="232"/>
  <c r="C271" i="232"/>
  <c r="C270" i="232"/>
  <c r="C269" i="232"/>
  <c r="C268" i="232"/>
  <c r="C267" i="232"/>
  <c r="C266" i="232"/>
  <c r="C265" i="232"/>
  <c r="C264" i="232"/>
  <c r="C263" i="232"/>
  <c r="C262" i="232"/>
  <c r="C261" i="232"/>
  <c r="C260" i="232"/>
  <c r="C259" i="232"/>
  <c r="C258" i="232"/>
  <c r="C257" i="232"/>
  <c r="C256" i="232"/>
  <c r="C255" i="232"/>
  <c r="C254" i="232"/>
  <c r="C253" i="232"/>
  <c r="C252" i="232"/>
  <c r="C251" i="232"/>
  <c r="C250" i="232"/>
  <c r="C249" i="232"/>
  <c r="C248" i="232"/>
  <c r="C247" i="232"/>
  <c r="C246" i="232"/>
  <c r="C245" i="232"/>
  <c r="C244" i="232"/>
  <c r="C243" i="232"/>
  <c r="C242" i="232"/>
  <c r="C241" i="232"/>
  <c r="C240" i="232"/>
  <c r="C239" i="232"/>
  <c r="C238" i="232"/>
  <c r="C237" i="232"/>
  <c r="C236" i="232"/>
  <c r="C235" i="232"/>
  <c r="C234" i="232"/>
  <c r="C233" i="232"/>
  <c r="C232" i="232"/>
  <c r="C231" i="232"/>
  <c r="C230" i="232"/>
  <c r="C229" i="232"/>
  <c r="C228" i="232"/>
  <c r="C227" i="232"/>
  <c r="C226" i="232"/>
  <c r="C225" i="232"/>
  <c r="C224" i="232"/>
  <c r="C223" i="232"/>
  <c r="C222" i="232"/>
  <c r="C221" i="232"/>
  <c r="C220" i="232"/>
  <c r="C219" i="232"/>
  <c r="C218" i="232"/>
  <c r="C217" i="232"/>
  <c r="C216" i="232"/>
  <c r="C215" i="232"/>
  <c r="C214" i="232"/>
  <c r="C213" i="232"/>
  <c r="C212" i="232"/>
  <c r="C211" i="232"/>
  <c r="C210" i="232"/>
  <c r="C209" i="232"/>
  <c r="C208" i="232"/>
  <c r="C207" i="232"/>
  <c r="C206" i="232"/>
  <c r="C205" i="232"/>
  <c r="C204" i="232"/>
  <c r="C203" i="232"/>
  <c r="C202" i="232"/>
  <c r="C201" i="232"/>
  <c r="C200" i="232"/>
  <c r="C199" i="232"/>
  <c r="C198" i="232"/>
  <c r="C197" i="232"/>
  <c r="C196" i="232"/>
  <c r="C195" i="232"/>
  <c r="C194" i="232"/>
  <c r="C193" i="232"/>
  <c r="C192" i="232"/>
  <c r="C191" i="232"/>
  <c r="C190" i="232"/>
  <c r="C189" i="232"/>
  <c r="C188" i="232"/>
  <c r="C187" i="232"/>
  <c r="C186" i="232"/>
  <c r="C185" i="232"/>
  <c r="C184" i="232"/>
  <c r="C183" i="232"/>
  <c r="C182" i="232"/>
  <c r="C181" i="232"/>
  <c r="C180" i="232"/>
  <c r="C179" i="232"/>
  <c r="C178" i="232"/>
  <c r="C177" i="232"/>
  <c r="C176" i="232"/>
  <c r="C175" i="232"/>
  <c r="C174" i="232"/>
  <c r="C173" i="232"/>
  <c r="C172" i="232"/>
  <c r="C171" i="232"/>
  <c r="C170" i="232"/>
  <c r="C169" i="232"/>
  <c r="C168" i="232"/>
  <c r="C167" i="232"/>
  <c r="C166" i="232"/>
  <c r="C165" i="232"/>
  <c r="C164" i="232"/>
  <c r="C163" i="232"/>
  <c r="C162" i="232"/>
  <c r="C161" i="232"/>
  <c r="C160" i="232"/>
  <c r="C159" i="232"/>
  <c r="C158" i="232"/>
  <c r="C157" i="232"/>
  <c r="C156" i="232"/>
  <c r="C155" i="232"/>
  <c r="C154" i="232"/>
  <c r="C153" i="232"/>
  <c r="C152" i="232"/>
  <c r="C151" i="232"/>
  <c r="C150" i="232"/>
  <c r="C149" i="232"/>
  <c r="C148" i="232"/>
  <c r="C147" i="232"/>
  <c r="C146" i="232"/>
  <c r="C145" i="232"/>
  <c r="C144" i="232"/>
  <c r="C143" i="232"/>
  <c r="C142" i="232"/>
  <c r="C141" i="232"/>
  <c r="C140" i="232"/>
  <c r="C139" i="232"/>
  <c r="C138" i="232"/>
  <c r="C137" i="232"/>
  <c r="C136" i="232"/>
  <c r="C135" i="232"/>
  <c r="C134" i="232"/>
  <c r="C133" i="232"/>
  <c r="C132" i="232"/>
  <c r="C131" i="232"/>
  <c r="C130" i="232"/>
  <c r="C129" i="232"/>
  <c r="C128" i="232"/>
  <c r="C127" i="232"/>
  <c r="C126" i="232"/>
  <c r="C125" i="232"/>
  <c r="C124" i="232"/>
  <c r="C123" i="232"/>
  <c r="C122" i="232"/>
  <c r="C121" i="232"/>
  <c r="C120" i="232"/>
  <c r="C119" i="232"/>
  <c r="C118" i="232"/>
  <c r="C117" i="232"/>
  <c r="C116" i="232"/>
  <c r="C115" i="232"/>
  <c r="C114" i="232"/>
  <c r="C113" i="232"/>
  <c r="C112" i="232"/>
  <c r="C111" i="232"/>
  <c r="C110" i="232"/>
  <c r="C109" i="232"/>
  <c r="C108" i="232"/>
  <c r="C107" i="232"/>
  <c r="C106" i="232"/>
  <c r="C105" i="232"/>
  <c r="C104" i="232"/>
  <c r="C103" i="232"/>
  <c r="C102" i="232"/>
  <c r="C101" i="232"/>
  <c r="C100" i="232"/>
  <c r="C99" i="232"/>
  <c r="C98" i="232"/>
  <c r="C97" i="232"/>
  <c r="C96" i="232"/>
  <c r="C95" i="232"/>
  <c r="C94" i="232"/>
  <c r="C93" i="232"/>
  <c r="C92" i="232"/>
  <c r="C91" i="232"/>
  <c r="C90" i="232"/>
  <c r="C89" i="232"/>
  <c r="C88" i="232"/>
  <c r="C87" i="232"/>
  <c r="C86" i="232"/>
  <c r="C85" i="232"/>
  <c r="C84" i="232"/>
  <c r="C83" i="232"/>
  <c r="C82" i="232"/>
  <c r="C81" i="232"/>
  <c r="C80" i="232"/>
  <c r="C79" i="232"/>
  <c r="C78" i="232"/>
  <c r="C77" i="232"/>
  <c r="C76" i="232"/>
  <c r="C75" i="232"/>
  <c r="C74" i="232"/>
  <c r="C73" i="232"/>
  <c r="C72" i="232"/>
  <c r="C71" i="232"/>
  <c r="C70" i="232"/>
  <c r="C69" i="232"/>
  <c r="C68" i="232"/>
  <c r="C67" i="232"/>
  <c r="C66" i="232"/>
  <c r="C65" i="232"/>
  <c r="C64" i="232"/>
  <c r="C63" i="232"/>
  <c r="C62" i="232"/>
  <c r="C61" i="232"/>
  <c r="C60" i="232"/>
  <c r="C59" i="232"/>
  <c r="C58" i="232"/>
  <c r="C57" i="232"/>
  <c r="C56" i="232"/>
  <c r="C55" i="232"/>
  <c r="C54" i="232"/>
  <c r="C53" i="232"/>
  <c r="C52" i="232"/>
  <c r="C51" i="232"/>
  <c r="C50" i="232"/>
  <c r="C49" i="232"/>
  <c r="C48" i="232"/>
  <c r="C47" i="232"/>
  <c r="C46" i="232"/>
  <c r="C45" i="232"/>
  <c r="C44" i="232"/>
  <c r="C43" i="232"/>
  <c r="C42" i="232"/>
  <c r="C41" i="232"/>
  <c r="C40" i="232"/>
  <c r="C39" i="232"/>
  <c r="C38" i="232"/>
  <c r="C37" i="232"/>
  <c r="C36" i="232"/>
  <c r="C35" i="232"/>
  <c r="C34" i="232"/>
  <c r="C33" i="232"/>
  <c r="C32" i="232"/>
  <c r="C31" i="232"/>
  <c r="C30" i="232"/>
  <c r="C29" i="232"/>
  <c r="C28" i="232"/>
  <c r="C27" i="232"/>
  <c r="C26" i="232"/>
  <c r="C25" i="232"/>
  <c r="C24" i="232"/>
  <c r="C23" i="232"/>
  <c r="C22" i="232"/>
  <c r="C21" i="232"/>
  <c r="C20" i="232"/>
  <c r="C19" i="232"/>
  <c r="C18" i="232"/>
  <c r="C17" i="232"/>
  <c r="C16" i="232"/>
  <c r="C15" i="232"/>
  <c r="C14" i="232"/>
  <c r="C13" i="232"/>
  <c r="C12" i="232"/>
  <c r="C11" i="232"/>
  <c r="C10" i="232"/>
  <c r="C9" i="232"/>
  <c r="C8" i="232"/>
  <c r="C7" i="232"/>
  <c r="C6" i="232"/>
  <c r="C5" i="232"/>
  <c r="C4" i="232"/>
  <c r="C3" i="232"/>
  <c r="P10" i="230"/>
  <c r="H11" i="230"/>
  <c r="Q11" i="230" s="1"/>
  <c r="P12" i="230"/>
  <c r="P14" i="230"/>
  <c r="J14" i="230"/>
  <c r="K14" i="230"/>
  <c r="N14" i="230"/>
  <c r="P15" i="230"/>
  <c r="AI15" i="230" s="1"/>
  <c r="N16" i="230"/>
  <c r="I17" i="230"/>
  <c r="H17" i="230"/>
  <c r="Q17" i="230" s="1"/>
  <c r="K17" i="230"/>
  <c r="AT17" i="230"/>
  <c r="K18" i="230"/>
  <c r="H19" i="230"/>
  <c r="Q19" i="230" s="1"/>
  <c r="I19" i="230"/>
  <c r="J19" i="230"/>
  <c r="K19" i="230"/>
  <c r="N19" i="230"/>
  <c r="H20" i="230"/>
  <c r="Q20" i="230" s="1"/>
  <c r="I20" i="230"/>
  <c r="J20" i="230"/>
  <c r="K20" i="230"/>
  <c r="N20" i="230"/>
  <c r="H21" i="230"/>
  <c r="Q21" i="230" s="1"/>
  <c r="I21" i="230"/>
  <c r="J21" i="230"/>
  <c r="K21" i="230"/>
  <c r="AT21" i="230"/>
  <c r="N21" i="230"/>
  <c r="H22" i="230"/>
  <c r="Q22" i="230" s="1"/>
  <c r="I22" i="230"/>
  <c r="J22" i="230"/>
  <c r="K22" i="230"/>
  <c r="AT22" i="230"/>
  <c r="N22" i="230"/>
  <c r="H23" i="230"/>
  <c r="Q23" i="230" s="1"/>
  <c r="I23" i="230"/>
  <c r="J23" i="230"/>
  <c r="K23" i="230"/>
  <c r="AT23" i="230"/>
  <c r="N23" i="230"/>
  <c r="H24" i="230"/>
  <c r="Q24" i="230" s="1"/>
  <c r="I24" i="230"/>
  <c r="J24" i="230"/>
  <c r="K24" i="230"/>
  <c r="AT24" i="230"/>
  <c r="N24" i="230"/>
  <c r="H25" i="230"/>
  <c r="Q25" i="230" s="1"/>
  <c r="I25" i="230"/>
  <c r="J25" i="230"/>
  <c r="K25" i="230"/>
  <c r="AT25" i="230"/>
  <c r="N25" i="230"/>
  <c r="H26" i="230"/>
  <c r="Q26" i="230" s="1"/>
  <c r="I26" i="230"/>
  <c r="J26" i="230"/>
  <c r="K26" i="230"/>
  <c r="Y26" i="230" s="1"/>
  <c r="R21" i="227" s="1"/>
  <c r="AT26" i="230"/>
  <c r="N26" i="230"/>
  <c r="H27" i="230"/>
  <c r="Q27" i="230" s="1"/>
  <c r="I27" i="230"/>
  <c r="J27" i="230"/>
  <c r="K27" i="230"/>
  <c r="Y27" i="230" s="1"/>
  <c r="R22" i="227" s="1"/>
  <c r="AT27" i="230"/>
  <c r="N27" i="230"/>
  <c r="H28" i="230"/>
  <c r="Q28" i="230" s="1"/>
  <c r="I28" i="230"/>
  <c r="J28" i="230"/>
  <c r="K28" i="230"/>
  <c r="AT28" i="230"/>
  <c r="N28" i="230"/>
  <c r="H29" i="230"/>
  <c r="Q29" i="230" s="1"/>
  <c r="I29" i="230"/>
  <c r="J29" i="230"/>
  <c r="K29" i="230"/>
  <c r="AO29" i="230" s="1"/>
  <c r="AT29" i="230"/>
  <c r="N29" i="230"/>
  <c r="H30" i="230"/>
  <c r="Q30" i="230" s="1"/>
  <c r="I30" i="230"/>
  <c r="J30" i="230"/>
  <c r="K30" i="230"/>
  <c r="AO30" i="230" s="1"/>
  <c r="AT30" i="230"/>
  <c r="N30" i="230"/>
  <c r="H31" i="230"/>
  <c r="Q31" i="230" s="1"/>
  <c r="I31" i="230"/>
  <c r="J31" i="230"/>
  <c r="K31" i="230"/>
  <c r="AO31" i="230" s="1"/>
  <c r="AT31" i="230"/>
  <c r="N31" i="230"/>
  <c r="I32" i="230"/>
  <c r="J32" i="230"/>
  <c r="K32" i="230"/>
  <c r="AO32" i="230" s="1"/>
  <c r="AT32" i="230"/>
  <c r="N32" i="230"/>
  <c r="I33" i="230"/>
  <c r="J33" i="230"/>
  <c r="K33" i="230"/>
  <c r="AO33" i="230" s="1"/>
  <c r="AT33" i="230"/>
  <c r="N33" i="230"/>
  <c r="I34" i="230"/>
  <c r="J34" i="230"/>
  <c r="K34" i="230"/>
  <c r="AO34" i="230" s="1"/>
  <c r="AT34" i="230"/>
  <c r="N34" i="230"/>
  <c r="I35" i="230"/>
  <c r="J35" i="230"/>
  <c r="K35" i="230"/>
  <c r="AO35" i="230" s="1"/>
  <c r="AT35" i="230"/>
  <c r="N35" i="230"/>
  <c r="I36" i="230"/>
  <c r="J36" i="230"/>
  <c r="K36" i="230"/>
  <c r="AO36" i="230" s="1"/>
  <c r="AT36" i="230"/>
  <c r="N36" i="230"/>
  <c r="I37" i="230"/>
  <c r="J37" i="230"/>
  <c r="K37" i="230"/>
  <c r="AO37" i="230" s="1"/>
  <c r="AT37" i="230"/>
  <c r="N37" i="230"/>
  <c r="I38" i="230"/>
  <c r="J38" i="230"/>
  <c r="K38" i="230"/>
  <c r="AO38" i="230" s="1"/>
  <c r="AT38" i="230"/>
  <c r="N38" i="230"/>
  <c r="I39" i="230"/>
  <c r="J39" i="230"/>
  <c r="K39" i="230"/>
  <c r="AO39" i="230" s="1"/>
  <c r="AT39" i="230"/>
  <c r="N39" i="230"/>
  <c r="I40" i="230"/>
  <c r="J40" i="230"/>
  <c r="K40" i="230"/>
  <c r="AO40" i="230" s="1"/>
  <c r="N40" i="230"/>
  <c r="I41" i="230"/>
  <c r="W41" i="230" s="1"/>
  <c r="P36" i="227" s="1"/>
  <c r="J41" i="230"/>
  <c r="K41" i="230"/>
  <c r="I42" i="230"/>
  <c r="W42" i="230" s="1"/>
  <c r="P37" i="227" s="1"/>
  <c r="J42" i="230"/>
  <c r="K42" i="230"/>
  <c r="I43" i="230"/>
  <c r="W43" i="230" s="1"/>
  <c r="P38" i="227" s="1"/>
  <c r="J43" i="230"/>
  <c r="K43" i="230"/>
  <c r="I44" i="230"/>
  <c r="W44" i="230" s="1"/>
  <c r="P39" i="227" s="1"/>
  <c r="J44" i="230"/>
  <c r="K44" i="230"/>
  <c r="I45" i="230"/>
  <c r="W45" i="230" s="1"/>
  <c r="P40" i="227" s="1"/>
  <c r="J45" i="230"/>
  <c r="K45" i="230"/>
  <c r="I46" i="230"/>
  <c r="W46" i="230" s="1"/>
  <c r="P41" i="227" s="1"/>
  <c r="J46" i="230"/>
  <c r="K46" i="230"/>
  <c r="I47" i="230"/>
  <c r="W47" i="230" s="1"/>
  <c r="P42" i="227" s="1"/>
  <c r="J47" i="230"/>
  <c r="K47" i="230"/>
  <c r="I48" i="230"/>
  <c r="W48" i="230" s="1"/>
  <c r="P43" i="227" s="1"/>
  <c r="J48" i="230"/>
  <c r="K48" i="230"/>
  <c r="I49" i="230"/>
  <c r="W49" i="230" s="1"/>
  <c r="P44" i="227" s="1"/>
  <c r="J49" i="230"/>
  <c r="K49" i="230"/>
  <c r="I50" i="230"/>
  <c r="W50" i="230" s="1"/>
  <c r="P45" i="227" s="1"/>
  <c r="J50" i="230"/>
  <c r="K50" i="230"/>
  <c r="I51" i="230"/>
  <c r="W51" i="230" s="1"/>
  <c r="P46" i="227" s="1"/>
  <c r="J51" i="230"/>
  <c r="K51" i="230"/>
  <c r="AA51" i="230"/>
  <c r="I52" i="230"/>
  <c r="W52" i="230" s="1"/>
  <c r="P47" i="227" s="1"/>
  <c r="J52" i="230"/>
  <c r="K52" i="230"/>
  <c r="AA52" i="230"/>
  <c r="I53" i="230"/>
  <c r="W53" i="230" s="1"/>
  <c r="P48" i="227" s="1"/>
  <c r="J53" i="230"/>
  <c r="K53" i="230"/>
  <c r="AA53" i="230"/>
  <c r="I54" i="230"/>
  <c r="W54" i="230" s="1"/>
  <c r="P49" i="227" s="1"/>
  <c r="J54" i="230"/>
  <c r="K54" i="230"/>
  <c r="AA54" i="230"/>
  <c r="AA65" i="230"/>
  <c r="T60" i="227" s="1"/>
  <c r="AA66" i="230"/>
  <c r="T61" i="227" s="1"/>
  <c r="AA67" i="230"/>
  <c r="J6" i="227" l="1"/>
  <c r="R25" i="230"/>
  <c r="J20" i="227"/>
  <c r="R23" i="230"/>
  <c r="J18" i="227"/>
  <c r="R21" i="230"/>
  <c r="J16" i="227"/>
  <c r="AB54" i="230"/>
  <c r="BU54" i="230" s="1"/>
  <c r="BV54" i="230" s="1"/>
  <c r="BW54" i="230" s="1"/>
  <c r="T49" i="227"/>
  <c r="R27" i="230"/>
  <c r="J22" i="227"/>
  <c r="AB51" i="230"/>
  <c r="BU51" i="230" s="1"/>
  <c r="BV51" i="230" s="1"/>
  <c r="BW51" i="230" s="1"/>
  <c r="T46" i="227"/>
  <c r="R17" i="230"/>
  <c r="J12" i="227"/>
  <c r="R29" i="230"/>
  <c r="J24" i="227"/>
  <c r="AB52" i="230"/>
  <c r="BU52" i="230" s="1"/>
  <c r="BV52" i="230" s="1"/>
  <c r="BW52" i="230" s="1"/>
  <c r="T47" i="227"/>
  <c r="R31" i="230"/>
  <c r="J26" i="227"/>
  <c r="AB53" i="230"/>
  <c r="BU53" i="230" s="1"/>
  <c r="BV53" i="230" s="1"/>
  <c r="BW53" i="230" s="1"/>
  <c r="T48" i="227"/>
  <c r="R20" i="230"/>
  <c r="J15" i="227"/>
  <c r="AW15" i="230"/>
  <c r="BB15" i="230" s="1"/>
  <c r="AB10" i="227"/>
  <c r="R19" i="230"/>
  <c r="J14" i="227"/>
  <c r="R30" i="230"/>
  <c r="J25" i="227"/>
  <c r="R28" i="230"/>
  <c r="J23" i="227"/>
  <c r="R26" i="230"/>
  <c r="J21" i="227"/>
  <c r="R24" i="230"/>
  <c r="J19" i="227"/>
  <c r="R22" i="230"/>
  <c r="J17" i="227"/>
  <c r="Y14" i="230"/>
  <c r="T11" i="230"/>
  <c r="M6" i="227" s="1"/>
  <c r="T25" i="230"/>
  <c r="M20" i="227" s="1"/>
  <c r="AI14" i="230"/>
  <c r="AI12" i="230"/>
  <c r="AI10" i="230"/>
  <c r="AN42" i="230"/>
  <c r="BG42" i="230"/>
  <c r="AH42" i="230"/>
  <c r="AA37" i="227" s="1"/>
  <c r="AN54" i="230"/>
  <c r="BG54" i="230"/>
  <c r="AH54" i="230"/>
  <c r="AA49" i="227" s="1"/>
  <c r="AG54" i="230"/>
  <c r="Z49" i="227" s="1"/>
  <c r="AR54" i="230"/>
  <c r="AY54" i="230" s="1"/>
  <c r="AN53" i="230"/>
  <c r="BG53" i="230"/>
  <c r="AH53" i="230"/>
  <c r="AA48" i="227" s="1"/>
  <c r="AG53" i="230"/>
  <c r="Z48" i="227" s="1"/>
  <c r="AR53" i="230"/>
  <c r="AY53" i="230" s="1"/>
  <c r="AN52" i="230"/>
  <c r="BG52" i="230"/>
  <c r="AH52" i="230"/>
  <c r="AA47" i="227" s="1"/>
  <c r="AG52" i="230"/>
  <c r="Z47" i="227" s="1"/>
  <c r="AR52" i="230"/>
  <c r="AY52" i="230" s="1"/>
  <c r="AN51" i="230"/>
  <c r="BG51" i="230"/>
  <c r="AH51" i="230"/>
  <c r="AA46" i="227" s="1"/>
  <c r="AG51" i="230"/>
  <c r="Z46" i="227" s="1"/>
  <c r="AR51" i="230"/>
  <c r="AY51" i="230" s="1"/>
  <c r="Y49" i="230"/>
  <c r="R44" i="227" s="1"/>
  <c r="AO49" i="230"/>
  <c r="AR47" i="230"/>
  <c r="AY47" i="230" s="1"/>
  <c r="AN47" i="230"/>
  <c r="BG47" i="230"/>
  <c r="AH47" i="230"/>
  <c r="AA42" i="227" s="1"/>
  <c r="Y45" i="230"/>
  <c r="R40" i="227" s="1"/>
  <c r="AO45" i="230"/>
  <c r="AN43" i="230"/>
  <c r="BG43" i="230"/>
  <c r="AH43" i="230"/>
  <c r="AA38" i="227" s="1"/>
  <c r="AN46" i="230"/>
  <c r="BG46" i="230"/>
  <c r="AH46" i="230"/>
  <c r="AA41" i="227" s="1"/>
  <c r="AO50" i="230"/>
  <c r="Y50" i="230"/>
  <c r="R45" i="227" s="1"/>
  <c r="AN48" i="230"/>
  <c r="BG48" i="230"/>
  <c r="AH48" i="230"/>
  <c r="AA43" i="227" s="1"/>
  <c r="AR48" i="230"/>
  <c r="AY48" i="230" s="1"/>
  <c r="Y46" i="230"/>
  <c r="R41" i="227" s="1"/>
  <c r="AO46" i="230"/>
  <c r="AN44" i="230"/>
  <c r="BG44" i="230"/>
  <c r="AH44" i="230"/>
  <c r="AA39" i="227" s="1"/>
  <c r="Y42" i="230"/>
  <c r="R37" i="227" s="1"/>
  <c r="AO42" i="230"/>
  <c r="AN50" i="230"/>
  <c r="BG50" i="230"/>
  <c r="AH50" i="230"/>
  <c r="AA45" i="227" s="1"/>
  <c r="AG50" i="230"/>
  <c r="Z45" i="227" s="1"/>
  <c r="AR50" i="230"/>
  <c r="AY50" i="230" s="1"/>
  <c r="Y48" i="230"/>
  <c r="R43" i="227" s="1"/>
  <c r="AO48" i="230"/>
  <c r="Y44" i="230"/>
  <c r="R39" i="227" s="1"/>
  <c r="AO44" i="230"/>
  <c r="Y54" i="230"/>
  <c r="R49" i="227" s="1"/>
  <c r="AO54" i="230"/>
  <c r="AO53" i="230"/>
  <c r="Y53" i="230"/>
  <c r="R48" i="227" s="1"/>
  <c r="Y52" i="230"/>
  <c r="R47" i="227" s="1"/>
  <c r="AO52" i="230"/>
  <c r="AO51" i="230"/>
  <c r="Y51" i="230"/>
  <c r="R46" i="227" s="1"/>
  <c r="AN49" i="230"/>
  <c r="BG49" i="230"/>
  <c r="AH49" i="230"/>
  <c r="AA44" i="227" s="1"/>
  <c r="AR49" i="230"/>
  <c r="AY49" i="230" s="1"/>
  <c r="AO47" i="230"/>
  <c r="Y47" i="230"/>
  <c r="R42" i="227" s="1"/>
  <c r="AN45" i="230"/>
  <c r="BG45" i="230"/>
  <c r="AH45" i="230"/>
  <c r="AA40" i="227" s="1"/>
  <c r="Y43" i="230"/>
  <c r="R38" i="227" s="1"/>
  <c r="AO43" i="230"/>
  <c r="AN41" i="230"/>
  <c r="BG41" i="230"/>
  <c r="AH41" i="230"/>
  <c r="AA36" i="227" s="1"/>
  <c r="Y28" i="230"/>
  <c r="R23" i="227" s="1"/>
  <c r="AO28" i="230"/>
  <c r="AO26" i="230"/>
  <c r="Y24" i="230"/>
  <c r="R19" i="227" s="1"/>
  <c r="AO24" i="230"/>
  <c r="Y22" i="230"/>
  <c r="R17" i="227" s="1"/>
  <c r="AO22" i="230"/>
  <c r="Y19" i="230"/>
  <c r="R14" i="227" s="1"/>
  <c r="AO19" i="230"/>
  <c r="Y18" i="230"/>
  <c r="R13" i="227" s="1"/>
  <c r="AO18" i="230"/>
  <c r="Y20" i="230"/>
  <c r="R15" i="227" s="1"/>
  <c r="AO20" i="230"/>
  <c r="Y41" i="230"/>
  <c r="R36" i="227" s="1"/>
  <c r="AO41" i="230"/>
  <c r="AO27" i="230"/>
  <c r="Y25" i="230"/>
  <c r="R20" i="227" s="1"/>
  <c r="AO25" i="230"/>
  <c r="Y23" i="230"/>
  <c r="R18" i="227" s="1"/>
  <c r="AO23" i="230"/>
  <c r="Y21" i="230"/>
  <c r="R16" i="227" s="1"/>
  <c r="AO21" i="230"/>
  <c r="Y17" i="230"/>
  <c r="R12" i="227" s="1"/>
  <c r="AO17" i="230"/>
  <c r="AO14" i="230"/>
  <c r="AA19" i="230"/>
  <c r="W19" i="230"/>
  <c r="P14" i="227" s="1"/>
  <c r="W27" i="230"/>
  <c r="P22" i="227" s="1"/>
  <c r="AA27" i="230"/>
  <c r="W25" i="230"/>
  <c r="P20" i="227" s="1"/>
  <c r="AA25" i="230"/>
  <c r="AA23" i="230"/>
  <c r="W23" i="230"/>
  <c r="P18" i="227" s="1"/>
  <c r="W21" i="230"/>
  <c r="P16" i="227" s="1"/>
  <c r="AA21" i="230"/>
  <c r="AA28" i="230"/>
  <c r="W28" i="230"/>
  <c r="P23" i="227" s="1"/>
  <c r="W26" i="230"/>
  <c r="P21" i="227" s="1"/>
  <c r="AA26" i="230"/>
  <c r="W24" i="230"/>
  <c r="P19" i="227" s="1"/>
  <c r="AA24" i="230"/>
  <c r="W22" i="230"/>
  <c r="P17" i="227" s="1"/>
  <c r="AA22" i="230"/>
  <c r="W20" i="230"/>
  <c r="P15" i="227" s="1"/>
  <c r="AA20" i="230"/>
  <c r="AA50" i="230"/>
  <c r="AG49" i="230"/>
  <c r="Z44" i="227" s="1"/>
  <c r="AA49" i="230"/>
  <c r="AG48" i="230"/>
  <c r="Z43" i="227" s="1"/>
  <c r="AA48" i="230"/>
  <c r="AA47" i="230"/>
  <c r="AA46" i="230"/>
  <c r="AA45" i="230"/>
  <c r="AA44" i="230"/>
  <c r="AA43" i="230"/>
  <c r="AA42" i="230"/>
  <c r="AA41" i="230"/>
  <c r="Y40" i="230"/>
  <c r="R35" i="227" s="1"/>
  <c r="AA38" i="230"/>
  <c r="W38" i="230"/>
  <c r="P33" i="227" s="1"/>
  <c r="Y36" i="230"/>
  <c r="R31" i="227" s="1"/>
  <c r="AA34" i="230"/>
  <c r="W34" i="230"/>
  <c r="P29" i="227" s="1"/>
  <c r="Y32" i="230"/>
  <c r="R27" i="227" s="1"/>
  <c r="Y38" i="230"/>
  <c r="R33" i="227" s="1"/>
  <c r="W36" i="230"/>
  <c r="P31" i="227" s="1"/>
  <c r="AA36" i="230"/>
  <c r="Y34" i="230"/>
  <c r="R29" i="227" s="1"/>
  <c r="W32" i="230"/>
  <c r="P27" i="227" s="1"/>
  <c r="AA32" i="230"/>
  <c r="AA40" i="230"/>
  <c r="W40" i="230"/>
  <c r="P35" i="227" s="1"/>
  <c r="AA39" i="230"/>
  <c r="W39" i="230"/>
  <c r="P34" i="227" s="1"/>
  <c r="Y37" i="230"/>
  <c r="R32" i="227" s="1"/>
  <c r="W35" i="230"/>
  <c r="P30" i="227" s="1"/>
  <c r="AA35" i="230"/>
  <c r="Y33" i="230"/>
  <c r="R28" i="227" s="1"/>
  <c r="AA31" i="230"/>
  <c r="W31" i="230"/>
  <c r="P26" i="227" s="1"/>
  <c r="Y30" i="230"/>
  <c r="R25" i="227" s="1"/>
  <c r="W29" i="230"/>
  <c r="P24" i="227" s="1"/>
  <c r="AA29" i="230"/>
  <c r="Y39" i="230"/>
  <c r="R34" i="227" s="1"/>
  <c r="W37" i="230"/>
  <c r="P32" i="227" s="1"/>
  <c r="AA37" i="230"/>
  <c r="Y35" i="230"/>
  <c r="R30" i="227" s="1"/>
  <c r="W33" i="230"/>
  <c r="P28" i="227" s="1"/>
  <c r="AA33" i="230"/>
  <c r="Y31" i="230"/>
  <c r="R26" i="227" s="1"/>
  <c r="W30" i="230"/>
  <c r="P25" i="227" s="1"/>
  <c r="AA30" i="230"/>
  <c r="Y29" i="230"/>
  <c r="R24" i="227" s="1"/>
  <c r="AP30" i="230"/>
  <c r="AP46" i="230"/>
  <c r="AP23" i="230"/>
  <c r="AP39" i="230"/>
  <c r="AP32" i="230"/>
  <c r="AP21" i="230"/>
  <c r="AP37" i="230"/>
  <c r="AP18" i="230"/>
  <c r="AP34" i="230"/>
  <c r="AP27" i="230"/>
  <c r="AP43" i="230"/>
  <c r="AP20" i="230"/>
  <c r="AP36" i="230"/>
  <c r="AP25" i="230"/>
  <c r="AP41" i="230"/>
  <c r="AP22" i="230"/>
  <c r="AP38" i="230"/>
  <c r="AP31" i="230"/>
  <c r="AP24" i="230"/>
  <c r="AP40" i="230"/>
  <c r="AP29" i="230"/>
  <c r="AP45" i="230"/>
  <c r="AP26" i="230"/>
  <c r="AP42" i="230"/>
  <c r="AP19" i="230"/>
  <c r="AP35" i="230"/>
  <c r="AP28" i="230"/>
  <c r="AP44" i="230"/>
  <c r="AP17" i="230"/>
  <c r="AP33" i="230"/>
  <c r="P9" i="230"/>
  <c r="O9" i="230"/>
  <c r="M9" i="230"/>
  <c r="H8" i="230"/>
  <c r="Q8" i="230" s="1"/>
  <c r="P8" i="230"/>
  <c r="AI8" i="230" s="1"/>
  <c r="O8" i="230"/>
  <c r="M8" i="230"/>
  <c r="AD8" i="230" s="1"/>
  <c r="H16" i="230"/>
  <c r="Q16" i="230" s="1"/>
  <c r="P16" i="230"/>
  <c r="AI16" i="230" s="1"/>
  <c r="O16" i="230"/>
  <c r="AA16" i="230" s="1"/>
  <c r="M16" i="230"/>
  <c r="AD16" i="230" s="1"/>
  <c r="K16" i="230"/>
  <c r="Y16" i="230" s="1"/>
  <c r="R11" i="227" s="1"/>
  <c r="P13" i="230"/>
  <c r="J16" i="230"/>
  <c r="I16" i="230"/>
  <c r="W16" i="230" s="1"/>
  <c r="P11" i="227" s="1"/>
  <c r="N12" i="230"/>
  <c r="P11" i="230"/>
  <c r="K9" i="230"/>
  <c r="Y9" i="230" s="1"/>
  <c r="H14" i="230"/>
  <c r="Q14" i="230" s="1"/>
  <c r="M14" i="230"/>
  <c r="O14" i="230"/>
  <c r="AA14" i="230" s="1"/>
  <c r="M15" i="230"/>
  <c r="AD15" i="230" s="1"/>
  <c r="O15" i="230"/>
  <c r="H12" i="230"/>
  <c r="Q12" i="230" s="1"/>
  <c r="M12" i="230"/>
  <c r="O12" i="230"/>
  <c r="I11" i="230"/>
  <c r="M11" i="230"/>
  <c r="O11" i="230"/>
  <c r="I14" i="230"/>
  <c r="W14" i="230" s="1"/>
  <c r="P9" i="227" s="1"/>
  <c r="I13" i="230"/>
  <c r="O13" i="230"/>
  <c r="M13" i="230"/>
  <c r="N10" i="230"/>
  <c r="O10" i="230"/>
  <c r="M10" i="230"/>
  <c r="J8" i="230"/>
  <c r="K13" i="230"/>
  <c r="I12" i="230"/>
  <c r="K11" i="230"/>
  <c r="I9" i="230"/>
  <c r="N9" i="230"/>
  <c r="H9" i="230"/>
  <c r="Q9" i="230" s="1"/>
  <c r="J9" i="230"/>
  <c r="H10" i="230"/>
  <c r="Q10" i="230" s="1"/>
  <c r="J10" i="230"/>
  <c r="I10" i="230"/>
  <c r="K10" i="230"/>
  <c r="Y10" i="230" s="1"/>
  <c r="Y11" i="230" s="1"/>
  <c r="I15" i="230"/>
  <c r="K15" i="230"/>
  <c r="R10" i="227" s="1"/>
  <c r="H15" i="230"/>
  <c r="Q15" i="230" s="1"/>
  <c r="J12" i="230"/>
  <c r="K8" i="230"/>
  <c r="H13" i="230"/>
  <c r="Q13" i="230" s="1"/>
  <c r="K12" i="230"/>
  <c r="H18" i="230"/>
  <c r="Q18" i="230" s="1"/>
  <c r="AT18" i="230"/>
  <c r="I18" i="230"/>
  <c r="N18" i="230"/>
  <c r="J18" i="230"/>
  <c r="N8" i="230"/>
  <c r="I8" i="230"/>
  <c r="AT20" i="230"/>
  <c r="AT19" i="230"/>
  <c r="J17" i="230"/>
  <c r="AT16" i="230"/>
  <c r="J15" i="230"/>
  <c r="J13" i="230"/>
  <c r="J11" i="230"/>
  <c r="N17" i="230"/>
  <c r="N15" i="230"/>
  <c r="N13" i="230"/>
  <c r="N11" i="230"/>
  <c r="K23" i="227" l="1"/>
  <c r="BF28" i="230"/>
  <c r="K26" i="227"/>
  <c r="BF31" i="230"/>
  <c r="K21" i="227"/>
  <c r="BF26" i="230"/>
  <c r="K25" i="227"/>
  <c r="BF30" i="230"/>
  <c r="K16" i="227"/>
  <c r="BF21" i="230"/>
  <c r="K24" i="227"/>
  <c r="BF29" i="230"/>
  <c r="K18" i="227"/>
  <c r="BF23" i="230"/>
  <c r="K22" i="227"/>
  <c r="BF27" i="230"/>
  <c r="K17" i="227"/>
  <c r="BF22" i="230"/>
  <c r="K12" i="227"/>
  <c r="BF17" i="230"/>
  <c r="K20" i="227"/>
  <c r="BF25" i="230"/>
  <c r="K14" i="227"/>
  <c r="BF19" i="230"/>
  <c r="K19" i="227"/>
  <c r="BF24" i="230"/>
  <c r="K15" i="227"/>
  <c r="BF20" i="230"/>
  <c r="K6" i="227"/>
  <c r="BF11" i="230"/>
  <c r="U20" i="230"/>
  <c r="N15" i="227" s="1"/>
  <c r="U29" i="230"/>
  <c r="N24" i="227" s="1"/>
  <c r="L6" i="227"/>
  <c r="S25" i="230"/>
  <c r="L20" i="227" s="1"/>
  <c r="U11" i="230"/>
  <c r="N6" i="227" s="1"/>
  <c r="U25" i="230"/>
  <c r="N20" i="227" s="1"/>
  <c r="T24" i="230"/>
  <c r="M19" i="227" s="1"/>
  <c r="S24" i="230"/>
  <c r="L19" i="227" s="1"/>
  <c r="T20" i="230"/>
  <c r="M15" i="227" s="1"/>
  <c r="U24" i="230"/>
  <c r="N19" i="227" s="1"/>
  <c r="S20" i="230"/>
  <c r="L15" i="227" s="1"/>
  <c r="T17" i="230"/>
  <c r="M12" i="227" s="1"/>
  <c r="U17" i="230"/>
  <c r="N12" i="227" s="1"/>
  <c r="T31" i="230"/>
  <c r="M26" i="227" s="1"/>
  <c r="S17" i="230"/>
  <c r="L12" i="227" s="1"/>
  <c r="T19" i="230"/>
  <c r="M14" i="227" s="1"/>
  <c r="U22" i="230"/>
  <c r="N17" i="227" s="1"/>
  <c r="T21" i="230"/>
  <c r="M16" i="227" s="1"/>
  <c r="U21" i="230"/>
  <c r="N16" i="227" s="1"/>
  <c r="S19" i="230"/>
  <c r="L14" i="227" s="1"/>
  <c r="S21" i="230"/>
  <c r="L16" i="227" s="1"/>
  <c r="T28" i="230"/>
  <c r="M23" i="227" s="1"/>
  <c r="U30" i="230"/>
  <c r="N25" i="227" s="1"/>
  <c r="S23" i="230"/>
  <c r="L18" i="227" s="1"/>
  <c r="T23" i="230"/>
  <c r="M18" i="227" s="1"/>
  <c r="U23" i="230"/>
  <c r="N18" i="227" s="1"/>
  <c r="S31" i="230"/>
  <c r="L26" i="227" s="1"/>
  <c r="AB41" i="230"/>
  <c r="BU41" i="230" s="1"/>
  <c r="BV41" i="230" s="1"/>
  <c r="BW41" i="230" s="1"/>
  <c r="T36" i="227"/>
  <c r="J8" i="227"/>
  <c r="X9" i="230"/>
  <c r="Q4" i="227" s="1"/>
  <c r="R4" i="227"/>
  <c r="AB32" i="230"/>
  <c r="BU32" i="230" s="1"/>
  <c r="BV32" i="230" s="1"/>
  <c r="BW32" i="230" s="1"/>
  <c r="T27" i="227"/>
  <c r="AB50" i="230"/>
  <c r="BU50" i="230" s="1"/>
  <c r="BV50" i="230" s="1"/>
  <c r="BW50" i="230" s="1"/>
  <c r="T45" i="227"/>
  <c r="U27" i="230"/>
  <c r="N22" i="227" s="1"/>
  <c r="AB43" i="230"/>
  <c r="BU43" i="230" s="1"/>
  <c r="BV43" i="230" s="1"/>
  <c r="BW43" i="230" s="1"/>
  <c r="T38" i="227"/>
  <c r="AB22" i="230"/>
  <c r="BU22" i="230" s="1"/>
  <c r="BV22" i="230" s="1"/>
  <c r="BW22" i="230" s="1"/>
  <c r="T17" i="227"/>
  <c r="AB25" i="230"/>
  <c r="BU25" i="230" s="1"/>
  <c r="BV25" i="230" s="1"/>
  <c r="BW25" i="230" s="1"/>
  <c r="T20" i="227"/>
  <c r="AK54" i="230"/>
  <c r="U49" i="227"/>
  <c r="AB30" i="230"/>
  <c r="BU30" i="230" s="1"/>
  <c r="BV30" i="230" s="1"/>
  <c r="BW30" i="230" s="1"/>
  <c r="T25" i="227"/>
  <c r="AB31" i="230"/>
  <c r="BU31" i="230" s="1"/>
  <c r="BV31" i="230" s="1"/>
  <c r="BW31" i="230" s="1"/>
  <c r="T26" i="227"/>
  <c r="AB33" i="230"/>
  <c r="BU33" i="230" s="1"/>
  <c r="BV33" i="230" s="1"/>
  <c r="BW33" i="230" s="1"/>
  <c r="T28" i="227"/>
  <c r="AB44" i="230"/>
  <c r="BU44" i="230" s="1"/>
  <c r="BV44" i="230" s="1"/>
  <c r="BW44" i="230" s="1"/>
  <c r="T39" i="227"/>
  <c r="T26" i="230"/>
  <c r="M21" i="227" s="1"/>
  <c r="J3" i="227"/>
  <c r="J1" i="227" s="1"/>
  <c r="AB23" i="230"/>
  <c r="BU23" i="230" s="1"/>
  <c r="BV23" i="230" s="1"/>
  <c r="BW23" i="230" s="1"/>
  <c r="T18" i="227"/>
  <c r="J10" i="227"/>
  <c r="AB36" i="230"/>
  <c r="BU36" i="230" s="1"/>
  <c r="BV36" i="230" s="1"/>
  <c r="BW36" i="230" s="1"/>
  <c r="T31" i="227"/>
  <c r="AB35" i="230"/>
  <c r="BU35" i="230" s="1"/>
  <c r="BV35" i="230" s="1"/>
  <c r="BW35" i="230" s="1"/>
  <c r="T30" i="227"/>
  <c r="AB45" i="230"/>
  <c r="BU45" i="230" s="1"/>
  <c r="BV45" i="230" s="1"/>
  <c r="BW45" i="230" s="1"/>
  <c r="T40" i="227"/>
  <c r="AB24" i="230"/>
  <c r="BU24" i="230" s="1"/>
  <c r="BV24" i="230" s="1"/>
  <c r="BW24" i="230" s="1"/>
  <c r="T19" i="227"/>
  <c r="AB27" i="230"/>
  <c r="BU27" i="230" s="1"/>
  <c r="BV27" i="230" s="1"/>
  <c r="BW27" i="230" s="1"/>
  <c r="T22" i="227"/>
  <c r="S26" i="230"/>
  <c r="L21" i="227" s="1"/>
  <c r="AK52" i="230"/>
  <c r="U47" i="227"/>
  <c r="X10" i="230"/>
  <c r="Q5" i="227" s="1"/>
  <c r="R5" i="227"/>
  <c r="J7" i="227"/>
  <c r="AB46" i="230"/>
  <c r="BU46" i="230" s="1"/>
  <c r="BV46" i="230" s="1"/>
  <c r="BW46" i="230" s="1"/>
  <c r="T41" i="227"/>
  <c r="U26" i="230"/>
  <c r="N21" i="227" s="1"/>
  <c r="U31" i="230"/>
  <c r="N26" i="227" s="1"/>
  <c r="U19" i="230"/>
  <c r="N14" i="227" s="1"/>
  <c r="AB42" i="230"/>
  <c r="BU42" i="230" s="1"/>
  <c r="BV42" i="230" s="1"/>
  <c r="BW42" i="230" s="1"/>
  <c r="T37" i="227"/>
  <c r="AW10" i="230"/>
  <c r="BB10" i="230" s="1"/>
  <c r="AB5" i="227"/>
  <c r="X14" i="230"/>
  <c r="Q9" i="227" s="1"/>
  <c r="R9" i="227"/>
  <c r="AK53" i="230"/>
  <c r="U48" i="227"/>
  <c r="BH16" i="230"/>
  <c r="W11" i="227"/>
  <c r="AB26" i="230"/>
  <c r="BU26" i="230" s="1"/>
  <c r="BV26" i="230" s="1"/>
  <c r="BW26" i="230" s="1"/>
  <c r="T21" i="227"/>
  <c r="BH15" i="230"/>
  <c r="W10" i="227"/>
  <c r="AB34" i="230"/>
  <c r="BU34" i="230" s="1"/>
  <c r="BV34" i="230" s="1"/>
  <c r="BW34" i="230" s="1"/>
  <c r="T29" i="227"/>
  <c r="AB48" i="230"/>
  <c r="BU48" i="230" s="1"/>
  <c r="BV48" i="230" s="1"/>
  <c r="BW48" i="230" s="1"/>
  <c r="T43" i="227"/>
  <c r="AB19" i="230"/>
  <c r="BU19" i="230" s="1"/>
  <c r="BV19" i="230" s="1"/>
  <c r="BW19" i="230" s="1"/>
  <c r="T14" i="227"/>
  <c r="AW12" i="230"/>
  <c r="BB12" i="230" s="1"/>
  <c r="AB7" i="227"/>
  <c r="S28" i="230"/>
  <c r="L23" i="227" s="1"/>
  <c r="J5" i="227"/>
  <c r="AW16" i="230"/>
  <c r="BB16" i="230" s="1"/>
  <c r="AB11" i="227"/>
  <c r="AB39" i="230"/>
  <c r="BU39" i="230" s="1"/>
  <c r="BV39" i="230" s="1"/>
  <c r="BW39" i="230" s="1"/>
  <c r="T34" i="227"/>
  <c r="AW14" i="230"/>
  <c r="BB14" i="230" s="1"/>
  <c r="AB9" i="227"/>
  <c r="U28" i="230"/>
  <c r="N23" i="227" s="1"/>
  <c r="AB37" i="230"/>
  <c r="BU37" i="230" s="1"/>
  <c r="BV37" i="230" s="1"/>
  <c r="BW37" i="230" s="1"/>
  <c r="T32" i="227"/>
  <c r="AB47" i="230"/>
  <c r="BU47" i="230" s="1"/>
  <c r="BV47" i="230" s="1"/>
  <c r="BW47" i="230" s="1"/>
  <c r="T42" i="227"/>
  <c r="AB16" i="230"/>
  <c r="T11" i="227"/>
  <c r="AB14" i="230"/>
  <c r="T9" i="227"/>
  <c r="R18" i="230"/>
  <c r="J13" i="227"/>
  <c r="R16" i="230"/>
  <c r="S16" i="230" s="1"/>
  <c r="J11" i="227"/>
  <c r="AB49" i="230"/>
  <c r="BU49" i="230" s="1"/>
  <c r="BV49" i="230" s="1"/>
  <c r="BW49" i="230" s="1"/>
  <c r="T44" i="227"/>
  <c r="AB28" i="230"/>
  <c r="BU28" i="230" s="1"/>
  <c r="BV28" i="230" s="1"/>
  <c r="BW28" i="230" s="1"/>
  <c r="T23" i="227"/>
  <c r="T22" i="230"/>
  <c r="M17" i="227" s="1"/>
  <c r="S30" i="230"/>
  <c r="L25" i="227" s="1"/>
  <c r="S29" i="230"/>
  <c r="L24" i="227" s="1"/>
  <c r="S27" i="230"/>
  <c r="L22" i="227" s="1"/>
  <c r="AW8" i="230"/>
  <c r="BB8" i="230" s="1"/>
  <c r="AB3" i="227"/>
  <c r="AB20" i="230"/>
  <c r="BU20" i="230" s="1"/>
  <c r="BV20" i="230" s="1"/>
  <c r="BW20" i="230" s="1"/>
  <c r="T15" i="227"/>
  <c r="J4" i="227"/>
  <c r="J9" i="227"/>
  <c r="BH8" i="230"/>
  <c r="W3" i="227"/>
  <c r="AB29" i="230"/>
  <c r="BU29" i="230" s="1"/>
  <c r="BV29" i="230" s="1"/>
  <c r="BW29" i="230" s="1"/>
  <c r="T24" i="227"/>
  <c r="AB40" i="230"/>
  <c r="BU40" i="230" s="1"/>
  <c r="BV40" i="230" s="1"/>
  <c r="BW40" i="230" s="1"/>
  <c r="T35" i="227"/>
  <c r="AB38" i="230"/>
  <c r="BU38" i="230" s="1"/>
  <c r="BV38" i="230" s="1"/>
  <c r="BW38" i="230" s="1"/>
  <c r="T33" i="227"/>
  <c r="AB21" i="230"/>
  <c r="BU21" i="230" s="1"/>
  <c r="BV21" i="230" s="1"/>
  <c r="BW21" i="230" s="1"/>
  <c r="T16" i="227"/>
  <c r="S22" i="230"/>
  <c r="L17" i="227" s="1"/>
  <c r="T30" i="230"/>
  <c r="M25" i="227" s="1"/>
  <c r="T29" i="230"/>
  <c r="M24" i="227" s="1"/>
  <c r="T27" i="230"/>
  <c r="M22" i="227" s="1"/>
  <c r="AK51" i="230"/>
  <c r="U46" i="227"/>
  <c r="Y13" i="230"/>
  <c r="Y12" i="230"/>
  <c r="AG14" i="230"/>
  <c r="Z9" i="227" s="1"/>
  <c r="AH14" i="230"/>
  <c r="AA9" i="227" s="1"/>
  <c r="AP13" i="230"/>
  <c r="AA9" i="230"/>
  <c r="W9" i="230"/>
  <c r="P4" i="227" s="1"/>
  <c r="AI11" i="230"/>
  <c r="AA12" i="230"/>
  <c r="W12" i="230"/>
  <c r="P7" i="227" s="1"/>
  <c r="AD9" i="230"/>
  <c r="P6" i="227"/>
  <c r="AA11" i="230"/>
  <c r="AP12" i="230"/>
  <c r="AI13" i="230"/>
  <c r="AW13" i="230" s="1"/>
  <c r="AI9" i="230"/>
  <c r="W13" i="230"/>
  <c r="P8" i="227" s="1"/>
  <c r="AA13" i="230"/>
  <c r="AA10" i="230"/>
  <c r="W10" i="230"/>
  <c r="P5" i="227" s="1"/>
  <c r="BD35" i="230"/>
  <c r="AV35" i="230" s="1"/>
  <c r="X35" i="230"/>
  <c r="Q30" i="227" s="1"/>
  <c r="AN31" i="230"/>
  <c r="BG31" i="230"/>
  <c r="AH31" i="230"/>
  <c r="AA26" i="227" s="1"/>
  <c r="AN40" i="230"/>
  <c r="BG40" i="230"/>
  <c r="AH40" i="230"/>
  <c r="AA35" i="227" s="1"/>
  <c r="BD32" i="230"/>
  <c r="AV32" i="230" s="1"/>
  <c r="X32" i="230"/>
  <c r="Q27" i="227" s="1"/>
  <c r="AN38" i="230"/>
  <c r="BG38" i="230"/>
  <c r="AH38" i="230"/>
  <c r="AA33" i="227" s="1"/>
  <c r="AN22" i="230"/>
  <c r="BG22" i="230"/>
  <c r="AH22" i="230"/>
  <c r="AA17" i="227" s="1"/>
  <c r="AN26" i="230"/>
  <c r="BG26" i="230"/>
  <c r="AH26" i="230"/>
  <c r="AA21" i="227" s="1"/>
  <c r="AN21" i="230"/>
  <c r="BG21" i="230"/>
  <c r="AH21" i="230"/>
  <c r="AA16" i="227" s="1"/>
  <c r="AN25" i="230"/>
  <c r="BG25" i="230"/>
  <c r="AH25" i="230"/>
  <c r="AA20" i="227" s="1"/>
  <c r="BD14" i="230"/>
  <c r="AV14" i="230" s="1"/>
  <c r="BD21" i="230"/>
  <c r="AV21" i="230" s="1"/>
  <c r="X21" i="230"/>
  <c r="Q16" i="227" s="1"/>
  <c r="BD25" i="230"/>
  <c r="AV25" i="230" s="1"/>
  <c r="X25" i="230"/>
  <c r="Q20" i="227" s="1"/>
  <c r="BD41" i="230"/>
  <c r="AV41" i="230" s="1"/>
  <c r="X41" i="230"/>
  <c r="Q36" i="227" s="1"/>
  <c r="BD18" i="230"/>
  <c r="AV18" i="230" s="1"/>
  <c r="X18" i="230"/>
  <c r="Q13" i="227" s="1"/>
  <c r="BD22" i="230"/>
  <c r="AV22" i="230" s="1"/>
  <c r="X22" i="230"/>
  <c r="Q17" i="227" s="1"/>
  <c r="BD26" i="230"/>
  <c r="AV26" i="230" s="1"/>
  <c r="X26" i="230"/>
  <c r="Q21" i="227" s="1"/>
  <c r="BD52" i="230"/>
  <c r="AV52" i="230" s="1"/>
  <c r="X52" i="230"/>
  <c r="Q47" i="227" s="1"/>
  <c r="BD54" i="230"/>
  <c r="AV54" i="230" s="1"/>
  <c r="X54" i="230"/>
  <c r="Q49" i="227" s="1"/>
  <c r="BD48" i="230"/>
  <c r="AV48" i="230" s="1"/>
  <c r="X48" i="230"/>
  <c r="Q43" i="227" s="1"/>
  <c r="BD46" i="230"/>
  <c r="AV46" i="230" s="1"/>
  <c r="X46" i="230"/>
  <c r="Q41" i="227" s="1"/>
  <c r="BD49" i="230"/>
  <c r="AV49" i="230" s="1"/>
  <c r="X49" i="230"/>
  <c r="Q44" i="227" s="1"/>
  <c r="AN16" i="230"/>
  <c r="BG16" i="230"/>
  <c r="AH16" i="230"/>
  <c r="AA11" i="227" s="1"/>
  <c r="BD31" i="230"/>
  <c r="AV31" i="230" s="1"/>
  <c r="X31" i="230"/>
  <c r="Q26" i="227" s="1"/>
  <c r="BD37" i="230"/>
  <c r="AV37" i="230" s="1"/>
  <c r="X37" i="230"/>
  <c r="Q32" i="227" s="1"/>
  <c r="AN34" i="230"/>
  <c r="BG34" i="230"/>
  <c r="AH34" i="230"/>
  <c r="AA29" i="227" s="1"/>
  <c r="AN28" i="230"/>
  <c r="BG28" i="230"/>
  <c r="AH28" i="230"/>
  <c r="AA23" i="227" s="1"/>
  <c r="AN23" i="230"/>
  <c r="BG23" i="230"/>
  <c r="AH23" i="230"/>
  <c r="AA18" i="227" s="1"/>
  <c r="BD51" i="230"/>
  <c r="AV51" i="230" s="1"/>
  <c r="X51" i="230"/>
  <c r="Q46" i="227" s="1"/>
  <c r="BD53" i="230"/>
  <c r="AV53" i="230" s="1"/>
  <c r="X53" i="230"/>
  <c r="Q48" i="227" s="1"/>
  <c r="BD50" i="230"/>
  <c r="AV50" i="230" s="1"/>
  <c r="X50" i="230"/>
  <c r="Q45" i="227" s="1"/>
  <c r="AN30" i="230"/>
  <c r="BG30" i="230"/>
  <c r="AH30" i="230"/>
  <c r="AA25" i="227" s="1"/>
  <c r="AN35" i="230"/>
  <c r="BG35" i="230"/>
  <c r="AH35" i="230"/>
  <c r="AA30" i="227" s="1"/>
  <c r="BD34" i="230"/>
  <c r="AV34" i="230" s="1"/>
  <c r="X34" i="230"/>
  <c r="Q29" i="227" s="1"/>
  <c r="AN14" i="230"/>
  <c r="BG14" i="230"/>
  <c r="BD29" i="230"/>
  <c r="AV29" i="230" s="1"/>
  <c r="X29" i="230"/>
  <c r="Q24" i="227" s="1"/>
  <c r="AN37" i="230"/>
  <c r="BG37" i="230"/>
  <c r="AH37" i="230"/>
  <c r="AA32" i="227" s="1"/>
  <c r="AN29" i="230"/>
  <c r="BG29" i="230"/>
  <c r="AH29" i="230"/>
  <c r="AA24" i="227" s="1"/>
  <c r="BD33" i="230"/>
  <c r="AV33" i="230" s="1"/>
  <c r="X33" i="230"/>
  <c r="Q28" i="227" s="1"/>
  <c r="AN39" i="230"/>
  <c r="BG39" i="230"/>
  <c r="AH39" i="230"/>
  <c r="AA34" i="227" s="1"/>
  <c r="AN36" i="230"/>
  <c r="BG36" i="230"/>
  <c r="AH36" i="230"/>
  <c r="AA31" i="227" s="1"/>
  <c r="BD40" i="230"/>
  <c r="AV40" i="230" s="1"/>
  <c r="X40" i="230"/>
  <c r="Q35" i="227" s="1"/>
  <c r="AN20" i="230"/>
  <c r="BG20" i="230"/>
  <c r="AH20" i="230"/>
  <c r="AA15" i="227" s="1"/>
  <c r="AN24" i="230"/>
  <c r="BG24" i="230"/>
  <c r="AH24" i="230"/>
  <c r="AA19" i="227" s="1"/>
  <c r="AN27" i="230"/>
  <c r="BG27" i="230"/>
  <c r="AH27" i="230"/>
  <c r="AA22" i="227" s="1"/>
  <c r="BD17" i="230"/>
  <c r="AV17" i="230" s="1"/>
  <c r="X17" i="230"/>
  <c r="Q12" i="227" s="1"/>
  <c r="BD23" i="230"/>
  <c r="AV23" i="230" s="1"/>
  <c r="X23" i="230"/>
  <c r="Q18" i="227" s="1"/>
  <c r="BD27" i="230"/>
  <c r="AV27" i="230" s="1"/>
  <c r="X27" i="230"/>
  <c r="Q22" i="227" s="1"/>
  <c r="BD20" i="230"/>
  <c r="AV20" i="230" s="1"/>
  <c r="X20" i="230"/>
  <c r="Q15" i="227" s="1"/>
  <c r="BD19" i="230"/>
  <c r="AV19" i="230" s="1"/>
  <c r="X19" i="230"/>
  <c r="Q14" i="227" s="1"/>
  <c r="BD24" i="230"/>
  <c r="AV24" i="230" s="1"/>
  <c r="X24" i="230"/>
  <c r="Q19" i="227" s="1"/>
  <c r="BD28" i="230"/>
  <c r="AV28" i="230" s="1"/>
  <c r="X28" i="230"/>
  <c r="Q23" i="227" s="1"/>
  <c r="BD44" i="230"/>
  <c r="AV44" i="230" s="1"/>
  <c r="X44" i="230"/>
  <c r="Q39" i="227" s="1"/>
  <c r="BD45" i="230"/>
  <c r="AV45" i="230" s="1"/>
  <c r="X45" i="230"/>
  <c r="Q40" i="227" s="1"/>
  <c r="AN33" i="230"/>
  <c r="BG33" i="230"/>
  <c r="AH33" i="230"/>
  <c r="AA28" i="227" s="1"/>
  <c r="BD39" i="230"/>
  <c r="AV39" i="230" s="1"/>
  <c r="X39" i="230"/>
  <c r="Q34" i="227" s="1"/>
  <c r="BD30" i="230"/>
  <c r="AV30" i="230" s="1"/>
  <c r="X30" i="230"/>
  <c r="Q25" i="227" s="1"/>
  <c r="AN32" i="230"/>
  <c r="BG32" i="230"/>
  <c r="AH32" i="230"/>
  <c r="AA27" i="227" s="1"/>
  <c r="BD38" i="230"/>
  <c r="AV38" i="230" s="1"/>
  <c r="X38" i="230"/>
  <c r="Q33" i="227" s="1"/>
  <c r="BD36" i="230"/>
  <c r="AV36" i="230" s="1"/>
  <c r="X36" i="230"/>
  <c r="Q31" i="227" s="1"/>
  <c r="AN19" i="230"/>
  <c r="BG19" i="230"/>
  <c r="AH19" i="230"/>
  <c r="AA14" i="227" s="1"/>
  <c r="BD43" i="230"/>
  <c r="AV43" i="230" s="1"/>
  <c r="X43" i="230"/>
  <c r="Q38" i="227" s="1"/>
  <c r="BD47" i="230"/>
  <c r="AV47" i="230" s="1"/>
  <c r="X47" i="230"/>
  <c r="Q42" i="227" s="1"/>
  <c r="BD42" i="230"/>
  <c r="AV42" i="230" s="1"/>
  <c r="X42" i="230"/>
  <c r="Q37" i="227" s="1"/>
  <c r="AO12" i="230"/>
  <c r="AO15" i="230"/>
  <c r="AO13" i="230"/>
  <c r="Y8" i="230"/>
  <c r="R3" i="227" s="1"/>
  <c r="AO8" i="230"/>
  <c r="AO9" i="230"/>
  <c r="AO10" i="230"/>
  <c r="AO11" i="230"/>
  <c r="AO16" i="230"/>
  <c r="AG26" i="230"/>
  <c r="Z21" i="227" s="1"/>
  <c r="Z11" i="227"/>
  <c r="AG27" i="230"/>
  <c r="Z22" i="227" s="1"/>
  <c r="AA18" i="230"/>
  <c r="W18" i="230"/>
  <c r="P13" i="227" s="1"/>
  <c r="AG20" i="230"/>
  <c r="Z15" i="227" s="1"/>
  <c r="AG24" i="230"/>
  <c r="Z19" i="227" s="1"/>
  <c r="AG21" i="230"/>
  <c r="Z16" i="227" s="1"/>
  <c r="AG25" i="230"/>
  <c r="Z20" i="227" s="1"/>
  <c r="AG23" i="230"/>
  <c r="Z18" i="227" s="1"/>
  <c r="P10" i="227"/>
  <c r="AA15" i="230"/>
  <c r="AG22" i="230"/>
  <c r="Z17" i="227" s="1"/>
  <c r="W17" i="230"/>
  <c r="P12" i="227" s="1"/>
  <c r="AA17" i="230"/>
  <c r="AG28" i="230"/>
  <c r="Z23" i="227" s="1"/>
  <c r="AG19" i="230"/>
  <c r="Z14" i="227" s="1"/>
  <c r="AG41" i="230"/>
  <c r="Z36" i="227" s="1"/>
  <c r="AR41" i="230"/>
  <c r="AY41" i="230" s="1"/>
  <c r="AG43" i="230"/>
  <c r="Z38" i="227" s="1"/>
  <c r="AR43" i="230"/>
  <c r="AY43" i="230" s="1"/>
  <c r="AG47" i="230"/>
  <c r="Z42" i="227" s="1"/>
  <c r="AG44" i="230"/>
  <c r="Z39" i="227" s="1"/>
  <c r="AR44" i="230"/>
  <c r="AY44" i="230" s="1"/>
  <c r="AG45" i="230"/>
  <c r="Z40" i="227" s="1"/>
  <c r="AR45" i="230"/>
  <c r="AY45" i="230" s="1"/>
  <c r="AG42" i="230"/>
  <c r="Z37" i="227" s="1"/>
  <c r="AR42" i="230"/>
  <c r="AY42" i="230" s="1"/>
  <c r="AG46" i="230"/>
  <c r="Z41" i="227" s="1"/>
  <c r="AR46" i="230"/>
  <c r="AY46" i="230" s="1"/>
  <c r="AG30" i="230"/>
  <c r="Z25" i="227" s="1"/>
  <c r="AG40" i="230"/>
  <c r="Z35" i="227" s="1"/>
  <c r="AG34" i="230"/>
  <c r="Z29" i="227" s="1"/>
  <c r="AG38" i="230"/>
  <c r="Z33" i="227" s="1"/>
  <c r="AP16" i="230"/>
  <c r="AG33" i="230"/>
  <c r="Z28" i="227" s="1"/>
  <c r="AG37" i="230"/>
  <c r="Z32" i="227" s="1"/>
  <c r="AG29" i="230"/>
  <c r="Z24" i="227" s="1"/>
  <c r="AG31" i="230"/>
  <c r="Z26" i="227" s="1"/>
  <c r="AG39" i="230"/>
  <c r="Z34" i="227" s="1"/>
  <c r="AG35" i="230"/>
  <c r="Z30" i="227" s="1"/>
  <c r="AG32" i="230"/>
  <c r="Z27" i="227" s="1"/>
  <c r="AG36" i="230"/>
  <c r="Z31" i="227" s="1"/>
  <c r="AT14" i="230"/>
  <c r="AT15" i="230"/>
  <c r="AP15" i="230"/>
  <c r="AT11" i="230"/>
  <c r="AT10" i="230"/>
  <c r="AT12" i="230"/>
  <c r="AT13" i="230"/>
  <c r="AT9" i="230"/>
  <c r="W8" i="230"/>
  <c r="P3" i="227" s="1"/>
  <c r="AP8" i="230"/>
  <c r="AE8" i="230"/>
  <c r="AA8" i="230"/>
  <c r="T3" i="227" s="1"/>
  <c r="AR16" i="230"/>
  <c r="AY16" i="230" s="1"/>
  <c r="AR24" i="230"/>
  <c r="AY24" i="230" s="1"/>
  <c r="AR21" i="230"/>
  <c r="AY21" i="230" s="1"/>
  <c r="AR29" i="230"/>
  <c r="AY29" i="230" s="1"/>
  <c r="AR26" i="230"/>
  <c r="AY26" i="230" s="1"/>
  <c r="AR23" i="230"/>
  <c r="AY23" i="230" s="1"/>
  <c r="AR20" i="230"/>
  <c r="AY20" i="230" s="1"/>
  <c r="AR28" i="230"/>
  <c r="AY28" i="230" s="1"/>
  <c r="AR25" i="230"/>
  <c r="AY25" i="230" s="1"/>
  <c r="AR19" i="230"/>
  <c r="AY19" i="230" s="1"/>
  <c r="AR14" i="230"/>
  <c r="AR22" i="230"/>
  <c r="AY22" i="230" s="1"/>
  <c r="AR30" i="230"/>
  <c r="AY30" i="230" s="1"/>
  <c r="AR27" i="230"/>
  <c r="AY27" i="230" s="1"/>
  <c r="AR34" i="230"/>
  <c r="AY34" i="230" s="1"/>
  <c r="AR40" i="230"/>
  <c r="AY40" i="230" s="1"/>
  <c r="AR36" i="230"/>
  <c r="AY36" i="230" s="1"/>
  <c r="AR39" i="230"/>
  <c r="AY39" i="230" s="1"/>
  <c r="AR33" i="230"/>
  <c r="AY33" i="230" s="1"/>
  <c r="AR38" i="230"/>
  <c r="AY38" i="230" s="1"/>
  <c r="AR35" i="230"/>
  <c r="AY35" i="230" s="1"/>
  <c r="AR37" i="230"/>
  <c r="AY37" i="230" s="1"/>
  <c r="AR32" i="230"/>
  <c r="AY32" i="230" s="1"/>
  <c r="AR31" i="230"/>
  <c r="AY31" i="230" s="1"/>
  <c r="K11" i="227" l="1"/>
  <c r="K8" i="227"/>
  <c r="BF13" i="230"/>
  <c r="BP19" i="230"/>
  <c r="BO19" i="230"/>
  <c r="BO29" i="230"/>
  <c r="BP29" i="230"/>
  <c r="K13" i="227"/>
  <c r="BF18" i="230"/>
  <c r="BP25" i="230"/>
  <c r="BO25" i="230"/>
  <c r="BP21" i="230"/>
  <c r="BO21" i="230"/>
  <c r="BP17" i="230"/>
  <c r="BO17" i="230"/>
  <c r="BO30" i="230"/>
  <c r="BP30" i="230"/>
  <c r="BO11" i="230"/>
  <c r="BP22" i="230"/>
  <c r="BO22" i="230"/>
  <c r="BP26" i="230"/>
  <c r="BO26" i="230"/>
  <c r="K10" i="227"/>
  <c r="BF15" i="230"/>
  <c r="K9" i="227"/>
  <c r="BF14" i="230"/>
  <c r="BI14" i="230" s="1"/>
  <c r="BO20" i="230"/>
  <c r="BP20" i="230"/>
  <c r="BO27" i="230"/>
  <c r="BP27" i="230"/>
  <c r="BP31" i="230"/>
  <c r="BO31" i="230"/>
  <c r="K7" i="227"/>
  <c r="BF12" i="230"/>
  <c r="K5" i="227"/>
  <c r="BF10" i="230"/>
  <c r="K4" i="227"/>
  <c r="K3" i="227"/>
  <c r="BF8" i="230"/>
  <c r="BP24" i="230"/>
  <c r="BO24" i="230"/>
  <c r="BP23" i="230"/>
  <c r="BO23" i="230"/>
  <c r="BO28" i="230"/>
  <c r="BP28" i="230"/>
  <c r="U11" i="227"/>
  <c r="BU16" i="230"/>
  <c r="BV16" i="230" s="1"/>
  <c r="BW16" i="230" s="1"/>
  <c r="U9" i="227"/>
  <c r="BU14" i="230"/>
  <c r="BV14" i="230" s="1"/>
  <c r="BW14" i="230" s="1"/>
  <c r="U13" i="230"/>
  <c r="N8" i="227" s="1"/>
  <c r="S1" i="230"/>
  <c r="W1" i="230" s="1"/>
  <c r="K1" i="227"/>
  <c r="L8" i="227"/>
  <c r="T12" i="230"/>
  <c r="M7" i="227" s="1"/>
  <c r="T13" i="230"/>
  <c r="M8" i="227" s="1"/>
  <c r="T16" i="230"/>
  <c r="M11" i="227" s="1"/>
  <c r="AK16" i="230"/>
  <c r="L10" i="227"/>
  <c r="L11" i="227"/>
  <c r="T15" i="230"/>
  <c r="M10" i="227" s="1"/>
  <c r="U14" i="230"/>
  <c r="N9" i="227" s="1"/>
  <c r="L7" i="227"/>
  <c r="U12" i="230"/>
  <c r="N7" i="227" s="1"/>
  <c r="T18" i="230"/>
  <c r="M13" i="227" s="1"/>
  <c r="S18" i="230"/>
  <c r="L13" i="227" s="1"/>
  <c r="U18" i="230"/>
  <c r="N13" i="227" s="1"/>
  <c r="U16" i="230"/>
  <c r="N11" i="227" s="1"/>
  <c r="L9" i="227"/>
  <c r="T14" i="230"/>
  <c r="M9" i="227" s="1"/>
  <c r="AK33" i="230"/>
  <c r="U28" i="227"/>
  <c r="AK43" i="230"/>
  <c r="U38" i="227"/>
  <c r="AK31" i="230"/>
  <c r="U26" i="227"/>
  <c r="AW11" i="230"/>
  <c r="BB11" i="230" s="1"/>
  <c r="AB6" i="227"/>
  <c r="T9" i="230"/>
  <c r="M4" i="227" s="1"/>
  <c r="AK42" i="230"/>
  <c r="U37" i="227"/>
  <c r="AK50" i="230"/>
  <c r="U45" i="227"/>
  <c r="AK30" i="230"/>
  <c r="U25" i="227"/>
  <c r="AB10" i="230"/>
  <c r="BU10" i="230" s="1"/>
  <c r="BV10" i="230" s="1"/>
  <c r="BW10" i="230" s="1"/>
  <c r="T5" i="227"/>
  <c r="BH10" i="230"/>
  <c r="W5" i="227"/>
  <c r="AB18" i="230"/>
  <c r="BU18" i="230" s="1"/>
  <c r="BV18" i="230" s="1"/>
  <c r="BW18" i="230" s="1"/>
  <c r="T13" i="227"/>
  <c r="AW9" i="230"/>
  <c r="BB9" i="230" s="1"/>
  <c r="AB4" i="227"/>
  <c r="AB9" i="230"/>
  <c r="BU9" i="230" s="1"/>
  <c r="BV9" i="230" s="1"/>
  <c r="BW9" i="230" s="1"/>
  <c r="T4" i="227"/>
  <c r="U9" i="230"/>
  <c r="N4" i="227" s="1"/>
  <c r="AK28" i="230"/>
  <c r="U23" i="227"/>
  <c r="AK47" i="230"/>
  <c r="U42" i="227"/>
  <c r="AK26" i="230"/>
  <c r="U21" i="227"/>
  <c r="AK27" i="230"/>
  <c r="U22" i="227"/>
  <c r="AK23" i="230"/>
  <c r="U18" i="227"/>
  <c r="AK32" i="230"/>
  <c r="U27" i="227"/>
  <c r="AK29" i="230"/>
  <c r="U24" i="227"/>
  <c r="AK34" i="230"/>
  <c r="U29" i="227"/>
  <c r="L4" i="227"/>
  <c r="AB17" i="230"/>
  <c r="BU17" i="230" s="1"/>
  <c r="BV17" i="230" s="1"/>
  <c r="BW17" i="230" s="1"/>
  <c r="T12" i="227"/>
  <c r="BB13" i="230"/>
  <c r="AB8" i="227"/>
  <c r="BH13" i="230"/>
  <c r="W8" i="227"/>
  <c r="AK36" i="230"/>
  <c r="U31" i="227"/>
  <c r="AB13" i="230"/>
  <c r="BU13" i="230" s="1"/>
  <c r="BV13" i="230" s="1"/>
  <c r="BW13" i="230" s="1"/>
  <c r="T8" i="227"/>
  <c r="BH12" i="230"/>
  <c r="W7" i="227"/>
  <c r="AK21" i="230"/>
  <c r="U16" i="227"/>
  <c r="AB11" i="230"/>
  <c r="BU11" i="230" s="1"/>
  <c r="BV11" i="230" s="1"/>
  <c r="BW11" i="230" s="1"/>
  <c r="T6" i="227"/>
  <c r="U15" i="230"/>
  <c r="N10" i="227" s="1"/>
  <c r="AK46" i="230"/>
  <c r="U41" i="227"/>
  <c r="U20" i="227"/>
  <c r="AK25" i="230"/>
  <c r="AK49" i="230"/>
  <c r="U44" i="227"/>
  <c r="AK37" i="230"/>
  <c r="U32" i="227"/>
  <c r="AK24" i="230"/>
  <c r="U19" i="227"/>
  <c r="AB15" i="230"/>
  <c r="BU15" i="230" s="1"/>
  <c r="BV15" i="230" s="1"/>
  <c r="BW15" i="230" s="1"/>
  <c r="T10" i="227"/>
  <c r="T10" i="230"/>
  <c r="M5" i="227" s="1"/>
  <c r="X12" i="230"/>
  <c r="Q7" i="227" s="1"/>
  <c r="R7" i="227"/>
  <c r="AK38" i="230"/>
  <c r="U33" i="227"/>
  <c r="AK20" i="230"/>
  <c r="U15" i="227"/>
  <c r="AK19" i="230"/>
  <c r="U14" i="227"/>
  <c r="AK45" i="230"/>
  <c r="U40" i="227"/>
  <c r="AK39" i="230"/>
  <c r="U34" i="227"/>
  <c r="BH11" i="230"/>
  <c r="W6" i="227"/>
  <c r="AK14" i="230"/>
  <c r="BH14" i="230"/>
  <c r="W9" i="227"/>
  <c r="L5" i="227"/>
  <c r="X13" i="230"/>
  <c r="Q8" i="227" s="1"/>
  <c r="R8" i="227"/>
  <c r="AK44" i="230"/>
  <c r="U39" i="227"/>
  <c r="AK22" i="230"/>
  <c r="U17" i="227"/>
  <c r="AB12" i="230"/>
  <c r="BU12" i="230" s="1"/>
  <c r="BV12" i="230" s="1"/>
  <c r="BW12" i="230" s="1"/>
  <c r="T7" i="227"/>
  <c r="AT8" i="230"/>
  <c r="X3" i="227"/>
  <c r="BH9" i="230"/>
  <c r="W4" i="227"/>
  <c r="U10" i="230"/>
  <c r="N5" i="227" s="1"/>
  <c r="X11" i="230"/>
  <c r="Q6" i="227" s="1"/>
  <c r="R6" i="227"/>
  <c r="AK40" i="230"/>
  <c r="U35" i="227"/>
  <c r="AK48" i="230"/>
  <c r="U43" i="227"/>
  <c r="AK35" i="230"/>
  <c r="U30" i="227"/>
  <c r="AK41" i="230"/>
  <c r="U36" i="227"/>
  <c r="AP11" i="230"/>
  <c r="AP14" i="230"/>
  <c r="U8" i="230"/>
  <c r="N3" i="227" s="1"/>
  <c r="T8" i="230"/>
  <c r="M3" i="227" s="1"/>
  <c r="L3" i="227"/>
  <c r="AP9" i="230"/>
  <c r="AP10" i="230"/>
  <c r="AH13" i="230"/>
  <c r="AA8" i="227" s="1"/>
  <c r="AG13" i="230"/>
  <c r="Z8" i="227" s="1"/>
  <c r="AH9" i="230"/>
  <c r="AA4" i="227" s="1"/>
  <c r="AG9" i="230"/>
  <c r="Z4" i="227" s="1"/>
  <c r="AH11" i="230"/>
  <c r="AA6" i="227" s="1"/>
  <c r="Z6" i="227"/>
  <c r="AG12" i="230"/>
  <c r="Z7" i="227" s="1"/>
  <c r="AH12" i="230"/>
  <c r="AA7" i="227" s="1"/>
  <c r="AG10" i="230"/>
  <c r="Z5" i="227" s="1"/>
  <c r="AH10" i="230"/>
  <c r="AA5" i="227" s="1"/>
  <c r="AN15" i="230"/>
  <c r="BG15" i="230"/>
  <c r="AH15" i="230"/>
  <c r="AA10" i="227" s="1"/>
  <c r="AN13" i="230"/>
  <c r="BG13" i="230"/>
  <c r="AN11" i="230"/>
  <c r="BG11" i="230"/>
  <c r="AN12" i="230"/>
  <c r="BG12" i="230"/>
  <c r="AN18" i="230"/>
  <c r="BG18" i="230"/>
  <c r="AH18" i="230"/>
  <c r="AA13" i="227" s="1"/>
  <c r="AN17" i="230"/>
  <c r="BG17" i="230"/>
  <c r="AH17" i="230"/>
  <c r="AA12" i="227" s="1"/>
  <c r="BD11" i="230"/>
  <c r="AV11" i="230" s="1"/>
  <c r="BD9" i="230"/>
  <c r="AV9" i="230" s="1"/>
  <c r="BD13" i="230"/>
  <c r="AV13" i="230" s="1"/>
  <c r="BD12" i="230"/>
  <c r="AV12" i="230" s="1"/>
  <c r="AN9" i="230"/>
  <c r="BG9" i="230"/>
  <c r="AN10" i="230"/>
  <c r="BG10" i="230"/>
  <c r="BD16" i="230"/>
  <c r="AV16" i="230" s="1"/>
  <c r="X16" i="230"/>
  <c r="Q11" i="227" s="1"/>
  <c r="BD10" i="230"/>
  <c r="AV10" i="230" s="1"/>
  <c r="BD8" i="230"/>
  <c r="AV8" i="230" s="1"/>
  <c r="X8" i="230"/>
  <c r="Q3" i="227" s="1"/>
  <c r="BD15" i="230"/>
  <c r="AV15" i="230" s="1"/>
  <c r="Q10" i="227"/>
  <c r="BR4" i="230"/>
  <c r="AN8" i="230"/>
  <c r="BG8" i="230"/>
  <c r="BI8" i="230" s="1"/>
  <c r="BJ8" i="230" s="1"/>
  <c r="AH8" i="230"/>
  <c r="AA3" i="227" s="1"/>
  <c r="AY14" i="230"/>
  <c r="AG18" i="230"/>
  <c r="Z13" i="227" s="1"/>
  <c r="AG17" i="230"/>
  <c r="Z12" i="227" s="1"/>
  <c r="Z10" i="227"/>
  <c r="AB8" i="230"/>
  <c r="BU8" i="230" s="1"/>
  <c r="BV8" i="230" s="1"/>
  <c r="BW8" i="230" s="1"/>
  <c r="Z3" i="227"/>
  <c r="AR8" i="230"/>
  <c r="AY8" i="230" s="1"/>
  <c r="AR13" i="230"/>
  <c r="AY13" i="230" s="1"/>
  <c r="AR11" i="230"/>
  <c r="AY11" i="230" s="1"/>
  <c r="AR10" i="230"/>
  <c r="AY10" i="230" s="1"/>
  <c r="AR12" i="230"/>
  <c r="AY12" i="230" s="1"/>
  <c r="AR15" i="230"/>
  <c r="AY15" i="230" s="1"/>
  <c r="AR18" i="230"/>
  <c r="AY18" i="230" s="1"/>
  <c r="AR17" i="230"/>
  <c r="AY17" i="230" s="1"/>
  <c r="AR9" i="230"/>
  <c r="AY9" i="230" s="1"/>
  <c r="BI10" i="230" l="1"/>
  <c r="BI12" i="230"/>
  <c r="BK12" i="230" s="1"/>
  <c r="BP11" i="230"/>
  <c r="BI11" i="230"/>
  <c r="BK11" i="230" s="1"/>
  <c r="BI13" i="230"/>
  <c r="BO12" i="230"/>
  <c r="BP12" i="230"/>
  <c r="BR19" i="230" s="1"/>
  <c r="BO18" i="230"/>
  <c r="BP18" i="230"/>
  <c r="BO8" i="230"/>
  <c r="BF7" i="230"/>
  <c r="BP8" i="230"/>
  <c r="BP9" i="230"/>
  <c r="BO9" i="230"/>
  <c r="BP14" i="230"/>
  <c r="BO14" i="230"/>
  <c r="BO13" i="230"/>
  <c r="BP13" i="230"/>
  <c r="BR20" i="230" s="1"/>
  <c r="BP10" i="230"/>
  <c r="BO10" i="230"/>
  <c r="BP15" i="230"/>
  <c r="BO15" i="230"/>
  <c r="BO16" i="230"/>
  <c r="BP16" i="230"/>
  <c r="B3" i="227"/>
  <c r="E7" i="227" s="1"/>
  <c r="AK9" i="230"/>
  <c r="U4" i="227"/>
  <c r="U6" i="227"/>
  <c r="AK11" i="230"/>
  <c r="AK17" i="230"/>
  <c r="U12" i="227"/>
  <c r="AK18" i="230"/>
  <c r="U13" i="227"/>
  <c r="AK15" i="230"/>
  <c r="U10" i="227"/>
  <c r="AK13" i="230"/>
  <c r="U8" i="227"/>
  <c r="AK10" i="230"/>
  <c r="U5" i="227"/>
  <c r="AK12" i="230"/>
  <c r="U7" i="227"/>
  <c r="AK8" i="230"/>
  <c r="U3" i="227"/>
  <c r="BJ10" i="230"/>
  <c r="BJ7" i="230" s="1"/>
  <c r="BQ21" i="230" s="1"/>
  <c r="BK8" i="230"/>
  <c r="BT8" i="230" s="1"/>
  <c r="BT9" i="230" s="1"/>
  <c r="BI7" i="230"/>
  <c r="E33" i="227"/>
  <c r="C33" i="227"/>
  <c r="B33" i="227"/>
  <c r="A33" i="227"/>
  <c r="D32" i="227"/>
  <c r="C32" i="227"/>
  <c r="B32" i="227"/>
  <c r="A32" i="227"/>
  <c r="A31" i="227"/>
  <c r="F27" i="227"/>
  <c r="F9" i="227"/>
  <c r="D26" i="227"/>
  <c r="BQ18" i="230" l="1"/>
  <c r="BR3" i="230"/>
  <c r="B4" i="227"/>
  <c r="B28" i="227" s="1"/>
  <c r="H9" i="227"/>
  <c r="B27" i="227"/>
  <c r="B7" i="227"/>
  <c r="B31" i="227" s="1"/>
  <c r="H4" i="227"/>
  <c r="H7" i="227" s="1"/>
  <c r="H11" i="227"/>
  <c r="F33" i="227"/>
  <c r="BK10" i="230"/>
  <c r="BT10" i="230" s="1"/>
  <c r="BT11" i="230" s="1"/>
  <c r="BT12" i="230" s="1"/>
  <c r="BT13" i="230" s="1"/>
  <c r="BT14" i="230" s="1"/>
  <c r="BT15" i="230" s="1"/>
  <c r="BT16" i="230" s="1"/>
  <c r="BT17" i="230" s="1"/>
  <c r="BT18" i="230" s="1"/>
  <c r="BT19" i="230" s="1"/>
  <c r="BT20" i="230" s="1"/>
  <c r="BT21" i="230" s="1"/>
  <c r="BT22" i="230" s="1"/>
  <c r="BT23" i="230" s="1"/>
  <c r="BT24" i="230" s="1"/>
  <c r="BT25" i="230" s="1"/>
  <c r="BT26" i="230" s="1"/>
  <c r="BT27" i="230" s="1"/>
  <c r="BT28" i="230" s="1"/>
  <c r="BT29" i="230" s="1"/>
  <c r="BT30" i="230" s="1"/>
  <c r="BT31" i="230" s="1"/>
  <c r="BT32" i="230" s="1"/>
  <c r="BT33" i="230" s="1"/>
  <c r="BT34" i="230" s="1"/>
  <c r="BT35" i="230" s="1"/>
  <c r="BT36" i="230" s="1"/>
  <c r="BS29" i="230" s="1"/>
  <c r="E32" i="227"/>
  <c r="E31" i="227"/>
  <c r="H8" i="227" l="1"/>
  <c r="H5" i="227"/>
  <c r="C31" i="227" s="1"/>
  <c r="D31" i="227" s="1"/>
  <c r="H6" i="227"/>
  <c r="BT37" i="230"/>
  <c r="BT38" i="230" s="1"/>
  <c r="BT39" i="230" s="1"/>
  <c r="BT40" i="230" s="1"/>
  <c r="BT41" i="230" s="1"/>
  <c r="BT42" i="230" s="1"/>
  <c r="BT43" i="230" s="1"/>
  <c r="BT44" i="230" s="1"/>
  <c r="BT45" i="230" s="1"/>
  <c r="BT46" i="230" s="1"/>
  <c r="BT47" i="230" s="1"/>
  <c r="BT48" i="230" s="1"/>
  <c r="BT49" i="230" s="1"/>
  <c r="BT50" i="230" s="1"/>
  <c r="BT51" i="230" s="1"/>
  <c r="BT52" i="230" s="1"/>
  <c r="BT53" i="230" s="1"/>
  <c r="BT54" i="230" s="1"/>
  <c r="BT55" i="230" s="1"/>
  <c r="BT56" i="230" s="1"/>
  <c r="BT57" i="230" s="1"/>
  <c r="BT58" i="230" s="1"/>
  <c r="BT59" i="230" s="1"/>
  <c r="BT60" i="230" s="1"/>
  <c r="BT61" i="230" s="1"/>
  <c r="BT62" i="230" s="1"/>
  <c r="BT63" i="230" s="1"/>
  <c r="BT64" i="230" s="1"/>
  <c r="BT65" i="230" s="1"/>
  <c r="BT66" i="230" s="1"/>
  <c r="BT67" i="230" s="1"/>
  <c r="BT68" i="230" s="1"/>
  <c r="BT69" i="230" s="1"/>
  <c r="BT70" i="230" s="1"/>
  <c r="BT71" i="230" s="1"/>
  <c r="BT72" i="230" s="1"/>
  <c r="BT73" i="230" s="1"/>
  <c r="BT74" i="230" s="1"/>
  <c r="BT75" i="230" s="1"/>
  <c r="BT76" i="230" s="1"/>
  <c r="BT77" i="230" s="1"/>
  <c r="BT78" i="230" s="1"/>
  <c r="BT79" i="230" s="1"/>
  <c r="BT80" i="230" s="1"/>
  <c r="BT81" i="230" s="1"/>
  <c r="BT82" i="230" s="1"/>
  <c r="BT83" i="230" s="1"/>
  <c r="BT84" i="230" s="1"/>
  <c r="BT85" i="230" s="1"/>
  <c r="BT86" i="230" s="1"/>
  <c r="BT87" i="230" s="1"/>
  <c r="BT88" i="230" s="1"/>
  <c r="BT89" i="230" s="1"/>
  <c r="BT90" i="230" s="1"/>
  <c r="BT91" i="230" s="1"/>
  <c r="BT92" i="230" s="1"/>
  <c r="BT93" i="230" s="1"/>
  <c r="BT94" i="230" s="1"/>
  <c r="BT95" i="230" s="1"/>
  <c r="BT96" i="230" s="1"/>
  <c r="BT97" i="230" s="1"/>
  <c r="BT98" i="230" s="1"/>
  <c r="BT99" i="230" s="1"/>
  <c r="BT100" i="230" s="1"/>
  <c r="BT101" i="230" s="1"/>
  <c r="BT102" i="230" s="1"/>
  <c r="BK7" i="230"/>
  <c r="BQ22" i="230" s="1"/>
  <c r="F8" i="227"/>
  <c r="F32" i="227" s="1"/>
  <c r="D7" i="227" l="1"/>
  <c r="F7" i="227" s="1"/>
  <c r="F10" i="227" s="1"/>
  <c r="F31" i="227"/>
  <c r="F34" i="227" s="1"/>
  <c r="F11" i="227" l="1"/>
  <c r="F36" i="227" s="1"/>
  <c r="C1" i="223" l="1"/>
  <c r="AN7" i="220"/>
  <c r="AN6" i="220"/>
  <c r="AN5" i="220"/>
  <c r="AN4" i="220"/>
  <c r="G115" i="220" l="1"/>
  <c r="G114" i="220"/>
  <c r="G113" i="220"/>
  <c r="G112" i="220"/>
  <c r="G111" i="220"/>
  <c r="G110" i="220"/>
  <c r="G109" i="220"/>
  <c r="G108" i="220"/>
  <c r="G107" i="220"/>
  <c r="G106" i="220"/>
  <c r="G105" i="220"/>
  <c r="G104" i="220"/>
  <c r="G103" i="220"/>
  <c r="G102" i="220"/>
  <c r="G101" i="220"/>
  <c r="G100" i="220"/>
  <c r="G99" i="220"/>
  <c r="G98" i="220"/>
  <c r="G97" i="220"/>
  <c r="G96" i="220"/>
  <c r="G95" i="220"/>
  <c r="G94" i="220"/>
  <c r="G93" i="220"/>
  <c r="G92" i="220"/>
  <c r="G91" i="220"/>
  <c r="G90" i="220"/>
  <c r="G89" i="220"/>
  <c r="G88" i="220"/>
  <c r="G87" i="220"/>
  <c r="G86" i="220"/>
  <c r="G85" i="220"/>
  <c r="G84" i="220"/>
  <c r="G83" i="220"/>
  <c r="G82" i="220"/>
  <c r="G81" i="220"/>
  <c r="G80" i="220"/>
  <c r="G79" i="220"/>
  <c r="G78" i="220"/>
  <c r="G77" i="220"/>
  <c r="G76" i="220"/>
  <c r="G75" i="220"/>
  <c r="G74" i="220"/>
  <c r="G73" i="220"/>
  <c r="G72" i="220"/>
  <c r="G71" i="220"/>
  <c r="G70" i="220"/>
  <c r="G69" i="220"/>
  <c r="G68" i="220"/>
  <c r="G67" i="220"/>
  <c r="G66" i="220"/>
  <c r="G65" i="220"/>
  <c r="G64" i="220"/>
  <c r="G63" i="220"/>
  <c r="G62" i="220"/>
  <c r="G61" i="220"/>
  <c r="G60" i="220"/>
  <c r="G59" i="220"/>
  <c r="G58" i="220"/>
  <c r="G57" i="220"/>
  <c r="G56" i="220"/>
  <c r="G55" i="220"/>
  <c r="G54" i="220"/>
  <c r="G53" i="220"/>
  <c r="G52" i="220"/>
  <c r="G51" i="220"/>
  <c r="G50" i="220"/>
  <c r="G49" i="220"/>
  <c r="G48" i="220"/>
  <c r="G47" i="220"/>
  <c r="G46" i="220"/>
  <c r="G45" i="220"/>
  <c r="G44" i="220"/>
  <c r="G43" i="220"/>
  <c r="G42" i="220"/>
  <c r="G41" i="220"/>
  <c r="G40" i="220"/>
  <c r="G39" i="220"/>
  <c r="G38" i="220"/>
  <c r="G37" i="220"/>
  <c r="G36" i="220"/>
  <c r="G35" i="220"/>
  <c r="G34" i="220"/>
  <c r="G33" i="220"/>
  <c r="G32" i="220"/>
  <c r="G31" i="220"/>
  <c r="G30" i="220"/>
  <c r="G29" i="220"/>
  <c r="G28" i="220"/>
  <c r="G27" i="220"/>
  <c r="G26" i="220"/>
  <c r="G25" i="220"/>
  <c r="G24" i="220"/>
  <c r="G23" i="220"/>
  <c r="G22" i="220"/>
  <c r="G21" i="220"/>
  <c r="G20" i="220"/>
  <c r="G19" i="220"/>
  <c r="G18" i="220"/>
  <c r="G17" i="220"/>
  <c r="G16" i="220"/>
  <c r="G15" i="220"/>
  <c r="G14" i="220"/>
  <c r="G13" i="220"/>
  <c r="G12" i="220"/>
  <c r="G11" i="220"/>
  <c r="G10" i="220"/>
  <c r="G9" i="220"/>
  <c r="G8" i="220"/>
  <c r="G7" i="220"/>
  <c r="G6" i="220"/>
  <c r="G5" i="220"/>
  <c r="J4" i="220"/>
  <c r="I4" i="220"/>
  <c r="H4" i="220"/>
  <c r="G4" i="220"/>
  <c r="G3" i="220"/>
  <c r="B2" i="223" l="1"/>
  <c r="K3" i="223" s="1"/>
  <c r="C3" i="223" l="1"/>
  <c r="E3" i="223"/>
  <c r="F3" i="223"/>
  <c r="G3" i="223"/>
  <c r="N3" i="223"/>
  <c r="H3" i="223"/>
  <c r="J3" i="223"/>
  <c r="I3" i="223"/>
  <c r="M3" i="223"/>
  <c r="L3" i="223"/>
  <c r="D3" i="223"/>
  <c r="K5" i="223" l="1"/>
  <c r="H5" i="223"/>
  <c r="E5" i="223"/>
  <c r="E6" i="223" s="1"/>
  <c r="D5" i="223"/>
  <c r="D6" i="223" s="1"/>
  <c r="L5" i="223"/>
  <c r="L6" i="223" s="1"/>
  <c r="J5" i="223"/>
  <c r="N5" i="223"/>
  <c r="F5" i="223"/>
  <c r="F6" i="223" s="1"/>
  <c r="M5" i="223"/>
  <c r="M6" i="223" s="1"/>
  <c r="G5" i="223"/>
  <c r="I5" i="223"/>
  <c r="C5" i="223"/>
  <c r="C6" i="223" s="1"/>
  <c r="J6" i="223" l="1"/>
  <c r="K6" i="223"/>
  <c r="I6" i="223"/>
  <c r="N6" i="223"/>
  <c r="H6" i="223"/>
  <c r="G6" i="223"/>
  <c r="B7" i="223" l="1"/>
  <c r="B12" i="227" s="1"/>
  <c r="B37" i="227" s="1"/>
  <c r="AD11" i="243" l="1"/>
  <c r="A12" i="243"/>
  <c r="AT11" i="243"/>
  <c r="AD12" i="243" l="1"/>
  <c r="AS12" i="243"/>
  <c r="AT12" i="243" s="1"/>
  <c r="A13" i="243"/>
  <c r="AU11" i="243"/>
  <c r="AY11" i="243"/>
  <c r="AZ11" i="243" s="1"/>
  <c r="BA11" i="243" s="1"/>
  <c r="AY12" i="243" l="1"/>
  <c r="AZ12" i="243" s="1"/>
  <c r="BA12" i="243" s="1"/>
  <c r="AU12" i="243"/>
  <c r="AD13" i="243"/>
  <c r="AS13" i="243"/>
  <c r="AT13" i="243" s="1"/>
  <c r="A14" i="243"/>
  <c r="AD14" i="243" l="1"/>
  <c r="AS14" i="243"/>
  <c r="AT14" i="243" s="1"/>
  <c r="AY13" i="243"/>
  <c r="AZ13" i="243" s="1"/>
  <c r="AU13" i="243"/>
  <c r="BA13" i="243"/>
  <c r="A15" i="243"/>
  <c r="AD15" i="243" l="1"/>
  <c r="AS15" i="243"/>
  <c r="AT15" i="243" s="1"/>
  <c r="AY14" i="243"/>
  <c r="AZ14" i="243" s="1"/>
  <c r="BA14" i="243" s="1"/>
  <c r="AU14" i="243"/>
  <c r="A16" i="243"/>
  <c r="AD16" i="243" l="1"/>
  <c r="AS16" i="243"/>
  <c r="AT16" i="243" s="1"/>
  <c r="AU15" i="243"/>
  <c r="AY15" i="243"/>
  <c r="AZ15" i="243" s="1"/>
  <c r="BA15" i="243"/>
  <c r="A17" i="243"/>
  <c r="AD17" i="243" l="1"/>
  <c r="AS17" i="243"/>
  <c r="AT17" i="243" s="1"/>
  <c r="A18" i="243"/>
  <c r="AY16" i="243"/>
  <c r="AZ16" i="243" s="1"/>
  <c r="BA16" i="243" s="1"/>
  <c r="AU16" i="243"/>
  <c r="A19" i="243"/>
  <c r="A20" i="243"/>
  <c r="AD20" i="243" l="1"/>
  <c r="AS20" i="243"/>
  <c r="AT20" i="243" s="1"/>
  <c r="AD19" i="243"/>
  <c r="AS19" i="243"/>
  <c r="AT19" i="243" s="1"/>
  <c r="AD18" i="243"/>
  <c r="AS18" i="243"/>
  <c r="AT18" i="243" s="1"/>
  <c r="AY17" i="243"/>
  <c r="AZ17" i="243" s="1"/>
  <c r="BA17" i="243"/>
  <c r="AU17" i="243"/>
  <c r="A21" i="243"/>
  <c r="AD21" i="243" l="1"/>
  <c r="AS21" i="243"/>
  <c r="AT21" i="243" s="1"/>
  <c r="AU18" i="243"/>
  <c r="AY18" i="243"/>
  <c r="AZ18" i="243" s="1"/>
  <c r="BA18" i="243" s="1"/>
  <c r="AU19" i="243"/>
  <c r="AY19" i="243"/>
  <c r="AZ19" i="243" s="1"/>
  <c r="BA19" i="243" s="1"/>
  <c r="AY20" i="243"/>
  <c r="AZ20" i="243" s="1"/>
  <c r="BA20" i="243" s="1"/>
  <c r="AU20" i="243"/>
  <c r="A22" i="243"/>
  <c r="AD22" i="243" l="1"/>
  <c r="AS22" i="243"/>
  <c r="AT22" i="243" s="1"/>
  <c r="AY21" i="243"/>
  <c r="AZ21" i="243" s="1"/>
  <c r="BA21" i="243" s="1"/>
  <c r="AU21" i="243"/>
  <c r="A23" i="243"/>
  <c r="AD23" i="243" l="1"/>
  <c r="AS23" i="243"/>
  <c r="AT23" i="243" s="1"/>
  <c r="AU22" i="243"/>
  <c r="AY22" i="243"/>
  <c r="AZ22" i="243" s="1"/>
  <c r="BA22" i="243" s="1"/>
  <c r="A24" i="243"/>
  <c r="AD24" i="243" l="1"/>
  <c r="AS24" i="243"/>
  <c r="AT24" i="243" s="1"/>
  <c r="AU23" i="243"/>
  <c r="AY23" i="243"/>
  <c r="AZ23" i="243" s="1"/>
  <c r="BA23" i="243" s="1"/>
  <c r="A25" i="243"/>
  <c r="AD25" i="243" l="1"/>
  <c r="AS25" i="243"/>
  <c r="AT25" i="243" s="1"/>
  <c r="AU24" i="243"/>
  <c r="AY24" i="243"/>
  <c r="AZ24" i="243" s="1"/>
  <c r="BA24" i="243" s="1"/>
  <c r="A26" i="243"/>
  <c r="AD26" i="243" l="1"/>
  <c r="AS26" i="243"/>
  <c r="AT26" i="243" s="1"/>
  <c r="AY25" i="243"/>
  <c r="AZ25" i="243" s="1"/>
  <c r="BA25" i="243" s="1"/>
  <c r="AU25" i="243"/>
  <c r="A27" i="243"/>
  <c r="AD27" i="243" l="1"/>
  <c r="AS27" i="243"/>
  <c r="AT27" i="243" s="1"/>
  <c r="AY26" i="243"/>
  <c r="AZ26" i="243" s="1"/>
  <c r="BA26" i="243" s="1"/>
  <c r="AU26" i="243"/>
  <c r="A28" i="243"/>
  <c r="AD28" i="243" l="1"/>
  <c r="AS28" i="243"/>
  <c r="AT28" i="243" s="1"/>
  <c r="AY27" i="243"/>
  <c r="AZ27" i="243" s="1"/>
  <c r="BA27" i="243"/>
  <c r="AU27" i="243"/>
  <c r="A29" i="243"/>
  <c r="AD29" i="243" l="1"/>
  <c r="AS29" i="243"/>
  <c r="AT29" i="243" s="1"/>
  <c r="AT9" i="243" s="1"/>
  <c r="AU28" i="243"/>
  <c r="AY28" i="243"/>
  <c r="AZ28" i="243" s="1"/>
  <c r="BA28" i="243" s="1"/>
  <c r="AY29" i="243" l="1"/>
  <c r="AZ29" i="243" s="1"/>
  <c r="AU29" i="243"/>
  <c r="AU9" i="243" s="1"/>
  <c r="BA29" i="243"/>
  <c r="BX20" i="243"/>
  <c r="BY20" i="243" s="1"/>
  <c r="BZ20" i="243" s="1"/>
  <c r="BX15" i="243"/>
  <c r="BY15" i="243" s="1"/>
  <c r="BZ15" i="243" s="1"/>
  <c r="BX26" i="243"/>
  <c r="BY26" i="243" s="1"/>
  <c r="BZ26" i="243" s="1"/>
  <c r="BX17" i="243"/>
  <c r="BY17" i="243" s="1"/>
  <c r="BZ17" i="243" s="1"/>
  <c r="BX16" i="243"/>
  <c r="BY16" i="243" s="1"/>
  <c r="BZ16" i="243" s="1"/>
  <c r="BX11" i="243"/>
  <c r="BY11" i="243" s="1"/>
  <c r="BZ11" i="243" s="1"/>
  <c r="BX22" i="243"/>
  <c r="BY22" i="243" s="1"/>
  <c r="BZ22" i="243" s="1"/>
  <c r="BX29" i="243"/>
  <c r="BY29" i="243" s="1"/>
  <c r="BZ29" i="243" s="1"/>
  <c r="BX12" i="243"/>
  <c r="BY12" i="243" s="1"/>
  <c r="BZ12" i="243" s="1"/>
  <c r="BX23" i="243"/>
  <c r="BY23" i="243" s="1"/>
  <c r="BZ23" i="243" s="1"/>
  <c r="BX25" i="243"/>
  <c r="BY25" i="243" s="1"/>
  <c r="BZ25" i="243" s="1"/>
  <c r="BX24" i="243"/>
  <c r="BY24" i="243" s="1"/>
  <c r="BZ24" i="243" s="1"/>
  <c r="BX19" i="243"/>
  <c r="BY19" i="243" s="1"/>
  <c r="BZ19" i="243" s="1"/>
  <c r="BX14" i="243"/>
  <c r="BY14" i="243" s="1"/>
  <c r="BZ14" i="243" s="1"/>
  <c r="BX21" i="243"/>
  <c r="BY21" i="243" s="1"/>
  <c r="BZ21" i="243" s="1"/>
  <c r="BX27" i="243"/>
  <c r="BY27" i="243" s="1"/>
  <c r="BZ27" i="243" s="1"/>
  <c r="BX13" i="243"/>
  <c r="BY13" i="243" s="1"/>
  <c r="BZ13" i="243" s="1"/>
  <c r="BX28" i="243"/>
  <c r="BY28" i="243" s="1"/>
  <c r="BZ28" i="243" s="1"/>
  <c r="BX18" i="243"/>
  <c r="BY18" i="243" s="1"/>
  <c r="BZ18" i="243" s="1"/>
  <c r="BS9" i="230" l="1"/>
  <c r="BR8" i="23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O143" authorId="0" shapeId="0" xr:uid="{00000000-0006-0000-0600-000001000000}">
      <text>
        <r>
          <rPr>
            <b/>
            <sz val="9"/>
            <color indexed="81"/>
            <rFont val="Tahoma"/>
            <family val="2"/>
          </rPr>
          <t>Chương Mỹ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<sst xmlns="http://schemas.openxmlformats.org/spreadsheetml/2006/main" count="25271" uniqueCount="15143">
  <si>
    <t>CÔNG TY CỔ PHẦN THƯƠNG MẠI
VẬN TẢI HOÀNG SƠN</t>
  </si>
  <si>
    <t>Số 19A/311 Đoạn Xá, P. Đông Hải 1,
 Q. Hải An, TP. Hải Phòng</t>
  </si>
  <si>
    <t>Nội dung thu</t>
  </si>
  <si>
    <t>%
tính cước</t>
  </si>
  <si>
    <t>Đơn giá
(đồng)</t>
  </si>
  <si>
    <t>Thành tiền
(đồng)</t>
  </si>
  <si>
    <t>Ghi chú</t>
  </si>
  <si>
    <t>1. Tiền cước vận chuyển</t>
  </si>
  <si>
    <t>A</t>
  </si>
  <si>
    <t>B</t>
  </si>
  <si>
    <t>4 = 1 x 2 x 3</t>
  </si>
  <si>
    <t>5. Số tiền đã ứng:</t>
  </si>
  <si>
    <t>4. Tổng cộng (dòng 1 + dòng 2 + dòng 3):</t>
  </si>
  <si>
    <t>x</t>
  </si>
  <si>
    <r>
      <t xml:space="preserve">Người nộp tiền
</t>
    </r>
    <r>
      <rPr>
        <i/>
        <sz val="10"/>
        <color theme="1"/>
        <rFont val="Times New Roman"/>
        <family val="1"/>
      </rPr>
      <t>(Ký, họ tên)</t>
    </r>
  </si>
  <si>
    <r>
      <t xml:space="preserve">                Giám đốc
           </t>
    </r>
    <r>
      <rPr>
        <i/>
        <sz val="10"/>
        <color theme="1"/>
        <rFont val="Times New Roman"/>
        <family val="1"/>
      </rPr>
      <t>(Ký, đóng dấu)</t>
    </r>
  </si>
  <si>
    <t>6. Số tiền còn phải thu (dòng 4 -  dòng 5):</t>
  </si>
  <si>
    <t>Số khối thực tế
(m3/chuyến)</t>
  </si>
  <si>
    <r>
      <t xml:space="preserve">Người lập phiếu
    </t>
    </r>
    <r>
      <rPr>
        <i/>
        <sz val="10"/>
        <color theme="1"/>
        <rFont val="Times New Roman"/>
        <family val="1"/>
      </rPr>
      <t>(Ký, họ tên)</t>
    </r>
  </si>
  <si>
    <t>Ngày, tháng, năm:</t>
  </si>
  <si>
    <r>
      <rPr>
        <b/>
        <sz val="10"/>
        <color theme="1"/>
        <rFont val="Times New Roman"/>
        <family val="1"/>
      </rPr>
      <t>Họ và tên người nộp tiền</t>
    </r>
    <r>
      <rPr>
        <sz val="10"/>
        <color theme="1"/>
        <rFont val="Times New Roman"/>
        <family val="2"/>
      </rPr>
      <t xml:space="preserve">: </t>
    </r>
    <r>
      <rPr>
        <b/>
        <sz val="10"/>
        <color theme="1"/>
        <rFont val="Times New Roman"/>
        <family val="1"/>
      </rPr>
      <t/>
    </r>
  </si>
  <si>
    <t>Điện thoại:</t>
  </si>
  <si>
    <r>
      <rPr>
        <b/>
        <sz val="10"/>
        <color theme="1"/>
        <rFont val="Times New Roman"/>
        <family val="1"/>
      </rPr>
      <t>Địa chỉ</t>
    </r>
    <r>
      <rPr>
        <sz val="10"/>
        <color theme="1"/>
        <rFont val="Times New Roman"/>
        <family val="1"/>
      </rPr>
      <t xml:space="preserve">: </t>
    </r>
  </si>
  <si>
    <t xml:space="preserve">3. </t>
  </si>
  <si>
    <t>Ký hiệu: VTHS/2016P</t>
  </si>
  <si>
    <r>
      <t>PHIẾU THU</t>
    </r>
    <r>
      <rPr>
        <b/>
        <sz val="17"/>
        <color theme="1"/>
        <rFont val="Times New Roman"/>
        <family val="1"/>
      </rPr>
      <t/>
    </r>
  </si>
  <si>
    <t>Số tiền bằng chữ:</t>
  </si>
  <si>
    <t>Lưu ý:  Lái xe phải thu đủ tiền cước theo Phiếu thu này, nếu không thu đủ phải bù tiền để nộp đủ cho Thủ quỹ</t>
  </si>
  <si>
    <t>Đoàn Văn Kỳ</t>
  </si>
  <si>
    <r>
      <t xml:space="preserve">Lái xe/Thu tiền
</t>
    </r>
    <r>
      <rPr>
        <i/>
        <sz val="10"/>
        <color theme="1"/>
        <rFont val="Times New Roman"/>
        <family val="1"/>
      </rPr>
      <t>(Ký, họ tên)</t>
    </r>
  </si>
  <si>
    <t>Mã Tuyến</t>
  </si>
  <si>
    <t>Địa chỉ</t>
  </si>
  <si>
    <t>Số khối tính cước (m3/chuyến)</t>
  </si>
  <si>
    <t>3 = 1 x 2</t>
  </si>
  <si>
    <t>5 = 3 x 4</t>
  </si>
  <si>
    <t>Số khối thực tế
(m3)</t>
  </si>
  <si>
    <t>4. Tổng cộng (dòng 1 + dòng 2 + dòng 3)</t>
  </si>
  <si>
    <t>RLL</t>
  </si>
  <si>
    <t>Tiến</t>
  </si>
  <si>
    <t>Toàn</t>
  </si>
  <si>
    <t>Tuấn</t>
  </si>
  <si>
    <t>Phong</t>
  </si>
  <si>
    <t>Tài</t>
  </si>
  <si>
    <t>Hiếu</t>
  </si>
  <si>
    <t>Tâm</t>
  </si>
  <si>
    <t>Thịnh</t>
  </si>
  <si>
    <t>Việt</t>
  </si>
  <si>
    <t>Cường</t>
  </si>
  <si>
    <t>Chí</t>
  </si>
  <si>
    <t>Tú</t>
  </si>
  <si>
    <t>Tiền đường
(đồng)</t>
  </si>
  <si>
    <t>Đơn Giá</t>
  </si>
  <si>
    <t>Nợ cũ</t>
  </si>
  <si>
    <t>Số Thu Chủ Hàng</t>
  </si>
  <si>
    <t>Ghi
chú</t>
  </si>
  <si>
    <t/>
  </si>
  <si>
    <t>Lợi</t>
  </si>
  <si>
    <t>Nam</t>
  </si>
  <si>
    <t>Sơn</t>
  </si>
  <si>
    <t>15C-12876</t>
  </si>
  <si>
    <t>15C-10196</t>
  </si>
  <si>
    <t>15C-10812</t>
  </si>
  <si>
    <t>15C-10036</t>
  </si>
  <si>
    <t>15C-10645</t>
  </si>
  <si>
    <t>15C-10156</t>
  </si>
  <si>
    <t>15C-07321</t>
  </si>
  <si>
    <t>15C-11549</t>
  </si>
  <si>
    <t>15C-12874</t>
  </si>
  <si>
    <t>15C-12643</t>
  </si>
  <si>
    <t>16L-5251</t>
  </si>
  <si>
    <t>15C-10050</t>
  </si>
  <si>
    <t>16H-3322</t>
  </si>
  <si>
    <t>15C-07437</t>
  </si>
  <si>
    <t>Cao</t>
  </si>
  <si>
    <t>15C-19170</t>
  </si>
  <si>
    <t>15C-19043</t>
  </si>
  <si>
    <t>Giáp</t>
  </si>
  <si>
    <t>16L-8943</t>
  </si>
  <si>
    <t>16H-8407</t>
  </si>
  <si>
    <t>Hai</t>
  </si>
  <si>
    <t>15C-03470</t>
  </si>
  <si>
    <t>Tuyền</t>
  </si>
  <si>
    <t>Ánh</t>
  </si>
  <si>
    <t>Đại</t>
  </si>
  <si>
    <t>16M-7550</t>
  </si>
  <si>
    <t>15C-10086</t>
  </si>
  <si>
    <t>Thành</t>
  </si>
  <si>
    <t>TB+HS+PT</t>
  </si>
  <si>
    <t>15C-10691</t>
  </si>
  <si>
    <t>15C-11200</t>
  </si>
  <si>
    <t>15C-11486</t>
  </si>
  <si>
    <t>15C-12812</t>
  </si>
  <si>
    <t>15C-12832</t>
  </si>
  <si>
    <t>Tuân</t>
  </si>
  <si>
    <t>Thêm</t>
  </si>
  <si>
    <t>15C-13840</t>
  </si>
  <si>
    <t>Hùng</t>
  </si>
  <si>
    <t>15C-13616</t>
  </si>
  <si>
    <t>15C-15237</t>
  </si>
  <si>
    <t>Hải</t>
  </si>
  <si>
    <t>15C-13036</t>
  </si>
  <si>
    <t>15C-15593</t>
  </si>
  <si>
    <t xml:space="preserve">Hải </t>
  </si>
  <si>
    <t>15C-11479</t>
  </si>
  <si>
    <t>Thanh</t>
  </si>
  <si>
    <t>15C-16127</t>
  </si>
  <si>
    <t>Cửu</t>
  </si>
  <si>
    <t>15C-11732</t>
  </si>
  <si>
    <t>Doanh</t>
  </si>
  <si>
    <t>15C-11856</t>
  </si>
  <si>
    <t>Quyết</t>
  </si>
  <si>
    <t>15C-12593</t>
  </si>
  <si>
    <t>Hợi</t>
  </si>
  <si>
    <t>15C-13368</t>
  </si>
  <si>
    <t>12593 ghép Phong Sự</t>
  </si>
  <si>
    <t>15C-13568</t>
  </si>
  <si>
    <t>Liêm</t>
  </si>
  <si>
    <t>15C-13959</t>
  </si>
  <si>
    <t>15C-13969</t>
  </si>
  <si>
    <t>Huyên</t>
  </si>
  <si>
    <t>15C-13958</t>
  </si>
  <si>
    <t>15C-10094</t>
  </si>
  <si>
    <t>Quản</t>
  </si>
  <si>
    <t>15C-10123</t>
  </si>
  <si>
    <t>Kiên</t>
  </si>
  <si>
    <t>15C-01889</t>
  </si>
  <si>
    <t>Tuyên</t>
  </si>
  <si>
    <t>16M-7562</t>
  </si>
  <si>
    <t>Kiểu</t>
  </si>
  <si>
    <t>15C-10286</t>
  </si>
  <si>
    <t>15C-07937</t>
  </si>
  <si>
    <t>15C-03426</t>
  </si>
  <si>
    <t>15C-23521</t>
  </si>
  <si>
    <t>15C-01584</t>
  </si>
  <si>
    <t>15C-25029</t>
  </si>
  <si>
    <t>15R-12559</t>
  </si>
  <si>
    <t>15C-25555</t>
  </si>
  <si>
    <t>15C-25418</t>
  </si>
  <si>
    <t>15C-06125</t>
  </si>
  <si>
    <t>04</t>
  </si>
  <si>
    <t>03</t>
  </si>
  <si>
    <t>0901589701</t>
  </si>
  <si>
    <t>0901589702</t>
  </si>
  <si>
    <t>0901589703</t>
  </si>
  <si>
    <t>0901589704</t>
  </si>
  <si>
    <t>0901589705</t>
  </si>
  <si>
    <t>0901589706</t>
  </si>
  <si>
    <t>0901589707</t>
  </si>
  <si>
    <t>0901589708</t>
  </si>
  <si>
    <t>0901589709</t>
  </si>
  <si>
    <t>0901589710</t>
  </si>
  <si>
    <t>0901589711</t>
  </si>
  <si>
    <t>0901589712</t>
  </si>
  <si>
    <t>0901589713</t>
  </si>
  <si>
    <t>0901589714</t>
  </si>
  <si>
    <t>0901589715</t>
  </si>
  <si>
    <t>0901589716</t>
  </si>
  <si>
    <t>0901589717</t>
  </si>
  <si>
    <t>0901589749</t>
  </si>
  <si>
    <t>0901589719</t>
  </si>
  <si>
    <t>0901589720</t>
  </si>
  <si>
    <t>0901589721</t>
  </si>
  <si>
    <t>0901589722</t>
  </si>
  <si>
    <t>0901589723</t>
  </si>
  <si>
    <t>0901589724</t>
  </si>
  <si>
    <t>0901589725</t>
  </si>
  <si>
    <t>0901589726</t>
  </si>
  <si>
    <t>0901589727</t>
  </si>
  <si>
    <t>0901589728</t>
  </si>
  <si>
    <t>0901589729</t>
  </si>
  <si>
    <t>0901589730</t>
  </si>
  <si>
    <t>0901589731</t>
  </si>
  <si>
    <t>0901589732</t>
  </si>
  <si>
    <t>0901589733</t>
  </si>
  <si>
    <t>0901589734</t>
  </si>
  <si>
    <t>0901589735</t>
  </si>
  <si>
    <t>0901589736</t>
  </si>
  <si>
    <t>0901589737</t>
  </si>
  <si>
    <t>0901589738</t>
  </si>
  <si>
    <t>0901589739</t>
  </si>
  <si>
    <t>0901589740</t>
  </si>
  <si>
    <t>0901589741</t>
  </si>
  <si>
    <t>0901589742</t>
  </si>
  <si>
    <t>0901589743</t>
  </si>
  <si>
    <t>0901589744</t>
  </si>
  <si>
    <t>0901589755</t>
  </si>
  <si>
    <t>0901589754</t>
  </si>
  <si>
    <t>0901589757</t>
  </si>
  <si>
    <t>15C-14551</t>
  </si>
  <si>
    <t>ab</t>
  </si>
  <si>
    <t>Anh Bình</t>
  </si>
  <si>
    <t>15C-13681</t>
  </si>
  <si>
    <t>P. XNK - Mỹ Đoàn (các lô)</t>
  </si>
  <si>
    <t>MĐ</t>
  </si>
  <si>
    <t>Lô</t>
  </si>
  <si>
    <t>Chủ Hàng</t>
  </si>
  <si>
    <t>nt</t>
  </si>
  <si>
    <t>CG01675</t>
  </si>
  <si>
    <t>Lô 39x20'</t>
  </si>
  <si>
    <t>YY.ND.DKG</t>
  </si>
  <si>
    <t>DKG&lt;-&gt;Ý Yên, Nam Định</t>
  </si>
  <si>
    <t>Địa Chỉ</t>
  </si>
  <si>
    <t>5. Làm tròn</t>
  </si>
  <si>
    <t>0979841802</t>
  </si>
  <si>
    <t>Hàm chuyển số thành chữ</t>
  </si>
  <si>
    <t>Nhập số vào đây</t>
  </si>
  <si>
    <t>Tách từng vị trí</t>
  </si>
  <si>
    <t>Chọn đơn vị</t>
  </si>
  <si>
    <t>linh</t>
  </si>
  <si>
    <t>tỷ</t>
  </si>
  <si>
    <t xml:space="preserve"> triệu</t>
  </si>
  <si>
    <t>ngàn</t>
  </si>
  <si>
    <t>lẻ</t>
  </si>
  <si>
    <t>đồng</t>
  </si>
  <si>
    <t>Đọc ra chữ</t>
  </si>
  <si>
    <t>Viết hoa chữ cái đầu trong chuỗi</t>
  </si>
  <si>
    <t>Kết quả:</t>
  </si>
  <si>
    <t>Nguyễn Thắng</t>
  </si>
  <si>
    <t>qc</t>
  </si>
  <si>
    <t>Quý Cương</t>
  </si>
  <si>
    <t>th</t>
  </si>
  <si>
    <t>Trang Hà</t>
  </si>
  <si>
    <t>CG03051</t>
  </si>
  <si>
    <t>Nguyễn Văn Anh (QTHP) 031078003100 0968344599</t>
  </si>
  <si>
    <t>AD.HP.DKG</t>
  </si>
  <si>
    <t>DKG&lt;-&gt;An Dương, Hải Phòng</t>
  </si>
  <si>
    <t>An Dương, Hải Phòng</t>
  </si>
  <si>
    <t>Tên</t>
  </si>
  <si>
    <t>Tiền đường</t>
  </si>
  <si>
    <t>kiểm tra</t>
  </si>
  <si>
    <t>Ý Yên, Nam Định</t>
  </si>
  <si>
    <t>Hải Hậu, Nam Định</t>
  </si>
  <si>
    <t>Hoàng Sơn</t>
  </si>
  <si>
    <t>Điều khoản TT</t>
  </si>
  <si>
    <t>kl</t>
  </si>
  <si>
    <t>số cây</t>
  </si>
  <si>
    <t>tên lô</t>
  </si>
  <si>
    <t>BKS xe</t>
  </si>
  <si>
    <t>Tên Tuyến</t>
  </si>
  <si>
    <t>SốLệnh</t>
  </si>
  <si>
    <t>Hàng av…</t>
  </si>
  <si>
    <t>Địa chỉ XPQH</t>
  </si>
  <si>
    <t>Số CMND</t>
  </si>
  <si>
    <t>họ tên dd</t>
  </si>
  <si>
    <t>MÃ KH</t>
  </si>
  <si>
    <t>DANH SÁCH KHÁCH HÀNG</t>
  </si>
  <si>
    <t>Mã khách hàng</t>
  </si>
  <si>
    <t>Tên khách hàng</t>
  </si>
  <si>
    <t>Nhóm KH, NCC</t>
  </si>
  <si>
    <t>Mã số thuế</t>
  </si>
  <si>
    <t>Điện thoại</t>
  </si>
  <si>
    <t>Là CN/TC nước ngoài</t>
  </si>
  <si>
    <t>Ngừng theo dõi</t>
  </si>
  <si>
    <t>CG00001</t>
  </si>
  <si>
    <t>Doanh Nghiệp Tư Nhân Phiếu Nhung  (TPTN) Phiều 0915214066</t>
  </si>
  <si>
    <t>Thịnh Đán, TP. Thái Nguyên</t>
  </si>
  <si>
    <t>CG</t>
  </si>
  <si>
    <t>4600953594</t>
  </si>
  <si>
    <t>0915214066</t>
  </si>
  <si>
    <t>CG00002</t>
  </si>
  <si>
    <t>Trịnh Bá Vui (LDHDHN) 1063002533 0912350099</t>
  </si>
  <si>
    <t>La Dương, Hà Đông, Hà Nội</t>
  </si>
  <si>
    <t>0912350099</t>
  </si>
  <si>
    <t>CG00003</t>
  </si>
  <si>
    <t>Lê Bá Diện (TSTH) Xuân 171497519 0936926888</t>
  </si>
  <si>
    <t>Thọ Lộc, Thọ Xuân, Thanh Hóa</t>
  </si>
  <si>
    <t>0936926888</t>
  </si>
  <si>
    <t>CG00004</t>
  </si>
  <si>
    <t>Xí Nghiệp Tập Thể Cổ Phần Trọng Tín (TCBN) Tuấn 0913259809 2300160248</t>
  </si>
  <si>
    <t>Khu 6, Thị Cầu, Bắc Ninh</t>
  </si>
  <si>
    <t>2300160248</t>
  </si>
  <si>
    <t xml:space="preserve">0913259809 </t>
  </si>
  <si>
    <t>CG00005</t>
  </si>
  <si>
    <t>Lê Văn Thoại (TTIHN) 001078010745 0937381977</t>
  </si>
  <si>
    <t>Văn Tự, Thường Tín, Hà Nội</t>
  </si>
  <si>
    <t>CG00006</t>
  </si>
  <si>
    <t>Nguyễn Văn Thành (LHDAHN) B4764546 0904296995</t>
  </si>
  <si>
    <t>Liên Hà, Đông Anh, Hà Nội</t>
  </si>
  <si>
    <t>0904296995</t>
  </si>
  <si>
    <t>CG00007</t>
  </si>
  <si>
    <t>Công ty CP Gỗ Phượng Anh (TPTN) Thọ 0913036495</t>
  </si>
  <si>
    <t>Tân Thành, TP. Thái Nguyên, Thái Nguyên</t>
  </si>
  <si>
    <t>4600393712</t>
  </si>
  <si>
    <t>0913036495</t>
  </si>
  <si>
    <t>CG00008</t>
  </si>
  <si>
    <t>Dũng (TSBN) 0913300021</t>
  </si>
  <si>
    <t>Từ Sơn, Bắc Ninh</t>
  </si>
  <si>
    <t>CG00009</t>
  </si>
  <si>
    <t>Hoa (TTIHN) 0382293886 0969855228</t>
  </si>
  <si>
    <t>Thường Tín, Hà Nội</t>
  </si>
  <si>
    <t>CG00010</t>
  </si>
  <si>
    <t>Tuấn (TPND) 0913544073</t>
  </si>
  <si>
    <t>TP. Nam Định, Nam Định</t>
  </si>
  <si>
    <t>CG00011</t>
  </si>
  <si>
    <t>Thống (TPND) 0946563999</t>
  </si>
  <si>
    <t>CG00012</t>
  </si>
  <si>
    <t>Hoàng Công Đĩnh (KBHNA) 35074001891 0982516441 0393081082</t>
  </si>
  <si>
    <t>Ngọc Sơn, Kim Bảng, Hà Nam</t>
  </si>
  <si>
    <t>0982516441</t>
  </si>
  <si>
    <t>CG00013</t>
  </si>
  <si>
    <t>Nguyễn Văn Bình (DTTPBG) Nam 122108040 0859959959 0982315443</t>
  </si>
  <si>
    <t>Dĩnh Trì, TP. Bắc Giang</t>
  </si>
  <si>
    <t>0859959959</t>
  </si>
  <si>
    <t>CG00014</t>
  </si>
  <si>
    <t>Nguyễn Văn Cường (VKBG) 121341761 0915533221</t>
  </si>
  <si>
    <t>Dĩnh Kế. Bắc Giang, Bắc Giang</t>
  </si>
  <si>
    <t>0915533221</t>
  </si>
  <si>
    <t>CG00015</t>
  </si>
  <si>
    <t>Nha (GBBN) 0943475008</t>
  </si>
  <si>
    <t>Gia Bình, Bắc Ninh</t>
  </si>
  <si>
    <t>CG00016</t>
  </si>
  <si>
    <t>Nguyễn Văn Khanh (HAHHND) 161878636 0946939568</t>
  </si>
  <si>
    <t>Hải Anh, Hải Hậu, Nam Định</t>
  </si>
  <si>
    <t>CG00017</t>
  </si>
  <si>
    <t>Quynh (TTIHN) 0988090189</t>
  </si>
  <si>
    <t>CG00018</t>
  </si>
  <si>
    <t>Thể (TPTN) 0915643789</t>
  </si>
  <si>
    <t>TP. Thái Nguyên, Thái Nguyên</t>
  </si>
  <si>
    <t>CG00019</t>
  </si>
  <si>
    <t>Thảo (TPTN) 0987542555</t>
  </si>
  <si>
    <t>CG00020</t>
  </si>
  <si>
    <t>Nguyễn Văn Bản (HDHN) DHS 111882697 0983456337</t>
  </si>
  <si>
    <t>An Thượng, Hoài Đức, Hà Nội</t>
  </si>
  <si>
    <t>0983456337</t>
  </si>
  <si>
    <t>CG00021</t>
  </si>
  <si>
    <t>Mùi (TSBN) 0912041496</t>
  </si>
  <si>
    <t>CG00022</t>
  </si>
  <si>
    <t>Đinh Hữu Thắng (TBTPHD) 140200367 0903231150 0335390490</t>
  </si>
  <si>
    <t>Thanh Bình, TP. Hải Dương</t>
  </si>
  <si>
    <t>0903231150</t>
  </si>
  <si>
    <t>CG00023</t>
  </si>
  <si>
    <t>Linh (CPQN) 0917363966</t>
  </si>
  <si>
    <t>Cẩm Phả, Quảng Ninh</t>
  </si>
  <si>
    <t>CG00024</t>
  </si>
  <si>
    <t>Công ty TNHH Sao Việt (TBTPHD) Quân 0913255885</t>
  </si>
  <si>
    <t>TP. Hải Dương, Hải Dương</t>
  </si>
  <si>
    <t>0800237632</t>
  </si>
  <si>
    <t>0913255885</t>
  </si>
  <si>
    <t>CG00025</t>
  </si>
  <si>
    <t>Minh (YPBN) 0919582669</t>
  </si>
  <si>
    <t>Yên Phong, Bắc Ninh</t>
  </si>
  <si>
    <t>CG00026</t>
  </si>
  <si>
    <t>Trần Ngọc Lữ (HHTB) 150472103 0983173765</t>
  </si>
  <si>
    <t>Hưng Hà, Thái Bình</t>
  </si>
  <si>
    <t>0983173765</t>
  </si>
  <si>
    <t>CG00027</t>
  </si>
  <si>
    <t>Đán (YPBN) 0912404588</t>
  </si>
  <si>
    <t>CG00028</t>
  </si>
  <si>
    <t>Biềng (TMHD) 0984289905</t>
  </si>
  <si>
    <t>Thanh Miện, Hải Dương</t>
  </si>
  <si>
    <t>CG00029</t>
  </si>
  <si>
    <t>Trung (PLHNA) 0945742367</t>
  </si>
  <si>
    <t>Phủ Lý, Hà Nam</t>
  </si>
  <si>
    <t>CG00030</t>
  </si>
  <si>
    <t>Hùng (TTHN) 0916159999</t>
  </si>
  <si>
    <t>Thạch Thất, Hà Nội</t>
  </si>
  <si>
    <t>CG00031</t>
  </si>
  <si>
    <t>Ánh (VKBG) 0975089976</t>
  </si>
  <si>
    <t>CG00032</t>
  </si>
  <si>
    <t xml:space="preserve">Đỗ Văn Ngừng (UHNGHD) 03071002926 0976622197 </t>
  </si>
  <si>
    <t>Ứng Hòe, Ninh Giang, Hải Dương</t>
  </si>
  <si>
    <t>CG00033</t>
  </si>
  <si>
    <t>Trịnh Bá Oanh (HDHN) 001088017018 0975086668</t>
  </si>
  <si>
    <t>Biển Sắt, Hà Đông, Hà Nội</t>
  </si>
  <si>
    <t>0975086668</t>
  </si>
  <si>
    <t>CG00034</t>
  </si>
  <si>
    <t>Ngọc Liên, Cẩm Giàng, Hải Dương</t>
  </si>
  <si>
    <t>0800250048</t>
  </si>
  <si>
    <t>0935865688</t>
  </si>
  <si>
    <t>CG00035</t>
  </si>
  <si>
    <t>Nguyễn Trọng Lực (DKBG) 121176436 0913373529</t>
  </si>
  <si>
    <t>Dĩnh Kế, TP. Bắc Giang</t>
  </si>
  <si>
    <t>0913373529</t>
  </si>
  <si>
    <t>CG00036</t>
  </si>
  <si>
    <t>Bắc (TPTH) 0936125919</t>
  </si>
  <si>
    <t>TP. Thanh Hóa, Thanh Hóa</t>
  </si>
  <si>
    <t>CG00037</t>
  </si>
  <si>
    <t>Đỗ Văn Chiến (TDTNND) 162362699 0912194620</t>
  </si>
  <si>
    <t>Trung Đông, Trực Ninh, Nam Định</t>
  </si>
  <si>
    <t>0912194620</t>
  </si>
  <si>
    <t>CG00038</t>
  </si>
  <si>
    <t>Nguyễn Cự Đình (HNUHHN) 111271980 0912631743</t>
  </si>
  <si>
    <t>Hòa Nam, Ứng Hòa, Hà Nội</t>
  </si>
  <si>
    <t>0912631743</t>
  </si>
  <si>
    <t>CG00039</t>
  </si>
  <si>
    <t>Nguyễn Ngọc Oanh (HPHHND) 161452470 0984689561</t>
  </si>
  <si>
    <t>Hải Phương, Hải Hậu, Nam Định</t>
  </si>
  <si>
    <t>0984689561</t>
  </si>
  <si>
    <t>CG00040</t>
  </si>
  <si>
    <t>Hưng (VNA) 0983229941</t>
  </si>
  <si>
    <t>TP. Vinh, Nghệ An</t>
  </si>
  <si>
    <t>CG00041</t>
  </si>
  <si>
    <t>Tuấn (TDTB) 0988837845</t>
  </si>
  <si>
    <t>Triều Dương, Hưng Hà, Thái Bình</t>
  </si>
  <si>
    <t>CG00042</t>
  </si>
  <si>
    <t>Công ty TNHH Thương Mại Mạnh Thanh (KBHNA) Ba 0397407377</t>
  </si>
  <si>
    <t>Nhật Tân, Kim Bảng, Hà Nam</t>
  </si>
  <si>
    <t>0700792495</t>
  </si>
  <si>
    <t>0397407377</t>
  </si>
  <si>
    <t>CG00043</t>
  </si>
  <si>
    <t>Đoàn Quang Trung (NBNHND) 161664509 0912097252</t>
  </si>
  <si>
    <t>Nghĩa Bình, Nghĩa Hưng, Nam Định</t>
  </si>
  <si>
    <t>0912097252</t>
  </si>
  <si>
    <t>CG00044</t>
  </si>
  <si>
    <t>Công ty TNHH một thành viên XNK gỗ  (VTVP) Huệ 0962580688</t>
  </si>
  <si>
    <t>An Tường, Vĩnh Tường, Vĩnh Phúc</t>
  </si>
  <si>
    <t>2500503414</t>
  </si>
  <si>
    <t>CG00045</t>
  </si>
  <si>
    <t>Thính (VTVP) 0982839807</t>
  </si>
  <si>
    <t>Vĩnh Tường, Vĩnh Phúc</t>
  </si>
  <si>
    <t>CG00046</t>
  </si>
  <si>
    <t>Nguyền Thị Huyền (ATVTVP) 026177000951 0985238643</t>
  </si>
  <si>
    <t>CG00047</t>
  </si>
  <si>
    <t>Nguyễn Văn Chiều (HDHN) 001882136 0912949536</t>
  </si>
  <si>
    <t>CG00048</t>
  </si>
  <si>
    <t>Dũng DHS (HDHN) 0942232386</t>
  </si>
  <si>
    <t>Hà Đông, Hà Nội</t>
  </si>
  <si>
    <t>CG00049</t>
  </si>
  <si>
    <t>Lê Văn Vũ (NGTXTH) 171096698 0969645234 0919884159</t>
  </si>
  <si>
    <t>Nam Giang, Thọ Xuân, Thanh Hóa</t>
  </si>
  <si>
    <t>0919884159</t>
  </si>
  <si>
    <t>CG00050</t>
  </si>
  <si>
    <t>Thanh (TPND) 0912237629</t>
  </si>
  <si>
    <t>CG00051</t>
  </si>
  <si>
    <t>Nguyễn Văn Trọng (YNDTHNA) 168422473 0915258451</t>
  </si>
  <si>
    <t>Yên Nam, Duy Tiên, Hà Nam</t>
  </si>
  <si>
    <t>0915258451</t>
  </si>
  <si>
    <t>CG00052</t>
  </si>
  <si>
    <t>Sắc (VNHP) 0912237017</t>
  </si>
  <si>
    <t>Vĩnh Niệm, Lê Chân, Hải Phòng</t>
  </si>
  <si>
    <t>CG00053</t>
  </si>
  <si>
    <t>Dũng (KBHNA) 0984676881</t>
  </si>
  <si>
    <t>Kim Bảng, Hà Nam</t>
  </si>
  <si>
    <t>CG00054</t>
  </si>
  <si>
    <t>Thái Bá Hùng (DCNA) 182031968 0977072707</t>
  </si>
  <si>
    <t>Diễn Phúc, Diễn Châu, Nghệ An</t>
  </si>
  <si>
    <t>0977072707</t>
  </si>
  <si>
    <t>CG00055</t>
  </si>
  <si>
    <t>Hoàng Kim Tuyên (DTDCNA) 181718902 0986724324 0968172444</t>
  </si>
  <si>
    <t>Diễn Tân, Diễn Châu, Nghệ An</t>
  </si>
  <si>
    <t>0986724324</t>
  </si>
  <si>
    <t>CG00056</t>
  </si>
  <si>
    <t>Đinh Văn Dân (SSHN) 1066000639 0386598668</t>
  </si>
  <si>
    <t>Phú Linh, Sóc Sơn, Hà Nội</t>
  </si>
  <si>
    <t>0386598668</t>
  </si>
  <si>
    <t>CG00057</t>
  </si>
  <si>
    <t>Thành (TPND) 0919836558</t>
  </si>
  <si>
    <t>CG00058</t>
  </si>
  <si>
    <t>Đạt DHS (HDHN) 0989202229</t>
  </si>
  <si>
    <t>0989202229</t>
  </si>
  <si>
    <t>CG00059</t>
  </si>
  <si>
    <t>Sang (TNHP) 0913254678</t>
  </si>
  <si>
    <t>Thủy Nguyên, Hải Phòng</t>
  </si>
  <si>
    <t>CG00060</t>
  </si>
  <si>
    <t>Lê Quang Khỏe  (TBTPHD) 141528317 0975366368</t>
  </si>
  <si>
    <t>0975366368</t>
  </si>
  <si>
    <t>CG00061</t>
  </si>
  <si>
    <t>Vinh (KBHNA) 0978258748</t>
  </si>
  <si>
    <t>CG00062</t>
  </si>
  <si>
    <t>Phong (Đức Tín) 0913763369</t>
  </si>
  <si>
    <t>Đức Tín, Hà Nội</t>
  </si>
  <si>
    <t>CG00063</t>
  </si>
  <si>
    <t>Sáng (DHTB) 0982851703</t>
  </si>
  <si>
    <t>Đông Hưng, Thái Bình</t>
  </si>
  <si>
    <t>CG00064</t>
  </si>
  <si>
    <t>Tuấn (CHBN) 0904485787</t>
  </si>
  <si>
    <t>Cầu Hồ, Bắc Ninh</t>
  </si>
  <si>
    <t>CG00065</t>
  </si>
  <si>
    <t>Mai (CLHT) 0912516244</t>
  </si>
  <si>
    <t>Can Lộc, Hà Tĩnh</t>
  </si>
  <si>
    <t>CG00066</t>
  </si>
  <si>
    <t>Mậu (GBBN) 0397420109</t>
  </si>
  <si>
    <t>CG00067</t>
  </si>
  <si>
    <t>Hiền (HHTH) 0975363418</t>
  </si>
  <si>
    <t>Hoằng Hóa, Thanh Hóa</t>
  </si>
  <si>
    <t>CG00068</t>
  </si>
  <si>
    <t>Trường (BVHN) 0983769999</t>
  </si>
  <si>
    <t>Ba Vì, Hà Nội</t>
  </si>
  <si>
    <t>CG00069</t>
  </si>
  <si>
    <t>Nguyễn Tiến Vinh (LDHDHN) 112145056 0982963611</t>
  </si>
  <si>
    <t>0982963611</t>
  </si>
  <si>
    <t>CG00070</t>
  </si>
  <si>
    <t>Sự (TMHD) 0904457624</t>
  </si>
  <si>
    <t>CG00071</t>
  </si>
  <si>
    <t>Ngọc (TTIHN) 0847721999</t>
  </si>
  <si>
    <t>CG00072</t>
  </si>
  <si>
    <t>Lợi (XTND) 0912850487</t>
  </si>
  <si>
    <t>Xuân Trường, Nam Định</t>
  </si>
  <si>
    <t>CG00073</t>
  </si>
  <si>
    <t>Nghị (TPTH) 0906174455</t>
  </si>
  <si>
    <t>CG00074</t>
  </si>
  <si>
    <t>Vũ Hồng Thanh (DTQN) 100691176 0913370359</t>
  </si>
  <si>
    <t xml:space="preserve"> Tràng Bạch, Mạo Khê, Quảng Ninh</t>
  </si>
  <si>
    <t>CG00075</t>
  </si>
  <si>
    <t>Viên (QLNA) 0977457777</t>
  </si>
  <si>
    <t>Quỳnh Lưu, Nghệ An</t>
  </si>
  <si>
    <t>CG00076</t>
  </si>
  <si>
    <t>Lộc (VTVP) 0912149074</t>
  </si>
  <si>
    <t>CG00077</t>
  </si>
  <si>
    <t>Nguyễn Đình Sơn (GLHD) 030088009598 0344446661</t>
  </si>
  <si>
    <t>Gia Lộc, Hải Dương</t>
  </si>
  <si>
    <t>0344446661</t>
  </si>
  <si>
    <t>CG00078</t>
  </si>
  <si>
    <t>Hoàn DHS (HDHN) 0912222560</t>
  </si>
  <si>
    <t>CG00079</t>
  </si>
  <si>
    <t>Công ty TNHH Á Đông (BXVP) Hưởng 0912061580</t>
  </si>
  <si>
    <t>Thanh Lãng, Bình Xuyên, Vĩnh Phúc</t>
  </si>
  <si>
    <t>2500221385</t>
  </si>
  <si>
    <t>0912061580</t>
  </si>
  <si>
    <t>CG00080</t>
  </si>
  <si>
    <t>Hoằng Lương, Hoằng Hóa, Thanh Hóa</t>
  </si>
  <si>
    <t>2801583822</t>
  </si>
  <si>
    <t xml:space="preserve">0912892158 </t>
  </si>
  <si>
    <t>CG00081</t>
  </si>
  <si>
    <t>Nguyễn Văn Vinh (HLHLTH) 174484323 0983832136</t>
  </si>
  <si>
    <t>Hưng Lộc, Hậu Lộc, Thanh Hóa</t>
  </si>
  <si>
    <t>0983832136</t>
  </si>
  <si>
    <t>CG00082</t>
  </si>
  <si>
    <t>CG00083</t>
  </si>
  <si>
    <t>Phạm Văn Duẩn (QTNGHD) 141920129 0986718725 0832153808</t>
  </si>
  <si>
    <t>Quyết Thắng, Ninh Giang, Hải Dương</t>
  </si>
  <si>
    <t>0832153808</t>
  </si>
  <si>
    <t>CG00084</t>
  </si>
  <si>
    <t>Đào Văn Dân (DNTSBN) 125599189 0915278826</t>
  </si>
  <si>
    <t>Đông Ngàn, Từ Sơn, Bắc Ninh</t>
  </si>
  <si>
    <t>0915278826</t>
  </si>
  <si>
    <t>CG00085</t>
  </si>
  <si>
    <t>Dự (HHND) 0912601538</t>
  </si>
  <si>
    <t>CG00086</t>
  </si>
  <si>
    <t>Hoài (TPLS) 0912103857</t>
  </si>
  <si>
    <t>TP. Lạng Sơn, Lạng Sơn</t>
  </si>
  <si>
    <t>CG00087</t>
  </si>
  <si>
    <t>Nguyễn Văn Sức (LDVLHY) 145288211 0913500185</t>
  </si>
  <si>
    <t>Lạc Đạo, Văn Lâm, Hưng Yên</t>
  </si>
  <si>
    <t>0913500185</t>
  </si>
  <si>
    <t>CG00088</t>
  </si>
  <si>
    <t>Nam Thanh, Nam Trực, Nam Định</t>
  </si>
  <si>
    <t>0600343143</t>
  </si>
  <si>
    <t>0913562193</t>
  </si>
  <si>
    <t>CG00089</t>
  </si>
  <si>
    <t>Ninh (DAHN) 0914607495</t>
  </si>
  <si>
    <t>Đông Anh, Hà Nội</t>
  </si>
  <si>
    <t>CG00090</t>
  </si>
  <si>
    <t>Trần Chí Hiếu (NTKBHNA) 168153427 0982122398</t>
  </si>
  <si>
    <t>Nhật Tựu, Kim Bảng, Hà Nam</t>
  </si>
  <si>
    <t>0982122398</t>
  </si>
  <si>
    <t>CG00091</t>
  </si>
  <si>
    <t>Thuận Thành, Bắc Ninh</t>
  </si>
  <si>
    <t>CG00092</t>
  </si>
  <si>
    <t>Cược (LCHP) 0903444374</t>
  </si>
  <si>
    <t>Lê Chân, Hải Phòng</t>
  </si>
  <si>
    <t>CG00093</t>
  </si>
  <si>
    <t>Thắng (VTVP) 0915802983</t>
  </si>
  <si>
    <t>CG00094</t>
  </si>
  <si>
    <t>Nguyễn Văn Thực (KMHD) 141140094 0965233612 0945586325</t>
  </si>
  <si>
    <t>Thượng Quận, Kinh Môn, Hải Dương</t>
  </si>
  <si>
    <t>0945586325</t>
  </si>
  <si>
    <t>CG00095</t>
  </si>
  <si>
    <t>Trần Ngọc Hà (CLLNHNA) 168437679 0915261300</t>
  </si>
  <si>
    <t>Chân Lý, Lý Nhân, Hà Nam</t>
  </si>
  <si>
    <t>0915261300</t>
  </si>
  <si>
    <t>CG00096</t>
  </si>
  <si>
    <t>Thành (TTIHN) 0915187897</t>
  </si>
  <si>
    <t>CG00097</t>
  </si>
  <si>
    <t>Kiên (YLHNA) 0919954967</t>
  </si>
  <si>
    <t>Yên Lệnh, Duy Tiên, Hà Nam</t>
  </si>
  <si>
    <t>CG00098</t>
  </si>
  <si>
    <t>Lê Văn Quang (DTDCNA) 033772648 0949743548</t>
  </si>
  <si>
    <t>0949743548</t>
  </si>
  <si>
    <t>CG00099</t>
  </si>
  <si>
    <t>Toàn (DHTB) 0916637750</t>
  </si>
  <si>
    <t>CG00100</t>
  </si>
  <si>
    <t>Lê Công Cường (QHQLNA) 190421517 0913272334</t>
  </si>
  <si>
    <t>Quỳnh Hậu, Quỳnh Lưu, Nghệ An</t>
  </si>
  <si>
    <t>CG00101</t>
  </si>
  <si>
    <t>Sơn (QLNA) 0934377888</t>
  </si>
  <si>
    <t>0934377888</t>
  </si>
  <si>
    <t>CG00102</t>
  </si>
  <si>
    <t>Bách (TPND) 0982827146</t>
  </si>
  <si>
    <t>0982827146</t>
  </si>
  <si>
    <t>CG00103</t>
  </si>
  <si>
    <t>0912458049</t>
  </si>
  <si>
    <t>CG00104</t>
  </si>
  <si>
    <t>Vũ Văn Kỳ (VAVBHP) 030015838 0912541846 0969689889</t>
  </si>
  <si>
    <t>Vĩnh An, Vĩnh Bảo, Hải Phòng</t>
  </si>
  <si>
    <t>0912541846</t>
  </si>
  <si>
    <t>CG00105</t>
  </si>
  <si>
    <t>Công ty TNHH Đức Cường (TSBN) Mạnh 0982183333</t>
  </si>
  <si>
    <t>Đông Nguyên, Từ Sơn, Bắc Ninh</t>
  </si>
  <si>
    <t>2300196815</t>
  </si>
  <si>
    <t>0982183333</t>
  </si>
  <si>
    <t>CG00106</t>
  </si>
  <si>
    <t>Truy (QGHD) 0989371364</t>
  </si>
  <si>
    <t>Quán Gỏi, Bình Giang, Hải Dương</t>
  </si>
  <si>
    <t>0989371364</t>
  </si>
  <si>
    <t>CG00107</t>
  </si>
  <si>
    <t>Lê Văn Việt (VAVBHP) 031088001968 0972971888</t>
  </si>
  <si>
    <t>0972971888</t>
  </si>
  <si>
    <t>CG00108</t>
  </si>
  <si>
    <t>Tạ Công Lý (LNHNA) 1681699499 0914171689</t>
  </si>
  <si>
    <t>Nhân Lý, Lý Nhân, Hà Nam</t>
  </si>
  <si>
    <t>0914171689</t>
  </si>
  <si>
    <t>CG00109</t>
  </si>
  <si>
    <t>Công ty TNHH một thành viên TM và XD Quang Vinh (TLHNA) Tình 0915079767</t>
  </si>
  <si>
    <t>Yên Bằng, Ý Yên, Nam Định</t>
  </si>
  <si>
    <t>0600964334</t>
  </si>
  <si>
    <t>0915079767</t>
  </si>
  <si>
    <t>CG00111</t>
  </si>
  <si>
    <t>Nguyễn Tuấn Hướng (CNTTHN) 111471225 0915396078</t>
  </si>
  <si>
    <t>Canh Nậu, Thạch Thất, Hà Nội</t>
  </si>
  <si>
    <t>0915396078</t>
  </si>
  <si>
    <t>CG00112</t>
  </si>
  <si>
    <t>Vịnh (KAHP) 0903456147</t>
  </si>
  <si>
    <t>Kiến An, Hải Phòng</t>
  </si>
  <si>
    <t>0903456147</t>
  </si>
  <si>
    <t>CG00113</t>
  </si>
  <si>
    <t>Nguyễn Thế Hanh (ADHP) Hữu 26094000014 0904143389</t>
  </si>
  <si>
    <t>Đông Thái, An Dương, Hải Phòng</t>
  </si>
  <si>
    <t>0904143389</t>
  </si>
  <si>
    <t>CG00114</t>
  </si>
  <si>
    <t>Hoàng (LNBG) 0919645730</t>
  </si>
  <si>
    <t>Lục Ngạn, Bắc Giang</t>
  </si>
  <si>
    <t>0919645730</t>
  </si>
  <si>
    <t>CG00115</t>
  </si>
  <si>
    <t>Đoàn (DTHNA) 0919421919</t>
  </si>
  <si>
    <t>Duy Tiên, Hà Nam</t>
  </si>
  <si>
    <t>0919421919</t>
  </si>
  <si>
    <t>CG00116</t>
  </si>
  <si>
    <t>Vũ Kim Đành (HQTMHD) 140617487 0984401803 0978237583</t>
  </si>
  <si>
    <t>Hồng Quang, Thanh Miện, Hải Dương</t>
  </si>
  <si>
    <t>0978237583</t>
  </si>
  <si>
    <t>CG00117</t>
  </si>
  <si>
    <t>Tài (KBHNA) 0985988659</t>
  </si>
  <si>
    <t>0985988659</t>
  </si>
  <si>
    <t>CG00118</t>
  </si>
  <si>
    <t>0913010067</t>
  </si>
  <si>
    <t>CG00119</t>
  </si>
  <si>
    <t>Đinh Xuân Phong (HKSSHN) Vũ 012923499 0985319622</t>
  </si>
  <si>
    <t>Hồng Kỳ, Sóc Sơn, Hà Nội</t>
  </si>
  <si>
    <t>0985319622</t>
  </si>
  <si>
    <t>CG00120</t>
  </si>
  <si>
    <t>Công ty TNHH TM Gỗ Kim (SSHN) Kim 0913034529 0106068456</t>
  </si>
  <si>
    <t>Hồng Kì, Sóc Sơn, Hà Nội</t>
  </si>
  <si>
    <t>0106068456</t>
  </si>
  <si>
    <t>0913034529</t>
  </si>
  <si>
    <t>CG00121</t>
  </si>
  <si>
    <t>Nguyễn Đình Sáng (TBTPHD) 030086008108 0989257305</t>
  </si>
  <si>
    <t>Thanh Bình, TP. Hải Dương, Hải Dương</t>
  </si>
  <si>
    <t>0989257305</t>
  </si>
  <si>
    <t>CG00122</t>
  </si>
  <si>
    <t>Thị Trấn Nam Sách, Hải Dương</t>
  </si>
  <si>
    <t>0904356038</t>
  </si>
  <si>
    <t>CG00123</t>
  </si>
  <si>
    <t>Lục (GBBN) 0963103805</t>
  </si>
  <si>
    <t>0963103805</t>
  </si>
  <si>
    <t>CG00124</t>
  </si>
  <si>
    <t>Phạm Danh Mậu (ADTHHD) 141288308 0975201992</t>
  </si>
  <si>
    <t>An Dương, Thanh Hà, Hải Dương</t>
  </si>
  <si>
    <t>0975201992</t>
  </si>
  <si>
    <t>CG00125</t>
  </si>
  <si>
    <t>Tư Tài (TTHN) 0912738430</t>
  </si>
  <si>
    <t>0912738430</t>
  </si>
  <si>
    <t>CG00126</t>
  </si>
  <si>
    <t>Minh (VDHN) 0978420866</t>
  </si>
  <si>
    <t>Văn Điển, Thanh Trì, Hà Nội</t>
  </si>
  <si>
    <t>0978420866</t>
  </si>
  <si>
    <t>CG00127</t>
  </si>
  <si>
    <t>Nguyễn Công Long (TLTPTB) 034069006761 0912444599 0918536863</t>
  </si>
  <si>
    <t>Trần Lãm, TP. Thái Bình, Thái Bình</t>
  </si>
  <si>
    <t>0918536863</t>
  </si>
  <si>
    <t>CG00128</t>
  </si>
  <si>
    <t>Bằng (CMHN) 0915567877</t>
  </si>
  <si>
    <t>Chương Mỹ, Hà Nội</t>
  </si>
  <si>
    <t>0915567877</t>
  </si>
  <si>
    <t>CG00129</t>
  </si>
  <si>
    <t>Hưng (VTTB) 0912387784</t>
  </si>
  <si>
    <t>Vũ Thư, Thái Bình</t>
  </si>
  <si>
    <t>0912387784</t>
  </si>
  <si>
    <t>CG00130</t>
  </si>
  <si>
    <t>0942769498</t>
  </si>
  <si>
    <t>CG00131</t>
  </si>
  <si>
    <t>Doanh Nghiệp Tư Nhân Xí Nghiệp Thượng Hải (TPHD) Hải 0913516544 0868822899</t>
  </si>
  <si>
    <t>0800245520</t>
  </si>
  <si>
    <t>0868822899</t>
  </si>
  <si>
    <t>CG00132</t>
  </si>
  <si>
    <t>Nguyễn Viết Tuấn (CGHY) 145447579 0912675214</t>
  </si>
  <si>
    <t>Đặng Cầu. Trung Nghĩa, Hưng Yên</t>
  </si>
  <si>
    <t>0912675214</t>
  </si>
  <si>
    <t>CG00133</t>
  </si>
  <si>
    <t>Bình (TPTN) 0913542722</t>
  </si>
  <si>
    <t>0913542722</t>
  </si>
  <si>
    <t>CG00134</t>
  </si>
  <si>
    <t>Trịnh Bá Tú (DNHDHN) 111579214 0904774040</t>
  </si>
  <si>
    <t>Dương Nội, Hà Đông, Hà Nội</t>
  </si>
  <si>
    <t>0904774040</t>
  </si>
  <si>
    <t>CG00135</t>
  </si>
  <si>
    <t>Trịnh Bá Tuyên (DNHDHN) Luyện 111375612 0912472672</t>
  </si>
  <si>
    <t>0912472672</t>
  </si>
  <si>
    <t>CG00136</t>
  </si>
  <si>
    <t>Trần Văn Đoài (QVATHY) 033063000452 0982306372</t>
  </si>
  <si>
    <t>Quang Vinh, Ân Thi, Hưng Yên</t>
  </si>
  <si>
    <t>0982306372</t>
  </si>
  <si>
    <t>CG00137</t>
  </si>
  <si>
    <t>0973948018</t>
  </si>
  <si>
    <t>CG00138</t>
  </si>
  <si>
    <t>Công ty TNHH Cao Cường (CLND) Phụng 0912432215 0600345126</t>
  </si>
  <si>
    <t>Nam Tiến, Nam Trực, Nam Định</t>
  </si>
  <si>
    <t>0600345126</t>
  </si>
  <si>
    <t>0912432215</t>
  </si>
  <si>
    <t>CG00139</t>
  </si>
  <si>
    <t>Tuấn Kẻ (DPHN) 0984322622</t>
  </si>
  <si>
    <t>Đan Phượng, Hà Nội</t>
  </si>
  <si>
    <t>0984322622</t>
  </si>
  <si>
    <t>CG00140</t>
  </si>
  <si>
    <t>Nguyễn Đình Cường (NTKBHNA) 162063743 0984343402</t>
  </si>
  <si>
    <t>0984343402</t>
  </si>
  <si>
    <t>CG00141</t>
  </si>
  <si>
    <t>Du (VBHP) 0904759247</t>
  </si>
  <si>
    <t>Vĩnh Bảo, Hải Phòng</t>
  </si>
  <si>
    <t>0904759247</t>
  </si>
  <si>
    <t>CG00142</t>
  </si>
  <si>
    <t>Phạm Quang Trung (KTHP) 031138467 0912119130</t>
  </si>
  <si>
    <t>Đa Phúc, Dương Kinh , Hải Phòng</t>
  </si>
  <si>
    <t>0912119130</t>
  </si>
  <si>
    <t>CG00143</t>
  </si>
  <si>
    <t>Lý Trọng Hưng (CBHP) 031058601 0948266066</t>
  </si>
  <si>
    <t>An Thái, An Lão, Hải Phòng</t>
  </si>
  <si>
    <t>0948266066</t>
  </si>
  <si>
    <t>CG00144</t>
  </si>
  <si>
    <t>Lân (BDHN) 0912274551</t>
  </si>
  <si>
    <t>Bình Đà, Thanh Oai, Hà Nội</t>
  </si>
  <si>
    <t>0912274551</t>
  </si>
  <si>
    <t>CG00145</t>
  </si>
  <si>
    <t>Vũ Văn Đạt (NGHD) 141945339 0975520148</t>
  </si>
  <si>
    <t>Quảng Nghiệp, Tứ Kỳ, Hải Dương</t>
  </si>
  <si>
    <t>0975520148</t>
  </si>
  <si>
    <t>CG00146</t>
  </si>
  <si>
    <t>Vũ Đức Luận (DADHTB) 151759431 0986383870</t>
  </si>
  <si>
    <t>Đông Á, Đông Hưng, Thái Bình</t>
  </si>
  <si>
    <t>0986383870</t>
  </si>
  <si>
    <t>CG00147</t>
  </si>
  <si>
    <t>Nguyễn Văn Quảng (YLHNA) 35070002600 0912220460</t>
  </si>
  <si>
    <t>0912220460</t>
  </si>
  <si>
    <t>CG00148</t>
  </si>
  <si>
    <t>Đinh Khắc Bình (TNXHP) 031069000330 0916492176</t>
  </si>
  <si>
    <t>Phả Lễ, Thủy Nguyên, Hải Phòng</t>
  </si>
  <si>
    <t>0916492176</t>
  </si>
  <si>
    <t>CG00150</t>
  </si>
  <si>
    <t>Lâm (VCTB) 0904173678</t>
  </si>
  <si>
    <t>Vũ Chính. Thái Bình, Thái Bình</t>
  </si>
  <si>
    <t>0904173678</t>
  </si>
  <si>
    <t>CG00151</t>
  </si>
  <si>
    <t>Tự (VCTB) 0912250901</t>
  </si>
  <si>
    <t>0912250901</t>
  </si>
  <si>
    <t>CG00152</t>
  </si>
  <si>
    <t>Trịnh Văn Mỹ (HKHLQN) 034055001383 0913264172</t>
  </si>
  <si>
    <t>Hà Khánh, Hạ Long, Quảng Ninh</t>
  </si>
  <si>
    <t>0913264172</t>
  </si>
  <si>
    <t>CG00153</t>
  </si>
  <si>
    <t>Hiển (QGHD) 0902151539</t>
  </si>
  <si>
    <t>0902151539</t>
  </si>
  <si>
    <t>CG00154</t>
  </si>
  <si>
    <t>Tú (DTHNA) 0912326600</t>
  </si>
  <si>
    <t>0912326600</t>
  </si>
  <si>
    <t>CG00155</t>
  </si>
  <si>
    <t>Hóa (HHND) 0912717559</t>
  </si>
  <si>
    <t>0912717559</t>
  </si>
  <si>
    <t>CG00156</t>
  </si>
  <si>
    <t>Thuận (DSTH) 0913313257</t>
  </si>
  <si>
    <t>Đông Sơn, Thanh Hóa</t>
  </si>
  <si>
    <t>0913313257</t>
  </si>
  <si>
    <t>CG00157</t>
  </si>
  <si>
    <t>Nguyễn Đức Hưởng (VTHNA) 861445176 0912703217</t>
  </si>
  <si>
    <t>Bình Nghĩa, Bình Lục, Hà Nam</t>
  </si>
  <si>
    <t>0912703217</t>
  </si>
  <si>
    <t>CG00158</t>
  </si>
  <si>
    <t>Vũ Văn Hưng (TTRHN) 012192210 0913532823</t>
  </si>
  <si>
    <t>Ngũ Hiệp, Thanh Trì, Hà Nội</t>
  </si>
  <si>
    <t>0913532823</t>
  </si>
  <si>
    <t>CG00159</t>
  </si>
  <si>
    <t>Khúc Văn Luận (CLHD) 140264322 0385296169 0337016460</t>
  </si>
  <si>
    <t>Sao Đỏ, Chí Linh, Hải Dương</t>
  </si>
  <si>
    <t>0337016460</t>
  </si>
  <si>
    <t>CG00161</t>
  </si>
  <si>
    <t>Năng (KSNB) 0914508169</t>
  </si>
  <si>
    <t>Kim Sơn, Ninh Bình</t>
  </si>
  <si>
    <t>0914508169</t>
  </si>
  <si>
    <t>CG00162</t>
  </si>
  <si>
    <t>Nguyễn Ngọc Lợi (QCTB) 034071003730 0915539491</t>
  </si>
  <si>
    <t>Quỳnh Côi, Quỳnh Phụ, Thái Bình</t>
  </si>
  <si>
    <t>0915539491</t>
  </si>
  <si>
    <t>CG00163</t>
  </si>
  <si>
    <t>Vũ Văn Nhương (VTTTIHN) 001061009662 0982751848</t>
  </si>
  <si>
    <t>0982751848</t>
  </si>
  <si>
    <t>CG00164</t>
  </si>
  <si>
    <t>Hào (DAHN) 0973309766</t>
  </si>
  <si>
    <t>0973309766</t>
  </si>
  <si>
    <t>CG00165</t>
  </si>
  <si>
    <t>Mạc Đình Bộ (CBHD) 142056012 0974026611 0965064444</t>
  </si>
  <si>
    <t>Đồng Lạc, Chí Linh, Hải Dương</t>
  </si>
  <si>
    <t>0974026611</t>
  </si>
  <si>
    <t>CG00166</t>
  </si>
  <si>
    <t>Trần Văn Thức (LHDAHN) 067353456 0913522980</t>
  </si>
  <si>
    <t>0913522980</t>
  </si>
  <si>
    <t>CG00167</t>
  </si>
  <si>
    <t>Tích (DTHNA) 0912220584</t>
  </si>
  <si>
    <t>0912220584</t>
  </si>
  <si>
    <t>CG00168</t>
  </si>
  <si>
    <t>Tròn (PCBN) 0915085644</t>
  </si>
  <si>
    <t>Phố Chờ, Yên Phong, Bắc Ninh</t>
  </si>
  <si>
    <t>0915085644</t>
  </si>
  <si>
    <t>CG00169</t>
  </si>
  <si>
    <t>Vang (DTHNA) 0906064577</t>
  </si>
  <si>
    <t>0906064577</t>
  </si>
  <si>
    <t>CG00170</t>
  </si>
  <si>
    <t>Vũ (TPBN) 0903276737</t>
  </si>
  <si>
    <t>TP. Bắc Ninh, Bắc Ninh</t>
  </si>
  <si>
    <t>0903276737</t>
  </si>
  <si>
    <t>CG00171</t>
  </si>
  <si>
    <t>Ngọc (HLNB) 0904321689</t>
  </si>
  <si>
    <t>Hoa Lư, Ninh Bình</t>
  </si>
  <si>
    <t>0904321689</t>
  </si>
  <si>
    <t>CG00172</t>
  </si>
  <si>
    <t>Vũ (DKHP) 0983050728</t>
  </si>
  <si>
    <t>Dương Kinh, Hải Phòng</t>
  </si>
  <si>
    <t>0983050728</t>
  </si>
  <si>
    <t>CG00173</t>
  </si>
  <si>
    <t>Tiên (XTND) 0916072408</t>
  </si>
  <si>
    <t>0916072408</t>
  </si>
  <si>
    <t>CG00174</t>
  </si>
  <si>
    <t>Công ty CP dịch vụ thương mại XNK Hồng Thắng (KMHD) Thắng 0912394497</t>
  </si>
  <si>
    <t>Hiệp An, Kinh Môn, Hải Dương</t>
  </si>
  <si>
    <t>0800305586</t>
  </si>
  <si>
    <t>0912394497</t>
  </si>
  <si>
    <t>CG00175</t>
  </si>
  <si>
    <t>Nguyễn Văn Dũng (DTDCNA) 182522087 0912474561</t>
  </si>
  <si>
    <t>0912474561</t>
  </si>
  <si>
    <t>CG00176</t>
  </si>
  <si>
    <t>Nguyên (PCBN) 0912017556</t>
  </si>
  <si>
    <t>0912017556</t>
  </si>
  <si>
    <t>CG00177</t>
  </si>
  <si>
    <t>Nguyễn Khắc Tiến (GLHD) 142543779 0904370706</t>
  </si>
  <si>
    <t>0904370706</t>
  </si>
  <si>
    <t>CG00178</t>
  </si>
  <si>
    <t>Tâm (TKHD) 0915630475</t>
  </si>
  <si>
    <t>Tứ Kỳ, Hải Dương</t>
  </si>
  <si>
    <t>0915630475</t>
  </si>
  <si>
    <t>CG00179</t>
  </si>
  <si>
    <t>0988836360</t>
  </si>
  <si>
    <t>CG00180</t>
  </si>
  <si>
    <t>Trường (VBHP) 0913540356</t>
  </si>
  <si>
    <t>0913540356</t>
  </si>
  <si>
    <t>CG00181</t>
  </si>
  <si>
    <t>Tiến (QLNA) 0918027786</t>
  </si>
  <si>
    <t>0918027786</t>
  </si>
  <si>
    <t>CG00182</t>
  </si>
  <si>
    <t>Bùi Ngọc Điệp (PNUBQN) Cẩm 022086002027 0978884866 0984403986</t>
  </si>
  <si>
    <t>Phương Nam, Uông Bí, Quảng Ninh</t>
  </si>
  <si>
    <t>0978884866</t>
  </si>
  <si>
    <t>CG00183</t>
  </si>
  <si>
    <t>Lê Văn Tâm (VDIHN) 001075015466 0948113775</t>
  </si>
  <si>
    <t>Phương Tú, Ứng Hòa, Hà Nội</t>
  </si>
  <si>
    <t>0948113775</t>
  </si>
  <si>
    <t>CG00184</t>
  </si>
  <si>
    <t>Dũng (TKHD) 0915041876</t>
  </si>
  <si>
    <t>0915041876</t>
  </si>
  <si>
    <t>CG00185</t>
  </si>
  <si>
    <t>Oánh (NGHP) 0982179286</t>
  </si>
  <si>
    <t>Niệm Nghĩa, Lê Chân, Hải Phòng</t>
  </si>
  <si>
    <t>0982179286</t>
  </si>
  <si>
    <t>CG00186</t>
  </si>
  <si>
    <t>Công ty TNHH Hòa Giang (PTBN) Hòa 0904121539</t>
  </si>
  <si>
    <t>Phật Tích, Tiên Du, Bắc Ninh</t>
  </si>
  <si>
    <t>2300304108</t>
  </si>
  <si>
    <t>0904121539</t>
  </si>
  <si>
    <t>CG00187</t>
  </si>
  <si>
    <t>Phong (NGHD) 0972957559</t>
  </si>
  <si>
    <t>Ninh Giang, Hải Dương</t>
  </si>
  <si>
    <t>0972957559</t>
  </si>
  <si>
    <t>CG00188</t>
  </si>
  <si>
    <t>Vũ Văn Hoạt (QNTKHD) 140929245 0918029348</t>
  </si>
  <si>
    <t>0918029348</t>
  </si>
  <si>
    <t>CG00190</t>
  </si>
  <si>
    <t>Minh (TPTB) 0912630795</t>
  </si>
  <si>
    <t>TP. Thái Bình, Thái Bình</t>
  </si>
  <si>
    <t>0912630795</t>
  </si>
  <si>
    <t>CG00191</t>
  </si>
  <si>
    <t>Tiến (QTHP) 0795367406</t>
  </si>
  <si>
    <t>Quán Toan, Hồng Bàng, Hải Phòng</t>
  </si>
  <si>
    <t>0795367406</t>
  </si>
  <si>
    <t>CG00192</t>
  </si>
  <si>
    <t>Đàm (CLND) 0987025971</t>
  </si>
  <si>
    <t>Cổ Lễ, Nam Định</t>
  </si>
  <si>
    <t>0987025971</t>
  </si>
  <si>
    <t>CG00193</t>
  </si>
  <si>
    <t>Ngô Đình Thục (QYQLNA) 182014120 0982473418</t>
  </si>
  <si>
    <t>Quỳnh Yên, Quỳnh Lưu, Nghệ An</t>
  </si>
  <si>
    <t>0982473418</t>
  </si>
  <si>
    <t>CG00194</t>
  </si>
  <si>
    <t>Vũ Đình Ninh (TDTNND) 162463460 0912560822 0985525822</t>
  </si>
  <si>
    <t>0985525822</t>
  </si>
  <si>
    <t>CG00195</t>
  </si>
  <si>
    <t>Thắng (THHD) 0902218764</t>
  </si>
  <si>
    <t>Thanh Hà, Hải Dương</t>
  </si>
  <si>
    <t>0902218764</t>
  </si>
  <si>
    <t>CG00196</t>
  </si>
  <si>
    <t>Long (HDHN) 0903457847</t>
  </si>
  <si>
    <t>0903457847</t>
  </si>
  <si>
    <t>CG00197</t>
  </si>
  <si>
    <t>Tám (GLHD) 0984826536</t>
  </si>
  <si>
    <t>0984826536</t>
  </si>
  <si>
    <t>CG00198</t>
  </si>
  <si>
    <t>Sông (TNHP) 0913244769</t>
  </si>
  <si>
    <t>0913244769</t>
  </si>
  <si>
    <t>CG00199</t>
  </si>
  <si>
    <t>Nguyễn Đình Tiền (GLHD) 141741636 0913256007</t>
  </si>
  <si>
    <t>Thị Trấn Gia Lộc, Gia Lộc, Hải Dương</t>
  </si>
  <si>
    <t>0913256007</t>
  </si>
  <si>
    <t>CG00200</t>
  </si>
  <si>
    <t>Hải (GLHD) 0926197340</t>
  </si>
  <si>
    <t>0926197340</t>
  </si>
  <si>
    <t>CG00201</t>
  </si>
  <si>
    <t>Nghĩa (GLHD) 0982712647</t>
  </si>
  <si>
    <t>0982712647</t>
  </si>
  <si>
    <t>CG00202</t>
  </si>
  <si>
    <t>Phạm Dương Biềng (TCVTVP) Năm 135777781 0963726088 0967811141</t>
  </si>
  <si>
    <t>Tuân Chính, Vĩnh Tường, Vĩnh Phúc</t>
  </si>
  <si>
    <t>0967811141</t>
  </si>
  <si>
    <t>CG00203</t>
  </si>
  <si>
    <t>Quảng (TPHY) 0904001315</t>
  </si>
  <si>
    <t>TP. Hưng Yên, Hưng Yên</t>
  </si>
  <si>
    <t>0904001315</t>
  </si>
  <si>
    <t>CG00204</t>
  </si>
  <si>
    <t>Phòng (COOQN) 0936981223</t>
  </si>
  <si>
    <t>Cửa Ông, Cẩm Phả, Quảng Ninh</t>
  </si>
  <si>
    <t>0936981223</t>
  </si>
  <si>
    <t>CG00205</t>
  </si>
  <si>
    <t>Sơn (TSHN) 0983430912</t>
  </si>
  <si>
    <t>Trúc Sơn, Hà Nội</t>
  </si>
  <si>
    <t>0983430912</t>
  </si>
  <si>
    <t>CG00206</t>
  </si>
  <si>
    <t>Công ty TNHH Trường Giang (QOHN) Hậu 0989891157</t>
  </si>
  <si>
    <t>Quốc Oai, Hà Nội</t>
  </si>
  <si>
    <t>0104164404</t>
  </si>
  <si>
    <t>0989891157</t>
  </si>
  <si>
    <t>CG00207</t>
  </si>
  <si>
    <t>Mẫn (NDHN) 0984647777</t>
  </si>
  <si>
    <t>0984647777</t>
  </si>
  <si>
    <t>CG00208</t>
  </si>
  <si>
    <t>Vinh (TPHY) 0915487866</t>
  </si>
  <si>
    <t>0915487866</t>
  </si>
  <si>
    <t>CG00209</t>
  </si>
  <si>
    <t>Trần Thị Thảo (NCLNHNA) 161942583 0392239610</t>
  </si>
  <si>
    <t>Nhân Chính, Lý Nhân, Hà Nam</t>
  </si>
  <si>
    <t>0392239610</t>
  </si>
  <si>
    <t>CG00210</t>
  </si>
  <si>
    <t>Mão (TXTH) 0914273176</t>
  </si>
  <si>
    <t>Thọ Xuân, Thanh Hóa</t>
  </si>
  <si>
    <t>0914273176</t>
  </si>
  <si>
    <t>CG00211</t>
  </si>
  <si>
    <t>Phạm Đình Trình (QGHD) 30062001053 0396643163</t>
  </si>
  <si>
    <t>0396643163</t>
  </si>
  <si>
    <t>CG00212</t>
  </si>
  <si>
    <t>Minh Tuấn (DHQB) 0905366816</t>
  </si>
  <si>
    <t>Đồng Hới, Quảng Bình</t>
  </si>
  <si>
    <t>0905366816</t>
  </si>
  <si>
    <t>CG00213</t>
  </si>
  <si>
    <t>Hà Văn Cường (HAKMHD) Ngần 141911293 0972880919</t>
  </si>
  <si>
    <t>0972880919</t>
  </si>
  <si>
    <t>CG00214</t>
  </si>
  <si>
    <t>Hùng (KBHNA) 0982647557</t>
  </si>
  <si>
    <t>0982647557</t>
  </si>
  <si>
    <t>CG00215</t>
  </si>
  <si>
    <t>Nguyễn Văn Bích (KBHNA) 146191636 0984345954</t>
  </si>
  <si>
    <t>Duy Hái, Duy Tiên, Hà Nam</t>
  </si>
  <si>
    <t>0984345954</t>
  </si>
  <si>
    <t>CG00216</t>
  </si>
  <si>
    <t>Nguyễn Đình Huynh (GLHD) 142662974 0986690078</t>
  </si>
  <si>
    <t>0986690078</t>
  </si>
  <si>
    <t>CG00218</t>
  </si>
  <si>
    <t>Công ty TNHH TM Phúc Trình (TPTH) Phúc 0912125919 0985904355</t>
  </si>
  <si>
    <t>Quảng Tâm, TP. Thanh Hóa, Thanh Hóa</t>
  </si>
  <si>
    <t>2801836939</t>
  </si>
  <si>
    <t>0912125919</t>
  </si>
  <si>
    <t>CG00219</t>
  </si>
  <si>
    <t>Đẩu (HDHN) 0979036699</t>
  </si>
  <si>
    <t>0979036699</t>
  </si>
  <si>
    <t>CG00220</t>
  </si>
  <si>
    <t>Trung Thủy (ALHP) 0913546725</t>
  </si>
  <si>
    <t>An Lão, Hải Phòng</t>
  </si>
  <si>
    <t>0913546725</t>
  </si>
  <si>
    <t>CG00221</t>
  </si>
  <si>
    <t>Phong (SSHN) 0988160928</t>
  </si>
  <si>
    <t>Sóc Sơn, Hà Nội</t>
  </si>
  <si>
    <t>0988160928</t>
  </si>
  <si>
    <t>CG00222</t>
  </si>
  <si>
    <t>Hưng (YMHY) 0987607331 0839609999</t>
  </si>
  <si>
    <t>Yên Mỹ, Hưng Yên</t>
  </si>
  <si>
    <t>0839609999</t>
  </si>
  <si>
    <t>CG00223</t>
  </si>
  <si>
    <t>Hà (THHD) 0987506169</t>
  </si>
  <si>
    <t>0987506169</t>
  </si>
  <si>
    <t>CG00224</t>
  </si>
  <si>
    <t>Vui (TGTH) 0982700630</t>
  </si>
  <si>
    <t>Tĩnh Gia, Thanh Hóa</t>
  </si>
  <si>
    <t>0982700630</t>
  </si>
  <si>
    <t>CG00225</t>
  </si>
  <si>
    <t>Tùng (HDHN) 0975752466</t>
  </si>
  <si>
    <t>0975752466</t>
  </si>
  <si>
    <t>CG00226</t>
  </si>
  <si>
    <t>Biên (KMHD) 0368223866</t>
  </si>
  <si>
    <t>Kinh Môn, Hải Dương</t>
  </si>
  <si>
    <t>0368223866</t>
  </si>
  <si>
    <t>CG00227</t>
  </si>
  <si>
    <t xml:space="preserve">Hoàng Đức Dũng (LTDPHN) Dũng Duyên 1092020539 0913057247 </t>
  </si>
  <si>
    <t>Liên Trung, Đan Phượng, Hà Nội</t>
  </si>
  <si>
    <t>0913057247</t>
  </si>
  <si>
    <t>CG00228</t>
  </si>
  <si>
    <t>Phú (SSHN) 0988772466</t>
  </si>
  <si>
    <t>0988772466</t>
  </si>
  <si>
    <t>CG00229</t>
  </si>
  <si>
    <t>Nguyễn Thị Táu (DCGBBN) 125615826 0979756591</t>
  </si>
  <si>
    <t>Đông Cứu, Gia Bình, Bắc Ninh</t>
  </si>
  <si>
    <t>0979756591</t>
  </si>
  <si>
    <t>CG00230</t>
  </si>
  <si>
    <t>Trần Đình Quý (QNTKHD) 141369398 0903263079</t>
  </si>
  <si>
    <t>0903263079</t>
  </si>
  <si>
    <t>CG00231</t>
  </si>
  <si>
    <t>Biên (TDNB) 0913595905</t>
  </si>
  <si>
    <t>Tam Điệp, Ninh Bình</t>
  </si>
  <si>
    <t>0913595905</t>
  </si>
  <si>
    <t>CG00232</t>
  </si>
  <si>
    <t>Trọng (TMHD) 0988561770</t>
  </si>
  <si>
    <t>0988561770</t>
  </si>
  <si>
    <t>CG00233</t>
  </si>
  <si>
    <t>Hòa (TTBN) 0983037645</t>
  </si>
  <si>
    <t>0983037645</t>
  </si>
  <si>
    <t>CG00234</t>
  </si>
  <si>
    <t>Bản (TPND) 0912284193</t>
  </si>
  <si>
    <t>0912284193</t>
  </si>
  <si>
    <t>CG00235</t>
  </si>
  <si>
    <t>Nguyễn Đăng Tuệ (NSHD) 142538769 0788286807 0932235415</t>
  </si>
  <si>
    <t>Nam Sách, Hải Dương</t>
  </si>
  <si>
    <t>0788286807</t>
  </si>
  <si>
    <t>CG00236</t>
  </si>
  <si>
    <t>Toản (HDHN) 0986633399</t>
  </si>
  <si>
    <t>0986633399</t>
  </si>
  <si>
    <t>CG00237</t>
  </si>
  <si>
    <t>Quý (TPTN) 0968527688</t>
  </si>
  <si>
    <t>0968527688</t>
  </si>
  <si>
    <t>CG00238</t>
  </si>
  <si>
    <t>Hùng (VTVP) 0989535839</t>
  </si>
  <si>
    <t>0989535839</t>
  </si>
  <si>
    <t>CG00239</t>
  </si>
  <si>
    <t>Nguyễn Duy Tình (ABQPTB) Kết 034083003966 0976262644</t>
  </si>
  <si>
    <t>An Bái, Quỳnh Phụ, Thái Bình</t>
  </si>
  <si>
    <t>0976262644</t>
  </si>
  <si>
    <t>CG00240</t>
  </si>
  <si>
    <t>Tuấn (DDTB) 0985797343</t>
  </si>
  <si>
    <t>Diêm Điền, Thái Thụy, Thái Bình</t>
  </si>
  <si>
    <t>0985797343</t>
  </si>
  <si>
    <t>CG00241</t>
  </si>
  <si>
    <t>Huân (ALHP) 0978608172</t>
  </si>
  <si>
    <t>0978608172</t>
  </si>
  <si>
    <t>CG00242</t>
  </si>
  <si>
    <t>Trọng (TSBN) 0913260005</t>
  </si>
  <si>
    <t>0913260005</t>
  </si>
  <si>
    <t>CG00244</t>
  </si>
  <si>
    <t>Doanh nghiệp tư nhân Tuấn Quang (LCHD) Quang 0904112365</t>
  </si>
  <si>
    <t>Cẩm Phú, Cẩm Giàng, Hải Dương</t>
  </si>
  <si>
    <t>0800294503</t>
  </si>
  <si>
    <t>0904112365</t>
  </si>
  <si>
    <t>CG00245</t>
  </si>
  <si>
    <t>Công ty Cổ Phần Duy Khánh (TNHP) Duy 0904381393 0200561891</t>
  </si>
  <si>
    <t>Cao Nhân, Thủy Nguyên, Hải Phòng</t>
  </si>
  <si>
    <t>0200561891</t>
  </si>
  <si>
    <t>0904381393</t>
  </si>
  <si>
    <t>CG00246</t>
  </si>
  <si>
    <t>Nguyễn Văn Định (TPMCQN) 030066005504 0904124168</t>
  </si>
  <si>
    <t>Trần Phú, Móng Cái, Quảng Ninh</t>
  </si>
  <si>
    <t>0904124168</t>
  </si>
  <si>
    <t>CG00247</t>
  </si>
  <si>
    <t>Hoàng Văn Dung (HLHHTH) 171324873 0974270504 0912640627</t>
  </si>
  <si>
    <t>0912640627</t>
  </si>
  <si>
    <t>CG00248</t>
  </si>
  <si>
    <t>Hoàng Kim Khánh (NTNTND) 162168048 0912443925</t>
  </si>
  <si>
    <t>0912443925</t>
  </si>
  <si>
    <t>CG00249</t>
  </si>
  <si>
    <t>Nguyễn Xuân Chánh (CLND) 036064003668 0913391614</t>
  </si>
  <si>
    <t>Cổ Lễ,Trực Ninh, Nam Định</t>
  </si>
  <si>
    <t>0913391614</t>
  </si>
  <si>
    <t>CG00250</t>
  </si>
  <si>
    <t>Hùng (KSHD) 0912046569</t>
  </si>
  <si>
    <t>Kẻ Sặt, Bình Giang, Hải Dương</t>
  </si>
  <si>
    <t>0912046569</t>
  </si>
  <si>
    <t>CG00251</t>
  </si>
  <si>
    <t>Công (QLNA) 0383511787</t>
  </si>
  <si>
    <t>0383511787</t>
  </si>
  <si>
    <t>CG00252</t>
  </si>
  <si>
    <t>Côi (TMHD) 0986927388</t>
  </si>
  <si>
    <t>0986927388</t>
  </si>
  <si>
    <t>CG00253</t>
  </si>
  <si>
    <t>Công ty CP Đoàn Long Giang (TNND) Giang 0903432377</t>
  </si>
  <si>
    <t>Cổ Lễ, Trực Ninh, Nam Định</t>
  </si>
  <si>
    <t>0601075546</t>
  </si>
  <si>
    <t>0903432377</t>
  </si>
  <si>
    <t>CG00254</t>
  </si>
  <si>
    <t>Đào (BHBG) 0913584576</t>
  </si>
  <si>
    <t>Bố Hạ, Bắc Giang</t>
  </si>
  <si>
    <t>0913584576</t>
  </si>
  <si>
    <t>CG00255</t>
  </si>
  <si>
    <t>Thủy (TPTN) 0916621637</t>
  </si>
  <si>
    <t>0916621637</t>
  </si>
  <si>
    <t>CG00256</t>
  </si>
  <si>
    <t>Lê Văn Minh (TTTHHD) 141324306 0973154420</t>
  </si>
  <si>
    <t>Tiền Tiến, Thanh Hà, Hải Dương</t>
  </si>
  <si>
    <t>0973154420</t>
  </si>
  <si>
    <t>CG00257</t>
  </si>
  <si>
    <t>Hồ Ngọc Doãn (QKQXTH) 175011073 0984632876</t>
  </si>
  <si>
    <t>Quảng Khê, Quảng Xương, Thanh Hóa</t>
  </si>
  <si>
    <t>0984632876</t>
  </si>
  <si>
    <t>CG00258</t>
  </si>
  <si>
    <t>Công ty CP Đoàn Long (CLND) Đăng 0913047165</t>
  </si>
  <si>
    <t>Cổ Lễ, Trực Ninh , Nam Định</t>
  </si>
  <si>
    <t>0600339299</t>
  </si>
  <si>
    <t>0913047165</t>
  </si>
  <si>
    <t>CG00259</t>
  </si>
  <si>
    <t>Hanh (TSHN) 0979940504</t>
  </si>
  <si>
    <t>0979940504</t>
  </si>
  <si>
    <t>CG00260</t>
  </si>
  <si>
    <t>Ninh Văn Dương (NHDSHP) 017172322 0983033281</t>
  </si>
  <si>
    <t>Ngọc Hải, Đồ Sơn, Hải Phòng</t>
  </si>
  <si>
    <t>0983033281</t>
  </si>
  <si>
    <t>CG00261</t>
  </si>
  <si>
    <t>Thiệp (QVBN) 0968225908</t>
  </si>
  <si>
    <t>Quế Võ, Bắc Ninh</t>
  </si>
  <si>
    <t>0968225908</t>
  </si>
  <si>
    <t>CG00262</t>
  </si>
  <si>
    <t>Vũ Đình Hữu (CLND) 036070007104 0913347079 0966393205</t>
  </si>
  <si>
    <t>0966393205</t>
  </si>
  <si>
    <t>CG00263</t>
  </si>
  <si>
    <t>Phạm Duy Huỳnh (PXTPTN) 090774117 0913595567</t>
  </si>
  <si>
    <t>Phú Xá, TP. Thái Nguyên</t>
  </si>
  <si>
    <t>0913595567</t>
  </si>
  <si>
    <t>CG00264</t>
  </si>
  <si>
    <t>Quang (PCBN) 0979921663</t>
  </si>
  <si>
    <t>0979921663</t>
  </si>
  <si>
    <t>CG00265</t>
  </si>
  <si>
    <t>Thơ (CLND) 0982123270 0943101963</t>
  </si>
  <si>
    <t>0943101963</t>
  </si>
  <si>
    <t>CG00266</t>
  </si>
  <si>
    <t>Vũ (HDHN) 0913763371</t>
  </si>
  <si>
    <t>Hoài Đức, Hà Nội</t>
  </si>
  <si>
    <t>0913763371</t>
  </si>
  <si>
    <t>CG00267</t>
  </si>
  <si>
    <t>Bảy (TSHN) 0969683338</t>
  </si>
  <si>
    <t>0969683338</t>
  </si>
  <si>
    <t>CG00268</t>
  </si>
  <si>
    <t>Lịch (MKQN) 0913080679</t>
  </si>
  <si>
    <t>Mạo Khê, Đông Triều, Quảng Ninh</t>
  </si>
  <si>
    <t>0913080679</t>
  </si>
  <si>
    <t>CG00269</t>
  </si>
  <si>
    <t>Thắng Quang (VTVP) 0915902930</t>
  </si>
  <si>
    <t>0915902930</t>
  </si>
  <si>
    <t>CG00270</t>
  </si>
  <si>
    <t>Ngô Văn Chung (YLVTVP) 135618913 0974078488</t>
  </si>
  <si>
    <t>Yên Lập, Vĩnh Tường, Vĩnh Phúc</t>
  </si>
  <si>
    <t>0974078488</t>
  </si>
  <si>
    <t>CG00271</t>
  </si>
  <si>
    <t>May (TPTB) 0912120204</t>
  </si>
  <si>
    <t>0912120204</t>
  </si>
  <si>
    <t>CG00272</t>
  </si>
  <si>
    <t>Nam (TOHN) 0913070877</t>
  </si>
  <si>
    <t>Thanh Oai, Hà Nội</t>
  </si>
  <si>
    <t>0913070877</t>
  </si>
  <si>
    <t>CG00273</t>
  </si>
  <si>
    <t>Lơn (DDTB) 0915014717</t>
  </si>
  <si>
    <t>0915014717</t>
  </si>
  <si>
    <t>CG00274</t>
  </si>
  <si>
    <t>Bình (TPTH) 0963187591</t>
  </si>
  <si>
    <t>0963187591</t>
  </si>
  <si>
    <t>CG00275</t>
  </si>
  <si>
    <t>Quyền (PCBN) 0382731664</t>
  </si>
  <si>
    <t>0382731664</t>
  </si>
  <si>
    <t>CG00276</t>
  </si>
  <si>
    <t>Phạm Văn Nông (VYBG) 12204700 0982563853</t>
  </si>
  <si>
    <t>Đông Lỗ, Hiệp Hòa, Bắc Giang</t>
  </si>
  <si>
    <t>0982563853</t>
  </si>
  <si>
    <t>CG00277</t>
  </si>
  <si>
    <t>Đội (HLNB) 0915366494</t>
  </si>
  <si>
    <t>0915366494</t>
  </si>
  <si>
    <t>CG00278</t>
  </si>
  <si>
    <t>Nghị (DHTB) 0986809649</t>
  </si>
  <si>
    <t>0986809649</t>
  </si>
  <si>
    <t>CG00279</t>
  </si>
  <si>
    <t>Trung (DLNA) 0915237119</t>
  </si>
  <si>
    <t>Đô Lương, Nghệ An</t>
  </si>
  <si>
    <t>0915237119</t>
  </si>
  <si>
    <t>CG00280</t>
  </si>
  <si>
    <t>Vũ Đình Minh (CLND) 0360062002593 0915463770 0384481670</t>
  </si>
  <si>
    <t>0384481670</t>
  </si>
  <si>
    <t>CG00281</t>
  </si>
  <si>
    <t>Chương (NTLHN) 0915806682</t>
  </si>
  <si>
    <t>Nam Từ Liêm. Hà Nội</t>
  </si>
  <si>
    <t>0915806682</t>
  </si>
  <si>
    <t>CG00282</t>
  </si>
  <si>
    <t>Cường (NTND) 0946946222</t>
  </si>
  <si>
    <t>Nam Trực, Nam Định</t>
  </si>
  <si>
    <t>0946946222</t>
  </si>
  <si>
    <t>CG00283</t>
  </si>
  <si>
    <t>Bình Lâm (LCHP) 0904265595</t>
  </si>
  <si>
    <t>Hồ Sen, Lê Chân, Hải Phòng</t>
  </si>
  <si>
    <t>0904265595</t>
  </si>
  <si>
    <t>CG00284</t>
  </si>
  <si>
    <t>Bình (HAHP) 0913368023</t>
  </si>
  <si>
    <t>Hạ Lũng, Hải An, Hải Phòng</t>
  </si>
  <si>
    <t>0913368023</t>
  </si>
  <si>
    <t>CG00285</t>
  </si>
  <si>
    <t>Tú (CLND) 0913344540</t>
  </si>
  <si>
    <t>0913344540</t>
  </si>
  <si>
    <t>CG00286</t>
  </si>
  <si>
    <t>Huynh (HLQN) 0912457541</t>
  </si>
  <si>
    <t>Hạ Long, Quảng Ninh</t>
  </si>
  <si>
    <t>0912457541</t>
  </si>
  <si>
    <t>CG00287</t>
  </si>
  <si>
    <t>Vũ Văn Quý (VBHP) 031090002118 0984223888</t>
  </si>
  <si>
    <t>Kiến Thiết, Tiên Lãng, Hải Phòng</t>
  </si>
  <si>
    <t>0984223888</t>
  </si>
  <si>
    <t>CG00288</t>
  </si>
  <si>
    <t>Nguyễn Xuân Hào (BSNTTH) 172998926 0984467343</t>
  </si>
  <si>
    <t>Bến Sung, Như Thanh, Thanh Hóa</t>
  </si>
  <si>
    <t>0984467343</t>
  </si>
  <si>
    <t>CG00289</t>
  </si>
  <si>
    <t>Vinh Loan (TSBN) 0913259587</t>
  </si>
  <si>
    <t>0913259587</t>
  </si>
  <si>
    <t>CG00290</t>
  </si>
  <si>
    <t>Quyết (TLVP) 0913309359</t>
  </si>
  <si>
    <t>Thanh Lãng, Vĩnh Phúc</t>
  </si>
  <si>
    <t>0913309359</t>
  </si>
  <si>
    <t>CG00291</t>
  </si>
  <si>
    <t>Vụ (HDHN) 0934523669</t>
  </si>
  <si>
    <t>0934523669</t>
  </si>
  <si>
    <t>CG00292</t>
  </si>
  <si>
    <t>Hoạt (QGHD) 0332513123</t>
  </si>
  <si>
    <t>0332513123</t>
  </si>
  <si>
    <t>CG00293</t>
  </si>
  <si>
    <t>Hợi (NDNA) 0987485496 0773302728</t>
  </si>
  <si>
    <t>Nam Đàn, Nghệ An</t>
  </si>
  <si>
    <t>0773302728</t>
  </si>
  <si>
    <t>CG00294</t>
  </si>
  <si>
    <t>Hoãn (GBBN) 0979464128</t>
  </si>
  <si>
    <t>0979464128</t>
  </si>
  <si>
    <t>CG00295</t>
  </si>
  <si>
    <t>Dư Hàng Kênh, Lê Chân, Hải Phòng</t>
  </si>
  <si>
    <t>0983615759</t>
  </si>
  <si>
    <t>CG00296</t>
  </si>
  <si>
    <t>Thặng (QPTB) 0912047030</t>
  </si>
  <si>
    <t>Quỳnh Phụ, Thái Bình</t>
  </si>
  <si>
    <t>0912047030</t>
  </si>
  <si>
    <t>CG00297</t>
  </si>
  <si>
    <t>Đỗ Văn Doãn (HDDKHP) 031635233 0904632764</t>
  </si>
  <si>
    <t>Hưng Đạo, Dương Kinh, Hải Phòng</t>
  </si>
  <si>
    <t>0904632764</t>
  </si>
  <si>
    <t>CG00298</t>
  </si>
  <si>
    <t>Thái Văn Phúc (TTPYTN) 090466485 0972172774</t>
  </si>
  <si>
    <t>Trung Thành, Phổ Yên, Thái Nguyên</t>
  </si>
  <si>
    <t>0972172774</t>
  </si>
  <si>
    <t>CG00299</t>
  </si>
  <si>
    <t>Công ty TNHH thương mại và dịch vụ Xuân Phúc Việt Nam (NSTH) Dũng 0975211249 0961079368</t>
  </si>
  <si>
    <t>Khu Ba Đình 1, Nga Sơn, Thanh Hóa</t>
  </si>
  <si>
    <t>2802491684</t>
  </si>
  <si>
    <t>0975211249</t>
  </si>
  <si>
    <t>CG00300</t>
  </si>
  <si>
    <t>Nguyễn Văn Sản (TCVTVP) 122156381 0977284616</t>
  </si>
  <si>
    <t>0977284616</t>
  </si>
  <si>
    <t>CG00301</t>
  </si>
  <si>
    <t>Thu (VBHP) 0912051195</t>
  </si>
  <si>
    <t>0912051195</t>
  </si>
  <si>
    <t>CG00302</t>
  </si>
  <si>
    <t>Lý (VBHP) 0914143168</t>
  </si>
  <si>
    <t>0914143168</t>
  </si>
  <si>
    <t>CG00303</t>
  </si>
  <si>
    <t>Ngô Duy Đức (VBHP) 031083007848 0934998385</t>
  </si>
  <si>
    <t>Tân Tiến, An Dương, Hải Phòng</t>
  </si>
  <si>
    <t>0934998385</t>
  </si>
  <si>
    <t>CG00304</t>
  </si>
  <si>
    <t>Phật Tích, Bắc Ninh</t>
  </si>
  <si>
    <t>0838689179</t>
  </si>
  <si>
    <t>CG00305</t>
  </si>
  <si>
    <t>Trần Văn Sàn (PLCLHD) 140260009 0902158926</t>
  </si>
  <si>
    <t>Phả Lại, Chí Linh, Hải Dương</t>
  </si>
  <si>
    <t>0902158926</t>
  </si>
  <si>
    <t>CG00306</t>
  </si>
  <si>
    <t>Hải (DAHN) 0913216916</t>
  </si>
  <si>
    <t>0913216916</t>
  </si>
  <si>
    <t>CG00307</t>
  </si>
  <si>
    <t>Ngọc (TSBN) 0913511258</t>
  </si>
  <si>
    <t>0913511258</t>
  </si>
  <si>
    <t>CG00308</t>
  </si>
  <si>
    <t>Tuấn (TSBN) 0943667366</t>
  </si>
  <si>
    <t>0943667366</t>
  </si>
  <si>
    <t>CG00309</t>
  </si>
  <si>
    <t>Hậu (TSBN) 0915278972</t>
  </si>
  <si>
    <t>0915278972</t>
  </si>
  <si>
    <t>CG00310</t>
  </si>
  <si>
    <t>Mạc Văn Nguyên (TQNSHD) 142688973 0357686199 0779334285</t>
  </si>
  <si>
    <t>Thanh Quang, Nam Sách, Hải Dương</t>
  </si>
  <si>
    <t>0357686199</t>
  </si>
  <si>
    <t>CG00311</t>
  </si>
  <si>
    <t>Hoàng Văn Khoa (DTTLHP) 031071001618 0904575383</t>
  </si>
  <si>
    <t>Đại Thắng, Tiên Lãng, Hải Phòng</t>
  </si>
  <si>
    <t>0904575383</t>
  </si>
  <si>
    <t>CG00312</t>
  </si>
  <si>
    <t>Cao Thị Huyền  (CBCPQN) Nguyệt 181093179 0936056735</t>
  </si>
  <si>
    <t>Cẩm Bình, Cẩm Phả, Quảng Ninh</t>
  </si>
  <si>
    <t>0936056735</t>
  </si>
  <si>
    <t>CG00313</t>
  </si>
  <si>
    <t>Hùng (YLHNA) 0908056999</t>
  </si>
  <si>
    <t>0908056999</t>
  </si>
  <si>
    <t>CG00314</t>
  </si>
  <si>
    <t>Công Ty TNHH Hà Trung (GLHN) Mạnh 0902225527</t>
  </si>
  <si>
    <t>Kim Sơn, Gia Lâm, Hà Nội</t>
  </si>
  <si>
    <t>0101007971</t>
  </si>
  <si>
    <t>0902225527</t>
  </si>
  <si>
    <t>CG00315</t>
  </si>
  <si>
    <t>Long Thành (HDHN) 0904001214</t>
  </si>
  <si>
    <t>0904001214</t>
  </si>
  <si>
    <t>CG00316</t>
  </si>
  <si>
    <t>Hợp (HHTB) 0913015446</t>
  </si>
  <si>
    <t>0913015446</t>
  </si>
  <si>
    <t>CG00317</t>
  </si>
  <si>
    <t>Hùng (HDHN) 0904579341</t>
  </si>
  <si>
    <t>0904579341</t>
  </si>
  <si>
    <t>CG00318</t>
  </si>
  <si>
    <t>Thành (DCNA) 0912077603</t>
  </si>
  <si>
    <t>Diễn Châu, Nghệ An</t>
  </si>
  <si>
    <t>0912077603</t>
  </si>
  <si>
    <t>CG00319</t>
  </si>
  <si>
    <t>Nguyễn Hồng Phong (DDTTTB) 034058004688 0943390162</t>
  </si>
  <si>
    <t>0943390162</t>
  </si>
  <si>
    <t>CG00320</t>
  </si>
  <si>
    <t>Hoài (HLQN) 0904060258</t>
  </si>
  <si>
    <t>0904060258</t>
  </si>
  <si>
    <t>CG00321</t>
  </si>
  <si>
    <t>Lê Văn Chung (TTTHHD) 141214466 0913350502</t>
  </si>
  <si>
    <t>0913350502</t>
  </si>
  <si>
    <t>CG00322</t>
  </si>
  <si>
    <t>Phạm Thị Trang (KTHP) 031174005141 0904435298</t>
  </si>
  <si>
    <t>Tú Sơn, Kiến Thụy, Hải Phòng</t>
  </si>
  <si>
    <t>0904435298</t>
  </si>
  <si>
    <t>CG00323</t>
  </si>
  <si>
    <t>Cường (HDHN) 0976257974</t>
  </si>
  <si>
    <t>0976257974</t>
  </si>
  <si>
    <t>CG00324</t>
  </si>
  <si>
    <t>Huyến (NSHD) 0368155695</t>
  </si>
  <si>
    <t>0368155695</t>
  </si>
  <si>
    <t>CG00325</t>
  </si>
  <si>
    <t>Chờ (VTVP) 0975598775</t>
  </si>
  <si>
    <t>0975598775</t>
  </si>
  <si>
    <t>CG00326</t>
  </si>
  <si>
    <t>Hùng (VYVP) 0913284456</t>
  </si>
  <si>
    <t>Vĩnh Yên, Vĩnh Phúc</t>
  </si>
  <si>
    <t>0913284456</t>
  </si>
  <si>
    <t>CG00328</t>
  </si>
  <si>
    <t>Thành (QLNA) 0986561207</t>
  </si>
  <si>
    <t>0986561207</t>
  </si>
  <si>
    <t>CG00329</t>
  </si>
  <si>
    <t>Đinh Văn Việt (VNHP) 030829842 0913538513</t>
  </si>
  <si>
    <t>Toàn Thắng, Tiên Lãng, Hải Phòng</t>
  </si>
  <si>
    <t>0913538513</t>
  </si>
  <si>
    <t>CG00330</t>
  </si>
  <si>
    <t>Phi (TOHN) 0982694766</t>
  </si>
  <si>
    <t>0982694766</t>
  </si>
  <si>
    <t>CG00331</t>
  </si>
  <si>
    <t>Mai (DCNA) 0986278088</t>
  </si>
  <si>
    <t>0986278088</t>
  </si>
  <si>
    <t>CG00332</t>
  </si>
  <si>
    <t>Nguyễn Văn Toại (LTKSNB) 164093838 0914640216</t>
  </si>
  <si>
    <t>Lai Thành, Kim Sơn, Ninh Bình</t>
  </si>
  <si>
    <t>0914640216</t>
  </si>
  <si>
    <t>CG00333</t>
  </si>
  <si>
    <t>Hoàng Văn Tâm (KSNB) 160167661 0943058866 0912279868</t>
  </si>
  <si>
    <t>Phát Diệm, Kim Sơn, Ninh Bình</t>
  </si>
  <si>
    <t>0912279868</t>
  </si>
  <si>
    <t>CG00334</t>
  </si>
  <si>
    <t>Huê (YDTH) 0919573499</t>
  </si>
  <si>
    <t>Yên Định, Thanh Hóa</t>
  </si>
  <si>
    <t>0919573499</t>
  </si>
  <si>
    <t>CG00335</t>
  </si>
  <si>
    <t>Công ty TNHH XNK Đồng Hiệp</t>
  </si>
  <si>
    <t>Thạch Bàn, Long Biên, Hà Nội</t>
  </si>
  <si>
    <t>0101206198</t>
  </si>
  <si>
    <t>0913091265</t>
  </si>
  <si>
    <t>CG00336</t>
  </si>
  <si>
    <t>Hiệp (BGHD) 0904215366</t>
  </si>
  <si>
    <t>Bình Giang, Hải Dương</t>
  </si>
  <si>
    <t>0904215366</t>
  </si>
  <si>
    <t>CG00337</t>
  </si>
  <si>
    <t>Giang (CLHT) 0387057578</t>
  </si>
  <si>
    <t>0387057578</t>
  </si>
  <si>
    <t>CG00338</t>
  </si>
  <si>
    <t>Công ty TNHH XNK và Thương mại Phúc Tâm (HDHN) 0913074797</t>
  </si>
  <si>
    <t xml:space="preserve">Thôn An Hạ, Xã An Thượng, Huyện Hoài Đức, Hà Nội </t>
  </si>
  <si>
    <t>0106860679</t>
  </si>
  <si>
    <t>0913074797</t>
  </si>
  <si>
    <t>CG00339</t>
  </si>
  <si>
    <t>Công ty TNHH Dịch Vụ Sản Xuất Đức Dũng (TSBN) 0912312344 2300932053</t>
  </si>
  <si>
    <t>Đồng Nguyên, Từ Sơn, Bắc Ninh</t>
  </si>
  <si>
    <t>2300932053</t>
  </si>
  <si>
    <t>0912312344</t>
  </si>
  <si>
    <t>CG00340</t>
  </si>
  <si>
    <t>Hoàng Xuân Tường (VAVBHP) 031072004441 0975395693</t>
  </si>
  <si>
    <t>0975395693</t>
  </si>
  <si>
    <t>CG00341</t>
  </si>
  <si>
    <t>0915974134</t>
  </si>
  <si>
    <t>CG00342</t>
  </si>
  <si>
    <t>Dũng (QGHD) 0988116829</t>
  </si>
  <si>
    <t>0988116829</t>
  </si>
  <si>
    <t>CG00343</t>
  </si>
  <si>
    <t>Phùng Thế Văn (QTTKHD) 142092069 0989526386</t>
  </si>
  <si>
    <t>Quang Trung, Tứ Kỳ, Hải Dương</t>
  </si>
  <si>
    <t>0989526386</t>
  </si>
  <si>
    <t>CG00344</t>
  </si>
  <si>
    <t>Việt (DLNA) 0973111102</t>
  </si>
  <si>
    <t>0973111102</t>
  </si>
  <si>
    <t>CG00345</t>
  </si>
  <si>
    <t>Mai Xuân Hải (YSDLNA) 182249767 0972899777 0977760616</t>
  </si>
  <si>
    <t>Yên Sơn, Đô Lương, Nghệ An</t>
  </si>
  <si>
    <t>0972899777</t>
  </si>
  <si>
    <t>CG00346</t>
  </si>
  <si>
    <t>Công (DLNA) 0983871175</t>
  </si>
  <si>
    <t>0983871175</t>
  </si>
  <si>
    <t>CG00347</t>
  </si>
  <si>
    <t>Phạm Văn Dũng (TGTH) 172167341 0915040509</t>
  </si>
  <si>
    <t>0915040509</t>
  </si>
  <si>
    <t>CG00348</t>
  </si>
  <si>
    <t>Tâm (DLNA) 0912077918</t>
  </si>
  <si>
    <t>0912077918</t>
  </si>
  <si>
    <t>CG00350</t>
  </si>
  <si>
    <t>Công ty TNHH Cúc Phương (TPND) Lịch 0912319367</t>
  </si>
  <si>
    <t>0600336273</t>
  </si>
  <si>
    <t>0912319367</t>
  </si>
  <si>
    <t>CG00351</t>
  </si>
  <si>
    <t>Hoàn (NHND) 0915673129</t>
  </si>
  <si>
    <t>Nghĩa Hưng, Nam Định</t>
  </si>
  <si>
    <t>0915673129</t>
  </si>
  <si>
    <t>CG00352</t>
  </si>
  <si>
    <t>Nhiên (NHND) 0912762804</t>
  </si>
  <si>
    <t>0912762804</t>
  </si>
  <si>
    <t>CG00353</t>
  </si>
  <si>
    <t>Vinh Thái (TPHCM) 0913418353</t>
  </si>
  <si>
    <t>TP. Hồ Chí Minh</t>
  </si>
  <si>
    <t>0913418353</t>
  </si>
  <si>
    <t>CG00355</t>
  </si>
  <si>
    <t>Tân An (TXHN) 0902207319</t>
  </si>
  <si>
    <t>Thanh Xuân, Hà Nội</t>
  </si>
  <si>
    <t>0902207319</t>
  </si>
  <si>
    <t>CG00356</t>
  </si>
  <si>
    <t>Chủ lẻ gỗ (CLG)</t>
  </si>
  <si>
    <t>Chủ lẻ gỗ</t>
  </si>
  <si>
    <t>CG00357</t>
  </si>
  <si>
    <t>DAn Sơn Việt Nam (DPHN) 0904688166</t>
  </si>
  <si>
    <t>0904688166</t>
  </si>
  <si>
    <t>CG00358</t>
  </si>
  <si>
    <t>Bắc (VTVP) 0912888665</t>
  </si>
  <si>
    <t>0912888665</t>
  </si>
  <si>
    <t>CG00359</t>
  </si>
  <si>
    <t>Ban (VTVP) 0979366459</t>
  </si>
  <si>
    <t>0979366459</t>
  </si>
  <si>
    <t>CG00360</t>
  </si>
  <si>
    <t xml:space="preserve">Công ty TNHH Dịch Vụ ĐT và TM Nhật Nam (SSHN) Bằng 0392892395 0108306836 </t>
  </si>
  <si>
    <t>Tân Hưng, Sóc Sơn, Hà Nội</t>
  </si>
  <si>
    <t>0108306836</t>
  </si>
  <si>
    <t>0392892395</t>
  </si>
  <si>
    <t>CG00361</t>
  </si>
  <si>
    <t>Bằng (TOHN) 0915022025</t>
  </si>
  <si>
    <t>0915022025</t>
  </si>
  <si>
    <t>CG00362</t>
  </si>
  <si>
    <t>Bằng (VKBG) 0903215727</t>
  </si>
  <si>
    <t>0903215727</t>
  </si>
  <si>
    <t>CG00363</t>
  </si>
  <si>
    <t>Bảo (QOHN) 0904448672</t>
  </si>
  <si>
    <t>0904448672</t>
  </si>
  <si>
    <t>CG00364</t>
  </si>
  <si>
    <t>Biên (PTBN) 0972018837</t>
  </si>
  <si>
    <t>0972018837</t>
  </si>
  <si>
    <t>CG00365</t>
  </si>
  <si>
    <t>Bình  (PTHD) 0915513368</t>
  </si>
  <si>
    <t>Phú Thái, Hải Dương</t>
  </si>
  <si>
    <t>0915513368</t>
  </si>
  <si>
    <t>CG00366</t>
  </si>
  <si>
    <t>Công ty sản xuất và thương mại Bôn Bình (TKHD) Bình 0944029095</t>
  </si>
  <si>
    <t>Quang Phục, Tứ Kỳ, Hải Dương</t>
  </si>
  <si>
    <t>0801181968</t>
  </si>
  <si>
    <t>0944029095</t>
  </si>
  <si>
    <t>CG00367</t>
  </si>
  <si>
    <t>Cảnh (DBHP) 0975859868</t>
  </si>
  <si>
    <t>Đại Bản, An Dương, Hải Phòng</t>
  </si>
  <si>
    <t>0975859868</t>
  </si>
  <si>
    <t>CG00368</t>
  </si>
  <si>
    <t>Cảnh (NDNA) 0912291861</t>
  </si>
  <si>
    <t>0912291861</t>
  </si>
  <si>
    <t>CG00369</t>
  </si>
  <si>
    <t>Nguyễn Công Cầu (HTMATHY) 145776640 0982342637</t>
  </si>
  <si>
    <t>Hồ Tùng Mậu, Ân Thi, Hưng Yên</t>
  </si>
  <si>
    <t>0982342637</t>
  </si>
  <si>
    <t>CG00370</t>
  </si>
  <si>
    <t>Châu (MDHP) 0918931266</t>
  </si>
  <si>
    <t>Mỹ Đoàn, Hải Phòng</t>
  </si>
  <si>
    <t>0918931266</t>
  </si>
  <si>
    <t>CG00371</t>
  </si>
  <si>
    <t>Châu (HDHN) 0903265455</t>
  </si>
  <si>
    <t>0903265455</t>
  </si>
  <si>
    <t>CG00372</t>
  </si>
  <si>
    <t>Nguyễn Minh Châu (HAHHND) 161569905 0915606406</t>
  </si>
  <si>
    <t>0915606406</t>
  </si>
  <si>
    <t>CG00373</t>
  </si>
  <si>
    <t>Chính (TPTH) 0912133994</t>
  </si>
  <si>
    <t>0912133994</t>
  </si>
  <si>
    <t>CG00374</t>
  </si>
  <si>
    <t>Chức (MDHP) 0913652268</t>
  </si>
  <si>
    <t>0913652268</t>
  </si>
  <si>
    <t>CG00375</t>
  </si>
  <si>
    <t>Nguyễn Chí Chức (KHYKNB) 161678898 0914283941</t>
  </si>
  <si>
    <t>Khánh Hải, Yên Khánh, Ninh Bình</t>
  </si>
  <si>
    <t>0914283941</t>
  </si>
  <si>
    <t>CG00377</t>
  </si>
  <si>
    <t>Chương (PCBN) 0332461888</t>
  </si>
  <si>
    <t>0332461888</t>
  </si>
  <si>
    <t>CG00378</t>
  </si>
  <si>
    <t>Công (TSBN) 0942091979</t>
  </si>
  <si>
    <t>0942091979</t>
  </si>
  <si>
    <t>CG00380</t>
  </si>
  <si>
    <t>Cường (TPTN) 0942039999</t>
  </si>
  <si>
    <t>0942039999</t>
  </si>
  <si>
    <t>CG00381</t>
  </si>
  <si>
    <t>Cường (TSBN) 0982346698</t>
  </si>
  <si>
    <t>0982346698</t>
  </si>
  <si>
    <t>CG00382</t>
  </si>
  <si>
    <t>Nguyễn Tiến Tài (THHHTB) Đăng 151021758 0915663668</t>
  </si>
  <si>
    <t>Tân Hòa, Hưng Hà, Thái Bình</t>
  </si>
  <si>
    <t>0915663668</t>
  </si>
  <si>
    <t>CG00383</t>
  </si>
  <si>
    <t>Công ty CP XNK Đại Đoàn Kết (TPND) Đảng 0903441244</t>
  </si>
  <si>
    <t>Quang Trung, TP. Nam Định, Nam Định</t>
  </si>
  <si>
    <t>0600342862</t>
  </si>
  <si>
    <t>0903441244</t>
  </si>
  <si>
    <t>CG00384</t>
  </si>
  <si>
    <t>Đạt (NDNA) 0915445773 0902161064</t>
  </si>
  <si>
    <t>0902161064</t>
  </si>
  <si>
    <t>CG00385</t>
  </si>
  <si>
    <t>Đệ (TTTB) 0916565979</t>
  </si>
  <si>
    <t>Thái Thụy, Thái Bình</t>
  </si>
  <si>
    <t>0916565979</t>
  </si>
  <si>
    <t>CG00386</t>
  </si>
  <si>
    <t>Công ty TNHH MTV TM và DVPT Đạt Phát (TPNB) Đệ 0903838295</t>
  </si>
  <si>
    <t>Hai Bà Trưng, Nam Bình, Ninh Bình</t>
  </si>
  <si>
    <t>2700717117</t>
  </si>
  <si>
    <t>0903838295</t>
  </si>
  <si>
    <t>CG00387</t>
  </si>
  <si>
    <t>Phạm Văn Độ (HTHHND) 036065003488 0932380806</t>
  </si>
  <si>
    <t>Hải Trung, Hải Hậu, Nam Định</t>
  </si>
  <si>
    <t>0932380806</t>
  </si>
  <si>
    <t>CG00388</t>
  </si>
  <si>
    <t>Đoàn (TPND) 0906169246</t>
  </si>
  <si>
    <t>0906169246</t>
  </si>
  <si>
    <t>CG00389</t>
  </si>
  <si>
    <t>Hoàng Danh Đới (HDHN) 111312157 0914860035</t>
  </si>
  <si>
    <t>0914860035</t>
  </si>
  <si>
    <t>CG00390</t>
  </si>
  <si>
    <t>Nguyễn Văn Dự (HTTH) 117497475 0984905939</t>
  </si>
  <si>
    <t>Hà Dương, Hà Trung, Thanh Hóa</t>
  </si>
  <si>
    <t>0984905939</t>
  </si>
  <si>
    <t>CG00391</t>
  </si>
  <si>
    <t>Dụ (TPHT) 0983582837</t>
  </si>
  <si>
    <t>TP. Hà Tĩnh, Hà Tĩnh</t>
  </si>
  <si>
    <t>0983582837</t>
  </si>
  <si>
    <t>CG00393</t>
  </si>
  <si>
    <t>Dũng (TSTH) 0912386999</t>
  </si>
  <si>
    <t>Triệu Sơn, Thanh Hóa</t>
  </si>
  <si>
    <t>0912386999</t>
  </si>
  <si>
    <t>CG00394</t>
  </si>
  <si>
    <t>Mai Quang Đương (HBHP) 141730133 0983129799</t>
  </si>
  <si>
    <t>Hùng Vương, Hồng Bàng, Hải Phòng</t>
  </si>
  <si>
    <t>0983129799</t>
  </si>
  <si>
    <t>CG00395</t>
  </si>
  <si>
    <t>Dương (TPNB) 0914849997</t>
  </si>
  <si>
    <t>TP. Ninh Bình, Ninh Bình</t>
  </si>
  <si>
    <t>0914849997</t>
  </si>
  <si>
    <t>CG00396</t>
  </si>
  <si>
    <t>Đương (TPND) 0912237629</t>
  </si>
  <si>
    <t>0912237629</t>
  </si>
  <si>
    <t>CG00397</t>
  </si>
  <si>
    <t>Dương (VKBG) 0988353999</t>
  </si>
  <si>
    <t>0988353999</t>
  </si>
  <si>
    <t>CG00398</t>
  </si>
  <si>
    <t>Công ty TNHH tu bổ tôn tạo và xây dựng Duy Linh (GBBN) Duy 0914211650</t>
  </si>
  <si>
    <t>Nguyễn Trãi, Võ Cường, Bắc Ninh</t>
  </si>
  <si>
    <t>2300710406</t>
  </si>
  <si>
    <t>0914211650</t>
  </si>
  <si>
    <t>CG00400</t>
  </si>
  <si>
    <t>Công ty TNHH TM Hải Anh Quân (XHNDNA) Giang 0977504888</t>
  </si>
  <si>
    <t>Xuân Hòa, Nam Đàn, Nghệ An</t>
  </si>
  <si>
    <t>2901903025</t>
  </si>
  <si>
    <t>0977504888</t>
  </si>
  <si>
    <t>CG00401</t>
  </si>
  <si>
    <t>Công ty TNHH Khánh Linh (BSTH) Hà 0912582057</t>
  </si>
  <si>
    <t>Bỉm Sơn, Thanh Hóa</t>
  </si>
  <si>
    <t>2800200379</t>
  </si>
  <si>
    <t>0912582057</t>
  </si>
  <si>
    <t>CG00402</t>
  </si>
  <si>
    <t>Hà (SSHN) 0365019926</t>
  </si>
  <si>
    <t>0365019926</t>
  </si>
  <si>
    <t>CG00403</t>
  </si>
  <si>
    <t>Hải (BTHN) 0978078917</t>
  </si>
  <si>
    <t>Ba Thá, Ứng Hòa, Hà Nội</t>
  </si>
  <si>
    <t>0978078917</t>
  </si>
  <si>
    <t>CG00404</t>
  </si>
  <si>
    <t>Hải (GLHD) 0983439662</t>
  </si>
  <si>
    <t>0983439662</t>
  </si>
  <si>
    <t>CG00405</t>
  </si>
  <si>
    <t>Hải (PLHNA) 0914799399</t>
  </si>
  <si>
    <t>0914799399</t>
  </si>
  <si>
    <t>CG00406</t>
  </si>
  <si>
    <t>Đỗ Xuân Hải (TPNB) 026072001773 0917355228 0913972568</t>
  </si>
  <si>
    <t>Ninh Phong, TP. Ninh Bình, Ninh Bình</t>
  </si>
  <si>
    <t>0913972568</t>
  </si>
  <si>
    <t>CG00407</t>
  </si>
  <si>
    <t>Nguyễn Văn Hạnh (DTTPTH) 171561652 0984479020</t>
  </si>
  <si>
    <t>Đông Tân, TP. Thanh Hóa, Thanh Hóa</t>
  </si>
  <si>
    <t>0984479020</t>
  </si>
  <si>
    <t>CG00408</t>
  </si>
  <si>
    <t>Hảo (LCHD) 0975770569</t>
  </si>
  <si>
    <t>Lai Cách, Cẩm Giàng, Hải Dương</t>
  </si>
  <si>
    <t>0975770569</t>
  </si>
  <si>
    <t>CG00409</t>
  </si>
  <si>
    <t>Hồng (DTHNA) 0385335557</t>
  </si>
  <si>
    <t>0385335557</t>
  </si>
  <si>
    <t>CG00410</t>
  </si>
  <si>
    <t>Hợp (TNHP) 0912846847</t>
  </si>
  <si>
    <t>0912846847</t>
  </si>
  <si>
    <t>CG00411</t>
  </si>
  <si>
    <t>Nguyễn Thế Hân (DLTLHP) 031086011119 0969070355</t>
  </si>
  <si>
    <t>Đoàn Lập, Tiên Lãng, Hải Phòng</t>
  </si>
  <si>
    <t>0969070355</t>
  </si>
  <si>
    <t>CG00412</t>
  </si>
  <si>
    <t>Trịnh Minh Huấn (SLTTBN) 125066969 0984569754</t>
  </si>
  <si>
    <t>Sang Liễu, Thuận Thành, Bắc Ninh</t>
  </si>
  <si>
    <t>0984569754</t>
  </si>
  <si>
    <t>CG00413</t>
  </si>
  <si>
    <t>Hưng Nga (KSHD) 0978599599</t>
  </si>
  <si>
    <t>0978599599</t>
  </si>
  <si>
    <t>CG00414</t>
  </si>
  <si>
    <t>Huy (TPVT) 0988888666</t>
  </si>
  <si>
    <t>TP. Việt Trì, Phú Thọ</t>
  </si>
  <si>
    <t>0988888666</t>
  </si>
  <si>
    <t>CG00415</t>
  </si>
  <si>
    <t>Khánh (DVHNA) 0913214409</t>
  </si>
  <si>
    <t>Đồng Văn, Duy Tiên, Hà Nam</t>
  </si>
  <si>
    <t>0913214409</t>
  </si>
  <si>
    <t>CG00416</t>
  </si>
  <si>
    <t>Khánh (PTHD) 0912838789</t>
  </si>
  <si>
    <t>0912838789</t>
  </si>
  <si>
    <t>CG00417</t>
  </si>
  <si>
    <t>Khánh (QLNA) 0396992689</t>
  </si>
  <si>
    <t>0396992689</t>
  </si>
  <si>
    <t>CG00419</t>
  </si>
  <si>
    <t>Khen (DVHNA) 0972803978</t>
  </si>
  <si>
    <t>0972803978</t>
  </si>
  <si>
    <t>CG00420</t>
  </si>
  <si>
    <t>Khiêm (THTB) 0974999768</t>
  </si>
  <si>
    <t>Tiền Hải, Thái Bình</t>
  </si>
  <si>
    <t>0974999768</t>
  </si>
  <si>
    <t>CG00421</t>
  </si>
  <si>
    <t>Khoa (QUCB) 0972033039</t>
  </si>
  <si>
    <t>Quảng Uyên, Cao Bằng</t>
  </si>
  <si>
    <t>0972033039</t>
  </si>
  <si>
    <t>CG00422</t>
  </si>
  <si>
    <t>Khoa (TPHCM) 0906646899</t>
  </si>
  <si>
    <t>0906646899</t>
  </si>
  <si>
    <t>CG00423</t>
  </si>
  <si>
    <t>Khôi (QCHD) 0912026845 0985541241</t>
  </si>
  <si>
    <t>Quý Cao, Tứ Kỳ, Hải Dương</t>
  </si>
  <si>
    <t>0912026845</t>
  </si>
  <si>
    <t>CG00424</t>
  </si>
  <si>
    <t>Kiên (TTIHN) 0944588788</t>
  </si>
  <si>
    <t>0944588788</t>
  </si>
  <si>
    <t>CG00425</t>
  </si>
  <si>
    <t>Công ty TNHH sản xuất thương mại Kim Thành (HLHHTH) Kim 0912958577 0334644548</t>
  </si>
  <si>
    <t>2801854832</t>
  </si>
  <si>
    <t>0912958577</t>
  </si>
  <si>
    <t>CG00427</t>
  </si>
  <si>
    <t>Lăn (TNHP) 0936402648</t>
  </si>
  <si>
    <t>0936402648</t>
  </si>
  <si>
    <t>CG00428</t>
  </si>
  <si>
    <t>Nguyễn Văn Lành (NTKBHNA) 035075002464 0912548391</t>
  </si>
  <si>
    <t>0912548391</t>
  </si>
  <si>
    <t>CG00429</t>
  </si>
  <si>
    <t>Lanh (TPTB) 0912444599</t>
  </si>
  <si>
    <t>0912444599</t>
  </si>
  <si>
    <t>CG00430</t>
  </si>
  <si>
    <t>Lợi (PTHD) 0975382668</t>
  </si>
  <si>
    <t>0975382668</t>
  </si>
  <si>
    <t>CG00431</t>
  </si>
  <si>
    <t>Đinh Văn Lợi (QVBN) 141196420 0913516523</t>
  </si>
  <si>
    <t>0913516523</t>
  </si>
  <si>
    <t>CG00432</t>
  </si>
  <si>
    <t>Nguyễn Đức Lợi (YLVTVP) 135713079 0972517599</t>
  </si>
  <si>
    <t>0972517599</t>
  </si>
  <si>
    <t>CG00434</t>
  </si>
  <si>
    <t>Phùng Huy Long (VDUBQN) 033073003637 0904626034</t>
  </si>
  <si>
    <t>Vàng Danh, Uông Bí, Quảng Ninh</t>
  </si>
  <si>
    <t>0904626034</t>
  </si>
  <si>
    <t>CG00436</t>
  </si>
  <si>
    <t>Lý (KBHNA) 0986609946</t>
  </si>
  <si>
    <t>0986609946</t>
  </si>
  <si>
    <t>CG00437</t>
  </si>
  <si>
    <t>Mạnh (DPHN) 0976600667</t>
  </si>
  <si>
    <t>0976600667</t>
  </si>
  <si>
    <t>CG00438</t>
  </si>
  <si>
    <t>Mạnh (TPBN) 0915473803</t>
  </si>
  <si>
    <t>0915473803</t>
  </si>
  <si>
    <t>CG00439</t>
  </si>
  <si>
    <t>Mạnh (TTHN) 0912098057</t>
  </si>
  <si>
    <t>0912098057</t>
  </si>
  <si>
    <t>CG00440</t>
  </si>
  <si>
    <t>Minh (GLHN) 0913234247</t>
  </si>
  <si>
    <t>Gia Lâm, Hà Nội</t>
  </si>
  <si>
    <t>0913234247</t>
  </si>
  <si>
    <t>CG00441</t>
  </si>
  <si>
    <t>Nguyễn Văn Minh (YBYYND) 164338195 0983563135</t>
  </si>
  <si>
    <t>0983563135</t>
  </si>
  <si>
    <t>CG00442</t>
  </si>
  <si>
    <t>Minh Thành (PXHN) 0796080260</t>
  </si>
  <si>
    <t>Phú Xuyên, Hà Nội</t>
  </si>
  <si>
    <t>0796080260</t>
  </si>
  <si>
    <t>CG00444</t>
  </si>
  <si>
    <t>Nam Sơn Hà (TNHP) 0963666666</t>
  </si>
  <si>
    <t>0963666666</t>
  </si>
  <si>
    <t>CG00445</t>
  </si>
  <si>
    <t>Đỗ Bá Nghĩa (TPHD) 141364426 0912354680</t>
  </si>
  <si>
    <t>Nam Đồng, Thanh Hà, Hải Dương</t>
  </si>
  <si>
    <t>0912354680</t>
  </si>
  <si>
    <t>CG00446</t>
  </si>
  <si>
    <t>Ngọc (SSHN) 0912484474</t>
  </si>
  <si>
    <t>0912484474</t>
  </si>
  <si>
    <t>CG00447</t>
  </si>
  <si>
    <t>Công ty CP TM Gỗ Vinh Phú (KAHP) Nhâm 0904095995 0936546446 0201263305</t>
  </si>
  <si>
    <t>Đồng Hòa, Kiến An, Hải Phòng</t>
  </si>
  <si>
    <t>0201263305</t>
  </si>
  <si>
    <t>0904095995</t>
  </si>
  <si>
    <t>CG00448</t>
  </si>
  <si>
    <t>Trần Đình Dư (VNVTVP) 135616070 0913378935 0964709999</t>
  </si>
  <si>
    <t>Vĩnh Ninh, Vĩnh Tường, Vĩnh Phúc</t>
  </si>
  <si>
    <t>0964709999</t>
  </si>
  <si>
    <t>CG00449</t>
  </si>
  <si>
    <t>Nhân Cầu, Hưng Hà, Thái Bình</t>
  </si>
  <si>
    <t>1000968113</t>
  </si>
  <si>
    <t>0912699262</t>
  </si>
  <si>
    <t>CG00452</t>
  </si>
  <si>
    <t>Phú (GBBN) 0984050357</t>
  </si>
  <si>
    <t>0984050357</t>
  </si>
  <si>
    <t>CG00456</t>
  </si>
  <si>
    <t>Quang (VTVP) 0988173134</t>
  </si>
  <si>
    <t>0988173134</t>
  </si>
  <si>
    <t>CG00457</t>
  </si>
  <si>
    <t>Quang Hường (TPND) 0914815103</t>
  </si>
  <si>
    <t>0914815103</t>
  </si>
  <si>
    <t>CG00458</t>
  </si>
  <si>
    <t>Quốc (TOHN) 0383202292</t>
  </si>
  <si>
    <t>0383202292</t>
  </si>
  <si>
    <t>CG00459</t>
  </si>
  <si>
    <t>Đỗ Thị Quý (TBTPHD) 142362484 0902249044</t>
  </si>
  <si>
    <t>0902249044</t>
  </si>
  <si>
    <t>CG00461</t>
  </si>
  <si>
    <t>Quyện (KTHP) 0904486108</t>
  </si>
  <si>
    <t>Kiến Thụy, Hải Phòng</t>
  </si>
  <si>
    <t>0904486108</t>
  </si>
  <si>
    <t>CG00462</t>
  </si>
  <si>
    <t>Công ty TNHH Một Thành Viên Linh Nguyên (HBQN) Sáu 0975223176</t>
  </si>
  <si>
    <t>Lê Lợi. Hạ Long, Quảng Ninh</t>
  </si>
  <si>
    <t>5701806894</t>
  </si>
  <si>
    <t>0975223176</t>
  </si>
  <si>
    <t>CG00463</t>
  </si>
  <si>
    <t>0912233068</t>
  </si>
  <si>
    <t>CG00464</t>
  </si>
  <si>
    <t>Sinh (TLVP) 0912232167</t>
  </si>
  <si>
    <t>0912232167</t>
  </si>
  <si>
    <t>CG00465</t>
  </si>
  <si>
    <t>Sinh (BDHN) 0915352703</t>
  </si>
  <si>
    <t>0915352703</t>
  </si>
  <si>
    <t>CG00466</t>
  </si>
  <si>
    <t>Sơn (TOHN) 0904784783</t>
  </si>
  <si>
    <t>0904784783</t>
  </si>
  <si>
    <t>CG00467</t>
  </si>
  <si>
    <t>Sơn (VGHY) 0976692623</t>
  </si>
  <si>
    <t>Văn Giang, Hưng Yên</t>
  </si>
  <si>
    <t>0976692623</t>
  </si>
  <si>
    <t>CG00468</t>
  </si>
  <si>
    <t>Đinh Văn Sứ (NQTPHD) 141219996 0912067204</t>
  </si>
  <si>
    <t>Ngô Quyền, TP. Hải Dương</t>
  </si>
  <si>
    <t>0912067204</t>
  </si>
  <si>
    <t>CG00469</t>
  </si>
  <si>
    <t>Tài (DAHN) 0914888390</t>
  </si>
  <si>
    <t>0914888390</t>
  </si>
  <si>
    <t>CG00470</t>
  </si>
  <si>
    <t>Trần Tài (DTDCNA) 182548446 0901789676 0948295968</t>
  </si>
  <si>
    <t>Diễn Thọ, Diễn Châu, Nghệ An</t>
  </si>
  <si>
    <t>0948295968</t>
  </si>
  <si>
    <t>CG00472</t>
  </si>
  <si>
    <t>Tài Anh (TPNB) 0983832345</t>
  </si>
  <si>
    <t>0983832345</t>
  </si>
  <si>
    <t>CG00473</t>
  </si>
  <si>
    <t>Tám (DCNA) 0982778234 0912008189</t>
  </si>
  <si>
    <t>0912008189</t>
  </si>
  <si>
    <t>CG00474</t>
  </si>
  <si>
    <t>Công ty TNHH một thành viên Hoàng Tâm (CLND) Tâm 0904134136</t>
  </si>
  <si>
    <t>0600682266</t>
  </si>
  <si>
    <t>0904134136</t>
  </si>
  <si>
    <t>CG00475</t>
  </si>
  <si>
    <t>Tâm (NSTH) 0943058866</t>
  </si>
  <si>
    <t>Nga Sơn, Thanh Hóa</t>
  </si>
  <si>
    <t>0943058866</t>
  </si>
  <si>
    <t>CG00476</t>
  </si>
  <si>
    <t>Thái (VYBG) 0983867257</t>
  </si>
  <si>
    <t>Việt Yên, Bắc Giang</t>
  </si>
  <si>
    <t>0983867257</t>
  </si>
  <si>
    <t>CG00477</t>
  </si>
  <si>
    <t>Thắng (HHTB) 0912491039</t>
  </si>
  <si>
    <t>0912491039</t>
  </si>
  <si>
    <t>CG00478</t>
  </si>
  <si>
    <t>Thắng (PCBN) 0948129566</t>
  </si>
  <si>
    <t>0948129566</t>
  </si>
  <si>
    <t>CG00479</t>
  </si>
  <si>
    <t>Thắng (VDHN) 0982750606</t>
  </si>
  <si>
    <t>0982750606</t>
  </si>
  <si>
    <t>CG00480</t>
  </si>
  <si>
    <t>Thắng (XTND) 0912165309</t>
  </si>
  <si>
    <t>0912165309</t>
  </si>
  <si>
    <t>CG00481</t>
  </si>
  <si>
    <t>Nguyễn Hữu Thành (UHHN) 001075012786 0915187897</t>
  </si>
  <si>
    <t>Quảng Phú Cầu, Ứng Hòa, Hà Nội</t>
  </si>
  <si>
    <t>0915187897</t>
  </si>
  <si>
    <t>CG00482</t>
  </si>
  <si>
    <t>Thanh (VBHP) 0914318623</t>
  </si>
  <si>
    <t>0914318623</t>
  </si>
  <si>
    <t>CG00483</t>
  </si>
  <si>
    <t>Thảo (HDHN) 0936700654</t>
  </si>
  <si>
    <t>0936700654</t>
  </si>
  <si>
    <t>CG00484</t>
  </si>
  <si>
    <t>Thảo (DCNA) 0913872567</t>
  </si>
  <si>
    <t>0913872567</t>
  </si>
  <si>
    <t>CG00485</t>
  </si>
  <si>
    <t>Thế (GLHD) 0915041762</t>
  </si>
  <si>
    <t>0915041762</t>
  </si>
  <si>
    <t>CG00486</t>
  </si>
  <si>
    <t>Thể (TNHP) 0902172060</t>
  </si>
  <si>
    <t>0902172060</t>
  </si>
  <si>
    <t>CG00487</t>
  </si>
  <si>
    <t>Thể (VNA) 0936064666</t>
  </si>
  <si>
    <t>0936064666</t>
  </si>
  <si>
    <t>CG00488</t>
  </si>
  <si>
    <t>Thịnh (LTBN) 0904050197</t>
  </si>
  <si>
    <t>Lương Tài, Bắc Ninh</t>
  </si>
  <si>
    <t>0904050197</t>
  </si>
  <si>
    <t>CG00489</t>
  </si>
  <si>
    <t>Thơ (DHTB) 0912173694</t>
  </si>
  <si>
    <t>0912173694</t>
  </si>
  <si>
    <t>CG00490</t>
  </si>
  <si>
    <t>Đường Văn Thơ (YLVTVP) 135047874 0985943638</t>
  </si>
  <si>
    <t>0985943638</t>
  </si>
  <si>
    <t>CG00491</t>
  </si>
  <si>
    <t>Lương Minh Thuận (HVHHND) 036073005728 0913346961</t>
  </si>
  <si>
    <t>Hải Vân, Hải Hậu, Nam Định</t>
  </si>
  <si>
    <t>0913346961</t>
  </si>
  <si>
    <t>CG00492</t>
  </si>
  <si>
    <t>Thúc (DAHN) 0923522980</t>
  </si>
  <si>
    <t>0923522980</t>
  </si>
  <si>
    <t>CG00493</t>
  </si>
  <si>
    <t>Lương Chung Thực (CDCGHD) 140079897 0988104353</t>
  </si>
  <si>
    <t>Cẩm Điền, Cẩm Giàng, Hải Dương</t>
  </si>
  <si>
    <t>0988104353</t>
  </si>
  <si>
    <t>CG00494</t>
  </si>
  <si>
    <t>Đinh Văn Thưởng (TTIHN) Thuận 1084005316 0946137899</t>
  </si>
  <si>
    <t>0946137899</t>
  </si>
  <si>
    <t>CG00495</t>
  </si>
  <si>
    <t>Ngô Văn Thủy (HVHHND) 036073001576 0912181833</t>
  </si>
  <si>
    <t>0912181833</t>
  </si>
  <si>
    <t>CG00496</t>
  </si>
  <si>
    <t>Thủy (KDHY) 0912098257</t>
  </si>
  <si>
    <t>Kim Động, Hưng Yên</t>
  </si>
  <si>
    <t>0912098257</t>
  </si>
  <si>
    <t>CG00497</t>
  </si>
  <si>
    <t>Thủy (TTHN) 0918692776</t>
  </si>
  <si>
    <t>0918692776</t>
  </si>
  <si>
    <t>CG00498</t>
  </si>
  <si>
    <t>Tiến (TNHP) 0834768386</t>
  </si>
  <si>
    <t>0834768386</t>
  </si>
  <si>
    <t>CG00500</t>
  </si>
  <si>
    <t>Tiến (DAHN) 09044819730</t>
  </si>
  <si>
    <t>9044819730</t>
  </si>
  <si>
    <t>CG00502</t>
  </si>
  <si>
    <t>Tiền (TCNA) 0912295062</t>
  </si>
  <si>
    <t>Thanh Chương, Nghệ An</t>
  </si>
  <si>
    <t>0912295062</t>
  </si>
  <si>
    <t>CG00503</t>
  </si>
  <si>
    <t>Tỉnh (DAHN) 0912475388</t>
  </si>
  <si>
    <t>0912475388</t>
  </si>
  <si>
    <t>CG00504</t>
  </si>
  <si>
    <t>Trần Thành Toàn (NSKAHP) 031240778 0936861461</t>
  </si>
  <si>
    <t>Nam Sơn, Kiến An, Hải Phòng</t>
  </si>
  <si>
    <t>0936861461</t>
  </si>
  <si>
    <t>CG00505</t>
  </si>
  <si>
    <t>Đàm Văn Toàn (CTYDBG) 121243446 0989487427</t>
  </si>
  <si>
    <t>Cảnh Thụy, Yên Dũng, Bắc Giang</t>
  </si>
  <si>
    <t>0989487427</t>
  </si>
  <si>
    <t>CG00506</t>
  </si>
  <si>
    <t>Toàn (YLHNA) 0975568866</t>
  </si>
  <si>
    <t>0975568866</t>
  </si>
  <si>
    <t>CG00507</t>
  </si>
  <si>
    <t>Tới (TNHP) 0906180555</t>
  </si>
  <si>
    <t>0906180555</t>
  </si>
  <si>
    <t>CG00508</t>
  </si>
  <si>
    <t>Trọng (PCBN) 0378299079</t>
  </si>
  <si>
    <t>0378299079</t>
  </si>
  <si>
    <t>CG00509</t>
  </si>
  <si>
    <t>Trọng (NSTH) 0912127741</t>
  </si>
  <si>
    <t>0912127741</t>
  </si>
  <si>
    <t>CG00510</t>
  </si>
  <si>
    <t>Trung (YYND) 0965505568</t>
  </si>
  <si>
    <t>0965505568</t>
  </si>
  <si>
    <t>CG00512</t>
  </si>
  <si>
    <t>Lê Quang Trường (TPHD) 030073004038 0912086507</t>
  </si>
  <si>
    <t>0912086507</t>
  </si>
  <si>
    <t>CG00513</t>
  </si>
  <si>
    <t>Tuấn (TKHD) 0968398666</t>
  </si>
  <si>
    <t>0968398666</t>
  </si>
  <si>
    <t>CG00514</t>
  </si>
  <si>
    <t>Tuấn (KAHP) 0944058806</t>
  </si>
  <si>
    <t>0944058806</t>
  </si>
  <si>
    <t>CG00515</t>
  </si>
  <si>
    <t>Tuấn (CDCHY) 0912764419</t>
  </si>
  <si>
    <t>Chợ Đường Cái, Văn Lâm, Hưng Yên</t>
  </si>
  <si>
    <t>0912764419</t>
  </si>
  <si>
    <t>CG00519</t>
  </si>
  <si>
    <t>Đỗ Anh Tuấn (LNHNA) 035007001743 0977313999</t>
  </si>
  <si>
    <t>Đồng Lý, Lý Nhân, Hà Nam</t>
  </si>
  <si>
    <t>0977313999</t>
  </si>
  <si>
    <t>CG00520</t>
  </si>
  <si>
    <t>Tuân (PCBN) 0978262916</t>
  </si>
  <si>
    <t>0978262916</t>
  </si>
  <si>
    <t>CG00521</t>
  </si>
  <si>
    <t>Tuấn (PCBN) 0966852182</t>
  </si>
  <si>
    <t>0966852182</t>
  </si>
  <si>
    <t>CG00522</t>
  </si>
  <si>
    <t>Tuấn (VNHP) 0989135538</t>
  </si>
  <si>
    <t>0989135538</t>
  </si>
  <si>
    <t>CG00523</t>
  </si>
  <si>
    <t>Tuyến bao công (HDHN) 0966083092</t>
  </si>
  <si>
    <t>0966083092</t>
  </si>
  <si>
    <t>CG00524</t>
  </si>
  <si>
    <t>Văn (TPNB) 0915834085</t>
  </si>
  <si>
    <t>0915834085</t>
  </si>
  <si>
    <t>CG00525</t>
  </si>
  <si>
    <t>Nguyễn Đình Việt (PCBN) 125099427 0383311490 0363345555</t>
  </si>
  <si>
    <t>Trung Nghĩa, Yên Phong, Bắc Ninh</t>
  </si>
  <si>
    <t>0383311490</t>
  </si>
  <si>
    <t>CG00526</t>
  </si>
  <si>
    <t>Vinh (LBLS) 0388534484</t>
  </si>
  <si>
    <t>Lộc Bình, Lạng Sơn</t>
  </si>
  <si>
    <t>0388534484</t>
  </si>
  <si>
    <t>CG00528</t>
  </si>
  <si>
    <t>Vũ Trọng Quang (MTTNHP) Vịnh 030952410 0904533202</t>
  </si>
  <si>
    <t>Minh Tân, Thủy Nguyên, Hải Phòng</t>
  </si>
  <si>
    <t>0904533202</t>
  </si>
  <si>
    <t>CG00529</t>
  </si>
  <si>
    <t>Công ty TNHH XDTM Đức Minh (TPNB) Vinh 0914319533</t>
  </si>
  <si>
    <t>Bình Minh, Kim Sơn, Ninh Bình</t>
  </si>
  <si>
    <t>2700712373</t>
  </si>
  <si>
    <t>0914319533</t>
  </si>
  <si>
    <t>CG00530</t>
  </si>
  <si>
    <t>Vượng (PCBN) 0334692367</t>
  </si>
  <si>
    <t>0334692367</t>
  </si>
  <si>
    <t>CG00531</t>
  </si>
  <si>
    <t>Xuân (TTHN) 0947101227</t>
  </si>
  <si>
    <t>0947101227</t>
  </si>
  <si>
    <t>CG00532</t>
  </si>
  <si>
    <t>Đoàn Ngọc Sáng (CGHY) 145624431 0983216269</t>
  </si>
  <si>
    <t>Thị trấn Vương, Tiên Lữ, Hưng Yên</t>
  </si>
  <si>
    <t>0983216269</t>
  </si>
  <si>
    <t>CG00533</t>
  </si>
  <si>
    <t>Yên (PCBN) 0347546735</t>
  </si>
  <si>
    <t>0347546735</t>
  </si>
  <si>
    <t>CG00534</t>
  </si>
  <si>
    <t>Quân (KAHP) 0989567195</t>
  </si>
  <si>
    <t>0989567195</t>
  </si>
  <si>
    <t>CG00535</t>
  </si>
  <si>
    <t>Phương (TPNB) 0989202829</t>
  </si>
  <si>
    <t>0989202829</t>
  </si>
  <si>
    <t>CG00536</t>
  </si>
  <si>
    <t>Sơn (HHTH) 0976692623</t>
  </si>
  <si>
    <t>CG00537</t>
  </si>
  <si>
    <t>Sinh (TTBN) 0988142907</t>
  </si>
  <si>
    <t>0988142907</t>
  </si>
  <si>
    <t>CG00538</t>
  </si>
  <si>
    <t>Tân (TPND) 0913328544</t>
  </si>
  <si>
    <t>0913328544</t>
  </si>
  <si>
    <t>CG00539</t>
  </si>
  <si>
    <t>Hòa (YDTH) 0912230250</t>
  </si>
  <si>
    <t>0912230250</t>
  </si>
  <si>
    <t>CG00540</t>
  </si>
  <si>
    <t>Dầu (TTIHN) 0987671569</t>
  </si>
  <si>
    <t>0987671569</t>
  </si>
  <si>
    <t>CG00541</t>
  </si>
  <si>
    <t>Trần Đức Chiều (TSTLHY) 112497475 0982710284</t>
  </si>
  <si>
    <t>Thủ Sỹ, Tiên Lữ, Hưng Yên</t>
  </si>
  <si>
    <t>0982710284</t>
  </si>
  <si>
    <t>CG00542</t>
  </si>
  <si>
    <t>Thiều (VTVP) 0356337876</t>
  </si>
  <si>
    <t>0356337876</t>
  </si>
  <si>
    <t>CG00543</t>
  </si>
  <si>
    <t>Hoàng Văn Chức (CVCGHD) 030079002737 0982373247 0965197907</t>
  </si>
  <si>
    <t>Cẩm Vũ, Cẩm Giàng, Hải Dương</t>
  </si>
  <si>
    <t>0965197907</t>
  </si>
  <si>
    <t>CG00544</t>
  </si>
  <si>
    <t>Đỗ Văn Phước (DNHDHN) 111685384 0904247463</t>
  </si>
  <si>
    <t>0904247463</t>
  </si>
  <si>
    <t>CG00545</t>
  </si>
  <si>
    <t>Dũng (BXVP) 0912378250</t>
  </si>
  <si>
    <t>Bình Xuyên, Vĩnh Phúc</t>
  </si>
  <si>
    <t>0912378250</t>
  </si>
  <si>
    <t>CG00546</t>
  </si>
  <si>
    <t>Bình (HDHN) 0983569070</t>
  </si>
  <si>
    <t>0983569070</t>
  </si>
  <si>
    <t>CG00547</t>
  </si>
  <si>
    <t>Tiến (PCBN) 0347576735</t>
  </si>
  <si>
    <t>0347576735</t>
  </si>
  <si>
    <t>CG00548</t>
  </si>
  <si>
    <t>Quyết (PCBN) 0385924444</t>
  </si>
  <si>
    <t>0385924444</t>
  </si>
  <si>
    <t>CG00549</t>
  </si>
  <si>
    <t>Đỗ Văn Mạnh (LDHDHN) 111522959 0902238666</t>
  </si>
  <si>
    <t>0902238666</t>
  </si>
  <si>
    <t>CG00550</t>
  </si>
  <si>
    <t>Tấn (TTHN) 0912728408 0348096555</t>
  </si>
  <si>
    <t>0348096555</t>
  </si>
  <si>
    <t>CG00552</t>
  </si>
  <si>
    <t>Khới (CPQN) 0915007147</t>
  </si>
  <si>
    <t>0915007147</t>
  </si>
  <si>
    <t>CG00553</t>
  </si>
  <si>
    <t>Hiền (SSTH) 0945980999</t>
  </si>
  <si>
    <t>Sầm Sơn, Thanh Hóa</t>
  </si>
  <si>
    <t>0945980999</t>
  </si>
  <si>
    <t>CG00554</t>
  </si>
  <si>
    <t>Công ty TNHH Thương Mại Vũ Bảo Minh (VAVBHP) Lượng 0946804888</t>
  </si>
  <si>
    <t>0201420124</t>
  </si>
  <si>
    <t>0946804888</t>
  </si>
  <si>
    <t>CG00555</t>
  </si>
  <si>
    <t>Công ty TNHH Cát Đại Lợi (DNHDHN) Huân 0946887799</t>
  </si>
  <si>
    <t>0500563949</t>
  </si>
  <si>
    <t>0946887799</t>
  </si>
  <si>
    <t>CG00556</t>
  </si>
  <si>
    <t>Công (TTIHN) 0948001224</t>
  </si>
  <si>
    <t>0948001224</t>
  </si>
  <si>
    <t>CG00557</t>
  </si>
  <si>
    <t>Nguyễn Văn Hùng (TSHHBG) 121917965 0962308777</t>
  </si>
  <si>
    <t>Thái Sơn, Hiệp Hòa, Bắc Giang</t>
  </si>
  <si>
    <t>0962308777</t>
  </si>
  <si>
    <t>CG00558</t>
  </si>
  <si>
    <t>Năm (DPHN) 0973529815</t>
  </si>
  <si>
    <t>0973529815</t>
  </si>
  <si>
    <t>CG00559</t>
  </si>
  <si>
    <t>Vệ (TTHN) 0976890657</t>
  </si>
  <si>
    <t>0976890657</t>
  </si>
  <si>
    <t>CG00560</t>
  </si>
  <si>
    <t>Hà (TPNB) 0987009799</t>
  </si>
  <si>
    <t>0987009799</t>
  </si>
  <si>
    <t>CG00561</t>
  </si>
  <si>
    <t>Chuân (PXHN) 0989626015</t>
  </si>
  <si>
    <t>0989626015</t>
  </si>
  <si>
    <t>CG00563</t>
  </si>
  <si>
    <t>Nguyễn Văn Đạo (TPNB) 161982911 0916375668</t>
  </si>
  <si>
    <t>0916375668</t>
  </si>
  <si>
    <t>CG00568</t>
  </si>
  <si>
    <t>Lương Đắc Đức (QTHP) 030683877 0913375908</t>
  </si>
  <si>
    <t>0913375908</t>
  </si>
  <si>
    <t>CG00569</t>
  </si>
  <si>
    <t>Tùng (CLND) 0912826702</t>
  </si>
  <si>
    <t>0912826702</t>
  </si>
  <si>
    <t>CG00570</t>
  </si>
  <si>
    <t>Hiếu (TPNB) 0334758888</t>
  </si>
  <si>
    <t>0334758888</t>
  </si>
  <si>
    <t>CG00571</t>
  </si>
  <si>
    <t>Luân (TLVP) 0983729577</t>
  </si>
  <si>
    <t>0983729577</t>
  </si>
  <si>
    <t>CG00572</t>
  </si>
  <si>
    <t>Hoàn (QGHD) 0976366959</t>
  </si>
  <si>
    <t>0976366959</t>
  </si>
  <si>
    <t>CG00573</t>
  </si>
  <si>
    <t>Nguyễn Văn Phong (QTTNHP) 030720739 0912295366</t>
  </si>
  <si>
    <t>Quảng Thanh, Thủy Nguyên, Hải Phòng</t>
  </si>
  <si>
    <t>0912295366</t>
  </si>
  <si>
    <t>CG00574</t>
  </si>
  <si>
    <t>Hoạt (TPHD) 0982509308</t>
  </si>
  <si>
    <t>0982509308</t>
  </si>
  <si>
    <t>CG00575</t>
  </si>
  <si>
    <t>Nguyễn Trọng Nguyện (BLLNHNA) 035058002362 0382286337</t>
  </si>
  <si>
    <t>Bắc Lý, Lý Nhân, Hà Nam</t>
  </si>
  <si>
    <t>0382286337</t>
  </si>
  <si>
    <t>CG00576</t>
  </si>
  <si>
    <t>Thắng (KSHD) 0913051512</t>
  </si>
  <si>
    <t>0913051512</t>
  </si>
  <si>
    <t>CG00580</t>
  </si>
  <si>
    <t>Dũng (YLVP) 0987929575</t>
  </si>
  <si>
    <t>Yên Lạc, Vĩnh Phúc</t>
  </si>
  <si>
    <t>0987929575</t>
  </si>
  <si>
    <t>CG00581</t>
  </si>
  <si>
    <t>Công ty TNHH Hồng Thái Sơn (DNHDHN) Trọng 0913394186 0108720860</t>
  </si>
  <si>
    <t>0108720860</t>
  </si>
  <si>
    <t>0913394186</t>
  </si>
  <si>
    <t>CG00582</t>
  </si>
  <si>
    <t>Sơn (MDHP) 0904552838</t>
  </si>
  <si>
    <t>0904552838</t>
  </si>
  <si>
    <t>CG00583</t>
  </si>
  <si>
    <t>Cường (PCBN) 0903451404</t>
  </si>
  <si>
    <t>0903451404</t>
  </si>
  <si>
    <t>CG00584</t>
  </si>
  <si>
    <t>Chiến (CMHN) 0914773431</t>
  </si>
  <si>
    <t>0914773431</t>
  </si>
  <si>
    <t>CG00585</t>
  </si>
  <si>
    <t>Công ty CP tư vấn xây dựng và thương mại Bình Minh (DCNA) Lai 0984662952</t>
  </si>
  <si>
    <t>Diễn Thành, Diễn Châu, Nghệ An</t>
  </si>
  <si>
    <t>2900751926</t>
  </si>
  <si>
    <t>0984662952</t>
  </si>
  <si>
    <t>CG00586</t>
  </si>
  <si>
    <t>Nguyễn Công Khanh (TLYMHY) 145410396 0988080267</t>
  </si>
  <si>
    <t>Thanh Long, Yên Mỹ, Hưng Yên</t>
  </si>
  <si>
    <t>0988080267</t>
  </si>
  <si>
    <t>CG00587</t>
  </si>
  <si>
    <t>Thêm (TPNB) 0912426835</t>
  </si>
  <si>
    <t>0912426835</t>
  </si>
  <si>
    <t>CG00588</t>
  </si>
  <si>
    <t>Lê văn Tuyên (TNGHP) 031066002695 0936191021</t>
  </si>
  <si>
    <t>Phù Ninh, Thủy Nguyên, Hải Phòng</t>
  </si>
  <si>
    <t>0936191021</t>
  </si>
  <si>
    <t>CG00589</t>
  </si>
  <si>
    <t>Suất (TTHN) 0912554365</t>
  </si>
  <si>
    <t>0912554365</t>
  </si>
  <si>
    <t>CG00590</t>
  </si>
  <si>
    <t>Nguyễn Văn Ngà (YLHNA) 168025474 0983522688</t>
  </si>
  <si>
    <t>Chuyên Ngoại, Duy Tiên, Hà Nam</t>
  </si>
  <si>
    <t>0983522688</t>
  </si>
  <si>
    <t>CG00591</t>
  </si>
  <si>
    <t>Nguyễn Văn Dũng (CLTNND) 017171055 0988207924</t>
  </si>
  <si>
    <t>0988207924</t>
  </si>
  <si>
    <t>CG00592</t>
  </si>
  <si>
    <t>Độ (DCNA) 0987866552</t>
  </si>
  <si>
    <t>0987866552</t>
  </si>
  <si>
    <t>CG00593</t>
  </si>
  <si>
    <t>Tuấn kho (NQHP) 0903415013</t>
  </si>
  <si>
    <t>Ngô Quyền, Hải Phòng</t>
  </si>
  <si>
    <t>0903415013</t>
  </si>
  <si>
    <t>CG00594</t>
  </si>
  <si>
    <t>Như (HHTH) 0989311578</t>
  </si>
  <si>
    <t>0989311578</t>
  </si>
  <si>
    <t>CG00595</t>
  </si>
  <si>
    <t>Thăng (TPTN) 0919154905</t>
  </si>
  <si>
    <t>0919154905</t>
  </si>
  <si>
    <t>CG00596</t>
  </si>
  <si>
    <t>Huân (DXHN) 0977974964</t>
  </si>
  <si>
    <t>Đỗ Xá, Thường Tín, Hà Nội</t>
  </si>
  <si>
    <t>0977974964</t>
  </si>
  <si>
    <t>CG00597</t>
  </si>
  <si>
    <t>Cừ (PCBN) 0977701115</t>
  </si>
  <si>
    <t>0977701115</t>
  </si>
  <si>
    <t>CG00598</t>
  </si>
  <si>
    <t>Dũng (TPTN) 0915644999</t>
  </si>
  <si>
    <t>0915644999</t>
  </si>
  <si>
    <t>CG00599</t>
  </si>
  <si>
    <t>Thuận (TSBN) 0915061564</t>
  </si>
  <si>
    <t>0915061564</t>
  </si>
  <si>
    <t>CG00600</t>
  </si>
  <si>
    <t>Bê (TLVP) 0916060958</t>
  </si>
  <si>
    <t>0916060958</t>
  </si>
  <si>
    <t>CG00601</t>
  </si>
  <si>
    <t>Quảng (TPBG) 0903425932</t>
  </si>
  <si>
    <t>TP. Bắc Giang, Bắc Giang</t>
  </si>
  <si>
    <t>0903425932</t>
  </si>
  <si>
    <t>CG00602</t>
  </si>
  <si>
    <t>Phương (0559TPNB) 0912280559</t>
  </si>
  <si>
    <t>0912280559</t>
  </si>
  <si>
    <t>CG00603</t>
  </si>
  <si>
    <t>Vũ  Văn Quý (DKTSBN) 125072181 0913259637</t>
  </si>
  <si>
    <t>Đồng Kỵ,Từ Sơn, Bắc Ninh</t>
  </si>
  <si>
    <t>0913259637</t>
  </si>
  <si>
    <t>CG00604</t>
  </si>
  <si>
    <t>Phong (TSBN) 0977019823</t>
  </si>
  <si>
    <t>0977019823</t>
  </si>
  <si>
    <t>CG00605</t>
  </si>
  <si>
    <t>Tuấn (PTHD) 0913064565</t>
  </si>
  <si>
    <t>0913064565</t>
  </si>
  <si>
    <t>CG00606</t>
  </si>
  <si>
    <t>Quân (PCBN) 0984034548</t>
  </si>
  <si>
    <t>0984034548</t>
  </si>
  <si>
    <t>CG00607</t>
  </si>
  <si>
    <t>Nguyễn Thị Dung (TLBXVP) Hải 0914388726</t>
  </si>
  <si>
    <t>0914388726</t>
  </si>
  <si>
    <t>CG00608</t>
  </si>
  <si>
    <t>Hoạch (KMHD) 0978257372</t>
  </si>
  <si>
    <t>0978257372</t>
  </si>
  <si>
    <t>CG00609</t>
  </si>
  <si>
    <t>Trường (DPHN) 0976657152</t>
  </si>
  <si>
    <t>0976657152</t>
  </si>
  <si>
    <t>CG00610</t>
  </si>
  <si>
    <t>Ngàn (DHTB) 0974072257</t>
  </si>
  <si>
    <t>0974072257</t>
  </si>
  <si>
    <t>CG00611</t>
  </si>
  <si>
    <t>Thanh đen (MDHP) 0989393557</t>
  </si>
  <si>
    <t>0989393557</t>
  </si>
  <si>
    <t>CG00612</t>
  </si>
  <si>
    <t>Hùng Cóc (MDHP) 0989250669</t>
  </si>
  <si>
    <t>0989250669</t>
  </si>
  <si>
    <t>CG00613</t>
  </si>
  <si>
    <t>Quang (Hải Nam) 0904929789</t>
  </si>
  <si>
    <t>Công ty TNHH TM và SX Hải Nam</t>
  </si>
  <si>
    <t>0904929789</t>
  </si>
  <si>
    <t>CG00614</t>
  </si>
  <si>
    <t>Quân béo (MDHP) 0977403766</t>
  </si>
  <si>
    <t>0977403766</t>
  </si>
  <si>
    <t>CG00615</t>
  </si>
  <si>
    <t>Văn cô đơn (MDHP) 0972137203</t>
  </si>
  <si>
    <t>0972137203</t>
  </si>
  <si>
    <t>CG00616</t>
  </si>
  <si>
    <t>Ký (TKHD) 0985919872</t>
  </si>
  <si>
    <t>0985919872</t>
  </si>
  <si>
    <t>CG00617</t>
  </si>
  <si>
    <t>Thái (YLHNA) 0983123986</t>
  </si>
  <si>
    <t>0983123986</t>
  </si>
  <si>
    <t>CG00618</t>
  </si>
  <si>
    <t>Sỹ (VNA) 0982151839</t>
  </si>
  <si>
    <t>0982151839</t>
  </si>
  <si>
    <t>CG00619</t>
  </si>
  <si>
    <t>Dậu (DPHN) 0984418285</t>
  </si>
  <si>
    <t>0984418285</t>
  </si>
  <si>
    <t>CG00620</t>
  </si>
  <si>
    <t>Bình (MDHP) 0913622868</t>
  </si>
  <si>
    <t>0913622868</t>
  </si>
  <si>
    <t>CG00621</t>
  </si>
  <si>
    <t>Lục (TLVP) 0975494632</t>
  </si>
  <si>
    <t>0975494632</t>
  </si>
  <si>
    <t>CG00622</t>
  </si>
  <si>
    <t>Thành (HDHN) 0936781883</t>
  </si>
  <si>
    <t>0936781883</t>
  </si>
  <si>
    <t>CG00623</t>
  </si>
  <si>
    <t>Nguyên (KSNB) 0393744719</t>
  </si>
  <si>
    <t>0393744719</t>
  </si>
  <si>
    <t>CG00624</t>
  </si>
  <si>
    <t>Nguyễn Văn Bắc (NHNTND) 162030309 0834343895</t>
  </si>
  <si>
    <t>Nam Hải, Nam Trực, Nam Định</t>
  </si>
  <si>
    <t>0834343895</t>
  </si>
  <si>
    <t>CG00625</t>
  </si>
  <si>
    <t>Tuấn (TTIHN) 0915598993</t>
  </si>
  <si>
    <t>0915598993</t>
  </si>
  <si>
    <t>CG00626</t>
  </si>
  <si>
    <t>Chung (DHHP) 0916366880</t>
  </si>
  <si>
    <t>Đồng Hiệp, Hải Phòng</t>
  </si>
  <si>
    <t>0916366880</t>
  </si>
  <si>
    <t>CG00627</t>
  </si>
  <si>
    <t>Phú (TNHP) 0904595359</t>
  </si>
  <si>
    <t>Minh Đức, Thủy Nguyên, Hải Phòng</t>
  </si>
  <si>
    <t>0904595359</t>
  </si>
  <si>
    <t>CG00628</t>
  </si>
  <si>
    <t>Nguyên (TPNB) 0912307771</t>
  </si>
  <si>
    <t>0912307771</t>
  </si>
  <si>
    <t>CG00629</t>
  </si>
  <si>
    <t>Thắng (HDHN) 0946599588</t>
  </si>
  <si>
    <t>0946599588</t>
  </si>
  <si>
    <t>CG00630</t>
  </si>
  <si>
    <t>Đạo (TPND) 0912451086</t>
  </si>
  <si>
    <t>0912451086</t>
  </si>
  <si>
    <t>CG00631</t>
  </si>
  <si>
    <t>Sang con (MDHP) 0915709670</t>
  </si>
  <si>
    <t>0915709670</t>
  </si>
  <si>
    <t>CG00632</t>
  </si>
  <si>
    <t>Quang (MDHP) 0934680695</t>
  </si>
  <si>
    <t>0934680695</t>
  </si>
  <si>
    <t>CG00633</t>
  </si>
  <si>
    <t>Nguyễn Ngọc Tuế (HNTTHN) 1069015486 0913002044</t>
  </si>
  <si>
    <t>Hương Ngải, Thạch thất, Hà Nội</t>
  </si>
  <si>
    <t>0913002044</t>
  </si>
  <si>
    <t>CG00634</t>
  </si>
  <si>
    <t>Lượng (DXHN) 0912633622</t>
  </si>
  <si>
    <t>0912633622</t>
  </si>
  <si>
    <t>CG00635</t>
  </si>
  <si>
    <t>Tiến (HHTH) 0962965179</t>
  </si>
  <si>
    <t>0962965179</t>
  </si>
  <si>
    <t>CG00636</t>
  </si>
  <si>
    <t>Phùng Văn Dĩnh (ATVTVP) 135024746 0967376229 0967106234</t>
  </si>
  <si>
    <t>0967106234</t>
  </si>
  <si>
    <t>CG00637</t>
  </si>
  <si>
    <t>Tiệp (QTHP) 0975765156</t>
  </si>
  <si>
    <t>0975765156</t>
  </si>
  <si>
    <t>CG00638</t>
  </si>
  <si>
    <t>Tuân (GLHN) 0982374398</t>
  </si>
  <si>
    <t>0982374398</t>
  </si>
  <si>
    <t>CG00639</t>
  </si>
  <si>
    <t>Thanh (HTTH) 0912582163</t>
  </si>
  <si>
    <t>Hà Trung, Thanh Hóa</t>
  </si>
  <si>
    <t>0912582163</t>
  </si>
  <si>
    <t>CG00640</t>
  </si>
  <si>
    <t>Phụng (DXHN) 0988178993</t>
  </si>
  <si>
    <t>0988178993</t>
  </si>
  <si>
    <t>CG00641</t>
  </si>
  <si>
    <t>Bảy (TTIHN) 0987246666</t>
  </si>
  <si>
    <t>0987246666</t>
  </si>
  <si>
    <t>CG00642</t>
  </si>
  <si>
    <t>Phượng (VLHY) 0982180058</t>
  </si>
  <si>
    <t>Văn Lâm, Hưng Yên</t>
  </si>
  <si>
    <t>0982180058</t>
  </si>
  <si>
    <t>CG00643</t>
  </si>
  <si>
    <t>Cảnh (TPNB) 0912503145</t>
  </si>
  <si>
    <t>0912503145</t>
  </si>
  <si>
    <t>CG00644</t>
  </si>
  <si>
    <t>Phú (PTHN) 0987490132</t>
  </si>
  <si>
    <t>Phúc Thọ, Hà Nội</t>
  </si>
  <si>
    <t>0987490132</t>
  </si>
  <si>
    <t>CG00645</t>
  </si>
  <si>
    <t>Công ty TNHH Gỗ Đại Xuân (PLHNA) 0979668924</t>
  </si>
  <si>
    <t>Số nhà Thôn Đỗ Nội, xã Tiên Hải, thành phố Phủ Lý, tỉnh Hà Nam</t>
  </si>
  <si>
    <t>0700772763</t>
  </si>
  <si>
    <t>0979668924</t>
  </si>
  <si>
    <t>CG00646</t>
  </si>
  <si>
    <t>Cương (DXHN) 0397145882</t>
  </si>
  <si>
    <t>0397145882</t>
  </si>
  <si>
    <t>CG00647</t>
  </si>
  <si>
    <t>Thước (PCBN) 0975120332</t>
  </si>
  <si>
    <t>0975120332</t>
  </si>
  <si>
    <t>CG00648</t>
  </si>
  <si>
    <t>Vũ Văn Đạt (XBXTND) 036085004743 0983250541</t>
  </si>
  <si>
    <t>Xuân Bắc, Xuân Trường, Nam Định</t>
  </si>
  <si>
    <t>0983250541</t>
  </si>
  <si>
    <t>CG00649</t>
  </si>
  <si>
    <t>Lãng (QVBN) 0389534768</t>
  </si>
  <si>
    <t>0389534768</t>
  </si>
  <si>
    <t>CG00650</t>
  </si>
  <si>
    <t>Nghiệp (VBG) 0983890536</t>
  </si>
  <si>
    <t>Vôi, Lạng Giang, Bắc Giang</t>
  </si>
  <si>
    <t>0983890536</t>
  </si>
  <si>
    <t>CG00651</t>
  </si>
  <si>
    <t>Trương Văn Trung (HPHHTH) 0911429299 0913598967 0392616467</t>
  </si>
  <si>
    <t>Hoằng Phụ, Hoằng Hóa, Thanh Hóa</t>
  </si>
  <si>
    <t>0392616467</t>
  </si>
  <si>
    <t>CG00652</t>
  </si>
  <si>
    <t>Lê Văn Hoàn (HTHHTH) 038064004734 0913956469 0985768639</t>
  </si>
  <si>
    <t>Hoằng Tiến, Hoằng Hóa, Thanh Hóa</t>
  </si>
  <si>
    <t>0985768639</t>
  </si>
  <si>
    <t>CG00653</t>
  </si>
  <si>
    <t>Hiếu (HHTH) 0912150243</t>
  </si>
  <si>
    <t>0912150243</t>
  </si>
  <si>
    <t>CG00654</t>
  </si>
  <si>
    <t>Tuấn Yến (TTHN) 0912738434</t>
  </si>
  <si>
    <t>0912738434</t>
  </si>
  <si>
    <t>CG00655</t>
  </si>
  <si>
    <t>Phạm Văn Công (QGHD) 145775876 0904958735 0976131229</t>
  </si>
  <si>
    <t>Hòa Phong, Mỹ Hào, Hưng Yên</t>
  </si>
  <si>
    <t>0976131229</t>
  </si>
  <si>
    <t>CG00656</t>
  </si>
  <si>
    <t>Nguyễn Đình Tâm (GLHD) 030069004284 0904155661</t>
  </si>
  <si>
    <t>Thị Trấn Gia Lộc, Hải Dương</t>
  </si>
  <si>
    <t>0904155661</t>
  </si>
  <si>
    <t>CG00657</t>
  </si>
  <si>
    <t>Nguyễn Thị Miễn (QCTB) 150846441 0915037238</t>
  </si>
  <si>
    <t>0915037238</t>
  </si>
  <si>
    <t>CG00658</t>
  </si>
  <si>
    <t>Sang (HDHN) 0902141799</t>
  </si>
  <si>
    <t>0902141799</t>
  </si>
  <si>
    <t>CG00659</t>
  </si>
  <si>
    <t xml:space="preserve">Mai Văn Huân (KSNB) 171499070 0979647134 0967532736 </t>
  </si>
  <si>
    <t>Nga Phú, Nga Sơn, Thanh Hóa</t>
  </si>
  <si>
    <t>0979647134</t>
  </si>
  <si>
    <t>CG00660</t>
  </si>
  <si>
    <t>Lê Ngọc Duân (VTTTIHN) 1085002376 0914908112</t>
  </si>
  <si>
    <t>0914908112</t>
  </si>
  <si>
    <t>CG00661</t>
  </si>
  <si>
    <t>Tấn (TTIHN) 0948745128</t>
  </si>
  <si>
    <t>0948745128</t>
  </si>
  <si>
    <t>CG00662</t>
  </si>
  <si>
    <t>Thành (YLHNA) 0987187313</t>
  </si>
  <si>
    <t>0987187313</t>
  </si>
  <si>
    <t>CG00663</t>
  </si>
  <si>
    <t>Doanh (CLND) 0912302597</t>
  </si>
  <si>
    <t>0912302597</t>
  </si>
  <si>
    <t>CG00664</t>
  </si>
  <si>
    <t>Huân (TTIHN) 0984354488</t>
  </si>
  <si>
    <t>0984354488</t>
  </si>
  <si>
    <t>CG00665</t>
  </si>
  <si>
    <t>Khương (TKHD) 0948079427</t>
  </si>
  <si>
    <t>0948079427</t>
  </si>
  <si>
    <t>CG00666</t>
  </si>
  <si>
    <t>Tú (PXHN) 0904055968</t>
  </si>
  <si>
    <t>0904055968</t>
  </si>
  <si>
    <t>CG00667</t>
  </si>
  <si>
    <t>Đáng (HHTB) 0912491039</t>
  </si>
  <si>
    <t>CG00668</t>
  </si>
  <si>
    <t>Long (LTVP) 0947194637</t>
  </si>
  <si>
    <t>Lập Thạch, Vĩnh Phúc</t>
  </si>
  <si>
    <t>0947194637</t>
  </si>
  <si>
    <t>CG00669</t>
  </si>
  <si>
    <t>Quyến (VKBG) 0969822261</t>
  </si>
  <si>
    <t>0969822261</t>
  </si>
  <si>
    <t>CG00670</t>
  </si>
  <si>
    <t>Sáu (TPQB) 0915272966</t>
  </si>
  <si>
    <t>TP. Đồng Hới, Quảng Bình</t>
  </si>
  <si>
    <t>0915272966</t>
  </si>
  <si>
    <t>CG00671</t>
  </si>
  <si>
    <t>Thường (TLVP) 0915921794</t>
  </si>
  <si>
    <t>0915921794</t>
  </si>
  <si>
    <t>CG00672</t>
  </si>
  <si>
    <t>Đấu (DAHN) 0384405751</t>
  </si>
  <si>
    <t>0384405751</t>
  </si>
  <si>
    <t>CG00674</t>
  </si>
  <si>
    <t>Công ty TNHH Lâm Sản Trường Hiếu (KSNB) Trịnh 0919218693 2700348491</t>
  </si>
  <si>
    <t>2700348491</t>
  </si>
  <si>
    <t>0919218693</t>
  </si>
  <si>
    <t>CG00675</t>
  </si>
  <si>
    <t>Tuyên (VTHNA) 0912203772</t>
  </si>
  <si>
    <t>Vĩnh Trụ, Hà Nam</t>
  </si>
  <si>
    <t>0912203772</t>
  </si>
  <si>
    <t>CG00676</t>
  </si>
  <si>
    <t>Trần Văn Chiều (VBHP) 017171055 0944455229 0869696129</t>
  </si>
  <si>
    <t>0944455229</t>
  </si>
  <si>
    <t>CG00678</t>
  </si>
  <si>
    <t>Cóng (KTHP) 0919152522</t>
  </si>
  <si>
    <t>0919152522</t>
  </si>
  <si>
    <t>CG00679</t>
  </si>
  <si>
    <t>Công ty TNHH Thương mại và Sản xuất Trí Dũng (QOHN) 0905557788</t>
  </si>
  <si>
    <t>Thôn Ngọc Phúc, xã Ngọc Liệp, huyện Quốc Oai, thành phố Hà Nội</t>
  </si>
  <si>
    <t>0905557788</t>
  </si>
  <si>
    <t>CG00680</t>
  </si>
  <si>
    <t>Dũng (VTVP) 0978751028</t>
  </si>
  <si>
    <t>0978751028</t>
  </si>
  <si>
    <t>CG00681</t>
  </si>
  <si>
    <t>Mai Văn Ngữ (BSTH) 038066005497 0913387125</t>
  </si>
  <si>
    <t>Nga Hải, Nga Sơn, Thanh Hóa</t>
  </si>
  <si>
    <t>0913387125</t>
  </si>
  <si>
    <t>CG00682</t>
  </si>
  <si>
    <t>Khánh (TPVT) 0343805555</t>
  </si>
  <si>
    <t>0343805555</t>
  </si>
  <si>
    <t>CG00683</t>
  </si>
  <si>
    <t>Tiến (DXHN) 0982221737</t>
  </si>
  <si>
    <t>0982221737</t>
  </si>
  <si>
    <t>CG00684</t>
  </si>
  <si>
    <t>0945944619</t>
  </si>
  <si>
    <t>CG00685</t>
  </si>
  <si>
    <t>Toàn (GLHN) 0963864568</t>
  </si>
  <si>
    <t>0963864568</t>
  </si>
  <si>
    <t>CG00686</t>
  </si>
  <si>
    <t>Ứng (GTND) 0934244587</t>
  </si>
  <si>
    <t>Giao Thủy, Nam Định</t>
  </si>
  <si>
    <t>0934244587</t>
  </si>
  <si>
    <t>CG00687</t>
  </si>
  <si>
    <t>Cần (DSTH) 0913346368</t>
  </si>
  <si>
    <t>0913346368</t>
  </si>
  <si>
    <t>CG00688</t>
  </si>
  <si>
    <t>Tạ Quang Phòng (TPTH) 038073004340 0916309992</t>
  </si>
  <si>
    <t>0916309992</t>
  </si>
  <si>
    <t>CG00689</t>
  </si>
  <si>
    <t>Thắng (HLQN) 0913264735</t>
  </si>
  <si>
    <t>0913264735</t>
  </si>
  <si>
    <t>CG00690</t>
  </si>
  <si>
    <t>Thông (PCBN) 0386487770</t>
  </si>
  <si>
    <t>0386487770</t>
  </si>
  <si>
    <t>CG00691</t>
  </si>
  <si>
    <t>Phong (TSTH) 0904045747</t>
  </si>
  <si>
    <t>0904045747</t>
  </si>
  <si>
    <t>CG00692</t>
  </si>
  <si>
    <t>Nghĩa (TOHN) 0913297542</t>
  </si>
  <si>
    <t>0913297542</t>
  </si>
  <si>
    <t>CG00693</t>
  </si>
  <si>
    <t>Tuấn (HMHNA) 0912227229</t>
  </si>
  <si>
    <t>Hòa Mạc, Duy Tiên, Hà Nam</t>
  </si>
  <si>
    <t>0912227229</t>
  </si>
  <si>
    <t>CG00694</t>
  </si>
  <si>
    <t>Ca (TLVP) 0944041907</t>
  </si>
  <si>
    <t>0944041907</t>
  </si>
  <si>
    <t>CG00695</t>
  </si>
  <si>
    <t>Hà (YPBN) 0936190166</t>
  </si>
  <si>
    <t>0936190166</t>
  </si>
  <si>
    <t>CG00696</t>
  </si>
  <si>
    <t>Lê Quốc Hùng (QNQXTH) 172840973 0977034081</t>
  </si>
  <si>
    <t>Quảng Ninh, Quảng Xương, Thanh Hóa</t>
  </si>
  <si>
    <t>0977034081</t>
  </si>
  <si>
    <t>CG00697</t>
  </si>
  <si>
    <t>Hải (DLHY) 0963363386</t>
  </si>
  <si>
    <t>Dốc Lã. Hưng Yên, Hưng Yên</t>
  </si>
  <si>
    <t>0963363386</t>
  </si>
  <si>
    <t>CG00700</t>
  </si>
  <si>
    <t>Hậu (TPNB) 0914319780</t>
  </si>
  <si>
    <t>0914319780</t>
  </si>
  <si>
    <t>CG00701</t>
  </si>
  <si>
    <t>Cai (CLND) 0987486004</t>
  </si>
  <si>
    <t>0987486004</t>
  </si>
  <si>
    <t>CG00702</t>
  </si>
  <si>
    <t>Công ty TNHH sx và dv Phương Đông (VTVP) Đức 0988301940 Đông 0383032666</t>
  </si>
  <si>
    <t>2500623285</t>
  </si>
  <si>
    <t>0988301940</t>
  </si>
  <si>
    <t>CG00703</t>
  </si>
  <si>
    <t>Linh (PCBN) 0968729662</t>
  </si>
  <si>
    <t>0968729662</t>
  </si>
  <si>
    <t>CG00704</t>
  </si>
  <si>
    <t>Sinh (DAHN) 0913505822</t>
  </si>
  <si>
    <t>0913505822</t>
  </si>
  <si>
    <t>CG00705</t>
  </si>
  <si>
    <t>Quý (TPVT) 0989443889</t>
  </si>
  <si>
    <t>0989443889</t>
  </si>
  <si>
    <t>CG00706</t>
  </si>
  <si>
    <t>Đặng Đình Long (CPQN) 100705309 0365559988 0913015238</t>
  </si>
  <si>
    <t>Đằng Lâm, Hải An, Hải Phòng</t>
  </si>
  <si>
    <t>0913015238</t>
  </si>
  <si>
    <t>CG00707</t>
  </si>
  <si>
    <t>Hùng (TPBN) 0984168838</t>
  </si>
  <si>
    <t>0984168838</t>
  </si>
  <si>
    <t>CG00708</t>
  </si>
  <si>
    <t>Chung (TPTN) 0987693063</t>
  </si>
  <si>
    <t>0987693063</t>
  </si>
  <si>
    <t>CG00709</t>
  </si>
  <si>
    <t>Trần Văn Hải (ATHY) 145217945 0912727785</t>
  </si>
  <si>
    <t>An Khái, Ân Thi, Hưng yên</t>
  </si>
  <si>
    <t>0912727785</t>
  </si>
  <si>
    <t>CG00710</t>
  </si>
  <si>
    <t>Tiến (HHBG) 0985635618</t>
  </si>
  <si>
    <t>Hiệp Hòa, Bắc Giang</t>
  </si>
  <si>
    <t>0985635618</t>
  </si>
  <si>
    <t>CG00711</t>
  </si>
  <si>
    <t>Công ty TNHH Minh (CGHN) 0989981348</t>
  </si>
  <si>
    <t>Số 3, ngõ 186 Trần Duy Hưng, Tổ 10, P. Trung Hòa, Q. Cầu Giấy. Hà Nội</t>
  </si>
  <si>
    <t>0989981348</t>
  </si>
  <si>
    <t>CG00712</t>
  </si>
  <si>
    <t>Đạt (TMHD) 0915140571</t>
  </si>
  <si>
    <t>0915140571</t>
  </si>
  <si>
    <t>CG00713</t>
  </si>
  <si>
    <t>Hoàng Văn Hùng (DKDCNA) 156277972 0982358699 0981536989</t>
  </si>
  <si>
    <t>Diễn Ký, Diễn Châu, Nghệ An</t>
  </si>
  <si>
    <t>0981536989</t>
  </si>
  <si>
    <t>CG00716</t>
  </si>
  <si>
    <t>Tuyên (HDHN) 0904616605</t>
  </si>
  <si>
    <t>0904616605</t>
  </si>
  <si>
    <t>CG00717</t>
  </si>
  <si>
    <t>Nguyễn Trọng Hoàn (TPTB) 034066003657 0983732931</t>
  </si>
  <si>
    <t>Vũ Ninh, Kiến Xương, Thái Bình</t>
  </si>
  <si>
    <t>0983732931</t>
  </si>
  <si>
    <t>CG00718</t>
  </si>
  <si>
    <t>Hưởng (GLHD) 0936142635</t>
  </si>
  <si>
    <t>0936142635</t>
  </si>
  <si>
    <t>CG00719</t>
  </si>
  <si>
    <t>Thành Cúc (TTHN) 0942423133</t>
  </si>
  <si>
    <t>Thạch Thất, Hà nội</t>
  </si>
  <si>
    <t>0942423133</t>
  </si>
  <si>
    <t>CG00720</t>
  </si>
  <si>
    <t>Quân (HDHN) 0903483824</t>
  </si>
  <si>
    <t>0903483824</t>
  </si>
  <si>
    <t>CG00721</t>
  </si>
  <si>
    <t>Huy (NGHD) 0912800628</t>
  </si>
  <si>
    <t>0912800628</t>
  </si>
  <si>
    <t>CG00722</t>
  </si>
  <si>
    <t>Thành (HDHN) 0905018248</t>
  </si>
  <si>
    <t>0905018248</t>
  </si>
  <si>
    <t>CG00723</t>
  </si>
  <si>
    <t>Triệu (NGHD) 0963908978</t>
  </si>
  <si>
    <t>0963908978</t>
  </si>
  <si>
    <t>CG00724</t>
  </si>
  <si>
    <t>Phương Thanh (MDHP) 0913562288</t>
  </si>
  <si>
    <t>0913562288</t>
  </si>
  <si>
    <t>CG00725</t>
  </si>
  <si>
    <t>Tùng (VKBG) 0989333183</t>
  </si>
  <si>
    <t>0989333183</t>
  </si>
  <si>
    <t>CG00726</t>
  </si>
  <si>
    <t>Phạm Văn Dần (NPTPNB) 164007990 0918067686 0915048698</t>
  </si>
  <si>
    <t>Ninh Phú, TP. Ninh Bình, Ninh Bình</t>
  </si>
  <si>
    <t>0915048698</t>
  </si>
  <si>
    <t>CG00727</t>
  </si>
  <si>
    <t>Vụ (HHND) 0772339960</t>
  </si>
  <si>
    <t>0772339960</t>
  </si>
  <si>
    <t>CG00728</t>
  </si>
  <si>
    <t>Liệu (HHND) 0912256660</t>
  </si>
  <si>
    <t>0912256660</t>
  </si>
  <si>
    <t>CG00729</t>
  </si>
  <si>
    <t>Trần Văn Minh (GLHD) 141824902 0982716051</t>
  </si>
  <si>
    <t>0982716051</t>
  </si>
  <si>
    <t>CG00731</t>
  </si>
  <si>
    <t>Sung (DCNA) 0393327668 0947156504</t>
  </si>
  <si>
    <t>0947156504</t>
  </si>
  <si>
    <t>CG00732</t>
  </si>
  <si>
    <t>Tuyên (TLVP) 0912774112</t>
  </si>
  <si>
    <t>0912774112</t>
  </si>
  <si>
    <t>CG00733</t>
  </si>
  <si>
    <t>Đạt (TPBN) 0913526892</t>
  </si>
  <si>
    <t>0913526892</t>
  </si>
  <si>
    <t>CG00734</t>
  </si>
  <si>
    <t>Sự (TPVP) 0912509056</t>
  </si>
  <si>
    <t>TP. Vĩnh Yên, Vĩnh Phúc</t>
  </si>
  <si>
    <t>0912509056</t>
  </si>
  <si>
    <t>CG00735</t>
  </si>
  <si>
    <t>Hiệp Phương (NQHP) 0913571708</t>
  </si>
  <si>
    <t>0913571708</t>
  </si>
  <si>
    <t>CG00736</t>
  </si>
  <si>
    <t>Phạm Văn Hai (QGHD) 142598733 0363476666 0964212222</t>
  </si>
  <si>
    <t>Hưng Thịnh, Bình Giang, Hải Dương</t>
  </si>
  <si>
    <t>0964212222</t>
  </si>
  <si>
    <t>CG00737</t>
  </si>
  <si>
    <t>Hòa (TOHN) 0917446885</t>
  </si>
  <si>
    <t>0917446885</t>
  </si>
  <si>
    <t>CG00738</t>
  </si>
  <si>
    <t>Thành (TPTB) 0913595729</t>
  </si>
  <si>
    <t>0913595729</t>
  </si>
  <si>
    <t>CG00739</t>
  </si>
  <si>
    <t>Hánh (TPTN) 0934208784</t>
  </si>
  <si>
    <t>0934208784</t>
  </si>
  <si>
    <t>CG00740</t>
  </si>
  <si>
    <t>Thám (TPHN) 0979445827</t>
  </si>
  <si>
    <t>Tân Phú, Quốc Oai, Hà Nội</t>
  </si>
  <si>
    <t>0979445827</t>
  </si>
  <si>
    <t>CG00741</t>
  </si>
  <si>
    <t>0963589688</t>
  </si>
  <si>
    <t>CG00742</t>
  </si>
  <si>
    <t>Nam (DPHN) 0913550589</t>
  </si>
  <si>
    <t>0913550589</t>
  </si>
  <si>
    <t>CG00743</t>
  </si>
  <si>
    <t>Sơn (STHN) 0984258215</t>
  </si>
  <si>
    <t>Sơn Tây, Hà Nội</t>
  </si>
  <si>
    <t>0984258215</t>
  </si>
  <si>
    <t>CG00744</t>
  </si>
  <si>
    <t>Hải (SSHN) 0983879929</t>
  </si>
  <si>
    <t>0983879929</t>
  </si>
  <si>
    <t>CG00745</t>
  </si>
  <si>
    <t>Bắc (SSTH) 0913276522</t>
  </si>
  <si>
    <t>0913276522</t>
  </si>
  <si>
    <t>CG00746</t>
  </si>
  <si>
    <t>Trường (HXPT) 0977264776</t>
  </si>
  <si>
    <t>Hoàng Xá, Thanh Thủy, Phú Thọ</t>
  </si>
  <si>
    <t>0977264776</t>
  </si>
  <si>
    <t>CG00747</t>
  </si>
  <si>
    <t>Hồ Văn Phương (QLNA) Tiến 181994791 0981051713</t>
  </si>
  <si>
    <t>Quỳnh Hồng, Quỳnh Lưu, Nghệ An</t>
  </si>
  <si>
    <t>0981051713</t>
  </si>
  <si>
    <t>CG00748</t>
  </si>
  <si>
    <t>Thơ (TPHY) 0987353880</t>
  </si>
  <si>
    <t>0987353880</t>
  </si>
  <si>
    <t>CG00749</t>
  </si>
  <si>
    <t>Kiên (HLTH) 0981819191</t>
  </si>
  <si>
    <t>Hậu Lộc, Thanh Hóa</t>
  </si>
  <si>
    <t>0981819191</t>
  </si>
  <si>
    <t>CG00750</t>
  </si>
  <si>
    <t>Công ty TNHH DVTM và SX Tuấn Ngọc (TLDAHN) Dung 0982245029</t>
  </si>
  <si>
    <t>Thụy Lâm, Đông Anh, Hà Nội</t>
  </si>
  <si>
    <t>0107552719</t>
  </si>
  <si>
    <t>0982245029</t>
  </si>
  <si>
    <t>CG00751</t>
  </si>
  <si>
    <t>Thẩm (UBQN) 0912302510</t>
  </si>
  <si>
    <t>Uông Bí, Quảng Ninh</t>
  </si>
  <si>
    <t>0912302510</t>
  </si>
  <si>
    <t>CG00752</t>
  </si>
  <si>
    <t>Đức (TTBN) 0967721888</t>
  </si>
  <si>
    <t>0967721888</t>
  </si>
  <si>
    <t>CG00753</t>
  </si>
  <si>
    <t>Tới (MDHP) 0975919491</t>
  </si>
  <si>
    <t>0975919491</t>
  </si>
  <si>
    <t>CG00754</t>
  </si>
  <si>
    <t>Chìa (BTHN) 0984055446</t>
  </si>
  <si>
    <t>0984055446</t>
  </si>
  <si>
    <t>CG00755</t>
  </si>
  <si>
    <t>Nghiên (PTBN) 0912006472</t>
  </si>
  <si>
    <t>0912006472</t>
  </si>
  <si>
    <t>CG00756</t>
  </si>
  <si>
    <t>Tuyền (HDHN) 0912724262</t>
  </si>
  <si>
    <t>0912724262</t>
  </si>
  <si>
    <t>CG00757</t>
  </si>
  <si>
    <t>Nguyễn Văn Minh (TLHHTB) 034053003982 0385140222</t>
  </si>
  <si>
    <t>Tân Lễ, Hưng Hà, Thái Bình</t>
  </si>
  <si>
    <t>0385140222</t>
  </si>
  <si>
    <t>CG00758</t>
  </si>
  <si>
    <t>Hiếu (NVLHP) 0979271196</t>
  </si>
  <si>
    <t>0979271196</t>
  </si>
  <si>
    <t>CG00759</t>
  </si>
  <si>
    <t>Vui (TDNB) 0964843118</t>
  </si>
  <si>
    <t>0964843118</t>
  </si>
  <si>
    <t>CG00760</t>
  </si>
  <si>
    <t>Ba (TTIHN) 0982461067</t>
  </si>
  <si>
    <t>0982461067</t>
  </si>
  <si>
    <t>CG00761</t>
  </si>
  <si>
    <t>Mai (KTHD) 0912584653</t>
  </si>
  <si>
    <t>Kim Thành, Hải Dương</t>
  </si>
  <si>
    <t>0912584653</t>
  </si>
  <si>
    <t>CG00762</t>
  </si>
  <si>
    <t>Đoàn (TTIHN) 0908782929</t>
  </si>
  <si>
    <t>0908782929</t>
  </si>
  <si>
    <t>CG00763</t>
  </si>
  <si>
    <t>Quang (TTIHN) 0916574898</t>
  </si>
  <si>
    <t>0916574898</t>
  </si>
  <si>
    <t>CG00764</t>
  </si>
  <si>
    <t>Dũng (DCNA) 0977027333</t>
  </si>
  <si>
    <t>0977027333</t>
  </si>
  <si>
    <t>CG00765</t>
  </si>
  <si>
    <t>Diễn (VKBG) 0913073226</t>
  </si>
  <si>
    <t>0913073226</t>
  </si>
  <si>
    <t>CG00766</t>
  </si>
  <si>
    <t>Điệp (XTND) 0912115370</t>
  </si>
  <si>
    <t>0912115370</t>
  </si>
  <si>
    <t>CG00767</t>
  </si>
  <si>
    <t>Toàn (HDHN) 0969114357</t>
  </si>
  <si>
    <t>0969114357</t>
  </si>
  <si>
    <t>CG00768</t>
  </si>
  <si>
    <t>Tiến (TLHP) 0934263284</t>
  </si>
  <si>
    <t>Tiên Lãng, Hải Phòng</t>
  </si>
  <si>
    <t>0934263284</t>
  </si>
  <si>
    <t>CG00769</t>
  </si>
  <si>
    <t>Nguyễn Ngọc Nhắc (LTKSNB) 037074001134 0915839833</t>
  </si>
  <si>
    <t>0915839833</t>
  </si>
  <si>
    <t>CG00770</t>
  </si>
  <si>
    <t>Phú (NQNB) 0967134333</t>
  </si>
  <si>
    <t>Nho Quan, Ninh Bình</t>
  </si>
  <si>
    <t>0967134333</t>
  </si>
  <si>
    <t>CG00771</t>
  </si>
  <si>
    <t>Hòa (PCBN) 0397636928</t>
  </si>
  <si>
    <t>0397636928</t>
  </si>
  <si>
    <t>CG00772</t>
  </si>
  <si>
    <t>Tuyên (HDHN) 0914444389</t>
  </si>
  <si>
    <t>0914444389</t>
  </si>
  <si>
    <t>CG00774</t>
  </si>
  <si>
    <t>Trụ (DCNA) 0986153658</t>
  </si>
  <si>
    <t>0986153658</t>
  </si>
  <si>
    <t>CG00775</t>
  </si>
  <si>
    <t>Tấm (HDHN) 0904073154</t>
  </si>
  <si>
    <t>0904073154</t>
  </si>
  <si>
    <t>CG00776</t>
  </si>
  <si>
    <t>Quyền (DSTH) 0396594166</t>
  </si>
  <si>
    <t>0396594166</t>
  </si>
  <si>
    <t>CG00777</t>
  </si>
  <si>
    <t>Công ty TNHH thương mại và sản xuất nội thất Hợp Tiến (TLHY) Công 0984716799 0900465777</t>
  </si>
  <si>
    <t>An Viên, Tiên Lữ, Hưng Yên</t>
  </si>
  <si>
    <t>0900465777</t>
  </si>
  <si>
    <t>0984716799</t>
  </si>
  <si>
    <t>CG00778</t>
  </si>
  <si>
    <t>Lê Văn Tiêm (VTTTIHN) 110540942 0838253033</t>
  </si>
  <si>
    <t>0838253033</t>
  </si>
  <si>
    <t>CG00779</t>
  </si>
  <si>
    <t>Phương (HDHN) 0913220151</t>
  </si>
  <si>
    <t>0913220151</t>
  </si>
  <si>
    <t>CG00780</t>
  </si>
  <si>
    <t>Quang (UBQN) 0389026613</t>
  </si>
  <si>
    <t>0389026613</t>
  </si>
  <si>
    <t>CG00781</t>
  </si>
  <si>
    <t>Đinh Xuân An (HCTGTH) 171880044 0982562875</t>
  </si>
  <si>
    <t>Hải Châu, Tĩnh Gia, Thanh Hóa</t>
  </si>
  <si>
    <t>0982562875</t>
  </si>
  <si>
    <t>CG00782</t>
  </si>
  <si>
    <t>Toàn (MDHP) 0986024089</t>
  </si>
  <si>
    <t>0986024089</t>
  </si>
  <si>
    <t>CG00783</t>
  </si>
  <si>
    <t>Hà Văn Phận (TLBXVP) 135868419 0914872913</t>
  </si>
  <si>
    <t>0914872913</t>
  </si>
  <si>
    <t>CG00784</t>
  </si>
  <si>
    <t>Bôn (CGHD) 0989372877</t>
  </si>
  <si>
    <t>Cẩm Giàng, Hải Dương</t>
  </si>
  <si>
    <t>0989372877</t>
  </si>
  <si>
    <t>CG00785</t>
  </si>
  <si>
    <t>Thuận (NHND) 0912339422</t>
  </si>
  <si>
    <t>0912339422</t>
  </si>
  <si>
    <t>CG00786</t>
  </si>
  <si>
    <t>Dương Thị Bình (LTVP) Sang 026073003767 0979439390 0365128697</t>
  </si>
  <si>
    <t>Thị Trấn Lập Thạch, Vĩnh Phúc</t>
  </si>
  <si>
    <t>0365128697</t>
  </si>
  <si>
    <t>CG00787</t>
  </si>
  <si>
    <t>Dũng (TPHY) 0989557547</t>
  </si>
  <si>
    <t>0989557547</t>
  </si>
  <si>
    <t>CG00788</t>
  </si>
  <si>
    <t>Tuấn (ATHY) 0974958308</t>
  </si>
  <si>
    <t>Ân Thi, Hưng yên</t>
  </si>
  <si>
    <t>0974958308</t>
  </si>
  <si>
    <t>CG00789</t>
  </si>
  <si>
    <t>Toán (QVBN) 0983011198</t>
  </si>
  <si>
    <t>0983011198</t>
  </si>
  <si>
    <t>CG00790</t>
  </si>
  <si>
    <t>Thuần (MDHP) 0974703218</t>
  </si>
  <si>
    <t>0974703218</t>
  </si>
  <si>
    <t>CG00791</t>
  </si>
  <si>
    <t>Long (TPTH) 0912031396</t>
  </si>
  <si>
    <t>0912031396</t>
  </si>
  <si>
    <t>CG00793</t>
  </si>
  <si>
    <t>Vũ Tấn (VAVBHP) 017171055 0912827405</t>
  </si>
  <si>
    <t>0912827405</t>
  </si>
  <si>
    <t>CG00794</t>
  </si>
  <si>
    <t>Minh Anh (HDHN) 0913098883</t>
  </si>
  <si>
    <t>0913098883</t>
  </si>
  <si>
    <t>CG00795</t>
  </si>
  <si>
    <t>Đông Văn Nghị (HAHHND) Long 036072003911 0987964711 0972327858</t>
  </si>
  <si>
    <t>0987964711</t>
  </si>
  <si>
    <t>CG00796</t>
  </si>
  <si>
    <t>Đinh Văn Hiếu (THYYND) Hải 381305528 0918956938</t>
  </si>
  <si>
    <t>Tân Hưng, Ý Yên, Nam Định</t>
  </si>
  <si>
    <t>0918956938</t>
  </si>
  <si>
    <t>CG00797</t>
  </si>
  <si>
    <t>Phó (CLND) 0912334167</t>
  </si>
  <si>
    <t>0912334167</t>
  </si>
  <si>
    <t>CG00798</t>
  </si>
  <si>
    <t>Thành (VTVP) 0987471443</t>
  </si>
  <si>
    <t>0987471443</t>
  </si>
  <si>
    <t>CG00799</t>
  </si>
  <si>
    <t>Năm (KDHY) 0915071903</t>
  </si>
  <si>
    <t>0915071903</t>
  </si>
  <si>
    <t>CG00800</t>
  </si>
  <si>
    <t>Quắt (HDHN) 0934360086</t>
  </si>
  <si>
    <t>0934360086</t>
  </si>
  <si>
    <t>CG00801</t>
  </si>
  <si>
    <t>Trinh (TPTB) 0912119212</t>
  </si>
  <si>
    <t>0912119212</t>
  </si>
  <si>
    <t>CG00803</t>
  </si>
  <si>
    <t>Tuân (HHTB) 0353496845</t>
  </si>
  <si>
    <t>0353496845</t>
  </si>
  <si>
    <t>CG00804</t>
  </si>
  <si>
    <t>Vượng (HHTB) 0936172393</t>
  </si>
  <si>
    <t>0936172393</t>
  </si>
  <si>
    <t>CG00805</t>
  </si>
  <si>
    <t>Quang (QGHD) 0972843369</t>
  </si>
  <si>
    <t>0972843369</t>
  </si>
  <si>
    <t>CG00806</t>
  </si>
  <si>
    <t>Nguyễn Xuân Sơn (TBTPHD) 141749948 0904695262</t>
  </si>
  <si>
    <t>0904695262</t>
  </si>
  <si>
    <t>CG00807</t>
  </si>
  <si>
    <t>Công ty TNHH Trọng Đạt (TSBN) Hoa 0983175689</t>
  </si>
  <si>
    <t>2300235510</t>
  </si>
  <si>
    <t>0983175689</t>
  </si>
  <si>
    <t>CG00808</t>
  </si>
  <si>
    <t>Dũng (PLHNA) 0912557377</t>
  </si>
  <si>
    <t>0912557377</t>
  </si>
  <si>
    <t>CG00809</t>
  </si>
  <si>
    <t>Lý (YDTH) 0334530745</t>
  </si>
  <si>
    <t>0334530745</t>
  </si>
  <si>
    <t>CG00810</t>
  </si>
  <si>
    <t>Khải (TSBN) 0972302325</t>
  </si>
  <si>
    <t>0972302325</t>
  </si>
  <si>
    <t>CG00811</t>
  </si>
  <si>
    <t>Trần Văn Tiến (VTHNA) 017394354 0976850526</t>
  </si>
  <si>
    <t>0916065526</t>
  </si>
  <si>
    <t>CG00812</t>
  </si>
  <si>
    <t>Trâm (DCNA) 0916952426</t>
  </si>
  <si>
    <t>0916952426</t>
  </si>
  <si>
    <t>CG00813</t>
  </si>
  <si>
    <t>Thơ (HHND) 0912910836</t>
  </si>
  <si>
    <t>0912910836</t>
  </si>
  <si>
    <t>CG00814</t>
  </si>
  <si>
    <t>Thành (HHND) 0904646220</t>
  </si>
  <si>
    <t>0904646220</t>
  </si>
  <si>
    <t>CG00815</t>
  </si>
  <si>
    <t>Khải (TTIHN) 0912365135</t>
  </si>
  <si>
    <t>0912365135</t>
  </si>
  <si>
    <t>CG00816</t>
  </si>
  <si>
    <t>Hoa (TBPT) 0912104744</t>
  </si>
  <si>
    <t>Thanh Ba, Phú Thọ</t>
  </si>
  <si>
    <t>0912104744</t>
  </si>
  <si>
    <t>CG00817</t>
  </si>
  <si>
    <t>Phụng (TPQT) 0914226165</t>
  </si>
  <si>
    <t>TP. Quảng Trị, Quảng Trị</t>
  </si>
  <si>
    <t>0914226165</t>
  </si>
  <si>
    <t>CG00818</t>
  </si>
  <si>
    <t>0989653191</t>
  </si>
  <si>
    <t>CG00819</t>
  </si>
  <si>
    <t>Vũ Đình Nam (CLND) 036078006519 0915183714 0328295101</t>
  </si>
  <si>
    <t>0915183714</t>
  </si>
  <si>
    <t>CG00821</t>
  </si>
  <si>
    <t>Nguyễn Danh Hào (HHTB) 03459005118 0912401009</t>
  </si>
  <si>
    <t>0912401009</t>
  </si>
  <si>
    <t>CG00822</t>
  </si>
  <si>
    <t>Quân (TPTN) 0983794409</t>
  </si>
  <si>
    <t>0983794409</t>
  </si>
  <si>
    <t>CG00823</t>
  </si>
  <si>
    <t>Ngừ (LNHNA) 0987987808</t>
  </si>
  <si>
    <t>Lý Nhân, Hà Nam</t>
  </si>
  <si>
    <t>0987987808</t>
  </si>
  <si>
    <t>CG00825</t>
  </si>
  <si>
    <t>Lâm (CNHN) 0913524725</t>
  </si>
  <si>
    <t>0913524725</t>
  </si>
  <si>
    <t>CG00826</t>
  </si>
  <si>
    <t>Công ty CP Chế Biến TM Lâm Sản Đức Việt (HHND) Tùng 0975314282 0600970190</t>
  </si>
  <si>
    <t>0600970190</t>
  </si>
  <si>
    <t>0975314282</t>
  </si>
  <si>
    <t>CG00827</t>
  </si>
  <si>
    <t>Hựu (QGHD) 0934345379</t>
  </si>
  <si>
    <t>0934345379</t>
  </si>
  <si>
    <t>CG00829</t>
  </si>
  <si>
    <t>Vinh (PCPT) 0985172456</t>
  </si>
  <si>
    <t>Phong Châu, Phú Thọ</t>
  </si>
  <si>
    <t>0985172456</t>
  </si>
  <si>
    <t>CG00830</t>
  </si>
  <si>
    <t>Thanh (VTVP) 0987471443</t>
  </si>
  <si>
    <t>CG00831</t>
  </si>
  <si>
    <t>Hải Ngân (TPHN) 0915543333</t>
  </si>
  <si>
    <t>TP. Hà Nội</t>
  </si>
  <si>
    <t>0915543333</t>
  </si>
  <si>
    <t>CG00832</t>
  </si>
  <si>
    <t>An (NDNA) 0947107577</t>
  </si>
  <si>
    <t>0947107577</t>
  </si>
  <si>
    <t>CG00833</t>
  </si>
  <si>
    <t>Thanh (CGHD) 0987052212</t>
  </si>
  <si>
    <t>0987052212</t>
  </si>
  <si>
    <t>CG00834</t>
  </si>
  <si>
    <t>Hiệp (HDHN) 0903260657</t>
  </si>
  <si>
    <t>0903260657</t>
  </si>
  <si>
    <t>CG00835</t>
  </si>
  <si>
    <t>Trương Văn Ảnh (DDTTBN) 125007901 0977688007</t>
  </si>
  <si>
    <t>Đại Đồng, Thuận Thành, Bắc Ninh</t>
  </si>
  <si>
    <t>0977688007</t>
  </si>
  <si>
    <t>CG00836</t>
  </si>
  <si>
    <t>Hiếu (HDHN) 0798836789</t>
  </si>
  <si>
    <t>0798836789</t>
  </si>
  <si>
    <t>CG00837</t>
  </si>
  <si>
    <t>Tình (CNHN) 0912044147</t>
  </si>
  <si>
    <t>0912044147</t>
  </si>
  <si>
    <t>CG00838</t>
  </si>
  <si>
    <t>Thao (QGHD) 0906229047</t>
  </si>
  <si>
    <t>0906229047</t>
  </si>
  <si>
    <t>CG00839</t>
  </si>
  <si>
    <t>Tạo (TPBN) 0912972161</t>
  </si>
  <si>
    <t>0912972161</t>
  </si>
  <si>
    <t>CG00840</t>
  </si>
  <si>
    <t>Sáu (DVHNA) 0912203244</t>
  </si>
  <si>
    <t>0912203244</t>
  </si>
  <si>
    <t>CG00841</t>
  </si>
  <si>
    <t>Hoàn (DAHN) 0912630441</t>
  </si>
  <si>
    <t>0912630441</t>
  </si>
  <si>
    <t>CG00842</t>
  </si>
  <si>
    <t>Nguyễn Quang Thụy (XLGBBN) 125350828 02413506530 0988084543</t>
  </si>
  <si>
    <t>Xuân Lai, Gia Bình, Bắc Ninh</t>
  </si>
  <si>
    <t>0988084543</t>
  </si>
  <si>
    <t>CG00843</t>
  </si>
  <si>
    <t>Khải (TPTN) 0354101999</t>
  </si>
  <si>
    <t>0354101999</t>
  </si>
  <si>
    <t>CG00844</t>
  </si>
  <si>
    <t>Hùng (BTHN) 0982771570</t>
  </si>
  <si>
    <t>0982771570</t>
  </si>
  <si>
    <t>CG00845</t>
  </si>
  <si>
    <t>Quynh (QGHD) 0904119355</t>
  </si>
  <si>
    <t>0904119355</t>
  </si>
  <si>
    <t>CG00846</t>
  </si>
  <si>
    <t>Lê Văn Thưởng (CLND) 036076005970 0912307748</t>
  </si>
  <si>
    <t>0912307748</t>
  </si>
  <si>
    <t>CG00848</t>
  </si>
  <si>
    <t>Nam (TKHD) 0973505531</t>
  </si>
  <si>
    <t>0973505531</t>
  </si>
  <si>
    <t>CG00849</t>
  </si>
  <si>
    <t>Tuấn Phúc (HDHN) 0912766567</t>
  </si>
  <si>
    <t>0912766567</t>
  </si>
  <si>
    <t>CG00850</t>
  </si>
  <si>
    <t>Ca (TPTN) 0983899137</t>
  </si>
  <si>
    <t>0983899137</t>
  </si>
  <si>
    <t>CG00851</t>
  </si>
  <si>
    <t>Tuấn (TPTH) 0916808891</t>
  </si>
  <si>
    <t>0916808891</t>
  </si>
  <si>
    <t>CG00852</t>
  </si>
  <si>
    <t>Hùng (CGHD) 0973932932</t>
  </si>
  <si>
    <t>0973932932</t>
  </si>
  <si>
    <t>CG00853</t>
  </si>
  <si>
    <t>Hà Đăng Ninh (TPNB) 037083005275 0967508383</t>
  </si>
  <si>
    <t>Nam Thành, TP. Ninh Bình, Ninh Bình</t>
  </si>
  <si>
    <t>0967508383</t>
  </si>
  <si>
    <t>CG00854</t>
  </si>
  <si>
    <t>Tân (MDHP) 0934287169</t>
  </si>
  <si>
    <t>0934287169</t>
  </si>
  <si>
    <t>CG00855</t>
  </si>
  <si>
    <t>Quang (HHND) 0979885588</t>
  </si>
  <si>
    <t>0979885588</t>
  </si>
  <si>
    <t>CG00856</t>
  </si>
  <si>
    <t>Nguyễn Đình Hiệp (GLHD) 0321994215 0988315172</t>
  </si>
  <si>
    <t>0988315172</t>
  </si>
  <si>
    <t>CG00857</t>
  </si>
  <si>
    <t>Lai (TTIHN) 0352505226</t>
  </si>
  <si>
    <t>0352505226</t>
  </si>
  <si>
    <t>CG00858</t>
  </si>
  <si>
    <t>Phí Bá Tuấn (CSTTHN) 111245156 0915376649</t>
  </si>
  <si>
    <t>Chàng Sơn, Thạch Thất, Hà Nội</t>
  </si>
  <si>
    <t>0915376649</t>
  </si>
  <si>
    <t>CG00859</t>
  </si>
  <si>
    <t>Nhi (TMHD) 0983204378</t>
  </si>
  <si>
    <t>0983204378</t>
  </si>
  <si>
    <t>CG00861</t>
  </si>
  <si>
    <t>Hậu (TNHP) 0986982037</t>
  </si>
  <si>
    <t>0986982037</t>
  </si>
  <si>
    <t>CG00862</t>
  </si>
  <si>
    <t>Long (HHND) 0855009228</t>
  </si>
  <si>
    <t>0855009228</t>
  </si>
  <si>
    <t>CG00863</t>
  </si>
  <si>
    <t>Tuấn (TPBG) 0912836615</t>
  </si>
  <si>
    <t>0912836615</t>
  </si>
  <si>
    <t>CG00864</t>
  </si>
  <si>
    <t>Nguyễn Văn Xuyên (QCHD) 142275274 0982543912</t>
  </si>
  <si>
    <t>0982543912</t>
  </si>
  <si>
    <t>CG00865</t>
  </si>
  <si>
    <t>Tuấn (TPLS) 0913298440</t>
  </si>
  <si>
    <t>0913298440</t>
  </si>
  <si>
    <t>CG00866</t>
  </si>
  <si>
    <t>Thắng Cược (TPHP) 0974933363</t>
  </si>
  <si>
    <t>TP. Hải Phòng</t>
  </si>
  <si>
    <t>0974933363</t>
  </si>
  <si>
    <t>CG00867</t>
  </si>
  <si>
    <t>Luân (LNABG) 0985213648</t>
  </si>
  <si>
    <t>Lục Nam, Bắc Giang</t>
  </si>
  <si>
    <t>0985213648</t>
  </si>
  <si>
    <t>CG00868</t>
  </si>
  <si>
    <t>Sáu (HHND) 0948345107</t>
  </si>
  <si>
    <t>0948345107</t>
  </si>
  <si>
    <t>CG00869</t>
  </si>
  <si>
    <t>Tạ Ngọc Sinh (YMYMNB) 161814183 0905068416</t>
  </si>
  <si>
    <t>Yên Mỹ, Yên Mô, Ninh Bình</t>
  </si>
  <si>
    <t>0905068416</t>
  </si>
  <si>
    <t>CG00870</t>
  </si>
  <si>
    <t>Bính (HHND) 0915302986</t>
  </si>
  <si>
    <t>0915302986</t>
  </si>
  <si>
    <t>CG00871</t>
  </si>
  <si>
    <t>Đạo (TPHY) 0976821893</t>
  </si>
  <si>
    <t>0976821893</t>
  </si>
  <si>
    <t>CG00872</t>
  </si>
  <si>
    <t>Nghĩa (TTHN) 0914622120</t>
  </si>
  <si>
    <t>0914622120</t>
  </si>
  <si>
    <t>CG00873</t>
  </si>
  <si>
    <t>Điệp (MDHP) 0989955931</t>
  </si>
  <si>
    <t>0989955931</t>
  </si>
  <si>
    <t>CG00874</t>
  </si>
  <si>
    <t>Thao (MDHP) 0963388563</t>
  </si>
  <si>
    <t>0963388563</t>
  </si>
  <si>
    <t>CG00875</t>
  </si>
  <si>
    <t>Quang (TPTH) 0912275065</t>
  </si>
  <si>
    <t>0912275065</t>
  </si>
  <si>
    <t>CG00876</t>
  </si>
  <si>
    <t>Thanh (DLNA) 0984963414</t>
  </si>
  <si>
    <t>0984963414</t>
  </si>
  <si>
    <t>CG00877</t>
  </si>
  <si>
    <t>Ninh Văn Hải (YNYYND) 036085011155 0947948189</t>
  </si>
  <si>
    <t>Yên Ninh, Ý Yên, Nam Định</t>
  </si>
  <si>
    <t>0947948189</t>
  </si>
  <si>
    <t>CG00879</t>
  </si>
  <si>
    <t>Chỉnh (Đức Tín) 0983434062</t>
  </si>
  <si>
    <t>0983434062</t>
  </si>
  <si>
    <t>CG00880</t>
  </si>
  <si>
    <t>Nguyễn Văn Đạt (QTTLHP) 031082002882 0912794076</t>
  </si>
  <si>
    <t>Quyết Tiến, Tiên Lãng, Hải Phòng</t>
  </si>
  <si>
    <t>0912794076</t>
  </si>
  <si>
    <t>CG00881</t>
  </si>
  <si>
    <t>Nhất (TTIHN) 0984918599</t>
  </si>
  <si>
    <t>0984918599</t>
  </si>
  <si>
    <t>CG00882</t>
  </si>
  <si>
    <t>Luân (DHTB) 0961056970</t>
  </si>
  <si>
    <t>0961056970</t>
  </si>
  <si>
    <t>CG00883</t>
  </si>
  <si>
    <t>Dương (DHTB) 0912839748</t>
  </si>
  <si>
    <t>0912839748</t>
  </si>
  <si>
    <t>CG00885</t>
  </si>
  <si>
    <t>Được (TPHN) 0968197756</t>
  </si>
  <si>
    <t>0968197756</t>
  </si>
  <si>
    <t>CG00886</t>
  </si>
  <si>
    <t>Hoàng (TPBG) 0915686968</t>
  </si>
  <si>
    <t>0915686968</t>
  </si>
  <si>
    <t>CG00887</t>
  </si>
  <si>
    <t>Linh (MDHP) 0906853826</t>
  </si>
  <si>
    <t>0906853826</t>
  </si>
  <si>
    <t>CG00888</t>
  </si>
  <si>
    <t>Vũ Văn Thắng (QGHD) 145538584 0902094352 0968702552</t>
  </si>
  <si>
    <t>0968702552</t>
  </si>
  <si>
    <t>CG00889</t>
  </si>
  <si>
    <t>Quảng (TPTH) 0912275065</t>
  </si>
  <si>
    <t>CG00891</t>
  </si>
  <si>
    <t>Trương Văn Tuyến (QTHP) 0313670305 0912726582</t>
  </si>
  <si>
    <t>An Hưng, An Dương, Hải Phòng</t>
  </si>
  <si>
    <t>0912726582</t>
  </si>
  <si>
    <t>CG00892</t>
  </si>
  <si>
    <t>0904616304</t>
  </si>
  <si>
    <t>CG00893</t>
  </si>
  <si>
    <t>Lượng (TPTH) 0903223818</t>
  </si>
  <si>
    <t>0903223818</t>
  </si>
  <si>
    <t>CG00894</t>
  </si>
  <si>
    <t>Bình (TPTH) 0904738212</t>
  </si>
  <si>
    <t>0904738212</t>
  </si>
  <si>
    <t>CG00895</t>
  </si>
  <si>
    <t>Tiến (YPBN) 0936670943</t>
  </si>
  <si>
    <t>0936670943</t>
  </si>
  <si>
    <t>CG00896</t>
  </si>
  <si>
    <t>Công ty TNHH Thương mại Đại Lợi (YMHY) 0984883883</t>
  </si>
  <si>
    <t>Quảng Uyên, xã Minh Châu, huyện Yên Mỹ, tỉnh Hưng Yên</t>
  </si>
  <si>
    <t>0900220978</t>
  </si>
  <si>
    <t>0984883883</t>
  </si>
  <si>
    <t>CG00898</t>
  </si>
  <si>
    <t>Đức (TSTH) 0369608696</t>
  </si>
  <si>
    <t>0369608696</t>
  </si>
  <si>
    <t>CG00899</t>
  </si>
  <si>
    <t>Luyến (HDHN) 0984260832</t>
  </si>
  <si>
    <t>0984260832</t>
  </si>
  <si>
    <t>CG00900</t>
  </si>
  <si>
    <t>Dũng (LHHT) 0968975576</t>
  </si>
  <si>
    <t>Lộc Hà, Hà Tĩnh</t>
  </si>
  <si>
    <t>0968975576</t>
  </si>
  <si>
    <t>CG00901</t>
  </si>
  <si>
    <t>Ươm (YPBN) 0362760817</t>
  </si>
  <si>
    <t>0362760817</t>
  </si>
  <si>
    <t>CG00902</t>
  </si>
  <si>
    <t>Vinh (HHND) 0944696696</t>
  </si>
  <si>
    <t>0944696696</t>
  </si>
  <si>
    <t>CG00903</t>
  </si>
  <si>
    <t>Lý (XTND) 0913499096</t>
  </si>
  <si>
    <t>0913499096</t>
  </si>
  <si>
    <t>CG00904</t>
  </si>
  <si>
    <t>Đoàn Ngọc Bế (TLHY) 145624431 0982415325</t>
  </si>
  <si>
    <t>Thị Trấn Vương, Tiên Lữ, Hưng Yên</t>
  </si>
  <si>
    <t>0982415325</t>
  </si>
  <si>
    <t>CG00906</t>
  </si>
  <si>
    <t>Thảo (LTQB) 0947589119</t>
  </si>
  <si>
    <t>Lệ Thủy, Quảng Bình</t>
  </si>
  <si>
    <t>0947589119</t>
  </si>
  <si>
    <t>CG00907</t>
  </si>
  <si>
    <t>Hóa Chất (TPHN) 0916116767</t>
  </si>
  <si>
    <t>0916116767</t>
  </si>
  <si>
    <t>CG00908</t>
  </si>
  <si>
    <t>Thăng Long (TPHN) 0961136049</t>
  </si>
  <si>
    <t>0961136049</t>
  </si>
  <si>
    <t>CG00909</t>
  </si>
  <si>
    <t>Công ty TNHH XD &amp; TM Hiếu Nghĩa Nam (QPTB) Thêm 0912807888</t>
  </si>
  <si>
    <t>Đông Đô, Hưng Hà, Thái Bình</t>
  </si>
  <si>
    <t>1001129801</t>
  </si>
  <si>
    <t>0912807888</t>
  </si>
  <si>
    <t>CG00910</t>
  </si>
  <si>
    <t>Khắc (TTIHN) 0978029959</t>
  </si>
  <si>
    <t>0978029959</t>
  </si>
  <si>
    <t>CG00911</t>
  </si>
  <si>
    <t>Nguyễn Hữu Chung (TSTH) 038073010326 0387364763</t>
  </si>
  <si>
    <t>Thọ Vực, Triệu Sơn, Thanh Hóa</t>
  </si>
  <si>
    <t>0387364763</t>
  </si>
  <si>
    <t>CG00912</t>
  </si>
  <si>
    <t>Hợi (MDHP) 0913888869</t>
  </si>
  <si>
    <t>0913888869</t>
  </si>
  <si>
    <t>CG00913</t>
  </si>
  <si>
    <t>Trần Ngọc Thư (HVHHND) 162193271 0973288011</t>
  </si>
  <si>
    <t>0973288011</t>
  </si>
  <si>
    <t>CG00914</t>
  </si>
  <si>
    <t>Nguyễn Văn Cường (QTQXTH) 173833568 0978599014 0962447886</t>
  </si>
  <si>
    <t>Quảng Trường, Quảng Xương, Thanh Hóa</t>
  </si>
  <si>
    <t>0962447886</t>
  </si>
  <si>
    <t>CG00915</t>
  </si>
  <si>
    <t>Đại (PTHD) 0989268568</t>
  </si>
  <si>
    <t>0989268568</t>
  </si>
  <si>
    <t>CG00916</t>
  </si>
  <si>
    <t>Lưu (TPLS) 0987711976</t>
  </si>
  <si>
    <t>0987711976</t>
  </si>
  <si>
    <t>CG00917</t>
  </si>
  <si>
    <t>Hòa (TPNB) 0947778666</t>
  </si>
  <si>
    <t>0947778666</t>
  </si>
  <si>
    <t>CG00918</t>
  </si>
  <si>
    <t>Cường (TTHN) 0946883533</t>
  </si>
  <si>
    <t>0946883533</t>
  </si>
  <si>
    <t>CG00919</t>
  </si>
  <si>
    <t>Hoàng Văn Thăng (HKHLQN) 030070002291 0913350422</t>
  </si>
  <si>
    <t>Hà Khẩu. Hạ Long, Quảng Ninh</t>
  </si>
  <si>
    <t>0913350422</t>
  </si>
  <si>
    <t>CG00920</t>
  </si>
  <si>
    <t>Ngọc (GTND) 0989661126</t>
  </si>
  <si>
    <t>0989661126</t>
  </si>
  <si>
    <t>CG00921</t>
  </si>
  <si>
    <t>Lâm Nghiệp (TPHN) 0912880220</t>
  </si>
  <si>
    <t>0912880220</t>
  </si>
  <si>
    <t>CG00923</t>
  </si>
  <si>
    <t>Dói (NSHD) 0936656464</t>
  </si>
  <si>
    <t>0936656464</t>
  </si>
  <si>
    <t>CG00925</t>
  </si>
  <si>
    <t>Mỳ (TTHN) 0943021470</t>
  </si>
  <si>
    <t>0943021470</t>
  </si>
  <si>
    <t>CG00926</t>
  </si>
  <si>
    <t>Mạnh (NGHD) 0986197398</t>
  </si>
  <si>
    <t>0986197398</t>
  </si>
  <si>
    <t>CG00927</t>
  </si>
  <si>
    <t>Sáng (TPHD) 0915052243</t>
  </si>
  <si>
    <t>0915052243</t>
  </si>
  <si>
    <t>CG00928</t>
  </si>
  <si>
    <t>Hiệp (VNA) 0902014616</t>
  </si>
  <si>
    <t>0902014616</t>
  </si>
  <si>
    <t>CG00929</t>
  </si>
  <si>
    <t>Hải (VBHP) 0982284012</t>
  </si>
  <si>
    <t>0982284012</t>
  </si>
  <si>
    <t>CG00931</t>
  </si>
  <si>
    <t>Nguyên (QVBN) 0912330389</t>
  </si>
  <si>
    <t>0912330389</t>
  </si>
  <si>
    <t>CG00932</t>
  </si>
  <si>
    <t>Phạm Văn Vũ (VTTTIHN) 1122335981 0915946969</t>
  </si>
  <si>
    <t>0915946969</t>
  </si>
  <si>
    <t>CG00933</t>
  </si>
  <si>
    <t>Trang (YPBN) 0913084297</t>
  </si>
  <si>
    <t>0913084297</t>
  </si>
  <si>
    <t>CG00934</t>
  </si>
  <si>
    <t>Hà (TDNB) 0976169888</t>
  </si>
  <si>
    <t>0976169888</t>
  </si>
  <si>
    <t>CG00936</t>
  </si>
  <si>
    <t>Mạnh (HHND) 0914572778</t>
  </si>
  <si>
    <t>0914572778</t>
  </si>
  <si>
    <t>CG00937</t>
  </si>
  <si>
    <t>Trần Văn Tuyến (BSHDHN) 111783927 0942995996</t>
  </si>
  <si>
    <t>0942995996</t>
  </si>
  <si>
    <t>CG00938</t>
  </si>
  <si>
    <t>Sinh (TPQB) 0916203158</t>
  </si>
  <si>
    <t>0916203158</t>
  </si>
  <si>
    <t>CG00939</t>
  </si>
  <si>
    <t>Lê Thị Nhài (TPNB) Tỵ 037185005638 0913346712</t>
  </si>
  <si>
    <t>Gia Lập, Gia Viễn, Ninh Bình</t>
  </si>
  <si>
    <t>0913346712</t>
  </si>
  <si>
    <t>CG00940</t>
  </si>
  <si>
    <t>Thu (YLHNA) 0912331788</t>
  </si>
  <si>
    <t>0912331788</t>
  </si>
  <si>
    <t>CG00941</t>
  </si>
  <si>
    <t>Sự (LGBG) 0985552222</t>
  </si>
  <si>
    <t>Lạng Giang, Bắc Giang</t>
  </si>
  <si>
    <t>0985552222</t>
  </si>
  <si>
    <t>CG00942</t>
  </si>
  <si>
    <t>Tuyến (HHND) 0915040215</t>
  </si>
  <si>
    <t>0915040215</t>
  </si>
  <si>
    <t>CG00943</t>
  </si>
  <si>
    <t>Thuận (TPTH) 0382392451</t>
  </si>
  <si>
    <t>0382392451</t>
  </si>
  <si>
    <t>CG00944</t>
  </si>
  <si>
    <t>Khánh (DCNA) 0988767789</t>
  </si>
  <si>
    <t>0988767789</t>
  </si>
  <si>
    <t>CG00945</t>
  </si>
  <si>
    <t>Chiến (KTHP) 0904380225</t>
  </si>
  <si>
    <t>0904380225</t>
  </si>
  <si>
    <t>CG00946</t>
  </si>
  <si>
    <t>Tài (BDQB) 0971990043</t>
  </si>
  <si>
    <t>Ba Đồn, Quảng Bình</t>
  </si>
  <si>
    <t>0971990043</t>
  </si>
  <si>
    <t>CG00947</t>
  </si>
  <si>
    <t>Hồng (LGBG) 0973962222</t>
  </si>
  <si>
    <t>0973962222</t>
  </si>
  <si>
    <t>CG00948</t>
  </si>
  <si>
    <t>Thép (CGHD) 0913311266</t>
  </si>
  <si>
    <t>0913311266</t>
  </si>
  <si>
    <t>CG00949</t>
  </si>
  <si>
    <t>0987445379</t>
  </si>
  <si>
    <t>CG00950</t>
  </si>
  <si>
    <t>Nên (DHTB) 0982577997</t>
  </si>
  <si>
    <t>0982577997</t>
  </si>
  <si>
    <t>CG00951</t>
  </si>
  <si>
    <t>Thao (QGHD) 0384498962</t>
  </si>
  <si>
    <t>0384498962</t>
  </si>
  <si>
    <t>CG00952</t>
  </si>
  <si>
    <t>Hảo (PCBN) 0397636928</t>
  </si>
  <si>
    <t>CG00953</t>
  </si>
  <si>
    <t>Dương (VKBG) 0985663456</t>
  </si>
  <si>
    <t>0985663456</t>
  </si>
  <si>
    <t>CG00954</t>
  </si>
  <si>
    <t>Trường (QXTH) 0979492949</t>
  </si>
  <si>
    <t>Quảng Xương, Thanh Hóa</t>
  </si>
  <si>
    <t>0979492949</t>
  </si>
  <si>
    <t>CG00955</t>
  </si>
  <si>
    <t>Hải (NCTH) 0982622016</t>
  </si>
  <si>
    <t>Nông Cống, Thanh Hóa</t>
  </si>
  <si>
    <t>0982622016</t>
  </si>
  <si>
    <t>CG00956</t>
  </si>
  <si>
    <t>Phương (TPTN) 0987539562</t>
  </si>
  <si>
    <t>0987539562</t>
  </si>
  <si>
    <t>CG00957</t>
  </si>
  <si>
    <t>Minh (DXHN) 0973275473</t>
  </si>
  <si>
    <t>0973275473</t>
  </si>
  <si>
    <t>CG00958</t>
  </si>
  <si>
    <t>Ánh (PCBN) 0976294706</t>
  </si>
  <si>
    <t>0976294706</t>
  </si>
  <si>
    <t>CG00959</t>
  </si>
  <si>
    <t>0963188831</t>
  </si>
  <si>
    <t>CG00960</t>
  </si>
  <si>
    <t>Lập (DXHN) 0915899894</t>
  </si>
  <si>
    <t>0915899894</t>
  </si>
  <si>
    <t>CG00961</t>
  </si>
  <si>
    <t>Khuyên (TTHN) 0912456193</t>
  </si>
  <si>
    <t>0912456193</t>
  </si>
  <si>
    <t>CG00962</t>
  </si>
  <si>
    <t>Tùng (DXHN) 0965637966</t>
  </si>
  <si>
    <t>0965637966</t>
  </si>
  <si>
    <t>CG00963</t>
  </si>
  <si>
    <t>Vũ Đình Khải (LDCGHD) 030068001687 0973034055</t>
  </si>
  <si>
    <t>Lương Điền, Cẩm Giàng, Hải Dương</t>
  </si>
  <si>
    <t>0973034055</t>
  </si>
  <si>
    <t>CG00964</t>
  </si>
  <si>
    <t>Nguyễn Văn Tấn (TPTB) 151646708 0906140267</t>
  </si>
  <si>
    <t>Vũ Linh, Kiến Xương, Thái Bình</t>
  </si>
  <si>
    <t>0906140267</t>
  </si>
  <si>
    <t>CG00965</t>
  </si>
  <si>
    <t>Khang (PCBN) 0915236369</t>
  </si>
  <si>
    <t>0915236369</t>
  </si>
  <si>
    <t>CG00967</t>
  </si>
  <si>
    <t>Mến (VBHP) 0904518318</t>
  </si>
  <si>
    <t>0904518318</t>
  </si>
  <si>
    <t>CG00968</t>
  </si>
  <si>
    <t>Ngọc (DAHN) 0965831986</t>
  </si>
  <si>
    <t>0965831986</t>
  </si>
  <si>
    <t>CG00969</t>
  </si>
  <si>
    <t>Cảnh (TPHP) 0979636688</t>
  </si>
  <si>
    <t>0979636688</t>
  </si>
  <si>
    <t>CG00970</t>
  </si>
  <si>
    <t>Khiêm (LNBG) 0984163406</t>
  </si>
  <si>
    <t>0984163406</t>
  </si>
  <si>
    <t>CG00971</t>
  </si>
  <si>
    <t>Tùng (MDHP) 0989888626</t>
  </si>
  <si>
    <t>0989888626</t>
  </si>
  <si>
    <t>CG00972</t>
  </si>
  <si>
    <t>Va (DDTB) 0904513055</t>
  </si>
  <si>
    <t>0904513055</t>
  </si>
  <si>
    <t>CG00973</t>
  </si>
  <si>
    <t>Thắng (TSBN) 0987725648</t>
  </si>
  <si>
    <t>0987725648</t>
  </si>
  <si>
    <t>CG00974</t>
  </si>
  <si>
    <t>Hợp tác xã chế biến gỗ Quang Khỏe (TPHD) Khỏe đen 0912437433</t>
  </si>
  <si>
    <t>0800246556</t>
  </si>
  <si>
    <t>0912437433</t>
  </si>
  <si>
    <t>CG00976</t>
  </si>
  <si>
    <t>Bình (DAHN) 0983739523</t>
  </si>
  <si>
    <t>0983739523</t>
  </si>
  <si>
    <t>CG00977</t>
  </si>
  <si>
    <t>Điện (THTB) 0984989050</t>
  </si>
  <si>
    <t>0984989050</t>
  </si>
  <si>
    <t>CG00978</t>
  </si>
  <si>
    <t>Ha (BTHN) 0986927341</t>
  </si>
  <si>
    <t>0986927341</t>
  </si>
  <si>
    <t>CG00979</t>
  </si>
  <si>
    <t>Nguyên Văn Tiến (DTTSBN) 125608996 0912615472</t>
  </si>
  <si>
    <t>Đông Thọ, Từ Sơn, Bắc Ninh</t>
  </si>
  <si>
    <t>0912615472</t>
  </si>
  <si>
    <t>CG00981</t>
  </si>
  <si>
    <t>Nguyễn Văn Dũng (MDTNHP) 031080003531 0986857915</t>
  </si>
  <si>
    <t>0986857915</t>
  </si>
  <si>
    <t>CG00982</t>
  </si>
  <si>
    <t>Việt (TPHD) 0988600277 0911448599</t>
  </si>
  <si>
    <t>0911448599</t>
  </si>
  <si>
    <t>CG00983</t>
  </si>
  <si>
    <t>Nguyễn Văn Nam (KXTPBN) 125002874 0912394990</t>
  </si>
  <si>
    <t>Khúc Xuyên, TP. Bắc Ninh</t>
  </si>
  <si>
    <t>0912394990</t>
  </si>
  <si>
    <t>CG00984</t>
  </si>
  <si>
    <t>Quang (QPTB) 0985570396</t>
  </si>
  <si>
    <t>0985570396</t>
  </si>
  <si>
    <t>CG00985</t>
  </si>
  <si>
    <t>Vượng (TPNB) 0912860599</t>
  </si>
  <si>
    <t>0912860599</t>
  </si>
  <si>
    <t>CG00986</t>
  </si>
  <si>
    <t>Sơn (TTIHN) 0915946655</t>
  </si>
  <si>
    <t>0915946655</t>
  </si>
  <si>
    <t>CG00987</t>
  </si>
  <si>
    <t>Tuyên (SSHN) 0912133533</t>
  </si>
  <si>
    <t>0912133533</t>
  </si>
  <si>
    <t>CG00988</t>
  </si>
  <si>
    <t>San (KTHP) 0313505375</t>
  </si>
  <si>
    <t>0313505375</t>
  </si>
  <si>
    <t>CG00989</t>
  </si>
  <si>
    <t>Tám (TSBN) 0915033193</t>
  </si>
  <si>
    <t>0915033193</t>
  </si>
  <si>
    <t>CG00990</t>
  </si>
  <si>
    <t>Tuyên (MDHP) 0986261668</t>
  </si>
  <si>
    <t>0986261668</t>
  </si>
  <si>
    <t>CG00991</t>
  </si>
  <si>
    <t>Thắng (DSTH) 0934436620</t>
  </si>
  <si>
    <t>0934436620</t>
  </si>
  <si>
    <t>CG00992</t>
  </si>
  <si>
    <t>0977141199</t>
  </si>
  <si>
    <t>CG00993</t>
  </si>
  <si>
    <t>Mạnh Đức (TSBN) 0913260274</t>
  </si>
  <si>
    <t>0913260274</t>
  </si>
  <si>
    <t>CG00995</t>
  </si>
  <si>
    <t>Ngọc (DXHN) 0986021998</t>
  </si>
  <si>
    <t>0986021998</t>
  </si>
  <si>
    <t>CG00996</t>
  </si>
  <si>
    <t>Nguyễn Văn Đạo (LTYTNA) 181550937 0982833632</t>
  </si>
  <si>
    <t>Long Thành, Yên Thành, Nghệ An</t>
  </si>
  <si>
    <t>0982833632</t>
  </si>
  <si>
    <t>CG00997</t>
  </si>
  <si>
    <t>Quang (DCNA) 0974569977</t>
  </si>
  <si>
    <t>0974569977</t>
  </si>
  <si>
    <t>CG00998</t>
  </si>
  <si>
    <t>Đức (TPTN) 0966598094</t>
  </si>
  <si>
    <t>0966598094</t>
  </si>
  <si>
    <t>CG00999</t>
  </si>
  <si>
    <t>Dũng (TPYB) 0985781999</t>
  </si>
  <si>
    <t>TP. Yên Bái, Yên Bái</t>
  </si>
  <si>
    <t>0985781999</t>
  </si>
  <si>
    <t>CG01000</t>
  </si>
  <si>
    <t>Chính (KTHP) 0787311646</t>
  </si>
  <si>
    <t>0787311646</t>
  </si>
  <si>
    <t>CG01001</t>
  </si>
  <si>
    <t>Long (DTHNA) 0985377907</t>
  </si>
  <si>
    <t>0985377907</t>
  </si>
  <si>
    <t>CG01002</t>
  </si>
  <si>
    <t>Tôn (THTB) 0978157300</t>
  </si>
  <si>
    <t>0978157300</t>
  </si>
  <si>
    <t>CG01003</t>
  </si>
  <si>
    <t>Điệt (THTB) 0904766215</t>
  </si>
  <si>
    <t>0904766215</t>
  </si>
  <si>
    <t>CG01004</t>
  </si>
  <si>
    <t>Trung (VDHN) 0902156368</t>
  </si>
  <si>
    <t>0902156368</t>
  </si>
  <si>
    <t>CG01005</t>
  </si>
  <si>
    <t>Hải (YYND) 0983183513</t>
  </si>
  <si>
    <t>0983183513</t>
  </si>
  <si>
    <t>CG01006</t>
  </si>
  <si>
    <t>0989355174</t>
  </si>
  <si>
    <t>CG01007</t>
  </si>
  <si>
    <t>Lương Xuân Uy (HHND) 162002579 0917837912 0915181310</t>
  </si>
  <si>
    <t>0915181310</t>
  </si>
  <si>
    <t>CG01008</t>
  </si>
  <si>
    <t>Ngô Quang Hùng (HVHHND) 036054002207 0857955752</t>
  </si>
  <si>
    <t>0857955752</t>
  </si>
  <si>
    <t>CG01009</t>
  </si>
  <si>
    <t>Ténh (LKHD) 0902025599</t>
  </si>
  <si>
    <t>Lai Khê, Kim Thành, Hải Dương</t>
  </si>
  <si>
    <t>0902025599</t>
  </si>
  <si>
    <t>CG01010</t>
  </si>
  <si>
    <t>Dương (TSBN) 0336146789</t>
  </si>
  <si>
    <t>0336146789</t>
  </si>
  <si>
    <t>CG01011</t>
  </si>
  <si>
    <t>Thừng (YYND) 0989534649</t>
  </si>
  <si>
    <t>0989534649</t>
  </si>
  <si>
    <t>CG01012</t>
  </si>
  <si>
    <t>Cận (YYND) 0948422372</t>
  </si>
  <si>
    <t>0948422372</t>
  </si>
  <si>
    <t>CG01013</t>
  </si>
  <si>
    <t>Hoàng (CGHD) 0978166668</t>
  </si>
  <si>
    <t>0978166668</t>
  </si>
  <si>
    <t>CG01014</t>
  </si>
  <si>
    <t>Vũ Hữu Phong (GLHD) 30077004753 0978357858</t>
  </si>
  <si>
    <t>0978357858</t>
  </si>
  <si>
    <t>CG01015</t>
  </si>
  <si>
    <t>Thịnh (TTIHN) 0373209259</t>
  </si>
  <si>
    <t>0373209259</t>
  </si>
  <si>
    <t>CG01016</t>
  </si>
  <si>
    <t>Oánh (VYBG) 0984378511</t>
  </si>
  <si>
    <t>0984378511</t>
  </si>
  <si>
    <t>CG01017</t>
  </si>
  <si>
    <t>Hiền (VYBG) 0919521718</t>
  </si>
  <si>
    <t>0919521718</t>
  </si>
  <si>
    <t>CG01018</t>
  </si>
  <si>
    <t>Sức cầm (YYND) 0948253777</t>
  </si>
  <si>
    <t>0948253777</t>
  </si>
  <si>
    <t>CG01019</t>
  </si>
  <si>
    <t>Động (TPNB) 0913031871</t>
  </si>
  <si>
    <t>0913031871</t>
  </si>
  <si>
    <t>CG01020</t>
  </si>
  <si>
    <t>Công ty TNHH Dương Mỹ (YYND) Điện 0983015034</t>
  </si>
  <si>
    <t>Giải Phóng, Trường Thi, Nam Định</t>
  </si>
  <si>
    <t>0600202456</t>
  </si>
  <si>
    <t>0983015034</t>
  </si>
  <si>
    <t>CG01021</t>
  </si>
  <si>
    <t>Trung (VNHP) 0902113873</t>
  </si>
  <si>
    <t>KCN Vĩnh Niệm, Hải Phòng</t>
  </si>
  <si>
    <t>0902113873</t>
  </si>
  <si>
    <t>CG01022</t>
  </si>
  <si>
    <t>Lê Duy Huỳnh (TTTHTH) 038064005198 0386691138</t>
  </si>
  <si>
    <t>Thiệu Trung, Thiệu Hóa, Thanh Hóa</t>
  </si>
  <si>
    <t>0386691138</t>
  </si>
  <si>
    <t>CG01023</t>
  </si>
  <si>
    <t>Đỗ Thị Nhung (HHTH) 173590039 0974026669</t>
  </si>
  <si>
    <t>Hoằng Kim, Hoằng Hóa, Thanh Hóa</t>
  </si>
  <si>
    <t>0974026669</t>
  </si>
  <si>
    <t>CG01024</t>
  </si>
  <si>
    <t>Hùng (HHND) 0912171174</t>
  </si>
  <si>
    <t>0912171174</t>
  </si>
  <si>
    <t>CG01025</t>
  </si>
  <si>
    <t>Lưu (DPHP) 0979831797</t>
  </si>
  <si>
    <t>0979831797</t>
  </si>
  <si>
    <t>CG01026</t>
  </si>
  <si>
    <t>Trưởng (HHND) 0916109981</t>
  </si>
  <si>
    <t>0916109981</t>
  </si>
  <si>
    <t>CG01027</t>
  </si>
  <si>
    <t>Khải (VBHP) 0913418680</t>
  </si>
  <si>
    <t>0913418680</t>
  </si>
  <si>
    <t>CG01028</t>
  </si>
  <si>
    <t>Trần Trọng Hướng (HTHHTH) 038078006242 0986234079</t>
  </si>
  <si>
    <t>0986234079</t>
  </si>
  <si>
    <t>CG01029</t>
  </si>
  <si>
    <t>Sáng (MDHP) 0902211003</t>
  </si>
  <si>
    <t>0902211003</t>
  </si>
  <si>
    <t>CG01030</t>
  </si>
  <si>
    <t>Việt (NGHD) 0975845176</t>
  </si>
  <si>
    <t>0975845176</t>
  </si>
  <si>
    <t>CG01031</t>
  </si>
  <si>
    <t>Cảnh (XTND) 0946566816</t>
  </si>
  <si>
    <t>0946566816</t>
  </si>
  <si>
    <t>CG01032</t>
  </si>
  <si>
    <t>Thầy Lộc (TPND) 0906052779</t>
  </si>
  <si>
    <t>0906052779</t>
  </si>
  <si>
    <t>CG01033</t>
  </si>
  <si>
    <t>Sỹ (MKQN) 0974209996</t>
  </si>
  <si>
    <t>0974209996</t>
  </si>
  <si>
    <t>CG01034</t>
  </si>
  <si>
    <t>Ngải (KXTB) 0986018859</t>
  </si>
  <si>
    <t>Kiến Xương, Thái Bình</t>
  </si>
  <si>
    <t>0986018859</t>
  </si>
  <si>
    <t>CG01035</t>
  </si>
  <si>
    <t>Đông (DHTB) 0988128269</t>
  </si>
  <si>
    <t>0988128269</t>
  </si>
  <si>
    <t>CG01036</t>
  </si>
  <si>
    <t>Long (YPBN) 0839498668</t>
  </si>
  <si>
    <t>0839498668</t>
  </si>
  <si>
    <t>CG01037</t>
  </si>
  <si>
    <t>Tứ (LNABG) 0796492977</t>
  </si>
  <si>
    <t>0796492977</t>
  </si>
  <si>
    <t>CG01038</t>
  </si>
  <si>
    <t>Nguyễn Đình Hoàn (LDHDHN) 111882356 0912394361</t>
  </si>
  <si>
    <t>0912394361</t>
  </si>
  <si>
    <t>CG01039</t>
  </si>
  <si>
    <t>Nghĩa (TPTB) 0916157222</t>
  </si>
  <si>
    <t>0916157222</t>
  </si>
  <si>
    <t>CG01040</t>
  </si>
  <si>
    <t>Thái Quang Dũng (TSDLNA) 183337809 0969677888</t>
  </si>
  <si>
    <t>Tràng Sơn, Đô Lương, Nghệ An</t>
  </si>
  <si>
    <t>0969677888</t>
  </si>
  <si>
    <t>CG01041</t>
  </si>
  <si>
    <t>Lữ (DTHT) 0984253977</t>
  </si>
  <si>
    <t>Đức Thọ, Hà Tĩnh</t>
  </si>
  <si>
    <t>0984253977</t>
  </si>
  <si>
    <t>CG01042</t>
  </si>
  <si>
    <t>Mạnh (VTVP) 0986916286</t>
  </si>
  <si>
    <t>0986916286</t>
  </si>
  <si>
    <t>CG01043</t>
  </si>
  <si>
    <t>Lưu Văn Thường (TLBXVP) 135659142 0986480735</t>
  </si>
  <si>
    <t>0986480735</t>
  </si>
  <si>
    <t>CG01044</t>
  </si>
  <si>
    <t>Việt ( TSBN) 0936151226</t>
  </si>
  <si>
    <t>0936151226</t>
  </si>
  <si>
    <t>CG01045</t>
  </si>
  <si>
    <t>Công ty CP xây dựng dịch vụ Thương mại Dương Hà (ATLTBN) Hà 0916933323</t>
  </si>
  <si>
    <t>An Thịnh, Lương Tài, Bắc Ninh</t>
  </si>
  <si>
    <t>2300761545</t>
  </si>
  <si>
    <t>0916933323</t>
  </si>
  <si>
    <t>CG01046</t>
  </si>
  <si>
    <t>Công ty TNHH sản xuất vận tải và thương mại Mi Linh (TXTH) Hùng 0947191157</t>
  </si>
  <si>
    <t>Nam Giang, Thọ Xuân, Thanh Hoá</t>
  </si>
  <si>
    <t>2801586809</t>
  </si>
  <si>
    <t>0947191157</t>
  </si>
  <si>
    <t>CG01047</t>
  </si>
  <si>
    <t>Bùi Văn Chiến (XTXTND) 036068003391 0987165272</t>
  </si>
  <si>
    <t>Xuân Trung, Xuân Trường, Nam Định</t>
  </si>
  <si>
    <t>0987165272</t>
  </si>
  <si>
    <t>CG01048</t>
  </si>
  <si>
    <t>Trọng (KSNB) 0987506113 0912580254</t>
  </si>
  <si>
    <t>0912580254</t>
  </si>
  <si>
    <t>CG01049</t>
  </si>
  <si>
    <t>Thùy (YYND) 0977476556</t>
  </si>
  <si>
    <t>0977476556</t>
  </si>
  <si>
    <t>CG01050</t>
  </si>
  <si>
    <t>Công ty TNHH Lâm Sản Đức Cường (HLTH) Thắng 0983058117</t>
  </si>
  <si>
    <t>Minh Lộc, Hậu Lộc, Thanh Hóa</t>
  </si>
  <si>
    <t>2802151649</t>
  </si>
  <si>
    <t>0983058117</t>
  </si>
  <si>
    <t>CG01051</t>
  </si>
  <si>
    <t>Thanh (DAHN) 0912573505</t>
  </si>
  <si>
    <t>0912573505</t>
  </si>
  <si>
    <t>CG01052</t>
  </si>
  <si>
    <t>Trần Thị Lập (VTYTNA) Trầm 186693982 0982868576</t>
  </si>
  <si>
    <t>Vĩnh Thành, Yên Thành, Nghệ An</t>
  </si>
  <si>
    <t>0982868576</t>
  </si>
  <si>
    <t>CG01053</t>
  </si>
  <si>
    <t>Tốt (HLQN) 0334925942</t>
  </si>
  <si>
    <t>0334925942</t>
  </si>
  <si>
    <t>CG01054</t>
  </si>
  <si>
    <t>Phước (KAHP) 0973255524</t>
  </si>
  <si>
    <t>0973255524</t>
  </si>
  <si>
    <t>CG01055</t>
  </si>
  <si>
    <t>Bách (HDHN) 0976258082</t>
  </si>
  <si>
    <t>0976258082</t>
  </si>
  <si>
    <t>CG01056</t>
  </si>
  <si>
    <t>Nguyễn Văn Tú (LHDAHN) 012897295 0358765996</t>
  </si>
  <si>
    <t>0358765996</t>
  </si>
  <si>
    <t>CG01057</t>
  </si>
  <si>
    <t>Tuân (VBND) 0988862520</t>
  </si>
  <si>
    <t>Vụ Bản, Nam Định</t>
  </si>
  <si>
    <t>0988862520</t>
  </si>
  <si>
    <t>CG01058</t>
  </si>
  <si>
    <t>Hảo (TSBN) 0968511389</t>
  </si>
  <si>
    <t>0968511389</t>
  </si>
  <si>
    <t>CG01059</t>
  </si>
  <si>
    <t>Lê Văn Hưng (TLTXTH) 038084007682 0984610833</t>
  </si>
  <si>
    <t>Thọ Lâm, Thọ Xuân, Thanh Hóa</t>
  </si>
  <si>
    <t>0984610833</t>
  </si>
  <si>
    <t>CG01060</t>
  </si>
  <si>
    <t>Dũng (TTHN) 0912970198</t>
  </si>
  <si>
    <t>0912970198</t>
  </si>
  <si>
    <t>CG01061</t>
  </si>
  <si>
    <t>Lê Văn Ước (MTTNHP) 031067005014 0936698259</t>
  </si>
  <si>
    <t>0936698259</t>
  </si>
  <si>
    <t>CG01062</t>
  </si>
  <si>
    <t>Bính (DCNA) 0972218894</t>
  </si>
  <si>
    <t>0972218894</t>
  </si>
  <si>
    <t>CG01063</t>
  </si>
  <si>
    <t>Công ty TNHH Trần Minh Chuật-Phú Mỹ (PCHY) Chuất 0912392055</t>
  </si>
  <si>
    <t>Quang Hưng, Phủ Cừ, Hưng Yên</t>
  </si>
  <si>
    <t>0900258033</t>
  </si>
  <si>
    <t>0912392055</t>
  </si>
  <si>
    <t>CG01064</t>
  </si>
  <si>
    <t>Hải (HDHN) 0989067636</t>
  </si>
  <si>
    <t>0989067636</t>
  </si>
  <si>
    <t>CG01065</t>
  </si>
  <si>
    <t>Thủy (NCTH) 0974471043</t>
  </si>
  <si>
    <t>0974471043</t>
  </si>
  <si>
    <t>CG01066</t>
  </si>
  <si>
    <t>Tứ (LNABG) 0782010425</t>
  </si>
  <si>
    <t>0782010425</t>
  </si>
  <si>
    <t>CG01067</t>
  </si>
  <si>
    <t>Tân (TTIHN) 0974318668</t>
  </si>
  <si>
    <t>0974318668</t>
  </si>
  <si>
    <t>CG01068</t>
  </si>
  <si>
    <t>Tường (TTIHN) 0834196688</t>
  </si>
  <si>
    <t>0834196688</t>
  </si>
  <si>
    <t>CG01069</t>
  </si>
  <si>
    <t>Đắc (PTHN) 0963487556</t>
  </si>
  <si>
    <t>0963487556</t>
  </si>
  <si>
    <t>CG01070</t>
  </si>
  <si>
    <t>Kha (VBG) 0912285686</t>
  </si>
  <si>
    <t>0912285686</t>
  </si>
  <si>
    <t>CG01071</t>
  </si>
  <si>
    <t>Vượng (BLHNA) 0987606320</t>
  </si>
  <si>
    <t>Bình Lục, Hà Nam</t>
  </si>
  <si>
    <t>0987606320</t>
  </si>
  <si>
    <t>CG01072</t>
  </si>
  <si>
    <t>Thọ (LNABG) 0378544723</t>
  </si>
  <si>
    <t>0378544723</t>
  </si>
  <si>
    <t>CG01073</t>
  </si>
  <si>
    <t>Hải (TPNB) 0328532018</t>
  </si>
  <si>
    <t>0328532018</t>
  </si>
  <si>
    <t>CG01074</t>
  </si>
  <si>
    <t>Đinh (VKBG) 0983419633</t>
  </si>
  <si>
    <t>0983419633</t>
  </si>
  <si>
    <t>CG01075</t>
  </si>
  <si>
    <t>Lực (KSNB) 0303507412</t>
  </si>
  <si>
    <t>0303507412</t>
  </si>
  <si>
    <t>CG01076</t>
  </si>
  <si>
    <t>Phiệt (TPTH) 0973736850</t>
  </si>
  <si>
    <t>0973736850</t>
  </si>
  <si>
    <t>CG01077</t>
  </si>
  <si>
    <t>Công ty TNHH một thành viên Nhất Phúc (HLTH) Nội 0904783534</t>
  </si>
  <si>
    <t>Phú Lộc, Hậu Lộc, Thanh Hóa</t>
  </si>
  <si>
    <t>2801879026</t>
  </si>
  <si>
    <t>0904783534</t>
  </si>
  <si>
    <t>CG01078</t>
  </si>
  <si>
    <t>Long (VNHP) 0961328268</t>
  </si>
  <si>
    <t>0961328268</t>
  </si>
  <si>
    <t>CG01079</t>
  </si>
  <si>
    <t>Tùng (YYND) 0915005013</t>
  </si>
  <si>
    <t>0915005013</t>
  </si>
  <si>
    <t>CG01080</t>
  </si>
  <si>
    <t>Sơn (TTIHN) 0989924422</t>
  </si>
  <si>
    <t>0989924422</t>
  </si>
  <si>
    <t>CG01081</t>
  </si>
  <si>
    <t>Phức (HHND) 0918538415</t>
  </si>
  <si>
    <t>0918538415</t>
  </si>
  <si>
    <t>CG01082</t>
  </si>
  <si>
    <t>Thi (TPTH) 0968161599</t>
  </si>
  <si>
    <t>0968161599</t>
  </si>
  <si>
    <t>CG01083</t>
  </si>
  <si>
    <t>Hoàng Văn Tấn (DHKTHP) 031086008510 0795399806</t>
  </si>
  <si>
    <t>Đại Hợp, Kiến Thụy, Hải Phòng</t>
  </si>
  <si>
    <t>0795399806</t>
  </si>
  <si>
    <t>CG01084</t>
  </si>
  <si>
    <t>Tư (PTHN) 0912664330</t>
  </si>
  <si>
    <t>0912664330</t>
  </si>
  <si>
    <t>CG01085</t>
  </si>
  <si>
    <t>Quyền (HHND) 0946055869</t>
  </si>
  <si>
    <t>0946055869</t>
  </si>
  <si>
    <t>CG01086</t>
  </si>
  <si>
    <t>Tuấn (YYND) 0389953333</t>
  </si>
  <si>
    <t>0389953333</t>
  </si>
  <si>
    <t>CG01087</t>
  </si>
  <si>
    <t>Tân (YLHNA) 0914598071</t>
  </si>
  <si>
    <t>0914598071</t>
  </si>
  <si>
    <t>CG01088</t>
  </si>
  <si>
    <t>Xích (TPH) 0913439227</t>
  </si>
  <si>
    <t>TP. Huế, Thừa Thiên Huế</t>
  </si>
  <si>
    <t>0913439227</t>
  </si>
  <si>
    <t>CG01089</t>
  </si>
  <si>
    <t>Lệ (TLVP) 0915054845</t>
  </si>
  <si>
    <t>0915054845</t>
  </si>
  <si>
    <t>CG01090</t>
  </si>
  <si>
    <t>Vinh (TLVP) 0912681299</t>
  </si>
  <si>
    <t>0912681299</t>
  </si>
  <si>
    <t>CG01091</t>
  </si>
  <si>
    <t>Ước (HDHN) 0989999699</t>
  </si>
  <si>
    <t>0989999699</t>
  </si>
  <si>
    <t>CG01092</t>
  </si>
  <si>
    <t>Toản (TTIHN) 0915075423</t>
  </si>
  <si>
    <t>0915075423</t>
  </si>
  <si>
    <t>CG01093</t>
  </si>
  <si>
    <t>Tân (TPHG) 0949558888</t>
  </si>
  <si>
    <t>TP. Hà Giang, Hà Giang</t>
  </si>
  <si>
    <t>0949558888</t>
  </si>
  <si>
    <t>CG01094</t>
  </si>
  <si>
    <t>Dương Thị Thanh (CHTTBN) 125011185 0903423228</t>
  </si>
  <si>
    <t xml:space="preserve"> Thị Trấn Hồ, Thuận Thành, Bắc Ninh</t>
  </si>
  <si>
    <t>0903423228</t>
  </si>
  <si>
    <t>CG01095</t>
  </si>
  <si>
    <t>Phương (YYND) 0986660300</t>
  </si>
  <si>
    <t>0986660300</t>
  </si>
  <si>
    <t>CG01096</t>
  </si>
  <si>
    <t>Bình (TKHD) 0944029096</t>
  </si>
  <si>
    <t>0944029096</t>
  </si>
  <si>
    <t>CG01097</t>
  </si>
  <si>
    <t>Việt (MDHP) 0917078388</t>
  </si>
  <si>
    <t>0917078388</t>
  </si>
  <si>
    <t>CG01098</t>
  </si>
  <si>
    <t>Sơn kho (MDHP) 0989855694</t>
  </si>
  <si>
    <t>0989855694</t>
  </si>
  <si>
    <t>CG01099</t>
  </si>
  <si>
    <t>0976345878</t>
  </si>
  <si>
    <t>CG01100</t>
  </si>
  <si>
    <t>Tiến (DAHN) 0904066358</t>
  </si>
  <si>
    <t>0904066358</t>
  </si>
  <si>
    <t>CG01101</t>
  </si>
  <si>
    <t>Bình (YMHY) 0834416396</t>
  </si>
  <si>
    <t>0834416396</t>
  </si>
  <si>
    <t>CG01102</t>
  </si>
  <si>
    <t>Thu (YYND) 0915005013 0949688950</t>
  </si>
  <si>
    <t>0949688950</t>
  </si>
  <si>
    <t>CG01103</t>
  </si>
  <si>
    <t>Lợi (YYND) 0986139749</t>
  </si>
  <si>
    <t>0986139749</t>
  </si>
  <si>
    <t>CG01104</t>
  </si>
  <si>
    <t>Chiến (TPTH) 0399545407</t>
  </si>
  <si>
    <t>0399545407</t>
  </si>
  <si>
    <t>CG01105</t>
  </si>
  <si>
    <t>Chi (VTVP) 0986836868</t>
  </si>
  <si>
    <t>0986836868</t>
  </si>
  <si>
    <t>CG01106</t>
  </si>
  <si>
    <t>Hiệp (YYND) 0919405345</t>
  </si>
  <si>
    <t>0919405345</t>
  </si>
  <si>
    <t>CG01107</t>
  </si>
  <si>
    <t>Thành (KTHP) 0913527803</t>
  </si>
  <si>
    <t>0913527803</t>
  </si>
  <si>
    <t>CG01108</t>
  </si>
  <si>
    <t>Trường (YLVP) 0913538395</t>
  </si>
  <si>
    <t>0913538395</t>
  </si>
  <si>
    <t>CG01109</t>
  </si>
  <si>
    <t>Hoàng Văn Dũng (HLHHTH) 174033157 0912959766</t>
  </si>
  <si>
    <t>0912959766</t>
  </si>
  <si>
    <t>CG01110</t>
  </si>
  <si>
    <t>Hùng (THTH) 0902239676</t>
  </si>
  <si>
    <t>Thiệu Hóa, Thanh Hóa</t>
  </si>
  <si>
    <t>0902239676</t>
  </si>
  <si>
    <t>CG01111</t>
  </si>
  <si>
    <t>Nghị (TPTH) 0918047622</t>
  </si>
  <si>
    <t>0918047622</t>
  </si>
  <si>
    <t>CG01112</t>
  </si>
  <si>
    <t>Hoàng (HNNA) 0979498567</t>
  </si>
  <si>
    <t>Hưng Nguyên, Nghệ An</t>
  </si>
  <si>
    <t>0979498567</t>
  </si>
  <si>
    <t>CG01113</t>
  </si>
  <si>
    <t>Quang (NVLHP) 0915348557</t>
  </si>
  <si>
    <t>Trại Lẻ, Lê Chân, Hải Phòng</t>
  </si>
  <si>
    <t>0915348557</t>
  </si>
  <si>
    <t>CG01114</t>
  </si>
  <si>
    <t>Tuấn (HXQT) 0919838559</t>
  </si>
  <si>
    <t>Hồ Xá, Vĩnh Linh, Quảng Trị</t>
  </si>
  <si>
    <t>0919838559</t>
  </si>
  <si>
    <t>CG01115</t>
  </si>
  <si>
    <t>Hoàng Văn Duy (HLLNHNA) 168506789 0972757972 0912151912</t>
  </si>
  <si>
    <t>Hợp Lý, Lý Nhân, Hà Nam</t>
  </si>
  <si>
    <t>0912151912</t>
  </si>
  <si>
    <t>CG01116</t>
  </si>
  <si>
    <t>Thịnh (TNHP) 0904636598</t>
  </si>
  <si>
    <t>Thủy Nguyên, Hải phòng</t>
  </si>
  <si>
    <t>0904636598</t>
  </si>
  <si>
    <t>CG01117</t>
  </si>
  <si>
    <t>Tuấn (GLHD) 0906179992</t>
  </si>
  <si>
    <t>0906179992</t>
  </si>
  <si>
    <t>CG01118</t>
  </si>
  <si>
    <t>Tuấn (KBHNA) 0976443430</t>
  </si>
  <si>
    <t>0976443430</t>
  </si>
  <si>
    <t>CG01119</t>
  </si>
  <si>
    <t>Hiếu (PCBN) 0384225612</t>
  </si>
  <si>
    <t>0384225612</t>
  </si>
  <si>
    <t>CG01120</t>
  </si>
  <si>
    <t>Vinh (QGHD) 0936834559</t>
  </si>
  <si>
    <t>0936834559</t>
  </si>
  <si>
    <t>CG01121</t>
  </si>
  <si>
    <t>Vũ Hữu Phong (GLHD) 03077004753 0965238889</t>
  </si>
  <si>
    <t>0965238889</t>
  </si>
  <si>
    <t>CG01122</t>
  </si>
  <si>
    <t>Bằng (TTHN) 0912178336</t>
  </si>
  <si>
    <t>0912178336</t>
  </si>
  <si>
    <t>CG01124</t>
  </si>
  <si>
    <t>Đương (THTB) 0936671423</t>
  </si>
  <si>
    <t>0936671423</t>
  </si>
  <si>
    <t>CG01125</t>
  </si>
  <si>
    <t>Úy (TGTH) 0962838668</t>
  </si>
  <si>
    <t>0962838668</t>
  </si>
  <si>
    <t>CG01126</t>
  </si>
  <si>
    <t>Thi (YPBN) 0976498461</t>
  </si>
  <si>
    <t>0976498461</t>
  </si>
  <si>
    <t>CG01127</t>
  </si>
  <si>
    <t>Thanh (BSTH) 0912709119</t>
  </si>
  <si>
    <t>0912709119</t>
  </si>
  <si>
    <t>CG01128</t>
  </si>
  <si>
    <t>Duẩn (LCHP) 0973895555</t>
  </si>
  <si>
    <t>0973895555</t>
  </si>
  <si>
    <t>CG01129</t>
  </si>
  <si>
    <t>Hoàng Tiến Hiếu (CSCMHN) Khoa 001071021688 0976490556</t>
  </si>
  <si>
    <t>Chúc Sơn, Chương Mỹ, Hà Nội</t>
  </si>
  <si>
    <t>0976490556</t>
  </si>
  <si>
    <t>CG01130</t>
  </si>
  <si>
    <t>Bích (TPQB) 0913094213</t>
  </si>
  <si>
    <t>0913094213</t>
  </si>
  <si>
    <t>CG01131</t>
  </si>
  <si>
    <t>Minh (DAHN) 0396811036</t>
  </si>
  <si>
    <t>0396811036</t>
  </si>
  <si>
    <t>CG01132</t>
  </si>
  <si>
    <t>Thu (TPND) 0944429894</t>
  </si>
  <si>
    <t>0944429894</t>
  </si>
  <si>
    <t>CG01133</t>
  </si>
  <si>
    <t>Văn (MDHP) 0965066848</t>
  </si>
  <si>
    <t>0965066848</t>
  </si>
  <si>
    <t>CG01134</t>
  </si>
  <si>
    <t>Tiếp (MDHP) 0985099846</t>
  </si>
  <si>
    <t>0985099846</t>
  </si>
  <si>
    <t>CG01135</t>
  </si>
  <si>
    <t>Tỉnh (HHND) 0973077727</t>
  </si>
  <si>
    <t>0973077727</t>
  </si>
  <si>
    <t>CG01136</t>
  </si>
  <si>
    <t>Bình (TLVP) 0947157629</t>
  </si>
  <si>
    <t>0947157629</t>
  </si>
  <si>
    <t>CG01137</t>
  </si>
  <si>
    <t>Hào (QOHN) 0912065359</t>
  </si>
  <si>
    <t>0912065359</t>
  </si>
  <si>
    <t>CG01138</t>
  </si>
  <si>
    <t>Ngọc (TTIHN) 0383464832</t>
  </si>
  <si>
    <t>0383464832</t>
  </si>
  <si>
    <t>CG01139</t>
  </si>
  <si>
    <t>Khánh (HDHN) 0943838877</t>
  </si>
  <si>
    <t>0943838877</t>
  </si>
  <si>
    <t>CG01140</t>
  </si>
  <si>
    <t>Phạm Xuân Trường (DDDCNA) 181397145 0978382800</t>
  </si>
  <si>
    <t>Diễn Đồng, Diễn Châu, Nghệ An</t>
  </si>
  <si>
    <t>0978382800</t>
  </si>
  <si>
    <t>CG01141</t>
  </si>
  <si>
    <t>Duẩn (MDHP) 0904786098</t>
  </si>
  <si>
    <t>0904786098</t>
  </si>
  <si>
    <t>CG01142</t>
  </si>
  <si>
    <t>Nguyễn Văn Hải (TPNB) 162014348 0913578957</t>
  </si>
  <si>
    <t>0913578957</t>
  </si>
  <si>
    <t>CG01143</t>
  </si>
  <si>
    <t>Sế (VBHP) 0988590070</t>
  </si>
  <si>
    <t>0988590070</t>
  </si>
  <si>
    <t>CG01144</t>
  </si>
  <si>
    <t>Hà (HDHN) 0349622681</t>
  </si>
  <si>
    <t>0349622681</t>
  </si>
  <si>
    <t>CG01145</t>
  </si>
  <si>
    <t>Lâm (TTHN) 0916144885</t>
  </si>
  <si>
    <t>0916144885</t>
  </si>
  <si>
    <t>CG01146</t>
  </si>
  <si>
    <t>Lĩnh (TNHP) 0912024632</t>
  </si>
  <si>
    <t>0912024632</t>
  </si>
  <si>
    <t>CG01147</t>
  </si>
  <si>
    <t>Nguyễn Đình Tuấn (KQKTHP) 031087001969 0977972974</t>
  </si>
  <si>
    <t>Kiến Quốc, Kiến Thụy, Hải Phòng</t>
  </si>
  <si>
    <t>0977972974</t>
  </si>
  <si>
    <t>CG01148</t>
  </si>
  <si>
    <t>Tuấn (DXHN) 0945957702</t>
  </si>
  <si>
    <t>0945957702</t>
  </si>
  <si>
    <t>CG01149</t>
  </si>
  <si>
    <t>Sáng (DAHN) 0913879599</t>
  </si>
  <si>
    <t>0913879599</t>
  </si>
  <si>
    <t>CG01150</t>
  </si>
  <si>
    <t>Trần Quốc Bình (DVTPTH) 171374524 0915469881</t>
  </si>
  <si>
    <t>Đông Vệ, TP. Thanh Hóa</t>
  </si>
  <si>
    <t>0915469881</t>
  </si>
  <si>
    <t>CG01151</t>
  </si>
  <si>
    <t>Sang Trọng (TPHCM) 0908756966</t>
  </si>
  <si>
    <t>0908756966</t>
  </si>
  <si>
    <t>CG01152</t>
  </si>
  <si>
    <t>Tạo (HLNB) 0913252833</t>
  </si>
  <si>
    <t>0913252833</t>
  </si>
  <si>
    <t>CG01153</t>
  </si>
  <si>
    <t>Nhân (VNA) 0967652269</t>
  </si>
  <si>
    <t>0967652269</t>
  </si>
  <si>
    <t>CG01154</t>
  </si>
  <si>
    <t>Dũng (CBTNA) 0912343294</t>
  </si>
  <si>
    <t>Cầu Bến Thủy 2, Vinh, Nghệ An</t>
  </si>
  <si>
    <t>0912343294</t>
  </si>
  <si>
    <t>CG01155</t>
  </si>
  <si>
    <t>Cần (TSTH) 0984610789</t>
  </si>
  <si>
    <t>0984610789</t>
  </si>
  <si>
    <t>CG01157</t>
  </si>
  <si>
    <t>Thắng (YYND) 0983385530</t>
  </si>
  <si>
    <t>0983385530</t>
  </si>
  <si>
    <t>CG01158</t>
  </si>
  <si>
    <t>Chuẩn (LNABG) 0977933070 0856901114</t>
  </si>
  <si>
    <t>0856901114</t>
  </si>
  <si>
    <t>CG01159</t>
  </si>
  <si>
    <t>Lê Văn Báu (TXTH) 171370643 0966174926 0392059569</t>
  </si>
  <si>
    <t>Thọ Hải, Thọ Xuân, Thanh Hóa</t>
  </si>
  <si>
    <t>0966174926</t>
  </si>
  <si>
    <t>CG01160</t>
  </si>
  <si>
    <t>Phúc (TPTN) 0389309417</t>
  </si>
  <si>
    <t>0389309417</t>
  </si>
  <si>
    <t>CG01161</t>
  </si>
  <si>
    <t>Trường (BVHN) 0368888880</t>
  </si>
  <si>
    <t>0368888880</t>
  </si>
  <si>
    <t>CG01162</t>
  </si>
  <si>
    <t>Tuấn (TTHN) 0967982396</t>
  </si>
  <si>
    <t>0967982396</t>
  </si>
  <si>
    <t>CG01163</t>
  </si>
  <si>
    <t>Khánh (MKQN) 0902138381</t>
  </si>
  <si>
    <t>0902138381</t>
  </si>
  <si>
    <t>CG01164</t>
  </si>
  <si>
    <t>Sang Xuân (MDHP) 0972002211</t>
  </si>
  <si>
    <t>0972002211</t>
  </si>
  <si>
    <t>CG01165</t>
  </si>
  <si>
    <t>Tâm (NCTH) 0912096296</t>
  </si>
  <si>
    <t>0912096296</t>
  </si>
  <si>
    <t>CG01166</t>
  </si>
  <si>
    <t>Tú (TPQB) 0988421991</t>
  </si>
  <si>
    <t>0988421991</t>
  </si>
  <si>
    <t>CG01167</t>
  </si>
  <si>
    <t>Nguyễn Tiến Dũng (HPHKHT) 183008883 0972266888</t>
  </si>
  <si>
    <t>Hương Phố, Hương Khê, Hà Tĩnh</t>
  </si>
  <si>
    <t>0972266888</t>
  </si>
  <si>
    <t>CG01168</t>
  </si>
  <si>
    <t>Chiều (KAHP) 0904117116</t>
  </si>
  <si>
    <t>0904117116</t>
  </si>
  <si>
    <t>CG01169</t>
  </si>
  <si>
    <t>Tạ Hữu Sơn (HDHHTH) 171526503 0962568789 0917609648</t>
  </si>
  <si>
    <t>Hoằng Đồng, Hoằng Hóa, Thanh Hóa</t>
  </si>
  <si>
    <t>0917609648</t>
  </si>
  <si>
    <t>CG01170</t>
  </si>
  <si>
    <t>Hùng (TTHN) 0973668686</t>
  </si>
  <si>
    <t>0973668686</t>
  </si>
  <si>
    <t>CG01171</t>
  </si>
  <si>
    <t>Phi (TLVP) 0981159111</t>
  </si>
  <si>
    <t>0981159111</t>
  </si>
  <si>
    <t>CG01172</t>
  </si>
  <si>
    <t>Công ty CP xây dựng và thương mại Đạt Huy (HDHN) Quang 0947186892</t>
  </si>
  <si>
    <t>0108803161</t>
  </si>
  <si>
    <t>0947186892</t>
  </si>
  <si>
    <t>CG01173</t>
  </si>
  <si>
    <t>Khánh (HHTB) 0984810250</t>
  </si>
  <si>
    <t>0984810250</t>
  </si>
  <si>
    <t>CG01174</t>
  </si>
  <si>
    <t>Điền (DHTB) 0989733853</t>
  </si>
  <si>
    <t>0989733853</t>
  </si>
  <si>
    <t>CG01175</t>
  </si>
  <si>
    <t>Sỹ (HDHN) 0973078016</t>
  </si>
  <si>
    <t>0973078016</t>
  </si>
  <si>
    <t>CG01176</t>
  </si>
  <si>
    <t>Tuấn (VTVP) 0975266214</t>
  </si>
  <si>
    <t>0975266214</t>
  </si>
  <si>
    <t>CG01177</t>
  </si>
  <si>
    <t>Sơn (QGHD) 0975675778</t>
  </si>
  <si>
    <t>0975675778</t>
  </si>
  <si>
    <t>CG01178</t>
  </si>
  <si>
    <t>Đào Mạnh Hoạt (CAVBHP) 030792686 0946005116</t>
  </si>
  <si>
    <t>Cổ Am, Vĩnh Bảo, Hải Phòng</t>
  </si>
  <si>
    <t>0946005116</t>
  </si>
  <si>
    <t>CG01180</t>
  </si>
  <si>
    <t>Huy (KBHNA) 0986223455</t>
  </si>
  <si>
    <t>0986223455</t>
  </si>
  <si>
    <t>CG01181</t>
  </si>
  <si>
    <t>Sang (QTHP) 0916492339</t>
  </si>
  <si>
    <t>Cầu Kiền, Quán Toan, Hải Phòng</t>
  </si>
  <si>
    <t>0916492339</t>
  </si>
  <si>
    <t>CG01182</t>
  </si>
  <si>
    <t>Thặng (CNTB) 0816385388</t>
  </si>
  <si>
    <t>Cầu Nghìn, Quỳnh Phụ, Thái Bình</t>
  </si>
  <si>
    <t>0816385388</t>
  </si>
  <si>
    <t>CG01183</t>
  </si>
  <si>
    <t>Sơn (VNA) 0977767777</t>
  </si>
  <si>
    <t>0977767777</t>
  </si>
  <si>
    <t>CG01184</t>
  </si>
  <si>
    <t>Tỉnh (NSTH) 0983165544</t>
  </si>
  <si>
    <t>0983165544</t>
  </si>
  <si>
    <t>CG01185</t>
  </si>
  <si>
    <t>Quang (YYND) 0911272368</t>
  </si>
  <si>
    <t>0911272368</t>
  </si>
  <si>
    <t>CG01186</t>
  </si>
  <si>
    <t>Vinh (DCNA) 0981821818</t>
  </si>
  <si>
    <t>0981821818</t>
  </si>
  <si>
    <t>CG01187</t>
  </si>
  <si>
    <t>Thưởng (VNA) 0961235588</t>
  </si>
  <si>
    <t>0961235588</t>
  </si>
  <si>
    <t>CG01188</t>
  </si>
  <si>
    <t>Lê Bá Thúy (NCTH) 038089006731 0914104307</t>
  </si>
  <si>
    <t>Hoằng Quý, Hoằng Hóa, Thanh Hóa</t>
  </si>
  <si>
    <t>0914104307</t>
  </si>
  <si>
    <t>CG01189</t>
  </si>
  <si>
    <t>Tuyển (TTIHN) 0943326917</t>
  </si>
  <si>
    <t>0943326917</t>
  </si>
  <si>
    <t>CG01190</t>
  </si>
  <si>
    <t>Ngô Trung Thức (HVHHND) 160465294 0816483620</t>
  </si>
  <si>
    <t>0816483620</t>
  </si>
  <si>
    <t>CG01191</t>
  </si>
  <si>
    <t>Định (DAHN) 0913530445</t>
  </si>
  <si>
    <t>0913530445</t>
  </si>
  <si>
    <t>CG01192</t>
  </si>
  <si>
    <t>Cận (TTIHN) 0914931117</t>
  </si>
  <si>
    <t>0914931117</t>
  </si>
  <si>
    <t>CG01193</t>
  </si>
  <si>
    <t>Mậu (TPTB) 0912387782</t>
  </si>
  <si>
    <t>0912387782</t>
  </si>
  <si>
    <t>CG01194</t>
  </si>
  <si>
    <t>Công ty CP Gạch Gốm Cổ Bắc Giang (TPBG) Luyện 0978478662</t>
  </si>
  <si>
    <t>Song Mai, TP. Bắc Giang, Bắc Giang</t>
  </si>
  <si>
    <t>2400279871</t>
  </si>
  <si>
    <t>0978478662</t>
  </si>
  <si>
    <t>CG01195</t>
  </si>
  <si>
    <t>Hoàng Minh Tiến (QTKXTB) 150228359 0945848743</t>
  </si>
  <si>
    <t>Quang Trung, Kiến Xương, Thái Bình</t>
  </si>
  <si>
    <t>0945848743</t>
  </si>
  <si>
    <t>CG01196</t>
  </si>
  <si>
    <t>Tuấn (HHTB) 0913863578</t>
  </si>
  <si>
    <t>0913863578</t>
  </si>
  <si>
    <t>CG01197</t>
  </si>
  <si>
    <t>Nam (NDNA) 0947346165</t>
  </si>
  <si>
    <t>0947346165</t>
  </si>
  <si>
    <t>CG01198</t>
  </si>
  <si>
    <t>Nguyễn Hữu Đức (QHQPTB) 034066002144 0969364559</t>
  </si>
  <si>
    <t>Quỳnh Hoa, Quỳnh Phụ, Thái Bình</t>
  </si>
  <si>
    <t>0969364559</t>
  </si>
  <si>
    <t>CG01199</t>
  </si>
  <si>
    <t>Nam (DKHP) 0902245827</t>
  </si>
  <si>
    <t>0902245827</t>
  </si>
  <si>
    <t>CG01200</t>
  </si>
  <si>
    <t>Đức Anh (QLNA) 0974789999</t>
  </si>
  <si>
    <t>0974789999</t>
  </si>
  <si>
    <t>CG01201</t>
  </si>
  <si>
    <t>Minh Tâm (TPHN) 0964406555</t>
  </si>
  <si>
    <t>0964406555</t>
  </si>
  <si>
    <t>CG01202</t>
  </si>
  <si>
    <t>CG01203</t>
  </si>
  <si>
    <t>Cường (LNABG) 0963804289</t>
  </si>
  <si>
    <t>0963804289</t>
  </si>
  <si>
    <t>CG01204</t>
  </si>
  <si>
    <t>Hạnh (TTHN) 0917644099</t>
  </si>
  <si>
    <t>0917644099</t>
  </si>
  <si>
    <t>CG01205</t>
  </si>
  <si>
    <t>Lương (QOHN) 0948056525</t>
  </si>
  <si>
    <t>0948056525</t>
  </si>
  <si>
    <t>CG01206</t>
  </si>
  <si>
    <t>Trọng (SSTH) 0913313514</t>
  </si>
  <si>
    <t>0913313514</t>
  </si>
  <si>
    <t>CG01207</t>
  </si>
  <si>
    <t>Dương (KAHP) 0966351268</t>
  </si>
  <si>
    <t>0966351268</t>
  </si>
  <si>
    <t>CG01208</t>
  </si>
  <si>
    <t>Tiên Phong (YYND) 0913140968</t>
  </si>
  <si>
    <t>0913140968</t>
  </si>
  <si>
    <t>CG01209</t>
  </si>
  <si>
    <t>Nguyễn Đình Hiệp (BTHN) 112446921 0977491997</t>
  </si>
  <si>
    <t>Phúc Lâm, Mỹ Đức, Hà Nội</t>
  </si>
  <si>
    <t>0977491997</t>
  </si>
  <si>
    <t>CG01210</t>
  </si>
  <si>
    <t xml:space="preserve">Công ty TNHH Hùng Phú (TPQB) Hùng 0934525777 3100300796 </t>
  </si>
  <si>
    <t>Thanh Thạch, Bố Trạch, Quảng Bình</t>
  </si>
  <si>
    <t>3100300796</t>
  </si>
  <si>
    <t>0934525777</t>
  </si>
  <si>
    <t>CG01211</t>
  </si>
  <si>
    <t>Ngọc (YPBN) 0988798602</t>
  </si>
  <si>
    <t>0988798602</t>
  </si>
  <si>
    <t>CG01212</t>
  </si>
  <si>
    <t>Hải Quyên (MDHP) 0982887777</t>
  </si>
  <si>
    <t>0982887777</t>
  </si>
  <si>
    <t>CG01213</t>
  </si>
  <si>
    <t>Ngọc (MDHP) 0976118000</t>
  </si>
  <si>
    <t>0976118000</t>
  </si>
  <si>
    <t>CG01214</t>
  </si>
  <si>
    <t>Huy (TSBN) 0983753340</t>
  </si>
  <si>
    <t>0983753340</t>
  </si>
  <si>
    <t>CG01215</t>
  </si>
  <si>
    <t>Việt (TTHN) 0912846846</t>
  </si>
  <si>
    <t>0912846846</t>
  </si>
  <si>
    <t>CG01216</t>
  </si>
  <si>
    <t>Hồng (PCBN) 0977087884</t>
  </si>
  <si>
    <t>0977087884</t>
  </si>
  <si>
    <t>CG01217</t>
  </si>
  <si>
    <t>Hoàng Văn Triều (DTDCNA) 186417220 0972958333</t>
  </si>
  <si>
    <t>Diễn Trung, Diễn Châu, Nghệ An</t>
  </si>
  <si>
    <t>0972958333</t>
  </si>
  <si>
    <t>CG01218</t>
  </si>
  <si>
    <t>Đấu (GBBN) 0915102255</t>
  </si>
  <si>
    <t>0915102255</t>
  </si>
  <si>
    <t>CG01219</t>
  </si>
  <si>
    <t>Đức kho (MDHP) 0962558286</t>
  </si>
  <si>
    <t>0962558286</t>
  </si>
  <si>
    <t>CG01220</t>
  </si>
  <si>
    <t>Nghị (HHTB) 0987571123</t>
  </si>
  <si>
    <t>0987571123</t>
  </si>
  <si>
    <t>CG01221</t>
  </si>
  <si>
    <t>Mai Văn Chí (HVHHND) 162097162 0979059502</t>
  </si>
  <si>
    <t>0979059502</t>
  </si>
  <si>
    <t>CG01222</t>
  </si>
  <si>
    <t>Vương (TPHD) 0963334116</t>
  </si>
  <si>
    <t>0963334116</t>
  </si>
  <si>
    <t>CG01223</t>
  </si>
  <si>
    <t>Long (DBHP) 0968224668</t>
  </si>
  <si>
    <t>0968224668</t>
  </si>
  <si>
    <t>CG01224</t>
  </si>
  <si>
    <t>Vĩ (TTIHN) 0976261969</t>
  </si>
  <si>
    <t>0976261969</t>
  </si>
  <si>
    <t>CG01225</t>
  </si>
  <si>
    <t>An (HDHN) 0987180584</t>
  </si>
  <si>
    <t>0987180584</t>
  </si>
  <si>
    <t>CG01226</t>
  </si>
  <si>
    <t>Thành (TSBN) 0983945268</t>
  </si>
  <si>
    <t>0983945268</t>
  </si>
  <si>
    <t>CG01227</t>
  </si>
  <si>
    <t>Chín (DCNA) 0904065789</t>
  </si>
  <si>
    <t>0904065789</t>
  </si>
  <si>
    <t>CG01228</t>
  </si>
  <si>
    <t>Điềm (TTIHN) 0917107638</t>
  </si>
  <si>
    <t>0917107638</t>
  </si>
  <si>
    <t>CG01229</t>
  </si>
  <si>
    <t>Minh (YYND) 0914274361</t>
  </si>
  <si>
    <t>0914274361</t>
  </si>
  <si>
    <t>CG01230</t>
  </si>
  <si>
    <t>Ngoan (DPHN) 0977377696</t>
  </si>
  <si>
    <t>0977377696</t>
  </si>
  <si>
    <t>CG01231</t>
  </si>
  <si>
    <t>Cầu (QLNA) 0982949161</t>
  </si>
  <si>
    <t>0982949161</t>
  </si>
  <si>
    <t>CG01232</t>
  </si>
  <si>
    <t>Tu (ALHP) 0909015696</t>
  </si>
  <si>
    <t>0909015696</t>
  </si>
  <si>
    <t>CG01233</t>
  </si>
  <si>
    <t>Hữu (KAHP) 0912129266</t>
  </si>
  <si>
    <t>0912129266</t>
  </si>
  <si>
    <t>CG01234</t>
  </si>
  <si>
    <t>Thành (TTHN) 0983111034</t>
  </si>
  <si>
    <t>0983111034</t>
  </si>
  <si>
    <t>CG01235</t>
  </si>
  <si>
    <t>Bùi Văn Kiên (NTNTND) 162168138 0914842725</t>
  </si>
  <si>
    <t>0914842725</t>
  </si>
  <si>
    <t>CG01236</t>
  </si>
  <si>
    <t>Thưởng (TLVP) 0789195278</t>
  </si>
  <si>
    <t>0789195278</t>
  </si>
  <si>
    <t>CG01237</t>
  </si>
  <si>
    <t>Nguyễn Trung Tá (VLTPTB) 034058004348 0396099919</t>
  </si>
  <si>
    <t>Vũ Lạc, TP. Thái Bình, Thái Bình</t>
  </si>
  <si>
    <t>0396099919</t>
  </si>
  <si>
    <t>CG01238</t>
  </si>
  <si>
    <t>Bùi Văn Kiên (CLND) 162168138 0914653352</t>
  </si>
  <si>
    <t>0914653352</t>
  </si>
  <si>
    <t>CG01239</t>
  </si>
  <si>
    <t>Dũng (TPTH) 0913293799</t>
  </si>
  <si>
    <t>0913293799</t>
  </si>
  <si>
    <t>CG01240</t>
  </si>
  <si>
    <t>Dám (KAHP) 0903435930</t>
  </si>
  <si>
    <t>0903435930</t>
  </si>
  <si>
    <t>CG01241</t>
  </si>
  <si>
    <t>Trần Văn Tiến (TPBN) 125317742 0977434603</t>
  </si>
  <si>
    <t>Chi Lăng, Quế Võ, Bắc Ninh</t>
  </si>
  <si>
    <t>0977434603</t>
  </si>
  <si>
    <t>CG01242</t>
  </si>
  <si>
    <t>Đức (HDHN) 0983792756</t>
  </si>
  <si>
    <t>0983792756</t>
  </si>
  <si>
    <t>CG01243</t>
  </si>
  <si>
    <t>Dũng (TPHT) 0912167888</t>
  </si>
  <si>
    <t>0912167888</t>
  </si>
  <si>
    <t>CG01244</t>
  </si>
  <si>
    <t>Lài (CLNA) 0967666226</t>
  </si>
  <si>
    <t>Cửa Lò, Nghệ An</t>
  </si>
  <si>
    <t>0967666226</t>
  </si>
  <si>
    <t>CG01245</t>
  </si>
  <si>
    <t>Đinh Văn Ngọ (TPTDBN) Doanh 125223225 0947185616</t>
  </si>
  <si>
    <t>Tri Phương, Tiên Du, Bắc Ninh</t>
  </si>
  <si>
    <t>0947185616</t>
  </si>
  <si>
    <t>CG01246</t>
  </si>
  <si>
    <t>Thành (THTH) 0982961567</t>
  </si>
  <si>
    <t>0982961567</t>
  </si>
  <si>
    <t>CG01247</t>
  </si>
  <si>
    <t>0987854078</t>
  </si>
  <si>
    <t>CG01248</t>
  </si>
  <si>
    <t>Rị (HHND) 0972059705</t>
  </si>
  <si>
    <t>0972059705</t>
  </si>
  <si>
    <t>CG01249</t>
  </si>
  <si>
    <t>Ninh (CHBN) 0912858404</t>
  </si>
  <si>
    <t>0912858404</t>
  </si>
  <si>
    <t>CG01250</t>
  </si>
  <si>
    <t>Lê Thị Đào (NSTGTH) 171242636 0988120022</t>
  </si>
  <si>
    <t>Nghi Sơn, Tĩnh Gia, Thanh Hóa</t>
  </si>
  <si>
    <t>0988120022</t>
  </si>
  <si>
    <t>CG01251</t>
  </si>
  <si>
    <t>Khánh (GLHN) 0913311621</t>
  </si>
  <si>
    <t>0913311621</t>
  </si>
  <si>
    <t>CG01252</t>
  </si>
  <si>
    <t>Đoàn (HDHN) 0372661081</t>
  </si>
  <si>
    <t>0372661081</t>
  </si>
  <si>
    <t>CG01253</t>
  </si>
  <si>
    <t>Phạm Văn Hùng (TPNB) 037076003241 0943677435 0942869888</t>
  </si>
  <si>
    <t>0942869888</t>
  </si>
  <si>
    <t>CG01254</t>
  </si>
  <si>
    <t>Báo (KAHP) 0917630596</t>
  </si>
  <si>
    <t>0917630596</t>
  </si>
  <si>
    <t>CG01255</t>
  </si>
  <si>
    <t>Thanh Cược 0978221678</t>
  </si>
  <si>
    <t>0978221678</t>
  </si>
  <si>
    <t>CG01256</t>
  </si>
  <si>
    <t>HTB PRO (Trọng) 0976087557</t>
  </si>
  <si>
    <t>0976087557</t>
  </si>
  <si>
    <t>CG01257</t>
  </si>
  <si>
    <t>Khánh (HHND) 0335826858 0914195260</t>
  </si>
  <si>
    <t>0914195260</t>
  </si>
  <si>
    <t>CG01258</t>
  </si>
  <si>
    <t>Công ty TNHH sản xuất TM và DV TMC Hà Nội (DAHN) Dung 0972234232</t>
  </si>
  <si>
    <t>Đồng Xuân, Sóc Sơn, Hà Nội</t>
  </si>
  <si>
    <t>0106272525</t>
  </si>
  <si>
    <t>0972234232</t>
  </si>
  <si>
    <t>CG01259</t>
  </si>
  <si>
    <t>Túc (YPBN) 0934387520</t>
  </si>
  <si>
    <t>0934387520</t>
  </si>
  <si>
    <t>CG01260</t>
  </si>
  <si>
    <t>Sáng Hà (TPHP) 0973838808</t>
  </si>
  <si>
    <t>0973838808</t>
  </si>
  <si>
    <t>CG01261</t>
  </si>
  <si>
    <t>Công ty CP thương mại vận tải Long Hải (HXHHND) Long 0972327858</t>
  </si>
  <si>
    <t>Hải Xuân, Hải Hậu, Nam Định</t>
  </si>
  <si>
    <t>0600680702</t>
  </si>
  <si>
    <t>0972327858</t>
  </si>
  <si>
    <t>CG01262</t>
  </si>
  <si>
    <t>Tuấn (YPBN) 0383913149</t>
  </si>
  <si>
    <t>0383913149</t>
  </si>
  <si>
    <t>CG01263</t>
  </si>
  <si>
    <t>Thường (VTTB) 0979069103</t>
  </si>
  <si>
    <t>0979069103</t>
  </si>
  <si>
    <t>CG01264</t>
  </si>
  <si>
    <t>Phạm Xuân Trường (MQVTTB) 151123546 0912720752</t>
  </si>
  <si>
    <t>Minh Quang, Vũ Thư, Thái Bình</t>
  </si>
  <si>
    <t>0912720752</t>
  </si>
  <si>
    <t>CG01265</t>
  </si>
  <si>
    <t>Mai Văn Long (VTTTIHN) 001089009777 0946013628</t>
  </si>
  <si>
    <t>0946013628</t>
  </si>
  <si>
    <t>CG01266</t>
  </si>
  <si>
    <t>Trường (KTHP)  0913181069</t>
  </si>
  <si>
    <t>0913181069</t>
  </si>
  <si>
    <t>CG01267</t>
  </si>
  <si>
    <t>Khích (BTHN) 0975983522</t>
  </si>
  <si>
    <t>0975983522</t>
  </si>
  <si>
    <t>CG01268</t>
  </si>
  <si>
    <t>Nguyễn Văn Thành (NDTTBN) 125097135 0983737091</t>
  </si>
  <si>
    <t>Nghĩa Đạo, Thuận Thành, Bắc Ninh</t>
  </si>
  <si>
    <t>0983737091</t>
  </si>
  <si>
    <t>CG01269</t>
  </si>
  <si>
    <t>Nguyễn Văn Lương (XBXTND) 036076001414 0912220853</t>
  </si>
  <si>
    <t>0912220853</t>
  </si>
  <si>
    <t>CG01270</t>
  </si>
  <si>
    <t>Tuấn (YPBN) 0858199968</t>
  </si>
  <si>
    <t>0858199968</t>
  </si>
  <si>
    <t>CG01271</t>
  </si>
  <si>
    <t>An (TSTH) 0962609486</t>
  </si>
  <si>
    <t>0962609486</t>
  </si>
  <si>
    <t>CG01272</t>
  </si>
  <si>
    <t>Nguyễn Xuân Quất (VHDAHN) 001087005509 0904616606</t>
  </si>
  <si>
    <t>Vân Hà, Đông Anh, Hà Nội</t>
  </si>
  <si>
    <t>0904616606</t>
  </si>
  <si>
    <t>CG01273</t>
  </si>
  <si>
    <t>Nam (TPBG) 0982853810</t>
  </si>
  <si>
    <t>0982853810</t>
  </si>
  <si>
    <t>CG01274</t>
  </si>
  <si>
    <t>Sự (TSTH) 0904784220</t>
  </si>
  <si>
    <t>0904784220</t>
  </si>
  <si>
    <t>CG01275</t>
  </si>
  <si>
    <t>Oanh (KDHY) 0386522775</t>
  </si>
  <si>
    <t>0386522775</t>
  </si>
  <si>
    <t>CG01276</t>
  </si>
  <si>
    <t>Toàn (VNHP) 0989420611</t>
  </si>
  <si>
    <t>0989420611</t>
  </si>
  <si>
    <t>CG01277</t>
  </si>
  <si>
    <t>Hoàng (DDTB) 0984524618</t>
  </si>
  <si>
    <t>0984524618</t>
  </si>
  <si>
    <t>CG01278</t>
  </si>
  <si>
    <t>Cương (THTB) 0986003568</t>
  </si>
  <si>
    <t>0986003568</t>
  </si>
  <si>
    <t>CG01279</t>
  </si>
  <si>
    <t>Phương (DHTB) 0912010135</t>
  </si>
  <si>
    <t>0912010135</t>
  </si>
  <si>
    <t>CG01280</t>
  </si>
  <si>
    <t>Thái (QVBN) 0327695696</t>
  </si>
  <si>
    <t>0327695696</t>
  </si>
  <si>
    <t>CG01281</t>
  </si>
  <si>
    <t>Thao (TSBN) 0915899556</t>
  </si>
  <si>
    <t>0915899556</t>
  </si>
  <si>
    <t>CG01282</t>
  </si>
  <si>
    <t>Hiền (ALHP) 0976745866</t>
  </si>
  <si>
    <t>0976745866</t>
  </si>
  <si>
    <t>CG01283</t>
  </si>
  <si>
    <t>Toản (YPBN) 0988388931</t>
  </si>
  <si>
    <t>0988388931</t>
  </si>
  <si>
    <t>CG01284</t>
  </si>
  <si>
    <t>Chinh (HHND) 0978882985</t>
  </si>
  <si>
    <t>0978882985</t>
  </si>
  <si>
    <t>CG01285</t>
  </si>
  <si>
    <t>Bằng (YYND) 0367825415</t>
  </si>
  <si>
    <t>0367825415</t>
  </si>
  <si>
    <t>CG01286</t>
  </si>
  <si>
    <t>Kim (YTNA) 0979738059</t>
  </si>
  <si>
    <t>Yên Thành, Nghệ An</t>
  </si>
  <si>
    <t>0979738059</t>
  </si>
  <si>
    <t>CG01287</t>
  </si>
  <si>
    <t>Thuấn (HHND) 0854398396 0912980034</t>
  </si>
  <si>
    <t>0912980034</t>
  </si>
  <si>
    <t>CG01288</t>
  </si>
  <si>
    <t>Tư (TTHN) 0986666693</t>
  </si>
  <si>
    <t>0986666693</t>
  </si>
  <si>
    <t>CG01289</t>
  </si>
  <si>
    <t>Long (TPHT) 0947603156</t>
  </si>
  <si>
    <t>0947603156</t>
  </si>
  <si>
    <t>CG01290</t>
  </si>
  <si>
    <t>Phạm Ngọc Ngữ (ABKXTB) 151090235 0945526368</t>
  </si>
  <si>
    <t>An Bồi, Kiến Xương, Thái Bình</t>
  </si>
  <si>
    <t>0945526368</t>
  </si>
  <si>
    <t>CG01291</t>
  </si>
  <si>
    <t>Hồng Thúy (TPNB) 0912569012</t>
  </si>
  <si>
    <t>0912569012</t>
  </si>
  <si>
    <t>CG01292</t>
  </si>
  <si>
    <t>Lương Văn Thủy (HVHHND) 163113548 0975789723 0977994448</t>
  </si>
  <si>
    <t xml:space="preserve"> Hải Vân, Hải Hậu, Nam Định</t>
  </si>
  <si>
    <t>0977994448</t>
  </si>
  <si>
    <t>CG01293</t>
  </si>
  <si>
    <t>Nguyễn Quang Khánh (VBHP) 031074001198 0903496396</t>
  </si>
  <si>
    <t>0903496396</t>
  </si>
  <si>
    <t>CG01294</t>
  </si>
  <si>
    <t>Ngọ (HKHT) 0913250462</t>
  </si>
  <si>
    <t>Hương Khê, Hà Tĩnh</t>
  </si>
  <si>
    <t>0913250462</t>
  </si>
  <si>
    <t>CG01295</t>
  </si>
  <si>
    <t>Cường (YYND) 0969693568</t>
  </si>
  <si>
    <t>0969693568</t>
  </si>
  <si>
    <t>CG01296</t>
  </si>
  <si>
    <t>Đỗ Văn Minh (CLND) 163164759 0915427549</t>
  </si>
  <si>
    <t>Cát Thành, Trực Ninh, Nam Định</t>
  </si>
  <si>
    <t>0915427549</t>
  </si>
  <si>
    <t>CG01297</t>
  </si>
  <si>
    <t>Viện (TTIHN) 0975922866</t>
  </si>
  <si>
    <t>0975922866</t>
  </si>
  <si>
    <t>CG01298</t>
  </si>
  <si>
    <t>Nguyễn Việt Hân (HVHHND) 162880908 0985579389</t>
  </si>
  <si>
    <t>0985579389</t>
  </si>
  <si>
    <t>CG01299</t>
  </si>
  <si>
    <t>Kiện (YYND) 0986924158</t>
  </si>
  <si>
    <t>0986924158</t>
  </si>
  <si>
    <t>CG01300</t>
  </si>
  <si>
    <t>Ánh (YYND) 0978851975</t>
  </si>
  <si>
    <t>0978851975</t>
  </si>
  <si>
    <t>CG01301</t>
  </si>
  <si>
    <t>Công ty CP 27-7 Hải Hậu (HHND) Thắng 0982272498</t>
  </si>
  <si>
    <t>Hải Long, Hải Hậu, Nam Định</t>
  </si>
  <si>
    <t>0600200635</t>
  </si>
  <si>
    <t>0982272498</t>
  </si>
  <si>
    <t>CG01302</t>
  </si>
  <si>
    <t>Thận (HHTH) 0903461677</t>
  </si>
  <si>
    <t>0903461677</t>
  </si>
  <si>
    <t>CG01303</t>
  </si>
  <si>
    <t>Đồ Sơn, Hải Phòng</t>
  </si>
  <si>
    <t>0783194556</t>
  </si>
  <si>
    <t>CG01304</t>
  </si>
  <si>
    <t>Hải (TPHD) 0389243568</t>
  </si>
  <si>
    <t>0389243568</t>
  </si>
  <si>
    <t>CG01305</t>
  </si>
  <si>
    <t>Mạnh (QLNA) 0911169171</t>
  </si>
  <si>
    <t>0911169171</t>
  </si>
  <si>
    <t>CG01306</t>
  </si>
  <si>
    <t>STECH VN (TPBN) 0904758741</t>
  </si>
  <si>
    <t>0904758741</t>
  </si>
  <si>
    <t>CG01307</t>
  </si>
  <si>
    <t>Việt (TPNB) 0989135125</t>
  </si>
  <si>
    <t>0989135125</t>
  </si>
  <si>
    <t>CG01308</t>
  </si>
  <si>
    <t>Hoàn (DAHN) 0973359198</t>
  </si>
  <si>
    <t>0973359198</t>
  </si>
  <si>
    <t>CG01309</t>
  </si>
  <si>
    <t>Hạnh (TDVP) 0989891777</t>
  </si>
  <si>
    <t>Tam Dương, Vĩnh Phúc</t>
  </si>
  <si>
    <t>0989891777</t>
  </si>
  <si>
    <t>CG01310</t>
  </si>
  <si>
    <t>Hùng (TTHN) 0988355666</t>
  </si>
  <si>
    <t>0988355666</t>
  </si>
  <si>
    <t>CG01311</t>
  </si>
  <si>
    <t>Đào (QLNA) 0913273858</t>
  </si>
  <si>
    <t>0913273858</t>
  </si>
  <si>
    <t>CG01312</t>
  </si>
  <si>
    <t>Bắc (DAHN) 0979236968</t>
  </si>
  <si>
    <t>0979236968</t>
  </si>
  <si>
    <t>CG01313</t>
  </si>
  <si>
    <t>Trần Đức Kỳ (DBADHP) Quân 031088003484 0936597902</t>
  </si>
  <si>
    <t>0936597902</t>
  </si>
  <si>
    <t>CG01314</t>
  </si>
  <si>
    <t>Pháo (PTBN) 0915831257</t>
  </si>
  <si>
    <t>0915831257</t>
  </si>
  <si>
    <t>CG01315</t>
  </si>
  <si>
    <t>Việt (TNHP) 0904519699</t>
  </si>
  <si>
    <t>0904519699</t>
  </si>
  <si>
    <t>CG01316</t>
  </si>
  <si>
    <t>Thiệu (YPBN) 038381903</t>
  </si>
  <si>
    <t>038381903</t>
  </si>
  <si>
    <t>CG01317</t>
  </si>
  <si>
    <t>Trường (NHTQ) 0974618888</t>
  </si>
  <si>
    <t>Na Hang, Tuyên Quang</t>
  </si>
  <si>
    <t>0974618888</t>
  </si>
  <si>
    <t>CG01318</t>
  </si>
  <si>
    <t>Nam (DLNA) 0985748017</t>
  </si>
  <si>
    <t>0985748017</t>
  </si>
  <si>
    <t>CG01319</t>
  </si>
  <si>
    <t>Hậu (DLNA) 0974049978</t>
  </si>
  <si>
    <t>0974049978</t>
  </si>
  <si>
    <t>CG01320</t>
  </si>
  <si>
    <t>Tuấn (TPTH) 0912142558</t>
  </si>
  <si>
    <t>0912142558</t>
  </si>
  <si>
    <t>CG01321</t>
  </si>
  <si>
    <t>Cường (YTNA) 0983806626</t>
  </si>
  <si>
    <t>0983806626</t>
  </si>
  <si>
    <t>CG01322</t>
  </si>
  <si>
    <t>Bình (YTNA) 0975369058</t>
  </si>
  <si>
    <t>0975369058</t>
  </si>
  <si>
    <t>CG01323</t>
  </si>
  <si>
    <t>Công ty TNHH TM &amp; DV Hai Anh Em (BTHN) Hai 0986927341</t>
  </si>
  <si>
    <t>0106232441</t>
  </si>
  <si>
    <t>CG01324</t>
  </si>
  <si>
    <t>Bình (DAHN) 0977035498 0978605496</t>
  </si>
  <si>
    <t>0978605496</t>
  </si>
  <si>
    <t>CG01325</t>
  </si>
  <si>
    <t>Thắng (HAHP) 0913576299</t>
  </si>
  <si>
    <t>Hải An, Hải Phòng</t>
  </si>
  <si>
    <t>0913576299</t>
  </si>
  <si>
    <t>CG01326</t>
  </si>
  <si>
    <t>Minh (LNHNA) 0948397042</t>
  </si>
  <si>
    <t>0948397042</t>
  </si>
  <si>
    <t>CG01327</t>
  </si>
  <si>
    <t>Việt (DCNA) 0915109278</t>
  </si>
  <si>
    <t>0915109278</t>
  </si>
  <si>
    <t>CG01328</t>
  </si>
  <si>
    <t>Dũng (QLNA) 0979605551</t>
  </si>
  <si>
    <t>0979605551</t>
  </si>
  <si>
    <t>CG01329</t>
  </si>
  <si>
    <t>Khâm (LDHY) 0913058954</t>
  </si>
  <si>
    <t>0913058954</t>
  </si>
  <si>
    <t>CG01330</t>
  </si>
  <si>
    <t>Niệm (DLNA) 0947487999</t>
  </si>
  <si>
    <t>0947487999</t>
  </si>
  <si>
    <t>CG01331</t>
  </si>
  <si>
    <t>Chính (VNA) 0988115555</t>
  </si>
  <si>
    <t>0988115555</t>
  </si>
  <si>
    <t>CG01332</t>
  </si>
  <si>
    <t>Thính (VBHP) 0982884683</t>
  </si>
  <si>
    <t>0982884683</t>
  </si>
  <si>
    <t>CG01333</t>
  </si>
  <si>
    <t>Cường (TTTB) 0936960689</t>
  </si>
  <si>
    <t>0936960689</t>
  </si>
  <si>
    <t>CG01334</t>
  </si>
  <si>
    <t>Tiến (YPBN) 0763401562</t>
  </si>
  <si>
    <t>0763401562</t>
  </si>
  <si>
    <t>CG01335</t>
  </si>
  <si>
    <t>Hùng (NDNA) 0988130598</t>
  </si>
  <si>
    <t>0988130598</t>
  </si>
  <si>
    <t>CG01336</t>
  </si>
  <si>
    <t>Đỗ Văn Quyết (NQVLHY) 033070000826 0984718596</t>
  </si>
  <si>
    <t>Như Quỳnh, Văn Lâm, Hưng Yên</t>
  </si>
  <si>
    <t>0984718596</t>
  </si>
  <si>
    <t>CG01337</t>
  </si>
  <si>
    <t>Thơm (TPTH) 0932358074</t>
  </si>
  <si>
    <t>0932358074</t>
  </si>
  <si>
    <t>CG01338</t>
  </si>
  <si>
    <t>Nguyễn Hoàng Đông (TLTTBN) 125064647 0942800204</t>
  </si>
  <si>
    <t>Trạm Lộ, Thuận Thành, Bắc Ninh</t>
  </si>
  <si>
    <t>0942800204</t>
  </si>
  <si>
    <t>CG01339</t>
  </si>
  <si>
    <t>Vĩ (BDQB) 0329006122</t>
  </si>
  <si>
    <t>0329006122</t>
  </si>
  <si>
    <t>CG01340</t>
  </si>
  <si>
    <t>Đức Tài (HKHT) 0945943456</t>
  </si>
  <si>
    <t>0945943456</t>
  </si>
  <si>
    <t>CG01341</t>
  </si>
  <si>
    <t>Hoàn (HTQN) 0374884999</t>
  </si>
  <si>
    <t>Hà Tu. Hạ Long, Quảng Ninh</t>
  </si>
  <si>
    <t>0374884999</t>
  </si>
  <si>
    <t>CG01342</t>
  </si>
  <si>
    <t>Công ty TNHH SX và KD Nguyên Ngọc (THTB) Chi 0773260355 0906125262</t>
  </si>
  <si>
    <t>1001064583</t>
  </si>
  <si>
    <t>0906125262</t>
  </si>
  <si>
    <t>CG01343</t>
  </si>
  <si>
    <t>Cường (VTHNA) 0983871519</t>
  </si>
  <si>
    <t>0983871519</t>
  </si>
  <si>
    <t>CG01344</t>
  </si>
  <si>
    <t>Quân (QGHD) 0904959182</t>
  </si>
  <si>
    <t>0904959182</t>
  </si>
  <si>
    <t>CG01345</t>
  </si>
  <si>
    <t>Tấn (TPND) 0912226054</t>
  </si>
  <si>
    <t>0912226054</t>
  </si>
  <si>
    <t>CG01346</t>
  </si>
  <si>
    <t>Nguyễn Văn Thắng (NTNHND) 162140007 0945273525</t>
  </si>
  <si>
    <t>Nghĩa Thành, Nghĩa Hưng, Nam Định</t>
  </si>
  <si>
    <t>0945273525</t>
  </si>
  <si>
    <t>CG01347</t>
  </si>
  <si>
    <t>Hoàng Văn Minh (NKNLNA) 181769397 0982951339</t>
  </si>
  <si>
    <t>Nghi Khánh, Nghi Lộc, Nghệ An</t>
  </si>
  <si>
    <t>0982951339</t>
  </si>
  <si>
    <t>CG01348</t>
  </si>
  <si>
    <t>Bình (NLNA) 0912529063</t>
  </si>
  <si>
    <t>Nghi Lộc, Nghệ An</t>
  </si>
  <si>
    <t>0912529063</t>
  </si>
  <si>
    <t>CG01349</t>
  </si>
  <si>
    <t>Hồng (TLVP) 0969985773</t>
  </si>
  <si>
    <t>0969985773</t>
  </si>
  <si>
    <t>CG01350</t>
  </si>
  <si>
    <t>Việt (HDHN) 0972011992</t>
  </si>
  <si>
    <t>0972011992</t>
  </si>
  <si>
    <t>CG01351</t>
  </si>
  <si>
    <t>Thành (TTIHN) 0967411888</t>
  </si>
  <si>
    <t>0967411888</t>
  </si>
  <si>
    <t>CG01352</t>
  </si>
  <si>
    <t>Chung (TTHN) 0967058578</t>
  </si>
  <si>
    <t>0967058578</t>
  </si>
  <si>
    <t>CG01353</t>
  </si>
  <si>
    <t>Công ty TNHH Mạnh Đạt (TSBN) Nga Dân 0913259252</t>
  </si>
  <si>
    <t>2300301026</t>
  </si>
  <si>
    <t>0913259252</t>
  </si>
  <si>
    <t>CG01354</t>
  </si>
  <si>
    <t>Vơn (DHTB) 0911304078</t>
  </si>
  <si>
    <t>Cầu Nguyễn, Đông Hưng, Thái Bình</t>
  </si>
  <si>
    <t>0911304078</t>
  </si>
  <si>
    <t>CG01355</t>
  </si>
  <si>
    <t>Nguyên Hói (MDHP) 0979816996</t>
  </si>
  <si>
    <t>0979816996</t>
  </si>
  <si>
    <t>CG01356</t>
  </si>
  <si>
    <t>Sĩ (DLNA) 0982793445</t>
  </si>
  <si>
    <t>0982793445</t>
  </si>
  <si>
    <t>CG01357</t>
  </si>
  <si>
    <t>Tú (TLVP) 0346501284</t>
  </si>
  <si>
    <t>0346501284</t>
  </si>
  <si>
    <t>CG01358</t>
  </si>
  <si>
    <t>Đào Duy Hường (TBTPHD) 141528370 0903263612</t>
  </si>
  <si>
    <t>0903263612</t>
  </si>
  <si>
    <t>CG01359</t>
  </si>
  <si>
    <t>Thúy (TPTN) 0979877547</t>
  </si>
  <si>
    <t>0979877547</t>
  </si>
  <si>
    <t>CG01360</t>
  </si>
  <si>
    <t>Bùi Đình Hồng (HTHHTH) 038070008162 0915820607</t>
  </si>
  <si>
    <t>Hoàng Tiến, Hoằng Hóa, Thanh Hóa</t>
  </si>
  <si>
    <t>0915820607</t>
  </si>
  <si>
    <t>CG01361</t>
  </si>
  <si>
    <t>Huân (TLVP) 0912968457</t>
  </si>
  <si>
    <t>0912968457</t>
  </si>
  <si>
    <t>CG01363</t>
  </si>
  <si>
    <t>Đông (VTTB) 0984358288</t>
  </si>
  <si>
    <t>0984358288</t>
  </si>
  <si>
    <t>CG01364</t>
  </si>
  <si>
    <t>Thông (TSHN) 0904699707</t>
  </si>
  <si>
    <t>0904699707</t>
  </si>
  <si>
    <t>CG01365</t>
  </si>
  <si>
    <t>Kỳ (VLQT) 0935059234</t>
  </si>
  <si>
    <t>Vĩnh Linh, Quảng Trị</t>
  </si>
  <si>
    <t>0935059234</t>
  </si>
  <si>
    <t>CG01366</t>
  </si>
  <si>
    <t>Hải (TLVP) 0982258579</t>
  </si>
  <si>
    <t>0982258579</t>
  </si>
  <si>
    <t>CG01367</t>
  </si>
  <si>
    <t>Thầy chùa (DHPT) 0844328889</t>
  </si>
  <si>
    <t>Đoan Hùng, Phú Thọ</t>
  </si>
  <si>
    <t>0844328889</t>
  </si>
  <si>
    <t>CG01368</t>
  </si>
  <si>
    <t>Chiến (TNGHP) 0902015189</t>
  </si>
  <si>
    <t>0902015189</t>
  </si>
  <si>
    <t>CG01369</t>
  </si>
  <si>
    <t>Thủy Trang NB (TPNB) 0963105568</t>
  </si>
  <si>
    <t>0963105568</t>
  </si>
  <si>
    <t>CG01370</t>
  </si>
  <si>
    <t>Trần Thị Nhung (DNHDHN) 1184033967 0978321701</t>
  </si>
  <si>
    <t>0978321701</t>
  </si>
  <si>
    <t>CG01371</t>
  </si>
  <si>
    <t>Hùng (TLHP) 0934509586</t>
  </si>
  <si>
    <t>0934509586</t>
  </si>
  <si>
    <t>CG01372</t>
  </si>
  <si>
    <t>Sáng (YYND) 0948853786</t>
  </si>
  <si>
    <t>0948853786</t>
  </si>
  <si>
    <t>CG01373</t>
  </si>
  <si>
    <t>Sùng (ADHP) 0902055165</t>
  </si>
  <si>
    <t>0902055165</t>
  </si>
  <si>
    <t>CG01374</t>
  </si>
  <si>
    <t>Bách (HDHN) 0389086633</t>
  </si>
  <si>
    <t>0389086633</t>
  </si>
  <si>
    <t>CG01375</t>
  </si>
  <si>
    <t>Lợi (NDNA) 0375096435</t>
  </si>
  <si>
    <t>0375096435</t>
  </si>
  <si>
    <t>CG01376</t>
  </si>
  <si>
    <t>Tuấn (TPDN) 0913459257</t>
  </si>
  <si>
    <t>TP. Đà Nẵng, Đà Nẵng</t>
  </si>
  <si>
    <t>0913459257</t>
  </si>
  <si>
    <t>CG01377</t>
  </si>
  <si>
    <t>Trường (TTIHN) 0914405965</t>
  </si>
  <si>
    <t>0914405965</t>
  </si>
  <si>
    <t>CG01378</t>
  </si>
  <si>
    <t>Phú (TSBN) 0368682232</t>
  </si>
  <si>
    <t>0368682232</t>
  </si>
  <si>
    <t>CG01379</t>
  </si>
  <si>
    <t>Sang (DPHN) 0978818899</t>
  </si>
  <si>
    <t>0978818899</t>
  </si>
  <si>
    <t>CG01380</t>
  </si>
  <si>
    <t>Hạnh (TPQB) 0942801612</t>
  </si>
  <si>
    <t>0942801612</t>
  </si>
  <si>
    <t>CG01381</t>
  </si>
  <si>
    <t>Mai (CPQN) 0912127301</t>
  </si>
  <si>
    <t>0912127301</t>
  </si>
  <si>
    <t>CG01382</t>
  </si>
  <si>
    <t>Vân (TSBN) 0973454892</t>
  </si>
  <si>
    <t>0973454892</t>
  </si>
  <si>
    <t>CG01383</t>
  </si>
  <si>
    <t>Nguyễn Thanh Sơn (NTTHTB) 152006025 0936123707</t>
  </si>
  <si>
    <t>Nam Trung, Tiền Hải, Thái Bình</t>
  </si>
  <si>
    <t>0936123707</t>
  </si>
  <si>
    <t>CG01384</t>
  </si>
  <si>
    <t>Gạch (GBBN) 0964981570</t>
  </si>
  <si>
    <t>0964981570</t>
  </si>
  <si>
    <t>CG01385</t>
  </si>
  <si>
    <t>Thống (YYND) 0987564854</t>
  </si>
  <si>
    <t>0987564854</t>
  </si>
  <si>
    <t>CG01386</t>
  </si>
  <si>
    <t>Thịnh (TTHN) 0913534020</t>
  </si>
  <si>
    <t>0913534020</t>
  </si>
  <si>
    <t>CG01387</t>
  </si>
  <si>
    <t>Hùng (TPTH) 0931381368</t>
  </si>
  <si>
    <t>0931381368</t>
  </si>
  <si>
    <t>CG01388</t>
  </si>
  <si>
    <t>Lưu Đức Nam (BXTLVP) 135035312 0987812973</t>
  </si>
  <si>
    <t>Bình Xuyên, Thanh Lãng, Vĩnh Phúc</t>
  </si>
  <si>
    <t>0987812973</t>
  </si>
  <si>
    <t>CG01389</t>
  </si>
  <si>
    <t>Cường (YYND) 0942374000</t>
  </si>
  <si>
    <t>0942374000</t>
  </si>
  <si>
    <t>CG01390</t>
  </si>
  <si>
    <t>Tề (CLND) 0986460344</t>
  </si>
  <si>
    <t>0986460344</t>
  </si>
  <si>
    <t>CG01391</t>
  </si>
  <si>
    <t>Khẩn (TOHN) 0393920677</t>
  </si>
  <si>
    <t>0393920677</t>
  </si>
  <si>
    <t>CG01392</t>
  </si>
  <si>
    <t>Nguyễn Đình Mừng (GLHD) 141123813 0988097457</t>
  </si>
  <si>
    <t>0988097457</t>
  </si>
  <si>
    <t>CG01393</t>
  </si>
  <si>
    <t>Bùi (NDNA) 0974336738</t>
  </si>
  <si>
    <t>0974336738</t>
  </si>
  <si>
    <t>CG01394</t>
  </si>
  <si>
    <t>Khanh (TPQB) 0945637217</t>
  </si>
  <si>
    <t>0945637217</t>
  </si>
  <si>
    <t>CG01395</t>
  </si>
  <si>
    <t>Hà Minh Viễn (TPHP) 0903475168</t>
  </si>
  <si>
    <t>0903475168</t>
  </si>
  <si>
    <t>CG01396</t>
  </si>
  <si>
    <t>Hoan (DLNA) 0974377676</t>
  </si>
  <si>
    <t>0974377676</t>
  </si>
  <si>
    <t>CG01397</t>
  </si>
  <si>
    <t>Long (ADHP) 0363229999</t>
  </si>
  <si>
    <t>0363229999</t>
  </si>
  <si>
    <t>CG01398</t>
  </si>
  <si>
    <t>Nguyễn Văn Tú (TLBXVP) 026075001514 0915678605 0962288605</t>
  </si>
  <si>
    <t>0915678605</t>
  </si>
  <si>
    <t>CG01399</t>
  </si>
  <si>
    <t>Lâm (DLNA) 0915901768 0912337337</t>
  </si>
  <si>
    <t>0912337337</t>
  </si>
  <si>
    <t>CG01400</t>
  </si>
  <si>
    <t>Tròn (PCBN) 0987535662</t>
  </si>
  <si>
    <t>0987535662</t>
  </si>
  <si>
    <t>CG01401</t>
  </si>
  <si>
    <t>Hưng (TTIHN) 0948586447</t>
  </si>
  <si>
    <t>0948586447</t>
  </si>
  <si>
    <t>CG01402</t>
  </si>
  <si>
    <t>Phước (TTHN) 0962616666</t>
  </si>
  <si>
    <t>0962616666</t>
  </si>
  <si>
    <t>CG01403</t>
  </si>
  <si>
    <t>Điển (TTIHN) 0913203535</t>
  </si>
  <si>
    <t>0913203535</t>
  </si>
  <si>
    <t>CG01404</t>
  </si>
  <si>
    <t>Phạm Công Dân (TPHD) 141312280 0356769450</t>
  </si>
  <si>
    <t>0356769450</t>
  </si>
  <si>
    <t>CG01405</t>
  </si>
  <si>
    <t>Nguyễn Văn Hoan (NSNHND) 036076002845 0985211163</t>
  </si>
  <si>
    <t>Nghĩa Sơn, Nghĩa Hưng, Nam Định</t>
  </si>
  <si>
    <t>0985211163</t>
  </si>
  <si>
    <t>CG01406</t>
  </si>
  <si>
    <t>Liệu (DAHN) 0981472698</t>
  </si>
  <si>
    <t>0981472698</t>
  </si>
  <si>
    <t>CG01407</t>
  </si>
  <si>
    <t>Diệu (VBHP) 0917003913</t>
  </si>
  <si>
    <t>0917003913</t>
  </si>
  <si>
    <t>CG01408</t>
  </si>
  <si>
    <t>Thiết (TNHP) 0936897599</t>
  </si>
  <si>
    <t>0936897599</t>
  </si>
  <si>
    <t>CG01409</t>
  </si>
  <si>
    <t>Bắc (TPTN) 0912371585</t>
  </si>
  <si>
    <t>0912371585</t>
  </si>
  <si>
    <t>CG01410</t>
  </si>
  <si>
    <t>Vinh (GTND) 0912283455</t>
  </si>
  <si>
    <t>0912283455</t>
  </si>
  <si>
    <t>CG01411</t>
  </si>
  <si>
    <t>0978065456</t>
  </si>
  <si>
    <t>CG01412</t>
  </si>
  <si>
    <t>Trương Văn Chiến (HHTH) 172061768 0978065456 0913960789</t>
  </si>
  <si>
    <t>Đông Thọ, TP. Thanh Hóa</t>
  </si>
  <si>
    <t>0913960789</t>
  </si>
  <si>
    <t>CG01413</t>
  </si>
  <si>
    <t>Minh (DLNA) 0979713613</t>
  </si>
  <si>
    <t>0979713613</t>
  </si>
  <si>
    <t>CG01414</t>
  </si>
  <si>
    <t>Huân (VNHP) 0989498989</t>
  </si>
  <si>
    <t>0989498989</t>
  </si>
  <si>
    <t>CG01415</t>
  </si>
  <si>
    <t>Thoại (TTIHN) 0944673598</t>
  </si>
  <si>
    <t>0944673598</t>
  </si>
  <si>
    <t>CG01416</t>
  </si>
  <si>
    <t>Lê Văn Quang (DCDCNA) 181548475 0944537317</t>
  </si>
  <si>
    <t>Diễn Cát, Diễn Châu, Nghệ An</t>
  </si>
  <si>
    <t>0944537317</t>
  </si>
  <si>
    <t>CG01417</t>
  </si>
  <si>
    <t>Thầy Lợi (TOHN) 0943276070 0977628276</t>
  </si>
  <si>
    <t>0977628276</t>
  </si>
  <si>
    <t>CG01418</t>
  </si>
  <si>
    <t>Chung (TTHN) 0912495338</t>
  </si>
  <si>
    <t>0912495338</t>
  </si>
  <si>
    <t>CG01419</t>
  </si>
  <si>
    <t>Vững (QGHD) 0936109980</t>
  </si>
  <si>
    <t>0936109980</t>
  </si>
  <si>
    <t>CG01420</t>
  </si>
  <si>
    <t>Duy (VNA) 0979800399</t>
  </si>
  <si>
    <t>0979800399</t>
  </si>
  <si>
    <t>CG01421</t>
  </si>
  <si>
    <t>Hữu (TCNA) 0976602831</t>
  </si>
  <si>
    <t>0976602831</t>
  </si>
  <si>
    <t>CG01422</t>
  </si>
  <si>
    <t>Vũ Đình Năm (TNND) 036075007000 0915251333</t>
  </si>
  <si>
    <t>0915251333</t>
  </si>
  <si>
    <t>CG01423</t>
  </si>
  <si>
    <t>Uy (YTNA) 0913130838</t>
  </si>
  <si>
    <t>0913130838</t>
  </si>
  <si>
    <t>CG01424</t>
  </si>
  <si>
    <t>Na (TPBN) 0989836925</t>
  </si>
  <si>
    <t>0989836925</t>
  </si>
  <si>
    <t>CG01425</t>
  </si>
  <si>
    <t>Diêm (ALHP) 0988751579</t>
  </si>
  <si>
    <t>0988751579</t>
  </si>
  <si>
    <t>CG01426</t>
  </si>
  <si>
    <t>Thủy (QYQN) 0963344074</t>
  </si>
  <si>
    <t>Quảng Yên, Quảng Ninh</t>
  </si>
  <si>
    <t>0963344074</t>
  </si>
  <si>
    <t>CG01427</t>
  </si>
  <si>
    <t>Hiệp (NDNA) 0984155269</t>
  </si>
  <si>
    <t>0984155269</t>
  </si>
  <si>
    <t>CG01428</t>
  </si>
  <si>
    <t>Linh (VBHP) 0938211889</t>
  </si>
  <si>
    <t>0938211889</t>
  </si>
  <si>
    <t>CG01429</t>
  </si>
  <si>
    <t>Hà (TPBN) 0912256138 0948282883</t>
  </si>
  <si>
    <t>0948282883</t>
  </si>
  <si>
    <t>CG01430</t>
  </si>
  <si>
    <t>Hoàn (TLVP) 0916416888</t>
  </si>
  <si>
    <t>0916416888</t>
  </si>
  <si>
    <t>CG01431</t>
  </si>
  <si>
    <t>Hoàng Văn Hằng (TNGHP) 031084005601 0977564948</t>
  </si>
  <si>
    <t>Thiên Hương, Thủy Nguyên, Hải Phòng</t>
  </si>
  <si>
    <t>0977564948</t>
  </si>
  <si>
    <t>CG01432</t>
  </si>
  <si>
    <t>Thỏa (QLNA) 0972992303</t>
  </si>
  <si>
    <t>0972992303</t>
  </si>
  <si>
    <t>CG01433</t>
  </si>
  <si>
    <t>Thành (TKNA) 0378632254</t>
  </si>
  <si>
    <t>Tân Kỳ, Nghệ An</t>
  </si>
  <si>
    <t>0378632254</t>
  </si>
  <si>
    <t>CG01434</t>
  </si>
  <si>
    <t>Ngô Trung Thức (HVHHND) Thỏa 160465294 0975593230</t>
  </si>
  <si>
    <t>0975593230</t>
  </si>
  <si>
    <t>CG01435</t>
  </si>
  <si>
    <t>Đích (VBND) 0982004655</t>
  </si>
  <si>
    <t>Gôi, Vụ Bản, Nam Định</t>
  </si>
  <si>
    <t>0982004655</t>
  </si>
  <si>
    <t>CG01436</t>
  </si>
  <si>
    <t>Khanh (KMHD) 0912853656</t>
  </si>
  <si>
    <t>0912853656</t>
  </si>
  <si>
    <t>CG01437</t>
  </si>
  <si>
    <t>Tú (PCBN) 0399936528</t>
  </si>
  <si>
    <t>0399936528</t>
  </si>
  <si>
    <t>CG01438</t>
  </si>
  <si>
    <t>Lê Văn Luân (TXTH) 172914346 0968513246</t>
  </si>
  <si>
    <t>0968513246</t>
  </si>
  <si>
    <t>CG01439</t>
  </si>
  <si>
    <t>Đào Quang Đạo (TPBG) 121396191 0915066384</t>
  </si>
  <si>
    <t>Dĩnh Trì, Lạng Giang, Bắc Giang</t>
  </si>
  <si>
    <t>0915066384</t>
  </si>
  <si>
    <t>CG01440</t>
  </si>
  <si>
    <t>Cảnh (CHHN) 0982825807</t>
  </si>
  <si>
    <t>Chùa Hương, Mỹ Đức, Hà Nội</t>
  </si>
  <si>
    <t>0982825807</t>
  </si>
  <si>
    <t>CG01441</t>
  </si>
  <si>
    <t>Nguyễn Văn Dân (YLVP) 135046113 0972545043</t>
  </si>
  <si>
    <t>0972545043</t>
  </si>
  <si>
    <t>CG01442</t>
  </si>
  <si>
    <t>Đông Duy Khoa (TSKTHP) 140191453 0904662929</t>
  </si>
  <si>
    <t>0904662929</t>
  </si>
  <si>
    <t>CG01443</t>
  </si>
  <si>
    <t>Diễn (LNABG) 0983622982</t>
  </si>
  <si>
    <t>0983622982</t>
  </si>
  <si>
    <t>CG01444</t>
  </si>
  <si>
    <t>Thịnh (YPBN) 0986442637</t>
  </si>
  <si>
    <t>0986442637</t>
  </si>
  <si>
    <t>CG01445</t>
  </si>
  <si>
    <t>Sơn (HDHN) 0972187885</t>
  </si>
  <si>
    <t>0972187885</t>
  </si>
  <si>
    <t>CG01446</t>
  </si>
  <si>
    <t>Vượng (VBHP) 0936035965</t>
  </si>
  <si>
    <t>0936035965</t>
  </si>
  <si>
    <t>CG01447</t>
  </si>
  <si>
    <t>Hoàng Đình Tuân (KSGLHN) 012156891 0965121768</t>
  </si>
  <si>
    <t>0965121768</t>
  </si>
  <si>
    <t>CG01448</t>
  </si>
  <si>
    <t>Viên (TPTN) 0332908980</t>
  </si>
  <si>
    <t>0332908980</t>
  </si>
  <si>
    <t>CG01449</t>
  </si>
  <si>
    <t>Ngọc Toàn (DHQB) 0914753222</t>
  </si>
  <si>
    <t>0914753222</t>
  </si>
  <si>
    <t>CG01450</t>
  </si>
  <si>
    <t>0979731264</t>
  </si>
  <si>
    <t>CG01451</t>
  </si>
  <si>
    <t>Trà (TTIHN) 0912717884</t>
  </si>
  <si>
    <t>0912717884</t>
  </si>
  <si>
    <t>CG01452</t>
  </si>
  <si>
    <t>Tuấn (HHND) 0981713306</t>
  </si>
  <si>
    <t>0981713306</t>
  </si>
  <si>
    <t>CG01453</t>
  </si>
  <si>
    <t>Viết (TMHD) 0979422032</t>
  </si>
  <si>
    <t>0979422032</t>
  </si>
  <si>
    <t>CG01454</t>
  </si>
  <si>
    <t>Thư (GBBN) 0363168686 0904665818</t>
  </si>
  <si>
    <t>0904665818</t>
  </si>
  <si>
    <t>CG01455</t>
  </si>
  <si>
    <t>Tân (QLNA) 0965625664</t>
  </si>
  <si>
    <t>0965625664</t>
  </si>
  <si>
    <t>CG01456</t>
  </si>
  <si>
    <t>Quyền (NGHD) 0936937788</t>
  </si>
  <si>
    <t>0936937788</t>
  </si>
  <si>
    <t>CG01457</t>
  </si>
  <si>
    <t>Hùng (DCNA) 0985923535</t>
  </si>
  <si>
    <t>Cầu Lồi, Diễn Châu, Nghệ An</t>
  </si>
  <si>
    <t>0985923535</t>
  </si>
  <si>
    <t>CG01458</t>
  </si>
  <si>
    <t>Vương (LTVP) 0977623044</t>
  </si>
  <si>
    <t>0977623044</t>
  </si>
  <si>
    <t>CG01460</t>
  </si>
  <si>
    <t>Lương Ngọc Cường (MKHHTB) 034073000447 0913007337</t>
  </si>
  <si>
    <t>Minh Khai, Hưng Hà, Thái Bình</t>
  </si>
  <si>
    <t>0913007337</t>
  </si>
  <si>
    <t>CG01461</t>
  </si>
  <si>
    <t>Tính (KTHP) 0904802837</t>
  </si>
  <si>
    <t>Đồng Nẻo, Kiến Thụy, Hải Phòng</t>
  </si>
  <si>
    <t>0904802837</t>
  </si>
  <si>
    <t>CG01462</t>
  </si>
  <si>
    <t>Vui (CGHD) 0988020998</t>
  </si>
  <si>
    <t>0988020998</t>
  </si>
  <si>
    <t>CG01463</t>
  </si>
  <si>
    <t>Công ty TNHH gỗ Trường Thành  (NYNLNA) Tuấn 0971444856</t>
  </si>
  <si>
    <t>Nghi Yên, Nghi Lộc, Nghệ An</t>
  </si>
  <si>
    <t>2901830225</t>
  </si>
  <si>
    <t>0971444856</t>
  </si>
  <si>
    <t>CG01464</t>
  </si>
  <si>
    <t>Ngà (XTND) 0904762266</t>
  </si>
  <si>
    <t>0904762266</t>
  </si>
  <si>
    <t>CG01465</t>
  </si>
  <si>
    <t>Duyên (DAHN) 0359840690</t>
  </si>
  <si>
    <t>0359840690</t>
  </si>
  <si>
    <t>CG01466</t>
  </si>
  <si>
    <t>Thái Khang (TPHN) 0919893786</t>
  </si>
  <si>
    <t>0919893786</t>
  </si>
  <si>
    <t>CG01467</t>
  </si>
  <si>
    <t>Tây (TXTH) 0969697686</t>
  </si>
  <si>
    <t>0969697686</t>
  </si>
  <si>
    <t>CG01468</t>
  </si>
  <si>
    <t>Vũ Văn Quang (LDNHND) 0162006530 0917438907</t>
  </si>
  <si>
    <t>Liễu Đề, Nghĩa Hưng, Nam Định</t>
  </si>
  <si>
    <t>0917438907</t>
  </si>
  <si>
    <t>CG01469</t>
  </si>
  <si>
    <t>Thắng (VTVP) 0912682077</t>
  </si>
  <si>
    <t>0912682077</t>
  </si>
  <si>
    <t>CG01470</t>
  </si>
  <si>
    <t>Đào Ngọc Long (BSTH) 171622434 0825128666</t>
  </si>
  <si>
    <t>0825128666</t>
  </si>
  <si>
    <t>CG01471</t>
  </si>
  <si>
    <t>Hải (NDNA) 0366225245 0976982574</t>
  </si>
  <si>
    <t>0976982574</t>
  </si>
  <si>
    <t>CG01472</t>
  </si>
  <si>
    <t>Nguyễn Văn Chiến (HCHHND) 036066001224 0369442665</t>
  </si>
  <si>
    <t>Hải Cường, Hải Hậu, Nam Định</t>
  </si>
  <si>
    <t>0369442665</t>
  </si>
  <si>
    <t>CG01473</t>
  </si>
  <si>
    <t>Nguyễn Đình Cường (BTVTTB) 151980854 0979667502</t>
  </si>
  <si>
    <t>Bánh Thuận, Vũ Thư, Thái Bình</t>
  </si>
  <si>
    <t>0979667502</t>
  </si>
  <si>
    <t>CG01474</t>
  </si>
  <si>
    <t>Vũ Xuân Trung (LDCGHD) 141925466 0969717989</t>
  </si>
  <si>
    <t>0969717989</t>
  </si>
  <si>
    <t>CG01475</t>
  </si>
  <si>
    <t>Nơi (TLHP) 0915098754</t>
  </si>
  <si>
    <t>0915098754</t>
  </si>
  <si>
    <t>CG01476</t>
  </si>
  <si>
    <t>Phạm Văn Tiến (BSSSTH) 172122536 0914536000</t>
  </si>
  <si>
    <t>Bắc Sơn, Sầm Sơn, Thanh Hóa</t>
  </si>
  <si>
    <t>0914536000</t>
  </si>
  <si>
    <t>CG01477</t>
  </si>
  <si>
    <t>Dương (NDNA) 0912108111</t>
  </si>
  <si>
    <t>0912108111</t>
  </si>
  <si>
    <t>CG01478</t>
  </si>
  <si>
    <t>Phương (LCHD) 0904250461</t>
  </si>
  <si>
    <t>0904250461</t>
  </si>
  <si>
    <t>CG01479</t>
  </si>
  <si>
    <t>Quân (TTIHN) 0913208937</t>
  </si>
  <si>
    <t>0913208937</t>
  </si>
  <si>
    <t>CG01480</t>
  </si>
  <si>
    <t>Én (DAHN) 0982323519</t>
  </si>
  <si>
    <t>0982323519</t>
  </si>
  <si>
    <t>CG01481</t>
  </si>
  <si>
    <t>Hải (HDHN) 0966588288</t>
  </si>
  <si>
    <t>0966588288</t>
  </si>
  <si>
    <t>CG01482</t>
  </si>
  <si>
    <t>Sỹ (DAHN) 0989868781</t>
  </si>
  <si>
    <t>0989868781</t>
  </si>
  <si>
    <t>CG01483</t>
  </si>
  <si>
    <t>Mạnh (NLNA) 0398931012</t>
  </si>
  <si>
    <t>Nghi Lộc, Nghệ An (giáp TP. Vinh)</t>
  </si>
  <si>
    <t>0398931012</t>
  </si>
  <si>
    <t>CG01484</t>
  </si>
  <si>
    <t>Khánh (YTNA) 0963586986</t>
  </si>
  <si>
    <t>0963586986</t>
  </si>
  <si>
    <t>CG01485</t>
  </si>
  <si>
    <t>Đoàn Quang Vóc (DDTTTB) 034055000785 0912061249</t>
  </si>
  <si>
    <t>0912061249</t>
  </si>
  <si>
    <t>CG01486</t>
  </si>
  <si>
    <t>Mai Văn Triệu (HHHHND) 036072001880 0912137126</t>
  </si>
  <si>
    <t>Hải Hòa, Hải Hậu, Nam Định</t>
  </si>
  <si>
    <t>0912137126</t>
  </si>
  <si>
    <t>CG01487</t>
  </si>
  <si>
    <t>Doanh (QPTB) 0982869320</t>
  </si>
  <si>
    <t>0982869320</t>
  </si>
  <si>
    <t>CG01488</t>
  </si>
  <si>
    <t>Mạnh (QGHD) 0913521688</t>
  </si>
  <si>
    <t>0913521688</t>
  </si>
  <si>
    <t>CG01489</t>
  </si>
  <si>
    <t>Việt (CLND) 0945961495</t>
  </si>
  <si>
    <t>0945961495</t>
  </si>
  <si>
    <t>CG01490</t>
  </si>
  <si>
    <t>Lê Kim Khánh Việt (VSTSTH) 173531451 0932392107</t>
  </si>
  <si>
    <t>Vân Sơn, Triệu Sơn, Thanh Hóa</t>
  </si>
  <si>
    <t>0932392107</t>
  </si>
  <si>
    <t>CG01491</t>
  </si>
  <si>
    <t>Trung (TOHN) 0915912305</t>
  </si>
  <si>
    <t>0915912305</t>
  </si>
  <si>
    <t>CG01492</t>
  </si>
  <si>
    <t>Lợi (TPHY) 0944497690</t>
  </si>
  <si>
    <t>0944497690</t>
  </si>
  <si>
    <t>CG01493</t>
  </si>
  <si>
    <t>Thắng (QGHD) 0987324502</t>
  </si>
  <si>
    <t>0987324502</t>
  </si>
  <si>
    <t>CG01494</t>
  </si>
  <si>
    <t>Lâm (TPV) 0378166666</t>
  </si>
  <si>
    <t>0378166666</t>
  </si>
  <si>
    <t>CG01495</t>
  </si>
  <si>
    <t>Nguyễn Văn Hưng (LGBG) Hoan 122086791 0913073212 0962029223</t>
  </si>
  <si>
    <t>Thị Trấn Vôi , Lạng Giang, Bắc Giang</t>
  </si>
  <si>
    <t>0913073212</t>
  </si>
  <si>
    <t>CG01496</t>
  </si>
  <si>
    <t>Thuận (QGHD) 0984815640</t>
  </si>
  <si>
    <t>0984815640</t>
  </si>
  <si>
    <t>CG01497</t>
  </si>
  <si>
    <t>Quyết (TLVP) 0911481913</t>
  </si>
  <si>
    <t>0911481913</t>
  </si>
  <si>
    <t>CG01498</t>
  </si>
  <si>
    <t>Việt (TTHN) 0915177026</t>
  </si>
  <si>
    <t>0915177026</t>
  </si>
  <si>
    <t>CG01499</t>
  </si>
  <si>
    <t>Thạo (YYND) 0978937646</t>
  </si>
  <si>
    <t>0978937646</t>
  </si>
  <si>
    <t>CG01500</t>
  </si>
  <si>
    <t>AFA (TPHN) 0943905979</t>
  </si>
  <si>
    <t>0943905979</t>
  </si>
  <si>
    <t>CG01501</t>
  </si>
  <si>
    <t>Lành (GLHD) 0934240003</t>
  </si>
  <si>
    <t>0934240003</t>
  </si>
  <si>
    <t>CG01502</t>
  </si>
  <si>
    <t>Công ty CP gạch gốm cổ Bắc Giang (TPBG) Thoa 0984957797</t>
  </si>
  <si>
    <t>0984957797</t>
  </si>
  <si>
    <t>CG01503</t>
  </si>
  <si>
    <t>Dung (TLVP) 0372796487</t>
  </si>
  <si>
    <t>0372796487</t>
  </si>
  <si>
    <t>CG01504</t>
  </si>
  <si>
    <t>Hứa (DAHN) 0988130486</t>
  </si>
  <si>
    <t>0988130486</t>
  </si>
  <si>
    <t>CG01506</t>
  </si>
  <si>
    <t>Quang (TPND) 0912006008</t>
  </si>
  <si>
    <t>0912006008</t>
  </si>
  <si>
    <t>CG01507</t>
  </si>
  <si>
    <t>Thanh (TLVP) 0936337566</t>
  </si>
  <si>
    <t>0936337566</t>
  </si>
  <si>
    <t>CG01508</t>
  </si>
  <si>
    <t>Hải (DAHN) 0945740233</t>
  </si>
  <si>
    <t>0945740233</t>
  </si>
  <si>
    <t>CG01509</t>
  </si>
  <si>
    <t>Hoàng Văn Thao (VNDAHN) 011145148 0983150703 0934578199</t>
  </si>
  <si>
    <t>Vĩnh Ngọc, Đông Anh, Hà Nội</t>
  </si>
  <si>
    <t>0934578199</t>
  </si>
  <si>
    <t>CG01510</t>
  </si>
  <si>
    <t>Bình (MTND) 0967222998</t>
  </si>
  <si>
    <t>Mỹ Thuận, Mỹ Lộc, Nam Định</t>
  </si>
  <si>
    <t>0967222998</t>
  </si>
  <si>
    <t>CG01511</t>
  </si>
  <si>
    <t>Hảo (VYBG) 0914503759</t>
  </si>
  <si>
    <t>0914503759</t>
  </si>
  <si>
    <t>CG01512</t>
  </si>
  <si>
    <t>Đoàn (TPTN) 0915979594</t>
  </si>
  <si>
    <t>0915979594</t>
  </si>
  <si>
    <t>CG01513</t>
  </si>
  <si>
    <t>Thắng (TPTN) 0986548222</t>
  </si>
  <si>
    <t>0986548222</t>
  </si>
  <si>
    <t>CG01514</t>
  </si>
  <si>
    <t>Thuận (TPHD) 0912815115</t>
  </si>
  <si>
    <t>0912815115</t>
  </si>
  <si>
    <t>CG01515</t>
  </si>
  <si>
    <t>Việt Nam Ấn Độ (TPHN) 0963228835</t>
  </si>
  <si>
    <t>0963228835</t>
  </si>
  <si>
    <t>CG01516</t>
  </si>
  <si>
    <t>Ly (TPND) 0904312679</t>
  </si>
  <si>
    <t>0904312679</t>
  </si>
  <si>
    <t>CG01517</t>
  </si>
  <si>
    <t>Long (TPNB) 0822307706</t>
  </si>
  <si>
    <t>0822307706</t>
  </si>
  <si>
    <t>CG01518</t>
  </si>
  <si>
    <t>Hoài (PCBN) 0977651865</t>
  </si>
  <si>
    <t>0977651865</t>
  </si>
  <si>
    <t>CG01519</t>
  </si>
  <si>
    <t>Huế (PCBN) 0388719776</t>
  </si>
  <si>
    <t>0388719776</t>
  </si>
  <si>
    <t>CG01520</t>
  </si>
  <si>
    <t>Toán (YMHY) 0985397056</t>
  </si>
  <si>
    <t>0985397056</t>
  </si>
  <si>
    <t>CG01521</t>
  </si>
  <si>
    <t>Lương (DAHN) 0977931964</t>
  </si>
  <si>
    <t>0977931964</t>
  </si>
  <si>
    <t>CG01522</t>
  </si>
  <si>
    <t>Hồ Đắc Ninh (BSSSTH) 171629304 0912438099</t>
  </si>
  <si>
    <t>0912438099</t>
  </si>
  <si>
    <t>CG01523</t>
  </si>
  <si>
    <t>Thụ (KMHD) 0372603403</t>
  </si>
  <si>
    <t>0372603403</t>
  </si>
  <si>
    <t>CG01524</t>
  </si>
  <si>
    <t>Lương (KMHD) 0976502757</t>
  </si>
  <si>
    <t>0976502757</t>
  </si>
  <si>
    <t>CG01525</t>
  </si>
  <si>
    <t>Tấn (KTHP) 0983424037</t>
  </si>
  <si>
    <t>0983424037</t>
  </si>
  <si>
    <t>CG01526</t>
  </si>
  <si>
    <t>Phong (KTHP) 0387885689</t>
  </si>
  <si>
    <t>0387885689</t>
  </si>
  <si>
    <t>CG01527</t>
  </si>
  <si>
    <t>Sáng (TGTH) 0973075598</t>
  </si>
  <si>
    <t>0973075598</t>
  </si>
  <si>
    <t>CG01528</t>
  </si>
  <si>
    <t>Chính (YTQN) 0968036668</t>
  </si>
  <si>
    <t>Yên Tử, Uông Bí, Quảng Ninh</t>
  </si>
  <si>
    <t>0968036668</t>
  </si>
  <si>
    <t>CG01529</t>
  </si>
  <si>
    <t>Học (LTQB) 0912032790</t>
  </si>
  <si>
    <t>0912032790</t>
  </si>
  <si>
    <t>CG01530</t>
  </si>
  <si>
    <t>Ngoan (YYND) 0979717117</t>
  </si>
  <si>
    <t>0979717117</t>
  </si>
  <si>
    <t>CG01531</t>
  </si>
  <si>
    <t>Hoàng (TTHN) 0966628529</t>
  </si>
  <si>
    <t>0966628529</t>
  </si>
  <si>
    <t>CG01532</t>
  </si>
  <si>
    <t>Công (VKBG) 0354107238</t>
  </si>
  <si>
    <t>0354107238</t>
  </si>
  <si>
    <t>CG01533</t>
  </si>
  <si>
    <t>Nam (CGHD) 0775336516</t>
  </si>
  <si>
    <t>0775336516</t>
  </si>
  <si>
    <t>CG01534</t>
  </si>
  <si>
    <t>Lê Như Hóa (YTYDTH) 173390049 0919570887</t>
  </si>
  <si>
    <t>Yên Trường, Yên Định, Thanh Hóa</t>
  </si>
  <si>
    <t>0919570887</t>
  </si>
  <si>
    <t>CG01535</t>
  </si>
  <si>
    <t>Bình (DAHN) 0968490909</t>
  </si>
  <si>
    <t>0968490909</t>
  </si>
  <si>
    <t>CG01536</t>
  </si>
  <si>
    <t>Bộ (VTVP) 0913314863</t>
  </si>
  <si>
    <t>0913314863</t>
  </si>
  <si>
    <t>CG01537</t>
  </si>
  <si>
    <t>0343673256</t>
  </si>
  <si>
    <t>CG01538</t>
  </si>
  <si>
    <t>Gai (CGHD) 0969771948</t>
  </si>
  <si>
    <t>0969771948</t>
  </si>
  <si>
    <t>CG01539</t>
  </si>
  <si>
    <t>Hùng (QLNA) 0972509009</t>
  </si>
  <si>
    <t>0972509009</t>
  </si>
  <si>
    <t>CG01540</t>
  </si>
  <si>
    <t>Sinh (BLHN) 0936774966</t>
  </si>
  <si>
    <t>Ba La, Hà Đông, Hà Nội</t>
  </si>
  <si>
    <t>0936774966</t>
  </si>
  <si>
    <t>CG01541</t>
  </si>
  <si>
    <t>Quý (DAHN) 0974127898</t>
  </si>
  <si>
    <t>0974127898</t>
  </si>
  <si>
    <t>CG01542</t>
  </si>
  <si>
    <t>Hiền (TTHN) 0983233593</t>
  </si>
  <si>
    <t>0983233593</t>
  </si>
  <si>
    <t>CG01543</t>
  </si>
  <si>
    <t>Quang (TTHN) 0914634980</t>
  </si>
  <si>
    <t>0914634980</t>
  </si>
  <si>
    <t>CG01544</t>
  </si>
  <si>
    <t>Phương Đoàn (DPHN) 0915685063</t>
  </si>
  <si>
    <t>0915685063</t>
  </si>
  <si>
    <t>CG01545</t>
  </si>
  <si>
    <t>Cần (TNHP) 0904033235</t>
  </si>
  <si>
    <t>0904033235</t>
  </si>
  <si>
    <t>CG01546</t>
  </si>
  <si>
    <t>Lâm (TPTH) 0382955358</t>
  </si>
  <si>
    <t>0382955358</t>
  </si>
  <si>
    <t>CG01547</t>
  </si>
  <si>
    <t>Doanh (THHD) 0368698868</t>
  </si>
  <si>
    <t>0368698868</t>
  </si>
  <si>
    <t>CG01548</t>
  </si>
  <si>
    <t>Thuần (TPHD) 0904033546</t>
  </si>
  <si>
    <t>0904033546</t>
  </si>
  <si>
    <t>CG01549</t>
  </si>
  <si>
    <t>Tưởng (NHND) 0912809267 0916894689</t>
  </si>
  <si>
    <t>0916894689</t>
  </si>
  <si>
    <t>CG01550</t>
  </si>
  <si>
    <t>Phong (TTIHN) 0915899891</t>
  </si>
  <si>
    <t>0915899891</t>
  </si>
  <si>
    <t>CG01551</t>
  </si>
  <si>
    <t>Long (YPBN) 0986118702</t>
  </si>
  <si>
    <t>0986118702</t>
  </si>
  <si>
    <t>CG01552</t>
  </si>
  <si>
    <t>0346784545</t>
  </si>
  <si>
    <t>CG01553</t>
  </si>
  <si>
    <t>Trần Văn Hánh (CPQVBN) 125049201 0946481500</t>
  </si>
  <si>
    <t>Châu Phong, Quế Võ, Bắc Ninh</t>
  </si>
  <si>
    <t>0946481500</t>
  </si>
  <si>
    <t>CG01554</t>
  </si>
  <si>
    <t>Phúc (DAHN) 0915837799</t>
  </si>
  <si>
    <t>0915837799</t>
  </si>
  <si>
    <t>CG01555</t>
  </si>
  <si>
    <t>Luân (THTB) 0836696012</t>
  </si>
  <si>
    <t>0836696012</t>
  </si>
  <si>
    <t>CG01556</t>
  </si>
  <si>
    <t>Huân (DAHN) 0975624218</t>
  </si>
  <si>
    <t>0975624218</t>
  </si>
  <si>
    <t>CG01557</t>
  </si>
  <si>
    <t>Hoàng Ngọc Bình (BMHNA) 035067001157 0915245733</t>
  </si>
  <si>
    <t>Bình Mỹ, Bình Lục, Hà Nam</t>
  </si>
  <si>
    <t>0915245733</t>
  </si>
  <si>
    <t>CG01558</t>
  </si>
  <si>
    <t>Thìn (YLVP) 0986700514</t>
  </si>
  <si>
    <t>0986700514</t>
  </si>
  <si>
    <t>CG01559</t>
  </si>
  <si>
    <t>Đông (DAHN) 0913532008</t>
  </si>
  <si>
    <t>0913532008</t>
  </si>
  <si>
    <t>CG01560</t>
  </si>
  <si>
    <t>Thảo (HLHT) 0913826668</t>
  </si>
  <si>
    <t>Hồng Lĩnh, Hà Tĩnh</t>
  </si>
  <si>
    <t>0913826668</t>
  </si>
  <si>
    <t>CG01561</t>
  </si>
  <si>
    <t>Lâm (HDHN) 0904492697</t>
  </si>
  <si>
    <t>0904492697</t>
  </si>
  <si>
    <t>CG01562</t>
  </si>
  <si>
    <t>Hiển (KAHP) 0971867222</t>
  </si>
  <si>
    <t>0971867222</t>
  </si>
  <si>
    <t>CG01563</t>
  </si>
  <si>
    <t>Vinh (UBQN) 0933678868</t>
  </si>
  <si>
    <t>0933678868</t>
  </si>
  <si>
    <t>CG01564</t>
  </si>
  <si>
    <t>CG01565</t>
  </si>
  <si>
    <t>Cảnh (TLHP) 0352327975</t>
  </si>
  <si>
    <t>0352327975</t>
  </si>
  <si>
    <t>CG01566</t>
  </si>
  <si>
    <t>Khu (HLTH) 02373500142</t>
  </si>
  <si>
    <t>2373500142</t>
  </si>
  <si>
    <t>CG01567</t>
  </si>
  <si>
    <t>Trường (HHBG) 0969969988</t>
  </si>
  <si>
    <t>0969969988</t>
  </si>
  <si>
    <t>CG01568</t>
  </si>
  <si>
    <t>Nam (MDHN) 0367128421</t>
  </si>
  <si>
    <t>Mỹ Đức, Hà Nội</t>
  </si>
  <si>
    <t>0367128421</t>
  </si>
  <si>
    <t>CG01569</t>
  </si>
  <si>
    <t>Chi (VBHP) 0977425636</t>
  </si>
  <si>
    <t>0977425636</t>
  </si>
  <si>
    <t>CG01570</t>
  </si>
  <si>
    <t>Hà (HHND) 0986848183</t>
  </si>
  <si>
    <t>0986848183</t>
  </si>
  <si>
    <t>CG01571</t>
  </si>
  <si>
    <t>Lan (TTHN) 0982423348</t>
  </si>
  <si>
    <t>0982423348</t>
  </si>
  <si>
    <t>CG01572</t>
  </si>
  <si>
    <t>Long (VTVP) 0964728889</t>
  </si>
  <si>
    <t>0964728889</t>
  </si>
  <si>
    <t>CG01574</t>
  </si>
  <si>
    <t>Hà (CLNA) 0915001596</t>
  </si>
  <si>
    <t>0915001596</t>
  </si>
  <si>
    <t>CG01575</t>
  </si>
  <si>
    <t>Phương (TSBN) 0982961682</t>
  </si>
  <si>
    <t>0982961682</t>
  </si>
  <si>
    <t>CG01576</t>
  </si>
  <si>
    <t>Phùng Thị Nhung (CGHD) Chử 141959822 0908923177</t>
  </si>
  <si>
    <t>0908923177</t>
  </si>
  <si>
    <t>CG01577</t>
  </si>
  <si>
    <t>Thắng (TPNB) 0946279799</t>
  </si>
  <si>
    <t>0946279799</t>
  </si>
  <si>
    <t>CG01578</t>
  </si>
  <si>
    <t>Phương (DAHN) 0948594764</t>
  </si>
  <si>
    <t>0948594764</t>
  </si>
  <si>
    <t>CG01579</t>
  </si>
  <si>
    <t>Tiến (TTIHN) 0375969567 0948499493</t>
  </si>
  <si>
    <t>0948499493</t>
  </si>
  <si>
    <t>CG01580</t>
  </si>
  <si>
    <t>Giang (DCNA) 0979336567</t>
  </si>
  <si>
    <t>0979336567</t>
  </si>
  <si>
    <t>CG01581</t>
  </si>
  <si>
    <t>Anh và em (BTHN) 0364499880</t>
  </si>
  <si>
    <t>0364499880</t>
  </si>
  <si>
    <t>CG01582</t>
  </si>
  <si>
    <t>Thịnh (QGHD) 0986496996</t>
  </si>
  <si>
    <t>0986496996</t>
  </si>
  <si>
    <t>CG01583</t>
  </si>
  <si>
    <t>Nguyễn Văn Thìn (TPBG) 121403351 0912934900</t>
  </si>
  <si>
    <t>Ngô Quyền, TP. Bắc Giang, Bắc Giang</t>
  </si>
  <si>
    <t>0912934900</t>
  </si>
  <si>
    <t>CG01584</t>
  </si>
  <si>
    <t>Huân (TPHD) 0987139999</t>
  </si>
  <si>
    <t>0987139999</t>
  </si>
  <si>
    <t>CG01585</t>
  </si>
  <si>
    <t>Thọ (TTIHN) 0913056568</t>
  </si>
  <si>
    <t>0913056568</t>
  </si>
  <si>
    <t>CG01586</t>
  </si>
  <si>
    <t>Hồ Văn Hùng (QNQLNA) 182106459 0986585023</t>
  </si>
  <si>
    <t>Quỳnh Nghĩa, Quỳnh Lưu, Nghệ An</t>
  </si>
  <si>
    <t>0986585023</t>
  </si>
  <si>
    <t>CG01587</t>
  </si>
  <si>
    <t>Tuấn (VYVP) 0979774663</t>
  </si>
  <si>
    <t>0979774663</t>
  </si>
  <si>
    <t>CG01588</t>
  </si>
  <si>
    <t>Dũng (TPHT) 0913699185</t>
  </si>
  <si>
    <t>0913699185</t>
  </si>
  <si>
    <t>CG01589</t>
  </si>
  <si>
    <t>Linh (BGHD) 0976964720</t>
  </si>
  <si>
    <t>0976964720</t>
  </si>
  <si>
    <t>CG01590</t>
  </si>
  <si>
    <t>Long (QLNA) 0972647130</t>
  </si>
  <si>
    <t>0972647130</t>
  </si>
  <si>
    <t>CG01591</t>
  </si>
  <si>
    <t>Thành (TNHP) 0936477111</t>
  </si>
  <si>
    <t>Ngũ Lão, Thủy Nguyên, Hải Phòng</t>
  </si>
  <si>
    <t>0936477111</t>
  </si>
  <si>
    <t>CG01592</t>
  </si>
  <si>
    <t>Thương (TTIHN) 0975703704</t>
  </si>
  <si>
    <t>0975703704</t>
  </si>
  <si>
    <t>CG01593</t>
  </si>
  <si>
    <t>Cơi (TNHP) 0977170966</t>
  </si>
  <si>
    <t>0977170966</t>
  </si>
  <si>
    <t>CG01594</t>
  </si>
  <si>
    <t>Thứ (KTHP) 0986458555</t>
  </si>
  <si>
    <t>0986458555</t>
  </si>
  <si>
    <t>CG01595</t>
  </si>
  <si>
    <t>Hà Tuệ (TDNB) 0976602927</t>
  </si>
  <si>
    <t>0976602927</t>
  </si>
  <si>
    <t>CG01596</t>
  </si>
  <si>
    <t>Nguyễn Văn Hỷ (VMYPBN) 112497475 0827786868</t>
  </si>
  <si>
    <t>Văn Môn, Yên Phong, Bắc Ninh</t>
  </si>
  <si>
    <t>0827786868</t>
  </si>
  <si>
    <t>CG01597</t>
  </si>
  <si>
    <t>Nguyễn Bá Đức (TLBXVP) 135593924 0913023107</t>
  </si>
  <si>
    <t>0913023107</t>
  </si>
  <si>
    <t>CG01598</t>
  </si>
  <si>
    <t>Hùng (KTHP) 0948501233</t>
  </si>
  <si>
    <t>0948501233</t>
  </si>
  <si>
    <t>CG01599</t>
  </si>
  <si>
    <t>Tiến (TLVP) 0912405626</t>
  </si>
  <si>
    <t>0912405626</t>
  </si>
  <si>
    <t>CG01600</t>
  </si>
  <si>
    <t>Đỗ Mạnh Khởi (NDGTND) 036080002958 0945652905</t>
  </si>
  <si>
    <t>Ngô Đồng, Giao Thủy, Nam Định</t>
  </si>
  <si>
    <t>0945652905</t>
  </si>
  <si>
    <t>CG01601</t>
  </si>
  <si>
    <t>Thăng (KCHY) 0372894322</t>
  </si>
  <si>
    <t>Khoái Châu, Hưng Yên</t>
  </si>
  <si>
    <t>0372894322</t>
  </si>
  <si>
    <t>CG01602</t>
  </si>
  <si>
    <t>Bắc (PTHN) 0915043006</t>
  </si>
  <si>
    <t>0915043006</t>
  </si>
  <si>
    <t>CG01603</t>
  </si>
  <si>
    <t>Tường + Dũng + Hường (HDHN) 0912902626</t>
  </si>
  <si>
    <t>0912902626</t>
  </si>
  <si>
    <t>CG01604</t>
  </si>
  <si>
    <t>Hà (YYND) 0985391444</t>
  </si>
  <si>
    <t>0985391444</t>
  </si>
  <si>
    <t>CG01605</t>
  </si>
  <si>
    <t>Thắng (TSBN) 0989189917</t>
  </si>
  <si>
    <t>0989189917</t>
  </si>
  <si>
    <t>CG01606</t>
  </si>
  <si>
    <t>Hoàn (HDHN) 0935326688</t>
  </si>
  <si>
    <t>Ngọc Trục, Đại Mỗ, Nam Từ Liêm, Hà Nội</t>
  </si>
  <si>
    <t>0935326688</t>
  </si>
  <si>
    <t>CG01607</t>
  </si>
  <si>
    <t xml:space="preserve">Đỗ Ngọc Hạnh (GNGTND) 036064005985 0915190907 </t>
  </si>
  <si>
    <t>Giao Nhân, Giao Thủy, Nam Định</t>
  </si>
  <si>
    <t>0915190907</t>
  </si>
  <si>
    <t>CG01608</t>
  </si>
  <si>
    <t>Hải (ADHP) 0912500374</t>
  </si>
  <si>
    <t>0912500374</t>
  </si>
  <si>
    <t>CG01609</t>
  </si>
  <si>
    <t>Mạnh (QPTB) 0912531592</t>
  </si>
  <si>
    <t>0912531592</t>
  </si>
  <si>
    <t>CG01610</t>
  </si>
  <si>
    <t>Thao (DAHN) 0972108988</t>
  </si>
  <si>
    <t>0972108988</t>
  </si>
  <si>
    <t>CG01611</t>
  </si>
  <si>
    <t>Hoàng Văn Dương (QTQXTH) 038067003228 0985049346 0971484628</t>
  </si>
  <si>
    <t>Quảng Thạch, Quảng Xương, Thanh Hóa</t>
  </si>
  <si>
    <t>0971484628</t>
  </si>
  <si>
    <t>CG01612</t>
  </si>
  <si>
    <t>Thường (CLHT) 0976775776</t>
  </si>
  <si>
    <t>0976775776</t>
  </si>
  <si>
    <t>CG01613</t>
  </si>
  <si>
    <t>Dũng (DCNA) 0973783459</t>
  </si>
  <si>
    <t>0973783459</t>
  </si>
  <si>
    <t>CG01614</t>
  </si>
  <si>
    <t>Nguyễn Văn Vương (QTALHP) 031082005805 0354118686</t>
  </si>
  <si>
    <t>Quang Trung, An Lão, Hải Phòng</t>
  </si>
  <si>
    <t>0354118686</t>
  </si>
  <si>
    <t>CG01615</t>
  </si>
  <si>
    <t>Hùng (QLNA) 0915000397</t>
  </si>
  <si>
    <t>0915000397</t>
  </si>
  <si>
    <t>CG01616</t>
  </si>
  <si>
    <t>Nguyễn Công Hùng (CVCGHD) 030063006883 0383211186</t>
  </si>
  <si>
    <t>Cẩm Văn, Cẩm Giàng, Hải Dương</t>
  </si>
  <si>
    <t>0383211186</t>
  </si>
  <si>
    <t>CG01617</t>
  </si>
  <si>
    <t>Thơ (CDHN) 0913530498</t>
  </si>
  <si>
    <t>Cầu Diễn, Bắc Từ Liêm, Hà Nội</t>
  </si>
  <si>
    <t>0913530498</t>
  </si>
  <si>
    <t>CG01618</t>
  </si>
  <si>
    <t>Quân (HDHN) 0985897361</t>
  </si>
  <si>
    <t>0985897361</t>
  </si>
  <si>
    <t>CG01619</t>
  </si>
  <si>
    <t>Sơn (TTHN) 0914876115</t>
  </si>
  <si>
    <t>0914876115</t>
  </si>
  <si>
    <t>CG01620</t>
  </si>
  <si>
    <t>Doãn Văn Ảnh (TNGHP) 031666111 0356721316</t>
  </si>
  <si>
    <t>Quang Thanh, Thủy Nguyên, Hải Phòng</t>
  </si>
  <si>
    <t>0356721316</t>
  </si>
  <si>
    <t>CG01621</t>
  </si>
  <si>
    <t>Vũ Sỹ Toàn (QHQLNA) 186431082 0989328315</t>
  </si>
  <si>
    <t>0989328315</t>
  </si>
  <si>
    <t>CG01622</t>
  </si>
  <si>
    <t>Xoan (PCBN) 0987826055</t>
  </si>
  <si>
    <t>0987826055</t>
  </si>
  <si>
    <t>CG01623</t>
  </si>
  <si>
    <t>Phán (TTIHN) 0915328327</t>
  </si>
  <si>
    <t>0915328327</t>
  </si>
  <si>
    <t>CG01624</t>
  </si>
  <si>
    <t>Huynh Đô (TTHN) 0838899166</t>
  </si>
  <si>
    <t>0838899166</t>
  </si>
  <si>
    <t>CG01625</t>
  </si>
  <si>
    <t>Điệp (TTIHN) 0913386457</t>
  </si>
  <si>
    <t>0913386457</t>
  </si>
  <si>
    <t>CG01626</t>
  </si>
  <si>
    <t>Vinh (PCBN) 0978496945</t>
  </si>
  <si>
    <t>0978496945</t>
  </si>
  <si>
    <t>CG01627</t>
  </si>
  <si>
    <t>Cửa Tiền (VNA) 0902193085</t>
  </si>
  <si>
    <t>0902193085</t>
  </si>
  <si>
    <t>CG01628</t>
  </si>
  <si>
    <t>Trường (NDNA) 0988703324</t>
  </si>
  <si>
    <t>0988703324</t>
  </si>
  <si>
    <t>CG01629</t>
  </si>
  <si>
    <t>Nguyễn Văn Thủy (LHDAHN) 001097015701 0989168889</t>
  </si>
  <si>
    <t>0989168889</t>
  </si>
  <si>
    <t>CG01630</t>
  </si>
  <si>
    <t>Cao Thị Mùi (TCPYVP) Lễ 026179002907 0912505822 0971509822</t>
  </si>
  <si>
    <t>Tiền Châu, Phúc Yên, Vĩnh Phúc</t>
  </si>
  <si>
    <t>0912505822</t>
  </si>
  <si>
    <t>CG01631</t>
  </si>
  <si>
    <t>Tuyến (MDHP) 0934522000</t>
  </si>
  <si>
    <t>0934522000</t>
  </si>
  <si>
    <t>CG01632</t>
  </si>
  <si>
    <t>Hùng (TTHN) 0967355999</t>
  </si>
  <si>
    <t>0967355999</t>
  </si>
  <si>
    <t>CG01633</t>
  </si>
  <si>
    <t>Dũng (TLVP) 0912327807</t>
  </si>
  <si>
    <t>0912327807</t>
  </si>
  <si>
    <t>CG01634</t>
  </si>
  <si>
    <t>Mười (TTHN) 0976519999</t>
  </si>
  <si>
    <t>0976519999</t>
  </si>
  <si>
    <t>CG01635</t>
  </si>
  <si>
    <t>Tuyển (TTHN) 0976548889</t>
  </si>
  <si>
    <t>0976548889</t>
  </si>
  <si>
    <t>CG01636</t>
  </si>
  <si>
    <t>Đạt (KMHD) 0772263121</t>
  </si>
  <si>
    <t>0772263121</t>
  </si>
  <si>
    <t>CG01637</t>
  </si>
  <si>
    <t>Năng (TPHD) 0983881093</t>
  </si>
  <si>
    <t>0983881093</t>
  </si>
  <si>
    <t>CG01638</t>
  </si>
  <si>
    <t>Minh (YYND) 0915144654</t>
  </si>
  <si>
    <t>0915144654</t>
  </si>
  <si>
    <t>CG01639</t>
  </si>
  <si>
    <t>Đăng (QXTH) 0987841891</t>
  </si>
  <si>
    <t>0987841891</t>
  </si>
  <si>
    <t>CG01640</t>
  </si>
  <si>
    <t>Công ty TNHH Đức Tài Lộc (HHBG) Tài 0941258888</t>
  </si>
  <si>
    <t>2300490172</t>
  </si>
  <si>
    <t>0941258888</t>
  </si>
  <si>
    <t>CG01641</t>
  </si>
  <si>
    <t>Khang (DPHN) 0912307922</t>
  </si>
  <si>
    <t>0912307922</t>
  </si>
  <si>
    <t>CG01642</t>
  </si>
  <si>
    <t>Thêm (TTIHN) 0376596387</t>
  </si>
  <si>
    <t>0376596387</t>
  </si>
  <si>
    <t>CG01643</t>
  </si>
  <si>
    <t>Quang (KTHP) 0913305357</t>
  </si>
  <si>
    <t>0913305357</t>
  </si>
  <si>
    <t>CG01644</t>
  </si>
  <si>
    <t>Lê (HDHN) 0919762518</t>
  </si>
  <si>
    <t>0919762518</t>
  </si>
  <si>
    <t>CG01645</t>
  </si>
  <si>
    <t>Yên (HHTB) 0984989509</t>
  </si>
  <si>
    <t>0984989509</t>
  </si>
  <si>
    <t>CG01646</t>
  </si>
  <si>
    <t>Lộc (TPTH) 0942069666</t>
  </si>
  <si>
    <t>0942069666</t>
  </si>
  <si>
    <t>CG01647</t>
  </si>
  <si>
    <t>Long (TPHD) 0963540888</t>
  </si>
  <si>
    <t>0963540888</t>
  </si>
  <si>
    <t>CG01648</t>
  </si>
  <si>
    <t>Hà ( VBHP) 0975805776</t>
  </si>
  <si>
    <t>0975805776</t>
  </si>
  <si>
    <t>CG01649</t>
  </si>
  <si>
    <t>Lê Đức Đạt (PHQYQN) 22076001686 0357202628</t>
  </si>
  <si>
    <t>Phong Hải, Quảng Yên, Quảng Ninh</t>
  </si>
  <si>
    <t>0357202628</t>
  </si>
  <si>
    <t>CG01650</t>
  </si>
  <si>
    <t>Lâm (DPHN) 0989772700</t>
  </si>
  <si>
    <t>0989772700</t>
  </si>
  <si>
    <t>CG01651</t>
  </si>
  <si>
    <t>Trà (HDHN) 0938182286</t>
  </si>
  <si>
    <t>0938182286</t>
  </si>
  <si>
    <t>CG01652</t>
  </si>
  <si>
    <t>Mười (TTIHN) 0915328207</t>
  </si>
  <si>
    <t>0915328207</t>
  </si>
  <si>
    <t>CG01653</t>
  </si>
  <si>
    <t>Thắng (TTHN) 0914892456</t>
  </si>
  <si>
    <t>0914892456</t>
  </si>
  <si>
    <t>CG01654</t>
  </si>
  <si>
    <t>Bảy (PCBN) 0975066965</t>
  </si>
  <si>
    <t>0975066965</t>
  </si>
  <si>
    <t>CG01655</t>
  </si>
  <si>
    <t>Hàn (HHBG) 0362036700</t>
  </si>
  <si>
    <t>0362036700</t>
  </si>
  <si>
    <t>CG01656</t>
  </si>
  <si>
    <t>Hiền (TTHN) 0982361978</t>
  </si>
  <si>
    <t>0982361978</t>
  </si>
  <si>
    <t>CG01657</t>
  </si>
  <si>
    <t>Phi (PCBN) 0968543966</t>
  </si>
  <si>
    <t>0968543966</t>
  </si>
  <si>
    <t>CG01658</t>
  </si>
  <si>
    <t>Công TNHH một thành viên Dương Duy (CLND) Trí 0385779739 0787157555</t>
  </si>
  <si>
    <t>Hữu Nghị, Cổ Lễ, Nam Định</t>
  </si>
  <si>
    <t>0600740091</t>
  </si>
  <si>
    <t>0385779739</t>
  </si>
  <si>
    <t>CG01659</t>
  </si>
  <si>
    <t>Doanh (CNTB) 0975138111</t>
  </si>
  <si>
    <t>0975138111</t>
  </si>
  <si>
    <t>CG01660</t>
  </si>
  <si>
    <t>Hùng (TTHN) 0913563184</t>
  </si>
  <si>
    <t>0913563184</t>
  </si>
  <si>
    <t>CG01661</t>
  </si>
  <si>
    <t>Chiến (CLND) 0912957636</t>
  </si>
  <si>
    <t>0912957636</t>
  </si>
  <si>
    <t>CG01662</t>
  </si>
  <si>
    <t>Việt (THTB) 0988828916</t>
  </si>
  <si>
    <t>0988828916</t>
  </si>
  <si>
    <t>CG01663</t>
  </si>
  <si>
    <t>Kỷ (TPNB) 0915834643</t>
  </si>
  <si>
    <t>0915834643</t>
  </si>
  <si>
    <t>CG01664</t>
  </si>
  <si>
    <t>Tuấn (TPHT) 0913276436</t>
  </si>
  <si>
    <t>0913276436</t>
  </si>
  <si>
    <t>CG01665</t>
  </si>
  <si>
    <t>Viết (TDBN) 0982726010</t>
  </si>
  <si>
    <t>Tiên Du, Bắc Ninh</t>
  </si>
  <si>
    <t>0982726010</t>
  </si>
  <si>
    <t>CG01666</t>
  </si>
  <si>
    <t>Trung (HDHN) 0913372858</t>
  </si>
  <si>
    <t>0913372858</t>
  </si>
  <si>
    <t>CG01667</t>
  </si>
  <si>
    <t>Thành (HDHN) 0933311976</t>
  </si>
  <si>
    <t>0933311976</t>
  </si>
  <si>
    <t>CG01668</t>
  </si>
  <si>
    <t>Thông (ALHP) 0776401266</t>
  </si>
  <si>
    <t>0776401266</t>
  </si>
  <si>
    <t>CG01669</t>
  </si>
  <si>
    <t>Hoàn (TPBG) 0915101207</t>
  </si>
  <si>
    <t>0915101207</t>
  </si>
  <si>
    <t>CG01670</t>
  </si>
  <si>
    <t>Đỗ Văn Tiệp (LHDAHN) 012337762 0912656617</t>
  </si>
  <si>
    <t>0912656617</t>
  </si>
  <si>
    <t>CG01671</t>
  </si>
  <si>
    <t>Ninh (THTB) 0376273686</t>
  </si>
  <si>
    <t>0376273686</t>
  </si>
  <si>
    <t>CG01672</t>
  </si>
  <si>
    <t>Dự (VLHY) 0988427761</t>
  </si>
  <si>
    <t>0988427761</t>
  </si>
  <si>
    <t>CG01673</t>
  </si>
  <si>
    <t>Pháp (LTBN) 0888398999</t>
  </si>
  <si>
    <t>0888398999</t>
  </si>
  <si>
    <t>CG01674</t>
  </si>
  <si>
    <t>Chín Ba (TPHHN) 0918688166</t>
  </si>
  <si>
    <t>0918688166</t>
  </si>
  <si>
    <t>P. XNK - Mỹ Đoàn (các lô) 0913288269</t>
  </si>
  <si>
    <t>Đường 72, Tổ Dân Phố Trung Bình, P. Dương Nội, Q. Hà Đông, Hà Nội, Việt Nam</t>
  </si>
  <si>
    <t>0500414591</t>
  </si>
  <si>
    <t>0913288269</t>
  </si>
  <si>
    <t>CG01676</t>
  </si>
  <si>
    <t>Đô (CMHN) 0904277222</t>
  </si>
  <si>
    <t>0904277222</t>
  </si>
  <si>
    <t>CG01677</t>
  </si>
  <si>
    <t>Bình (DAHN) 0965097080</t>
  </si>
  <si>
    <t>0965097080</t>
  </si>
  <si>
    <t>CG01678</t>
  </si>
  <si>
    <t>0913063557</t>
  </si>
  <si>
    <t>CG01679</t>
  </si>
  <si>
    <t>Đạo (NDNA) 0986751135</t>
  </si>
  <si>
    <t>0986751135</t>
  </si>
  <si>
    <t>CG01680</t>
  </si>
  <si>
    <t>Liên (TTIHN) 0943474776</t>
  </si>
  <si>
    <t>0943474776</t>
  </si>
  <si>
    <t>CG01681</t>
  </si>
  <si>
    <t>Hùng (TPBG) 0987241829 0912206960</t>
  </si>
  <si>
    <t>0912206960</t>
  </si>
  <si>
    <t>CG01682</t>
  </si>
  <si>
    <t>Dũng (VNHP) 0913056998</t>
  </si>
  <si>
    <t>0913056998</t>
  </si>
  <si>
    <t>CG01683</t>
  </si>
  <si>
    <t>Tùng (DPHN) 0979708545</t>
  </si>
  <si>
    <t>0979708545</t>
  </si>
  <si>
    <t>CG01684</t>
  </si>
  <si>
    <t>Thuận (TPBG) 0912252123</t>
  </si>
  <si>
    <t>0912252123</t>
  </si>
  <si>
    <t>CG01685</t>
  </si>
  <si>
    <t>Quên (YPBN) 0987535639</t>
  </si>
  <si>
    <t>0987535639</t>
  </si>
  <si>
    <t>CG01686</t>
  </si>
  <si>
    <t>Tiến (CLND) 0979840768</t>
  </si>
  <si>
    <t>0979840768</t>
  </si>
  <si>
    <t>CG01687</t>
  </si>
  <si>
    <t>Đức (HDHN) 0915432476</t>
  </si>
  <si>
    <t>0915432476</t>
  </si>
  <si>
    <t>CG01688</t>
  </si>
  <si>
    <t>0387827092</t>
  </si>
  <si>
    <t>CG01690</t>
  </si>
  <si>
    <t>Sơn (THTH) 0947340629</t>
  </si>
  <si>
    <t>0947340629</t>
  </si>
  <si>
    <t>CG01691</t>
  </si>
  <si>
    <t>Hương (VTVP) 0981068666</t>
  </si>
  <si>
    <t>0981068666</t>
  </si>
  <si>
    <t>CG01692</t>
  </si>
  <si>
    <t>Vinh (NVNHP) 0931565569</t>
  </si>
  <si>
    <t>0931565569</t>
  </si>
  <si>
    <t>CG01693</t>
  </si>
  <si>
    <t>Nguyễn Bá Bắc (SSTH) Lưu 171831733 0988832797</t>
  </si>
  <si>
    <t>Quang Tân, Quảng Xương, Thanh Hóa</t>
  </si>
  <si>
    <t>0988832797</t>
  </si>
  <si>
    <t>CG01694</t>
  </si>
  <si>
    <t>Vũ Đình Bảy (TLTHTH) 17129923 0904791615 0942835899</t>
  </si>
  <si>
    <t>Thiệu Long, Thiệu Hóa, Thanh Hóa</t>
  </si>
  <si>
    <t>0942835899</t>
  </si>
  <si>
    <t>CG01696</t>
  </si>
  <si>
    <t>Sách (SSHN) 0374955978</t>
  </si>
  <si>
    <t>0374955978</t>
  </si>
  <si>
    <t>CG01697</t>
  </si>
  <si>
    <t>Nghiên (TTIHN) 0962033695</t>
  </si>
  <si>
    <t>0962033695</t>
  </si>
  <si>
    <t>CG01698</t>
  </si>
  <si>
    <t>Quang (PCBN) 0363186618</t>
  </si>
  <si>
    <t>0363186618</t>
  </si>
  <si>
    <t>CG01699</t>
  </si>
  <si>
    <t>Trường (PCBN) 0987535473</t>
  </si>
  <si>
    <t>0987535473</t>
  </si>
  <si>
    <t>CG01700</t>
  </si>
  <si>
    <t>Thành (TPHD) 0945999999</t>
  </si>
  <si>
    <t>0945999999</t>
  </si>
  <si>
    <t>CG01701</t>
  </si>
  <si>
    <t>Trần Văn Đoàn (BTHN) 001081023379 0984754057</t>
  </si>
  <si>
    <t>0984754057</t>
  </si>
  <si>
    <t>CG01702</t>
  </si>
  <si>
    <t>Ninh Văn Điệp (LNKMHD) 142377872 0977529107</t>
  </si>
  <si>
    <t>Lê Ninh, Kinh Môn, Hải Dương</t>
  </si>
  <si>
    <t>0977529107</t>
  </si>
  <si>
    <t>CG01703</t>
  </si>
  <si>
    <t>Soát (HHTH) 0912384529</t>
  </si>
  <si>
    <t>0912384529</t>
  </si>
  <si>
    <t>CG01704</t>
  </si>
  <si>
    <t>Bằng (YYND) 0985298525</t>
  </si>
  <si>
    <t>0985298525</t>
  </si>
  <si>
    <t>CG01705</t>
  </si>
  <si>
    <t>Liễu (SDHP) 0903475464</t>
  </si>
  <si>
    <t>Sở Dầu, Hồng Bàng, Hải Phòng</t>
  </si>
  <si>
    <t>0903475464</t>
  </si>
  <si>
    <t>CG01706</t>
  </si>
  <si>
    <t>Kỳ (TTIHN) 0916788845</t>
  </si>
  <si>
    <t>0916788845</t>
  </si>
  <si>
    <t>CG01707</t>
  </si>
  <si>
    <t>Tuấn Anh (MDHP) 0902269390</t>
  </si>
  <si>
    <t>0902269390</t>
  </si>
  <si>
    <t>CG01708</t>
  </si>
  <si>
    <t>Vũ Đức Trung (TSVYBG) 121925347 0974610669</t>
  </si>
  <si>
    <t>Trung Sơn, Việt Yên, Bắc Giang</t>
  </si>
  <si>
    <t>0974610669</t>
  </si>
  <si>
    <t>CG01709</t>
  </si>
  <si>
    <t>Cường (YPBN) 0967382999</t>
  </si>
  <si>
    <t>0967382999</t>
  </si>
  <si>
    <t>CG01710</t>
  </si>
  <si>
    <t>Hợi (NDNA) 0988835839</t>
  </si>
  <si>
    <t>0988835839</t>
  </si>
  <si>
    <t>CG01711</t>
  </si>
  <si>
    <t>Bình (TTIHN) 0913320915</t>
  </si>
  <si>
    <t>0913320915</t>
  </si>
  <si>
    <t>CG01712</t>
  </si>
  <si>
    <t>Phan Văn Huy (NMQOHN) 001085002492 0985886034</t>
  </si>
  <si>
    <t>Ngọc Mỹ, Quốc Oai, Hà Nội</t>
  </si>
  <si>
    <t>0985886034</t>
  </si>
  <si>
    <t>CG01713</t>
  </si>
  <si>
    <t>Vĩ (YYND) 0914768162</t>
  </si>
  <si>
    <t>0914768162</t>
  </si>
  <si>
    <t>CG01714</t>
  </si>
  <si>
    <t>Tài (PNHY) 0913364830</t>
  </si>
  <si>
    <t>Phố Nối, Mỹ Hào, Hưng Yên</t>
  </si>
  <si>
    <t>0913364830</t>
  </si>
  <si>
    <t>CG01715</t>
  </si>
  <si>
    <t>Thịnh (TTHN) 0948106330</t>
  </si>
  <si>
    <t>0948106330</t>
  </si>
  <si>
    <t>CG01716</t>
  </si>
  <si>
    <t>Hà (YPBN) 0947544457</t>
  </si>
  <si>
    <t>0947544457</t>
  </si>
  <si>
    <t>CG01717</t>
  </si>
  <si>
    <t>Chiến (TSBN) 0967338999</t>
  </si>
  <si>
    <t>0967338999</t>
  </si>
  <si>
    <t>CG01718</t>
  </si>
  <si>
    <t>Dung (TPLS) 0974444114</t>
  </si>
  <si>
    <t>0974444114</t>
  </si>
  <si>
    <t>CG01719</t>
  </si>
  <si>
    <t>Lê Đoài (QCTB) 151537489 0972882904 0933556222</t>
  </si>
  <si>
    <t>0972882904</t>
  </si>
  <si>
    <t>CG01720</t>
  </si>
  <si>
    <t>Trung (UBQN) 0913371178</t>
  </si>
  <si>
    <t>0913371178</t>
  </si>
  <si>
    <t>CG01721</t>
  </si>
  <si>
    <t>Đăng (QYQN) 0983786289</t>
  </si>
  <si>
    <t>0983786289</t>
  </si>
  <si>
    <t>CG01722</t>
  </si>
  <si>
    <t>Nguyễn Văn Khánh (CLTNND) Việt 121673162 0911340777</t>
  </si>
  <si>
    <t>0911340777</t>
  </si>
  <si>
    <t>CG01723</t>
  </si>
  <si>
    <t>Chính (DCNA) 0917168494</t>
  </si>
  <si>
    <t>0917168494</t>
  </si>
  <si>
    <t>CG01724</t>
  </si>
  <si>
    <t>Hòa Phương (TOHN) 0345408222</t>
  </si>
  <si>
    <t>0345408222</t>
  </si>
  <si>
    <t>CG01725</t>
  </si>
  <si>
    <t>Nguyễn An Cường (LTDPHN) 001075019637 0987822888</t>
  </si>
  <si>
    <t>0987822888</t>
  </si>
  <si>
    <t>CG01726</t>
  </si>
  <si>
    <t>Hiện (HLQN) 0912533822</t>
  </si>
  <si>
    <t>0912533822</t>
  </si>
  <si>
    <t>CG01727</t>
  </si>
  <si>
    <t>Tích (TLHP) 0383101601</t>
  </si>
  <si>
    <t>0383101601</t>
  </si>
  <si>
    <t>CG01728</t>
  </si>
  <si>
    <t>Đại (YPBN) 0965580799</t>
  </si>
  <si>
    <t>0965580799</t>
  </si>
  <si>
    <t>CG01729</t>
  </si>
  <si>
    <t>Dũng (YPBN) 0978507093</t>
  </si>
  <si>
    <t>0978507093</t>
  </si>
  <si>
    <t>CG01730</t>
  </si>
  <si>
    <t>Lương (DAHN) 0987605239</t>
  </si>
  <si>
    <t>0987605239</t>
  </si>
  <si>
    <t>CG01731</t>
  </si>
  <si>
    <t>Thơ (CLND) 0977613125</t>
  </si>
  <si>
    <t>0977613125</t>
  </si>
  <si>
    <t>CG01732</t>
  </si>
  <si>
    <t>Thái (TPTB) 0945048384</t>
  </si>
  <si>
    <t>0945048384</t>
  </si>
  <si>
    <t>CG01733</t>
  </si>
  <si>
    <t>Tân (CLND) 0365766224</t>
  </si>
  <si>
    <t>0365766224</t>
  </si>
  <si>
    <t>CG01734</t>
  </si>
  <si>
    <t>Hưng Nguyên (TPHN) 0972578085</t>
  </si>
  <si>
    <t>0972578085</t>
  </si>
  <si>
    <t>CG01735</t>
  </si>
  <si>
    <t>Hùng (TPTH) 0948911603</t>
  </si>
  <si>
    <t>0948911603</t>
  </si>
  <si>
    <t>CG01736</t>
  </si>
  <si>
    <t>Hoan (DAHN) 0912485581</t>
  </si>
  <si>
    <t>0912485581</t>
  </si>
  <si>
    <t>CG01737</t>
  </si>
  <si>
    <t>Trình (DCNA) 0912657577</t>
  </si>
  <si>
    <t>0912657577</t>
  </si>
  <si>
    <t>CG01738</t>
  </si>
  <si>
    <t>Nguyễn Thị Oanh (NXTTBN) 125254992 0369019699 0912258539</t>
  </si>
  <si>
    <t>Ninh Xá, Thuận Thành, Bắc Ninh</t>
  </si>
  <si>
    <t>0912258539</t>
  </si>
  <si>
    <t>CG01739</t>
  </si>
  <si>
    <t>Linh Mục (DLNA) 0915229150</t>
  </si>
  <si>
    <t>0915229150</t>
  </si>
  <si>
    <t>CG01740</t>
  </si>
  <si>
    <t>Hùng (TPBN) 0912436511</t>
  </si>
  <si>
    <t>0912436511</t>
  </si>
  <si>
    <t>CG01741</t>
  </si>
  <si>
    <t>Luyến (TOHN) 0976461111</t>
  </si>
  <si>
    <t>0976461111</t>
  </si>
  <si>
    <t>CG01742</t>
  </si>
  <si>
    <t>Ninh (TLVP) 0915083469</t>
  </si>
  <si>
    <t>0915083469</t>
  </si>
  <si>
    <t>CG01743</t>
  </si>
  <si>
    <t>Tuân (DAHN) 0834198183</t>
  </si>
  <si>
    <t>0834198183</t>
  </si>
  <si>
    <t>CG01744</t>
  </si>
  <si>
    <t>Vọng (GBBN) 0936160006</t>
  </si>
  <si>
    <t>0936160006</t>
  </si>
  <si>
    <t>CG01745</t>
  </si>
  <si>
    <t>Đại (TPNB) 0936419871</t>
  </si>
  <si>
    <t>0936419871</t>
  </si>
  <si>
    <t>CG01746</t>
  </si>
  <si>
    <t>Thầm (YMHY) 0913258663</t>
  </si>
  <si>
    <t>0913258663</t>
  </si>
  <si>
    <t>CG01747</t>
  </si>
  <si>
    <t>Tuấn (TTRHN) 0934336666</t>
  </si>
  <si>
    <t>Thanh Trì, Hà Nội</t>
  </si>
  <si>
    <t>0934336666</t>
  </si>
  <si>
    <t>CG01748</t>
  </si>
  <si>
    <t>Hưng (TPHD) 0977367368</t>
  </si>
  <si>
    <t>0977367368</t>
  </si>
  <si>
    <t>CG01749</t>
  </si>
  <si>
    <t>Hà Đăng Phụng (HNHHTB) 017113706 0987930740</t>
  </si>
  <si>
    <t>Hưng Nhân, Hưng Hà, Thái Bình</t>
  </si>
  <si>
    <t>0987930740</t>
  </si>
  <si>
    <t>CG01750</t>
  </si>
  <si>
    <t>0979541425</t>
  </si>
  <si>
    <t>CG01751</t>
  </si>
  <si>
    <t>Hà (DPHN) 0974258656</t>
  </si>
  <si>
    <t>0974258656</t>
  </si>
  <si>
    <t>CG01752</t>
  </si>
  <si>
    <t>Xuân (MDHP) 0985969901</t>
  </si>
  <si>
    <t>0985969901</t>
  </si>
  <si>
    <t>CG01753</t>
  </si>
  <si>
    <t>Nghiên (PCBN) 0915744624</t>
  </si>
  <si>
    <t>0915744624</t>
  </si>
  <si>
    <t>CG01754</t>
  </si>
  <si>
    <t>Kha (TMHD) 0359950279</t>
  </si>
  <si>
    <t>0359950279</t>
  </si>
  <si>
    <t>CG01755</t>
  </si>
  <si>
    <t>Độ (YPBN) 0977089877</t>
  </si>
  <si>
    <t>0977089877</t>
  </si>
  <si>
    <t>CG01756</t>
  </si>
  <si>
    <t>Tuấn (PLHNA) 0941046945</t>
  </si>
  <si>
    <t>0941046945</t>
  </si>
  <si>
    <t>CG01757</t>
  </si>
  <si>
    <t>Phạm Hữu Hùng (YNYYND) 036068001865 0982596923</t>
  </si>
  <si>
    <t>0982596923</t>
  </si>
  <si>
    <t>CG01758</t>
  </si>
  <si>
    <t>Hảo (HDHN) 0982031875</t>
  </si>
  <si>
    <t>0982031875</t>
  </si>
  <si>
    <t>CG01759</t>
  </si>
  <si>
    <t>Long (TTHN) 0915656071</t>
  </si>
  <si>
    <t>0915656071</t>
  </si>
  <si>
    <t>CG01760</t>
  </si>
  <si>
    <t>Thuận (ADHP) 0912331299</t>
  </si>
  <si>
    <t>0912331299</t>
  </si>
  <si>
    <t>CG01761</t>
  </si>
  <si>
    <t>Cường (HDHN) 0912073630</t>
  </si>
  <si>
    <t>0912073630</t>
  </si>
  <si>
    <t>CG01762</t>
  </si>
  <si>
    <t>Thế (QCTB) 0986897870</t>
  </si>
  <si>
    <t>0986897870</t>
  </si>
  <si>
    <t>CG01763</t>
  </si>
  <si>
    <t>Nguyên (NDNA) 0915685672</t>
  </si>
  <si>
    <t>0915685672</t>
  </si>
  <si>
    <t>CG01764</t>
  </si>
  <si>
    <t>Công ty TNHH Hải Hưng (TTHN) Hưng 0912456186 0500453311</t>
  </si>
  <si>
    <t>Bình Phú, Thạch Thất, Hà Nội</t>
  </si>
  <si>
    <t>0500453311</t>
  </si>
  <si>
    <t>0912456186</t>
  </si>
  <si>
    <t>CG01765</t>
  </si>
  <si>
    <t>Xuân (DAHN) 0985898917</t>
  </si>
  <si>
    <t>0985898917</t>
  </si>
  <si>
    <t>CG01766</t>
  </si>
  <si>
    <t>Quang (DCNA) 0376136666</t>
  </si>
  <si>
    <t>0376136666</t>
  </si>
  <si>
    <t>CG01767</t>
  </si>
  <si>
    <t>Hòa (VYBG) 0366898389</t>
  </si>
  <si>
    <t>0366898389</t>
  </si>
  <si>
    <t>CG01768</t>
  </si>
  <si>
    <t>Đào Văn Hào (NHNSTH) 38080012339 0973027568</t>
  </si>
  <si>
    <t>Nga Hưng, Nga Sơn, Thanh Hóa</t>
  </si>
  <si>
    <t>0973027568</t>
  </si>
  <si>
    <t>CG01769</t>
  </si>
  <si>
    <t>Chung (VBND) 0915237385</t>
  </si>
  <si>
    <t>0915237385</t>
  </si>
  <si>
    <t>CG01770</t>
  </si>
  <si>
    <t>Vinh (YYND) 0903472757</t>
  </si>
  <si>
    <t>0903472757</t>
  </si>
  <si>
    <t>CG01771</t>
  </si>
  <si>
    <t>Ngô Văn Thận (HVHHND) 162097116 0944864976</t>
  </si>
  <si>
    <t>0944864976</t>
  </si>
  <si>
    <t>CG01772</t>
  </si>
  <si>
    <t>Khanh (TSBN) 0917555873</t>
  </si>
  <si>
    <t>0917555873</t>
  </si>
  <si>
    <t>CG01773</t>
  </si>
  <si>
    <t>Huy (QGHD) 0904221159</t>
  </si>
  <si>
    <t>0904221159</t>
  </si>
  <si>
    <t>CG01774</t>
  </si>
  <si>
    <t>Cường (TSBN) 0986530915</t>
  </si>
  <si>
    <t>0986530915</t>
  </si>
  <si>
    <t>CG01775</t>
  </si>
  <si>
    <t>Hoạt (PYVP) 0968991972</t>
  </si>
  <si>
    <t>Phúc Yên, Vĩnh Phúc</t>
  </si>
  <si>
    <t>0968991972</t>
  </si>
  <si>
    <t>CG01776</t>
  </si>
  <si>
    <t>Đỗ Xuân Tâm (TNGHP) 031055001036 0983409341</t>
  </si>
  <si>
    <t>0983409341</t>
  </si>
  <si>
    <t>CG01777</t>
  </si>
  <si>
    <t>Ngữ (TTIHN) 0983353650</t>
  </si>
  <si>
    <t>0983353650</t>
  </si>
  <si>
    <t>CG01778</t>
  </si>
  <si>
    <t>Tám (TLVP) 0975944361</t>
  </si>
  <si>
    <t>0975944361</t>
  </si>
  <si>
    <t>CG01779</t>
  </si>
  <si>
    <t>Công ty TNHH thươnng mại và sản xuất Dũng Thủy (TTHN) Xạ 0988314555</t>
  </si>
  <si>
    <t>0106682225</t>
  </si>
  <si>
    <t>0988314555</t>
  </si>
  <si>
    <t>CG01780</t>
  </si>
  <si>
    <t>Nam (QGHD) 0987052497</t>
  </si>
  <si>
    <t>0987052497</t>
  </si>
  <si>
    <t>CG01781</t>
  </si>
  <si>
    <t>Cường (TPTB) 0912992259</t>
  </si>
  <si>
    <t>0912992259</t>
  </si>
  <si>
    <t>CG01782</t>
  </si>
  <si>
    <t>Tình (PNHY) 0975336825</t>
  </si>
  <si>
    <t>0975336825</t>
  </si>
  <si>
    <t>CG01783</t>
  </si>
  <si>
    <t>Thắng (KAHP) 0915981616</t>
  </si>
  <si>
    <t>0915981616</t>
  </si>
  <si>
    <t>CG01784</t>
  </si>
  <si>
    <t>Quyền (YPBN) 0978091448</t>
  </si>
  <si>
    <t>0978091448</t>
  </si>
  <si>
    <t>CG01785</t>
  </si>
  <si>
    <t>Linh (TLHY) 0963593056</t>
  </si>
  <si>
    <t>Tiên Lữ, Hưng Yên</t>
  </si>
  <si>
    <t>0963593056</t>
  </si>
  <si>
    <t>CG01786</t>
  </si>
  <si>
    <t>Trường (TPNB) 0913113531</t>
  </si>
  <si>
    <t>0913113531</t>
  </si>
  <si>
    <t>CG01787</t>
  </si>
  <si>
    <t>Quỳnh (TTIHN) 0989790165</t>
  </si>
  <si>
    <t>0989790165</t>
  </si>
  <si>
    <t>CG01788</t>
  </si>
  <si>
    <t>Ngọc (TTIHN) 0915176190</t>
  </si>
  <si>
    <t>0915176190</t>
  </si>
  <si>
    <t>CG01789</t>
  </si>
  <si>
    <t>Việt (GLHD) 0973878368</t>
  </si>
  <si>
    <t>0973878368</t>
  </si>
  <si>
    <t>CG01790</t>
  </si>
  <si>
    <t>Lưu Đức Lực (PTYTNA) 182004774 0975424605</t>
  </si>
  <si>
    <t>Phú Thành, Yên Thành, Nghệ An</t>
  </si>
  <si>
    <t>0975424605</t>
  </si>
  <si>
    <t>CG01791</t>
  </si>
  <si>
    <t>Long (YPBN) 0987866902</t>
  </si>
  <si>
    <t>0987866902</t>
  </si>
  <si>
    <t>CG01792</t>
  </si>
  <si>
    <t>Tảng (TNXHP) 0902173954</t>
  </si>
  <si>
    <t>0902173954</t>
  </si>
  <si>
    <t>CG01793</t>
  </si>
  <si>
    <t>Sử (DAHN) 0978146222</t>
  </si>
  <si>
    <t>0978146222</t>
  </si>
  <si>
    <t>CG01794</t>
  </si>
  <si>
    <t>Phạm Văn Quyết (DHDCNA) 182974485 0976667449</t>
  </si>
  <si>
    <t>Diễn Hoàng, Diễn Châu, Nghệ An</t>
  </si>
  <si>
    <t>0976667449</t>
  </si>
  <si>
    <t>CG01795</t>
  </si>
  <si>
    <t>Vương (TSBN) 0984940217</t>
  </si>
  <si>
    <t>0984940217</t>
  </si>
  <si>
    <t>CG01796</t>
  </si>
  <si>
    <t>Tới (TPNB) 0904033540</t>
  </si>
  <si>
    <t>0904033540</t>
  </si>
  <si>
    <t>CG01797</t>
  </si>
  <si>
    <t>Long (TTIHN) 0772211188</t>
  </si>
  <si>
    <t>0772211188</t>
  </si>
  <si>
    <t>CG01798</t>
  </si>
  <si>
    <t>Tuấn (YPBN) 0379547056</t>
  </si>
  <si>
    <t>0379547056</t>
  </si>
  <si>
    <t>CG01799</t>
  </si>
  <si>
    <t>Thanh (KAHP) 0912602718</t>
  </si>
  <si>
    <t>0912602718</t>
  </si>
  <si>
    <t>CG01800</t>
  </si>
  <si>
    <t>Thành (XAHT) 0913385517</t>
  </si>
  <si>
    <t>Xuân An, Nghi Xuân, Hà Tĩnh</t>
  </si>
  <si>
    <t>0913385517</t>
  </si>
  <si>
    <t>CG01801</t>
  </si>
  <si>
    <t>Mai Huy Thái (NSTH) 171387739 0989189437 0986169506</t>
  </si>
  <si>
    <t>0986169506</t>
  </si>
  <si>
    <t>CG01802</t>
  </si>
  <si>
    <t>Tin (QLNA) 0914473698</t>
  </si>
  <si>
    <t>0914473698</t>
  </si>
  <si>
    <t>CG01803</t>
  </si>
  <si>
    <t>Thúy (VDIHN) 0979651007</t>
  </si>
  <si>
    <t>Vân Đình, Ứng Hòa, Hà Nội</t>
  </si>
  <si>
    <t>0979651007</t>
  </si>
  <si>
    <t>CG01804</t>
  </si>
  <si>
    <t>Hưởng (DXHN) 0918524219</t>
  </si>
  <si>
    <t>0918524219</t>
  </si>
  <si>
    <t>CG01805</t>
  </si>
  <si>
    <t>Quý (TSBN) 0976958469</t>
  </si>
  <si>
    <t>0976958469</t>
  </si>
  <si>
    <t>CG01806</t>
  </si>
  <si>
    <t>CG01807</t>
  </si>
  <si>
    <t>Quang (DAHN) 0988707237</t>
  </si>
  <si>
    <t>0988707237</t>
  </si>
  <si>
    <t>CG01808</t>
  </si>
  <si>
    <t>Công ty CP XD và TM Kiên Cường (SSTH) Cường 0916494833</t>
  </si>
  <si>
    <t>Quảng Tâm, TP. Thanh Hóa</t>
  </si>
  <si>
    <t>2801135429</t>
  </si>
  <si>
    <t>0916494833</t>
  </si>
  <si>
    <t>CG01809</t>
  </si>
  <si>
    <t>Toàn (TNXHP) 0912285783</t>
  </si>
  <si>
    <t>Đông Sơn, Thủy Nguyên, Hải Phòng</t>
  </si>
  <si>
    <t>0912285783</t>
  </si>
  <si>
    <t>CG01810</t>
  </si>
  <si>
    <t>Sơn (YLVP) 0978010111</t>
  </si>
  <si>
    <t>0978010111</t>
  </si>
  <si>
    <t>CG01811</t>
  </si>
  <si>
    <t>Thành (TTHN) 0975656837</t>
  </si>
  <si>
    <t>0975656837</t>
  </si>
  <si>
    <t>CG01812</t>
  </si>
  <si>
    <t>Nguyên (GBBN) 0982850962</t>
  </si>
  <si>
    <t>0982850962</t>
  </si>
  <si>
    <t>CG01813</t>
  </si>
  <si>
    <t xml:space="preserve">Lưu Đức Nam (BXTLVP) 135035312 0869567999 </t>
  </si>
  <si>
    <t>0869567999</t>
  </si>
  <si>
    <t>CG01814</t>
  </si>
  <si>
    <t>Thuận (XTND) 0986040865</t>
  </si>
  <si>
    <t>0986040865</t>
  </si>
  <si>
    <t>CG01815</t>
  </si>
  <si>
    <t>Thắng (TLVP) 0965566568</t>
  </si>
  <si>
    <t>0965566568</t>
  </si>
  <si>
    <t>CG01816</t>
  </si>
  <si>
    <t>Tuấn (SSHN) 0384698029</t>
  </si>
  <si>
    <t>0384698029</t>
  </si>
  <si>
    <t>CG01817</t>
  </si>
  <si>
    <t>Lợi (CXHT) 0948455386</t>
  </si>
  <si>
    <t>Cẩm Xuyên, Hà Tĩnh</t>
  </si>
  <si>
    <t>0948455386</t>
  </si>
  <si>
    <t>CG01818</t>
  </si>
  <si>
    <t>Hiển (DPHN) 0904676762</t>
  </si>
  <si>
    <t>0904676762</t>
  </si>
  <si>
    <t>CG01819</t>
  </si>
  <si>
    <t>Dương (TTHN) 0915816200</t>
  </si>
  <si>
    <t>0915816200</t>
  </si>
  <si>
    <t>CG01820</t>
  </si>
  <si>
    <t>Phạm Văn Thiệu (TCTLHP) 030999855 0976363814</t>
  </si>
  <si>
    <t>Tiên Cường, Tiên Lãng, Hải Phòng</t>
  </si>
  <si>
    <t>0976363814</t>
  </si>
  <si>
    <t>CG01821</t>
  </si>
  <si>
    <t>Phương (KTHP) 0902025785</t>
  </si>
  <si>
    <t>0902025785</t>
  </si>
  <si>
    <t>CG01822</t>
  </si>
  <si>
    <t>Nhân (TPHD) 0988523786</t>
  </si>
  <si>
    <t>0988523786</t>
  </si>
  <si>
    <t>CG01823</t>
  </si>
  <si>
    <t>Hải (NLNA) 0972441677</t>
  </si>
  <si>
    <t>0972441677</t>
  </si>
  <si>
    <t>CG01824</t>
  </si>
  <si>
    <t>Trần Văn Lợi (NSVYBG) 120842660 0915275693</t>
  </si>
  <si>
    <t>Ninh Sơn, Việt Yên, Bắc Giang</t>
  </si>
  <si>
    <t>0915275693</t>
  </si>
  <si>
    <t>CG01825</t>
  </si>
  <si>
    <t>Học (HHND) 0913248622</t>
  </si>
  <si>
    <t>0913248622</t>
  </si>
  <si>
    <t>CG01826</t>
  </si>
  <si>
    <t>Hữu Bằng, Thạch Thất, Hà Nội</t>
  </si>
  <si>
    <t>0942422626</t>
  </si>
  <si>
    <t>CG01827</t>
  </si>
  <si>
    <t>Doanh (YPBN) 0989128767</t>
  </si>
  <si>
    <t>0989128767</t>
  </si>
  <si>
    <t>CG01828</t>
  </si>
  <si>
    <t>Chính (QLNA) 0986040379</t>
  </si>
  <si>
    <t>0986040379</t>
  </si>
  <si>
    <t>CG01829</t>
  </si>
  <si>
    <t>Vũ Văn Mạnh (VTTTIHN) 001090025557 0987170171</t>
  </si>
  <si>
    <t>0987170171</t>
  </si>
  <si>
    <t>CG01830</t>
  </si>
  <si>
    <t>Nguyễn Đình Hào (LTDPHN) 111642748 0988237266</t>
  </si>
  <si>
    <t>0988237266</t>
  </si>
  <si>
    <t>CG01831</t>
  </si>
  <si>
    <t>Đức (DXHN) 0988622262</t>
  </si>
  <si>
    <t>0988622262</t>
  </si>
  <si>
    <t>CG01832</t>
  </si>
  <si>
    <t>Nguyên (TSBN) 0978469995</t>
  </si>
  <si>
    <t>0978469995</t>
  </si>
  <si>
    <t>CG01833</t>
  </si>
  <si>
    <t>Thọ (HHTB) 0986381773</t>
  </si>
  <si>
    <t>0986381773</t>
  </si>
  <si>
    <t>CG01834</t>
  </si>
  <si>
    <t>Nguyễn Hữu Phương (LHDPHN) 11150717 0972927228</t>
  </si>
  <si>
    <t>Liên Hà, Đan Phượng, Hà Nội</t>
  </si>
  <si>
    <t>0972927228</t>
  </si>
  <si>
    <t>CG01835</t>
  </si>
  <si>
    <t>Vũ (DAHN) 0983193767 0968605066</t>
  </si>
  <si>
    <t>0968605066</t>
  </si>
  <si>
    <t>CG01836</t>
  </si>
  <si>
    <t>Thầy Bột (NHND) 0912423261</t>
  </si>
  <si>
    <t>0912423261</t>
  </si>
  <si>
    <t>CG01837</t>
  </si>
  <si>
    <t>Lê Văn Tuấn (THHD) 141750438 0983762707</t>
  </si>
  <si>
    <t>Nhân Nghĩa, Nam Đồng, Hải Dương</t>
  </si>
  <si>
    <t>0983762707</t>
  </si>
  <si>
    <t>CG01838</t>
  </si>
  <si>
    <t>Ánh (DAHN) 0912730956</t>
  </si>
  <si>
    <t>0912730956</t>
  </si>
  <si>
    <t>CG01839</t>
  </si>
  <si>
    <t>Chiến (GLHN) 0912254702</t>
  </si>
  <si>
    <t>0912254702</t>
  </si>
  <si>
    <t>CG01840</t>
  </si>
  <si>
    <t>Mùi (TNGHP) 0942666566</t>
  </si>
  <si>
    <t>0942666566</t>
  </si>
  <si>
    <t>CG01841</t>
  </si>
  <si>
    <t>Quảng Nam (TLVP) 0985223472</t>
  </si>
  <si>
    <t>0985223472</t>
  </si>
  <si>
    <t>CG01842</t>
  </si>
  <si>
    <t>Huy (GBBN) 0982115349</t>
  </si>
  <si>
    <t>0982115349</t>
  </si>
  <si>
    <t>CG01844</t>
  </si>
  <si>
    <t>Yến (NSHD) 0964365564</t>
  </si>
  <si>
    <t>0964365564</t>
  </si>
  <si>
    <t>CG01845</t>
  </si>
  <si>
    <t>Giáp (YPBN) 0339092430</t>
  </si>
  <si>
    <t>0339092430</t>
  </si>
  <si>
    <t>CG01846</t>
  </si>
  <si>
    <t>Hiếu Hương (TPHP) 0913245275</t>
  </si>
  <si>
    <t>0913245275</t>
  </si>
  <si>
    <t>CG01847</t>
  </si>
  <si>
    <t>Dương (TTHN) 0946589814</t>
  </si>
  <si>
    <t>0946589814</t>
  </si>
  <si>
    <t>CG01848</t>
  </si>
  <si>
    <t>Bình (DAHN) 0981567490</t>
  </si>
  <si>
    <t>0981567490</t>
  </si>
  <si>
    <t>CG01849</t>
  </si>
  <si>
    <t>Thành (TLVP) 0984405847</t>
  </si>
  <si>
    <t>0984405847</t>
  </si>
  <si>
    <t>CG01850</t>
  </si>
  <si>
    <t>Quyền (HDHN) 0978985299</t>
  </si>
  <si>
    <t>0978985299</t>
  </si>
  <si>
    <t>CG01851</t>
  </si>
  <si>
    <t>Phấn (TTHN) 0961301072</t>
  </si>
  <si>
    <t>0961301072</t>
  </si>
  <si>
    <t>CG01852</t>
  </si>
  <si>
    <t>Nam (KSNB) 0393213113</t>
  </si>
  <si>
    <t>0393213113</t>
  </si>
  <si>
    <t>CG01853</t>
  </si>
  <si>
    <t>Hằng (SSTH) 0903401424</t>
  </si>
  <si>
    <t>0903401424</t>
  </si>
  <si>
    <t>CG01854</t>
  </si>
  <si>
    <t>Tuấn (TSTH) 0913206015</t>
  </si>
  <si>
    <t>0913206015</t>
  </si>
  <si>
    <t>CG01855</t>
  </si>
  <si>
    <t>Anh (TSBN) 0964284444</t>
  </si>
  <si>
    <t>0964284444</t>
  </si>
  <si>
    <t>CG01856</t>
  </si>
  <si>
    <t>Dầu (YPBN) 0973996409</t>
  </si>
  <si>
    <t>0973996409</t>
  </si>
  <si>
    <t>CG01857</t>
  </si>
  <si>
    <t>Thọ (YPBN) 0973365685</t>
  </si>
  <si>
    <t>0973365685</t>
  </si>
  <si>
    <t>CG01858</t>
  </si>
  <si>
    <t>Khoa (TTIHN) 0912729726</t>
  </si>
  <si>
    <t>0912729726</t>
  </si>
  <si>
    <t>CG01859</t>
  </si>
  <si>
    <t>Quyền (YPBN) 0981291666</t>
  </si>
  <si>
    <t>0981291666</t>
  </si>
  <si>
    <t>CG01860</t>
  </si>
  <si>
    <t>Thủy (HKHT) 0913166993</t>
  </si>
  <si>
    <t>0913166993</t>
  </si>
  <si>
    <t>CG01861</t>
  </si>
  <si>
    <t>Bảy (BNLC) 0823660108</t>
  </si>
  <si>
    <t>Bảo Nhai, Bắc Hà, Lào Cai</t>
  </si>
  <si>
    <t>0823660108</t>
  </si>
  <si>
    <t>CG01862</t>
  </si>
  <si>
    <t>Lợi (TSBN) 0948509520</t>
  </si>
  <si>
    <t>0948509520</t>
  </si>
  <si>
    <t>CG01863</t>
  </si>
  <si>
    <t>Công ty TNHH TM và DV Đại Đường (TPHY) Đường 0975237995</t>
  </si>
  <si>
    <t>Liên Phương, TP. Hưng Yên, Hưng Yên</t>
  </si>
  <si>
    <t>0901016118</t>
  </si>
  <si>
    <t>0975237995</t>
  </si>
  <si>
    <t>CG01864</t>
  </si>
  <si>
    <t>Lưu (SSHN) 0366556606</t>
  </si>
  <si>
    <t>0366556606</t>
  </si>
  <si>
    <t>CG01865</t>
  </si>
  <si>
    <t>Chung (TSTH) 0336830188</t>
  </si>
  <si>
    <t>0336830188</t>
  </si>
  <si>
    <t>CG01866</t>
  </si>
  <si>
    <t>Hải (HTBN) 0964339999</t>
  </si>
  <si>
    <t>Hòa Tiến, Yên Phong, Bắc Ninh</t>
  </si>
  <si>
    <t>0964339999</t>
  </si>
  <si>
    <t>CG01867</t>
  </si>
  <si>
    <t>Cường (TSBN) 0981251799</t>
  </si>
  <si>
    <t>0981251799</t>
  </si>
  <si>
    <t>CG01868</t>
  </si>
  <si>
    <t>Thanh (DCNA) 0979077603</t>
  </si>
  <si>
    <t>0979077603</t>
  </si>
  <si>
    <t>CG01869</t>
  </si>
  <si>
    <t>Phích (CGHD) 0902158842</t>
  </si>
  <si>
    <t>0902158842</t>
  </si>
  <si>
    <t>CG01870</t>
  </si>
  <si>
    <t>Huy (HHND) 0912879271</t>
  </si>
  <si>
    <t>0912879271</t>
  </si>
  <si>
    <t>CG01871</t>
  </si>
  <si>
    <t>Thành (TTIHN) 0912370488</t>
  </si>
  <si>
    <t>0912370488</t>
  </si>
  <si>
    <t>CG01872</t>
  </si>
  <si>
    <t>Sang (DPHN) 0912008878</t>
  </si>
  <si>
    <t>0912008878</t>
  </si>
  <si>
    <t>CG01873</t>
  </si>
  <si>
    <t>Công (PXHN) 0971408740</t>
  </si>
  <si>
    <t>0971408740</t>
  </si>
  <si>
    <t>CG01874</t>
  </si>
  <si>
    <t>Nguyễn Văn Hùng (BMHNA) 075432641 0945560364</t>
  </si>
  <si>
    <t>0945560364</t>
  </si>
  <si>
    <t>CG01875</t>
  </si>
  <si>
    <t>Quyết (YPBN) 0976643069</t>
  </si>
  <si>
    <t>0976643069</t>
  </si>
  <si>
    <t>CG01876</t>
  </si>
  <si>
    <t>Thành (TPTN) 0973473402</t>
  </si>
  <si>
    <t>0973473402</t>
  </si>
  <si>
    <t>CG01877</t>
  </si>
  <si>
    <t>Nghĩa (HHTB) 0904121100</t>
  </si>
  <si>
    <t>0904121100</t>
  </si>
  <si>
    <t>CG01878</t>
  </si>
  <si>
    <t>Hà (CGHD) 0971840668</t>
  </si>
  <si>
    <t>0971840668</t>
  </si>
  <si>
    <t>CG01879</t>
  </si>
  <si>
    <t>Cảnh (YPBN) 0336031636</t>
  </si>
  <si>
    <t>0336031636</t>
  </si>
  <si>
    <t>CG01880</t>
  </si>
  <si>
    <t>Bình (HHND) 0977388176</t>
  </si>
  <si>
    <t>0977388176</t>
  </si>
  <si>
    <t>CG01881</t>
  </si>
  <si>
    <t>Nam (TTIHN) 0912685962</t>
  </si>
  <si>
    <t>0912685962</t>
  </si>
  <si>
    <t>CG01882</t>
  </si>
  <si>
    <t>Đô (TTHN) 0982362678</t>
  </si>
  <si>
    <t>0982362678</t>
  </si>
  <si>
    <t>CG01883</t>
  </si>
  <si>
    <t>Hồng (QHNA) 0983988234</t>
  </si>
  <si>
    <t>Quỳ Hợp, Nghệ An</t>
  </si>
  <si>
    <t>0983988234</t>
  </si>
  <si>
    <t>CG01884</t>
  </si>
  <si>
    <t>Dậu (BXHD) 0983546450</t>
  </si>
  <si>
    <t>Bình Xuyên, Bình Giang, Hải Dương</t>
  </si>
  <si>
    <t>0983546450</t>
  </si>
  <si>
    <t>CG01885</t>
  </si>
  <si>
    <t>Thành (QXTH) 0971484623</t>
  </si>
  <si>
    <t>0971484623</t>
  </si>
  <si>
    <t>CG01886</t>
  </si>
  <si>
    <t>Ngô Văn Tâm (LHDPHN) 001078007881 0988844611</t>
  </si>
  <si>
    <t>0988844611</t>
  </si>
  <si>
    <t>CG01887</t>
  </si>
  <si>
    <t>Thơm (HDHN) 0977589568</t>
  </si>
  <si>
    <t>0977589568</t>
  </si>
  <si>
    <t>CG01888</t>
  </si>
  <si>
    <t>Hoàng Hoa Lỷ (TSBN) 0912501112</t>
  </si>
  <si>
    <t>Đồng Kỵ, Từ Sơn, Bắc Ninh</t>
  </si>
  <si>
    <t>0912501112</t>
  </si>
  <si>
    <t>CG01889</t>
  </si>
  <si>
    <t>Ứng Hòa, Hà Nội</t>
  </si>
  <si>
    <t>0396258139</t>
  </si>
  <si>
    <t>CG01890</t>
  </si>
  <si>
    <t>Phường (TPNB) 0913292491</t>
  </si>
  <si>
    <t>0913292491</t>
  </si>
  <si>
    <t>CG01891</t>
  </si>
  <si>
    <t>Hạnh (XTND) 0914635571</t>
  </si>
  <si>
    <t>0914635571</t>
  </si>
  <si>
    <t>CG01893</t>
  </si>
  <si>
    <t>Nguyễn Đức Duyên (XMDAHN) 1089004673 0985977769</t>
  </si>
  <si>
    <t>Xuân Môn, Đông Anh, Hà Nội</t>
  </si>
  <si>
    <t>0985977769</t>
  </si>
  <si>
    <t>CG01894</t>
  </si>
  <si>
    <t>Tân (TPBN) 0982846514</t>
  </si>
  <si>
    <t>0982846514</t>
  </si>
  <si>
    <t>CG01895</t>
  </si>
  <si>
    <t>Phương Hương (HDHN) 0979551966</t>
  </si>
  <si>
    <t>0979551966</t>
  </si>
  <si>
    <t>CG01896</t>
  </si>
  <si>
    <t>Thủy (CNTB) 0965285285</t>
  </si>
  <si>
    <t>0965285285</t>
  </si>
  <si>
    <t>CG01897</t>
  </si>
  <si>
    <t>Tôn (TCHN) 0903428078</t>
  </si>
  <si>
    <t>Trường Chinh, Đống Đa, Hà Nội</t>
  </si>
  <si>
    <t>0903428078</t>
  </si>
  <si>
    <t>CG01898</t>
  </si>
  <si>
    <t>Chính (TOHN) 0989312312</t>
  </si>
  <si>
    <t>0989312312</t>
  </si>
  <si>
    <t>CG01899</t>
  </si>
  <si>
    <t>Thành Sang (Đức Tín) 0943276070</t>
  </si>
  <si>
    <t>0943276070</t>
  </si>
  <si>
    <t>CG01900</t>
  </si>
  <si>
    <t>Tuấn (HHND) 0915701827</t>
  </si>
  <si>
    <t>0915701827</t>
  </si>
  <si>
    <t>CG01902</t>
  </si>
  <si>
    <t>Lương (DAHN) 0327213037</t>
  </si>
  <si>
    <t>0327213037</t>
  </si>
  <si>
    <t>CG01903</t>
  </si>
  <si>
    <t>Đỗ Văn Yên (DNHDHN) 001069016509 0902121235</t>
  </si>
  <si>
    <t>0902121235</t>
  </si>
  <si>
    <t>CG01904</t>
  </si>
  <si>
    <t>Đinh Thị Hảo (LHPTHN) 001175004537 0398997155</t>
  </si>
  <si>
    <t>Liên Hiệp, Phúc Thọ, Hà Nội</t>
  </si>
  <si>
    <t>0398997155</t>
  </si>
  <si>
    <t>CG01905</t>
  </si>
  <si>
    <t>Phạm Văn Tâm (CTCPQN) 101192777 0914667386 0337828397</t>
  </si>
  <si>
    <t>Cẩm Thịnh, Cẩm Phả, Quảng Ninh</t>
  </si>
  <si>
    <t>0914667386</t>
  </si>
  <si>
    <t>CG01906</t>
  </si>
  <si>
    <t>Hùng (THNA) 0912333387</t>
  </si>
  <si>
    <t>Thái Hòa, Nghệ An</t>
  </si>
  <si>
    <t>0912333387</t>
  </si>
  <si>
    <t>CG01907</t>
  </si>
  <si>
    <t>Thu (TSBN) 0977636868</t>
  </si>
  <si>
    <t>0977636868</t>
  </si>
  <si>
    <t>CG01908</t>
  </si>
  <si>
    <t>Định (VBHP) 0962231963</t>
  </si>
  <si>
    <t>0962231963</t>
  </si>
  <si>
    <t>CG01909</t>
  </si>
  <si>
    <t>Tuệ (DAHN) 0915500900</t>
  </si>
  <si>
    <t>0915500900</t>
  </si>
  <si>
    <t>CG01910</t>
  </si>
  <si>
    <t>CG01911</t>
  </si>
  <si>
    <t>Đoàn (CLND) 0975552099</t>
  </si>
  <si>
    <t>0975552099</t>
  </si>
  <si>
    <t>CG01912</t>
  </si>
  <si>
    <t>Đào Duy Công (DTVKBG) 121628166 0912190886</t>
  </si>
  <si>
    <t>Dĩnh Trì, Dĩnh Kế. Bắc Giang</t>
  </si>
  <si>
    <t>0912190886</t>
  </si>
  <si>
    <t>CG01913</t>
  </si>
  <si>
    <t>Mười (YPBN) 0328720569 0987844732</t>
  </si>
  <si>
    <t>0987844732</t>
  </si>
  <si>
    <t>CG01914</t>
  </si>
  <si>
    <t>Mùi (QOHN) 0983741919</t>
  </si>
  <si>
    <t>0983741919</t>
  </si>
  <si>
    <t>CG01915</t>
  </si>
  <si>
    <t>Thuận (XTND) 0912165257</t>
  </si>
  <si>
    <t>0912165257</t>
  </si>
  <si>
    <t>CG01916</t>
  </si>
  <si>
    <t>Lợi (DAHN) 0915053202</t>
  </si>
  <si>
    <t>0915053202</t>
  </si>
  <si>
    <t>CG01917</t>
  </si>
  <si>
    <t>Nguyễn Thị Hương (NCNTND) 162755228 0988763699</t>
  </si>
  <si>
    <t>Nam Cường, Nam Trực, Nam Định</t>
  </si>
  <si>
    <t>0988763699</t>
  </si>
  <si>
    <t>CG01918</t>
  </si>
  <si>
    <t>0911377888</t>
  </si>
  <si>
    <t>CG01919</t>
  </si>
  <si>
    <t>Mão (TTIHN) 0912685971 0915076888</t>
  </si>
  <si>
    <t>0915076888</t>
  </si>
  <si>
    <t>CG01920</t>
  </si>
  <si>
    <t>Hoàn (TTIHN) 0989122306</t>
  </si>
  <si>
    <t>0989122306</t>
  </si>
  <si>
    <t>CG01921</t>
  </si>
  <si>
    <t>Tính (TPLS) 0912902251</t>
  </si>
  <si>
    <t>0912902251</t>
  </si>
  <si>
    <t>CG01922</t>
  </si>
  <si>
    <t>Đông (VTVP) 0904714647</t>
  </si>
  <si>
    <t>0904714647</t>
  </si>
  <si>
    <t>CG01923</t>
  </si>
  <si>
    <t>Vương (CMHN) 0912969999</t>
  </si>
  <si>
    <t>0912969999</t>
  </si>
  <si>
    <t>CG01924</t>
  </si>
  <si>
    <t>Bằng (QLNA) 0913355654</t>
  </si>
  <si>
    <t>0913355654</t>
  </si>
  <si>
    <t>CG01925</t>
  </si>
  <si>
    <t>Bùi Thị Ngọc (TNGHP) 030359276 0945698998</t>
  </si>
  <si>
    <t>Trịnh Xá, Thủy Nguyên, Hải Phòng</t>
  </si>
  <si>
    <t>0945698998</t>
  </si>
  <si>
    <t>CG01926</t>
  </si>
  <si>
    <t>Lê Thanh Nghị, TP. Hải Dương</t>
  </si>
  <si>
    <t>0948030027</t>
  </si>
  <si>
    <t>CG01927</t>
  </si>
  <si>
    <t>Đông (LNABG) 0392055098</t>
  </si>
  <si>
    <t>0392055098</t>
  </si>
  <si>
    <t>CG01928</t>
  </si>
  <si>
    <t>Tuấn (TTBN) 0988246479</t>
  </si>
  <si>
    <t>0988246479</t>
  </si>
  <si>
    <t>CG01929</t>
  </si>
  <si>
    <t>Khắc (HDHN) 0945105125</t>
  </si>
  <si>
    <t>0945105125</t>
  </si>
  <si>
    <t>CG01930</t>
  </si>
  <si>
    <t>Nguyễn Nguyên Nghĩa (DSDLNA) 181391610 0913308682</t>
  </si>
  <si>
    <t>Đông Sơn, Đô Lương, Nghệ An</t>
  </si>
  <si>
    <t>0913308682</t>
  </si>
  <si>
    <t>CG01931</t>
  </si>
  <si>
    <t>Quyền (TPBN) 0982114956</t>
  </si>
  <si>
    <t>0982114956</t>
  </si>
  <si>
    <t>CG01932</t>
  </si>
  <si>
    <t>Huy (NHHN) 0977377366</t>
  </si>
  <si>
    <t>Ngọc Hồi, Thanh Trì, Hà Nội</t>
  </si>
  <si>
    <t>0977377366</t>
  </si>
  <si>
    <t>CG01933</t>
  </si>
  <si>
    <t>Hữu (TPNB) 0915377998</t>
  </si>
  <si>
    <t>0915377998</t>
  </si>
  <si>
    <t>CG01934</t>
  </si>
  <si>
    <t>Mị (DXHN) 0777346636</t>
  </si>
  <si>
    <t>0777346636</t>
  </si>
  <si>
    <t>CG01935</t>
  </si>
  <si>
    <t>Ánh (CHBN) 0944688007</t>
  </si>
  <si>
    <t>0944688007</t>
  </si>
  <si>
    <t>CG01936</t>
  </si>
  <si>
    <t>Quyết (TSBN) 0916261343</t>
  </si>
  <si>
    <t>0916261343</t>
  </si>
  <si>
    <t>CG01937</t>
  </si>
  <si>
    <t>Chức (YMHY) 0985768228</t>
  </si>
  <si>
    <t>0985768228</t>
  </si>
  <si>
    <t>CG01938</t>
  </si>
  <si>
    <t>Ta (TLVP) 0971698389</t>
  </si>
  <si>
    <t>0971698389</t>
  </si>
  <si>
    <t>CG01939</t>
  </si>
  <si>
    <t>Đối (YPBN) 0936654917</t>
  </si>
  <si>
    <t>0936654917</t>
  </si>
  <si>
    <t>CG01940</t>
  </si>
  <si>
    <t>Hanh (TNXHP) 0977862675</t>
  </si>
  <si>
    <t>0977862675</t>
  </si>
  <si>
    <t>CG01941</t>
  </si>
  <si>
    <t>Hiến (HHBG) 0978155678</t>
  </si>
  <si>
    <t>0978155678</t>
  </si>
  <si>
    <t>CG01942</t>
  </si>
  <si>
    <t>Đông (DHTB) 0834671666</t>
  </si>
  <si>
    <t>0834671666</t>
  </si>
  <si>
    <t>CG01943</t>
  </si>
  <si>
    <t>Hưng (MCQN) 0392529270</t>
  </si>
  <si>
    <t>Hải Yên, Móng Cái, Quảng Ninh</t>
  </si>
  <si>
    <t>0392529270</t>
  </si>
  <si>
    <t>CG01944</t>
  </si>
  <si>
    <t>Huy (HHND) 0966168288</t>
  </si>
  <si>
    <t>0966168288</t>
  </si>
  <si>
    <t>CG01945</t>
  </si>
  <si>
    <t>Đức (DPHN) 0902586666</t>
  </si>
  <si>
    <t>0902586666</t>
  </si>
  <si>
    <t>CG01946</t>
  </si>
  <si>
    <t>Hường (HHTH) 0916282345</t>
  </si>
  <si>
    <t>0916282345</t>
  </si>
  <si>
    <t>CG01947</t>
  </si>
  <si>
    <t>Duy (VBHP) 0775269007</t>
  </si>
  <si>
    <t>0775269007</t>
  </si>
  <si>
    <t>CG01948</t>
  </si>
  <si>
    <t>Băng (CGHD) 0987524192</t>
  </si>
  <si>
    <t>0987524192</t>
  </si>
  <si>
    <t>CG01949</t>
  </si>
  <si>
    <t>Vương (YLVP) 0988737266</t>
  </si>
  <si>
    <t>0988737266</t>
  </si>
  <si>
    <t>CG01950</t>
  </si>
  <si>
    <t>Mùi (VBND) 0346173444</t>
  </si>
  <si>
    <t>0346173444</t>
  </si>
  <si>
    <t>CG01952</t>
  </si>
  <si>
    <t>0934379445</t>
  </si>
  <si>
    <t>CG01953</t>
  </si>
  <si>
    <t>0982475778</t>
  </si>
  <si>
    <t>CG01954</t>
  </si>
  <si>
    <t>Hùng (DPHN) 0961331979</t>
  </si>
  <si>
    <t>0961331979</t>
  </si>
  <si>
    <t>CG01955</t>
  </si>
  <si>
    <t>Đức Phúc (MDHP) 0912163586</t>
  </si>
  <si>
    <t>0912163586</t>
  </si>
  <si>
    <t>CG01956</t>
  </si>
  <si>
    <t>0913535269</t>
  </si>
  <si>
    <t>CG01957</t>
  </si>
  <si>
    <t>Quyền (YPBN) 0388354377</t>
  </si>
  <si>
    <t>0388354377</t>
  </si>
  <si>
    <t>CG01958</t>
  </si>
  <si>
    <t>Trương Đức Hùng (VMYPBN) 125011851 0946545850</t>
  </si>
  <si>
    <t>0946545850</t>
  </si>
  <si>
    <t>CG01959</t>
  </si>
  <si>
    <t>Chính trẻ (CLND) 0973937360</t>
  </si>
  <si>
    <t>0973937360</t>
  </si>
  <si>
    <t>CG01960</t>
  </si>
  <si>
    <t>Quyết (YLVP) 0982889457</t>
  </si>
  <si>
    <t>0982889457</t>
  </si>
  <si>
    <t>CG01961</t>
  </si>
  <si>
    <t>0975599168</t>
  </si>
  <si>
    <t>CG01962</t>
  </si>
  <si>
    <t>Hải (QHNA) 0332485969</t>
  </si>
  <si>
    <t>0332485969</t>
  </si>
  <si>
    <t>CG01963</t>
  </si>
  <si>
    <t>Hợi (HLQN) 0981191856</t>
  </si>
  <si>
    <t>0981191856</t>
  </si>
  <si>
    <t>CG01964</t>
  </si>
  <si>
    <t>Đông (VNA) 0983174858</t>
  </si>
  <si>
    <t>0983174858</t>
  </si>
  <si>
    <t>CG01965</t>
  </si>
  <si>
    <t>Cương (DHTB) 0986819865</t>
  </si>
  <si>
    <t>0986819865</t>
  </si>
  <si>
    <t>CG01966</t>
  </si>
  <si>
    <t>Nguyễn Thị Thu Nguyệt  (TLBXVP) Sự 026179004265 0963112056</t>
  </si>
  <si>
    <t>0963112056</t>
  </si>
  <si>
    <t>CG01967</t>
  </si>
  <si>
    <t>Thường (SSTH) 0948515666</t>
  </si>
  <si>
    <t>0948515666</t>
  </si>
  <si>
    <t>CG01968</t>
  </si>
  <si>
    <t>Công ty TNHH Gỗ Bến Thành (TPHCM) 0989981348</t>
  </si>
  <si>
    <t>Lô Officetel 3B.32, tầng lầu 3B, khối 3, dự án chung cư cao cấp, đường số 01, khu phố 2, Phường Phú Hữu, thành phố Thủ Đức, thành phố Hồ Chí Minh, Việt Nam</t>
  </si>
  <si>
    <t>0314467370</t>
  </si>
  <si>
    <t>CG01969</t>
  </si>
  <si>
    <t>Quang (TPLS) 0912131394</t>
  </si>
  <si>
    <t>0912131394</t>
  </si>
  <si>
    <t>CG01970</t>
  </si>
  <si>
    <t>Cường (THTB) 0975667961</t>
  </si>
  <si>
    <t>0975667961</t>
  </si>
  <si>
    <t>CG01971</t>
  </si>
  <si>
    <t>Mạnh (DSHP) 0334958702</t>
  </si>
  <si>
    <t>0334958702</t>
  </si>
  <si>
    <t>CG01972</t>
  </si>
  <si>
    <t>Hải (KSNB) 0946273335</t>
  </si>
  <si>
    <t>0946273335</t>
  </si>
  <si>
    <t>CG01973</t>
  </si>
  <si>
    <t>Vinh (YDTH) 0912447326</t>
  </si>
  <si>
    <t>0912447326</t>
  </si>
  <si>
    <t>CG01974</t>
  </si>
  <si>
    <t>Chiến (TTIHN) 0913393712</t>
  </si>
  <si>
    <t>0913393712</t>
  </si>
  <si>
    <t>CG01975</t>
  </si>
  <si>
    <t>Quê (TTIHN) 0902001509</t>
  </si>
  <si>
    <t>0902001509</t>
  </si>
  <si>
    <t>CG01976</t>
  </si>
  <si>
    <t>Long (PTHD) 0915225555</t>
  </si>
  <si>
    <t>0915225555</t>
  </si>
  <si>
    <t>CG01977</t>
  </si>
  <si>
    <t>Dị (DPHN) 0916159968</t>
  </si>
  <si>
    <t>0916159968</t>
  </si>
  <si>
    <t>CG01978</t>
  </si>
  <si>
    <t>Đồng (TTHN) 0948300837</t>
  </si>
  <si>
    <t>0948300837</t>
  </si>
  <si>
    <t>CG01979</t>
  </si>
  <si>
    <t>Thức (HHTH) 0972212021</t>
  </si>
  <si>
    <t>0972212021</t>
  </si>
  <si>
    <t>CG01980</t>
  </si>
  <si>
    <t>Soi (KDHY) 0983818025</t>
  </si>
  <si>
    <t>0983818025</t>
  </si>
  <si>
    <t>CG01981</t>
  </si>
  <si>
    <t>Chiến (TLVP) 0914257525</t>
  </si>
  <si>
    <t>0914257525</t>
  </si>
  <si>
    <t>CG01982</t>
  </si>
  <si>
    <t>Công ty TNHH Tuyến Vệ (TPND) Tuyến 0913328530</t>
  </si>
  <si>
    <t>Trường Thi, TP. Nam Định</t>
  </si>
  <si>
    <t>0600298469</t>
  </si>
  <si>
    <t>0913328530</t>
  </si>
  <si>
    <t>CG01983</t>
  </si>
  <si>
    <t>Quang (TSBN) 0968446555</t>
  </si>
  <si>
    <t>0968446555</t>
  </si>
  <si>
    <t>CG01984</t>
  </si>
  <si>
    <t>Hiên (TSHN) 0934386075</t>
  </si>
  <si>
    <t>0934386075</t>
  </si>
  <si>
    <t>CG01985</t>
  </si>
  <si>
    <t>Nguyễn Thế Kiên (VBND) 112287897 0914848482</t>
  </si>
  <si>
    <t>0914848482</t>
  </si>
  <si>
    <t>CG01986</t>
  </si>
  <si>
    <t>Long (TTRHN) 0947928686</t>
  </si>
  <si>
    <t>0947928686</t>
  </si>
  <si>
    <t>CG01987</t>
  </si>
  <si>
    <t>Nguyễn Văn Lợi (VATPBN) 125456206 0912450596</t>
  </si>
  <si>
    <t>Vệ An, TP. Bắc Ninh, Bắc Ninh</t>
  </si>
  <si>
    <t>0912450596</t>
  </si>
  <si>
    <t>CG01988</t>
  </si>
  <si>
    <t>Mạnh (DPHN) 0965611158</t>
  </si>
  <si>
    <t>0965611158</t>
  </si>
  <si>
    <t>CG01989</t>
  </si>
  <si>
    <t>Nguyễn Đình Nguyện (GBBN) 125491447 0969052899</t>
  </si>
  <si>
    <t>0969052899</t>
  </si>
  <si>
    <t>CG01990</t>
  </si>
  <si>
    <t>Năm (VTVP) 0913305814</t>
  </si>
  <si>
    <t>0913305814</t>
  </si>
  <si>
    <t>CG01991</t>
  </si>
  <si>
    <t>Ninh (CLND) 0912794999</t>
  </si>
  <si>
    <t>0912794999</t>
  </si>
  <si>
    <t>CG01992</t>
  </si>
  <si>
    <t>Quân (YLVP) 0917906222</t>
  </si>
  <si>
    <t>0917906222</t>
  </si>
  <si>
    <t>CG01993</t>
  </si>
  <si>
    <t>Tuyến (VYBG) 0915556881</t>
  </si>
  <si>
    <t>0915556881</t>
  </si>
  <si>
    <t>CG01994</t>
  </si>
  <si>
    <t>Trang Hà (HAHP) 0948156789</t>
  </si>
  <si>
    <t>0948156789</t>
  </si>
  <si>
    <t>CG01995</t>
  </si>
  <si>
    <t>Hòa (BGHD) 0973665529</t>
  </si>
  <si>
    <t>0973665529</t>
  </si>
  <si>
    <t>CG01996</t>
  </si>
  <si>
    <t>Vỳ (YPBN) 0984429808</t>
  </si>
  <si>
    <t>0984429808</t>
  </si>
  <si>
    <t>CG01997</t>
  </si>
  <si>
    <t>Nghị (TTHN) 0964567558</t>
  </si>
  <si>
    <t>0964567558</t>
  </si>
  <si>
    <t>CG01998</t>
  </si>
  <si>
    <t>Thắng (KAHP) 0366865557</t>
  </si>
  <si>
    <t>0366865557</t>
  </si>
  <si>
    <t>CG01999</t>
  </si>
  <si>
    <t>Giang (TSBN) 0936088478</t>
  </si>
  <si>
    <t>0936088478</t>
  </si>
  <si>
    <t>CG02000</t>
  </si>
  <si>
    <t>Trinh (TSBN) 0944009838</t>
  </si>
  <si>
    <t>0944009838</t>
  </si>
  <si>
    <t>CG02001</t>
  </si>
  <si>
    <t>Thỉnh (HHND) 0905313567</t>
  </si>
  <si>
    <t>0905313567</t>
  </si>
  <si>
    <t>CG02002</t>
  </si>
  <si>
    <t>Vũ Biona (TPHN) 0907902268</t>
  </si>
  <si>
    <t>0907902268</t>
  </si>
  <si>
    <t>CG02003</t>
  </si>
  <si>
    <t>Thịnh (KMHD) 0976094938</t>
  </si>
  <si>
    <t>0976094938</t>
  </si>
  <si>
    <t>CG02004</t>
  </si>
  <si>
    <t>Dương (TTIHN) 0983313969</t>
  </si>
  <si>
    <t>0983313969</t>
  </si>
  <si>
    <t>CG02005</t>
  </si>
  <si>
    <t>Chính (TTIHN) 0988862187</t>
  </si>
  <si>
    <t>0988862187</t>
  </si>
  <si>
    <t>CG02006</t>
  </si>
  <si>
    <t>Thế (QGHD) 0965407671</t>
  </si>
  <si>
    <t>0965407671</t>
  </si>
  <si>
    <t>CG02007</t>
  </si>
  <si>
    <t>Huân (TNGHP) 0982773205</t>
  </si>
  <si>
    <t>0982773205</t>
  </si>
  <si>
    <t>CG02008</t>
  </si>
  <si>
    <t>Phương (TPBN) 0902806767</t>
  </si>
  <si>
    <t>0902806767</t>
  </si>
  <si>
    <t>CG02009</t>
  </si>
  <si>
    <t>Cường (TTHN) 0915634677</t>
  </si>
  <si>
    <t>0915634677</t>
  </si>
  <si>
    <t>CG02010</t>
  </si>
  <si>
    <t>Công ty TNHH Dương Mỹ (TPND) Hòa 0904301183</t>
  </si>
  <si>
    <t>0904301183</t>
  </si>
  <si>
    <t>CG02011</t>
  </si>
  <si>
    <t>Hợp (TSBN) 0962805588</t>
  </si>
  <si>
    <t>0962805588</t>
  </si>
  <si>
    <t>CG02012</t>
  </si>
  <si>
    <t>Yên (TPNB) 0915178893</t>
  </si>
  <si>
    <t>0915178893</t>
  </si>
  <si>
    <t>CG02013</t>
  </si>
  <si>
    <t>Hòa (HHND) 0988670879</t>
  </si>
  <si>
    <t>0988670879</t>
  </si>
  <si>
    <t>CG02014</t>
  </si>
  <si>
    <t>Hiển (DPHN) 0979818982</t>
  </si>
  <si>
    <t>0979818982</t>
  </si>
  <si>
    <t>CG02015</t>
  </si>
  <si>
    <t>Công ty TNHH MTV sản xuất lâm sản Ninh Bình (CPQN)  Tươi 0377523388</t>
  </si>
  <si>
    <t>Cẩm Phú, Cẩm Phả, Quảng Ninh</t>
  </si>
  <si>
    <t>5701818297</t>
  </si>
  <si>
    <t>0377523388</t>
  </si>
  <si>
    <t>CG02016</t>
  </si>
  <si>
    <t>Thanh (HHTB) 0915618587</t>
  </si>
  <si>
    <t>0915618587</t>
  </si>
  <si>
    <t>CG02017</t>
  </si>
  <si>
    <t>Thoa (DSTH) 0913943257</t>
  </si>
  <si>
    <t>0913943257</t>
  </si>
  <si>
    <t>CG02018</t>
  </si>
  <si>
    <t>Nguyễn Trọng Khoát (VBHP) 31044396 0912810316</t>
  </si>
  <si>
    <t>0912810316</t>
  </si>
  <si>
    <t>CG02019</t>
  </si>
  <si>
    <t>Cường (TTRHN) 0903238598</t>
  </si>
  <si>
    <t>0903238598</t>
  </si>
  <si>
    <t>CG02020</t>
  </si>
  <si>
    <t>Tuấn (VNA) 0962236927</t>
  </si>
  <si>
    <t>0962236927</t>
  </si>
  <si>
    <t>CG02021</t>
  </si>
  <si>
    <t>Nguyễn Hoàng Vương (MDHP) 0988171188</t>
  </si>
  <si>
    <t>0988171188</t>
  </si>
  <si>
    <t>CG02022</t>
  </si>
  <si>
    <t>Nhường (CMHN) 0966715099</t>
  </si>
  <si>
    <t>0966715099</t>
  </si>
  <si>
    <t>CG02023</t>
  </si>
  <si>
    <t>Định (VBND) 0834863511</t>
  </si>
  <si>
    <t>0834863511</t>
  </si>
  <si>
    <t>CG02024</t>
  </si>
  <si>
    <t>Vinh (SSHN) 0905562666</t>
  </si>
  <si>
    <t>0905562666</t>
  </si>
  <si>
    <t>CG02026</t>
  </si>
  <si>
    <t>Bốn (TPBN) 0327887708</t>
  </si>
  <si>
    <t>0327887708</t>
  </si>
  <si>
    <t>CG02027</t>
  </si>
  <si>
    <t>Thuần (YYND) 0982826377</t>
  </si>
  <si>
    <t>0982826377</t>
  </si>
  <si>
    <t>CG02028</t>
  </si>
  <si>
    <t>Thịnh (DPHN) 0984492289</t>
  </si>
  <si>
    <t>0984492289</t>
  </si>
  <si>
    <t>CG02029</t>
  </si>
  <si>
    <t>Việt (CLND) 0964106983</t>
  </si>
  <si>
    <t>0964106983</t>
  </si>
  <si>
    <t>CG02030</t>
  </si>
  <si>
    <t>Võ (DCNA) 0916544882</t>
  </si>
  <si>
    <t>0916544882</t>
  </si>
  <si>
    <t>CG02031</t>
  </si>
  <si>
    <t>Quyền Anh (TSTH) 0974199999</t>
  </si>
  <si>
    <t>0974199999</t>
  </si>
  <si>
    <t>CG02032</t>
  </si>
  <si>
    <t>Hùng (DCNA) 0329305899</t>
  </si>
  <si>
    <t>0329305899</t>
  </si>
  <si>
    <t>CG02033</t>
  </si>
  <si>
    <t>Thành (QLNA) 0913312232</t>
  </si>
  <si>
    <t>0913312232</t>
  </si>
  <si>
    <t>CG02034</t>
  </si>
  <si>
    <t>Huy (NGHD) 0395852948</t>
  </si>
  <si>
    <t>0395852948</t>
  </si>
  <si>
    <t>CG02035</t>
  </si>
  <si>
    <t>Nam (QVBN) 0912554521</t>
  </si>
  <si>
    <t>0912554521</t>
  </si>
  <si>
    <t>CG02036</t>
  </si>
  <si>
    <t>Đạt (QLNA) 0384320812</t>
  </si>
  <si>
    <t>0384320812</t>
  </si>
  <si>
    <t>CG02037</t>
  </si>
  <si>
    <t>Hoàng (TTIHN) 0988902827</t>
  </si>
  <si>
    <t>0988902827</t>
  </si>
  <si>
    <t>CG02038</t>
  </si>
  <si>
    <t>Công ty CP La Xuyên Vàng (YYND) Tuyến 0962955755</t>
  </si>
  <si>
    <t>0600409059</t>
  </si>
  <si>
    <t>0962955755</t>
  </si>
  <si>
    <t>CG02039</t>
  </si>
  <si>
    <t>Cường (THTB) 0917715286</t>
  </si>
  <si>
    <t>0917715286</t>
  </si>
  <si>
    <t>CG02040</t>
  </si>
  <si>
    <t>Thanh (PCBN) 0982737716</t>
  </si>
  <si>
    <t>0982737716</t>
  </si>
  <si>
    <t>CG02041</t>
  </si>
  <si>
    <t>Nam (SSTH) 0913537104</t>
  </si>
  <si>
    <t>0913537104</t>
  </si>
  <si>
    <t>CG02042</t>
  </si>
  <si>
    <t>Sang (DPHN) 0972884666</t>
  </si>
  <si>
    <t>0972884666</t>
  </si>
  <si>
    <t>CG02043</t>
  </si>
  <si>
    <t>Thành  (GLHN) 0904321162</t>
  </si>
  <si>
    <t>0904321162</t>
  </si>
  <si>
    <t>CG02044</t>
  </si>
  <si>
    <t>Tuấn (DPHN) 0966096933</t>
  </si>
  <si>
    <t>0966096933</t>
  </si>
  <si>
    <t>CG02045</t>
  </si>
  <si>
    <t>Hải (TLVP) 0948156471</t>
  </si>
  <si>
    <t>0948156471</t>
  </si>
  <si>
    <t>CG02046</t>
  </si>
  <si>
    <t>Vân (TSBN) 0363191917</t>
  </si>
  <si>
    <t>0363191917</t>
  </si>
  <si>
    <t>CG02047</t>
  </si>
  <si>
    <t>Hà (YYND) 0378172472</t>
  </si>
  <si>
    <t>0378172472</t>
  </si>
  <si>
    <t>CG02048</t>
  </si>
  <si>
    <t>Công ty TNHH Duy Tiến (VTTTIHN) Huyến 0912826819</t>
  </si>
  <si>
    <t>0500443828</t>
  </si>
  <si>
    <t>0912826819</t>
  </si>
  <si>
    <t>CG02049</t>
  </si>
  <si>
    <t>Minh (DCNA) 0345977557</t>
  </si>
  <si>
    <t>Diễn Trường, Diễn Châu, Nghệ An</t>
  </si>
  <si>
    <t>0345977557</t>
  </si>
  <si>
    <t>CG02050</t>
  </si>
  <si>
    <t>Vũ Văn Hưng (LDCGHD) 030080004307 0989898848 0906066678</t>
  </si>
  <si>
    <t>0906066678</t>
  </si>
  <si>
    <t>CG02051</t>
  </si>
  <si>
    <t>Tuấn (YLVP) 0942565565</t>
  </si>
  <si>
    <t>0942565565</t>
  </si>
  <si>
    <t>CG02052</t>
  </si>
  <si>
    <t>Hiển (VNA) 0913239565</t>
  </si>
  <si>
    <t>0913239565</t>
  </si>
  <si>
    <t>CG02053</t>
  </si>
  <si>
    <t>Nguyễn Doãn Trình (YNYYND) 036073003509 0913698207 0989339001</t>
  </si>
  <si>
    <t>0989339001</t>
  </si>
  <si>
    <t>CG02054</t>
  </si>
  <si>
    <t>Lệ (QLNA) 0977706724</t>
  </si>
  <si>
    <t>0977706724</t>
  </si>
  <si>
    <t>CG02055</t>
  </si>
  <si>
    <t>Khôi (DAHN) 0965311536</t>
  </si>
  <si>
    <t>0965311536</t>
  </si>
  <si>
    <t>CG02056</t>
  </si>
  <si>
    <t>Quyền (TLHY) 0972587778</t>
  </si>
  <si>
    <t>0972587778</t>
  </si>
  <si>
    <t>CG02057</t>
  </si>
  <si>
    <t>Cường (YPBN) 0982570016</t>
  </si>
  <si>
    <t>0982570016</t>
  </si>
  <si>
    <t>CG02058</t>
  </si>
  <si>
    <t>Góp vốn liên doanh (HS-MD-VA) 0942111888</t>
  </si>
  <si>
    <t>VT</t>
  </si>
  <si>
    <t>0942111888</t>
  </si>
  <si>
    <t>CG02059</t>
  </si>
  <si>
    <t>Đông (VNA) 0972711063</t>
  </si>
  <si>
    <t>0972711063</t>
  </si>
  <si>
    <t>CG02060</t>
  </si>
  <si>
    <t>P. XNK - Mỹ Đoàn (vận chuyển) 0913288269</t>
  </si>
  <si>
    <t>Mỹ Đoàn, Hà Nội</t>
  </si>
  <si>
    <t>CG02061</t>
  </si>
  <si>
    <t>Toàn (TPTB) 0982036467</t>
  </si>
  <si>
    <t>0982036467</t>
  </si>
  <si>
    <t>CG02062</t>
  </si>
  <si>
    <t>Anh (YLVP) 0982338417</t>
  </si>
  <si>
    <t>0982338417</t>
  </si>
  <si>
    <t>CG02063</t>
  </si>
  <si>
    <t>Ngọc (DAHN) 0989145088</t>
  </si>
  <si>
    <t>0989145088</t>
  </si>
  <si>
    <t>CG02064</t>
  </si>
  <si>
    <t>Chiến (DPHN) 0904000589</t>
  </si>
  <si>
    <t>0904000589</t>
  </si>
  <si>
    <t>CG02065</t>
  </si>
  <si>
    <t>Xá (VBHP) 0977593425</t>
  </si>
  <si>
    <t>0977593425</t>
  </si>
  <si>
    <t>CG02066</t>
  </si>
  <si>
    <t>Chiến (HHND) 0975884166</t>
  </si>
  <si>
    <t>0975884166</t>
  </si>
  <si>
    <t>CG02067</t>
  </si>
  <si>
    <t>Huy (TTHN) 0968350568</t>
  </si>
  <si>
    <t>0968350568</t>
  </si>
  <si>
    <t>CG02068</t>
  </si>
  <si>
    <t>Tài (DXHN) 0976281089</t>
  </si>
  <si>
    <t>0976281089</t>
  </si>
  <si>
    <t>CG02069</t>
  </si>
  <si>
    <t>Hải (TTIHN) 0868414268</t>
  </si>
  <si>
    <t>0868414268</t>
  </si>
  <si>
    <t>CG02070</t>
  </si>
  <si>
    <t>Tư (TTHN) 0972218990</t>
  </si>
  <si>
    <t>0972218990</t>
  </si>
  <si>
    <t>CG02071</t>
  </si>
  <si>
    <t>Thắng (TTHN) 0984586583</t>
  </si>
  <si>
    <t>0984586583</t>
  </si>
  <si>
    <t>CG02072</t>
  </si>
  <si>
    <t>Phượng (TSBN) 0906886777</t>
  </si>
  <si>
    <t>0906886777</t>
  </si>
  <si>
    <t>CG02073</t>
  </si>
  <si>
    <t>Hải (YYND) 0968077915</t>
  </si>
  <si>
    <t>0968077915</t>
  </si>
  <si>
    <t>CG02075</t>
  </si>
  <si>
    <t>Thanh (HAHP) 0934272648</t>
  </si>
  <si>
    <t>0934272648</t>
  </si>
  <si>
    <t>CG02076</t>
  </si>
  <si>
    <t>Phi (KSNB) 0985781555</t>
  </si>
  <si>
    <t>0985781555</t>
  </si>
  <si>
    <t>CG02077</t>
  </si>
  <si>
    <t>Vũ Đình Đàm (TDTNND) Thịnh 160660526 0973342917</t>
  </si>
  <si>
    <t>0973342917</t>
  </si>
  <si>
    <t>CG02078</t>
  </si>
  <si>
    <t>Toản (TPTB) 0936346156</t>
  </si>
  <si>
    <t>0936346156</t>
  </si>
  <si>
    <t>CG02079</t>
  </si>
  <si>
    <t>Bình (QXTH) 0355612999</t>
  </si>
  <si>
    <t>0355612999</t>
  </si>
  <si>
    <t>CG02080</t>
  </si>
  <si>
    <t>Sỹ (XMHN) 0367839668</t>
  </si>
  <si>
    <t>Xuân Mai, Chương Mỹ, Hà Nội</t>
  </si>
  <si>
    <t>0367839668</t>
  </si>
  <si>
    <t>CG02081</t>
  </si>
  <si>
    <t>Dũng (TPTH) 0912448682</t>
  </si>
  <si>
    <t>0912448682</t>
  </si>
  <si>
    <t>CG02082</t>
  </si>
  <si>
    <t>Toàn (DPHN) 0978640968</t>
  </si>
  <si>
    <t>0978640968</t>
  </si>
  <si>
    <t>CG02083</t>
  </si>
  <si>
    <t>Thu (PCBN) 0362606413</t>
  </si>
  <si>
    <t>0362606413</t>
  </si>
  <si>
    <t>CG02084</t>
  </si>
  <si>
    <t>Thìn (CLND) 0982986048</t>
  </si>
  <si>
    <t>0982986048</t>
  </si>
  <si>
    <t>CG02085</t>
  </si>
  <si>
    <t>Công ty Cổ phần Xuất nhập khẩu Vạn An (LCHP) 0942111888</t>
  </si>
  <si>
    <t>Số 62/164 Chùa Hàng, phường Hồ Nam, quận Lê Chân, thành phố Hải Phòng</t>
  </si>
  <si>
    <t>0201649531</t>
  </si>
  <si>
    <t>CG02086</t>
  </si>
  <si>
    <t>Ngô Văn Khải (HVHHND) 036065001997 0916125643</t>
  </si>
  <si>
    <t>0916125643</t>
  </si>
  <si>
    <t>CG02087</t>
  </si>
  <si>
    <t>Tuệ (TDNB) 0982301642</t>
  </si>
  <si>
    <t>0982301642</t>
  </si>
  <si>
    <t>CG02088</t>
  </si>
  <si>
    <t>Tùng (CPQN) 0393558899</t>
  </si>
  <si>
    <t>0393558899</t>
  </si>
  <si>
    <t>CG02089</t>
  </si>
  <si>
    <t>Dung (DHTB) 0979093955</t>
  </si>
  <si>
    <t>0979093955</t>
  </si>
  <si>
    <t>CG02090</t>
  </si>
  <si>
    <t>Quân (VTTB) 0963074692</t>
  </si>
  <si>
    <t>0963074692</t>
  </si>
  <si>
    <t>CG02091</t>
  </si>
  <si>
    <t>Liên Minh (NQHP) 0904223043</t>
  </si>
  <si>
    <t>0904223043</t>
  </si>
  <si>
    <t>CG02092</t>
  </si>
  <si>
    <t>Thành (KAHP) 0906017200</t>
  </si>
  <si>
    <t>0906017200</t>
  </si>
  <si>
    <t>CG02093</t>
  </si>
  <si>
    <t>Chinh (TTIHN) 0978607668</t>
  </si>
  <si>
    <t>0978607668</t>
  </si>
  <si>
    <t>CG02094</t>
  </si>
  <si>
    <t>Chải (DAHN) 0357003738</t>
  </si>
  <si>
    <t>0357003738</t>
  </si>
  <si>
    <t>CG02095</t>
  </si>
  <si>
    <t>Điều (TTHN) 0912636315</t>
  </si>
  <si>
    <t>0912636315</t>
  </si>
  <si>
    <t>CG02096</t>
  </si>
  <si>
    <t>Lệnh (DYNA) 0386960338</t>
  </si>
  <si>
    <t>Diễn Yên, Diễn Châu, Nghệ An</t>
  </si>
  <si>
    <t>0386960338</t>
  </si>
  <si>
    <t>CG02097</t>
  </si>
  <si>
    <t>Tình (TSBN) 0913098583</t>
  </si>
  <si>
    <t>0913098583</t>
  </si>
  <si>
    <t>CG02098</t>
  </si>
  <si>
    <t>Thành (HLHT) 0908832555</t>
  </si>
  <si>
    <t>0908832555</t>
  </si>
  <si>
    <t>CG02099</t>
  </si>
  <si>
    <t>Mai Ngọc Hương (HPHHND) 162170427 0912894313</t>
  </si>
  <si>
    <t>0912894313</t>
  </si>
  <si>
    <t>CG02100</t>
  </si>
  <si>
    <t>Điệp (HHTH) 0978425084</t>
  </si>
  <si>
    <t>0978425084</t>
  </si>
  <si>
    <t>CG02101</t>
  </si>
  <si>
    <t>Hùng (GLHN) 0913207360</t>
  </si>
  <si>
    <t>0913207360</t>
  </si>
  <si>
    <t>CG02102</t>
  </si>
  <si>
    <t>Công ty TNHH Gỗ Đinh Gia (NHND) 0973309091</t>
  </si>
  <si>
    <t>Số 90 phố Hải Đông, thôn Liêu Hải, xã Nghĩa Trung, huyện Nghĩa Hưng, tỉnh Nam Định</t>
  </si>
  <si>
    <t>0601136333</t>
  </si>
  <si>
    <t>0973309091</t>
  </si>
  <si>
    <t>CG02103</t>
  </si>
  <si>
    <t>Thành (KAHP) 0967288456</t>
  </si>
  <si>
    <t>0967288456</t>
  </si>
  <si>
    <t>CG02104</t>
  </si>
  <si>
    <t>Tiến (MDHP) 0987627661</t>
  </si>
  <si>
    <t>0987627661</t>
  </si>
  <si>
    <t>CG02105</t>
  </si>
  <si>
    <t>Lan (YDBG) 0382546423</t>
  </si>
  <si>
    <t>Yên Dũng, Bắc Giang</t>
  </si>
  <si>
    <t>0382546423</t>
  </si>
  <si>
    <t>CG02106</t>
  </si>
  <si>
    <t>Thành (DAHN) 0976248759</t>
  </si>
  <si>
    <t>0976248759</t>
  </si>
  <si>
    <t>CG02107</t>
  </si>
  <si>
    <t>Thắng (CLNA) 0941607766</t>
  </si>
  <si>
    <t>0941607766</t>
  </si>
  <si>
    <t>CG02108</t>
  </si>
  <si>
    <t>Tuấn (TTIHN) 0974842933</t>
  </si>
  <si>
    <t>0974842933</t>
  </si>
  <si>
    <t>CG02109</t>
  </si>
  <si>
    <t>Nhuệ (MDHP) 0913666898</t>
  </si>
  <si>
    <t>0913666898</t>
  </si>
  <si>
    <t>CG02110</t>
  </si>
  <si>
    <t>Hoàng Phú Tuyển (ATHDHN) 017369185 0979026888</t>
  </si>
  <si>
    <t>0979026888</t>
  </si>
  <si>
    <t>CG02111</t>
  </si>
  <si>
    <t>Nguyễn Văn Tố (QYQN) 101195733 0985320595 0939923366</t>
  </si>
  <si>
    <t>Đại Hưng, Khoái Châu, Hưng Yên</t>
  </si>
  <si>
    <t>0939923366</t>
  </si>
  <si>
    <t>CG02113</t>
  </si>
  <si>
    <t>Trung (DAHN) 0966041668</t>
  </si>
  <si>
    <t>0966041668</t>
  </si>
  <si>
    <t>CG02114</t>
  </si>
  <si>
    <t>Toàn Bộ (BTLHN) 0904793147</t>
  </si>
  <si>
    <t>0904793147</t>
  </si>
  <si>
    <t>CG02115</t>
  </si>
  <si>
    <t>Chung (THTH) 0982722502</t>
  </si>
  <si>
    <t>0982722502</t>
  </si>
  <si>
    <t>CG02116</t>
  </si>
  <si>
    <t>Hiệu (QGHD) 0964445634</t>
  </si>
  <si>
    <t>0964445634</t>
  </si>
  <si>
    <t>CG02117</t>
  </si>
  <si>
    <t>Công (YTNA) 0986956058</t>
  </si>
  <si>
    <t>0986956058</t>
  </si>
  <si>
    <t>CG02118</t>
  </si>
  <si>
    <t>Quân (YYND) 0942929018</t>
  </si>
  <si>
    <t>0942929018</t>
  </si>
  <si>
    <t>CG02119</t>
  </si>
  <si>
    <t>Tuyên (TSBN) 0988352483</t>
  </si>
  <si>
    <t>0988352483</t>
  </si>
  <si>
    <t>CG02120</t>
  </si>
  <si>
    <t>Sỹ (TTHN) 0989578786</t>
  </si>
  <si>
    <t>0989578786</t>
  </si>
  <si>
    <t>CG02121</t>
  </si>
  <si>
    <t>Bình (HHBG) 0932798889</t>
  </si>
  <si>
    <t>0932798889</t>
  </si>
  <si>
    <t>CG02122</t>
  </si>
  <si>
    <t>Tài (DAHN) 0982084982</t>
  </si>
  <si>
    <t>0982084982</t>
  </si>
  <si>
    <t>CG02123</t>
  </si>
  <si>
    <t>Trai (NTND) 0912443362</t>
  </si>
  <si>
    <t>0912443362</t>
  </si>
  <si>
    <t>CG02124</t>
  </si>
  <si>
    <t>Lương Văn Vĩ (VTVYBG) 121385770 0377956466</t>
  </si>
  <si>
    <t>Việt Tiến, Việt Yên, Bắc Giang</t>
  </si>
  <si>
    <t>0377956466</t>
  </si>
  <si>
    <t>CG02125</t>
  </si>
  <si>
    <t>Hoàn (KAHP) 0913375694</t>
  </si>
  <si>
    <t>0913375694</t>
  </si>
  <si>
    <t>CG02126</t>
  </si>
  <si>
    <t>Dũng (DXHN) 0913010362</t>
  </si>
  <si>
    <t>0913010362</t>
  </si>
  <si>
    <t>CG02127</t>
  </si>
  <si>
    <t>Giang (YYND) 0985211602</t>
  </si>
  <si>
    <t>0985211602</t>
  </si>
  <si>
    <t>CG02128</t>
  </si>
  <si>
    <t>Chi (HDHN) 0976385485</t>
  </si>
  <si>
    <t>0976385485</t>
  </si>
  <si>
    <t>CG02129</t>
  </si>
  <si>
    <t>Tuyến (XTND) 0914558603</t>
  </si>
  <si>
    <t>0914558603</t>
  </si>
  <si>
    <t>CG02130</t>
  </si>
  <si>
    <t>Thử (DAHN) 0906073777</t>
  </si>
  <si>
    <t>0906073777</t>
  </si>
  <si>
    <t>CG02131</t>
  </si>
  <si>
    <t>Chí (YLVP) 0917934386</t>
  </si>
  <si>
    <t>0917934386</t>
  </si>
  <si>
    <t>CG02132</t>
  </si>
  <si>
    <t>Việt (HHND) 0948969778</t>
  </si>
  <si>
    <t>0948969778</t>
  </si>
  <si>
    <t>CG02133</t>
  </si>
  <si>
    <t>Thiết (QGHD) 0384458853</t>
  </si>
  <si>
    <t>0384458853</t>
  </si>
  <si>
    <t>CG02134</t>
  </si>
  <si>
    <t>Luận (CBHD) 0919859746</t>
  </si>
  <si>
    <t>Cầu Bình, Hải Dương</t>
  </si>
  <si>
    <t>0919859746</t>
  </si>
  <si>
    <t>CG02135</t>
  </si>
  <si>
    <t>Đương (CLHT) 0919046088</t>
  </si>
  <si>
    <t>0919046088</t>
  </si>
  <si>
    <t>CG02136</t>
  </si>
  <si>
    <t>Long (TTHN) 0913507187</t>
  </si>
  <si>
    <t>0913507187</t>
  </si>
  <si>
    <t>CG02137</t>
  </si>
  <si>
    <t>Vương (TPTB) 0912695555</t>
  </si>
  <si>
    <t>0912695555</t>
  </si>
  <si>
    <t>CG02138</t>
  </si>
  <si>
    <t>Hưng (TTHN) 0973770039</t>
  </si>
  <si>
    <t>0973770039</t>
  </si>
  <si>
    <t>CG02139</t>
  </si>
  <si>
    <t>Nhượng (VBND) 0913357055</t>
  </si>
  <si>
    <t>0913357055</t>
  </si>
  <si>
    <t>CG02140</t>
  </si>
  <si>
    <t>Hùng (LBHN) 0989210963</t>
  </si>
  <si>
    <t>Long Biên, Hà Nội</t>
  </si>
  <si>
    <t>0989210963</t>
  </si>
  <si>
    <t>CG02141</t>
  </si>
  <si>
    <t>Nguyễn Thị Minh (HDHN) 001189004427 0976212835</t>
  </si>
  <si>
    <t>0976212835</t>
  </si>
  <si>
    <t>CG02142</t>
  </si>
  <si>
    <t>Hùng (KBHNA) 0916533397</t>
  </si>
  <si>
    <t>0916533397</t>
  </si>
  <si>
    <t>CG02143</t>
  </si>
  <si>
    <t>Thọ (TTIHN) 0949283595</t>
  </si>
  <si>
    <t>0949283595</t>
  </si>
  <si>
    <t>CG02144</t>
  </si>
  <si>
    <t>Thanh (YLVP) 0984910557</t>
  </si>
  <si>
    <t>0984910557</t>
  </si>
  <si>
    <t>CG02145</t>
  </si>
  <si>
    <t>Danh (YYND) 0369666684</t>
  </si>
  <si>
    <t>0369666684</t>
  </si>
  <si>
    <t>CG02146</t>
  </si>
  <si>
    <t>Khanh (SDHP) 0913374420</t>
  </si>
  <si>
    <t>0913374420</t>
  </si>
  <si>
    <t>CG02147</t>
  </si>
  <si>
    <t>Hường (TTHN) 0962989686</t>
  </si>
  <si>
    <t>0962989686</t>
  </si>
  <si>
    <t>CG02148</t>
  </si>
  <si>
    <t>Công ty CPTM Tổng Hợp và XNK Trường Thịnh (MDHP) Quyền MDHP 0987020789 0108331800</t>
  </si>
  <si>
    <t>0108331800</t>
  </si>
  <si>
    <t>0987020789</t>
  </si>
  <si>
    <t>CG02149</t>
  </si>
  <si>
    <t>Chiến (VBHP) 0914971332</t>
  </si>
  <si>
    <t>0914971332</t>
  </si>
  <si>
    <t>CG02150</t>
  </si>
  <si>
    <t>Tấn (TTHN) 0917999188</t>
  </si>
  <si>
    <t>0917999188</t>
  </si>
  <si>
    <t>CG02151</t>
  </si>
  <si>
    <t>Trường (NCTH) 0941112982</t>
  </si>
  <si>
    <t>0941112982</t>
  </si>
  <si>
    <t>CG02152</t>
  </si>
  <si>
    <t>Tuấn (TTIHN) 0912475407</t>
  </si>
  <si>
    <t>0912475407</t>
  </si>
  <si>
    <t>CG02153</t>
  </si>
  <si>
    <t>Phước (THTB) 0945543000</t>
  </si>
  <si>
    <t>0945543000</t>
  </si>
  <si>
    <t>CG02154</t>
  </si>
  <si>
    <t>Hùng (TPTH) 0913293270</t>
  </si>
  <si>
    <t>0913293270</t>
  </si>
  <si>
    <t>CG02155</t>
  </si>
  <si>
    <t>Châu (KSNB) 0394500593</t>
  </si>
  <si>
    <t>0394500593</t>
  </si>
  <si>
    <t>CG02156</t>
  </si>
  <si>
    <t>Nguyễn Văn Vận (TLYMHY) Kim 145627462 0912705286</t>
  </si>
  <si>
    <t>0912705286</t>
  </si>
  <si>
    <t>CG02157</t>
  </si>
  <si>
    <t>Thuấn (HHND) 0987074563</t>
  </si>
  <si>
    <t>0987074563</t>
  </si>
  <si>
    <t>CG02158</t>
  </si>
  <si>
    <t>Dũng (DCNA) 0977213737</t>
  </si>
  <si>
    <t>0977213737</t>
  </si>
  <si>
    <t>CG02159</t>
  </si>
  <si>
    <t>Dũng (VNA) 0983565955</t>
  </si>
  <si>
    <t>0983565955</t>
  </si>
  <si>
    <t>CG02160</t>
  </si>
  <si>
    <t>Hoạt (CGHD) 0902017112</t>
  </si>
  <si>
    <t>0902017112</t>
  </si>
  <si>
    <t>CG02161</t>
  </si>
  <si>
    <t>Tuấn (VTVP) 0392576517</t>
  </si>
  <si>
    <t>0392576517</t>
  </si>
  <si>
    <t>CG02162</t>
  </si>
  <si>
    <t>Công (DAHN) 0902048837</t>
  </si>
  <si>
    <t>0902048837</t>
  </si>
  <si>
    <t>CG02163</t>
  </si>
  <si>
    <t>Minh (BTQB) 0986345760</t>
  </si>
  <si>
    <t>Bố Trạch, Quảng Bình</t>
  </si>
  <si>
    <t>0986345760</t>
  </si>
  <si>
    <t>CG02164</t>
  </si>
  <si>
    <t>Đạo (TPQT) 0913485151</t>
  </si>
  <si>
    <t>0913485151</t>
  </si>
  <si>
    <t>CG02165</t>
  </si>
  <si>
    <t>Trung lùn (MDHP) 0974557168</t>
  </si>
  <si>
    <t>0974557168</t>
  </si>
  <si>
    <t>CG02166</t>
  </si>
  <si>
    <t>Mừng (YPBN) 0982561159</t>
  </si>
  <si>
    <t>0982561159</t>
  </si>
  <si>
    <t>CG02167</t>
  </si>
  <si>
    <t>Ban (TPNB) 0982615774</t>
  </si>
  <si>
    <t>0982615774</t>
  </si>
  <si>
    <t>CG02168</t>
  </si>
  <si>
    <t>Hường (TKHD) 0987255335</t>
  </si>
  <si>
    <t>0987255335</t>
  </si>
  <si>
    <t>CG02169</t>
  </si>
  <si>
    <t>Toàn Tùng (MDHP) 0979666595</t>
  </si>
  <si>
    <t>0979666595</t>
  </si>
  <si>
    <t>CG02170</t>
  </si>
  <si>
    <t>Giáp (Đức Tín) 0982931199</t>
  </si>
  <si>
    <t>0982931199</t>
  </si>
  <si>
    <t>CG02171</t>
  </si>
  <si>
    <t>Quân (HHND) 0973470892</t>
  </si>
  <si>
    <t>0973470892</t>
  </si>
  <si>
    <t>CG02172</t>
  </si>
  <si>
    <t>Ánh (PXHN) 0914964916</t>
  </si>
  <si>
    <t>0914964916</t>
  </si>
  <si>
    <t>CG02173</t>
  </si>
  <si>
    <t>Sự (TSTH) 0774305745 0983771381</t>
  </si>
  <si>
    <t>0983771381</t>
  </si>
  <si>
    <t>CG02174</t>
  </si>
  <si>
    <t>Đặng Duy Thắng (GLHD) 142543099 0979841802</t>
  </si>
  <si>
    <t>CG02175</t>
  </si>
  <si>
    <t>Đạt (QLNA) 0366047018 0984066787</t>
  </si>
  <si>
    <t>0984066787</t>
  </si>
  <si>
    <t>CG02176</t>
  </si>
  <si>
    <t>Trần Văn Duyệt (VTHNA) 035055000412 0989124266</t>
  </si>
  <si>
    <t>Đông Lý, Lý Nhân, Hà Nam</t>
  </si>
  <si>
    <t>0989124266</t>
  </si>
  <si>
    <t>CG02177</t>
  </si>
  <si>
    <t>Trung (BDHN) 0979899707</t>
  </si>
  <si>
    <t>0979899707</t>
  </si>
  <si>
    <t>CG02178</t>
  </si>
  <si>
    <t>Thầy Huyền (DPHN) 0979270886</t>
  </si>
  <si>
    <t>0979270886</t>
  </si>
  <si>
    <t>CG02179</t>
  </si>
  <si>
    <t>Tường (HHTB) 0945028298</t>
  </si>
  <si>
    <t>0945028298</t>
  </si>
  <si>
    <t>CG02180</t>
  </si>
  <si>
    <t>Hùng (DCNA) 0978575168</t>
  </si>
  <si>
    <t>0978575168</t>
  </si>
  <si>
    <t>CG02181</t>
  </si>
  <si>
    <t>Cúc (TSBN) 0963978698</t>
  </si>
  <si>
    <t>0963978698</t>
  </si>
  <si>
    <t>CG02182</t>
  </si>
  <si>
    <t>Nguyệt (TPBN) 0984448884</t>
  </si>
  <si>
    <t>0984448884</t>
  </si>
  <si>
    <t>CG02183</t>
  </si>
  <si>
    <t>Nhậm (TTHN) 0857668668</t>
  </si>
  <si>
    <t>0857668668</t>
  </si>
  <si>
    <t>CG02184</t>
  </si>
  <si>
    <t>Hưng (DXHN) 0978869248</t>
  </si>
  <si>
    <t>0978869248</t>
  </si>
  <si>
    <t>CG02185</t>
  </si>
  <si>
    <t>Công Ty CP 27-7 Hải Hậu (HHND) Vĩnh 0915102592 0600200635</t>
  </si>
  <si>
    <t>0915102592</t>
  </si>
  <si>
    <t>CG02186</t>
  </si>
  <si>
    <t>Cường (SSHN) 0989195222</t>
  </si>
  <si>
    <t>0989195222</t>
  </si>
  <si>
    <t>CG02187</t>
  </si>
  <si>
    <t>0978506878</t>
  </si>
  <si>
    <t>CG02188</t>
  </si>
  <si>
    <t>Lê Thị Xuyến (TPBG) 120374554 0988469505</t>
  </si>
  <si>
    <t>0988469505</t>
  </si>
  <si>
    <t>CG02189</t>
  </si>
  <si>
    <t>Quang kho (TPHP) 0902290539</t>
  </si>
  <si>
    <t>Tổ đo của Công ty TNHH Minh</t>
  </si>
  <si>
    <t>0902290539</t>
  </si>
  <si>
    <t>CG02190</t>
  </si>
  <si>
    <t>Phó (DPHN) 0976966554</t>
  </si>
  <si>
    <t>0976966554</t>
  </si>
  <si>
    <t>CG02191</t>
  </si>
  <si>
    <t>Tuấn (KAHP) 0936888157</t>
  </si>
  <si>
    <t>0936888157</t>
  </si>
  <si>
    <t>CG02192</t>
  </si>
  <si>
    <t>Toản (TLVP) 0944707007</t>
  </si>
  <si>
    <t>0944707007</t>
  </si>
  <si>
    <t>CG02193</t>
  </si>
  <si>
    <t>Lâm (PCBN) 0989665222 0966396802</t>
  </si>
  <si>
    <t>0966396802</t>
  </si>
  <si>
    <t>CG02194</t>
  </si>
  <si>
    <t>Hùng (QXTH) 0975222040</t>
  </si>
  <si>
    <t>0975222040</t>
  </si>
  <si>
    <t>CG02195</t>
  </si>
  <si>
    <t>Duy (HHND) 0977434560</t>
  </si>
  <si>
    <t>0977434560</t>
  </si>
  <si>
    <t>CG02196</t>
  </si>
  <si>
    <t>Phương (TTHN) 0912456123</t>
  </si>
  <si>
    <t>0912456123</t>
  </si>
  <si>
    <t>CG02197</t>
  </si>
  <si>
    <t>Hải (TTHN) 0988314777</t>
  </si>
  <si>
    <t>0988314777</t>
  </si>
  <si>
    <t>CG02198</t>
  </si>
  <si>
    <t>Kiên (HHND) 0913365834</t>
  </si>
  <si>
    <t>0913365834</t>
  </si>
  <si>
    <t>CG02199</t>
  </si>
  <si>
    <t>Trường (CMHN) 0903489926</t>
  </si>
  <si>
    <t>0903489926</t>
  </si>
  <si>
    <t>CG02200</t>
  </si>
  <si>
    <t>Bích (TPNB) 0915808265</t>
  </si>
  <si>
    <t>0915808265</t>
  </si>
  <si>
    <t>CG02201</t>
  </si>
  <si>
    <t>Dương Tuyển (HDHN) 0968612801</t>
  </si>
  <si>
    <t>0968612801</t>
  </si>
  <si>
    <t>CG02202</t>
  </si>
  <si>
    <t>Nguyễn Thị Cúc (DNTTHN) 01301501790 0973564668</t>
  </si>
  <si>
    <t>0973564668</t>
  </si>
  <si>
    <t>CG02203</t>
  </si>
  <si>
    <t>Việt (QXTH) 0978111111</t>
  </si>
  <si>
    <t>0978111111</t>
  </si>
  <si>
    <t>CG02204</t>
  </si>
  <si>
    <t>Ngọc (CDHD) 0936321255</t>
  </si>
  <si>
    <t>Cổ Dũng, Kim Thành, Hải Dương</t>
  </si>
  <si>
    <t>0936321255</t>
  </si>
  <si>
    <t>CG02205</t>
  </si>
  <si>
    <t>Thanh (NQNB) 0915430557</t>
  </si>
  <si>
    <t>0915430557</t>
  </si>
  <si>
    <t>CG02206</t>
  </si>
  <si>
    <t>Nguyễn Văn Biên (CHCGHD) 141228195 0982788217</t>
  </si>
  <si>
    <t>Cẩm Hưng, Cẩm Giàng, Hải Dương</t>
  </si>
  <si>
    <t>0982788217</t>
  </si>
  <si>
    <t>CG02207</t>
  </si>
  <si>
    <t>Bính (HHND) 0985168909</t>
  </si>
  <si>
    <t>0985168909</t>
  </si>
  <si>
    <t>CG02208</t>
  </si>
  <si>
    <t>Hải (NLNA) 0912107880</t>
  </si>
  <si>
    <t>0912107880</t>
  </si>
  <si>
    <t>CG02209</t>
  </si>
  <si>
    <t>Đăng (GBBN) 0988136271</t>
  </si>
  <si>
    <t>0988136271</t>
  </si>
  <si>
    <t>CG02210</t>
  </si>
  <si>
    <t>Chiến (TOHN) 0364322514</t>
  </si>
  <si>
    <t>0364322514</t>
  </si>
  <si>
    <t>CG02211</t>
  </si>
  <si>
    <t>Đạt (XTND) 0986180685</t>
  </si>
  <si>
    <t>0986180685</t>
  </si>
  <si>
    <t>CG02212</t>
  </si>
  <si>
    <t>Nguyễn Khắc Cường (CLTTHN) Bình 1078002368 0916895931</t>
  </si>
  <si>
    <t>Canh Lậu, Thạch Thất, Hà Nội</t>
  </si>
  <si>
    <t>0916895931</t>
  </si>
  <si>
    <t>CG02213</t>
  </si>
  <si>
    <t>Thủy (VTVP) 0982806732</t>
  </si>
  <si>
    <t>0982806732</t>
  </si>
  <si>
    <t>CG02214</t>
  </si>
  <si>
    <t>Trá (TPBN) 0914548018</t>
  </si>
  <si>
    <t>0914548018</t>
  </si>
  <si>
    <t>CG02215</t>
  </si>
  <si>
    <t>Công ty CP Gỗ Nhập Khẩu Tiến Thành (TPTH) Dũng 0987947775</t>
  </si>
  <si>
    <t>Thôn 6 Quốc lộ 47, Quảng Phú, Thanh Hoá</t>
  </si>
  <si>
    <t>2802491187</t>
  </si>
  <si>
    <t>0987947775</t>
  </si>
  <si>
    <t>CG02216</t>
  </si>
  <si>
    <t>Nguyễn Đình Trường (PXTTHN) 111318280 0913053207</t>
  </si>
  <si>
    <t>Phùng Xá, Thạch Thất, Hà Nội</t>
  </si>
  <si>
    <t>0913053207</t>
  </si>
  <si>
    <t>CG02217</t>
  </si>
  <si>
    <t>Nam (VTVP) 0912464614</t>
  </si>
  <si>
    <t>0912464614</t>
  </si>
  <si>
    <t>CG02218</t>
  </si>
  <si>
    <t>Hà (VBHP) 0976058038</t>
  </si>
  <si>
    <t>0976058038</t>
  </si>
  <si>
    <t>CG02219</t>
  </si>
  <si>
    <t>Thơ (VBHP) 0972222265</t>
  </si>
  <si>
    <t>0972222265</t>
  </si>
  <si>
    <t>CG02220</t>
  </si>
  <si>
    <t>Hà (LNHNA) 0982137509</t>
  </si>
  <si>
    <t>0982137509</t>
  </si>
  <si>
    <t>CG02221</t>
  </si>
  <si>
    <t>Tuấn (GLHD) 0704115255</t>
  </si>
  <si>
    <t>0704115255</t>
  </si>
  <si>
    <t>CG02222</t>
  </si>
  <si>
    <t>Tính (TLVP) 0982587043</t>
  </si>
  <si>
    <t>0982587043</t>
  </si>
  <si>
    <t>CG02223</t>
  </si>
  <si>
    <t>Thường (YPBN) 0977400153</t>
  </si>
  <si>
    <t>0977400153</t>
  </si>
  <si>
    <t>CG02224</t>
  </si>
  <si>
    <t>Xoa (TMHD) 0974722192</t>
  </si>
  <si>
    <t>0974722192</t>
  </si>
  <si>
    <t>CG02225</t>
  </si>
  <si>
    <t>Hoàng Bá Toàn (TLCLHT) 183093548 0975133197</t>
  </si>
  <si>
    <t>Trung Lộc, Can Lộc, Hà Tĩnh</t>
  </si>
  <si>
    <t>0975133197</t>
  </si>
  <si>
    <t>CG02226</t>
  </si>
  <si>
    <t>Việt (CGHD) 0988663591</t>
  </si>
  <si>
    <t>0988663591</t>
  </si>
  <si>
    <t>CG02227</t>
  </si>
  <si>
    <t>Sơn (DPHN) 0988822993</t>
  </si>
  <si>
    <t>0988822993</t>
  </si>
  <si>
    <t>CG02228</t>
  </si>
  <si>
    <t>Cải (TPHD) 0913255559</t>
  </si>
  <si>
    <t>0913255559</t>
  </si>
  <si>
    <t>CG02229</t>
  </si>
  <si>
    <t>Hà (TSBN) 0981629298</t>
  </si>
  <si>
    <t>0981629298</t>
  </si>
  <si>
    <t>CG02230</t>
  </si>
  <si>
    <t>Hánh (TPTN) 0983151315</t>
  </si>
  <si>
    <t>0983151315</t>
  </si>
  <si>
    <t>CG02231</t>
  </si>
  <si>
    <t xml:space="preserve">Dương Văn Tú (BXTLVP) 26079002375 0945989661 </t>
  </si>
  <si>
    <t>0945989661</t>
  </si>
  <si>
    <t>CG02232</t>
  </si>
  <si>
    <t>Toán (TTHN) 0988263213</t>
  </si>
  <si>
    <t>0988263213</t>
  </si>
  <si>
    <t>CG02233</t>
  </si>
  <si>
    <t>Phạm Văn Huy (MTPXHN) 001076014135 0986678458</t>
  </si>
  <si>
    <t>Minh Tân, Phú Xuyên, Hà Nội</t>
  </si>
  <si>
    <t>0986678458</t>
  </si>
  <si>
    <t>CG02234</t>
  </si>
  <si>
    <t>Đạo (TLVP) 0915072034</t>
  </si>
  <si>
    <t>0915072034</t>
  </si>
  <si>
    <t>CG02235</t>
  </si>
  <si>
    <t>Học (BDQB) 0367060632</t>
  </si>
  <si>
    <t>0367060632</t>
  </si>
  <si>
    <t>CG02236</t>
  </si>
  <si>
    <t>Chính (HHTH) 0982427208</t>
  </si>
  <si>
    <t>0982427208</t>
  </si>
  <si>
    <t>CG02237</t>
  </si>
  <si>
    <t>Đoài (HMHN) 0913562488</t>
  </si>
  <si>
    <t>Linh Đàm, Hoàng Mai, Hà Nội</t>
  </si>
  <si>
    <t>0913562488</t>
  </si>
  <si>
    <t>CG02238</t>
  </si>
  <si>
    <t>Hiệp (TPNB) 0913242558</t>
  </si>
  <si>
    <t>0913242558</t>
  </si>
  <si>
    <t>CG02240</t>
  </si>
  <si>
    <t>Tường (VTVP) 0915012695</t>
  </si>
  <si>
    <t>0915012695</t>
  </si>
  <si>
    <t>CG02241</t>
  </si>
  <si>
    <t>Cường (NHHN) 0912367829</t>
  </si>
  <si>
    <t>0912367829</t>
  </si>
  <si>
    <t>CG02242</t>
  </si>
  <si>
    <t>Cường (TPBN) 0982915886</t>
  </si>
  <si>
    <t>0982915886</t>
  </si>
  <si>
    <t>CG02243</t>
  </si>
  <si>
    <t>Hùng (HLTH) 0973506686</t>
  </si>
  <si>
    <t>0973506686</t>
  </si>
  <si>
    <t>CG02244</t>
  </si>
  <si>
    <t>Hinh (TTHN) 0989173732</t>
  </si>
  <si>
    <t>0989173732</t>
  </si>
  <si>
    <t>CG02245</t>
  </si>
  <si>
    <t>Hồng (TPTN) 0989028088</t>
  </si>
  <si>
    <t>0989028088</t>
  </si>
  <si>
    <t>CG02246</t>
  </si>
  <si>
    <t>Bắc (VBHP) 0934604036</t>
  </si>
  <si>
    <t>0934604036</t>
  </si>
  <si>
    <t>CG02247</t>
  </si>
  <si>
    <t>0386700786</t>
  </si>
  <si>
    <t>CG02248</t>
  </si>
  <si>
    <t>Đình (LHHT) 0983437832</t>
  </si>
  <si>
    <t>0983437832</t>
  </si>
  <si>
    <t>CG02249</t>
  </si>
  <si>
    <t>Tuấn (TSBN) 0397459616</t>
  </si>
  <si>
    <t>0397459616</t>
  </si>
  <si>
    <t>CG02250</t>
  </si>
  <si>
    <t>Tú (YBYB) 0913249389</t>
  </si>
  <si>
    <t>Yên Bình, Yên Bái</t>
  </si>
  <si>
    <t>0913249389</t>
  </si>
  <si>
    <t>CG02251</t>
  </si>
  <si>
    <t>Vũ Văn Tựa (HMHHND) 036083008957 0986561070</t>
  </si>
  <si>
    <t>Hải Minh, Hải Hậu, Nam Định</t>
  </si>
  <si>
    <t>0986561070</t>
  </si>
  <si>
    <t>CG02252</t>
  </si>
  <si>
    <t>Luật (PCBN) 0946447590</t>
  </si>
  <si>
    <t>0946447590</t>
  </si>
  <si>
    <t>CG02253</t>
  </si>
  <si>
    <t>Nam (YYND) 0963178555</t>
  </si>
  <si>
    <t>0963178555</t>
  </si>
  <si>
    <t>CG02254</t>
  </si>
  <si>
    <t>Quyết (TLVP) 0914289887</t>
  </si>
  <si>
    <t>0914289887</t>
  </si>
  <si>
    <t>CG02255</t>
  </si>
  <si>
    <t>Lê Thị Xuyến (DTLGBG) 120374554 0353537242</t>
  </si>
  <si>
    <t>0353537242</t>
  </si>
  <si>
    <t>CG02256</t>
  </si>
  <si>
    <t>Chung (HDHN) 0989616695</t>
  </si>
  <si>
    <t>0989616695</t>
  </si>
  <si>
    <t>CG02257</t>
  </si>
  <si>
    <t>Tuyết (TLHY) 0343874374</t>
  </si>
  <si>
    <t>0343874374</t>
  </si>
  <si>
    <t>CG02258</t>
  </si>
  <si>
    <t>Chương (YYND) 0916623099</t>
  </si>
  <si>
    <t>0916623099</t>
  </si>
  <si>
    <t>CG02259</t>
  </si>
  <si>
    <t>Tuấn (TSBN) 0977888499</t>
  </si>
  <si>
    <t>0977888499</t>
  </si>
  <si>
    <t>CG02260</t>
  </si>
  <si>
    <t>Quý (DSHP) 0904053269</t>
  </si>
  <si>
    <t>0904053269</t>
  </si>
  <si>
    <t>CG02261</t>
  </si>
  <si>
    <t>Dương (KTHP) 0763445514</t>
  </si>
  <si>
    <t>0763445514</t>
  </si>
  <si>
    <t>CG02262</t>
  </si>
  <si>
    <t>Trần Văn Tạo (DQMHHY) 033077004025 0971028355</t>
  </si>
  <si>
    <t>Dương Quan, Mỹ Hào, Hưng Yên</t>
  </si>
  <si>
    <t>0971028355</t>
  </si>
  <si>
    <t>CG02263</t>
  </si>
  <si>
    <t>Trị (VTVP) 0986909956</t>
  </si>
  <si>
    <t>0986909956</t>
  </si>
  <si>
    <t>CG02264</t>
  </si>
  <si>
    <t>Dũng (VNA) 0977129299</t>
  </si>
  <si>
    <t>0977129299</t>
  </si>
  <si>
    <t>CG02265</t>
  </si>
  <si>
    <t>Thành (TTHN) 0974958866</t>
  </si>
  <si>
    <t>0974958866</t>
  </si>
  <si>
    <t>CG02266</t>
  </si>
  <si>
    <t>Hỷ (LCHD) 0973522175</t>
  </si>
  <si>
    <t>0973522175</t>
  </si>
  <si>
    <t>CG02267</t>
  </si>
  <si>
    <t>Đoàn (TSBN) 0912728738</t>
  </si>
  <si>
    <t>0912728738</t>
  </si>
  <si>
    <t>CG02268</t>
  </si>
  <si>
    <t>Ninh (TDBN) 0384161616</t>
  </si>
  <si>
    <t>0384161616</t>
  </si>
  <si>
    <t>CG02269</t>
  </si>
  <si>
    <t>Hướng (HHBG) 0353239455</t>
  </si>
  <si>
    <t>0353239455</t>
  </si>
  <si>
    <t>CG02270</t>
  </si>
  <si>
    <t>Quý (DAHN) 0915120074</t>
  </si>
  <si>
    <t>0915120074</t>
  </si>
  <si>
    <t>CG02271</t>
  </si>
  <si>
    <t>Thái (KBHNA) 0975351985</t>
  </si>
  <si>
    <t>0975351985</t>
  </si>
  <si>
    <t>CG02272</t>
  </si>
  <si>
    <t>Quyền (TTRHN) 0912390533</t>
  </si>
  <si>
    <t>0912390533</t>
  </si>
  <si>
    <t>CG02273</t>
  </si>
  <si>
    <t>Thanh (TPTN) 0978023023</t>
  </si>
  <si>
    <t>0978023023</t>
  </si>
  <si>
    <t>CG02274</t>
  </si>
  <si>
    <t>Xuân (DPHN) 0989999689</t>
  </si>
  <si>
    <t>0989999689</t>
  </si>
  <si>
    <t>CG02275</t>
  </si>
  <si>
    <t>Cô Phú (TSBN) 0346414838</t>
  </si>
  <si>
    <t>0346414838</t>
  </si>
  <si>
    <t>CG02276</t>
  </si>
  <si>
    <t>Viện (TPBG) 0978795818</t>
  </si>
  <si>
    <t>0978795818</t>
  </si>
  <si>
    <t>CG02277</t>
  </si>
  <si>
    <t>Thuận (TTIHN) 0947806997</t>
  </si>
  <si>
    <t>0947806997</t>
  </si>
  <si>
    <t>CG02278</t>
  </si>
  <si>
    <t>Dao (DAHN) 0977447215</t>
  </si>
  <si>
    <t>0977447215</t>
  </si>
  <si>
    <t>CG02279</t>
  </si>
  <si>
    <t>Tuấn (MHLLS) 0988144680</t>
  </si>
  <si>
    <t>Mẹt, Hữu Lũng, Lạng Sơn</t>
  </si>
  <si>
    <t>0988144680</t>
  </si>
  <si>
    <t>CG02280</t>
  </si>
  <si>
    <t>Dậu (TTIHN) 0942038689</t>
  </si>
  <si>
    <t>0942038689</t>
  </si>
  <si>
    <t>CG02281</t>
  </si>
  <si>
    <t>Hoàng (QLNA) 0972107158</t>
  </si>
  <si>
    <t>0972107158</t>
  </si>
  <si>
    <t>CG02282</t>
  </si>
  <si>
    <t>Danh (DCNA) 0915137717</t>
  </si>
  <si>
    <t>0915137717</t>
  </si>
  <si>
    <t>CG02283</t>
  </si>
  <si>
    <t>Thuận (TPHD) 0913237219</t>
  </si>
  <si>
    <t>0913237219</t>
  </si>
  <si>
    <t>CG02284</t>
  </si>
  <si>
    <t>Thọ (QGHD) 0378604102</t>
  </si>
  <si>
    <t>0378604102</t>
  </si>
  <si>
    <t>CG02285</t>
  </si>
  <si>
    <t>Phiến (NGHD) 0946529995</t>
  </si>
  <si>
    <t>0946529995</t>
  </si>
  <si>
    <t>CG02286</t>
  </si>
  <si>
    <t>Phương (DPHN) 0968829128</t>
  </si>
  <si>
    <t>0968829128</t>
  </si>
  <si>
    <t>CG02287</t>
  </si>
  <si>
    <t>Phạm Văn Bắc (TLTPTN) 090036751 0975141389</t>
  </si>
  <si>
    <t>Tân Lập, TP. Thái Nguyên</t>
  </si>
  <si>
    <t>0975141389</t>
  </si>
  <si>
    <t>CG02288</t>
  </si>
  <si>
    <t>Kỳ Anh (KAHT) 0901740666</t>
  </si>
  <si>
    <t>Kỳ Anh, Hà Tĩnh</t>
  </si>
  <si>
    <t>0901740666</t>
  </si>
  <si>
    <t>CG02289</t>
  </si>
  <si>
    <t>Tuyền (TTRHN) 0914590059</t>
  </si>
  <si>
    <t>0914590059</t>
  </si>
  <si>
    <t>CG02290</t>
  </si>
  <si>
    <t>Công (TPHD) 0943834388</t>
  </si>
  <si>
    <t>0943834388</t>
  </si>
  <si>
    <t>CG02291</t>
  </si>
  <si>
    <t>Hưng (TPHD) 0904304519</t>
  </si>
  <si>
    <t>0904304519</t>
  </si>
  <si>
    <t>CG02292</t>
  </si>
  <si>
    <t>Khương (VTHNA) 0915027100</t>
  </si>
  <si>
    <t>0915027100</t>
  </si>
  <si>
    <t>CG02293</t>
  </si>
  <si>
    <t>Tuấn (TSBN) 0969796999</t>
  </si>
  <si>
    <t>0969796999</t>
  </si>
  <si>
    <t>CG02294</t>
  </si>
  <si>
    <t>Chiến (HDHN) 0906018879</t>
  </si>
  <si>
    <t>0906018879</t>
  </si>
  <si>
    <t>CG02295</t>
  </si>
  <si>
    <t>Dũng (TPNB) 0912937724</t>
  </si>
  <si>
    <t>0912937724</t>
  </si>
  <si>
    <t>CG02296</t>
  </si>
  <si>
    <t>Duy (TPTN) 0979132134</t>
  </si>
  <si>
    <t>0979132134</t>
  </si>
  <si>
    <t>CG02297</t>
  </si>
  <si>
    <t>Hiền (PXHN) 0984666441</t>
  </si>
  <si>
    <t>0984666441</t>
  </si>
  <si>
    <t>CG02298</t>
  </si>
  <si>
    <t>Hùng (TPTB) 0936215720</t>
  </si>
  <si>
    <t>0936215720</t>
  </si>
  <si>
    <t>CG02299</t>
  </si>
  <si>
    <t>Công ty TNHH XNK và TMDV An Thịnh Phát (DCNA) Lệnh 0973662698</t>
  </si>
  <si>
    <t>2901960376</t>
  </si>
  <si>
    <t>0973662698</t>
  </si>
  <si>
    <t>CG02300</t>
  </si>
  <si>
    <t>Minh (TNND) 0973717519</t>
  </si>
  <si>
    <t>Trực Ninh, Nam Định</t>
  </si>
  <si>
    <t>0973717519</t>
  </si>
  <si>
    <t>CG02301</t>
  </si>
  <si>
    <t>Tuấn Anh (YYND) 0977728596</t>
  </si>
  <si>
    <t>0977728596</t>
  </si>
  <si>
    <t>CG02302</t>
  </si>
  <si>
    <t>Vinh (DAHN) 0975934136</t>
  </si>
  <si>
    <t>0975934136</t>
  </si>
  <si>
    <t>CG02303</t>
  </si>
  <si>
    <t>Khiển (TTIHN) 0913489833</t>
  </si>
  <si>
    <t>0913489833</t>
  </si>
  <si>
    <t>CG02304</t>
  </si>
  <si>
    <t>Huân (DHTB) 0915820642</t>
  </si>
  <si>
    <t>0915820642</t>
  </si>
  <si>
    <t>CG02305</t>
  </si>
  <si>
    <t>Thịnh (TTHN) 0912345256</t>
  </si>
  <si>
    <t>0912345256</t>
  </si>
  <si>
    <t>CG02306</t>
  </si>
  <si>
    <t>Chính (HHND) 0356843350</t>
  </si>
  <si>
    <t>0356843350</t>
  </si>
  <si>
    <t>CG02307</t>
  </si>
  <si>
    <t>Thái (NGHD) 0983869170</t>
  </si>
  <si>
    <t>0983869170</t>
  </si>
  <si>
    <t>CG02308</t>
  </si>
  <si>
    <t>Vũ (TPBN) 0987844325</t>
  </si>
  <si>
    <t>0987844325</t>
  </si>
  <si>
    <t>CG02309</t>
  </si>
  <si>
    <t>Sơn (DLNA) 0912334796</t>
  </si>
  <si>
    <t>0912334796</t>
  </si>
  <si>
    <t>CG02310</t>
  </si>
  <si>
    <t>Công ty TNHH Xây Dựng Đại Kim (VTHNA) Huynh 0976441939</t>
  </si>
  <si>
    <t>Hai Bà Trưng, Phủ Lý, Hà Nam</t>
  </si>
  <si>
    <t>0700361650</t>
  </si>
  <si>
    <t>0976441939</t>
  </si>
  <si>
    <t>CG02311</t>
  </si>
  <si>
    <t>Thọ (TLHP) 0981294999</t>
  </si>
  <si>
    <t>0981294999</t>
  </si>
  <si>
    <t>CG02312</t>
  </si>
  <si>
    <t>Chuyền (DHTB) 0904260158</t>
  </si>
  <si>
    <t>0904260158</t>
  </si>
  <si>
    <t>CG02313</t>
  </si>
  <si>
    <t>Lê Văn Nhật (HHND) 036083008643 0912673779</t>
  </si>
  <si>
    <t>Trực Đại, Trực Ninh, Nam Định</t>
  </si>
  <si>
    <t>0912673779</t>
  </si>
  <si>
    <t>CG02314</t>
  </si>
  <si>
    <t>Thủy (HHND) 0942754089</t>
  </si>
  <si>
    <t>0942754089</t>
  </si>
  <si>
    <t>CG02316</t>
  </si>
  <si>
    <t>Ngô Huy Minh (XKLNHNA) 168368307 0976280291</t>
  </si>
  <si>
    <t>Xuân Khê, Lý Nhân, Hà Nam</t>
  </si>
  <si>
    <t>0976280291</t>
  </si>
  <si>
    <t>CG02317</t>
  </si>
  <si>
    <t>Chiến (TSBN) 0332766176</t>
  </si>
  <si>
    <t>Từ Sơn, Bắc ninh</t>
  </si>
  <si>
    <t>0332766176</t>
  </si>
  <si>
    <t>CG02318</t>
  </si>
  <si>
    <t>Thanh (YPBN) 0888683222</t>
  </si>
  <si>
    <t>0888683222</t>
  </si>
  <si>
    <t>CG02319</t>
  </si>
  <si>
    <t>Thế (HHBG) 0395627807</t>
  </si>
  <si>
    <t>0395627807</t>
  </si>
  <si>
    <t>CG02320</t>
  </si>
  <si>
    <t>Huân (KDHY) 0983815022</t>
  </si>
  <si>
    <t>0983815022</t>
  </si>
  <si>
    <t>CG02321</t>
  </si>
  <si>
    <t>Công ty TNHH sản xuất và thương mại QB (KDHY) Vinh 0982452499 0900626230</t>
  </si>
  <si>
    <t>Hiệp Cường, Kim Động, Hưng Yên</t>
  </si>
  <si>
    <t>0900626230</t>
  </si>
  <si>
    <t>0982452499</t>
  </si>
  <si>
    <t>CG02322</t>
  </si>
  <si>
    <t>Quý (TPTN) 0382166666 0912989949</t>
  </si>
  <si>
    <t>0912989949</t>
  </si>
  <si>
    <t>CG02323</t>
  </si>
  <si>
    <t>Thiên (HHND) 0986109111</t>
  </si>
  <si>
    <t>0986109111</t>
  </si>
  <si>
    <t>CG02324</t>
  </si>
  <si>
    <t>Thắng (BDQB) 0969551513</t>
  </si>
  <si>
    <t>0969551513</t>
  </si>
  <si>
    <t>CG02325</t>
  </si>
  <si>
    <t>Hòa (VTVP) 0395877755</t>
  </si>
  <si>
    <t>0395877755</t>
  </si>
  <si>
    <t>CG02326</t>
  </si>
  <si>
    <t>Thưởng (CLHD) 0868962415</t>
  </si>
  <si>
    <t>Chí Linh, Hải Dương</t>
  </si>
  <si>
    <t>0868962415</t>
  </si>
  <si>
    <t>CG02327</t>
  </si>
  <si>
    <t>Trụ (TPNB) 0903485954</t>
  </si>
  <si>
    <t>0903485954</t>
  </si>
  <si>
    <t>CG02328</t>
  </si>
  <si>
    <t>Quý (TPQB) 0905652868</t>
  </si>
  <si>
    <t>0905652868</t>
  </si>
  <si>
    <t>CG02329</t>
  </si>
  <si>
    <t>Hải (TGTH) 0915332911</t>
  </si>
  <si>
    <t>0915332911</t>
  </si>
  <si>
    <t>CG02330</t>
  </si>
  <si>
    <t>Đức (HHND) 0948554422</t>
  </si>
  <si>
    <t>0948554422</t>
  </si>
  <si>
    <t>CG02331</t>
  </si>
  <si>
    <t>Tuấn (CGHD) 081129672</t>
  </si>
  <si>
    <t>081129672</t>
  </si>
  <si>
    <t>CG02332</t>
  </si>
  <si>
    <t>Hưởng (TTBN) 0984147855</t>
  </si>
  <si>
    <t>0984147855</t>
  </si>
  <si>
    <t>CG02333</t>
  </si>
  <si>
    <t>Thắng (YPBN) 0979290375</t>
  </si>
  <si>
    <t>0979290375</t>
  </si>
  <si>
    <t>CG02334</t>
  </si>
  <si>
    <t>Công (YPBN) 0974329929</t>
  </si>
  <si>
    <t>0974329929</t>
  </si>
  <si>
    <t>CG02335</t>
  </si>
  <si>
    <t>P-One (TTIHN) 0936017207</t>
  </si>
  <si>
    <t>0936017207</t>
  </si>
  <si>
    <t>CG02336</t>
  </si>
  <si>
    <t>Bình (YPBN) 0395133688</t>
  </si>
  <si>
    <t>0395133688</t>
  </si>
  <si>
    <t>CG02337</t>
  </si>
  <si>
    <t>Nguyễn Khắc Toàn (TTHN) Bá 11436310 0914953333</t>
  </si>
  <si>
    <t>0914953333</t>
  </si>
  <si>
    <t>CG02338</t>
  </si>
  <si>
    <t>Chi (HDHN) 02433656192</t>
  </si>
  <si>
    <t>2433656192</t>
  </si>
  <si>
    <t>CG02339</t>
  </si>
  <si>
    <t>Phương (TTHN) 0947551978</t>
  </si>
  <si>
    <t>0947551978</t>
  </si>
  <si>
    <t>CG02340</t>
  </si>
  <si>
    <t>Bùi Bá Tân (KCHY) 033066001985 0982529611</t>
  </si>
  <si>
    <t>0982529611</t>
  </si>
  <si>
    <t>CG02341</t>
  </si>
  <si>
    <t>Luân (VDHN) 0986079805</t>
  </si>
  <si>
    <t>0986079805</t>
  </si>
  <si>
    <t>CG02342</t>
  </si>
  <si>
    <t>Bảy (TPTB) 0942437576</t>
  </si>
  <si>
    <t>0942437576</t>
  </si>
  <si>
    <t>CG02343</t>
  </si>
  <si>
    <t>Năm (TTRHN) 0986988598</t>
  </si>
  <si>
    <t>0986988598</t>
  </si>
  <si>
    <t>CG02344</t>
  </si>
  <si>
    <t>Bách (YYND) 0986703188</t>
  </si>
  <si>
    <t>0986703188</t>
  </si>
  <si>
    <t>CG02345</t>
  </si>
  <si>
    <t xml:space="preserve">Phạm Văn Hoạt (TYBG) 125215982 0383461928 </t>
  </si>
  <si>
    <t>Tân Mai, Đa Mai, Bắc Giang</t>
  </si>
  <si>
    <t>0383461928</t>
  </si>
  <si>
    <t>CG02346</t>
  </si>
  <si>
    <t>Hòa (YYND) 0983185919</t>
  </si>
  <si>
    <t>0983185919</t>
  </si>
  <si>
    <t>CG02347</t>
  </si>
  <si>
    <t>Vũ Đình Tuyến (CLND) 03608600924 0989154666</t>
  </si>
  <si>
    <t>0989154666</t>
  </si>
  <si>
    <t>CG02348</t>
  </si>
  <si>
    <t>Phi (CLND) 0912366642</t>
  </si>
  <si>
    <t>0912366642</t>
  </si>
  <si>
    <t>CG02349</t>
  </si>
  <si>
    <t>Ca (SSTH) 0988965346</t>
  </si>
  <si>
    <t>0988965346</t>
  </si>
  <si>
    <t>CG02350</t>
  </si>
  <si>
    <t>Xanh (MHHY) 0972349348</t>
  </si>
  <si>
    <t>Mỹ Hào, Hưng Yên</t>
  </si>
  <si>
    <t>0972349348</t>
  </si>
  <si>
    <t>CG02351</t>
  </si>
  <si>
    <t>Hà Văn Ân (HDHN) 131597236 0973308719</t>
  </si>
  <si>
    <t>Ngọc Lập, Yên Lập, Phú Thọ</t>
  </si>
  <si>
    <t>0973308719</t>
  </si>
  <si>
    <t>CG02352</t>
  </si>
  <si>
    <t>Nguyễn Văn Doãn (DQMHHY) 145739779 0974965968</t>
  </si>
  <si>
    <t>Dương Quang, Mỹ Hào, Hưng Yên</t>
  </si>
  <si>
    <t>0974965968</t>
  </si>
  <si>
    <t>CG02353</t>
  </si>
  <si>
    <t>Vinh (YYND) 0913579121</t>
  </si>
  <si>
    <t>0913579121</t>
  </si>
  <si>
    <t>CG02354</t>
  </si>
  <si>
    <t>Hiền (THHD) 0919500165</t>
  </si>
  <si>
    <t>0919500165</t>
  </si>
  <si>
    <t>CG02355</t>
  </si>
  <si>
    <t>Tô Thị Thảo (TATHTB) 34181000813 0968588887</t>
  </si>
  <si>
    <t>Tây An, Tiền Hải, Thái Bình</t>
  </si>
  <si>
    <t>0968588887</t>
  </si>
  <si>
    <t>CG02356</t>
  </si>
  <si>
    <t>Lê Văn Bảy (XKNTTH) 171183302 0934413333</t>
  </si>
  <si>
    <t>Xuân Khang, Như Thanh, Thanh Hóa</t>
  </si>
  <si>
    <t>0934413333</t>
  </si>
  <si>
    <t>CG02357</t>
  </si>
  <si>
    <t>Huân (TLVP) 0982846859</t>
  </si>
  <si>
    <t>0982846859</t>
  </si>
  <si>
    <t>CG02358</t>
  </si>
  <si>
    <t>Trà (YPBN) 0397980695</t>
  </si>
  <si>
    <t>0397980695</t>
  </si>
  <si>
    <t>CG02359</t>
  </si>
  <si>
    <t>Quan (ALHP) 0913365186</t>
  </si>
  <si>
    <t>0913365186</t>
  </si>
  <si>
    <t>CG02360</t>
  </si>
  <si>
    <t>Chi (HDHN) 0904535987</t>
  </si>
  <si>
    <t>0904535987</t>
  </si>
  <si>
    <t>CG02361</t>
  </si>
  <si>
    <t>Ngọc (HHND) 0966884570</t>
  </si>
  <si>
    <t>0966884570</t>
  </si>
  <si>
    <t>CG02362</t>
  </si>
  <si>
    <t>Thành (DCNA) 0982079169</t>
  </si>
  <si>
    <t>0982079169</t>
  </si>
  <si>
    <t>CG02363</t>
  </si>
  <si>
    <t>Linh (TPQB) 0905837540</t>
  </si>
  <si>
    <t>0905837540</t>
  </si>
  <si>
    <t>CG02364</t>
  </si>
  <si>
    <t>Trung (THQB) 0911996777</t>
  </si>
  <si>
    <t>Tuyên Hóa, Quảng Bình</t>
  </si>
  <si>
    <t>0911996777</t>
  </si>
  <si>
    <t>CG02365</t>
  </si>
  <si>
    <t>Lê Đình An (DHTKHD) 030082008191 0986704511</t>
  </si>
  <si>
    <t>Đại Hợp, Tứ Kỳ, Hải Dương</t>
  </si>
  <si>
    <t>0986704511</t>
  </si>
  <si>
    <t>CG02366</t>
  </si>
  <si>
    <t>Huy (QGHD) 0888457788</t>
  </si>
  <si>
    <t>0888457788</t>
  </si>
  <si>
    <t>CG02367</t>
  </si>
  <si>
    <t>Bình (TLHNA) 0978833203</t>
  </si>
  <si>
    <t>Thanh Liêm, Hà Nam</t>
  </si>
  <si>
    <t>0978833203</t>
  </si>
  <si>
    <t>CG02368</t>
  </si>
  <si>
    <t>Phong (QGHD) 0946121693</t>
  </si>
  <si>
    <t>0946121693</t>
  </si>
  <si>
    <t>CG02369</t>
  </si>
  <si>
    <t>Dũng (TTIHN) 0914690107</t>
  </si>
  <si>
    <t>0914690107</t>
  </si>
  <si>
    <t>CG02370</t>
  </si>
  <si>
    <t>Cử (DAHN) 0982186389</t>
  </si>
  <si>
    <t>0982186389</t>
  </si>
  <si>
    <t>CG02371</t>
  </si>
  <si>
    <t>Đại Tân Phát (NQHP) 0904806201</t>
  </si>
  <si>
    <t>0904806201</t>
  </si>
  <si>
    <t>CG02372</t>
  </si>
  <si>
    <t>Hồ Năng Lượng (HTHNNA) 181834011 0916781799</t>
  </si>
  <si>
    <t>Hưng Tân, Hưng Nguyên, Nghệ An</t>
  </si>
  <si>
    <t>0916781799</t>
  </si>
  <si>
    <t>CG02373</t>
  </si>
  <si>
    <t>Thao (YPBN) 0969269333</t>
  </si>
  <si>
    <t>0969269333</t>
  </si>
  <si>
    <t>CG02374</t>
  </si>
  <si>
    <t>Nam (HBND) 0915024890</t>
  </si>
  <si>
    <t>Hữu Bị, Mỹ Lộc, Nam Định</t>
  </si>
  <si>
    <t>0915024890</t>
  </si>
  <si>
    <t>CG02375</t>
  </si>
  <si>
    <t>Lê Thị Hương (TSTSTH) 174779760 0978730272</t>
  </si>
  <si>
    <t>Thọ Sơn, Triệu Sơn, Thanh Hóa</t>
  </si>
  <si>
    <t>0978730272</t>
  </si>
  <si>
    <t>CG02376</t>
  </si>
  <si>
    <t>Hùng (KAHP) 0936511309</t>
  </si>
  <si>
    <t>0936511309</t>
  </si>
  <si>
    <t>CG02377</t>
  </si>
  <si>
    <t>Bình (QXTH) 0928315582</t>
  </si>
  <si>
    <t>0928315582</t>
  </si>
  <si>
    <t>CG02378</t>
  </si>
  <si>
    <t>Điệp (LCDN) 0919133717</t>
  </si>
  <si>
    <t>Liên Chiểu, Đà Nẵng</t>
  </si>
  <si>
    <t>0919133717</t>
  </si>
  <si>
    <t>CG02379</t>
  </si>
  <si>
    <t>Quý (YLVP) 0379999889</t>
  </si>
  <si>
    <t>0379999889</t>
  </si>
  <si>
    <t>CG02380</t>
  </si>
  <si>
    <t>Huy (ATHY) 0965655296</t>
  </si>
  <si>
    <t>Ân Thi, Hưng Yên</t>
  </si>
  <si>
    <t>0965655296</t>
  </si>
  <si>
    <t>CG02381</t>
  </si>
  <si>
    <t>Hải (TSHN) 0941664466</t>
  </si>
  <si>
    <t>0941664466</t>
  </si>
  <si>
    <t>CG02382</t>
  </si>
  <si>
    <t>Huyến (TTIHN) 0912526819</t>
  </si>
  <si>
    <t>0912526819</t>
  </si>
  <si>
    <t>CG02383</t>
  </si>
  <si>
    <t>Vũ Đình Đông (TDTNND) 161670331 0974005359</t>
  </si>
  <si>
    <t>0974005359</t>
  </si>
  <si>
    <t>CG02384</t>
  </si>
  <si>
    <t>Hoàng Tượng (QGHD) 0985186966</t>
  </si>
  <si>
    <t>0985186966</t>
  </si>
  <si>
    <t>CG02385</t>
  </si>
  <si>
    <t>Trường (SSHN) 0974840893</t>
  </si>
  <si>
    <t>0974840893</t>
  </si>
  <si>
    <t>CG02386</t>
  </si>
  <si>
    <t>Bình (DPHN) 0974027075</t>
  </si>
  <si>
    <t>0974027075</t>
  </si>
  <si>
    <t>CG02387</t>
  </si>
  <si>
    <t>Hùng (YTNA) 0973767656</t>
  </si>
  <si>
    <t>0973767656</t>
  </si>
  <si>
    <t>CG02388</t>
  </si>
  <si>
    <t>Phạm Tuấn Ngọc (TPNB) 164620273 0886456989</t>
  </si>
  <si>
    <t>0886456989</t>
  </si>
  <si>
    <t>CG02389</t>
  </si>
  <si>
    <t>Khương (TPHD) 0972934907</t>
  </si>
  <si>
    <t>0972934907</t>
  </si>
  <si>
    <t>CG02390</t>
  </si>
  <si>
    <t>0915096683</t>
  </si>
  <si>
    <t>CG02391</t>
  </si>
  <si>
    <t>Vụ (HDHN) 0984092268</t>
  </si>
  <si>
    <t>0984092268</t>
  </si>
  <si>
    <t>CG02392</t>
  </si>
  <si>
    <t>Hòa (HHND) 0913345004</t>
  </si>
  <si>
    <t>0913345004</t>
  </si>
  <si>
    <t>CG02393</t>
  </si>
  <si>
    <t>Tiệp (HDHN) 0915401233</t>
  </si>
  <si>
    <t>0915401233</t>
  </si>
  <si>
    <t>CG02394</t>
  </si>
  <si>
    <t>Triệu (HDHN) 0906117757</t>
  </si>
  <si>
    <t>0906117757</t>
  </si>
  <si>
    <t>CG02395</t>
  </si>
  <si>
    <t>Bính (TTHN) 0929162478</t>
  </si>
  <si>
    <t>0929162478</t>
  </si>
  <si>
    <t>CG02396</t>
  </si>
  <si>
    <t>Minh (DAHN) 0912968336</t>
  </si>
  <si>
    <t>0912968336</t>
  </si>
  <si>
    <t>CG02397</t>
  </si>
  <si>
    <t>Vĩnh (DPHN) 0976600116</t>
  </si>
  <si>
    <t>0976600116</t>
  </si>
  <si>
    <t>CG02398</t>
  </si>
  <si>
    <t>Mạnh (DTHT) 0989977846</t>
  </si>
  <si>
    <t>0989977846</t>
  </si>
  <si>
    <t>CG02399</t>
  </si>
  <si>
    <t>Phương (BVHN) 0968928734 0342794958</t>
  </si>
  <si>
    <t>0342794958</t>
  </si>
  <si>
    <t>CG02400</t>
  </si>
  <si>
    <t>Ngàn (TNHP) 0369556218</t>
  </si>
  <si>
    <t>0369556218</t>
  </si>
  <si>
    <t>CG02401</t>
  </si>
  <si>
    <t>Quyết (DAHN) 0962964666</t>
  </si>
  <si>
    <t>0962964666</t>
  </si>
  <si>
    <t>CG02402</t>
  </si>
  <si>
    <t>Sơn (YDTH) 0984865269</t>
  </si>
  <si>
    <t>0984865269</t>
  </si>
  <si>
    <t>CG02403</t>
  </si>
  <si>
    <t>Hiền (TTHN) 0934208778</t>
  </si>
  <si>
    <t>0934208778</t>
  </si>
  <si>
    <t>CG02404</t>
  </si>
  <si>
    <t>Ngự (PCHY) 0966337147</t>
  </si>
  <si>
    <t>Phủ Cừ, Hưng Yên</t>
  </si>
  <si>
    <t>0966337147</t>
  </si>
  <si>
    <t>CG02405</t>
  </si>
  <si>
    <t>Ninh (PCHY) 0912639692</t>
  </si>
  <si>
    <t>0912639692</t>
  </si>
  <si>
    <t>CG02406</t>
  </si>
  <si>
    <t>Nguyễn Trọng Cẩm (TYCMHN) 001069009545 0982432755</t>
  </si>
  <si>
    <t>Trường Yên, Chương Mỹ, Hà Nội</t>
  </si>
  <si>
    <t>0982432755</t>
  </si>
  <si>
    <t>CG02407</t>
  </si>
  <si>
    <t xml:space="preserve">Nguyễn Văn Miền (HAKMHD) 141331543 0902201127 </t>
  </si>
  <si>
    <t>0902201127</t>
  </si>
  <si>
    <t>CG02408</t>
  </si>
  <si>
    <t>Nguyễn Văn Tuynh (HCHHND) 036091005067 0988891826</t>
  </si>
  <si>
    <t>Hải Chính, Hải Hậu, Nam Định</t>
  </si>
  <si>
    <t>0988891826</t>
  </si>
  <si>
    <t>CG02409</t>
  </si>
  <si>
    <t>Chinh (TDBN) 0904234899</t>
  </si>
  <si>
    <t>0904234899</t>
  </si>
  <si>
    <t>CG02410</t>
  </si>
  <si>
    <t>Tài (TNXHP) 0705656134</t>
  </si>
  <si>
    <t>0705656134</t>
  </si>
  <si>
    <t>CG02411</t>
  </si>
  <si>
    <t>Vinh (TPBN) 0919599352</t>
  </si>
  <si>
    <t>0919599352</t>
  </si>
  <si>
    <t>CG02412</t>
  </si>
  <si>
    <t>Đức (THTB) 0913254896</t>
  </si>
  <si>
    <t>0913254896</t>
  </si>
  <si>
    <t>CG02413</t>
  </si>
  <si>
    <t>Hải (YTNA) 0922989889</t>
  </si>
  <si>
    <t>0922989889</t>
  </si>
  <si>
    <t>CG02414</t>
  </si>
  <si>
    <t>Quân (TTRHN) 0936559009</t>
  </si>
  <si>
    <t>0936559009</t>
  </si>
  <si>
    <t>CG02415</t>
  </si>
  <si>
    <t>Đối (HHND) 0983290312</t>
  </si>
  <si>
    <t>0983290312</t>
  </si>
  <si>
    <t>CG02416</t>
  </si>
  <si>
    <t>Nguyễn Hữu Dương (HMTSBN) 125446137 0966234668</t>
  </si>
  <si>
    <t>Hưng Mại, Từ Sơn, Bắc Ninh</t>
  </si>
  <si>
    <t>0966234668</t>
  </si>
  <si>
    <t>CG02417</t>
  </si>
  <si>
    <t>Kha (HKQN) 0906062228</t>
  </si>
  <si>
    <t>0906062228</t>
  </si>
  <si>
    <t>CG02418</t>
  </si>
  <si>
    <t>Tạo (TSBN) 0904594106</t>
  </si>
  <si>
    <t>0904594106</t>
  </si>
  <si>
    <t>CG02419</t>
  </si>
  <si>
    <t>Đức (HKHT) 0989444999</t>
  </si>
  <si>
    <t>0989444999</t>
  </si>
  <si>
    <t>CG02420</t>
  </si>
  <si>
    <t>Bình (TNGHP) 0904207787</t>
  </si>
  <si>
    <t>0904207787</t>
  </si>
  <si>
    <t>CG02421</t>
  </si>
  <si>
    <t>Sáo (TTIHN) 0988166861</t>
  </si>
  <si>
    <t>0988166861</t>
  </si>
  <si>
    <t>CG02422</t>
  </si>
  <si>
    <t>Lê (CLNA) 0913357948</t>
  </si>
  <si>
    <t>0913357948</t>
  </si>
  <si>
    <t>CG02423</t>
  </si>
  <si>
    <t>Thắng (DAHN) 0971887070</t>
  </si>
  <si>
    <t>0971887070</t>
  </si>
  <si>
    <t>CG02424</t>
  </si>
  <si>
    <t>Nguyễn Thế Nguyên (PHTHHD) 030054004031 0912927199</t>
  </si>
  <si>
    <t>Phượng Hoàng, Thanh Hà, Hải Dương</t>
  </si>
  <si>
    <t>0912927199</t>
  </si>
  <si>
    <t>CG02425</t>
  </si>
  <si>
    <t>Quân (NTTH) 0976025837</t>
  </si>
  <si>
    <t>Như Thanh, Thanh Hóa</t>
  </si>
  <si>
    <t>0976025837</t>
  </si>
  <si>
    <t>CG02426</t>
  </si>
  <si>
    <t>Lý (DVHNA) 0386690509</t>
  </si>
  <si>
    <t>0386690509</t>
  </si>
  <si>
    <t>CG02427</t>
  </si>
  <si>
    <t>Chỉnh (VTTB) 0902168126</t>
  </si>
  <si>
    <t>0902168126</t>
  </si>
  <si>
    <t>CG02428</t>
  </si>
  <si>
    <t>Đỉnh (THTB) 0936979404</t>
  </si>
  <si>
    <t>0936979404</t>
  </si>
  <si>
    <t>CG02429</t>
  </si>
  <si>
    <t>Nguyễn Thanh Hưng (GCGTND) 164409771 0916112198</t>
  </si>
  <si>
    <t>Giao Châu, Giao Thủy, Nam Định</t>
  </si>
  <si>
    <t>0916112198</t>
  </si>
  <si>
    <t>CG02430</t>
  </si>
  <si>
    <t>Khánh (CLND) 0366274742</t>
  </si>
  <si>
    <t>0366274742</t>
  </si>
  <si>
    <t>CG02431</t>
  </si>
  <si>
    <t>Tưởng (HHND) 0368679404</t>
  </si>
  <si>
    <t>0368679404</t>
  </si>
  <si>
    <t>CG02432</t>
  </si>
  <si>
    <t>Tiêu (KDHY) 0986921654</t>
  </si>
  <si>
    <t>0986921654</t>
  </si>
  <si>
    <t>CG02433</t>
  </si>
  <si>
    <t>Thịnh (THNA) 0983881343</t>
  </si>
  <si>
    <t>0983881343</t>
  </si>
  <si>
    <t>CG02434</t>
  </si>
  <si>
    <t>Thủy (QLNA) 0982608985</t>
  </si>
  <si>
    <t>0982608985</t>
  </si>
  <si>
    <t>CG02435</t>
  </si>
  <si>
    <t>Bằng (TTIHN) 0912767276</t>
  </si>
  <si>
    <t>0912767276</t>
  </si>
  <si>
    <t>CG02436</t>
  </si>
  <si>
    <t>Thành (TTHN) 0913394390</t>
  </si>
  <si>
    <t>0913394390</t>
  </si>
  <si>
    <t>CG02437</t>
  </si>
  <si>
    <t>Điệp (TPTB) 0936078955</t>
  </si>
  <si>
    <t>0936078955</t>
  </si>
  <si>
    <t>CG02438</t>
  </si>
  <si>
    <t>Đại (TOHN) 0912021913</t>
  </si>
  <si>
    <t>0912021913</t>
  </si>
  <si>
    <t>CG02439</t>
  </si>
  <si>
    <t>Nam (KAHP) 0945350269</t>
  </si>
  <si>
    <t>0945350269</t>
  </si>
  <si>
    <t>CG02440</t>
  </si>
  <si>
    <t>Thành (HLHT) 0913568141</t>
  </si>
  <si>
    <t>0913568141</t>
  </si>
  <si>
    <t>CG02441</t>
  </si>
  <si>
    <t>0963336999</t>
  </si>
  <si>
    <t>CG02442</t>
  </si>
  <si>
    <t>Phạm Văn Triệu (THNGHD) 030078001386 0977532989 0356767476</t>
  </si>
  <si>
    <t>Tân Hương, Ninh Giang, Hải Dương</t>
  </si>
  <si>
    <t>0977532989</t>
  </si>
  <si>
    <t>CG02443</t>
  </si>
  <si>
    <t>Hùng (VBHP) 0912713268</t>
  </si>
  <si>
    <t>0912713268</t>
  </si>
  <si>
    <t>CG02444</t>
  </si>
  <si>
    <t>Tú (MDHP) 0988172838</t>
  </si>
  <si>
    <t>0988172838</t>
  </si>
  <si>
    <t>CG02445</t>
  </si>
  <si>
    <t>Thiều (HHND) 0347413666</t>
  </si>
  <si>
    <t>0347413666</t>
  </si>
  <si>
    <t>CG02446</t>
  </si>
  <si>
    <t>Thao (TSBN) 0976204503</t>
  </si>
  <si>
    <t>0976204503</t>
  </si>
  <si>
    <t>CG02447</t>
  </si>
  <si>
    <t>Vỹ (PNHY) 0987885318</t>
  </si>
  <si>
    <t>0987885318</t>
  </si>
  <si>
    <t>CG02448</t>
  </si>
  <si>
    <t>Đạt (VBND) 0963161258</t>
  </si>
  <si>
    <t>0963161258</t>
  </si>
  <si>
    <t>CG02449</t>
  </si>
  <si>
    <t>Quân (TKHD) 0822010572</t>
  </si>
  <si>
    <t>Quán Ngái, Tứ Kỳ, Hải Dương</t>
  </si>
  <si>
    <t>0822010572</t>
  </si>
  <si>
    <t>CG02450</t>
  </si>
  <si>
    <t>Huy (DHTB) 0918018111</t>
  </si>
  <si>
    <t>0918018111</t>
  </si>
  <si>
    <t>CG02451</t>
  </si>
  <si>
    <t>Huy (HHTB) 0975406283</t>
  </si>
  <si>
    <t>0975406283</t>
  </si>
  <si>
    <t>CG02452</t>
  </si>
  <si>
    <t>Phạm Ngọc Quang (CLND) 162130464 0977553877</t>
  </si>
  <si>
    <t>0977553877</t>
  </si>
  <si>
    <t>CG02453</t>
  </si>
  <si>
    <t>Dưỡng (PNHY) 0977412919</t>
  </si>
  <si>
    <t>0977412919</t>
  </si>
  <si>
    <t>CG02454</t>
  </si>
  <si>
    <t>Tĩnh (TLVP) 0981579079</t>
  </si>
  <si>
    <t>0981579079</t>
  </si>
  <si>
    <t>CG02455</t>
  </si>
  <si>
    <t>Quận (VNA) 0903456447</t>
  </si>
  <si>
    <t>0903456447</t>
  </si>
  <si>
    <t>CG02456</t>
  </si>
  <si>
    <t>Anh (DCNA) 0344603613</t>
  </si>
  <si>
    <t>0344603613</t>
  </si>
  <si>
    <t>CG02457</t>
  </si>
  <si>
    <t>Minh (QPTB) 0963721721</t>
  </si>
  <si>
    <t>0963721721</t>
  </si>
  <si>
    <t>CG02458</t>
  </si>
  <si>
    <t>Chiến (TPTH) 0976661999</t>
  </si>
  <si>
    <t>0976661999</t>
  </si>
  <si>
    <t>CG02459</t>
  </si>
  <si>
    <t>Hài (BDQB) 0941347666</t>
  </si>
  <si>
    <t>0941347666</t>
  </si>
  <si>
    <t>CG02460</t>
  </si>
  <si>
    <t>Bình (TKNA) 0985287437</t>
  </si>
  <si>
    <t>0985287437</t>
  </si>
  <si>
    <t>CG02461</t>
  </si>
  <si>
    <t>Trường (TSBN) 0814553333</t>
  </si>
  <si>
    <t>0814553333</t>
  </si>
  <si>
    <t>CG02462</t>
  </si>
  <si>
    <t>Nguyễn Duy Miền (AKQPTB) 034076001549 0988309978</t>
  </si>
  <si>
    <t>An Khê, Quỳnh Phụ, Thái Bình</t>
  </si>
  <si>
    <t>0988309978</t>
  </si>
  <si>
    <t>CG02463</t>
  </si>
  <si>
    <t>Tài (CMHN) 0983192296</t>
  </si>
  <si>
    <t>0983192296</t>
  </si>
  <si>
    <t>CG02464</t>
  </si>
  <si>
    <t>Phạm Văn Phúc (TPNB) 037069001959 0912340170</t>
  </si>
  <si>
    <t>0912340170</t>
  </si>
  <si>
    <t>CG02465</t>
  </si>
  <si>
    <t>Dũng (PXHN) 0902423992</t>
  </si>
  <si>
    <t>0902423992</t>
  </si>
  <si>
    <t>CG02466</t>
  </si>
  <si>
    <t>Đạt (VBND) 0966237789</t>
  </si>
  <si>
    <t>0966237789</t>
  </si>
  <si>
    <t>CG02467</t>
  </si>
  <si>
    <t>Hoán (NHND) 0972272107</t>
  </si>
  <si>
    <t>0972272107</t>
  </si>
  <si>
    <t>CG024670</t>
  </si>
  <si>
    <t>Nhâm Hậu (TSBN) 0987876159</t>
  </si>
  <si>
    <t>0987876159</t>
  </si>
  <si>
    <t>CG02468</t>
  </si>
  <si>
    <t>Bình (VKBG) 0912436585</t>
  </si>
  <si>
    <t>0912436585</t>
  </si>
  <si>
    <t>CG02469</t>
  </si>
  <si>
    <t>Hùng (DAHN) 0912570542</t>
  </si>
  <si>
    <t>0912570542</t>
  </si>
  <si>
    <t>CG02470</t>
  </si>
  <si>
    <t>Ngọc (LGBG) 0973747777</t>
  </si>
  <si>
    <t>0973747777</t>
  </si>
  <si>
    <t>CG02471</t>
  </si>
  <si>
    <t>0912971368</t>
  </si>
  <si>
    <t>CG02472</t>
  </si>
  <si>
    <t>Chính (TLVP) 0912711444</t>
  </si>
  <si>
    <t>0912711444</t>
  </si>
  <si>
    <t>CG02473</t>
  </si>
  <si>
    <t>Việt (CLND) 0981040388 0912827099</t>
  </si>
  <si>
    <t>0912827099</t>
  </si>
  <si>
    <t>CG02474</t>
  </si>
  <si>
    <t>Nguyễn Đức Xuyên (THHHTB) 152191554 0947337483</t>
  </si>
  <si>
    <t>0947337483</t>
  </si>
  <si>
    <t>CG02475</t>
  </si>
  <si>
    <t>Đông Phong (TPHP) 0936950983</t>
  </si>
  <si>
    <t>0936950983</t>
  </si>
  <si>
    <t>CG02476</t>
  </si>
  <si>
    <t>Hiếu (TPQT) 0949650287</t>
  </si>
  <si>
    <t>0949650287</t>
  </si>
  <si>
    <t>CG02477</t>
  </si>
  <si>
    <t>Đức (BDQB) 0946559733</t>
  </si>
  <si>
    <t>0946559733</t>
  </si>
  <si>
    <t>CG02478</t>
  </si>
  <si>
    <t>Hưng (YLHNA) 0915659999</t>
  </si>
  <si>
    <t>0915659999</t>
  </si>
  <si>
    <t>CG02479</t>
  </si>
  <si>
    <t>Khoát (TPTB) 0915149310</t>
  </si>
  <si>
    <t>0915149310</t>
  </si>
  <si>
    <t>CG02480</t>
  </si>
  <si>
    <t>Quyết (YYND) 0974791122</t>
  </si>
  <si>
    <t>0974791122</t>
  </si>
  <si>
    <t>CG02481</t>
  </si>
  <si>
    <t>Nguyễn Văn Tới (VDKAHP) 112497475 0986983984</t>
  </si>
  <si>
    <t>Văn Đẩu, Kiến An, Hải Phòng</t>
  </si>
  <si>
    <t>0986983984</t>
  </si>
  <si>
    <t>CG02482</t>
  </si>
  <si>
    <t>Đoàn Gia Nguyễn (TPHP) 0945712882</t>
  </si>
  <si>
    <t>0945712882</t>
  </si>
  <si>
    <t>CG02483</t>
  </si>
  <si>
    <t>Vĩnh (DSHP) 0983660582</t>
  </si>
  <si>
    <t>0983660582</t>
  </si>
  <si>
    <t>CG02484</t>
  </si>
  <si>
    <t>Lý Hoàng Sang (KBHNA) 0972645346</t>
  </si>
  <si>
    <t>0972645346</t>
  </si>
  <si>
    <t>CG02485</t>
  </si>
  <si>
    <t>Công ty TNHH thương mại và dịch vụ vận tải Tiến Đạt (QGHD) Mạnh 0976226227</t>
  </si>
  <si>
    <t>Minh Đức, Mỹ Hào, Hưng Yên</t>
  </si>
  <si>
    <t>0900282357</t>
  </si>
  <si>
    <t>0976226227</t>
  </si>
  <si>
    <t>CG02486</t>
  </si>
  <si>
    <t>Tiền (DTHT) 0348543779</t>
  </si>
  <si>
    <t>0348543779</t>
  </si>
  <si>
    <t>CG02487</t>
  </si>
  <si>
    <t>Sơn (BGHD) 0966660505</t>
  </si>
  <si>
    <t>0966660505</t>
  </si>
  <si>
    <t>CG02488</t>
  </si>
  <si>
    <t>Hóa (TSTH) 0987112555</t>
  </si>
  <si>
    <t>0987112555</t>
  </si>
  <si>
    <t>CG02489</t>
  </si>
  <si>
    <t>Nguyễn Văn Đức (ALBLHNA) 035071002269 0987495082</t>
  </si>
  <si>
    <t>An Lão, Bình Lục, Hà Nam</t>
  </si>
  <si>
    <t>0987495082</t>
  </si>
  <si>
    <t>CG02490</t>
  </si>
  <si>
    <t>Tú (VNHP) 0904114974</t>
  </si>
  <si>
    <t>0904114974</t>
  </si>
  <si>
    <t>CG02491</t>
  </si>
  <si>
    <t>Thủy (QYQN) 0912095474</t>
  </si>
  <si>
    <t>0912095474</t>
  </si>
  <si>
    <t>CG02492</t>
  </si>
  <si>
    <t>Công ty TNHH Đại Minh Châu (THTB) Hùng 0989836999</t>
  </si>
  <si>
    <t>Tây Sơn, Tiền Hải, Thái Bình</t>
  </si>
  <si>
    <t>1000416793</t>
  </si>
  <si>
    <t>0989836999</t>
  </si>
  <si>
    <t>CG02493</t>
  </si>
  <si>
    <t>Trực (HBQN) 0912576829</t>
  </si>
  <si>
    <t>Hoành Bồ, Quảng Ninh</t>
  </si>
  <si>
    <t>0912576829</t>
  </si>
  <si>
    <t>CG02494</t>
  </si>
  <si>
    <t>Hưng (QGHD) 0984759299</t>
  </si>
  <si>
    <t>0984759299</t>
  </si>
  <si>
    <t>CG02495</t>
  </si>
  <si>
    <t>Liên (YYND) 0986984793</t>
  </si>
  <si>
    <t>0986984793</t>
  </si>
  <si>
    <t>CG02496</t>
  </si>
  <si>
    <t>Khiếu (KAHP) 0915819056</t>
  </si>
  <si>
    <t>0915819056</t>
  </si>
  <si>
    <t>CG02497</t>
  </si>
  <si>
    <t>Thế (HMHNA) 0979318809</t>
  </si>
  <si>
    <t>0979318809</t>
  </si>
  <si>
    <t>CG02498</t>
  </si>
  <si>
    <t>Tiến (VNA) 0966973668</t>
  </si>
  <si>
    <t>0966973668</t>
  </si>
  <si>
    <t>CG02499</t>
  </si>
  <si>
    <t>Tuấn (SSHN) 0913422568</t>
  </si>
  <si>
    <t>0913422568</t>
  </si>
  <si>
    <t>CG02500</t>
  </si>
  <si>
    <t>Thăng (TPBN) 0988492638</t>
  </si>
  <si>
    <t>0988492638</t>
  </si>
  <si>
    <t>CG02501</t>
  </si>
  <si>
    <t>Thử (TSBN) 0937253999</t>
  </si>
  <si>
    <t>0937253999</t>
  </si>
  <si>
    <t>CG02502</t>
  </si>
  <si>
    <t>Phạm Việt Công (QMHHQN) 100796898 0393992875</t>
  </si>
  <si>
    <t>Quảng Minh, Hải Hà, Quảng Ninh</t>
  </si>
  <si>
    <t>0393992875</t>
  </si>
  <si>
    <t>CG02503</t>
  </si>
  <si>
    <t>Hùng (TPND) 0912227515</t>
  </si>
  <si>
    <t>0912227515</t>
  </si>
  <si>
    <t>CG02504</t>
  </si>
  <si>
    <t>Chương (DXHN) 0945676121</t>
  </si>
  <si>
    <t>0945676121</t>
  </si>
  <si>
    <t>CG02505</t>
  </si>
  <si>
    <t>Nguyễn Văn Toàn (TDTNND) 112497475 0914658644</t>
  </si>
  <si>
    <t>0914658644</t>
  </si>
  <si>
    <t>CG02506</t>
  </si>
  <si>
    <t>Đỗ Mạnh Hùng (TDVP) 011719360 0983076888</t>
  </si>
  <si>
    <t>0983076888</t>
  </si>
  <si>
    <t>CG02507</t>
  </si>
  <si>
    <t>Phạm Ngọc Sơn (VBHP) 031076006115 0987138888 0789139999</t>
  </si>
  <si>
    <t>Vinh Quang, Vĩnh Bảo, Hải Phòng</t>
  </si>
  <si>
    <t>0789139999</t>
  </si>
  <si>
    <t>CG02508</t>
  </si>
  <si>
    <t>Tuấn (BLHNA) 0984571979</t>
  </si>
  <si>
    <t>0984571979</t>
  </si>
  <si>
    <t>CG02509</t>
  </si>
  <si>
    <t>Trần Văn Hội (TLBLHNA) 035060001098 0919747387</t>
  </si>
  <si>
    <t>Trung Lương, Bình Lục, Hà Nam</t>
  </si>
  <si>
    <t>0919747387</t>
  </si>
  <si>
    <t>CG02510</t>
  </si>
  <si>
    <t>Công ty TNHH mỹ nghệ Nam Việt Trường (DKTSBN)  Quyết 0392336851</t>
  </si>
  <si>
    <t>2300307268</t>
  </si>
  <si>
    <t>0392336851</t>
  </si>
  <si>
    <t>CG02511</t>
  </si>
  <si>
    <t>Nhân (QPTB) 0983125527</t>
  </si>
  <si>
    <t>0983125527</t>
  </si>
  <si>
    <t>CG02512</t>
  </si>
  <si>
    <t>Dương (TTHN) 0912181958</t>
  </si>
  <si>
    <t>0912181958</t>
  </si>
  <si>
    <t>CG02513</t>
  </si>
  <si>
    <t>Lê Ánh Sao (LHDPHN) 001073011489 0978001005</t>
  </si>
  <si>
    <t xml:space="preserve"> Liên Hà, Đan Phượng, Hà Nội</t>
  </si>
  <si>
    <t>0978001005</t>
  </si>
  <si>
    <t>CG02514</t>
  </si>
  <si>
    <t>Trần Đức Kỳ (DBQTHP) 031088003484 0902023552</t>
  </si>
  <si>
    <t>0902023552</t>
  </si>
  <si>
    <t>CG02515</t>
  </si>
  <si>
    <t>Thấn (TSBN) 0977473645</t>
  </si>
  <si>
    <t>0977473645</t>
  </si>
  <si>
    <t>CG02516</t>
  </si>
  <si>
    <t>Trọng (QGHD) 0978777183</t>
  </si>
  <si>
    <t>0978777183</t>
  </si>
  <si>
    <t>CG02517</t>
  </si>
  <si>
    <t>Tương (SSTH) 0969581392</t>
  </si>
  <si>
    <t>0969581392</t>
  </si>
  <si>
    <t>CG02518</t>
  </si>
  <si>
    <t>Tài (TSBN) 0935438999</t>
  </si>
  <si>
    <t>0935438999</t>
  </si>
  <si>
    <t>CG02519</t>
  </si>
  <si>
    <t>Công ty TNHH Tùng Dương (HHTH) Tùng 0917984789</t>
  </si>
  <si>
    <t>2800812999</t>
  </si>
  <si>
    <t>0917984789</t>
  </si>
  <si>
    <t>CG02520</t>
  </si>
  <si>
    <t>Nhung (TTHN) 0966568366</t>
  </si>
  <si>
    <t>0966568366</t>
  </si>
  <si>
    <t>CG02521</t>
  </si>
  <si>
    <t>Nguyễn Văn Hưng (TBTPHD) 141684053 0904949243</t>
  </si>
  <si>
    <t>0904949243</t>
  </si>
  <si>
    <t>CG02522</t>
  </si>
  <si>
    <t>Lương (PTHN) 0979571962</t>
  </si>
  <si>
    <t>0979571962</t>
  </si>
  <si>
    <t>CG02523</t>
  </si>
  <si>
    <t>Tạo (VBHP) 0982488190</t>
  </si>
  <si>
    <t>0982488190</t>
  </si>
  <si>
    <t>CG02524</t>
  </si>
  <si>
    <t>Hải (TLVP) 0945028480</t>
  </si>
  <si>
    <t>0945028480</t>
  </si>
  <si>
    <t>CG02525</t>
  </si>
  <si>
    <t>Toàn (TTIHN) 0969523286</t>
  </si>
  <si>
    <t>0969523286</t>
  </si>
  <si>
    <t>CG02526</t>
  </si>
  <si>
    <t>Lũy (HDHN) 0772318863</t>
  </si>
  <si>
    <t>0772318863</t>
  </si>
  <si>
    <t>CG02527</t>
  </si>
  <si>
    <t>Tiên (HHND) 0985099129</t>
  </si>
  <si>
    <t>0985099129</t>
  </si>
  <si>
    <t>CG02528</t>
  </si>
  <si>
    <t>Trung (CNTB) 0988488266</t>
  </si>
  <si>
    <t>0988488266</t>
  </si>
  <si>
    <t>CG02529</t>
  </si>
  <si>
    <t>Thọ (LTQB) 0913069954</t>
  </si>
  <si>
    <t>0913069954</t>
  </si>
  <si>
    <t>CG02530</t>
  </si>
  <si>
    <t>Tài (DLNA) 0913350826</t>
  </si>
  <si>
    <t>0913350826</t>
  </si>
  <si>
    <t>CG02531</t>
  </si>
  <si>
    <t>Chu Văn Chiêu (QLKXTB) 151767262 0987775084</t>
  </si>
  <si>
    <t>Quang Lịch, Kiến Xương, Thái Bình</t>
  </si>
  <si>
    <t>0987775084</t>
  </si>
  <si>
    <t>CG02532</t>
  </si>
  <si>
    <t>Nguyễn Văn Đức (CLHT) 183574621 0968118212</t>
  </si>
  <si>
    <t>Vượng Lộc, Can Lộc, Hà Tĩnh</t>
  </si>
  <si>
    <t>0968118212</t>
  </si>
  <si>
    <t>CG02533</t>
  </si>
  <si>
    <t>Hoàng (YMHY) 0986889829</t>
  </si>
  <si>
    <t>0986889829</t>
  </si>
  <si>
    <t>CG02534</t>
  </si>
  <si>
    <t>Khánh (SSTH) 0988914659</t>
  </si>
  <si>
    <t>0988914659</t>
  </si>
  <si>
    <t>CG02535</t>
  </si>
  <si>
    <t>Mạnh (TTHN) 0976222883</t>
  </si>
  <si>
    <t>0976222883</t>
  </si>
  <si>
    <t>CG02536</t>
  </si>
  <si>
    <t>Tuệ (TPHD) 0936915565</t>
  </si>
  <si>
    <t>0936915565</t>
  </si>
  <si>
    <t>CG02537</t>
  </si>
  <si>
    <t>Chiến (VBLC) 0983108225</t>
  </si>
  <si>
    <t>Văn Bản, Lào Cai</t>
  </si>
  <si>
    <t>0983108225</t>
  </si>
  <si>
    <t>CG02538</t>
  </si>
  <si>
    <t>Minh (QLNA) 0968786827</t>
  </si>
  <si>
    <t>0968786827</t>
  </si>
  <si>
    <t>CG02539</t>
  </si>
  <si>
    <t>Linh (YNHN) 0976553357</t>
  </si>
  <si>
    <t>Yên Nghĩa, Hà Đông, Hà Nội</t>
  </si>
  <si>
    <t>0976553357</t>
  </si>
  <si>
    <t>CG02540</t>
  </si>
  <si>
    <t>Hòa (VTVP) 0912595217</t>
  </si>
  <si>
    <t>0912595217</t>
  </si>
  <si>
    <t>CG02541</t>
  </si>
  <si>
    <t>Viễn (LCHD) 0979662513</t>
  </si>
  <si>
    <t>0979662513</t>
  </si>
  <si>
    <t>CG02542</t>
  </si>
  <si>
    <t>Mạnh (TTHN) 0912642118</t>
  </si>
  <si>
    <t>0912642118</t>
  </si>
  <si>
    <t>CG02543</t>
  </si>
  <si>
    <t>Hà (TTBN) 0912553377</t>
  </si>
  <si>
    <t>0912553377</t>
  </si>
  <si>
    <t>CG02544</t>
  </si>
  <si>
    <t>Lý (HDHN) 0986673133</t>
  </si>
  <si>
    <t>0986673133</t>
  </si>
  <si>
    <t>CG02545</t>
  </si>
  <si>
    <t>Chí (TPHD) 0912235681</t>
  </si>
  <si>
    <t>0912235681</t>
  </si>
  <si>
    <t>CG02546</t>
  </si>
  <si>
    <t>Thành (QXTH) 0398664570</t>
  </si>
  <si>
    <t>0398664570</t>
  </si>
  <si>
    <t>CG02547</t>
  </si>
  <si>
    <t>Quận (HHND) 0924068427</t>
  </si>
  <si>
    <t>0924068427</t>
  </si>
  <si>
    <t>CG02548</t>
  </si>
  <si>
    <t>Nguyễn Viết Quang (QVBN) 121378715 0904879891</t>
  </si>
  <si>
    <t>Vân Hà, Việt Yên, Bắc Giang</t>
  </si>
  <si>
    <t>0904879891</t>
  </si>
  <si>
    <t>CG02549</t>
  </si>
  <si>
    <t>Ngô Văn Từ (HVHHND) 163167974 0984615929</t>
  </si>
  <si>
    <t>0984615929</t>
  </si>
  <si>
    <t>CG02550</t>
  </si>
  <si>
    <t>Lực (DAHN) 0915104923</t>
  </si>
  <si>
    <t>0915104923</t>
  </si>
  <si>
    <t>CG02551</t>
  </si>
  <si>
    <t>Duyên (HHTH) 0374353626</t>
  </si>
  <si>
    <t>0374353626</t>
  </si>
  <si>
    <t>CG02552</t>
  </si>
  <si>
    <t>Bình (DAHN) 0984139999</t>
  </si>
  <si>
    <t>0984139999</t>
  </si>
  <si>
    <t>CG02553</t>
  </si>
  <si>
    <t>Huấn (TPTN) 0983606998</t>
  </si>
  <si>
    <t>0983606998</t>
  </si>
  <si>
    <t>CG02554</t>
  </si>
  <si>
    <t>Nguyễn Văn Hùng (KDHY) Thịnh 145028857 0917612725</t>
  </si>
  <si>
    <t>0917612725</t>
  </si>
  <si>
    <t>CG02555</t>
  </si>
  <si>
    <t>Văn (VBND) 0855266286</t>
  </si>
  <si>
    <t>0855266286</t>
  </si>
  <si>
    <t>CG02556</t>
  </si>
  <si>
    <t>Sử (TPBN) 0903169678</t>
  </si>
  <si>
    <t>0903169678</t>
  </si>
  <si>
    <t>CG02557</t>
  </si>
  <si>
    <t>Luyện (QTHP) 0963502928</t>
  </si>
  <si>
    <t>0963502928</t>
  </si>
  <si>
    <t>CG02558</t>
  </si>
  <si>
    <t>Sơn KD1 (MDHP) 0904847333</t>
  </si>
  <si>
    <t>0904847333</t>
  </si>
  <si>
    <t>CG02559</t>
  </si>
  <si>
    <t>Thuyên (TTHN) 0948109098</t>
  </si>
  <si>
    <t>0948109098</t>
  </si>
  <si>
    <t>CG02560</t>
  </si>
  <si>
    <t>Huynh (VTTB) 0988382989</t>
  </si>
  <si>
    <t>0988382989</t>
  </si>
  <si>
    <t>CG02561</t>
  </si>
  <si>
    <t>Thảo (YYND) 0961036923</t>
  </si>
  <si>
    <t>0961036923</t>
  </si>
  <si>
    <t>CG02562</t>
  </si>
  <si>
    <t>An (VTVP) 0982772235</t>
  </si>
  <si>
    <t>0982772235</t>
  </si>
  <si>
    <t>CG02563</t>
  </si>
  <si>
    <t>Ngọc (PTHN) 0943993741</t>
  </si>
  <si>
    <t>0943993741</t>
  </si>
  <si>
    <t>CG02564</t>
  </si>
  <si>
    <t>Dương (CLND) 0944040324</t>
  </si>
  <si>
    <t>0944040324</t>
  </si>
  <si>
    <t>CG02565</t>
  </si>
  <si>
    <t>Trịnh Thị Hằng (MSTSTH) Lộc 173540405 0912294884</t>
  </si>
  <si>
    <t>Minh Sơn, Triệu Sơn, Thanh Hóa</t>
  </si>
  <si>
    <t>0912294884</t>
  </si>
  <si>
    <t>CG02566</t>
  </si>
  <si>
    <t>Cảnh (QLNA) 0889690713</t>
  </si>
  <si>
    <t>0889690713</t>
  </si>
  <si>
    <t>CG02567</t>
  </si>
  <si>
    <t>Tùng (THHD) 0912751709</t>
  </si>
  <si>
    <t>0912751709</t>
  </si>
  <si>
    <t>CG02568</t>
  </si>
  <si>
    <t>Tùng (YMHY) 0912293538 0967595992</t>
  </si>
  <si>
    <t>0967595992</t>
  </si>
  <si>
    <t>CG02569</t>
  </si>
  <si>
    <t>Lực (MLND) 0942742745</t>
  </si>
  <si>
    <t>Mỹ Lộc, Nam Định</t>
  </si>
  <si>
    <t>0942742745</t>
  </si>
  <si>
    <t>CG02570</t>
  </si>
  <si>
    <t>Tĩnh (HHND) 0944945799</t>
  </si>
  <si>
    <t>0944945799</t>
  </si>
  <si>
    <t>CG02571</t>
  </si>
  <si>
    <t>Dũng (CLHT) 0973357555</t>
  </si>
  <si>
    <t>0973357555</t>
  </si>
  <si>
    <t>CG02572</t>
  </si>
  <si>
    <t>Hùng (VTHNA) 0977126126</t>
  </si>
  <si>
    <t>0977126126</t>
  </si>
  <si>
    <t>CG02573</t>
  </si>
  <si>
    <t>Quân (TTRHN) 0976751752 0389338339</t>
  </si>
  <si>
    <t>0389338339</t>
  </si>
  <si>
    <t>CG02574</t>
  </si>
  <si>
    <t>Vũ Văn Hải (HNUHHN) 001082021902 0985988822</t>
  </si>
  <si>
    <t>0985988822</t>
  </si>
  <si>
    <t>CG02575</t>
  </si>
  <si>
    <t>Hòa (TLVP) 0966678086</t>
  </si>
  <si>
    <t>0966678086</t>
  </si>
  <si>
    <t>CG02576</t>
  </si>
  <si>
    <t>Tuấn Quyền (MDHP) 0903446806</t>
  </si>
  <si>
    <t>0903446806</t>
  </si>
  <si>
    <t>CG02577</t>
  </si>
  <si>
    <t>Hệ (QOHN) 0983652868</t>
  </si>
  <si>
    <t>0983652868</t>
  </si>
  <si>
    <t>CG02578</t>
  </si>
  <si>
    <t>Huy Thơm (DLHY) 0913516514</t>
  </si>
  <si>
    <t>0913516514</t>
  </si>
  <si>
    <t>CG02579</t>
  </si>
  <si>
    <t>Hữu (TNND) 0979111091</t>
  </si>
  <si>
    <t>Trực Mỹ, Trực Ninh, Nam Định</t>
  </si>
  <si>
    <t>0979111091</t>
  </si>
  <si>
    <t>CG02580</t>
  </si>
  <si>
    <t>Hiệp (HNNA) 0981771130</t>
  </si>
  <si>
    <t>0981771130</t>
  </si>
  <si>
    <t>CG02581</t>
  </si>
  <si>
    <t>Quánh (TPHD) 0903296376</t>
  </si>
  <si>
    <t>0903296376</t>
  </si>
  <si>
    <t>CG02582</t>
  </si>
  <si>
    <t>Bằng (QLNA) 0961339088</t>
  </si>
  <si>
    <t>0961339088</t>
  </si>
  <si>
    <t>CG02583</t>
  </si>
  <si>
    <t>Hà (QLNA) 0984218015</t>
  </si>
  <si>
    <t>0984218015</t>
  </si>
  <si>
    <t>CG02584</t>
  </si>
  <si>
    <t>Trấn (TPNB) 0969014104</t>
  </si>
  <si>
    <t>0969014104</t>
  </si>
  <si>
    <t>CG02585</t>
  </si>
  <si>
    <t>Hưng (QVBN) 0982896339</t>
  </si>
  <si>
    <t>0982896339</t>
  </si>
  <si>
    <t>CG02587</t>
  </si>
  <si>
    <t>Hoàng Minh Châm (MLHLTH) 170889707 0374904719 0393103222</t>
  </si>
  <si>
    <t>0374904719</t>
  </si>
  <si>
    <t>CG02588</t>
  </si>
  <si>
    <t>Nguyễn Quang Vinh (PLQVBN) 125288964 0989326161</t>
  </si>
  <si>
    <t>Phương Liêu, Quế Võ, Bắc Ninh</t>
  </si>
  <si>
    <t>0989326161</t>
  </si>
  <si>
    <t>CG02589</t>
  </si>
  <si>
    <t>Đức (HSHT) 0988671204</t>
  </si>
  <si>
    <t>Hương Sơn, Hà Tĩnh</t>
  </si>
  <si>
    <t>0988671204</t>
  </si>
  <si>
    <t>CG02590</t>
  </si>
  <si>
    <t>Trần Văn Nhật (NTTLHY) 145331091 0982378537</t>
  </si>
  <si>
    <t>Nhật Tân, Tiên Lữ, Hưng Yên</t>
  </si>
  <si>
    <t>0982378537</t>
  </si>
  <si>
    <t>CG02591</t>
  </si>
  <si>
    <t>Phương (VBHP) 0387770688</t>
  </si>
  <si>
    <t>0387770688</t>
  </si>
  <si>
    <t>CG02592</t>
  </si>
  <si>
    <t>Oanh (KAHP) 0375188968</t>
  </si>
  <si>
    <t>0375188968</t>
  </si>
  <si>
    <t>CG02593</t>
  </si>
  <si>
    <t>Thịnh (DTHNA) 0962546788</t>
  </si>
  <si>
    <t>0962546788</t>
  </si>
  <si>
    <t>CG02594</t>
  </si>
  <si>
    <t>Ninh (VBHP) 0985884991</t>
  </si>
  <si>
    <t>0985884991</t>
  </si>
  <si>
    <t>CG02595</t>
  </si>
  <si>
    <t>Chung (HDHN) 0979557168</t>
  </si>
  <si>
    <t>0979557168</t>
  </si>
  <si>
    <t>CG02596</t>
  </si>
  <si>
    <t>Phạm Văn Trung (XNXTND) 162170490 0983582531</t>
  </si>
  <si>
    <t>Xuân Ninh, Xuân Trường, Nam Định</t>
  </si>
  <si>
    <t>0983582531</t>
  </si>
  <si>
    <t>CG02597</t>
  </si>
  <si>
    <t>Hùng (LNABG) 0369575200</t>
  </si>
  <si>
    <t>0369575200</t>
  </si>
  <si>
    <t>CG02598</t>
  </si>
  <si>
    <t>Tĩnh (LNHNA) 0946563213</t>
  </si>
  <si>
    <t>0946563213</t>
  </si>
  <si>
    <t>CG02599</t>
  </si>
  <si>
    <t>Xùng (ADHP) 0912413820</t>
  </si>
  <si>
    <t>0912413820</t>
  </si>
  <si>
    <t>CG02600</t>
  </si>
  <si>
    <t>Trần Ngọc Thư (HVHHND) 162193271 0914656068</t>
  </si>
  <si>
    <t>0914656068</t>
  </si>
  <si>
    <t>CG02601</t>
  </si>
  <si>
    <t>Tuyên (TTHN) 0912902813</t>
  </si>
  <si>
    <t>0912902813</t>
  </si>
  <si>
    <t>CG02602</t>
  </si>
  <si>
    <t>Hữu (TOHN) 0912159652</t>
  </si>
  <si>
    <t>0912159652</t>
  </si>
  <si>
    <t>CG02603</t>
  </si>
  <si>
    <t>Công (TPHG) 0972115156</t>
  </si>
  <si>
    <t>Vị Xuyên, Hà Giang</t>
  </si>
  <si>
    <t>0972115156</t>
  </si>
  <si>
    <t>CG02604</t>
  </si>
  <si>
    <t>Nguyễn Minh An (MLVTTB) 151494855 0989093602</t>
  </si>
  <si>
    <t>Minh Lãng, Vũ Thư, Thái Bình</t>
  </si>
  <si>
    <t>0989093602</t>
  </si>
  <si>
    <t>CG02605</t>
  </si>
  <si>
    <t>Xuân (QPTB) 0912888999</t>
  </si>
  <si>
    <t>0912888999</t>
  </si>
  <si>
    <t>CG02606</t>
  </si>
  <si>
    <t>Dũng (YYND) 0982328125</t>
  </si>
  <si>
    <t>0982328125</t>
  </si>
  <si>
    <t>CG02607</t>
  </si>
  <si>
    <t>Thái (VTVP) 0912076345</t>
  </si>
  <si>
    <t>0912076345</t>
  </si>
  <si>
    <t>CG02608</t>
  </si>
  <si>
    <t>Sáng (CBHD) 0368949340</t>
  </si>
  <si>
    <t>0368949340</t>
  </si>
  <si>
    <t>CG02609</t>
  </si>
  <si>
    <t>Thái (BGHD) 0983086750</t>
  </si>
  <si>
    <t>0983086750</t>
  </si>
  <si>
    <t>CG02610</t>
  </si>
  <si>
    <t>Phương (TTIHN) 0984197353</t>
  </si>
  <si>
    <t>0984197353</t>
  </si>
  <si>
    <t>CG02611</t>
  </si>
  <si>
    <t>Hùng (DAHN) 0975318586</t>
  </si>
  <si>
    <t>0975318586</t>
  </si>
  <si>
    <t>CG02612</t>
  </si>
  <si>
    <t>Tuấn (TSBN) 0975440026</t>
  </si>
  <si>
    <t>0975440026</t>
  </si>
  <si>
    <t>CG02613</t>
  </si>
  <si>
    <t>Hòa (QGHD) 0972737905</t>
  </si>
  <si>
    <t>0972737905</t>
  </si>
  <si>
    <t>CG02614</t>
  </si>
  <si>
    <t>Sang (TTHN) 0948723886</t>
  </si>
  <si>
    <t>0948723886</t>
  </si>
  <si>
    <t>CG02615</t>
  </si>
  <si>
    <t>0974171520</t>
  </si>
  <si>
    <t>CG02616</t>
  </si>
  <si>
    <t>Đắc (SSHN) 0977090783</t>
  </si>
  <si>
    <t>0977090783</t>
  </si>
  <si>
    <t>CG02617</t>
  </si>
  <si>
    <t>Thuận (HHND) 0981729852</t>
  </si>
  <si>
    <t>0981729852</t>
  </si>
  <si>
    <t>CG02618</t>
  </si>
  <si>
    <t>Thủy (TTHN) 0987123946</t>
  </si>
  <si>
    <t>0987123946</t>
  </si>
  <si>
    <t>CG02619</t>
  </si>
  <si>
    <t>Toán (YYND) 0912741862</t>
  </si>
  <si>
    <t>0912741862</t>
  </si>
  <si>
    <t>CG02620</t>
  </si>
  <si>
    <t>Ngô Thị Thúy (HVHHND) Quyết 036183009632 0353634555 0941734855</t>
  </si>
  <si>
    <t>0353634555</t>
  </si>
  <si>
    <t>CG02621</t>
  </si>
  <si>
    <t>Hoàn (NGHD) 0975366330</t>
  </si>
  <si>
    <t>0975366330</t>
  </si>
  <si>
    <t>CG02622</t>
  </si>
  <si>
    <t>Quân (DAHN) 0969627750</t>
  </si>
  <si>
    <t>0969627750</t>
  </si>
  <si>
    <t>CG02623</t>
  </si>
  <si>
    <t>Quỳnh (YPBN) 0989841989</t>
  </si>
  <si>
    <t>0989841989</t>
  </si>
  <si>
    <t>CG02624</t>
  </si>
  <si>
    <t>Nguyễn Văn Hoan (QNXTND) 036091001274 0973285331</t>
  </si>
  <si>
    <t>Quân Ninh, Xuân Trường, Nam Định</t>
  </si>
  <si>
    <t>0973285331</t>
  </si>
  <si>
    <t>CG02625</t>
  </si>
  <si>
    <t>Vỹ (YTNA) 0373205201</t>
  </si>
  <si>
    <t>0373205201</t>
  </si>
  <si>
    <t>CG02626</t>
  </si>
  <si>
    <t>Nhân (NGHD) 0983776385</t>
  </si>
  <si>
    <t>0983776385</t>
  </si>
  <si>
    <t>CG02627</t>
  </si>
  <si>
    <t>Kiên (KDHY) 0982914444</t>
  </si>
  <si>
    <t>0982914444</t>
  </si>
  <si>
    <t>CG02628</t>
  </si>
  <si>
    <t>Nguyễn Văn Đông (YYND) 162353903 0976677316</t>
  </si>
  <si>
    <t>Yên Đồng, Ý Yên, Nam Định</t>
  </si>
  <si>
    <t>0976677316</t>
  </si>
  <si>
    <t>CG02629</t>
  </si>
  <si>
    <t>Nhung (NDNA) 0983882762</t>
  </si>
  <si>
    <t>0983882762</t>
  </si>
  <si>
    <t>CG02630</t>
  </si>
  <si>
    <t>Linh (YMNB) 0944929852</t>
  </si>
  <si>
    <t>Yên Mô, Ninh Bình</t>
  </si>
  <si>
    <t>0944929852</t>
  </si>
  <si>
    <t>CG02631</t>
  </si>
  <si>
    <t>Thịnh (DTHNA) 0904913188</t>
  </si>
  <si>
    <t>0904913188</t>
  </si>
  <si>
    <t>CG02632</t>
  </si>
  <si>
    <t>Thạch (TPQB) 0905472136</t>
  </si>
  <si>
    <t>0905472136</t>
  </si>
  <si>
    <t>CG02633</t>
  </si>
  <si>
    <t>Doanh Nghiệp TNSX Chế Biến Lâm Sản Tuấn Anh (SSTH) Thái 0973900329</t>
  </si>
  <si>
    <t>Số 127, đường Lê Thánh Tông, khu phố Hợp Thành, Phường Bắc Sơn, Thị xã Sầm Sơn, Thanh Hoá</t>
  </si>
  <si>
    <t>2801561843</t>
  </si>
  <si>
    <t>0973900329</t>
  </si>
  <si>
    <t>CG02634</t>
  </si>
  <si>
    <t>Đỗ Văn Thoàn (HTHHTH) 1727788089 0865094272</t>
  </si>
  <si>
    <t>Hoằng Thắng, Hoằng Hóa, Thanh Hóa</t>
  </si>
  <si>
    <t>0865094272</t>
  </si>
  <si>
    <t>CG02635</t>
  </si>
  <si>
    <t>Thạo (DAHN) 0975337525</t>
  </si>
  <si>
    <t>0975337525</t>
  </si>
  <si>
    <t>CG02636</t>
  </si>
  <si>
    <t>Dũng (KAHP) 0913245431</t>
  </si>
  <si>
    <t>0913245431</t>
  </si>
  <si>
    <t>CG02637</t>
  </si>
  <si>
    <t>Ngôn (CLHT) 0962874378</t>
  </si>
  <si>
    <t>0962874378</t>
  </si>
  <si>
    <t>CG02638</t>
  </si>
  <si>
    <t>Sơn (HDHN) 0976288395</t>
  </si>
  <si>
    <t>0976288395</t>
  </si>
  <si>
    <t>CG02639</t>
  </si>
  <si>
    <t>Thắng (TTHN) 0913305904</t>
  </si>
  <si>
    <t>0913305904</t>
  </si>
  <si>
    <t>CG02640</t>
  </si>
  <si>
    <t>Chấn (TTBN) 0978503854</t>
  </si>
  <si>
    <t>0978503854</t>
  </si>
  <si>
    <t>CG02641</t>
  </si>
  <si>
    <t>Công ty TNHH DV và TM Hùng Phát (NTND) Thanh 0985866650 0915301050</t>
  </si>
  <si>
    <t>Trực Hùng, Trực Ninh, Nam Định</t>
  </si>
  <si>
    <t>0601140837</t>
  </si>
  <si>
    <t>0985866650</t>
  </si>
  <si>
    <t>CG02642</t>
  </si>
  <si>
    <t>Vương (HBHP) 0916289911</t>
  </si>
  <si>
    <t>Hồng Bàng, Hải Phòng</t>
  </si>
  <si>
    <t>0916289911</t>
  </si>
  <si>
    <t>CG02643</t>
  </si>
  <si>
    <t>Đăng Văn Nam (VDDHPT) 131237839 0913780038</t>
  </si>
  <si>
    <t>Vân Dung, Đoan Hùng, Phú Thọ</t>
  </si>
  <si>
    <t>0913780038</t>
  </si>
  <si>
    <t>CG02644</t>
  </si>
  <si>
    <t>Thanh Niên (Q1HCM) 0982197928</t>
  </si>
  <si>
    <t>0982197928</t>
  </si>
  <si>
    <t>CG02645</t>
  </si>
  <si>
    <t>Ngọc (DSHP) 0904016475</t>
  </si>
  <si>
    <t>0904016475</t>
  </si>
  <si>
    <t>CG02646</t>
  </si>
  <si>
    <t>Sơn (YYND) 0886262662</t>
  </si>
  <si>
    <t>0886262662</t>
  </si>
  <si>
    <t>CG02647</t>
  </si>
  <si>
    <t>Liêm (DTHNA) 0929029913</t>
  </si>
  <si>
    <t>0929029913</t>
  </si>
  <si>
    <t>CG02648</t>
  </si>
  <si>
    <t>Hải (YYND) 0917741598</t>
  </si>
  <si>
    <t>0917741598</t>
  </si>
  <si>
    <t>CG02649</t>
  </si>
  <si>
    <t>Quân (KBG) 0973108568</t>
  </si>
  <si>
    <t>Kép, Lạng Giang, Bắc Giang</t>
  </si>
  <si>
    <t>0973108568</t>
  </si>
  <si>
    <t>CG02650</t>
  </si>
  <si>
    <t>Hợi (KAHP) 0971466686</t>
  </si>
  <si>
    <t>0971466686</t>
  </si>
  <si>
    <t>CG02651</t>
  </si>
  <si>
    <t>Thắng (VTVP) 0388381571</t>
  </si>
  <si>
    <t>0388381571</t>
  </si>
  <si>
    <t>CG02652</t>
  </si>
  <si>
    <t>Phan Văn Đoàn (HVHHND) 036075006060 0987449618</t>
  </si>
  <si>
    <t>0987449618</t>
  </si>
  <si>
    <t>CG02653</t>
  </si>
  <si>
    <t>Tuân (BSTH) 0919819659</t>
  </si>
  <si>
    <t>0919819659</t>
  </si>
  <si>
    <t>CG02654</t>
  </si>
  <si>
    <t>Phạm Thị Yên (QGHD) 141483920 0326962933</t>
  </si>
  <si>
    <t>Vĩnh Hưng, Bình Giang, Hải Dương</t>
  </si>
  <si>
    <t>0326962933</t>
  </si>
  <si>
    <t>CG02655</t>
  </si>
  <si>
    <t>Dích (KCHY) 0912882075</t>
  </si>
  <si>
    <t>0912882075</t>
  </si>
  <si>
    <t>CG02656</t>
  </si>
  <si>
    <t>Khải (TNPT) 0986049450</t>
  </si>
  <si>
    <t>Tam Nông, Phú Thọ</t>
  </si>
  <si>
    <t>0986049450</t>
  </si>
  <si>
    <t>CG02657</t>
  </si>
  <si>
    <t>Tuấn (SSHN) 0986408266</t>
  </si>
  <si>
    <t>0986408266</t>
  </si>
  <si>
    <t>CG02658</t>
  </si>
  <si>
    <t>Hòa (TPNB) 0912826548</t>
  </si>
  <si>
    <t>0912826548</t>
  </si>
  <si>
    <t>CG02659</t>
  </si>
  <si>
    <t>SAM (DSDN) 0972296566</t>
  </si>
  <si>
    <t>Thôn 7, xã Trường Xuân huyện Đắk Song, tỉnh Đắk Nông</t>
  </si>
  <si>
    <t>0972296566</t>
  </si>
  <si>
    <t>CG02660</t>
  </si>
  <si>
    <t>Hảo (YYND) 0973721919</t>
  </si>
  <si>
    <t>0973721919</t>
  </si>
  <si>
    <t>CG02661</t>
  </si>
  <si>
    <t>Mai Văn Định (HVHHND) 036068005641 0982330288</t>
  </si>
  <si>
    <t>0982330288</t>
  </si>
  <si>
    <t>CG02662</t>
  </si>
  <si>
    <t>Chính (TCNA) 0961333333</t>
  </si>
  <si>
    <t>0961333333</t>
  </si>
  <si>
    <t>CG02663</t>
  </si>
  <si>
    <t>Phạm Văn Cường (DNHDHN) 001072013008 0367403999</t>
  </si>
  <si>
    <t>0367403999</t>
  </si>
  <si>
    <t>CG02664</t>
  </si>
  <si>
    <t>Công ty TNHH ĐTPTTMDVVT và DL An Phát (HHTH) Đạt 0904041405</t>
  </si>
  <si>
    <t>2801893736</t>
  </si>
  <si>
    <t>0904041405</t>
  </si>
  <si>
    <t>CG02665</t>
  </si>
  <si>
    <t>Lê Văn Thế (BSSSTH) 172032171 0903456059</t>
  </si>
  <si>
    <t>0903456059</t>
  </si>
  <si>
    <t>CG02666</t>
  </si>
  <si>
    <t>Chính (HDHN) 0978589666</t>
  </si>
  <si>
    <t>0978589666</t>
  </si>
  <si>
    <t>CG02667</t>
  </si>
  <si>
    <t>Đoàn Văn Dương (KTHP) 031081007835 0906072114</t>
  </si>
  <si>
    <t>0906072114</t>
  </si>
  <si>
    <t>CG02668</t>
  </si>
  <si>
    <t>Tiện (HHND) 0375645029 0394305790</t>
  </si>
  <si>
    <t>0375645029</t>
  </si>
  <si>
    <t>CG02669</t>
  </si>
  <si>
    <t>Mai Công Dũng (HVHHND) 036094004850 0965083395</t>
  </si>
  <si>
    <t>0965083395</t>
  </si>
  <si>
    <t>CG02670</t>
  </si>
  <si>
    <t>Công ty TNHH Mỹ Nghệ Việt Trường (TSBN) Chúc 0983219518 2300307268</t>
  </si>
  <si>
    <t>0983219518</t>
  </si>
  <si>
    <t>CG02671</t>
  </si>
  <si>
    <t>Sinh (QPTB) 0966206668</t>
  </si>
  <si>
    <t>0966206668</t>
  </si>
  <si>
    <t>CG02672</t>
  </si>
  <si>
    <t>Hòa (GLHN) 0904186086</t>
  </si>
  <si>
    <t>0904186086</t>
  </si>
  <si>
    <t>CG02673</t>
  </si>
  <si>
    <t>Công ty TNHH một thành viên Gia Lượng (HLTH) Thương 0989803309</t>
  </si>
  <si>
    <t>Hoa Lộc, Hậu Lộc, Thanh Hóa</t>
  </si>
  <si>
    <t>2801877685</t>
  </si>
  <si>
    <t>0989803309</t>
  </si>
  <si>
    <t>CG02674</t>
  </si>
  <si>
    <t>Nguyễn Văn Trung (YNYYND) 163013394 0389109206</t>
  </si>
  <si>
    <t>0389109206</t>
  </si>
  <si>
    <t>CG02675</t>
  </si>
  <si>
    <t>0915235384</t>
  </si>
  <si>
    <t>CG02676</t>
  </si>
  <si>
    <t>Soát (DAHN) 0982993411</t>
  </si>
  <si>
    <t>0982993411</t>
  </si>
  <si>
    <t>CG02677</t>
  </si>
  <si>
    <t>Công ty TNHH một thành viên thương mại Vinh Quang (XTND) Thơ 0904001477</t>
  </si>
  <si>
    <t>Thọ Nghiệp, Xuân Trường, Nam Định</t>
  </si>
  <si>
    <t>0600337301</t>
  </si>
  <si>
    <t>0904001477</t>
  </si>
  <si>
    <t>CG02678</t>
  </si>
  <si>
    <t>Hưng (CKHP) 0376397874</t>
  </si>
  <si>
    <t>Cầu Kiền, Hải Phòng</t>
  </si>
  <si>
    <t>0376397874</t>
  </si>
  <si>
    <t>CG02679</t>
  </si>
  <si>
    <t>Nguyễn Văn Khải (TPTB) 013968833 0978453838</t>
  </si>
  <si>
    <t>Vũ Quý, Kiến Xương, Thái Bình</t>
  </si>
  <si>
    <t>0978453838</t>
  </si>
  <si>
    <t>CG02680</t>
  </si>
  <si>
    <t>Tốn (QLNA) 0963624027</t>
  </si>
  <si>
    <t>0963624027</t>
  </si>
  <si>
    <t>CG02681</t>
  </si>
  <si>
    <t>Trịnh Duy Mạnh (XTTXTH) 172381937 0975189023</t>
  </si>
  <si>
    <t>Xuân Tín, Thọ Xuân, Thanh Hóa</t>
  </si>
  <si>
    <t>0975189023</t>
  </si>
  <si>
    <t>CG02682</t>
  </si>
  <si>
    <t>Hữu (BDQB) 0913368456</t>
  </si>
  <si>
    <t>0913368456</t>
  </si>
  <si>
    <t>CG02683</t>
  </si>
  <si>
    <t>Tuấn (TLVP) 0981151499</t>
  </si>
  <si>
    <t>0981151499</t>
  </si>
  <si>
    <t>CG02684</t>
  </si>
  <si>
    <t>Nguyễn Đức Nam (CNTTHN) 112308641 0977401402</t>
  </si>
  <si>
    <t>0977401402</t>
  </si>
  <si>
    <t>CG02685</t>
  </si>
  <si>
    <t>Nguyễn Văn Bính (KAHP) 030875203 0981959288</t>
  </si>
  <si>
    <t>Hoàng Quốc Việt, Kiến An, Hải Phòng</t>
  </si>
  <si>
    <t>0981959288</t>
  </si>
  <si>
    <t>CG02686</t>
  </si>
  <si>
    <t>Dân (HDHN) 0983379995</t>
  </si>
  <si>
    <t>0983379995</t>
  </si>
  <si>
    <t>CG02687</t>
  </si>
  <si>
    <t>EVF (CGHN) 02435373699</t>
  </si>
  <si>
    <t>Cầu Giấy, Hà Nội</t>
  </si>
  <si>
    <t>02435373699</t>
  </si>
  <si>
    <t>CG02688</t>
  </si>
  <si>
    <t>Thắng (CBHD) 0966074444 0966072222</t>
  </si>
  <si>
    <t>0966072222</t>
  </si>
  <si>
    <t>CG02689</t>
  </si>
  <si>
    <t>Thịnh (KAHT) 0964056133</t>
  </si>
  <si>
    <t>0964056133</t>
  </si>
  <si>
    <t>CG02690</t>
  </si>
  <si>
    <t>Hùng (DCNA) 0982323110 0865412037</t>
  </si>
  <si>
    <t>0865412037</t>
  </si>
  <si>
    <t>CG02691</t>
  </si>
  <si>
    <t>Công ty CP DT &amp; XD Xuyên Việt Thái Bình (DHTB) Chi 0938721999 1001070717</t>
  </si>
  <si>
    <t>1001070717</t>
  </si>
  <si>
    <t>0938721999</t>
  </si>
  <si>
    <t>CG02692</t>
  </si>
  <si>
    <t>Hòa (QHNA) 0985903229</t>
  </si>
  <si>
    <t>0985903229</t>
  </si>
  <si>
    <t>CG02693</t>
  </si>
  <si>
    <t>Tuấn (YLHNA) 0913324501</t>
  </si>
  <si>
    <t>Yên Lệnh, Hà Nam</t>
  </si>
  <si>
    <t>0913324501</t>
  </si>
  <si>
    <t>CG02694</t>
  </si>
  <si>
    <t>Quế (ĐLNA) 0963909757</t>
  </si>
  <si>
    <t>CG02695</t>
  </si>
  <si>
    <t>Linh (TPNB) 0942769988</t>
  </si>
  <si>
    <t>TP. Ninh Bình</t>
  </si>
  <si>
    <t>CG02696</t>
  </si>
  <si>
    <t>Đức (KTHP) 0972346978</t>
  </si>
  <si>
    <t>CG02697</t>
  </si>
  <si>
    <t>Trường kho (MDHP) 0986903455</t>
  </si>
  <si>
    <t>CG02698</t>
  </si>
  <si>
    <t>Hoàng Trọng Tứ (MLVTTB) 034080001547 0981817579</t>
  </si>
  <si>
    <t>0981817579</t>
  </si>
  <si>
    <t>CG02699</t>
  </si>
  <si>
    <t>Kiều Văn Thành (TLBXVP) 026088003895 0978790791 0946790791</t>
  </si>
  <si>
    <t>0978790791</t>
  </si>
  <si>
    <t>CG02700</t>
  </si>
  <si>
    <t>Mạnh (TTIHN) 0989446555</t>
  </si>
  <si>
    <t>CG02701</t>
  </si>
  <si>
    <t>Cường (HĐHN) 0973369839</t>
  </si>
  <si>
    <t>CG02702</t>
  </si>
  <si>
    <t>Hùng (NĐNA) 0973097851</t>
  </si>
  <si>
    <t>CG02703</t>
  </si>
  <si>
    <t>Vũ Văn Kiên (VTTTIHN) 111726895 0916531345</t>
  </si>
  <si>
    <t>0916531345</t>
  </si>
  <si>
    <t>CG02704</t>
  </si>
  <si>
    <t>Ngô Minh (TLDAHN) 012260576 0982336090</t>
  </si>
  <si>
    <t>0982336090</t>
  </si>
  <si>
    <t>CG02705</t>
  </si>
  <si>
    <t>Công ty TNHH MTV xây dựng và mộc dân dụng Sơn Mai (NĐNA) Hợi 0974994856</t>
  </si>
  <si>
    <t>Khối Tây Hồ, Nam Đàn, Nghệ An</t>
  </si>
  <si>
    <t>2901097103</t>
  </si>
  <si>
    <t>0974994856</t>
  </si>
  <si>
    <t>CG02706</t>
  </si>
  <si>
    <t>Nghĩa (QLNA) 0987447036</t>
  </si>
  <si>
    <t>CG02707</t>
  </si>
  <si>
    <t>Toàn (HHNĐ) 0869203955</t>
  </si>
  <si>
    <t>CG02708</t>
  </si>
  <si>
    <t>Huân (VLTH) 0983393975</t>
  </si>
  <si>
    <t>Vĩnh Lộc, Thanh Hóa</t>
  </si>
  <si>
    <t>CG02709</t>
  </si>
  <si>
    <t>Thông (NXHT) 0979304935</t>
  </si>
  <si>
    <t>Nghi Xuân, Hà Tĩnh</t>
  </si>
  <si>
    <t>CG02710</t>
  </si>
  <si>
    <t>Tú (TPNB) 0917356018</t>
  </si>
  <si>
    <t>CG02711</t>
  </si>
  <si>
    <t>Lê Phú Dung (HHHHTH) 038068008487 0982538655</t>
  </si>
  <si>
    <t>Hoàng Tiến, Hoàng Hóa, Thanh Hóa</t>
  </si>
  <si>
    <t>0982538655</t>
  </si>
  <si>
    <t>CG02712</t>
  </si>
  <si>
    <t>Cát (TCNA) 0975404555</t>
  </si>
  <si>
    <t>Thanh Thủy, Thanh Chương, Nghệ An</t>
  </si>
  <si>
    <t>CG02713</t>
  </si>
  <si>
    <t>Quang (TPHT) 0915452667</t>
  </si>
  <si>
    <t>Thạch Sơn, Thạch Hà, Hà Tĩnh</t>
  </si>
  <si>
    <t>CG02714</t>
  </si>
  <si>
    <t>Vinh (TPND) 0912703220</t>
  </si>
  <si>
    <t>TP. Nam Định</t>
  </si>
  <si>
    <t>CG02715</t>
  </si>
  <si>
    <t>Nguyễn Văn Hiền (QLNA) 181469979 0868083017 0968123537</t>
  </si>
  <si>
    <t>Quỳnh Vinh, Hoàng Mai, Nghệ An</t>
  </si>
  <si>
    <t>0968123537</t>
  </si>
  <si>
    <t>CG02716</t>
  </si>
  <si>
    <t>Hải Hùng (MDHP) 0975885995</t>
  </si>
  <si>
    <t>0975885995</t>
  </si>
  <si>
    <t>CG02717</t>
  </si>
  <si>
    <t>Bảy (DCNA) 0988992229</t>
  </si>
  <si>
    <t>CG02718</t>
  </si>
  <si>
    <t>Tám (TKHD) 0386034444</t>
  </si>
  <si>
    <t>CG02719</t>
  </si>
  <si>
    <t>Thế (YYND) 0913294759</t>
  </si>
  <si>
    <t>CG02720</t>
  </si>
  <si>
    <t>Lam (CLHT) 0388349480</t>
  </si>
  <si>
    <t>CG02721</t>
  </si>
  <si>
    <t>Trường (CGHD) 0349476707</t>
  </si>
  <si>
    <t>CG02722</t>
  </si>
  <si>
    <t>Thái (MDHP) 0971511586</t>
  </si>
  <si>
    <t>0971511586</t>
  </si>
  <si>
    <t>CG02723</t>
  </si>
  <si>
    <t>Thịnh (TPHP) 0936692763</t>
  </si>
  <si>
    <t>CG02724</t>
  </si>
  <si>
    <t>Tô Xuân Niên (NSTDNB) 037064002700 0915048652</t>
  </si>
  <si>
    <t>Nam Sơn, Tam Điệp, Ninh Bình</t>
  </si>
  <si>
    <t>0915048652</t>
  </si>
  <si>
    <t>CG02725</t>
  </si>
  <si>
    <t>Quân (GTND) 0975891199</t>
  </si>
  <si>
    <t>CG02726</t>
  </si>
  <si>
    <t>Quyết (QLNA) 0777463666</t>
  </si>
  <si>
    <t>CG02727</t>
  </si>
  <si>
    <t>Tự (KTHP) 0913521143</t>
  </si>
  <si>
    <t>CG02728</t>
  </si>
  <si>
    <t>Công (VNA) 0912080899</t>
  </si>
  <si>
    <t>CG02729</t>
  </si>
  <si>
    <t>Phạm Văn Trung (YPYDTH) Dung 038086008891 0972212340 0968045185</t>
  </si>
  <si>
    <t>Yên Phú, Yên Định, Thanh Hóa</t>
  </si>
  <si>
    <t>0972212340</t>
  </si>
  <si>
    <t>CG02730</t>
  </si>
  <si>
    <t>Đàm Văn Khiêm (NTNHND) 036075000632 0948346289</t>
  </si>
  <si>
    <t>Nghĩa Thái, Nghĩa Hưng, Nam Định</t>
  </si>
  <si>
    <t>0948346289</t>
  </si>
  <si>
    <t>CG02731</t>
  </si>
  <si>
    <t>Phương (HDHN) 0987738080</t>
  </si>
  <si>
    <t>CG02732</t>
  </si>
  <si>
    <t>Khúc Văn Bé (DMVBHP) 031069001855 0919235468 0856030433</t>
  </si>
  <si>
    <t>Đồng Minh, Vĩnh Bảo, Hải Phòng</t>
  </si>
  <si>
    <t xml:space="preserve">0919235468 </t>
  </si>
  <si>
    <t>CG02733</t>
  </si>
  <si>
    <t>Long (TTIHN) 0981208383</t>
  </si>
  <si>
    <t>CG02734</t>
  </si>
  <si>
    <t>Bảy (DKHP) 0912810271</t>
  </si>
  <si>
    <t>CG02735</t>
  </si>
  <si>
    <t>Bằng (KBHNA) 0912227199</t>
  </si>
  <si>
    <t>CG02736</t>
  </si>
  <si>
    <t>Nguyễn Văn Thiện (TNXHP) 030782631 0912193800</t>
  </si>
  <si>
    <t>Mỹ Đồng, Thủy Nguyên, Hải Phòng</t>
  </si>
  <si>
    <t>0912193800</t>
  </si>
  <si>
    <t>CG02737</t>
  </si>
  <si>
    <t>Lê Văn Trượng (VTTTIHN) 111452168 0912822641</t>
  </si>
  <si>
    <t>CG02738</t>
  </si>
  <si>
    <t>Đồng (YTNA) 0976187867</t>
  </si>
  <si>
    <t>CG02739</t>
  </si>
  <si>
    <t>Trường (QLNA) 0987333606</t>
  </si>
  <si>
    <t>CG02740</t>
  </si>
  <si>
    <t>Thắng (VTHNA) 0965971999</t>
  </si>
  <si>
    <t>CG02741</t>
  </si>
  <si>
    <t>Thủy (TNHP) 0913244442</t>
  </si>
  <si>
    <t>Tân Dương, Thủy Nguyên, Hải Phòng</t>
  </si>
  <si>
    <t>CG02742</t>
  </si>
  <si>
    <t>Phú (XTND) 0913080712</t>
  </si>
  <si>
    <t>CG02743</t>
  </si>
  <si>
    <t>Nguyễn Văn Khá (LNHNA) 035080003102 0978514568</t>
  </si>
  <si>
    <t>0978514568</t>
  </si>
  <si>
    <t>CG02744</t>
  </si>
  <si>
    <t>Nam (BDQB) 0912071035</t>
  </si>
  <si>
    <t>CG02745</t>
  </si>
  <si>
    <t>Vũ Đức Tùng (VTTTIHN) 1092012241 0988484180</t>
  </si>
  <si>
    <t>CG02746</t>
  </si>
  <si>
    <t>Nguyễn Thế Minh (NSTH) 038080003321 0934612679</t>
  </si>
  <si>
    <t>Thiệu Hòa, Thiệu Hóa, Thanh Hóa</t>
  </si>
  <si>
    <t>0934612679</t>
  </si>
  <si>
    <t>CG02747</t>
  </si>
  <si>
    <t>Vũ Văn Thắm (XHVTTB) 034066002605 0989746171</t>
  </si>
  <si>
    <t>Xuân Hòa, Vũ Thư, Thái Bình</t>
  </si>
  <si>
    <t>0989746171</t>
  </si>
  <si>
    <t>CG02748</t>
  </si>
  <si>
    <t>Nguyễn Văn Huỳnh (BTHN) 017075239 0962833833 0364499880</t>
  </si>
  <si>
    <t>CG02749</t>
  </si>
  <si>
    <t>Tiệp (LCHP) 0936521468</t>
  </si>
  <si>
    <t>KCN Vĩnh Niệm, Lê Chân, Hải Phòng</t>
  </si>
  <si>
    <t>0936521468</t>
  </si>
  <si>
    <t>CG02750</t>
  </si>
  <si>
    <t>Vũ Văn Tường (MTKTHP) 031088002845 0964761288</t>
  </si>
  <si>
    <t>Minh Tân, Kiến Thụy, Hải Phòng</t>
  </si>
  <si>
    <t>0964761288</t>
  </si>
  <si>
    <t>CG02751</t>
  </si>
  <si>
    <t>Bá (HKHT) 0969432279</t>
  </si>
  <si>
    <t>CG02752</t>
  </si>
  <si>
    <t>Hữu (XTND) 0976138352</t>
  </si>
  <si>
    <t>Xuân Trườn, Nam Định</t>
  </si>
  <si>
    <t>CG02753</t>
  </si>
  <si>
    <t>Tạ Minh Học (DLTHTB) 151227400 0977594688</t>
  </si>
  <si>
    <t>Đông Lâm, Tiền Hải, Thái Bình</t>
  </si>
  <si>
    <t>0977594688</t>
  </si>
  <si>
    <t>CG02754</t>
  </si>
  <si>
    <t>Tị (TSBN) 0976427968</t>
  </si>
  <si>
    <t>CG02755</t>
  </si>
  <si>
    <t>Long (HDHN) 0886111899</t>
  </si>
  <si>
    <t>CG02756</t>
  </si>
  <si>
    <t>Hùng (DHTB) 0973127225</t>
  </si>
  <si>
    <t>CG02757</t>
  </si>
  <si>
    <t>Cảnh (HHND) 0915395071</t>
  </si>
  <si>
    <t>CG02758</t>
  </si>
  <si>
    <t>Vinh (YYND) 0917679057</t>
  </si>
  <si>
    <t>CG02759</t>
  </si>
  <si>
    <t>Đa (TLHP) 0362588555</t>
  </si>
  <si>
    <t>CG02760</t>
  </si>
  <si>
    <t>Mai Văn Bình (HVHHND) 036076005400 0941155569</t>
  </si>
  <si>
    <t>0941155569</t>
  </si>
  <si>
    <t>CG02761</t>
  </si>
  <si>
    <t>CG02762</t>
  </si>
  <si>
    <t>Quảng (TPTN) 0963478800</t>
  </si>
  <si>
    <t>TP. Thái Nguyên</t>
  </si>
  <si>
    <t>CG02763</t>
  </si>
  <si>
    <t>Hằng (YLHNA) 0968180283</t>
  </si>
  <si>
    <t>CG02764</t>
  </si>
  <si>
    <t>Toàn (TPNB) 0979521663</t>
  </si>
  <si>
    <t>CG02765</t>
  </si>
  <si>
    <t>Trần Thế Hậu (NTKBHNA) 035083005550 0978459779</t>
  </si>
  <si>
    <t>0978459779</t>
  </si>
  <si>
    <t>CG02766</t>
  </si>
  <si>
    <t>Hồ Văn Trường (QNQLNA) 187755189 0968297731</t>
  </si>
  <si>
    <t>0968297731</t>
  </si>
  <si>
    <t>CG02767</t>
  </si>
  <si>
    <t>Lý (HSHT) 0383397777</t>
  </si>
  <si>
    <t>CG02768</t>
  </si>
  <si>
    <t>COCO Việt Nam (TPHN) 0901788768</t>
  </si>
  <si>
    <t>CG02769</t>
  </si>
  <si>
    <t>Huấn (XTND) 0978488881</t>
  </si>
  <si>
    <t>CG02770</t>
  </si>
  <si>
    <t>Trần Hậu Trình (TPQB) 194438587 0913069973</t>
  </si>
  <si>
    <t>Bắc Lý, Đồng Hới, Quảng Bình</t>
  </si>
  <si>
    <t>0913069973</t>
  </si>
  <si>
    <t>CG02771</t>
  </si>
  <si>
    <t>Nguyễn Xuân Lâm (TBTPHD) 142360630 0904356636</t>
  </si>
  <si>
    <t>0904356636</t>
  </si>
  <si>
    <t>CG02772</t>
  </si>
  <si>
    <t>Trường (HHND) 0368579404</t>
  </si>
  <si>
    <t>CG02773</t>
  </si>
  <si>
    <t>Cương (GVBND) 0388461871</t>
  </si>
  <si>
    <t>Gôi Vụ Bản, Nam Định</t>
  </si>
  <si>
    <t>CG02774</t>
  </si>
  <si>
    <t>Hà An (TPHN) 0947667468</t>
  </si>
  <si>
    <t>CG02775</t>
  </si>
  <si>
    <t>Công ty TNHH Miền Ngọc (HHTH) Tánh 0912957788 2801530605</t>
  </si>
  <si>
    <t>Mật Sơn, Đồng Vệ, Thanh Hóa</t>
  </si>
  <si>
    <t>2801530605</t>
  </si>
  <si>
    <t xml:space="preserve">0912957788 </t>
  </si>
  <si>
    <t>CG02776</t>
  </si>
  <si>
    <t>Hưng (TLVP) 0968639839</t>
  </si>
  <si>
    <t>CG02777</t>
  </si>
  <si>
    <t>Minh Anh (KDHY) 0374722631</t>
  </si>
  <si>
    <t>CG02778</t>
  </si>
  <si>
    <t>Hòa (YMNB) 0967641111</t>
  </si>
  <si>
    <t>CG02779</t>
  </si>
  <si>
    <t>Nguyễn Đức Cảnh (THTTTB) 151351154 0974074072</t>
  </si>
  <si>
    <t>Thụy Hồng, Thái Thụy, Thái Bình</t>
  </si>
  <si>
    <t>0974074072</t>
  </si>
  <si>
    <t>CG02780</t>
  </si>
  <si>
    <t>Hùng (STHN) 0987667722</t>
  </si>
  <si>
    <t>CG02781</t>
  </si>
  <si>
    <t>Bùi Huy Hiệu (QTQXTH) 178849126 0977386601</t>
  </si>
  <si>
    <t>0977386601</t>
  </si>
  <si>
    <t>CG02782</t>
  </si>
  <si>
    <t>Toán (TNXHP) 0904575565</t>
  </si>
  <si>
    <t>CG02783</t>
  </si>
  <si>
    <t>Công ty TNHH Trọng Minh (TLDAHN) Lập 0977411463</t>
  </si>
  <si>
    <t>0101141060</t>
  </si>
  <si>
    <t>0977411463</t>
  </si>
  <si>
    <t>CG02784</t>
  </si>
  <si>
    <t>Bôn (NSTH) 0987071376</t>
  </si>
  <si>
    <t>CG02785</t>
  </si>
  <si>
    <t>Lê Trọng Hương (TPBG) 121368083 0912206960</t>
  </si>
  <si>
    <t>Trần Phú, TP. Bắc Giang</t>
  </si>
  <si>
    <t>CG02786</t>
  </si>
  <si>
    <t>Thắng (YYND) 0912475487</t>
  </si>
  <si>
    <t>CG02787</t>
  </si>
  <si>
    <t>Thành (UHHN) 0963125774</t>
  </si>
  <si>
    <t>CG02788</t>
  </si>
  <si>
    <t>Đàm (KMHD) 0362457855</t>
  </si>
  <si>
    <t>CG02789</t>
  </si>
  <si>
    <t>Thành (TTIHN) 0914522266</t>
  </si>
  <si>
    <t>CG02790</t>
  </si>
  <si>
    <t>Tiến (TPVNA) 0946275767</t>
  </si>
  <si>
    <t>CG02791</t>
  </si>
  <si>
    <t>Ngô Văn Giáo (HVHHND) 036089006950 0967066399</t>
  </si>
  <si>
    <t>0967066399</t>
  </si>
  <si>
    <t>CG02792</t>
  </si>
  <si>
    <t>Doanh Nghiệp tư nhân Mộc Bích Chu (KCHY) Cố 0914376157</t>
  </si>
  <si>
    <t>2500273432</t>
  </si>
  <si>
    <t>0914376157</t>
  </si>
  <si>
    <t>CG02793</t>
  </si>
  <si>
    <t>Văn (VGHY) 0977896376</t>
  </si>
  <si>
    <t>CG02794</t>
  </si>
  <si>
    <t>Quảng (HHND) 0915069344</t>
  </si>
  <si>
    <t>CG02795</t>
  </si>
  <si>
    <t>Tuấn Anh (TTIHN) 0904837999</t>
  </si>
  <si>
    <t>CG02796</t>
  </si>
  <si>
    <t>Minh (MKQN) 0989565362</t>
  </si>
  <si>
    <t>Mạo Khê, Quảng Ninh</t>
  </si>
  <si>
    <t>CG02797</t>
  </si>
  <si>
    <t>Hưng (KTHP) 0368278206</t>
  </si>
  <si>
    <t>CG02798</t>
  </si>
  <si>
    <t>Trần Văn Sáng (KXTPBN) 112497475 0915031754</t>
  </si>
  <si>
    <t>0915031754</t>
  </si>
  <si>
    <t>CG02799</t>
  </si>
  <si>
    <t>Bé (DDTB) 0986625155</t>
  </si>
  <si>
    <t>Diêm Điền, Thái Bình</t>
  </si>
  <si>
    <t>CG02800</t>
  </si>
  <si>
    <t>Bình (VGHY) 0352307839</t>
  </si>
  <si>
    <t>CG02801</t>
  </si>
  <si>
    <t>Lãng (QVBN) 0387497567</t>
  </si>
  <si>
    <t>CG02802</t>
  </si>
  <si>
    <t>Phùng (CGHD) 0702272899</t>
  </si>
  <si>
    <t>CG02803</t>
  </si>
  <si>
    <t>Đào Văn Năm (DAHN) 125667464 0944885102 0376581586</t>
  </si>
  <si>
    <t>Yên Phụ, Yên Phong, Bắc Ninh</t>
  </si>
  <si>
    <t>0944885102</t>
  </si>
  <si>
    <t>CG02804</t>
  </si>
  <si>
    <t>Long (TTHN) 0984865666</t>
  </si>
  <si>
    <t>CG02805</t>
  </si>
  <si>
    <t>Thỏa (KXTB) 0904532165</t>
  </si>
  <si>
    <t>CG02806</t>
  </si>
  <si>
    <t>Yên (HHND) 0976909405</t>
  </si>
  <si>
    <t>CG02807</t>
  </si>
  <si>
    <t>Đỗ Đức Lẫm (DDTB) 034052004806 0913344292</t>
  </si>
  <si>
    <t>0913344292</t>
  </si>
  <si>
    <t>CG02808</t>
  </si>
  <si>
    <t>Tuyền (DAHN) 0989668939</t>
  </si>
  <si>
    <t>CG02809</t>
  </si>
  <si>
    <t>Chính (TPTB) 0934155666</t>
  </si>
  <si>
    <t>TP. Thái Bình</t>
  </si>
  <si>
    <t>CG02810</t>
  </si>
  <si>
    <t>Lê Trân Việt (HBHTTH) 038069002727 0823322125</t>
  </si>
  <si>
    <t>Hà Bình, Hà Trung, Thanh Hóa</t>
  </si>
  <si>
    <t>CG02811</t>
  </si>
  <si>
    <t>Long (SSHN) 0969922679</t>
  </si>
  <si>
    <t>Sóc Sơn, Hải Phòng</t>
  </si>
  <si>
    <t>CG02812</t>
  </si>
  <si>
    <t>Hợp (BTQB) 0989114523</t>
  </si>
  <si>
    <t>CG02813</t>
  </si>
  <si>
    <t>Quý (MDHP) 0977264191</t>
  </si>
  <si>
    <t>0977264191</t>
  </si>
  <si>
    <t>CG02814</t>
  </si>
  <si>
    <t>Nhung (CGHD) 0974347882</t>
  </si>
  <si>
    <t>CG02815</t>
  </si>
  <si>
    <t>Trần Văn Tâm (HSDTTN) 090824860 0382152529</t>
  </si>
  <si>
    <t>Hùng Sơn, Đại Từ, Thái Nguyên</t>
  </si>
  <si>
    <t>0382152529</t>
  </si>
  <si>
    <t>CG02816</t>
  </si>
  <si>
    <t>Nguyễn Văn Long (TSTH) 063252310 0964215590</t>
  </si>
  <si>
    <t>0964215590</t>
  </si>
  <si>
    <t>CG02817</t>
  </si>
  <si>
    <t>Nguyễn Danh Ngà (CDKTHD) 142088127 0989149541</t>
  </si>
  <si>
    <t>0989149541</t>
  </si>
  <si>
    <t>CG02818</t>
  </si>
  <si>
    <t>Công ty TNHH Ngành Phê (TPTH) Long 0338813058 0964981570</t>
  </si>
  <si>
    <t>Bắc Nghĩa, Đồng Hới, Quảng Bình</t>
  </si>
  <si>
    <t>CG02819</t>
  </si>
  <si>
    <t>Tuyên (NQNB) 0974891781</t>
  </si>
  <si>
    <t>CG02820</t>
  </si>
  <si>
    <t>Huyền (HDHN) 0983911725</t>
  </si>
  <si>
    <t>CG02821</t>
  </si>
  <si>
    <t>Hải (TPND) 0917784316</t>
  </si>
  <si>
    <t>CG02822</t>
  </si>
  <si>
    <t>Nhạc (YTNA) 0961677267</t>
  </si>
  <si>
    <t>CG02823</t>
  </si>
  <si>
    <t>Ngô Văn Thống (HVHHND) 163393925 0963677514</t>
  </si>
  <si>
    <t>CG02824</t>
  </si>
  <si>
    <t>Kha (CLND) 0944540405</t>
  </si>
  <si>
    <t>CG02825</t>
  </si>
  <si>
    <t>Ngãi (BTQB) 0941392420 0977702092</t>
  </si>
  <si>
    <t>CG02826</t>
  </si>
  <si>
    <t>Hải (BDQB) 0915014367</t>
  </si>
  <si>
    <t>CG02827</t>
  </si>
  <si>
    <t>CG02828</t>
  </si>
  <si>
    <t>Bình (KSNB) 0835223328</t>
  </si>
  <si>
    <t>CG02829</t>
  </si>
  <si>
    <t>Ninh Văn Minh (LXYYND) 036082007914 0942355565</t>
  </si>
  <si>
    <t>La Xuyên, Ý Yên, Nam Định</t>
  </si>
  <si>
    <t>0942355565</t>
  </si>
  <si>
    <t>CG02830</t>
  </si>
  <si>
    <t>Vịnh (NHND) 0949741745</t>
  </si>
  <si>
    <t>CG02831</t>
  </si>
  <si>
    <t>Phạm Văn Hùng (DLGBBN) Minh 125149938 0986068044</t>
  </si>
  <si>
    <t>Đại Lai, Gia Bình, Bắc Ninh</t>
  </si>
  <si>
    <t>0986068044</t>
  </si>
  <si>
    <t>CG02832</t>
  </si>
  <si>
    <t>Nguyễn Đức Bình (HHTH) 038072008905 0976402218</t>
  </si>
  <si>
    <t>Hoằng Thái, Hoằng Hóa, Thanh Hóa</t>
  </si>
  <si>
    <t>0976402218</t>
  </si>
  <si>
    <t>CG02833</t>
  </si>
  <si>
    <t>Bùi Văn Đức (HSHHND) 036070002744 0945731027</t>
  </si>
  <si>
    <t>Hải Sơn, Hải Hậu, Nam Định</t>
  </si>
  <si>
    <t>CG02834</t>
  </si>
  <si>
    <t>Hiền (DCNA) 0986324088</t>
  </si>
  <si>
    <t>CG02835</t>
  </si>
  <si>
    <t>Hà (PCBN) 0812892755</t>
  </si>
  <si>
    <t>Phố Chờ, Bắc Ninh</t>
  </si>
  <si>
    <t>CG02836</t>
  </si>
  <si>
    <t>Phạm Thị Nhu (TPTB) 151388338 0945380199</t>
  </si>
  <si>
    <t>Hoàng Diệu, TP. Thái Bình</t>
  </si>
  <si>
    <t>0945380199</t>
  </si>
  <si>
    <t>CG02837</t>
  </si>
  <si>
    <t>Đào Văn Long (YMHY) 033078003913 0936182187</t>
  </si>
  <si>
    <t>Hống Tiến, Khoái Châu, Hưng Yên</t>
  </si>
  <si>
    <t>0936182187</t>
  </si>
  <si>
    <t>CG02838</t>
  </si>
  <si>
    <t>Hồ Thị Ngọc (DVTPTH) 171634008 0904609549</t>
  </si>
  <si>
    <t>Đồng Vệ, TP. Thanh Hóa</t>
  </si>
  <si>
    <t>CG02839</t>
  </si>
  <si>
    <t>Lê Văn Bình (YMLNHNA) 168134161 0917840598</t>
  </si>
  <si>
    <t>Yên Mỹ, Lý Nhân, Hà Nam</t>
  </si>
  <si>
    <t>CG02840</t>
  </si>
  <si>
    <t>Ngô Viết Kiên (DNHDHN) 017502561 0772293000</t>
  </si>
  <si>
    <t>CG02841</t>
  </si>
  <si>
    <t>Lại Thế Mạnh (HSHHND) 161850986 0988499333</t>
  </si>
  <si>
    <t>0988499333</t>
  </si>
  <si>
    <t>CG02842</t>
  </si>
  <si>
    <t>Hoàng Đình Tuân (KSGLHN) 012156891 0983026079</t>
  </si>
  <si>
    <t>0983026079</t>
  </si>
  <si>
    <t>CG02843</t>
  </si>
  <si>
    <t>Nguyễn Hùng Sơn (NNTTBN) 125441354 0976711496</t>
  </si>
  <si>
    <t>Ngọc Nội, Thuận Thành, Bắc Ninh</t>
  </si>
  <si>
    <t>0976711496</t>
  </si>
  <si>
    <t>CG02844</t>
  </si>
  <si>
    <t>Vũ Văn Dân (NTKBHNA) 168270370 0983362030</t>
  </si>
  <si>
    <t>0983362030</t>
  </si>
  <si>
    <t>CG02845</t>
  </si>
  <si>
    <t>Nguyễn Văn Kiên (HDTYBG) 121538270 0973405756</t>
  </si>
  <si>
    <t>Hợp Đức, Tân Yên, Bắc Giang</t>
  </si>
  <si>
    <t>0973405756</t>
  </si>
  <si>
    <t>CG02846</t>
  </si>
  <si>
    <t>Phan Văn Hùng (KMKSNB) 164377933 0978989819</t>
  </si>
  <si>
    <t>Kim Mỹ, Kim Sơn, Ninh Bình</t>
  </si>
  <si>
    <t>0978989819</t>
  </si>
  <si>
    <t>CG02847</t>
  </si>
  <si>
    <t>Nguyễn Thị Huyền (DNHDHN) 001187029136 0936396119</t>
  </si>
  <si>
    <t>0936396119</t>
  </si>
  <si>
    <t>CG02848</t>
  </si>
  <si>
    <t>Trần Văn Thân (QVBN) 125868639 0946674672</t>
  </si>
  <si>
    <t>Ngọc Xá, Quế Võ, Bắc Ninh</t>
  </si>
  <si>
    <t>0946674672</t>
  </si>
  <si>
    <t>CG02849</t>
  </si>
  <si>
    <t>Nguyễn Văn Lưu (SLTTBN) 125280078 0977302145</t>
  </si>
  <si>
    <t>Song Liễu, Thuận Thành, Bắc Ninh</t>
  </si>
  <si>
    <t>0977302145</t>
  </si>
  <si>
    <t>CG02850</t>
  </si>
  <si>
    <t>Nguyễn Huy Tuấn (BXTLVP) 026097001534 0971970484</t>
  </si>
  <si>
    <t>Bĩnh Xuyên, Thanh Lãng, Vĩnh Phúc</t>
  </si>
  <si>
    <t>0971970484</t>
  </si>
  <si>
    <t>CG02851</t>
  </si>
  <si>
    <t>Vương Đình Bính (NTNLNA) 182211541 0915130302</t>
  </si>
  <si>
    <t>Nghi Thái, Nghi Lộc, Nghệ An</t>
  </si>
  <si>
    <t>0915130302</t>
  </si>
  <si>
    <t>CG02852</t>
  </si>
  <si>
    <t>Nguyễn Văn Thực (KMHD) 141140094 0944006298</t>
  </si>
  <si>
    <t>0944006298</t>
  </si>
  <si>
    <t>CG02853</t>
  </si>
  <si>
    <t>Thiều Văn Sự (VTVP) 135890014 0963200012</t>
  </si>
  <si>
    <t>0963200012</t>
  </si>
  <si>
    <t>CG02854</t>
  </si>
  <si>
    <t>Công ty TNHH thương mại và phát triển công nghệ Thanh Hùng (DAHN) Tiến 0813752019</t>
  </si>
  <si>
    <t>Mai Lâm, Đông Anh, Hà Nội</t>
  </si>
  <si>
    <t>0101199014</t>
  </si>
  <si>
    <t>0813752019</t>
  </si>
  <si>
    <t>CG02855</t>
  </si>
  <si>
    <t>Nguyễn Phong Thủy (LHVNTN) 090681405 0984505585</t>
  </si>
  <si>
    <t>La Hiên, Võ Nhai, Thái Nguyên</t>
  </si>
  <si>
    <t>0984505585</t>
  </si>
  <si>
    <t>CG02856</t>
  </si>
  <si>
    <t>Vũ Quang Tuyến (TMHD) 030065001201 0364798386</t>
  </si>
  <si>
    <t>Tú Cường, Thanh Miện, Hải Dương</t>
  </si>
  <si>
    <t>0364798386</t>
  </si>
  <si>
    <t>CG02857</t>
  </si>
  <si>
    <t>Phạm Công Dân (TPHD) 141312280 0938359513</t>
  </si>
  <si>
    <t>Tứ Minh, TP. Hải Dương</t>
  </si>
  <si>
    <t>0938359513</t>
  </si>
  <si>
    <t>CG02858</t>
  </si>
  <si>
    <t>Nguyễn Văn Ngoc (THTB) 151328552 0977903407</t>
  </si>
  <si>
    <t>Đông Hoàng, Tiền Hải, Thái Bình</t>
  </si>
  <si>
    <t>0977903407</t>
  </si>
  <si>
    <t>CG02859</t>
  </si>
  <si>
    <t>Lê Văn Tiềm (VTTTIHN) 001078013262 0983784546</t>
  </si>
  <si>
    <t>0983784546</t>
  </si>
  <si>
    <t>CG02860</t>
  </si>
  <si>
    <t>Trần Hữu Cường (TDTTTB) 034077006032 0396245899</t>
  </si>
  <si>
    <t>Thụy Dũng, Thái Thụy, Thái Bình</t>
  </si>
  <si>
    <t>0396245899</t>
  </si>
  <si>
    <t>CG02861</t>
  </si>
  <si>
    <t>Nguyễn Văn Hải (GYGTND) 162448491 0988209847</t>
  </si>
  <si>
    <t>Giao Yến, Giao Thủy, Nam Định</t>
  </si>
  <si>
    <t>0988209847</t>
  </si>
  <si>
    <t>CG02862</t>
  </si>
  <si>
    <t>Nguyễn Thế Huân (DDTTTB) 034055005258 0982046190</t>
  </si>
  <si>
    <t>0982046190</t>
  </si>
  <si>
    <t>CG02863</t>
  </si>
  <si>
    <t>Nguyễn Lương Linh (BLDHQB) 194265004 0905837540</t>
  </si>
  <si>
    <t>CG02864</t>
  </si>
  <si>
    <t>Phạm Xuân Ngành (BNDHQB) 194035676 0963454818</t>
  </si>
  <si>
    <t>0963454818</t>
  </si>
  <si>
    <t>CG02865</t>
  </si>
  <si>
    <t>Công ty TNHH sản xuất và thương mại đồ gỗ Thi Thắng (YPBN) Thắng 0384999668</t>
  </si>
  <si>
    <t>2301017191</t>
  </si>
  <si>
    <t>0384999668</t>
  </si>
  <si>
    <t>CG02866</t>
  </si>
  <si>
    <t>Vũ Văn Tiệp (KTHP) 031189326 0904390508</t>
  </si>
  <si>
    <t>Nghĩa Hòa, Kiến Thụy, Hải Phòng</t>
  </si>
  <si>
    <t>0904390508</t>
  </si>
  <si>
    <t>CG02867</t>
  </si>
  <si>
    <t>Nguyễn Thành Tiến (QLNA) 186882190 0986577522</t>
  </si>
  <si>
    <t>Quỳnh Hưng, Quỳnh Lưu, Nghệ An</t>
  </si>
  <si>
    <t>0986577522</t>
  </si>
  <si>
    <t>CG02868</t>
  </si>
  <si>
    <t>Lê Thị Nga (TSDLNA) 182237638 0394418896</t>
  </si>
  <si>
    <t>0394418896</t>
  </si>
  <si>
    <t>CG02869</t>
  </si>
  <si>
    <t>Nguyễn Thị Hường (DNTSBN) 017267695 0967023709</t>
  </si>
  <si>
    <t>0967023709</t>
  </si>
  <si>
    <t>CG02870</t>
  </si>
  <si>
    <t>Đàm Quyết Thắng (TTIHN) 1082016060 0387448843</t>
  </si>
  <si>
    <t>Quất Động, Thường Tín, Hà Nội</t>
  </si>
  <si>
    <t>0387448843</t>
  </si>
  <si>
    <t>CG02871</t>
  </si>
  <si>
    <t>Hoàng Văn Hậu (GLHN) 013475232 0942970042</t>
  </si>
  <si>
    <t>Kiêu Kị, Gia Lâm, Hà Nội</t>
  </si>
  <si>
    <t>0942970042</t>
  </si>
  <si>
    <t>CG02872</t>
  </si>
  <si>
    <t>Nguyễn Thị Điển (HHTB) 150976035 0395975952</t>
  </si>
  <si>
    <t>Liên Hiệp, Hưng Hà, Thái Bình</t>
  </si>
  <si>
    <t>0395975952</t>
  </si>
  <si>
    <t>CG02873</t>
  </si>
  <si>
    <t>Đặng Xuân Dao (HVHHND) 162346953 0946468663</t>
  </si>
  <si>
    <t>0946468663</t>
  </si>
  <si>
    <t>CG02874</t>
  </si>
  <si>
    <t>Nguyễn Chí Thông (TYCMHN) 001082028107 0904339707</t>
  </si>
  <si>
    <t>0904339707</t>
  </si>
  <si>
    <t>CG02875</t>
  </si>
  <si>
    <t>Phạm Văn Độ (HTHHND) 036065003488 0914846712</t>
  </si>
  <si>
    <t>0914846712</t>
  </si>
  <si>
    <t>CG02876</t>
  </si>
  <si>
    <t>Lê Xuân Hồi (MLVTTB) 034065004775 0918046828</t>
  </si>
  <si>
    <t>0918046828</t>
  </si>
  <si>
    <t>CG02877</t>
  </si>
  <si>
    <t>Vũ Đình Thạch (TDTNND) 036090000830 0387303046</t>
  </si>
  <si>
    <t>0387303046</t>
  </si>
  <si>
    <t>CG02878</t>
  </si>
  <si>
    <t>Lê Ngọc Chiến (TLTTTB) 034066001168 0967743134</t>
  </si>
  <si>
    <t>Thụy Lương, Thái Thụy, Thái Bình</t>
  </si>
  <si>
    <t>0967743134</t>
  </si>
  <si>
    <t>CG02879</t>
  </si>
  <si>
    <t>Trần Ngọc Sâm (TPBN) 125137072 0915190306</t>
  </si>
  <si>
    <t>Ninh Xá, TP. Bắc Ninh</t>
  </si>
  <si>
    <t>0915190306</t>
  </si>
  <si>
    <t>CG02880</t>
  </si>
  <si>
    <t>Dương Văn San (KBHNA) 168039633 0903488084</t>
  </si>
  <si>
    <t>Văn Xá, Kim Bảng, Hà Nam</t>
  </si>
  <si>
    <t>0903488084</t>
  </si>
  <si>
    <t>CG02881</t>
  </si>
  <si>
    <t>Cao Anh Bình (TLHP) 031087005646 0963222979</t>
  </si>
  <si>
    <t>Tiên Thắng, Tiên Lãng, Hải Phòng</t>
  </si>
  <si>
    <t>0963222979</t>
  </si>
  <si>
    <t>CG02882</t>
  </si>
  <si>
    <t>Dương Thế Sơn (KSKAHT) 183517332 0901740660</t>
  </si>
  <si>
    <t>Kỳ Sơn, Kỳ Anh, Hà Tĩnh</t>
  </si>
  <si>
    <t>0901740660</t>
  </si>
  <si>
    <t>CG02883</t>
  </si>
  <si>
    <t>Phạm Xuân Trường (TLBVHN) 001080007215 0368888880</t>
  </si>
  <si>
    <t>Tản Lĩnh, Ba Vì, Hà Nội</t>
  </si>
  <si>
    <t>CG02884</t>
  </si>
  <si>
    <t>Nguyễn Thị Hạnh (DTQOHN) 001187018116 0986727081</t>
  </si>
  <si>
    <t>Đại Thành, Quốc Oai, Hà Nội</t>
  </si>
  <si>
    <t>0986727081</t>
  </si>
  <si>
    <t>CG02885</t>
  </si>
  <si>
    <t>Doanh Nghiệp Tư Nhân Vĩnh Cửu (YNYYND) Thành 0912432388</t>
  </si>
  <si>
    <t>0600311776</t>
  </si>
  <si>
    <t>CG02886</t>
  </si>
  <si>
    <t>Vũ Văn Thế (CMPXHN) 001090014984 0985550974</t>
  </si>
  <si>
    <t>Chuyên Mỹ, Phú Xuyên, Hà Nội</t>
  </si>
  <si>
    <t>0985550974</t>
  </si>
  <si>
    <t>CG02887</t>
  </si>
  <si>
    <t>Nguyễn Sỹ Dũng (KQKTHP) 031227176 0963854372</t>
  </si>
  <si>
    <t>0963854372</t>
  </si>
  <si>
    <t>CG02888</t>
  </si>
  <si>
    <t>Nguyễn Trương Bào (TPBG) 121692878 0334283619</t>
  </si>
  <si>
    <t>Thọ Xương, TP. Bắc Giang</t>
  </si>
  <si>
    <t>0334283619</t>
  </si>
  <si>
    <t>CG02889</t>
  </si>
  <si>
    <t>Vũ Thị Thu (KAHP) 142458533 0979656730</t>
  </si>
  <si>
    <t>Tam Kỳ, Kim Thành, Hải Dương</t>
  </si>
  <si>
    <t>0979656730</t>
  </si>
  <si>
    <t>CG02890</t>
  </si>
  <si>
    <t>Nguyễn Văn Tưởng (HSHHND) 036089001858 0395224938</t>
  </si>
  <si>
    <t>0395224938</t>
  </si>
  <si>
    <t>CG02891</t>
  </si>
  <si>
    <t>Công ty TNHH Trọng Minh (DAHN) Thảo 0974358668</t>
  </si>
  <si>
    <t>0974358668</t>
  </si>
  <si>
    <t>CG02892</t>
  </si>
  <si>
    <t>Thích Minh Thuận (TTBN) 001077000809 0914797867</t>
  </si>
  <si>
    <t>0914797867</t>
  </si>
  <si>
    <t>CG02893</t>
  </si>
  <si>
    <t>Nguyễn Đức Thiện (VAVBHP) 031087009453 0947296452</t>
  </si>
  <si>
    <t>0947296452</t>
  </si>
  <si>
    <t>CG02894</t>
  </si>
  <si>
    <t>Công Ty TNHH Nam Hóa (BTQB) Hóa 0912249664</t>
  </si>
  <si>
    <t>Đại Trạch, Bố Trạch, Quảng Bình</t>
  </si>
  <si>
    <t>3100386377</t>
  </si>
  <si>
    <t>0912249664</t>
  </si>
  <si>
    <t>CG02895</t>
  </si>
  <si>
    <t>Nguyễn Bá Dần (NTTH) 038078005927 0915989497</t>
  </si>
  <si>
    <t>Phú Nhuận, Như Thanh, Thanh Hóa</t>
  </si>
  <si>
    <t>0915989497</t>
  </si>
  <si>
    <t>CG02896</t>
  </si>
  <si>
    <t>Lê Văn Hùng (VAVBHP) 031830789 0941407622</t>
  </si>
  <si>
    <t>0941407622</t>
  </si>
  <si>
    <t>CG02897</t>
  </si>
  <si>
    <t>Trịnh Văn Phong (PLHLTH) 172068876 0978145298</t>
  </si>
  <si>
    <t>Phong Lộc, Hậu Lộc, Thanh Hóa</t>
  </si>
  <si>
    <t>0978145298</t>
  </si>
  <si>
    <t>CG02898</t>
  </si>
  <si>
    <t>Vũ Thị Nguyệt (YNYYND) 164668087 0961968135</t>
  </si>
  <si>
    <t>0961968135</t>
  </si>
  <si>
    <t>CG02899</t>
  </si>
  <si>
    <t>Trần Văn Vĩnh (TTTTTB) 151309514 0982466408</t>
  </si>
  <si>
    <t>Thái Thượng, Thái Thụy, Thái Bình</t>
  </si>
  <si>
    <t>0982466408</t>
  </si>
  <si>
    <t>CG02900</t>
  </si>
  <si>
    <t>Đinh Văn Lĩnh (NLMHHY) 145208639 0982253520</t>
  </si>
  <si>
    <t>Ngọc Lâm, Mỹ Hào, Hưng Yên</t>
  </si>
  <si>
    <t>0982253520</t>
  </si>
  <si>
    <t>CG02901</t>
  </si>
  <si>
    <t>Nguyễn Thủy (NTNDNA) 181412524 0916414430</t>
  </si>
  <si>
    <t>Nam Thái, Nam Đàn, Nghệ An</t>
  </si>
  <si>
    <t>0916414430</t>
  </si>
  <si>
    <t>CG02902</t>
  </si>
  <si>
    <t>Võ Thị Sương (NDNA) 186295778 0362656199</t>
  </si>
  <si>
    <t>Thị Trấn Nam Đàn, Nghệ An</t>
  </si>
  <si>
    <t>0362656199</t>
  </si>
  <si>
    <t>CG02903</t>
  </si>
  <si>
    <t>Công ty TNHH Minh Tuấn (LTBTQB) Bích 0919731368</t>
  </si>
  <si>
    <t>Lý Trạch, Bố Trạch, Quảng Bình</t>
  </si>
  <si>
    <t>3100364334</t>
  </si>
  <si>
    <t>0919731368</t>
  </si>
  <si>
    <t>CG02904</t>
  </si>
  <si>
    <t>Võ Quang Hải (YSDLNA) 180704415 0981084458</t>
  </si>
  <si>
    <t>0981084458</t>
  </si>
  <si>
    <t>CG02905</t>
  </si>
  <si>
    <t>Vũ Hồng Nguyên (TPLS) 001097015712 0989151213</t>
  </si>
  <si>
    <t>Phai Vệ, Đông Kinh, Lạng Sơn</t>
  </si>
  <si>
    <t>0989151213</t>
  </si>
  <si>
    <t>CG02906</t>
  </si>
  <si>
    <t>Đỗ Xuân Thành (TPNB) 037076001714 0913044923</t>
  </si>
  <si>
    <t>Ninh Phong, TP. Ninh Bình</t>
  </si>
  <si>
    <t>0913044923</t>
  </si>
  <si>
    <t>CG02907</t>
  </si>
  <si>
    <t>Đinh Văn Thắng (VTTTIHN) 00109210025 0392249999</t>
  </si>
  <si>
    <t>0392249999</t>
  </si>
  <si>
    <t>CG02908</t>
  </si>
  <si>
    <t>Lê Bá Tuấn (HHTH) 171843954 0977972691</t>
  </si>
  <si>
    <t>Hoàng Thành, Hoằng Hóa, Thanh Hóa</t>
  </si>
  <si>
    <t>0977972691</t>
  </si>
  <si>
    <t>CG02909</t>
  </si>
  <si>
    <t>Dương Văn Tâm (BXTLVP) 026064002977 0912065362</t>
  </si>
  <si>
    <t>0912065362</t>
  </si>
  <si>
    <t>CG02910</t>
  </si>
  <si>
    <t>Ronmi (TPHN) 0855019595</t>
  </si>
  <si>
    <t>0855019595</t>
  </si>
  <si>
    <t>CG02911</t>
  </si>
  <si>
    <t>Lê Văn Đức (TPQB) 044075000561 0973057087</t>
  </si>
  <si>
    <t>Nghĩa Ninh, Đồng Hới, Quảng Bình</t>
  </si>
  <si>
    <t>0973057087</t>
  </si>
  <si>
    <t>CG02912</t>
  </si>
  <si>
    <t>Nguyễn Văn Thái (TPBG) 121692896 0976409028</t>
  </si>
  <si>
    <t>0976409028</t>
  </si>
  <si>
    <t>CG02913</t>
  </si>
  <si>
    <t>Hà Thành (TPHN) 0976324816</t>
  </si>
  <si>
    <t>0976324816</t>
  </si>
  <si>
    <t>CG02914</t>
  </si>
  <si>
    <t>Trung (Trang Hà) 0379416666</t>
  </si>
  <si>
    <t>0379416666</t>
  </si>
  <si>
    <t>CG02915</t>
  </si>
  <si>
    <t>Nguyễn Văn Tuấn (HXHHND) 036070003687 0971334899</t>
  </si>
  <si>
    <t>0971334899</t>
  </si>
  <si>
    <t>CG02916</t>
  </si>
  <si>
    <t>Vũ Đình Thạch (TDTNND) 036090000830 0979101622</t>
  </si>
  <si>
    <t>0979101622</t>
  </si>
  <si>
    <t>CG02917</t>
  </si>
  <si>
    <t>Lê Bá Sơn (MLNTTH) 038087007131 0972729223</t>
  </si>
  <si>
    <t>Mậu Lâm, Như Thanh, Thanh Hóa</t>
  </si>
  <si>
    <t>0972729223</t>
  </si>
  <si>
    <t>CG02918</t>
  </si>
  <si>
    <t>Nguyễn Đình Năng (QTNSHD) 142038900 0989983343</t>
  </si>
  <si>
    <t>Quốc Tuấn, Nam Sách, Hải Dương</t>
  </si>
  <si>
    <t>0989983343</t>
  </si>
  <si>
    <t>CG02919</t>
  </si>
  <si>
    <t>Nguyễn Văn Đông (YDYYND) 036071004733 0948501233</t>
  </si>
  <si>
    <t>CG02920</t>
  </si>
  <si>
    <t>Nguyễn Huy Kính (NHNSHD) 030077004315 0387103836</t>
  </si>
  <si>
    <t>Nam Hưng, Nam Sách, Hải Dương</t>
  </si>
  <si>
    <t>0387103836</t>
  </si>
  <si>
    <t>CG02921</t>
  </si>
  <si>
    <t>Bùi Văn Sơn (KSGLHN) 001091021035 0984200291</t>
  </si>
  <si>
    <t>0984200291</t>
  </si>
  <si>
    <t>CG02922</t>
  </si>
  <si>
    <t>Lương Xuân Sáu (TLVBHP) 031083001284 0963112586</t>
  </si>
  <si>
    <t>Thanh Lương, Vĩnh Bảo, Hải Phòng</t>
  </si>
  <si>
    <t>0963112586</t>
  </si>
  <si>
    <t>CG02923</t>
  </si>
  <si>
    <t>Nguyễn Văn Hà (KHTTIHN) 001086017584 0976648191</t>
  </si>
  <si>
    <t>Khánh Hà, Thường Tín, Hà Nội</t>
  </si>
  <si>
    <t>0976648191</t>
  </si>
  <si>
    <t>CG02924</t>
  </si>
  <si>
    <t>Phạm Sơn Tùng (NSKAHP) 031085009472 0911475657</t>
  </si>
  <si>
    <t>0911475657</t>
  </si>
  <si>
    <t>CG02925</t>
  </si>
  <si>
    <t>Nguyễn Văn Hòa (VTTTIHN) 111979039 0366149988</t>
  </si>
  <si>
    <t>0366149988</t>
  </si>
  <si>
    <t>CG02926</t>
  </si>
  <si>
    <t>Lê Xuân Quang (TPTN) 090644065 0973518999</t>
  </si>
  <si>
    <t>Phan Đình Phùng, TP. Thái Nguyên</t>
  </si>
  <si>
    <t>0973518999</t>
  </si>
  <si>
    <t>CG02927</t>
  </si>
  <si>
    <t>Nguyễn Trung Toàn (NGTXTH) 1722384214 0914170868</t>
  </si>
  <si>
    <t>0914170868</t>
  </si>
  <si>
    <t>CG02928</t>
  </si>
  <si>
    <t>Nguyễn Văn Thường (SDSTHN) 112497475 0904259999</t>
  </si>
  <si>
    <t>Sơn Đông, Sơn Tây, Hà Nội</t>
  </si>
  <si>
    <t>0904259999</t>
  </si>
  <si>
    <t>CG02929</t>
  </si>
  <si>
    <t>Phạm Văn Nghĩa (LBKDHY) 033085002591 0945078885</t>
  </si>
  <si>
    <t>Lương Bằng, Kim Động, Hưng Yên</t>
  </si>
  <si>
    <t>0945078885</t>
  </si>
  <si>
    <t>CG02930</t>
  </si>
  <si>
    <t>Chu Văn Ân (PXTTHN) 111781339 0968054992</t>
  </si>
  <si>
    <t>0968054992</t>
  </si>
  <si>
    <t>CG02931</t>
  </si>
  <si>
    <t>Lưu Văn Thực (TLBXVP) Sự 026099003511 0813207999</t>
  </si>
  <si>
    <t>Thanh Lãng, Bĩnh Xuyên, Vĩnh Phúc</t>
  </si>
  <si>
    <t>0813207999</t>
  </si>
  <si>
    <t>CG02932</t>
  </si>
  <si>
    <t>Nguyễn Văn Điệp (DXQVBN) 125440764 0977060130</t>
  </si>
  <si>
    <t>Đại Xuân, Quế Võ, Bắc Ninh</t>
  </si>
  <si>
    <t>0977060130</t>
  </si>
  <si>
    <t>CG02933</t>
  </si>
  <si>
    <t>Hoàng Đức Sinh (LHDAHN) 1088003084 0974051230</t>
  </si>
  <si>
    <t>0974051230</t>
  </si>
  <si>
    <t>CG02934</t>
  </si>
  <si>
    <t>Hà Văn Thông (VTHNA) 168095789 0982358618</t>
  </si>
  <si>
    <t>Nhân Khang, Lý Nhân, Hà Nam</t>
  </si>
  <si>
    <t>0982358618</t>
  </si>
  <si>
    <t>CG02935</t>
  </si>
  <si>
    <t>Vương Thị Hương (ATVTVP) 026186000164 0346839745</t>
  </si>
  <si>
    <t>0346839745</t>
  </si>
  <si>
    <t>CG02936</t>
  </si>
  <si>
    <t>Nguyễn Văn Đồng (NTCLNA) 112497475 0336789234</t>
  </si>
  <si>
    <t>Nghi Thủy, Cửa Lò, Nghệ An</t>
  </si>
  <si>
    <t>0336789234</t>
  </si>
  <si>
    <t>CG02937</t>
  </si>
  <si>
    <t>Nguyễn Văn Ích (CHQYQN) 100472329 0912524244</t>
  </si>
  <si>
    <t>Cộng Hòa, Quảng Yên, Quảng Ninh</t>
  </si>
  <si>
    <t>0912524244</t>
  </si>
  <si>
    <t>CG02938</t>
  </si>
  <si>
    <t>Công ty TNHH Bá Phong (LTBTQB) 0979078487</t>
  </si>
  <si>
    <t>3100707447</t>
  </si>
  <si>
    <t>0979078487</t>
  </si>
  <si>
    <t>CG02939</t>
  </si>
  <si>
    <t>Ninh Văn Cương (YNYYND) 162842245 0857018888</t>
  </si>
  <si>
    <t>0857018888</t>
  </si>
  <si>
    <t>CG02940</t>
  </si>
  <si>
    <t>0968684512</t>
  </si>
  <si>
    <t>CG02941</t>
  </si>
  <si>
    <t xml:space="preserve">Công ty TNHH xây dựng và vận tải HN68 (TOHN) Nghĩa 0987629988 </t>
  </si>
  <si>
    <t>Đỗ Động, Thanh Oai, Hà Nội.</t>
  </si>
  <si>
    <t>0109095987</t>
  </si>
  <si>
    <t xml:space="preserve">0987629988 </t>
  </si>
  <si>
    <t>CG02942</t>
  </si>
  <si>
    <t>Nguyễn Văn Thuận (TKHD) 112497475 0869935888</t>
  </si>
  <si>
    <t>An Nhiên, Tứ Kỳ, Hải Dương</t>
  </si>
  <si>
    <t>0869935888</t>
  </si>
  <si>
    <t>CG02943</t>
  </si>
  <si>
    <t>Dương Thế Sơn (KSKAHT) 183517332 0968119111</t>
  </si>
  <si>
    <t>Ký Sơn, Kỳ Anh, Hà Tĩnh</t>
  </si>
  <si>
    <t>0968119111</t>
  </si>
  <si>
    <t>CG02944</t>
  </si>
  <si>
    <t>Trần Tiến Dũng (TPNB) 164262682 0912034595</t>
  </si>
  <si>
    <t>Phúc Thành, TP. Ninh Bình</t>
  </si>
  <si>
    <t>0912034595</t>
  </si>
  <si>
    <t>CG02945</t>
  </si>
  <si>
    <t>Cao Quốc Công (TTRIHN) 001071000112 0904719308</t>
  </si>
  <si>
    <t>Tam Trinh, Hoàng Mai, Hà Nội</t>
  </si>
  <si>
    <t>0904719308</t>
  </si>
  <si>
    <t>CG02946</t>
  </si>
  <si>
    <t>Hoàng Văn Hệ (YBYYND) 036073001372 0835460173</t>
  </si>
  <si>
    <t>Yên Bình, Ý Yên, Nam Định</t>
  </si>
  <si>
    <t>0835460173</t>
  </si>
  <si>
    <t>CG02947</t>
  </si>
  <si>
    <t>Nguyễn Văn Thuận (ATVTVP) 026072001502 0947988568</t>
  </si>
  <si>
    <t>0947988568</t>
  </si>
  <si>
    <t>CG02948</t>
  </si>
  <si>
    <t>Hoàng Anh Dũng (LHDAHN) 001076006448 0968685319</t>
  </si>
  <si>
    <t>0968685319</t>
  </si>
  <si>
    <t>CG02949</t>
  </si>
  <si>
    <t>Công ty TNHH Hải Đăng (UHHN) Thành 0948223234</t>
  </si>
  <si>
    <t>Đồng Hóa, Kim Bảng, Hà Nam.</t>
  </si>
  <si>
    <t>0700225471</t>
  </si>
  <si>
    <t>0948223234</t>
  </si>
  <si>
    <t>CG02950</t>
  </si>
  <si>
    <t>La Xuân Quang (XCHHBG) 024078000052 0966567777</t>
  </si>
  <si>
    <t>Xuân Cẩm, Hiệp Hòa, Bắc Giang</t>
  </si>
  <si>
    <t>0966567777</t>
  </si>
  <si>
    <t>CG02951</t>
  </si>
  <si>
    <t>Lê Đình Nhân (DHTKHD) 112722187 0972775203</t>
  </si>
  <si>
    <t>0972775203</t>
  </si>
  <si>
    <t>CG02952</t>
  </si>
  <si>
    <t>Lê Thị Oanh (TVTSTH) 173600759 0914309604</t>
  </si>
  <si>
    <t>0914309604</t>
  </si>
  <si>
    <t>CG02953</t>
  </si>
  <si>
    <t>Nguyễn Văn Trường (QDQTQB) 30076005408 0941898699</t>
  </si>
  <si>
    <t>Quảng Đông, Quảng Trạch, Quảng Bình</t>
  </si>
  <si>
    <t>0941898699</t>
  </si>
  <si>
    <t>CG02954</t>
  </si>
  <si>
    <t>Nguyễn Mạnh Hải (NHDSHP) 31083003311 0936393999</t>
  </si>
  <si>
    <t>0936393999</t>
  </si>
  <si>
    <t>CG02955</t>
  </si>
  <si>
    <t>Ngô Văn Hùng (HAHHBG) 121296054 0972171279</t>
  </si>
  <si>
    <t>Hoàng An, Hiệp Hòa, Bắc Giang</t>
  </si>
  <si>
    <t>0972171279</t>
  </si>
  <si>
    <t>CG02956</t>
  </si>
  <si>
    <t>Trương Văn Sơn (KKGLHN) 035076001287 0915315923</t>
  </si>
  <si>
    <t>Kiêu Kỵ, Gia Lâm, Hà Nội</t>
  </si>
  <si>
    <t>0915315923</t>
  </si>
  <si>
    <t>CG02957</t>
  </si>
  <si>
    <t>Lê Bá Chung (NCTH) 173337345 0386755078</t>
  </si>
  <si>
    <t>0386755078</t>
  </si>
  <si>
    <t>CG02958</t>
  </si>
  <si>
    <t xml:space="preserve">Công ty TNHH Xây Dựng Thành Nam (VBND) Vinh 0828999686 </t>
  </si>
  <si>
    <t>Cộng Hòa, Vụ Bản, Nam Định</t>
  </si>
  <si>
    <t>0600312032</t>
  </si>
  <si>
    <t xml:space="preserve">0828999686 </t>
  </si>
  <si>
    <t>CG02959</t>
  </si>
  <si>
    <t>Trần Đình Quang (TDTNND) 162619620 0988608714</t>
  </si>
  <si>
    <t>0988608714</t>
  </si>
  <si>
    <t>CG02960</t>
  </si>
  <si>
    <t>Nguyễn Văn Dương (TNXHP) 031090007355 0983968363</t>
  </si>
  <si>
    <t>0983968363</t>
  </si>
  <si>
    <t>CG02961</t>
  </si>
  <si>
    <t>Đinh Văn Chất (NTNHND) 036094000699 0974438561</t>
  </si>
  <si>
    <t>Nghĩa Trung, Nghĩa Hưng, Nam Định</t>
  </si>
  <si>
    <t>0974438561</t>
  </si>
  <si>
    <t>CG02962</t>
  </si>
  <si>
    <t>Vũ Văn Tỵ (CNTTHN) 1088003129 0977783868</t>
  </si>
  <si>
    <t>0977783868</t>
  </si>
  <si>
    <t>CG02963</t>
  </si>
  <si>
    <t>Ninh Khắc Thắng (YNYYND) 162081646 0986709855</t>
  </si>
  <si>
    <t>0986709855</t>
  </si>
  <si>
    <t>CG02964</t>
  </si>
  <si>
    <t>Công ty CP SXTM WAF Quang Huy (VTTTIHN) Sửa 0984235896</t>
  </si>
  <si>
    <t>0109141954</t>
  </si>
  <si>
    <t>0984235896</t>
  </si>
  <si>
    <t>CG02965</t>
  </si>
  <si>
    <t>Nguyễn Việt Hùng (KTYKNB) 112497475 0985850169</t>
  </si>
  <si>
    <t>Khánh Trung, Yên Khánh, Ninh Bình.</t>
  </si>
  <si>
    <t>0985850169</t>
  </si>
  <si>
    <t>CG02966</t>
  </si>
  <si>
    <t>Ngô Mạnh Cường (CPHB) 113022542 0914242424</t>
  </si>
  <si>
    <t>Thị Trấn Cao Phong, TP. Hòa Bình</t>
  </si>
  <si>
    <t>0914242424</t>
  </si>
  <si>
    <t>CG02967</t>
  </si>
  <si>
    <t>Bùi Đức Trọng (PTPTHN) 111972691 0912032258</t>
  </si>
  <si>
    <t>Phụng Thượng, Phúc Thọ, Hà Nội</t>
  </si>
  <si>
    <t>0912032258</t>
  </si>
  <si>
    <t>CG02968</t>
  </si>
  <si>
    <t>Phương kho (MDHP) 0966831229</t>
  </si>
  <si>
    <t>0966831229</t>
  </si>
  <si>
    <t>CG02969</t>
  </si>
  <si>
    <t>Công ty xây dựng Thủ Đô (TPTN) Minh 4600380583 0979147189</t>
  </si>
  <si>
    <t>Hóa Thượng, Đồng Hỷ, Thái Nguyên</t>
  </si>
  <si>
    <t>0979147189</t>
  </si>
  <si>
    <t>CG02970</t>
  </si>
  <si>
    <t>Nguyễn Văn Kháu (VNHP) 031057000798 0934375788</t>
  </si>
  <si>
    <t>Quán Trữ, Kiến An, Hải Phòng</t>
  </si>
  <si>
    <t>0934375788</t>
  </si>
  <si>
    <t>CG02971</t>
  </si>
  <si>
    <t>Mai Bá Tuân (CLHLTH) 038078002268 0913962601</t>
  </si>
  <si>
    <t>Châu Lộc, Hậu Lộc, Thanh Hóa</t>
  </si>
  <si>
    <t>0913962601</t>
  </si>
  <si>
    <t>CG02972</t>
  </si>
  <si>
    <t>Nguyễn Văn Duy (QTHP) 031078000926 0983944965</t>
  </si>
  <si>
    <t>Lê Thiện, An Dương, Hải Phòng</t>
  </si>
  <si>
    <t>0983944965</t>
  </si>
  <si>
    <t>CG02973</t>
  </si>
  <si>
    <t>Chu Bá Thùy (LPHHBG) 121473840 0979240558</t>
  </si>
  <si>
    <t>Lương Phong, Hiệp Hòa, Bắc Giang</t>
  </si>
  <si>
    <t>0979240558</t>
  </si>
  <si>
    <t>CG02974</t>
  </si>
  <si>
    <t>Lương Thị Tuyết Minh (LHDPHN) 012478657 0985028688</t>
  </si>
  <si>
    <t>0985028688</t>
  </si>
  <si>
    <t>CG02975</t>
  </si>
  <si>
    <t>Ngô Thị Dinh (LVTPND) 0100112437 0857143750</t>
  </si>
  <si>
    <t>Lộc Vượng, TP. Nam Định</t>
  </si>
  <si>
    <t>0857143750</t>
  </si>
  <si>
    <t>CG02976</t>
  </si>
  <si>
    <t>Phòng 2830 tầng 28 tòa G3 Khu đô thị Vinhomes Green Bay, số 7 Đại Lộ Thăng Long, P. Mễ Trì, Q. Nam Từ Liêm, TP. Hà Nội</t>
  </si>
  <si>
    <t>CG02977</t>
  </si>
  <si>
    <t>Đinh Văn Thanh (VTTTIHN) 1077018249 0961040666</t>
  </si>
  <si>
    <t>0961040666</t>
  </si>
  <si>
    <t>CG02978</t>
  </si>
  <si>
    <t>Trần Duy Hai (HHLNHNA) 168796563 0942572779</t>
  </si>
  <si>
    <t>Hòa Hậu, Lý Nhân, Hà Nam</t>
  </si>
  <si>
    <t>0942572779</t>
  </si>
  <si>
    <t>CG02979</t>
  </si>
  <si>
    <t>Nguyễn Văn Trung (VPNGHD) 030088000714 0968177236</t>
  </si>
  <si>
    <t>Vạn Phúc, Ninh Giang, Hải Dương</t>
  </si>
  <si>
    <t>0968177236</t>
  </si>
  <si>
    <t>CG02980</t>
  </si>
  <si>
    <t>Phạm Thị Ngọc (MDVYBG) 121771042 0981078909</t>
  </si>
  <si>
    <t>Minh Đức, Việt Yên, Bắc Giang</t>
  </si>
  <si>
    <t>0981078909</t>
  </si>
  <si>
    <t>CG02981</t>
  </si>
  <si>
    <t>Bùi Văn Trường (TDTNND) 112497475 0348485854</t>
  </si>
  <si>
    <t>0348485854</t>
  </si>
  <si>
    <t>CG02982</t>
  </si>
  <si>
    <t>Hoàng Văn Bộ (NSHD) 122018486 0813333479</t>
  </si>
  <si>
    <t>0813333479</t>
  </si>
  <si>
    <t>CG02983</t>
  </si>
  <si>
    <t>Lê Văn Giáp (QTQXTH) 172140241 0981901999</t>
  </si>
  <si>
    <t>Quảng Thọ, Quảng Xương, Thanh Hóa</t>
  </si>
  <si>
    <t>0981901999</t>
  </si>
  <si>
    <t>CG02984</t>
  </si>
  <si>
    <t>Bùi Ngọc Lâm (XTXTND) 162024323 0347741362 0975830393</t>
  </si>
  <si>
    <t>0975830393</t>
  </si>
  <si>
    <t>CG02985</t>
  </si>
  <si>
    <t>Vũ Thế Quang (TPHP) 031218055 0917316695</t>
  </si>
  <si>
    <t>0917316695</t>
  </si>
  <si>
    <t>CG02986</t>
  </si>
  <si>
    <t>Tạ Đình Thau (VLLTPT) 131178081 0941465125</t>
  </si>
  <si>
    <t>Vĩnh Lai, Lâm Thao, Phú Thọ</t>
  </si>
  <si>
    <t>0941465125</t>
  </si>
  <si>
    <t>CG02987</t>
  </si>
  <si>
    <t>Công ty TNHH kinh doanh XNK Gỗ Trường Thành (DAHN) Tùng 0944736999</t>
  </si>
  <si>
    <t>0107732398</t>
  </si>
  <si>
    <t>0944736999</t>
  </si>
  <si>
    <t>CG02988</t>
  </si>
  <si>
    <t>Nguyễn Đình Cường (HDNGHD) 112974475 0974231279</t>
  </si>
  <si>
    <t>Hồng Dụ, Ninh Giang, Hải Dương</t>
  </si>
  <si>
    <t>0974231279</t>
  </si>
  <si>
    <t>CG02989</t>
  </si>
  <si>
    <t>Nguyễn Văn Thái (NTKBHNA) 035094001944 0975377235</t>
  </si>
  <si>
    <t>0975377235</t>
  </si>
  <si>
    <t>CG02990</t>
  </si>
  <si>
    <t>Nguyễn Tiến Đạt (DDDHTB) 034072006591 0912344479</t>
  </si>
  <si>
    <t>Đông Động, Đông Hưng, Thái Bình</t>
  </si>
  <si>
    <t>0912344479</t>
  </si>
  <si>
    <t>CG02991</t>
  </si>
  <si>
    <t>Hoàng Đức Luân (NKNB) 164191852 0913696233</t>
  </si>
  <si>
    <t>Ninh Khánh, TP. Ninh Bình</t>
  </si>
  <si>
    <t>0913696233</t>
  </si>
  <si>
    <t>CG02992</t>
  </si>
  <si>
    <t>Hoàng Văn Sự (HAHHND) 36081001671 0978357685</t>
  </si>
  <si>
    <t>0978357685</t>
  </si>
  <si>
    <t>CG02993</t>
  </si>
  <si>
    <t>Bùi Xuân Đạt (AHADHP) 031077003063 0936158383</t>
  </si>
  <si>
    <t>An Hồng, An Dương, Hải Phòng</t>
  </si>
  <si>
    <t>0936158383</t>
  </si>
  <si>
    <t>CG02994</t>
  </si>
  <si>
    <t>Mạc Thị Hải Yến (TMHB) 113205302 0946287575</t>
  </si>
  <si>
    <t>Xóm Trung, Trung Minh, Hòa Bình</t>
  </si>
  <si>
    <t>0946287575</t>
  </si>
  <si>
    <t>CG02995</t>
  </si>
  <si>
    <t>Công ty CP Cơ Khí Ngọc Bút (XTXTND) Bút 0912283298</t>
  </si>
  <si>
    <t>Xuân Tiến, Xuân Trường, Nam Định</t>
  </si>
  <si>
    <t>0600777694</t>
  </si>
  <si>
    <t>0912283298</t>
  </si>
  <si>
    <t>CG02996</t>
  </si>
  <si>
    <t>Nguyễn Văn Hưng (TPHD) 030074006659 0919486766</t>
  </si>
  <si>
    <t>Tân Bình, TP. Hải Dương</t>
  </si>
  <si>
    <t>0919486766</t>
  </si>
  <si>
    <t>CG02997</t>
  </si>
  <si>
    <t>Phạm Tiến Thảo (ADDKHP) 01701301598 0961025678</t>
  </si>
  <si>
    <t>Anh Dũng, Dương Kinh, Hải Phòng</t>
  </si>
  <si>
    <t>0961025678</t>
  </si>
  <si>
    <t>CG02998</t>
  </si>
  <si>
    <t>Hoàng Quốc Lập (QMQLNA) 0978753872 186046736</t>
  </si>
  <si>
    <t>Quỳnh Mỹ, Quỳnh Lưu, Nghệ An</t>
  </si>
  <si>
    <t>0978753872</t>
  </si>
  <si>
    <t>CG02999</t>
  </si>
  <si>
    <t>Nguyễn Đức Khiếu (MDALHP) 031063003622 0889731073</t>
  </si>
  <si>
    <t>Mỹ Đức, An Lão, Hải Phòng</t>
  </si>
  <si>
    <t>0889731073</t>
  </si>
  <si>
    <t>CG03000</t>
  </si>
  <si>
    <t>Hà Văn Tiến (TLBVHN) 601054264 0338099998</t>
  </si>
  <si>
    <t>0338099998</t>
  </si>
  <si>
    <t>CG03001</t>
  </si>
  <si>
    <t>Nguyễn Văn Thành (TLBXVP) 135463458 0989364133</t>
  </si>
  <si>
    <t>0989364133</t>
  </si>
  <si>
    <t>CG03002</t>
  </si>
  <si>
    <t>Nguyễn Bá Việt (TPBG) 112407633 0989748870</t>
  </si>
  <si>
    <t>TP. Bắc Giang</t>
  </si>
  <si>
    <t>0989748870</t>
  </si>
  <si>
    <t>CG03003</t>
  </si>
  <si>
    <t>Nguyễn Vũ Tuấn (VTTTIHN) 230584195 0974752570</t>
  </si>
  <si>
    <t>0974752570</t>
  </si>
  <si>
    <t>CG03004</t>
  </si>
  <si>
    <t>Nguyễn Tuấn Năm (DNTTHN) 1071007829 0987381582</t>
  </si>
  <si>
    <t>Dị Nậu, Thạch Thất, Hà Nội</t>
  </si>
  <si>
    <t>0987381582</t>
  </si>
  <si>
    <t>CG03005</t>
  </si>
  <si>
    <t>Hoàng Văn Trung (DHTB) 0190120135 0965687888</t>
  </si>
  <si>
    <t>Thị Trấn Đông Hưng, Thái Bình</t>
  </si>
  <si>
    <t>0965687888</t>
  </si>
  <si>
    <t>CG03006</t>
  </si>
  <si>
    <t>Vương Duy Hải (HNTTHN) 001085025267 0968548096</t>
  </si>
  <si>
    <t>Hương Ngải, Thạch Thất, Hà Nội</t>
  </si>
  <si>
    <t>0968548096</t>
  </si>
  <si>
    <t>CG03007</t>
  </si>
  <si>
    <t>Nguyễn Đắc Mạnh (HMTSBN) 025468720 0913096849</t>
  </si>
  <si>
    <t>Hương Mọc, Từ Sơn, Bắc Ninh</t>
  </si>
  <si>
    <t>0913096849</t>
  </si>
  <si>
    <t>CG03008</t>
  </si>
  <si>
    <t>Vũ Văn Tiên (NXVTTB) 151466468 0985794146</t>
  </si>
  <si>
    <t>Nguyên Xá, Vũ Thư, Thái Bình</t>
  </si>
  <si>
    <t>0985794146</t>
  </si>
  <si>
    <t>CG03009</t>
  </si>
  <si>
    <t>Nguyễn Đức Luyện (YDYYND) 162438582 0978558984</t>
  </si>
  <si>
    <t>Yên Dương, Ý Yên, Nam Định</t>
  </si>
  <si>
    <t>0978558984</t>
  </si>
  <si>
    <t>CG03010</t>
  </si>
  <si>
    <t>Trần Văn Lợi (VATPBN) 125007593 0915174269</t>
  </si>
  <si>
    <t>Vạn An, TP. Bắc Ninh</t>
  </si>
  <si>
    <t>0915174269</t>
  </si>
  <si>
    <t>CG03011</t>
  </si>
  <si>
    <t>Nguyễn Hữu Chín (BPTTHN) 001085016038 0947101229</t>
  </si>
  <si>
    <t>0947101229</t>
  </si>
  <si>
    <t>CG03012</t>
  </si>
  <si>
    <t>Bùi Thị Tuyến (TXLTPT) 131514990 0985172456</t>
  </si>
  <si>
    <t>Tứ Xã, Lâm Thao, Phú Thọ</t>
  </si>
  <si>
    <t>CG03013</t>
  </si>
  <si>
    <t>Hà Hải Đăng (KTVBND) 037095003789 0901790595</t>
  </si>
  <si>
    <t>Kim Thái, Vụ Bản, Nam Định</t>
  </si>
  <si>
    <t>0901790595</t>
  </si>
  <si>
    <t>CG03014</t>
  </si>
  <si>
    <t>Nguyễn Dương Vang (QGQXTH) 038063001401 0986274972</t>
  </si>
  <si>
    <t>Quảng Giao, Quảng Xương, Thanh Hóa</t>
  </si>
  <si>
    <t>0986274972</t>
  </si>
  <si>
    <t>CG03015</t>
  </si>
  <si>
    <t>Lê Minh Sơn (HSDLNA) 182040445 0981921056</t>
  </si>
  <si>
    <t>Hòa Sơn, Đô Lương, Nghệ An</t>
  </si>
  <si>
    <t>0981921056</t>
  </si>
  <si>
    <t>CG03016</t>
  </si>
  <si>
    <t>Đinh Văn Quân (TBTPHD) 141586188 0913255855</t>
  </si>
  <si>
    <t>0913255855</t>
  </si>
  <si>
    <t>CG03017</t>
  </si>
  <si>
    <t>Mai Xuân Hồng (KBTPTB) 150434239 0912112098</t>
  </si>
  <si>
    <t>Kỳ Bá, TP. Thái Bình</t>
  </si>
  <si>
    <t>0912112098</t>
  </si>
  <si>
    <t>CG03018</t>
  </si>
  <si>
    <t>Bùi Văn Thưởng (CHCLHD) 030077006852 0866105158</t>
  </si>
  <si>
    <t>Cộng Hòa, Chí Linh, Sao Đỏ</t>
  </si>
  <si>
    <t>0866105158</t>
  </si>
  <si>
    <t>CG03019</t>
  </si>
  <si>
    <t>Nguyễn Văn Khánh (CHHND) 163405619 0837750978</t>
  </si>
  <si>
    <t>Thị Trấn Cồn, Hải Hậu, Nam Định</t>
  </si>
  <si>
    <t>0837750978</t>
  </si>
  <si>
    <t>CG03020</t>
  </si>
  <si>
    <t>Lê Trần Việt (YDHTTH) 038069002727 0913674886</t>
  </si>
  <si>
    <t>Yên Dương, Hà Trung, Thanh Hóa</t>
  </si>
  <si>
    <t>0913674886</t>
  </si>
  <si>
    <t>CG03021</t>
  </si>
  <si>
    <t>Lê Văn Deo (THPLHNA) 035067000999 0936329628</t>
  </si>
  <si>
    <t>Tiên Hiệp, Phủ Lý, Hà Nam</t>
  </si>
  <si>
    <t>0936329628</t>
  </si>
  <si>
    <t>CG03022</t>
  </si>
  <si>
    <t>Thiều Văn Sự (TLBVHN) 135890014 0968066789</t>
  </si>
  <si>
    <t>Tân Lĩnh, Bà Vì, Hà Nội</t>
  </si>
  <si>
    <t>0968066789</t>
  </si>
  <si>
    <t>CG03023</t>
  </si>
  <si>
    <t>Trịnh Việt Dũng (NTNSTH) 038083018777 0977863636</t>
  </si>
  <si>
    <t>Nga Thanh, Nga Sơn, Thanh Hóa</t>
  </si>
  <si>
    <t>0977863636</t>
  </si>
  <si>
    <t>CG03024</t>
  </si>
  <si>
    <t>Bạch Dương (TPHN) 0912098828</t>
  </si>
  <si>
    <t>P. Minh Khai, Q. Hai Bà Trưng, TP. Hà Nội</t>
  </si>
  <si>
    <t>0912098828</t>
  </si>
  <si>
    <t>CG03025</t>
  </si>
  <si>
    <t>Phạm Văn Cường (TDTNND) 036080004697 0943884998</t>
  </si>
  <si>
    <t>0943884998</t>
  </si>
  <si>
    <t>CG03026</t>
  </si>
  <si>
    <t>Mai Xuân Vững (HVHHND) 161658707 0982779473</t>
  </si>
  <si>
    <t>0982779473</t>
  </si>
  <si>
    <t>CG03027</t>
  </si>
  <si>
    <t>Trịnh Văn Đại (HHND) 36086001544 0968024165</t>
  </si>
  <si>
    <t>CG03028</t>
  </si>
  <si>
    <t>Bùi Xuân Hòa (XTND) 162377536 0913935659</t>
  </si>
  <si>
    <t>Xuân Kiên, Xuân Trường, Nam Định</t>
  </si>
  <si>
    <t>CG03029</t>
  </si>
  <si>
    <t>Ngô Văn Giáo (HHND) 036089006950 0839950884</t>
  </si>
  <si>
    <t>CG03030</t>
  </si>
  <si>
    <t>Công ty TNHH đầu tư và phát triển Đức Trung (LHDAHN) Tiệp 0338398338</t>
  </si>
  <si>
    <t>0108053889</t>
  </si>
  <si>
    <t>0338398338</t>
  </si>
  <si>
    <t>CG03031</t>
  </si>
  <si>
    <t>Hoàng Danh Tới (DNHDHN) 00112404950 0399972216</t>
  </si>
  <si>
    <t>0399972216</t>
  </si>
  <si>
    <t>CG03032</t>
  </si>
  <si>
    <t>Trần Văn Sơn (TTPYTN) 091569144 0374684534</t>
  </si>
  <si>
    <t>0374684534</t>
  </si>
  <si>
    <t>CG03033</t>
  </si>
  <si>
    <t>Lê Quang Thủy (TLDAHN) 001074003722 0982327779</t>
  </si>
  <si>
    <t>0982327779</t>
  </si>
  <si>
    <t>CG03034</t>
  </si>
  <si>
    <t>Nguyễn Xuân Đông (HSNCTH) 171030960 0915018286</t>
  </si>
  <si>
    <t>Hoàng Sơn, Nông Cống, Thanh Hóa</t>
  </si>
  <si>
    <t>0915018286</t>
  </si>
  <si>
    <t>CG03035</t>
  </si>
  <si>
    <t>Tùng Lâm (TTIHN) 0989110985</t>
  </si>
  <si>
    <t>0989110985</t>
  </si>
  <si>
    <t>CG03036</t>
  </si>
  <si>
    <t>Dương Ngọc Đồng (DMLGBG) 120771670 0915248890</t>
  </si>
  <si>
    <t>Đào Mỹ, Lạng Giang, Bắc Giang</t>
  </si>
  <si>
    <t>0915248890</t>
  </si>
  <si>
    <t>CG03037</t>
  </si>
  <si>
    <t>Hoàng Xuân Vương (VTTTIHN) 230883061 0982327779</t>
  </si>
  <si>
    <t>CG03038</t>
  </si>
  <si>
    <t>Công ty TNHH MTV Tiến Mạnh NB (GVNB) Phương 0915430173</t>
  </si>
  <si>
    <t>Thị Trấn Me, Gia Viễn, Ninh Bình</t>
  </si>
  <si>
    <t>2700280733</t>
  </si>
  <si>
    <t>0915430173</t>
  </si>
  <si>
    <t>CG03039</t>
  </si>
  <si>
    <t>Nguyễn Văn Quý (HBTTHN) 001083014738 0915951590</t>
  </si>
  <si>
    <t>0915951590</t>
  </si>
  <si>
    <t>CG03040</t>
  </si>
  <si>
    <t>Phạm Văn Long (TPNB) 164122730 0834706011</t>
  </si>
  <si>
    <t>0834706011</t>
  </si>
  <si>
    <t>CG03041</t>
  </si>
  <si>
    <t>Lê Việt Trung (HTMCQN) 031092007260 0378278789</t>
  </si>
  <si>
    <t>Hải Tiến, Móng Cái, Quảng Ninh</t>
  </si>
  <si>
    <t>0378278789</t>
  </si>
  <si>
    <t>CG03042</t>
  </si>
  <si>
    <t>Ngyễn Văn Đình (GNGTND) 035762369 0943845408</t>
  </si>
  <si>
    <t>0943845408</t>
  </si>
  <si>
    <t>CG03043</t>
  </si>
  <si>
    <t>Hoàng Huy Đức (HDHN) 111416340 0913785989</t>
  </si>
  <si>
    <t>0913785989</t>
  </si>
  <si>
    <t>CG03044</t>
  </si>
  <si>
    <t>Đồng Văn Long (TSKTHP) 031723274 0904285435</t>
  </si>
  <si>
    <t>0904285435</t>
  </si>
  <si>
    <t>CG03045</t>
  </si>
  <si>
    <t>Ninh Khắc Hảo (YNYYND) 036073007339 0949838258</t>
  </si>
  <si>
    <t>0949838258</t>
  </si>
  <si>
    <t>CG03046</t>
  </si>
  <si>
    <t>Công ty TNHH Xây Dựng và Chế Biến Lâm Sản Hữu Nghị (TTHN) Nghị 0982315606</t>
  </si>
  <si>
    <t>0103767752</t>
  </si>
  <si>
    <t>0982315606</t>
  </si>
  <si>
    <t>CG03047</t>
  </si>
  <si>
    <t>Công ty TNHH Thương Mại Thủy Tài (DAHN) Thủy 0914888390</t>
  </si>
  <si>
    <t>Việt Hùng, Đông Anh, Hà Nội</t>
  </si>
  <si>
    <t>0106068488</t>
  </si>
  <si>
    <t>CG03048</t>
  </si>
  <si>
    <t>Công ty TNHH Tuấn Thành Phát TTP (TXTH) Hưng 0985562333</t>
  </si>
  <si>
    <t>Xuân Trường, Thọ Xuân, Thanh Hóa</t>
  </si>
  <si>
    <t>2802537498</t>
  </si>
  <si>
    <t>0985562333</t>
  </si>
  <si>
    <t>CG03049</t>
  </si>
  <si>
    <t>Vũ Văn Mai (VTTTIHN) 111452031 0912612123</t>
  </si>
  <si>
    <t>0912612123</t>
  </si>
  <si>
    <t>CG03050</t>
  </si>
  <si>
    <t>Phạm Văn Thuấn (HHND) 162251575 0948547875</t>
  </si>
  <si>
    <t>0948547875</t>
  </si>
  <si>
    <t>0968344599</t>
  </si>
  <si>
    <t>CG03052</t>
  </si>
  <si>
    <t>Nguyễn Doãn Xuất (PXTTHN) 1073010535 0977787202</t>
  </si>
  <si>
    <t>0977787202</t>
  </si>
  <si>
    <t>CG03053</t>
  </si>
  <si>
    <t>Đào Văn Tiến (HMDPHN) 111449007 0912272327</t>
  </si>
  <si>
    <t>Hạ Mỗ, Đan Phượng, Hà Nội</t>
  </si>
  <si>
    <t>0912272327</t>
  </si>
  <si>
    <t>CG03054</t>
  </si>
  <si>
    <t>Phạm Anh Tuấn (QMQLNA) 186450944 0975213909</t>
  </si>
  <si>
    <t>0975213909</t>
  </si>
  <si>
    <t>CG03055</t>
  </si>
  <si>
    <t>Bùi Thị Chi (HTTNHP) Huy 031166006205 0975777819</t>
  </si>
  <si>
    <t>Hợp Thành, Thủy Nguyên, Hải Phòng</t>
  </si>
  <si>
    <t>0975777819</t>
  </si>
  <si>
    <t>CG03056</t>
  </si>
  <si>
    <t>Lưu Đức Thuận (TTIHN) 231263306 0971400078</t>
  </si>
  <si>
    <t>Kon Dơng, Mang Yang, Gia Lai</t>
  </si>
  <si>
    <t>0971400078</t>
  </si>
  <si>
    <t>CG03057</t>
  </si>
  <si>
    <t>Nguyễn Vũ Tuấn (VTTTIHN) 230584195 0377885279</t>
  </si>
  <si>
    <t>0377885279</t>
  </si>
  <si>
    <t>CG03058</t>
  </si>
  <si>
    <t>Nguyễn Thị Chinh (TTBTQB) 112497475 0905866049</t>
  </si>
  <si>
    <t>Thanh Trạch, Bố Trạch, Quảng Bình</t>
  </si>
  <si>
    <t>0905866049</t>
  </si>
  <si>
    <t>CG03059</t>
  </si>
  <si>
    <t>Nguyễn Xuân Vượng (VBHP) 031079007610 0772236663</t>
  </si>
  <si>
    <t>Ngũ Phúc, Kiến Thụy, Hải Phòng</t>
  </si>
  <si>
    <t>0772236663</t>
  </si>
  <si>
    <t>CG03060</t>
  </si>
  <si>
    <t>Hưng Hiếu (TPHN) Hảo 0911664996</t>
  </si>
  <si>
    <t>0911664996</t>
  </si>
  <si>
    <t>CG03061</t>
  </si>
  <si>
    <t>Nguyễn Thị Thi (YNYYND) 163179525 0915948572</t>
  </si>
  <si>
    <t>0915948572</t>
  </si>
  <si>
    <t>CG03062</t>
  </si>
  <si>
    <t>Nguyễn Văn Chí (TTPYTN) 90709885 0965813522</t>
  </si>
  <si>
    <t>0965813522</t>
  </si>
  <si>
    <t>CG03063</t>
  </si>
  <si>
    <t>Nguyễn Thế Liệu (THTSBN) 125078036 0985108120</t>
  </si>
  <si>
    <t>Tân Hồng, Từ Sơn, Bắc Ninh</t>
  </si>
  <si>
    <t>0985108120</t>
  </si>
  <si>
    <t>CG03064</t>
  </si>
  <si>
    <t>Phạm Văn Dân (VDUBQN) 101074365 0983588235</t>
  </si>
  <si>
    <t>0983588235</t>
  </si>
  <si>
    <t>CG03065</t>
  </si>
  <si>
    <t>Nguyễn Văn Dương (TLHHTB) Minh 151957015 0917949867</t>
  </si>
  <si>
    <t>Tân Lê, Hưng Hà, Thái Bình</t>
  </si>
  <si>
    <t>0917949867</t>
  </si>
  <si>
    <t>CG03066</t>
  </si>
  <si>
    <t>Tống Văn Hòa (YNYYND) 036081008093 0963334999</t>
  </si>
  <si>
    <t>0963334999</t>
  </si>
  <si>
    <t>CG03067</t>
  </si>
  <si>
    <t>Đinh Văn Đợi (XBXTND) 160273149 0946117551</t>
  </si>
  <si>
    <t>0946117551</t>
  </si>
  <si>
    <t>CG03068</t>
  </si>
  <si>
    <t>Đỗ Văn Kiên (HLQN) 001082006060 0973405182</t>
  </si>
  <si>
    <t>0973405182</t>
  </si>
  <si>
    <t>CG03069</t>
  </si>
  <si>
    <t>Đào Bá Lộc (HDHNNA) 111660692 0768221082</t>
  </si>
  <si>
    <t>Hưng Đạo, Hưng Nguyên, Nghệ An</t>
  </si>
  <si>
    <t>0768221082</t>
  </si>
  <si>
    <t>CG03070</t>
  </si>
  <si>
    <t>Đào Quang Ngại (TNTSTH) 038074012617 0342218131</t>
  </si>
  <si>
    <t>Tiến Nông, Triệu Sơn, Thanh Hóa</t>
  </si>
  <si>
    <t>0342218131</t>
  </si>
  <si>
    <t>CG03071</t>
  </si>
  <si>
    <t>Lê Hữu Thảo (HTTSTH) 038082007478 0376350890</t>
  </si>
  <si>
    <t>Hợp Thành, Triệu Sơn, Thanh Hóa</t>
  </si>
  <si>
    <t>0376350890</t>
  </si>
  <si>
    <t>CG03072</t>
  </si>
  <si>
    <t>Công ty CP sản xuất nội thất TOPPRO Việt Nam (STHN) 0936782829 0108780690</t>
  </si>
  <si>
    <t>Vạn Phúc, Hà Đông, Hà Nội</t>
  </si>
  <si>
    <t>0108780690</t>
  </si>
  <si>
    <t>0936782829</t>
  </si>
  <si>
    <t>CG03073</t>
  </si>
  <si>
    <t>Toàn Phát (TPHN) 0397067344</t>
  </si>
  <si>
    <t>0397067344</t>
  </si>
  <si>
    <t>CG03074</t>
  </si>
  <si>
    <t>Vũ Thị Hiên (QPTB) 150572049 0398287694 0982085263</t>
  </si>
  <si>
    <t>0398287694</t>
  </si>
  <si>
    <t>CG03075</t>
  </si>
  <si>
    <t>Nguyễn Duy Phúc (TTCYPBN) 125174047 0966185886</t>
  </si>
  <si>
    <t>Thị Trấn Chờ, Yên Phong, Bắc Ninh</t>
  </si>
  <si>
    <t>0966185886</t>
  </si>
  <si>
    <t>CG03076</t>
  </si>
  <si>
    <t>Nguyễn Văn Trang (DXTTIHN) 110573794 0912165968</t>
  </si>
  <si>
    <t>0912165968</t>
  </si>
  <si>
    <t>CG03077</t>
  </si>
  <si>
    <t>Lê Xuân Hoa (CHTTBN) 125500352 0904485737</t>
  </si>
  <si>
    <t>Cầu Hồ, Thuận Thành, Bắc Ninh</t>
  </si>
  <si>
    <t>0904485737</t>
  </si>
  <si>
    <t>CG03078</t>
  </si>
  <si>
    <t>Công ty TNHH In Và Thiết Bị Trường Học Thanh Hóa (QTTPTH) Giáp 0916574818</t>
  </si>
  <si>
    <t>Gia Lộc, Quảng Thịnh, Thanh Hóa</t>
  </si>
  <si>
    <t>2801852264</t>
  </si>
  <si>
    <t>0916574818</t>
  </si>
  <si>
    <t>CG03079</t>
  </si>
  <si>
    <t>Thái Bá Anh (DTDCNA) 186345399 0972165525</t>
  </si>
  <si>
    <t>0972165525</t>
  </si>
  <si>
    <t>CG03080</t>
  </si>
  <si>
    <t>Phạm Văn Nhữ (THHD) 141857136 0396058085</t>
  </si>
  <si>
    <t>0396058085</t>
  </si>
  <si>
    <t>CG03081</t>
  </si>
  <si>
    <t xml:space="preserve">Đặng Đức Chương (VDNDNA) 182466937 0335144777 </t>
  </si>
  <si>
    <t>Vân Diên, Nam Đàn, Nghệ An</t>
  </si>
  <si>
    <t xml:space="preserve">0335144777 </t>
  </si>
  <si>
    <t>CG03082</t>
  </si>
  <si>
    <t>Trịnh Thị Kim Oanh (TTPYTN) 090940553 0971167682</t>
  </si>
  <si>
    <t>0971167682</t>
  </si>
  <si>
    <t>CG03083</t>
  </si>
  <si>
    <t>Trần Quang Trung (TTIHN) 215226204 0354945246</t>
  </si>
  <si>
    <t>Mỹ Tài, Phù Mỹ, Bình Định</t>
  </si>
  <si>
    <t>0354945246</t>
  </si>
  <si>
    <t>CG03084</t>
  </si>
  <si>
    <t>0965286286</t>
  </si>
  <si>
    <t>CG03085</t>
  </si>
  <si>
    <t>Quỳnh An (TTIHN) 0989663632</t>
  </si>
  <si>
    <t>0989663632</t>
  </si>
  <si>
    <t>CG03086</t>
  </si>
  <si>
    <t>Trần Văn Tuấn (VTTTIHN) 231273211 0355824824</t>
  </si>
  <si>
    <t>0355824824</t>
  </si>
  <si>
    <t>CG03087</t>
  </si>
  <si>
    <t>Công ty TNHH Gỗ Hoàng Nguyên (TTTH) Long 0975888920 2700825916</t>
  </si>
  <si>
    <t>Chu Văn An, Nam Bình, Ninh Bình</t>
  </si>
  <si>
    <t>2700825916</t>
  </si>
  <si>
    <t xml:space="preserve">0975888920 </t>
  </si>
  <si>
    <t>CG03088</t>
  </si>
  <si>
    <t>Lê Thạc Bình (QVQLNA) 186139282 0396734214</t>
  </si>
  <si>
    <t>Quỳnh Vinh, Quỳnh Lưu, Nghệ An</t>
  </si>
  <si>
    <t>0396734214</t>
  </si>
  <si>
    <t>CG03089</t>
  </si>
  <si>
    <t>Tạ Văn Tích (VTTTIHN) 111864162 0982435409</t>
  </si>
  <si>
    <t>0982435409</t>
  </si>
  <si>
    <t>CG03090</t>
  </si>
  <si>
    <t>Lê Văn Hiền (QBQLNA) 161751058 0976808719</t>
  </si>
  <si>
    <t>Quỳnh Bảy, Quỳnh Lưu, Nghệ An</t>
  </si>
  <si>
    <t>0976808719</t>
  </si>
  <si>
    <t>CG03091</t>
  </si>
  <si>
    <t>Đỗ Văn Tới (HDHN) 112330843 0948464488 0838438888</t>
  </si>
  <si>
    <t>0948464488</t>
  </si>
  <si>
    <t>CG03092</t>
  </si>
  <si>
    <t>Cao Bá Mẽ (LTBN) 125477742 0359058665 0904751772</t>
  </si>
  <si>
    <t>Thị Trấn Thứa, Lương Tài, Bắc Ninh</t>
  </si>
  <si>
    <t>0359058665</t>
  </si>
  <si>
    <t>CG03093</t>
  </si>
  <si>
    <t>Nguyễn Văn Sinh (TTPYTN) 090940493 0978070999</t>
  </si>
  <si>
    <t>0978070999</t>
  </si>
  <si>
    <t>CG03094</t>
  </si>
  <si>
    <t>Nguyễn Trung Phúc (LHPTHN) 111972753 0982507735</t>
  </si>
  <si>
    <t>0982507735</t>
  </si>
  <si>
    <t>CG03095</t>
  </si>
  <si>
    <t>Nguyễn Trọng Duẩn (CBQVBN) 125898968 0981567188</t>
  </si>
  <si>
    <t>Cách Bi, Quế Võ, Bắc Ninh</t>
  </si>
  <si>
    <t>0981567188</t>
  </si>
  <si>
    <t>CG03096</t>
  </si>
  <si>
    <t xml:space="preserve">Công ty TNHH Vịnh Nhung (ASNA) Vịnh 0966710299 2901792650 </t>
  </si>
  <si>
    <t>Kỳ Sơn, Tân Kỳ, Nghệ An</t>
  </si>
  <si>
    <t>2901792650</t>
  </si>
  <si>
    <t xml:space="preserve">0966710299 </t>
  </si>
  <si>
    <t>CG03097</t>
  </si>
  <si>
    <t>Nguyễn Văn Cường (LHDAHN) 001081013387 0987194784</t>
  </si>
  <si>
    <t>0987194784</t>
  </si>
  <si>
    <t>CG03098</t>
  </si>
  <si>
    <t>Phạm Văn Vơn (DHTB) 034072004617 0988700908</t>
  </si>
  <si>
    <t>Đông La, Đông Hưng, Thái Bình</t>
  </si>
  <si>
    <t>CG03099</t>
  </si>
  <si>
    <t>Công ty TNHH Hoàng Anh Tiến (TPTH) Tiến 0977999000</t>
  </si>
  <si>
    <t>Hoằng Cát, Hoằng Hoá, Thanh Hoá</t>
  </si>
  <si>
    <t>2802051531</t>
  </si>
  <si>
    <t>0977999000</t>
  </si>
  <si>
    <t>CG03100</t>
  </si>
  <si>
    <t>Trần Văn Hướng (YMYYND) 162380019 0987768344</t>
  </si>
  <si>
    <t>Yên Mỹ, Ý Yên, Nam Định</t>
  </si>
  <si>
    <t>0987768344</t>
  </si>
  <si>
    <t>CG03101</t>
  </si>
  <si>
    <t>Phạm Thị Len (NPTPNB) 164278715 0916344250</t>
  </si>
  <si>
    <t>Ninh Phong, TP Ninh Bình</t>
  </si>
  <si>
    <t>0916344250</t>
  </si>
  <si>
    <t>CG03102</t>
  </si>
  <si>
    <t>Vũ Thị Hiền (QLHMNA) 182392868 0979650367</t>
  </si>
  <si>
    <t>Quỳnh Liêm, Hoàng Mai, Nghệ An</t>
  </si>
  <si>
    <t>0979650367</t>
  </si>
  <si>
    <t>CG03103</t>
  </si>
  <si>
    <t>Vũ Văn Tuấn (PLTNHP) 031536122 0354901674</t>
  </si>
  <si>
    <t>Phả Lễ, Thủy Nguyên, Hải Phòng.</t>
  </si>
  <si>
    <t>0354901674</t>
  </si>
  <si>
    <t>CG03104</t>
  </si>
  <si>
    <t>Nguyễn Ngọc Hưng (TLBXVP) 026072001781 0912263363</t>
  </si>
  <si>
    <t>0912263363</t>
  </si>
  <si>
    <t>CG03105</t>
  </si>
  <si>
    <t>Nguyễn Văn Đồng (TTPYTN) 037652724 0988774603</t>
  </si>
  <si>
    <t>0988774603</t>
  </si>
  <si>
    <t>CG03106</t>
  </si>
  <si>
    <t>Đậu Văn Triều (NLTGTH) 380181007518 0976670289</t>
  </si>
  <si>
    <t>Ngọc Lĩnh, Tĩnh Gia, Thanh Hóa</t>
  </si>
  <si>
    <t>0976670289</t>
  </si>
  <si>
    <t>CG03107</t>
  </si>
  <si>
    <t>Chu Văn Bằng (TTPYTN) 091091173 0985170866</t>
  </si>
  <si>
    <t>0985170866</t>
  </si>
  <si>
    <t>CG03108</t>
  </si>
  <si>
    <t>Nguyễn Văn Hảo (DTDCNA) 186752127 0985322424</t>
  </si>
  <si>
    <t>0985322424</t>
  </si>
  <si>
    <t>CG03109</t>
  </si>
  <si>
    <t>Vạn Hà (NQHP) 0968080059</t>
  </si>
  <si>
    <t>Đông Khê, Ngô Quyền, Hải Phòng</t>
  </si>
  <si>
    <t>0968080059</t>
  </si>
  <si>
    <t>CG03110</t>
  </si>
  <si>
    <t>Nguyễn Văn Hải (TPPLHNA) 075463252 0934582368</t>
  </si>
  <si>
    <t>TP. Phủ Lý, Hà Nam</t>
  </si>
  <si>
    <t>0934582368</t>
  </si>
  <si>
    <t>CG03111</t>
  </si>
  <si>
    <t>Nguyễn Thị Phượng (KXTB) 034173002464 0977864268</t>
  </si>
  <si>
    <t>Tây Giang, Tiền Hải, Thái Bình</t>
  </si>
  <si>
    <t>0977864268</t>
  </si>
  <si>
    <t>CG03112</t>
  </si>
  <si>
    <t>Dương Ngọc Phố (TKTPTH) 164409774 0912596358</t>
  </si>
  <si>
    <t>Thiệu Khánh, TP. Thanh Hóa</t>
  </si>
  <si>
    <t>0912596358</t>
  </si>
  <si>
    <t>CG03113</t>
  </si>
  <si>
    <t>Công Ty TNHH TM Dịch Vụ Sản Xuất LT Việt Nam (PYTN) 0968588880 4601568757</t>
  </si>
  <si>
    <t>Minh Đức, Phổ Yên, Thái Nguyên</t>
  </si>
  <si>
    <t>4601568757</t>
  </si>
  <si>
    <t>0968588880</t>
  </si>
  <si>
    <t>CG03114</t>
  </si>
  <si>
    <t>Doanh Nghiệp Tư Nhân Trường Đức (TLVP) Quyết 0982245505 2600252242</t>
  </si>
  <si>
    <t>2600252242</t>
  </si>
  <si>
    <t>0982245505</t>
  </si>
  <si>
    <t>CG03115</t>
  </si>
  <si>
    <t>Công ty TNHH TM và DV Hạ Linh (HDHN) Tâm 0325705786 0109241571</t>
  </si>
  <si>
    <t>0109241571</t>
  </si>
  <si>
    <t>0325705786</t>
  </si>
  <si>
    <t>CG03116</t>
  </si>
  <si>
    <t>Doanh Nghiệp Tư Nhân Hiến Hạnh (TPQB) Vân 0858071678 3101013177</t>
  </si>
  <si>
    <t>Đồng Sơn, Đồng Hới, Quảng Bình</t>
  </si>
  <si>
    <t>3101013177</t>
  </si>
  <si>
    <t>0858071678</t>
  </si>
  <si>
    <t>CG03117</t>
  </si>
  <si>
    <t>Công ty CP 27-7 Hải Hậu (HHND) Trình 0986886987 0600200635</t>
  </si>
  <si>
    <t xml:space="preserve">0986886987 </t>
  </si>
  <si>
    <t>CG03118</t>
  </si>
  <si>
    <t>Nguyễn Văn Ba (CHCLHD) 030565323 0971182252</t>
  </si>
  <si>
    <t>Cộng Hòa, Chí Linh, Hải Dương</t>
  </si>
  <si>
    <t>0971182252</t>
  </si>
  <si>
    <t>CG03119</t>
  </si>
  <si>
    <t>Nguyễn Văn Hương (TPBG) 035663233 0353516488</t>
  </si>
  <si>
    <t>0353516488</t>
  </si>
  <si>
    <t>CG03120</t>
  </si>
  <si>
    <t xml:space="preserve">Công Ty TNHH XNK Lâm Sản Ngọc Long Phát (HPHHTH) Vui 0964843118 2802623718 </t>
  </si>
  <si>
    <t>Hoằng Phong, Hoằng Hóa, Thanh Hóa</t>
  </si>
  <si>
    <t>2802623718</t>
  </si>
  <si>
    <t xml:space="preserve">0964843118 </t>
  </si>
  <si>
    <t>CG03121</t>
  </si>
  <si>
    <t>Lại Đắc Tuấn (GDTTBN) 035662358 0969870527</t>
  </si>
  <si>
    <t>Gia Đông, Thuận Thành, Bắc Ninh</t>
  </si>
  <si>
    <t>0969870527</t>
  </si>
  <si>
    <t>CG03122</t>
  </si>
  <si>
    <t>Nguyễn Duy Hảo (PTSCTN) 061082006060 0985187865</t>
  </si>
  <si>
    <t>Phú Thái, Sông Công, Thái Nguyên</t>
  </si>
  <si>
    <t>0985187865</t>
  </si>
  <si>
    <t>CG03123</t>
  </si>
  <si>
    <t>Hoàng Văn Phán (VAVBHP) 0310933009097 0931420888</t>
  </si>
  <si>
    <t>0931420888</t>
  </si>
  <si>
    <t>CG03124</t>
  </si>
  <si>
    <t>Phan Văn Đoàn (XNXTND) 186321452 0914960823</t>
  </si>
  <si>
    <t>0914960823</t>
  </si>
  <si>
    <t>CG03125</t>
  </si>
  <si>
    <t>Nguyễn Thị Lan Anh (KTMD) 0865378669</t>
  </si>
  <si>
    <t>0865378669</t>
  </si>
  <si>
    <t>CG03126</t>
  </si>
  <si>
    <t>Công Ty TNHH DV Cưa Xẻ Gỗ Hoàng Anh (DHTHQB) Hùng 033218322 3100297864</t>
  </si>
  <si>
    <t>Đức Hóa, Tuyên Hóa, Quảng Bình</t>
  </si>
  <si>
    <t>3100297864</t>
  </si>
  <si>
    <t xml:space="preserve">033218322 </t>
  </si>
  <si>
    <t>CG03127</t>
  </si>
  <si>
    <t>Lê Văn Tú (VTTTIHN) 063366605 0912502100</t>
  </si>
  <si>
    <t>0912502100</t>
  </si>
  <si>
    <t>CG03128</t>
  </si>
  <si>
    <t>Vũ Văn Đông (DMTPTB) 034074001556 0912695585</t>
  </si>
  <si>
    <t>Đông Mỹ, TP. Thái Bình</t>
  </si>
  <si>
    <t>0912695585</t>
  </si>
  <si>
    <t>CG03129</t>
  </si>
  <si>
    <t>Lê Bá Thức (TTIHN) 5900896324 0979962028</t>
  </si>
  <si>
    <t>Hải Yang, Đak Đoa, Gia Lai</t>
  </si>
  <si>
    <t>0979962028</t>
  </si>
  <si>
    <t>CG03130</t>
  </si>
  <si>
    <t xml:space="preserve">Công Ty TNHH XDTMSX Tùng Mai (QHALHP) Học 0865615545 0202027646 </t>
  </si>
  <si>
    <t>Quang Hưng, An Lão, Hải Phòng</t>
  </si>
  <si>
    <t>0202027646</t>
  </si>
  <si>
    <t xml:space="preserve">0865615545 </t>
  </si>
  <si>
    <t>CG03131</t>
  </si>
  <si>
    <t>Nguyễn Văn Nam (TLUHHN) 001071010414 0907406998</t>
  </si>
  <si>
    <t>Trầm Lộng, Ứng Hòa, Hà Nội</t>
  </si>
  <si>
    <t>0907406998</t>
  </si>
  <si>
    <t>CG03132</t>
  </si>
  <si>
    <t>Nguyễn Quang Cảnh (CNDHTB) 034081006467 0973327259</t>
  </si>
  <si>
    <t>0973327259</t>
  </si>
  <si>
    <t>CG03133</t>
  </si>
  <si>
    <t>Vũ Văn Thành (NTKBHNA) 035201002104 0988015790</t>
  </si>
  <si>
    <t>0988015790</t>
  </si>
  <si>
    <t>CG03134</t>
  </si>
  <si>
    <t>Nghiêm Thị Thoa (DAHN) 001182025777 0916517356</t>
  </si>
  <si>
    <t>CG03135</t>
  </si>
  <si>
    <t>DNTN TM Hoa Tiên (TTIHN) Hoa 0382293886</t>
  </si>
  <si>
    <t>Nguyên Hanh, Xã Văn Tự, Huyện Thường Tín, Thành phố Hà Nội</t>
  </si>
  <si>
    <t>0104285127</t>
  </si>
  <si>
    <t>0382293886</t>
  </si>
  <si>
    <t>CG03136</t>
  </si>
  <si>
    <t>Công Ty TNHH SX Chế Biến Lâm Sản Hải Oanh (NCTH) Hồ Ngọc Dị 0972345343</t>
  </si>
  <si>
    <t>Thôn Yên Bái, Xã Tế Lợi, Huyện Nông Cống, Tỉnh Thanh Hoá</t>
  </si>
  <si>
    <t>2802423557</t>
  </si>
  <si>
    <t>0972345343</t>
  </si>
  <si>
    <t>CG03137</t>
  </si>
  <si>
    <t>Nguyễn Văn Đạt (LHDAHN) 012926801 0983375716</t>
  </si>
  <si>
    <t>0983375716</t>
  </si>
  <si>
    <t>CG03138</t>
  </si>
  <si>
    <t>Nguyễn Quang Minh (VNGBBN) 125727869 0977576881</t>
  </si>
  <si>
    <t>Vạn Ninh, Gia Bình, Bắc Ninh</t>
  </si>
  <si>
    <t>0977576881</t>
  </si>
  <si>
    <t>CG03139</t>
  </si>
  <si>
    <t>Nguyễn Công Tứ (THTTHN) 033084007369 0917334222</t>
  </si>
  <si>
    <t>Thạch Hòa, Thạch Thất, Hà Nội</t>
  </si>
  <si>
    <t>0917334222</t>
  </si>
  <si>
    <t>CG03140</t>
  </si>
  <si>
    <t>Trần Văn Việt (VTYTNA) 186210433 0336247399</t>
  </si>
  <si>
    <t>0336247399</t>
  </si>
  <si>
    <t>CG03141</t>
  </si>
  <si>
    <t>Kiều Văn Sanh (DQMHHY) 145821939 0838543627</t>
  </si>
  <si>
    <t>0838543627</t>
  </si>
  <si>
    <t>CG03142</t>
  </si>
  <si>
    <t>Hoàng Văn Thuận (HDTHHD) 030070000713 0917908429</t>
  </si>
  <si>
    <t>Hợp Đức, Thanh Hà, Hải Dương</t>
  </si>
  <si>
    <t>0917908429</t>
  </si>
  <si>
    <t>CG03143</t>
  </si>
  <si>
    <t>Nguyễn Đức Thành (NTNLNA) 182544841 0947459299</t>
  </si>
  <si>
    <t>Nghi Thạch, Nghi Lộc, Nghệ An</t>
  </si>
  <si>
    <t>0947459299</t>
  </si>
  <si>
    <t>CG03144</t>
  </si>
  <si>
    <t>Nguyễn Thị Thước (TLTHHT) 186888474 0916342533</t>
  </si>
  <si>
    <t>Thạch Lạc, Thạch Hà, Hà Tĩnh</t>
  </si>
  <si>
    <t>0916342533</t>
  </si>
  <si>
    <t>CG03145</t>
  </si>
  <si>
    <t>Nguyễn Văn Huệ (HBTTHN) 001073017527 0912543428</t>
  </si>
  <si>
    <t>0912543428</t>
  </si>
  <si>
    <t>CG03146</t>
  </si>
  <si>
    <t>Tạ Văn Hạng (CLLNHNA) Quang 168289049 0982728558</t>
  </si>
  <si>
    <t>Công Lý, Lý Nhân, Hà Nam</t>
  </si>
  <si>
    <t>0982728558</t>
  </si>
  <si>
    <t>CG03147</t>
  </si>
  <si>
    <t>Nguyễn Văn Tường (ADDKHP) 031765343 0904312525</t>
  </si>
  <si>
    <t>0904312525</t>
  </si>
  <si>
    <t>CG03148</t>
  </si>
  <si>
    <t>Bùi Xuân Quynh (TQTTTB) 151055685 0904176126</t>
  </si>
  <si>
    <t>Thụy Quỳnh, Thái Thụy, Thái Bình</t>
  </si>
  <si>
    <t>0904176126</t>
  </si>
  <si>
    <t>CG03149</t>
  </si>
  <si>
    <t>Nguyễn Văn Năm (VTTTIHN) 017013795 0916078714</t>
  </si>
  <si>
    <t>0916078714</t>
  </si>
  <si>
    <t>CG03150</t>
  </si>
  <si>
    <t>Nguyễn Văn Đậm (BDLTBN) 125510926 0914591887</t>
  </si>
  <si>
    <t>Bình Định, Lương Tài, Bắc Ninh</t>
  </si>
  <si>
    <t>0914591887</t>
  </si>
  <si>
    <t>CG03151</t>
  </si>
  <si>
    <t>Hà Văn Quyết (HSLGBG) 037084000349 0973493087</t>
  </si>
  <si>
    <t>Hương Sơn, Lạng Giang, Bắc Giang</t>
  </si>
  <si>
    <t>0973493087</t>
  </si>
  <si>
    <t>CG03152</t>
  </si>
  <si>
    <t>Trần Văn Tuấn (LPKSNB) 037073001945 0986559507</t>
  </si>
  <si>
    <t>Lưu Phương, Kim Sơn, Ninh Bình</t>
  </si>
  <si>
    <t>0986559507</t>
  </si>
  <si>
    <t>CG03153</t>
  </si>
  <si>
    <t>Nguyễn Thị Hường (DKTSBN) 125311087 0966975456</t>
  </si>
  <si>
    <t>Động Kỵ, Từ Sơn, Bắc Ninh</t>
  </si>
  <si>
    <t>0966975456</t>
  </si>
  <si>
    <t>CG03154</t>
  </si>
  <si>
    <t>Công ty TNHH 1 TV Xuân An (TPBG) Thảo 0931573839 2600975643</t>
  </si>
  <si>
    <t>Lê Hồng Phong, Xuân Giang, Bắc Giang</t>
  </si>
  <si>
    <t>2600975643</t>
  </si>
  <si>
    <t>0931573839</t>
  </si>
  <si>
    <t>CG03155</t>
  </si>
  <si>
    <t>Nguyễn Văn Hùng (DKTSBN) 125040935 0988099883</t>
  </si>
  <si>
    <t>0988099883</t>
  </si>
  <si>
    <t>CG03156</t>
  </si>
  <si>
    <t>Vũ Văn Lương (HMHHND) 036080004500 0949128020</t>
  </si>
  <si>
    <t>0949128020</t>
  </si>
  <si>
    <t>CG03157</t>
  </si>
  <si>
    <t>Phạm Văn Hoàng Tông (THTLHP) 031802259 0393238283</t>
  </si>
  <si>
    <t>0393238283</t>
  </si>
  <si>
    <t>CG03158</t>
  </si>
  <si>
    <t>Công Ty Cổ Phần Minh Phú (TNGHP) Phương 0967482098 0200585444</t>
  </si>
  <si>
    <t>Núi Đèo, Thủy Nguyên, Hải Phòng</t>
  </si>
  <si>
    <t>0200585444</t>
  </si>
  <si>
    <t xml:space="preserve">0967482098 </t>
  </si>
  <si>
    <t>CG03159</t>
  </si>
  <si>
    <t>Nguyễn Văn Hải (DLTLHP) 031086002624 0942929359</t>
  </si>
  <si>
    <t>0942929359</t>
  </si>
  <si>
    <t>CG03160</t>
  </si>
  <si>
    <t>Cao Thị Mùi (TCPYVP) 026179002907 0912505802</t>
  </si>
  <si>
    <t>0912505802</t>
  </si>
  <si>
    <t>CG03161</t>
  </si>
  <si>
    <t>Phạm Văn Dục (HBTTHN) 111694352 0912005821</t>
  </si>
  <si>
    <t>0912005821</t>
  </si>
  <si>
    <t>CG03162</t>
  </si>
  <si>
    <t>Quang Tiến, Thái Hòa, Nghệ An</t>
  </si>
  <si>
    <t>2900883739</t>
  </si>
  <si>
    <t>0978265397</t>
  </si>
  <si>
    <t>CG03163</t>
  </si>
  <si>
    <t>Trương Xuân Hưng (HTHHTH) 038060002537 0974183419</t>
  </si>
  <si>
    <t>0974183419</t>
  </si>
  <si>
    <t>CG03164</t>
  </si>
  <si>
    <t>Doãn Minh Hoàng (YBYYND) 164644089 0812277889</t>
  </si>
  <si>
    <t>0812277889</t>
  </si>
  <si>
    <t>CG03165</t>
  </si>
  <si>
    <t>Nguyễn Văn Mạnh (TSHHBG) 121539374 0965118218</t>
  </si>
  <si>
    <t>0965118218</t>
  </si>
  <si>
    <t>CG03166</t>
  </si>
  <si>
    <t>Trần Văn Việt (VTYTNA) 037652495 0399140368</t>
  </si>
  <si>
    <t>0399140368</t>
  </si>
  <si>
    <t>CG03167</t>
  </si>
  <si>
    <t>Đỗ Hữu Trọng (LHPTHN) 017096111 0387326789</t>
  </si>
  <si>
    <t>0387326789</t>
  </si>
  <si>
    <t>CG03168</t>
  </si>
  <si>
    <t>Trần Văn Hòa (THCLHD) 073523665 0986183012</t>
  </si>
  <si>
    <t>Thái Học, Chí Linh, Hải Dương</t>
  </si>
  <si>
    <t>0986183012</t>
  </si>
  <si>
    <t>CG03169</t>
  </si>
  <si>
    <t>Nguyễn Gia Mạnh (TKTHTH) 173788136 0984971989</t>
  </si>
  <si>
    <t>Thiệu Khánh, Thiệu Hóa, Thanh Hóa</t>
  </si>
  <si>
    <t>0984971989</t>
  </si>
  <si>
    <t>CG03170</t>
  </si>
  <si>
    <t>Trần Trọng Hà (DKTSBN) 121392591 0986234837</t>
  </si>
  <si>
    <t>0986234837</t>
  </si>
  <si>
    <t>CG03171</t>
  </si>
  <si>
    <t>Phi Đình Chung (CNTTHN) 0010833035796 0961988122</t>
  </si>
  <si>
    <t>0961988122</t>
  </si>
  <si>
    <t>CG03172</t>
  </si>
  <si>
    <t>Nguyễn Việt Hùng (DTHHBG) 121040454 0984088085</t>
  </si>
  <si>
    <t>Danh Thắng, Hiệp Hòa, Bắc Giang</t>
  </si>
  <si>
    <t>0984088085</t>
  </si>
  <si>
    <t>CG03173</t>
  </si>
  <si>
    <t>Công ty TNHH GreenSky Logistics Việt Nam (Trung) 0705664779</t>
  </si>
  <si>
    <t>Số 17, ngõ 529, đường 72, TDP Trung Bình, P. Dương Nội, Q. Hà Đông, Tp. Hà Nội</t>
  </si>
  <si>
    <t>0109475964</t>
  </si>
  <si>
    <t>0705664779</t>
  </si>
  <si>
    <t>CG03174</t>
  </si>
  <si>
    <t>Triệu Ngọc Tiu (VCTB) 0985320282</t>
  </si>
  <si>
    <t>Vũ Chính, TP. Thái Bình</t>
  </si>
  <si>
    <t>0985320282</t>
  </si>
  <si>
    <t>CG03175</t>
  </si>
  <si>
    <t>Đỗ Văn Bình (CLND) 036068006966 0904002773</t>
  </si>
  <si>
    <t>0904002773</t>
  </si>
  <si>
    <t>CG03176</t>
  </si>
  <si>
    <t>Nguyễn Hữu Quảng (NHNSHD) 30083010917 0902294970</t>
  </si>
  <si>
    <t>0902294970</t>
  </si>
  <si>
    <t>CG03177</t>
  </si>
  <si>
    <t>Phạm Thị Xim (XHXTND) 162959802 0983800412</t>
  </si>
  <si>
    <t>Xuân Hòa, Xuân Trường, Nam Định</t>
  </si>
  <si>
    <t>0983800412</t>
  </si>
  <si>
    <t>CG03178</t>
  </si>
  <si>
    <t>Công ty TNHH Tài Nguyên</t>
  </si>
  <si>
    <t>Số 15, Phố Nối, Thị trấn Bần Yên Nhân, huyện Mỹ Hào, Hưng Yên</t>
  </si>
  <si>
    <t>0900362186</t>
  </si>
  <si>
    <t>CG03179</t>
  </si>
  <si>
    <t>Nguyễn Duy Linh (TLCGHD) 030079002129 0988630107</t>
  </si>
  <si>
    <t>Thạch Lỗi, Cẩm Giàng, Hải Dương</t>
  </si>
  <si>
    <t>0988630107</t>
  </si>
  <si>
    <t>CG03180</t>
  </si>
  <si>
    <t>Lê Văn Huân (DTBTQB) 0982510087</t>
  </si>
  <si>
    <t>0982510087</t>
  </si>
  <si>
    <t>CG03181</t>
  </si>
  <si>
    <t>Kim Văn Long (TLBXVP) 135850332 0984747196</t>
  </si>
  <si>
    <t>0984747196</t>
  </si>
  <si>
    <t>CG03182</t>
  </si>
  <si>
    <t>Lê Văn Tình (HDHHTH) 172491263 0326743200</t>
  </si>
  <si>
    <t>0326743200</t>
  </si>
  <si>
    <t>CG03183</t>
  </si>
  <si>
    <t>Công ty TNHH XNK Winlogs (HAHP) 0985638009</t>
  </si>
  <si>
    <t>Số 1B/12 Bình Kiều 1, phường Đông Hải 2, quận Hải An, thành phố Hải Phòng</t>
  </si>
  <si>
    <t>CG03184</t>
  </si>
  <si>
    <t>Phan Văn Long (TPNB) 164122730 0914592465</t>
  </si>
  <si>
    <t>Phố Tương Lai, P. Ninh Phong, TP. Ninh Bình, tỉnh Ninh Bình</t>
  </si>
  <si>
    <t>CG03185</t>
  </si>
  <si>
    <t>Phong (MDHP) 0975786693</t>
  </si>
  <si>
    <t>CS</t>
  </si>
  <si>
    <t>Hải Phòng</t>
  </si>
  <si>
    <t>Phú Xuyên</t>
  </si>
  <si>
    <t>CX</t>
  </si>
  <si>
    <t>Hải An</t>
  </si>
  <si>
    <t>CS00127</t>
  </si>
  <si>
    <t xml:space="preserve">Công ty TNHH VinaTech (VLHY) </t>
  </si>
  <si>
    <t>Km 19, Quốc lộ 5A, xã Trưng Trắc, huyện Văn Lâm, tỉnh Hưng Yên, VN</t>
  </si>
  <si>
    <t>0900234071</t>
  </si>
  <si>
    <t>CX001</t>
  </si>
  <si>
    <t>CX002</t>
  </si>
  <si>
    <t>Công ty CP 15C-03470</t>
  </si>
  <si>
    <t>CX003</t>
  </si>
  <si>
    <t>Công ty CP 15C-10645</t>
  </si>
  <si>
    <t>CX004</t>
  </si>
  <si>
    <t>Yến Tuân (15C-01889)</t>
  </si>
  <si>
    <t>CX005</t>
  </si>
  <si>
    <t>Ông bà (15C-11479)</t>
  </si>
  <si>
    <t>CX006</t>
  </si>
  <si>
    <t>Cậu mợ (15C-13036)</t>
  </si>
  <si>
    <t>CX007</t>
  </si>
  <si>
    <t>Tân Hoàng Hiệp</t>
  </si>
  <si>
    <t>CX014</t>
  </si>
  <si>
    <t>Thắng Rin (Hùng Hà)</t>
  </si>
  <si>
    <t>CX016</t>
  </si>
  <si>
    <t>Đức Thắng (Nguyễn Thắng)</t>
  </si>
  <si>
    <t>Số 62B Bình Kiều 2, Đông Hải 2, Hải An, Hải Phòng</t>
  </si>
  <si>
    <t>CX017</t>
  </si>
  <si>
    <t>Kim Khánh</t>
  </si>
  <si>
    <t>CX020</t>
  </si>
  <si>
    <t>TNG</t>
  </si>
  <si>
    <t>Số 282 Đà Nẵng, Hải Phòng</t>
  </si>
  <si>
    <t>CX028</t>
  </si>
  <si>
    <t>Bình đường dài</t>
  </si>
  <si>
    <t>CX031</t>
  </si>
  <si>
    <t>Vinh Việt (Luân Hòa)</t>
  </si>
  <si>
    <t>Số 9/19/215 Đồng Hòa, Kiến An, Hải Phòng</t>
  </si>
  <si>
    <t>CX039</t>
  </si>
  <si>
    <t>Điệp</t>
  </si>
  <si>
    <t>CX040</t>
  </si>
  <si>
    <t>Kiên + Tú (15C-25029)</t>
  </si>
  <si>
    <t>CX049</t>
  </si>
  <si>
    <t>Đà Nẵng, Hải Phòng</t>
  </si>
  <si>
    <t>0963988468</t>
  </si>
  <si>
    <t>CX055</t>
  </si>
  <si>
    <t>Công ty CP 15C-03426</t>
  </si>
  <si>
    <t>CX056</t>
  </si>
  <si>
    <t>Yến Tuân (15C-25418)</t>
  </si>
  <si>
    <t>CX057</t>
  </si>
  <si>
    <t>Yến Tuân (15C-01584)</t>
  </si>
  <si>
    <t>CX059</t>
  </si>
  <si>
    <t>Cường Giang</t>
  </si>
  <si>
    <t>CX067</t>
  </si>
  <si>
    <t>GA V</t>
  </si>
  <si>
    <t>CX069</t>
  </si>
  <si>
    <t>Hiển (TPHP) 0946429686</t>
  </si>
  <si>
    <t>CX070</t>
  </si>
  <si>
    <t>Phúc (TPHP) 0982985115</t>
  </si>
  <si>
    <t>CX071</t>
  </si>
  <si>
    <t>Phượng (Minh Thuận) 0904342005</t>
  </si>
  <si>
    <t>CX072</t>
  </si>
  <si>
    <t>Phương Hiền (TPHP) 0913354652</t>
  </si>
  <si>
    <t>0913354652</t>
  </si>
  <si>
    <t>CX073</t>
  </si>
  <si>
    <t>Công Thành</t>
  </si>
  <si>
    <t>CX074</t>
  </si>
  <si>
    <t>Anh Sức (TPHP) 0936765639</t>
  </si>
  <si>
    <t>CX076</t>
  </si>
  <si>
    <t>Linh 0989122340</t>
  </si>
  <si>
    <t>KH00001</t>
  </si>
  <si>
    <t>Trần Thị Tình</t>
  </si>
  <si>
    <t>Thửa 11A3 khu Phú Xá (Nhà trọ 1)</t>
  </si>
  <si>
    <t>KH00002</t>
  </si>
  <si>
    <t>Công ty Bảo hiểm MIC Hải Phòng</t>
  </si>
  <si>
    <t>Số 2B Lạch Tray-Ngô Quyền-Hải Phòng</t>
  </si>
  <si>
    <t>BH</t>
  </si>
  <si>
    <t>0102385623-007</t>
  </si>
  <si>
    <t>KH00003</t>
  </si>
  <si>
    <t>Công ty CP Đầu tư A&amp;M</t>
  </si>
  <si>
    <t>P415, T4, KS Dầu khí, 441 Đà Nẵng, Ngô Quyền, HP</t>
  </si>
  <si>
    <t>0201581932</t>
  </si>
  <si>
    <t>KH00004</t>
  </si>
  <si>
    <t>Công ty TNHH TM Hoàng Phát</t>
  </si>
  <si>
    <t>Số 7 Lô 28 Lê Hồng Phong, Đông Khê, HP</t>
  </si>
  <si>
    <t>0200552449</t>
  </si>
  <si>
    <t>KH00005</t>
  </si>
  <si>
    <t>Công ty Mỹ Anh</t>
  </si>
  <si>
    <t>KH00006</t>
  </si>
  <si>
    <t>Trần Tuấn Vương</t>
  </si>
  <si>
    <t>KH00007</t>
  </si>
  <si>
    <t>Công ty TNHH Hiếu Tuấn</t>
  </si>
  <si>
    <t>Thôn Hòa Bình, Vĩnh Long, Vĩnh Linh, Quảng Trị</t>
  </si>
  <si>
    <t>3200148150</t>
  </si>
  <si>
    <t>KH00008</t>
  </si>
  <si>
    <t>Công ty TNHH TB Công nghiệp Bắc Nam</t>
  </si>
  <si>
    <t>KH00009</t>
  </si>
  <si>
    <t>Nguyễn Bá Hưởng</t>
  </si>
  <si>
    <t>Nam Hưng, Tiên Lãng, Hải Phòng</t>
  </si>
  <si>
    <t>KH00010</t>
  </si>
  <si>
    <t>Công ty Nguyễn Phát</t>
  </si>
  <si>
    <t>KH00011</t>
  </si>
  <si>
    <t>KH00012</t>
  </si>
  <si>
    <t>Văn phòng tư vấn và đào tạo kế toán Hoàng Ngân</t>
  </si>
  <si>
    <t>KH00013</t>
  </si>
  <si>
    <t>Loan (dọn nhà)</t>
  </si>
  <si>
    <t>KH00014</t>
  </si>
  <si>
    <t>Phạm Trung Kiên</t>
  </si>
  <si>
    <t>935B, Trần Nhân Tông, Kiến An, Hải Phòng</t>
  </si>
  <si>
    <t>0912615896</t>
  </si>
  <si>
    <t>KH00015</t>
  </si>
  <si>
    <t>Công ty Phương Hiền (A Trường)</t>
  </si>
  <si>
    <t>KH00016</t>
  </si>
  <si>
    <t>Cô Thủy (mua thuốc mỹ phẩm)</t>
  </si>
  <si>
    <t>KH00017</t>
  </si>
  <si>
    <t>Minh làm điện</t>
  </si>
  <si>
    <t>01232101555</t>
  </si>
  <si>
    <t>KH00018</t>
  </si>
  <si>
    <t>Nguyễn Văn Bảo</t>
  </si>
  <si>
    <t>KH00019</t>
  </si>
  <si>
    <t>Bùi Thị Ngọc Tú</t>
  </si>
  <si>
    <t>11B/89 Lê Lợi, Gia Viên, Ngô Quyền, Hải Phòng</t>
  </si>
  <si>
    <t>KH00020</t>
  </si>
  <si>
    <t>Nguyễn Đình Thảo (Làm non bộ)</t>
  </si>
  <si>
    <t>Tổ 5, Quang Trung, Phủ Lý, Hà Nam</t>
  </si>
  <si>
    <t>0902 999968</t>
  </si>
  <si>
    <t>KH000200</t>
  </si>
  <si>
    <t>Công ty Cổ Phần Việt Đức - Cường Mai</t>
  </si>
  <si>
    <t>KH00021</t>
  </si>
  <si>
    <t>Nguyễn Văn Điệp</t>
  </si>
  <si>
    <t>01246761988</t>
  </si>
  <si>
    <t>KH00022</t>
  </si>
  <si>
    <t>Ngân hàng PVbank (Phượng)</t>
  </si>
  <si>
    <t>NH</t>
  </si>
  <si>
    <t>KH00023</t>
  </si>
  <si>
    <t>BIDV trần Phú (Luân)</t>
  </si>
  <si>
    <t>KH00024</t>
  </si>
  <si>
    <t>Bùi Duy Chuộng (Phương)</t>
  </si>
  <si>
    <t>01282201256</t>
  </si>
  <si>
    <t>KH00025</t>
  </si>
  <si>
    <t>Công ty CP Bảo Khánh Việt Nam (Cường)</t>
  </si>
  <si>
    <t>0977 211 102</t>
  </si>
  <si>
    <t>KH00026</t>
  </si>
  <si>
    <t>Công ty TNHH ĐTTM và XNK Linh Anh</t>
  </si>
  <si>
    <t>KH00027</t>
  </si>
  <si>
    <t>Phạm Thị Dịu (cọc tre)</t>
  </si>
  <si>
    <t>163 Trần Tất Văn, Kiến An, Hải PHòng</t>
  </si>
  <si>
    <t>0919139015</t>
  </si>
  <si>
    <t>KH00028</t>
  </si>
  <si>
    <t>Sâu Tôm (BIDV Trần Phú)</t>
  </si>
  <si>
    <t>KH00029</t>
  </si>
  <si>
    <t>Công ty CP Kiến Trúc Nội Thất Đồng Gia</t>
  </si>
  <si>
    <t>Q. Long Biên, TP. Hà Nội</t>
  </si>
  <si>
    <t>KH00030</t>
  </si>
  <si>
    <t>Thái Văn Anh (Gạch lát)</t>
  </si>
  <si>
    <t>KH00031</t>
  </si>
  <si>
    <t>Ly (Gạch men)</t>
  </si>
  <si>
    <t>KH00032</t>
  </si>
  <si>
    <t>Nguyễn Thị Nhung</t>
  </si>
  <si>
    <t>0813028929</t>
  </si>
  <si>
    <t>KH00033</t>
  </si>
  <si>
    <t>Sổ TK Sâu Tôm, PVBank</t>
  </si>
  <si>
    <t>KH00034</t>
  </si>
  <si>
    <t>Sổ TK C Lan PV, BigSun</t>
  </si>
  <si>
    <t>KH00035</t>
  </si>
  <si>
    <t>Anh Vượng thuê nhà 446 cầu Rào</t>
  </si>
  <si>
    <t>KH00048</t>
  </si>
  <si>
    <t>Trần Xuân Thanh (Làm đồ ban thờ)</t>
  </si>
  <si>
    <t>KH00049</t>
  </si>
  <si>
    <t>Long Cty UNION</t>
  </si>
  <si>
    <t>KH00050</t>
  </si>
  <si>
    <t>Đỗ Văn TRường (chống thấm)</t>
  </si>
  <si>
    <t>KH00052</t>
  </si>
  <si>
    <t>Spa Hương Thảo Nguyên</t>
  </si>
  <si>
    <t>KH00060</t>
  </si>
  <si>
    <t>Cty Phúc ANh Linh</t>
  </si>
  <si>
    <t>KH00061</t>
  </si>
  <si>
    <t>Trường WellSpring Hà Nội</t>
  </si>
  <si>
    <t>Hà Nội</t>
  </si>
  <si>
    <t>KH00062</t>
  </si>
  <si>
    <t>Nguyễn Thị Hồng Ngân</t>
  </si>
  <si>
    <t>KH00063</t>
  </si>
  <si>
    <t>Nội thất Nam Cường</t>
  </si>
  <si>
    <t>KH047</t>
  </si>
  <si>
    <t>Nguyễn Khắc Huy</t>
  </si>
  <si>
    <t>KH049</t>
  </si>
  <si>
    <t>Nguyễn Văn An (Gạch xây Kiến Thụy)</t>
  </si>
  <si>
    <t>KH46</t>
  </si>
  <si>
    <t>Nguyễn Quang Nam (lái máy xúc của Tiến)</t>
  </si>
  <si>
    <t>KHBH01</t>
  </si>
  <si>
    <t>Trịnh Thị Kim Chi</t>
  </si>
  <si>
    <t>Nam Hải, Hải An, Hải Phòng</t>
  </si>
  <si>
    <t>KHBH02</t>
  </si>
  <si>
    <t>Vũ Thị Nhật</t>
  </si>
  <si>
    <t>Hương Thảo Nguyên</t>
  </si>
  <si>
    <t>KHBH03</t>
  </si>
  <si>
    <t>Vũ Thị Hồng Thúy</t>
  </si>
  <si>
    <t>KHBH04</t>
  </si>
  <si>
    <t>Lê Thị Thiên Huyền</t>
  </si>
  <si>
    <t>KT00003</t>
  </si>
  <si>
    <t>Mua cây bên Kiến Thụy</t>
  </si>
  <si>
    <t>KT</t>
  </si>
  <si>
    <t>KT000034</t>
  </si>
  <si>
    <t>Nguyễn Công Thế (Thợ mộc làm cửa và khóa) - Nam Định</t>
  </si>
  <si>
    <t>KT00018</t>
  </si>
  <si>
    <t>Tráng điện nước 0395578822</t>
  </si>
  <si>
    <t>KT00024</t>
  </si>
  <si>
    <t>Tuấn điều hòa</t>
  </si>
  <si>
    <t>KT00026</t>
  </si>
  <si>
    <t>Thiết bị bếp vệ sinh Đông Dương</t>
  </si>
  <si>
    <t>KT00028</t>
  </si>
  <si>
    <t>Máy xúc đào</t>
  </si>
  <si>
    <t>KT00047</t>
  </si>
  <si>
    <t>Máy xúc cần dài thuê ngoài.Tiến 0917684686</t>
  </si>
  <si>
    <t>KT00066</t>
  </si>
  <si>
    <t>Khách mua cây không có tên</t>
  </si>
  <si>
    <t>KT00067</t>
  </si>
  <si>
    <t>C Yến mua đồ bên Kiến Thụy</t>
  </si>
  <si>
    <t>KT0038</t>
  </si>
  <si>
    <t>Thuận máy ủi</t>
  </si>
  <si>
    <t>KT0039</t>
  </si>
  <si>
    <t>Lê Văn Tuấn (0934337290)</t>
  </si>
  <si>
    <t>KT0041</t>
  </si>
  <si>
    <t>Khoa Kim Trọng ( Công ty TNHH  Kim Long)</t>
  </si>
  <si>
    <t>Đằng Lâm - Hải An - Hải Phòng</t>
  </si>
  <si>
    <t>KT0043</t>
  </si>
  <si>
    <t>Tuấn (cắt cây)</t>
  </si>
  <si>
    <t>KT0044</t>
  </si>
  <si>
    <t>Vũ Trọng Trí (0329961648)</t>
  </si>
  <si>
    <t>KT0045</t>
  </si>
  <si>
    <t>Việt (Gỗ keo làm nhà)</t>
  </si>
  <si>
    <t>KT0046</t>
  </si>
  <si>
    <t>Trịnh Văn Phòng (0936 817 598)</t>
  </si>
  <si>
    <t>KT0047</t>
  </si>
  <si>
    <t>A Ngọc (0904 342 005)</t>
  </si>
  <si>
    <t>KT0048</t>
  </si>
  <si>
    <t>Nguyễn Đức Thành (Thành Lùn)</t>
  </si>
  <si>
    <t>KT0049</t>
  </si>
  <si>
    <t>Đồng (Sơn nhà sàn gỗ)</t>
  </si>
  <si>
    <t>KT0050</t>
  </si>
  <si>
    <t>Phạm Thanh Vân cty G7 Gạch nát bể bơi</t>
  </si>
  <si>
    <t>KT0051</t>
  </si>
  <si>
    <t>Đỗ Tài Tuấn (làm bếp)</t>
  </si>
  <si>
    <t>KT0052</t>
  </si>
  <si>
    <t>Lương Anh Tuấn (làm nhà gỗ)</t>
  </si>
  <si>
    <t>KT052</t>
  </si>
  <si>
    <t>Hiền non bộ (0989 560 332)</t>
  </si>
  <si>
    <t>MIENTRUNG</t>
  </si>
  <si>
    <t>Ủng hộ đồng bào lũ lụt Miền Trung</t>
  </si>
  <si>
    <t>MUAXE00001</t>
  </si>
  <si>
    <t>Công ty TNHH Vận tải Hải Diệp</t>
  </si>
  <si>
    <t>Số 20 CT1, Đ6, Đổng Quốc Bình, P. Đổng Quốc Bình, Q. Ngô Quyền, TP. Hải Phòng, Việt Nam</t>
  </si>
  <si>
    <t>CG; MUAXE</t>
  </si>
  <si>
    <t>0201416713</t>
  </si>
  <si>
    <t>0938742999</t>
  </si>
  <si>
    <t>NCC00001</t>
  </si>
  <si>
    <t>Công ty TNHH VTB &amp; TM Phúc Hải Phong</t>
  </si>
  <si>
    <t>827 Nguyễn Bỉnh Khiêm, Đông Hải 1, Hải An, HP</t>
  </si>
  <si>
    <t>DO</t>
  </si>
  <si>
    <t>0200847555</t>
  </si>
  <si>
    <t>0313614790</t>
  </si>
  <si>
    <t>NCC00011</t>
  </si>
  <si>
    <t>Tân Đại Thành</t>
  </si>
  <si>
    <t>BV</t>
  </si>
  <si>
    <t>NCC000201</t>
  </si>
  <si>
    <t>CÔNG TY TNHH QUANG PHÁT BAMBOO VIỆT NAM</t>
  </si>
  <si>
    <t xml:space="preserve">Thôn 6, xã Phú Cát, huyện Quốc Oai, TP. Hà Nội </t>
  </si>
  <si>
    <t>0972 712 388</t>
  </si>
  <si>
    <t>NCC000202</t>
  </si>
  <si>
    <t>CÔNG TY CỔ PHẦN PHÁT TRIỂN THƯƠNG HIỆU PHAN GIA</t>
  </si>
  <si>
    <t>75/20/93 An Phú Đông 09 khu phố 01, P.An Phú Đông, Q12, TP. HCM</t>
  </si>
  <si>
    <t>08.8886.8880 – 0909.188.190</t>
  </si>
  <si>
    <t>NCC000203</t>
  </si>
  <si>
    <t>Phùng Văn Giáp 0974.349.105</t>
  </si>
  <si>
    <t xml:space="preserve">Thôn Thanh Vỵ, Xã Thanh Mỹ, TX. Sơn Tây, TP. Hà Nội. </t>
  </si>
  <si>
    <t>NCC00045</t>
  </si>
  <si>
    <t>BigSun</t>
  </si>
  <si>
    <t>NCC00105</t>
  </si>
  <si>
    <t>Công ty cổ phần Vietruck</t>
  </si>
  <si>
    <t>Số 57 Hoàng Thế Thiện, Đông Hải 1, Hải An, Hải Phòng</t>
  </si>
  <si>
    <t>LO</t>
  </si>
  <si>
    <t>NH00012</t>
  </si>
  <si>
    <t>Ngân hàng PG bank</t>
  </si>
  <si>
    <t>TB00002</t>
  </si>
  <si>
    <t>MDHP - Mỹ Đoàn (vận chuyển) 0913288269</t>
  </si>
  <si>
    <t>TB00006</t>
  </si>
  <si>
    <t>MDHP - Mỹ Đoàn (các lô) 0913288269</t>
  </si>
  <si>
    <t>TB00007</t>
  </si>
  <si>
    <t>Nguyễn Anh Đức 0981921107</t>
  </si>
  <si>
    <t>Số 39/42/161 Phương Lưu, P. Vạn Mỹ, Q. Ngô Quyền, Tp. Hải Phòng</t>
  </si>
  <si>
    <t>0981921107</t>
  </si>
  <si>
    <t>TB01</t>
  </si>
  <si>
    <t xml:space="preserve">Phạm Minh Tú </t>
  </si>
  <si>
    <t>1A/12 An Đà - Đằng Giang - Ngô Quyền - HP</t>
  </si>
  <si>
    <t>TN03</t>
  </si>
  <si>
    <t>Nguyễn Quang Sơn (Nhà 03)</t>
  </si>
  <si>
    <t>TN04</t>
  </si>
  <si>
    <t>Triệu Thị Thanh Xuân</t>
  </si>
  <si>
    <t>Vietcombank Nam Hải Phòng</t>
  </si>
  <si>
    <t>Ngân hàng Vietcombank Nam Hải Phòng</t>
  </si>
  <si>
    <t>Đường Hoàng Diệu - Hải Phòng</t>
  </si>
  <si>
    <t>VT00001</t>
  </si>
  <si>
    <t>Triệu Cao Quang</t>
  </si>
  <si>
    <t>VT00002</t>
  </si>
  <si>
    <t>Trần Văn Quang</t>
  </si>
  <si>
    <t>Phường Dương Nội, Quận Hà Đông, TP Hà Nội</t>
  </si>
  <si>
    <t>VT00003</t>
  </si>
  <si>
    <t>Việt lùn, vay tiền</t>
  </si>
  <si>
    <t>VT00004</t>
  </si>
  <si>
    <t>Thuấn đồn Phó CA Đình Vũ (món vay của bạn)</t>
  </si>
  <si>
    <t>VT00005</t>
  </si>
  <si>
    <t>Cao Bá Ngọc (Vạn An)</t>
  </si>
  <si>
    <t>37/164 Chùa Hàng, Lê Chân, Hồ Nam, Hải Phòng</t>
  </si>
  <si>
    <t>VT00006</t>
  </si>
  <si>
    <t>Quân (Minh Phương)</t>
  </si>
  <si>
    <t>Công ty CP Đầu tư Bất động sản Minh Phương</t>
  </si>
  <si>
    <t>VT00007</t>
  </si>
  <si>
    <t>Đoàn (Mỹ Đoàn)</t>
  </si>
  <si>
    <t>Công ty TNHH TM và SX Mỹ Đoàn</t>
  </si>
  <si>
    <t>VT00008</t>
  </si>
  <si>
    <t>Trịnh</t>
  </si>
  <si>
    <t>Số 1000 Nguyễn Bỉnh Khiêm, Hải Phòng</t>
  </si>
  <si>
    <t>VT00009</t>
  </si>
  <si>
    <t>Thưởng</t>
  </si>
  <si>
    <t>Công an Ngô Quyền</t>
  </si>
  <si>
    <t>VT00010</t>
  </si>
  <si>
    <t>Diện (Đức Mạnh)</t>
  </si>
  <si>
    <t>Đức Mạnh</t>
  </si>
  <si>
    <t>VT00011</t>
  </si>
  <si>
    <t>Linh (Công an)</t>
  </si>
  <si>
    <t>Công an Hải Phòng</t>
  </si>
  <si>
    <t>VT00012</t>
  </si>
  <si>
    <t>Hùng (Kim Anh)</t>
  </si>
  <si>
    <t>VT00013</t>
  </si>
  <si>
    <t>Toàn cẩu</t>
  </si>
  <si>
    <t>VT00014</t>
  </si>
  <si>
    <t>Thắng (Hà Tây)</t>
  </si>
  <si>
    <t>Hà Tây</t>
  </si>
  <si>
    <t>VT00015</t>
  </si>
  <si>
    <t>Hồ Văn Bình (Mỹ Đoàn)</t>
  </si>
  <si>
    <t>VT00016</t>
  </si>
  <si>
    <t>Anh Lợi (A Sơn báo)</t>
  </si>
  <si>
    <t>VT00017</t>
  </si>
  <si>
    <t>Nguyễn Thị Mai Anh</t>
  </si>
  <si>
    <t>VT00018</t>
  </si>
  <si>
    <t>Hằng (Bán cafe cổng cảng 4)</t>
  </si>
  <si>
    <t>VT00019</t>
  </si>
  <si>
    <t>Nguyễn Ngọc Thành</t>
  </si>
  <si>
    <t>Tổ DP số 4, Phú Đô, Nam Từ Liêm, Hà Nội</t>
  </si>
  <si>
    <t>VT00020</t>
  </si>
  <si>
    <t>Hương (Hoàng Long)</t>
  </si>
  <si>
    <t>VT00021</t>
  </si>
  <si>
    <t>Phạm Hải Anh (Vinafor)</t>
  </si>
  <si>
    <t>Tổng Công ty Lâm Nghiệp Việt Nam, Công ty CP</t>
  </si>
  <si>
    <t>VT00022</t>
  </si>
  <si>
    <t>Hùng (Trang Hà)</t>
  </si>
  <si>
    <t>VT00023</t>
  </si>
  <si>
    <t>Nguyễn Xuân Khuê</t>
  </si>
  <si>
    <t>Công an Đông Hải 1</t>
  </si>
  <si>
    <t>VT00024</t>
  </si>
  <si>
    <t>Trịnh Quốc Hoàn (DHS VN)</t>
  </si>
  <si>
    <t>0912222560</t>
  </si>
  <si>
    <t>VT00025</t>
  </si>
  <si>
    <t>Trần Văn Sang (Sang con, Mỹ Đoàn)</t>
  </si>
  <si>
    <t>VT00026</t>
  </si>
  <si>
    <t>Nguyễn Huy Ước (Hà Đông)</t>
  </si>
  <si>
    <t>Trung Bình, Phường Dương Nội, Quận Hà Đông, Hà Nội</t>
  </si>
  <si>
    <t>VT00027</t>
  </si>
  <si>
    <t>Hoàng Thị Bình</t>
  </si>
  <si>
    <t>Trường Hai Bà Trưng</t>
  </si>
  <si>
    <t>VT00028</t>
  </si>
  <si>
    <t>Nguyễn Thị Bay</t>
  </si>
  <si>
    <t>VT00029</t>
  </si>
  <si>
    <t>Nguyễn Văn Trường (Trường cây)</t>
  </si>
  <si>
    <t>125 Hồ Sen, Hàng Kênh, Lê Chân, Hải Phòng</t>
  </si>
  <si>
    <t>0989411268</t>
  </si>
  <si>
    <t>VT00030</t>
  </si>
  <si>
    <t>Phạm Thị Nga</t>
  </si>
  <si>
    <t>Số 5/26 Lam Sơn, Lê Chân, Hải Phòng</t>
  </si>
  <si>
    <t>VT00031</t>
  </si>
  <si>
    <t>Nguyễn Đức Mạnh (Hà Trung)</t>
  </si>
  <si>
    <t>Giao Tự, Kim Sơn, Gia Lâm, Hà Nội</t>
  </si>
  <si>
    <t>VT00032</t>
  </si>
  <si>
    <t>Vũ Tiến Thành (Phú Lân)</t>
  </si>
  <si>
    <t>VT00033</t>
  </si>
  <si>
    <t>Dâng (Cục thuế HP)</t>
  </si>
  <si>
    <t>Cục thuế Hải Phòng</t>
  </si>
  <si>
    <t>VT00034</t>
  </si>
  <si>
    <t>Nhâm (Hà Tây)</t>
  </si>
  <si>
    <t>VT00035</t>
  </si>
  <si>
    <t>Nguyễn Văn Toản (Bán cây)</t>
  </si>
  <si>
    <t>Tiền Giang</t>
  </si>
  <si>
    <t>0913995337</t>
  </si>
  <si>
    <t>VT00036</t>
  </si>
  <si>
    <t>Trần Văn Tuyến (HDHN) 0966083092</t>
  </si>
  <si>
    <t>VT00037</t>
  </si>
  <si>
    <t>Nguyễn Hồng Lam</t>
  </si>
  <si>
    <t>VT00038</t>
  </si>
  <si>
    <t>A Định (Kiến Thụy) - Bạn a Sơn</t>
  </si>
  <si>
    <t>VT00039</t>
  </si>
  <si>
    <t>Vũ Hữu Uyên (0763 446 210)</t>
  </si>
  <si>
    <t>Kiến Thụy - Hải Phòng</t>
  </si>
  <si>
    <t>VT00040</t>
  </si>
  <si>
    <t>Phạm Sơn Tùng: 0911475657</t>
  </si>
  <si>
    <t>5/333 Trần Nhân Tông - Kiến An - HP</t>
  </si>
  <si>
    <t>VT00041</t>
  </si>
  <si>
    <t>Anh Quang Thanh</t>
  </si>
  <si>
    <t>VT00042</t>
  </si>
  <si>
    <t>Tuấn Cá Sấu</t>
  </si>
  <si>
    <t>VT00043</t>
  </si>
  <si>
    <t>Khuất Nguyên Hoàn</t>
  </si>
  <si>
    <t>Số nhà 2, khu 1, ngõ 7 Đường Lê Đức Thọ, Phường Mỹ Đình 2,  Quận Nam Từ Liêm, Thành phố Hà Nội.</t>
  </si>
  <si>
    <t>CS; VT</t>
  </si>
  <si>
    <t>093 660 9999</t>
  </si>
  <si>
    <t>DANH SÁCH VẬT TƯ, HÀNG HÓA, DỊCH VỤ</t>
  </si>
  <si>
    <t>Mã</t>
  </si>
  <si>
    <t>128.HS</t>
  </si>
  <si>
    <t>DKG&lt;-&gt;Chuyển tải 128-HS</t>
  </si>
  <si>
    <t>189.HS</t>
  </si>
  <si>
    <t>DKG&lt;-&gt;Chuyển tải 189-HS</t>
  </si>
  <si>
    <t>AD.HP.DKS</t>
  </si>
  <si>
    <t>DKS&lt;-&gt;An Dương, Hải Phòng</t>
  </si>
  <si>
    <t>AD.HP.THG</t>
  </si>
  <si>
    <t>THG&lt;-&gt;An Dương, Hải Phòng</t>
  </si>
  <si>
    <t>AL.HP.DKG</t>
  </si>
  <si>
    <t>DKG&lt;-&gt;An Lão, Hải Phòng</t>
  </si>
  <si>
    <t>AL.HP.DKS</t>
  </si>
  <si>
    <t>DKS&lt;-&gt;An Lão, Hải Phòng</t>
  </si>
  <si>
    <t>AL.HP.THG</t>
  </si>
  <si>
    <t>THG&lt;-&gt;An Lão, Hải Phòng</t>
  </si>
  <si>
    <t>AS.NA.DKG</t>
  </si>
  <si>
    <t>DKG&lt;-&gt;Anh Sơn, Nghệ An</t>
  </si>
  <si>
    <t>AT.HY.DKG</t>
  </si>
  <si>
    <t>DKG&lt;-&gt;Ân Thi, Hưng Yên</t>
  </si>
  <si>
    <t>AT.HY.THG</t>
  </si>
  <si>
    <t>THG&lt;-&gt;Ân Thi, Hưng Yên</t>
  </si>
  <si>
    <t>BD.HN.DKG</t>
  </si>
  <si>
    <t>DKG&lt;-&gt;Bình Đà, Hà Nội</t>
  </si>
  <si>
    <t>BD.HN.DKS</t>
  </si>
  <si>
    <t>DKS&lt;-&gt;Bình Đà, Hà Nội</t>
  </si>
  <si>
    <t>BD.HN.THG</t>
  </si>
  <si>
    <t>THG&lt;-&gt;Bình Đà, Hà Nội</t>
  </si>
  <si>
    <t>BD.QB.DKG</t>
  </si>
  <si>
    <t>DKG&lt;-&gt;Ba Đồn, Quảng Bình</t>
  </si>
  <si>
    <t>BG.HD.DKG</t>
  </si>
  <si>
    <t>DKG&lt;-&gt;Bình Giang, Hải Dương</t>
  </si>
  <si>
    <t>BG.HD.DKS</t>
  </si>
  <si>
    <t>DKS&lt;-&gt;Bình Giang, Hải Dương</t>
  </si>
  <si>
    <t>BH.BG.DKG</t>
  </si>
  <si>
    <t>DKG&lt;-&gt;Bố Hạ, Bắc Giang</t>
  </si>
  <si>
    <t>BH.BG.DKS</t>
  </si>
  <si>
    <t>DKS&lt;-&gt;Bố Hạ, Bắc Giang</t>
  </si>
  <si>
    <t>BH.BG.THG</t>
  </si>
  <si>
    <t>BHDS</t>
  </si>
  <si>
    <t>Bảo hiểm dân sự cho xe</t>
  </si>
  <si>
    <t>BHVC</t>
  </si>
  <si>
    <t>Bảo hiểm vật chất</t>
  </si>
  <si>
    <t>BL.HN.DKG</t>
  </si>
  <si>
    <t>DKG&lt;-&gt;Ba La, Hà Đông, Hà Nội</t>
  </si>
  <si>
    <t>BL.HN.THG</t>
  </si>
  <si>
    <t>THG&lt;-&gt;Ba La, Hà Đông, Hà Nội</t>
  </si>
  <si>
    <t>BL.HNA.DKG</t>
  </si>
  <si>
    <t>DKG&lt;-&gt;Bình Lục, Hà Nam</t>
  </si>
  <si>
    <t>BL.HNA.THG</t>
  </si>
  <si>
    <t>THG&lt;-&gt;Bình Lục, hà Nam</t>
  </si>
  <si>
    <t>BM.HNA.DKG</t>
  </si>
  <si>
    <t>DKG&lt;-&gt;Bình Mỹ, Hà Nam</t>
  </si>
  <si>
    <t>BN.LC.DKG</t>
  </si>
  <si>
    <t>DKG&lt;-&gt;Bảo Nhai, Lào Cai</t>
  </si>
  <si>
    <t>BS.HN.DKG</t>
  </si>
  <si>
    <t>DKG&lt;-&gt;Biển Sắt, Hà Đông, Hà Nội</t>
  </si>
  <si>
    <t>BS.HN.THG</t>
  </si>
  <si>
    <t>THG&lt;-&gt;Biển Sắt, Hà Đông, Hà Nội</t>
  </si>
  <si>
    <t>BS.LS.DKG</t>
  </si>
  <si>
    <t>DKG&lt;-&gt;Bắc Sơn, Lạng Sơn</t>
  </si>
  <si>
    <t>BS.TH.DKG</t>
  </si>
  <si>
    <t>DKG&lt;-&gt;Bỉm Sơn (đường HCM), Thanh Hóa</t>
  </si>
  <si>
    <t>BS.TH.DKS</t>
  </si>
  <si>
    <t>DKS&lt;-&gt;Bỉm Sơn, Thanh Hóa</t>
  </si>
  <si>
    <t>BS.TH.THG</t>
  </si>
  <si>
    <t>THG&lt;-&gt;Bỉm Sơn (đường HCM), Thanh Hóa</t>
  </si>
  <si>
    <t>BT.HN.DKG</t>
  </si>
  <si>
    <t>DKG&lt;-&gt;Ba Thá, Hà Nội</t>
  </si>
  <si>
    <t>BT.NA.DKG</t>
  </si>
  <si>
    <t>DKG&lt;-&gt;Cầu Bến Thủy, Nghệ An</t>
  </si>
  <si>
    <t>BT.NA.THG</t>
  </si>
  <si>
    <t>THG&lt;-&gt;Cầu Bến Thủy, Nghệ An</t>
  </si>
  <si>
    <t>BT.QB.DKG</t>
  </si>
  <si>
    <t>DKG&lt;-&gt;Bố Trạch, Quảng Bình</t>
  </si>
  <si>
    <t>BV.HN.DKG</t>
  </si>
  <si>
    <t>DKG&lt;-&gt;Ba Vì, Hà Nội</t>
  </si>
  <si>
    <t>BV.HN.DKS</t>
  </si>
  <si>
    <t>DKS&lt;-&gt;Ba Vì, Hà Nội</t>
  </si>
  <si>
    <t>BV.HN.THG</t>
  </si>
  <si>
    <t>THG&lt;-&gt;Ba Vì, Hà Nội</t>
  </si>
  <si>
    <t>BV.HP.DKS</t>
  </si>
  <si>
    <t>DKS&lt;-&gt;Bùi Viện, Hải Phòng</t>
  </si>
  <si>
    <t>BX.HD.DKG</t>
  </si>
  <si>
    <t>DKG&lt;-&gt;Bình Xuyên, Hải Dương</t>
  </si>
  <si>
    <t>BX.VP.DKG</t>
  </si>
  <si>
    <t>DKG&lt;-&gt;Bình Xuyên, Vĩnh Phúc</t>
  </si>
  <si>
    <t>BX.VP.DKS</t>
  </si>
  <si>
    <t>DKS&lt;-&gt;Bình Xuyên, Vĩnh Phúc</t>
  </si>
  <si>
    <t>BX.VP.THG</t>
  </si>
  <si>
    <t>THG&lt;-&gt;Bình Xuyên, Vĩnh Phúc</t>
  </si>
  <si>
    <t>CB.HD.DKG</t>
  </si>
  <si>
    <t>DKG&lt;-&gt;Cầu Bình, Hải Dương</t>
  </si>
  <si>
    <t>CB.HD.THG</t>
  </si>
  <si>
    <t>THG&lt;-&gt;Cầu Bình, Hải Dương</t>
  </si>
  <si>
    <t>CBT.NA.DKS</t>
  </si>
  <si>
    <t>DKS&lt;-&gt;Cầu Bến Thủy, Nghệ An</t>
  </si>
  <si>
    <t>CD.HD.DKG</t>
  </si>
  <si>
    <t>DKG&lt;-&gt;Cổ Dũng, Hải Dương</t>
  </si>
  <si>
    <t>CD.HN.DKG</t>
  </si>
  <si>
    <t>DKG&lt;-&gt;Cầu Diễn, Hà Nội</t>
  </si>
  <si>
    <t>CDC.HY.DKG</t>
  </si>
  <si>
    <t>DKG&lt;-&gt;Chợ Đường Cái, Hưng Yên</t>
  </si>
  <si>
    <t>CDC.HY.THG</t>
  </si>
  <si>
    <t>THG&lt;-&gt;Chợ Đường Cái, Hưng Yên</t>
  </si>
  <si>
    <t>CDP.TN.DKG</t>
  </si>
  <si>
    <t>DKG&lt;-&gt;Cầu Đa Phúc, Thái Nguyên</t>
  </si>
  <si>
    <t>CDP.TN.THG</t>
  </si>
  <si>
    <t>THG&lt;-&gt;Cầu Đa Phúc, Thái Nguyên</t>
  </si>
  <si>
    <t>CDV.189</t>
  </si>
  <si>
    <t>DKG&lt;-&gt;Chuyển tải khu vực CĐV-189</t>
  </si>
  <si>
    <t>CDV.CDV</t>
  </si>
  <si>
    <t>DKS&lt;-&gt;Chuyển tải khu vực CĐV-CĐV</t>
  </si>
  <si>
    <t>CDV.DKS</t>
  </si>
  <si>
    <t>DKS&lt;-&gt;Cảng Đình Vũ DKS</t>
  </si>
  <si>
    <t>CDV.HS</t>
  </si>
  <si>
    <t>DKG&lt;-&gt;Chuyển tải khu vực CĐV-HS</t>
  </si>
  <si>
    <t>CG.HD.DKG</t>
  </si>
  <si>
    <t>DKG&lt;-&gt;Cẩm Giàng, Hải Dương</t>
  </si>
  <si>
    <t>CG.HD.DKS</t>
  </si>
  <si>
    <t>DKS&lt;-&gt;Cẩm Giàng, Hải Dương</t>
  </si>
  <si>
    <t>CG.HD.THG</t>
  </si>
  <si>
    <t>THG&lt;-&gt;Cẩm Giàng, Hải Dương</t>
  </si>
  <si>
    <t>CG.HY.DKG</t>
  </si>
  <si>
    <t>DKG&lt;-&gt;Chợ Gạo, Hưng Yên</t>
  </si>
  <si>
    <t>CG.HY.DKS</t>
  </si>
  <si>
    <t>DKS&lt;-&gt;Chợ Gạo, Hưng Yên</t>
  </si>
  <si>
    <t>CG.HY.THG</t>
  </si>
  <si>
    <t>THG&lt;-&gt;Chợ Gạo, Hưng Yên</t>
  </si>
  <si>
    <t>CH.BN.DKG</t>
  </si>
  <si>
    <t>DKG&lt;-&gt;Cầu Hồ, Bắc Ninh</t>
  </si>
  <si>
    <t>CH.BN.THG</t>
  </si>
  <si>
    <t>THG&lt;-&gt;Cầu Hồ, Bắc Ninh</t>
  </si>
  <si>
    <t>CH.HP.DKS</t>
  </si>
  <si>
    <t>DKS&lt;-&gt;Cát Hải, Hải Phòng</t>
  </si>
  <si>
    <t>CHOVAY</t>
  </si>
  <si>
    <t>Cho vay</t>
  </si>
  <si>
    <t>CHP.189</t>
  </si>
  <si>
    <t>DKG&lt;-&gt;Chuyển tải CHP-189</t>
  </si>
  <si>
    <t>CHP.BAIKHAC</t>
  </si>
  <si>
    <t>DKG&lt;-&gt;Chuyển tải CHP-Các bãi khác</t>
  </si>
  <si>
    <t>CHP.HS</t>
  </si>
  <si>
    <t>DKG&lt;-&gt;Chuyển tải CHP-HS</t>
  </si>
  <si>
    <t>CL.HD.DKG</t>
  </si>
  <si>
    <t>DKG&lt;-&gt;Chí Linh, Sao Đỏ, Hải Dương</t>
  </si>
  <si>
    <t>CL.HD.DKS</t>
  </si>
  <si>
    <t>DKS&lt;-&gt;Chí Linh, Sao Đỏ, Hải Dương</t>
  </si>
  <si>
    <t>CL.HD.THG</t>
  </si>
  <si>
    <t>THG&lt;-&gt;Chí Linh, Sao Đỏ, Hải Dương</t>
  </si>
  <si>
    <t>CL.HT.DKG</t>
  </si>
  <si>
    <t>DKG&lt;-&gt;Can Lộc, Hà Tĩnh</t>
  </si>
  <si>
    <t>CL.HT.THG</t>
  </si>
  <si>
    <t>THG&lt;-&gt;Can Lộc, Hà Tĩnh</t>
  </si>
  <si>
    <t>CL.NA.DKG</t>
  </si>
  <si>
    <t>DKG&lt;-&gt;Cửa Lò, Nghệ An</t>
  </si>
  <si>
    <t>CL.ND.DKG</t>
  </si>
  <si>
    <t>DKG&lt;-&gt;Cổ Lễ, Nam Định</t>
  </si>
  <si>
    <t>CL.ND.DKS</t>
  </si>
  <si>
    <t>DKS&lt;-&gt;Cổ Lễ, Nam Định</t>
  </si>
  <si>
    <t>CL.ND.THG</t>
  </si>
  <si>
    <t>THG&lt;-&gt;Cổ Lễ, Nam Định</t>
  </si>
  <si>
    <t>CL.QN.DKS</t>
  </si>
  <si>
    <t>DKS&lt;-&gt;Cái Lân, Quảng Ninh</t>
  </si>
  <si>
    <t>CLDAU</t>
  </si>
  <si>
    <t>Chênh lệch dầu</t>
  </si>
  <si>
    <t>CLH.DKS</t>
  </si>
  <si>
    <t>DKS&lt;-&gt;Vinfas (Cát Hải)</t>
  </si>
  <si>
    <t>CLH.HS</t>
  </si>
  <si>
    <t>DKG&lt;-&gt;Chuyển tải khu vực CLH-HS</t>
  </si>
  <si>
    <t>CLLUAT</t>
  </si>
  <si>
    <t>Chênh lệch luật</t>
  </si>
  <si>
    <t>CM.HN.DKG</t>
  </si>
  <si>
    <t>DKG&lt;-&gt;Chương Mỹ, Hà Nội</t>
  </si>
  <si>
    <t>CM.HN.DKS</t>
  </si>
  <si>
    <t>DKS&lt;-&gt;Chương Mỹ, Hà Nội</t>
  </si>
  <si>
    <t>CN.HN.DKG</t>
  </si>
  <si>
    <t>DKG&lt;-&gt;Canh Nậu, Hà Nội</t>
  </si>
  <si>
    <t>CN.TB.DKG</t>
  </si>
  <si>
    <t>DKG&lt;-&gt;Cầu Nghìn, Thái Bình</t>
  </si>
  <si>
    <t>CN.TB.THG</t>
  </si>
  <si>
    <t>THG&lt;-&gt;Cầu Nghìn, Thái Bình</t>
  </si>
  <si>
    <t>CONKE</t>
  </si>
  <si>
    <t>Mua con kê</t>
  </si>
  <si>
    <t>CP.HB.DKG</t>
  </si>
  <si>
    <t>DKG&lt;-&gt;Cao Phong, Hòa Bình</t>
  </si>
  <si>
    <t>CP.QN.DKG</t>
  </si>
  <si>
    <t>DKG&lt;-&gt;Cẩm Phả, Quảng Ninh</t>
  </si>
  <si>
    <t>CP.QN.DKS</t>
  </si>
  <si>
    <t>DKS&lt;-&gt;Cẩm Phả, Quảng Ninh</t>
  </si>
  <si>
    <t>CP.QN.THG</t>
  </si>
  <si>
    <t>THG&lt;-&gt;Cẩm Phả, Quảng Ninh</t>
  </si>
  <si>
    <t>CPMH</t>
  </si>
  <si>
    <t>Chi phí mua hàng</t>
  </si>
  <si>
    <t>CS7.HP.DKG</t>
  </si>
  <si>
    <t>DKG&lt;-&gt;Cây Số 7, Hải Phòng</t>
  </si>
  <si>
    <t>CS7.HP.THG</t>
  </si>
  <si>
    <t>THG&lt;-&gt;Cây Số 7, Hải Phòng</t>
  </si>
  <si>
    <t>CUAGO</t>
  </si>
  <si>
    <t>Cưa gỗ</t>
  </si>
  <si>
    <t>CX.HT.DKG</t>
  </si>
  <si>
    <t>DKG&lt;-&gt;Cẩm Xuyên, Hà Tĩnh</t>
  </si>
  <si>
    <t>D5M.HP.DKS</t>
  </si>
  <si>
    <t>DKS&lt;-&gt;Đường 5 mới, Hải Phòng</t>
  </si>
  <si>
    <t>DA.HN.DKG</t>
  </si>
  <si>
    <t>DKG&lt;-&gt;Đông Anh, Hà Nội</t>
  </si>
  <si>
    <t>DA.HN.DKS</t>
  </si>
  <si>
    <t>DKS&lt;-&gt;Đông Anh, Hà Nội</t>
  </si>
  <si>
    <t>DA.HN.THG</t>
  </si>
  <si>
    <t>THG&lt;-&gt;Đông Anh, Hà Nội</t>
  </si>
  <si>
    <t>DC.NA.DKG</t>
  </si>
  <si>
    <t>DKG&lt;-&gt;Diễn Châu, Nghệ An</t>
  </si>
  <si>
    <t>DC.NA.THG</t>
  </si>
  <si>
    <t>THG&lt;-&gt;Diễn Châu, Nghệ An</t>
  </si>
  <si>
    <t>DD.BN.DKS</t>
  </si>
  <si>
    <t>DKS&lt;-&gt;Đại Đồng, Bắc Ninh</t>
  </si>
  <si>
    <t>DD.HN.DKS</t>
  </si>
  <si>
    <t>DKS&lt;-&gt;Đống Đa, Hà Nội</t>
  </si>
  <si>
    <t>DD.HP.DKS</t>
  </si>
  <si>
    <t>DKS&lt;-&gt;Đồng Đạt, Hải Phòng</t>
  </si>
  <si>
    <t>DD.TB.DKG</t>
  </si>
  <si>
    <t>DKG&lt;-&gt;Diêm Điều, Thái Bình</t>
  </si>
  <si>
    <t>DD.TB.THG</t>
  </si>
  <si>
    <t>THG&lt;-&gt;Diêm Điều, Thái Bình</t>
  </si>
  <si>
    <t>DD.VP.DKS</t>
  </si>
  <si>
    <t>DKS&lt;-&gt;Đại Đồng, Vĩnh Phúc</t>
  </si>
  <si>
    <t>DG.HN.DKG</t>
  </si>
  <si>
    <t>DKG&lt;-&gt;Đức Giang, Hà Nội</t>
  </si>
  <si>
    <t>DG.HN.DKS</t>
  </si>
  <si>
    <t>DKS&lt;-&gt;Đức Giang, Hà Nội</t>
  </si>
  <si>
    <t>DH.PT.DKG</t>
  </si>
  <si>
    <t>DKG&lt;-&gt;Đoan Hùng, Phú Thọ</t>
  </si>
  <si>
    <t>DH.PT.DKS</t>
  </si>
  <si>
    <t>DKS&lt;-&gt;Đoan Hùng, Phú Thọ</t>
  </si>
  <si>
    <t>DH.TB.DKG</t>
  </si>
  <si>
    <t>DKG&lt;-&gt;Đông Hưng, Thái Bình</t>
  </si>
  <si>
    <t>DH.TB.DKS</t>
  </si>
  <si>
    <t>DKS&lt;-&gt;Đông Hưng, Thái Bình</t>
  </si>
  <si>
    <t>DH.TB.THG</t>
  </si>
  <si>
    <t>THG&lt;-&gt;Đông Hưng, Thái Bình</t>
  </si>
  <si>
    <t>DH.TN.DKS</t>
  </si>
  <si>
    <t>DKS&lt;-&gt;Đồng Hỷ, Thái Nguyên</t>
  </si>
  <si>
    <t>DIEN</t>
  </si>
  <si>
    <t>Điện sinh hoạt</t>
  </si>
  <si>
    <t>DK.BG.DKS</t>
  </si>
  <si>
    <t>DKS&lt;-&gt;Dĩnh Kế, Bắc Giang</t>
  </si>
  <si>
    <t>DK.HP.DKS</t>
  </si>
  <si>
    <t>DKS&lt;-&gt;Dương Kinh, Hải Phòng</t>
  </si>
  <si>
    <t>DL.HY.DKG</t>
  </si>
  <si>
    <t>DKG&lt;-&gt;Dốc Lã, Hưng Yên</t>
  </si>
  <si>
    <t>DL.HY.THG</t>
  </si>
  <si>
    <t>THG&lt;-&gt;Dốc Lã, Hưng Yên</t>
  </si>
  <si>
    <t>DL.NA.DKG</t>
  </si>
  <si>
    <t>DKG&lt;-&gt;Đô Lương, Nghệ An</t>
  </si>
  <si>
    <t>DL.NA.DKS</t>
  </si>
  <si>
    <t>DKS&lt;-&gt;Đô Lương, Nghệ An</t>
  </si>
  <si>
    <t>DL.NA.THG</t>
  </si>
  <si>
    <t>THG&lt;-&gt;Đô Lương, Nghệ An</t>
  </si>
  <si>
    <t>DL.VP.DKG</t>
  </si>
  <si>
    <t>DKG&lt;-&gt;Đại Lải, Vĩnh Phúc</t>
  </si>
  <si>
    <t>DLTL.HN.DKS</t>
  </si>
  <si>
    <t>DKS&lt;-&gt;Đại lộ Thăng Long, Hà Nội</t>
  </si>
  <si>
    <t>Dầu DO</t>
  </si>
  <si>
    <t>DONGBUAKL</t>
  </si>
  <si>
    <t>Đóng búa kiểm lâm</t>
  </si>
  <si>
    <t>DONGDAI</t>
  </si>
  <si>
    <t>Đóng đai kiện hàng</t>
  </si>
  <si>
    <t>DONRACPHUNNUOC</t>
  </si>
  <si>
    <t>Dọn rác, phun nước</t>
  </si>
  <si>
    <t>DP.HN.DKG</t>
  </si>
  <si>
    <t>DKG&lt;-&gt;Đan Phượng, Hà Nội</t>
  </si>
  <si>
    <t>DP.HN.DKS</t>
  </si>
  <si>
    <t>DKS&lt;-&gt;Đan Phượng, Hà Nội</t>
  </si>
  <si>
    <t>DP.HN.THG</t>
  </si>
  <si>
    <t>THG&lt;-&gt;Đan Phượng, Hà Nội</t>
  </si>
  <si>
    <t>DS.HP.DKG</t>
  </si>
  <si>
    <t>DKG&lt;-&gt;Đồ Sơn, Hải Phòng</t>
  </si>
  <si>
    <t>DS.HP.DKS</t>
  </si>
  <si>
    <t>DKS&lt;-&gt;Đồ Sơn, Hải Phòng</t>
  </si>
  <si>
    <t>DS.HP.THG</t>
  </si>
  <si>
    <t>THG&lt;-&gt;Đồ Sơn, Hải Phòng</t>
  </si>
  <si>
    <t>DS.TH.DKG</t>
  </si>
  <si>
    <t>DKG&lt;-&gt;Đông Sơn, Thanh Hóa</t>
  </si>
  <si>
    <t>DS.TH.DKS</t>
  </si>
  <si>
    <t>DKS&lt;-&gt;Đông Sơn, Thanh Hóa</t>
  </si>
  <si>
    <t>DT.BG.DKS</t>
  </si>
  <si>
    <t>DKS&lt;-&gt;Đình Trám, Bắc Giang</t>
  </si>
  <si>
    <t>DT.HNA.DKG</t>
  </si>
  <si>
    <t>DKG&lt;-&gt;Duy Tiên, Hà Nam</t>
  </si>
  <si>
    <t>DT.HNA.DKS</t>
  </si>
  <si>
    <t>DKS&lt;-&gt;Duy Tiên, Hà Nam</t>
  </si>
  <si>
    <t>DT.HNA.THG</t>
  </si>
  <si>
    <t>THG&lt;-&gt;Duy Tiên, Hà Nam</t>
  </si>
  <si>
    <t>DT.HT.DKG</t>
  </si>
  <si>
    <t>DKG&lt;-&gt;Đức Thọ, Hà tĩnh</t>
  </si>
  <si>
    <t>DT.QN.DKG</t>
  </si>
  <si>
    <t>DKG&lt;-&gt;Đông Triều, Quảng Ninh</t>
  </si>
  <si>
    <t>DT.QN.THG</t>
  </si>
  <si>
    <t>THG&lt;-&gt;Đông Triều, Quảng Ninh</t>
  </si>
  <si>
    <t>DT.TN.DKG</t>
  </si>
  <si>
    <t>DKG&lt;-&gt;Đại Từ, Thái Nguyên</t>
  </si>
  <si>
    <t>DT.TN.DKS</t>
  </si>
  <si>
    <t>DKS&lt;-&gt;Đại Từ, Thái Nguyên</t>
  </si>
  <si>
    <t>DV.HNA.DKG</t>
  </si>
  <si>
    <t>DKG&lt;-&gt;Đồng Văn, Hà Nam</t>
  </si>
  <si>
    <t>DV.HNA.DKS</t>
  </si>
  <si>
    <t>DKS&lt;-&gt;Đồng Văn, Hà Nam</t>
  </si>
  <si>
    <t>DV.HNA.THG</t>
  </si>
  <si>
    <t>THG&lt;-&gt;Đồng Văn, Hà Nam</t>
  </si>
  <si>
    <t>DVKHAC</t>
  </si>
  <si>
    <t>Dịch vụ khác</t>
  </si>
  <si>
    <t>DX.HN.DKG</t>
  </si>
  <si>
    <t>DKG&lt;-&gt;Đỗ Xá, Hà Nội</t>
  </si>
  <si>
    <t>DX.HN.THG</t>
  </si>
  <si>
    <t>THG&lt;-&gt;Đỗ Xá, Hà Nội</t>
  </si>
  <si>
    <t>DY.NA.DKG</t>
  </si>
  <si>
    <t>DKG&lt;-&gt;Diễn Yên, Nghệ An</t>
  </si>
  <si>
    <t>GB.BN.DKG</t>
  </si>
  <si>
    <t>DKG&lt;-&gt;Gia Bình, Bắc Ninh</t>
  </si>
  <si>
    <t>GB.BN.DKS</t>
  </si>
  <si>
    <t>DKS&lt;-&gt;Gia Bình, Bắc Ninh</t>
  </si>
  <si>
    <t>GB.BN.THG</t>
  </si>
  <si>
    <t>THG&lt;-&gt;Gia Bình, Bắc Ninh</t>
  </si>
  <si>
    <t>GD.QN.DKG</t>
  </si>
  <si>
    <t>DKG&lt;-&gt;Giếng Đáy, Quảng Ninh</t>
  </si>
  <si>
    <t>GD.QN.THG</t>
  </si>
  <si>
    <t>THG&lt;-&gt;Giếng Đáy, Quảng Ninh</t>
  </si>
  <si>
    <t>GK.NB.DKS</t>
  </si>
  <si>
    <t>DKS&lt;-&gt;Gián Khẩu, Ninh Bình</t>
  </si>
  <si>
    <t>GL.HD.DKG</t>
  </si>
  <si>
    <t>DKG&lt;-&gt;Gia Lộc, Hải Dương</t>
  </si>
  <si>
    <t>GL.HD.THG</t>
  </si>
  <si>
    <t>THG&lt;-&gt;Gia Lộc, Hải Dương</t>
  </si>
  <si>
    <t>GL.HN.DKG</t>
  </si>
  <si>
    <t>DKG&lt;-&gt;Gia Lâm, Hà Nội</t>
  </si>
  <si>
    <t>GL.HN.DKS</t>
  </si>
  <si>
    <t>DKS&lt;-&gt;Gia Lâm, Hà Nội</t>
  </si>
  <si>
    <t>GL.HN.THG</t>
  </si>
  <si>
    <t>THG&lt;-&gt;Gia Lâm, Hà Nội</t>
  </si>
  <si>
    <t>GP.HN.DKS</t>
  </si>
  <si>
    <t>DKS&lt;-&gt;Giải Phóng, Hà Nội</t>
  </si>
  <si>
    <t>GT.ND.DKG</t>
  </si>
  <si>
    <t>DKG&lt;-&gt;Giao Thủy, Nam Định</t>
  </si>
  <si>
    <t>GTGT</t>
  </si>
  <si>
    <t>Thuế GTGT</t>
  </si>
  <si>
    <t>GUIXE</t>
  </si>
  <si>
    <t>Gửi xe</t>
  </si>
  <si>
    <t>GV.NB.DKG</t>
  </si>
  <si>
    <t>DKG&lt;-&gt;Gia Viễn, Ninh Bình</t>
  </si>
  <si>
    <t>GV.NB.DKS</t>
  </si>
  <si>
    <t>DKS&lt;-&gt;Gia Viễn, Ninh Bình</t>
  </si>
  <si>
    <t>GVB.ND.DKG</t>
  </si>
  <si>
    <t>DKG&lt;-&gt;Gôi Vụ Bản, Nam Định</t>
  </si>
  <si>
    <t>HACONT</t>
  </si>
  <si>
    <t>Hạ cont từ xe đầu kéo xuống bãi</t>
  </si>
  <si>
    <t>HAGOPHAN</t>
  </si>
  <si>
    <t>Hạ gỗ phản từ xe xuống bãi</t>
  </si>
  <si>
    <t>HAGOTRON</t>
  </si>
  <si>
    <t>Hạ gỗ tròn từ xe xuống bãi</t>
  </si>
  <si>
    <t>HAGOXE</t>
  </si>
  <si>
    <t>Hạ gỗ xẻ, đóng kiện từ xe xuống bãi</t>
  </si>
  <si>
    <t>HAIQUAN</t>
  </si>
  <si>
    <t>Phí làm thủ tục Hải quan</t>
  </si>
  <si>
    <t>HB.HP.DKG</t>
  </si>
  <si>
    <t>DKG&lt;-&gt;Hồng Bàng, Hải Phòng</t>
  </si>
  <si>
    <t>HB.HP.DKS</t>
  </si>
  <si>
    <t>DKS&lt;-&gt;Hồng Bàng, Hải Phòng</t>
  </si>
  <si>
    <t>HB.HP.THG</t>
  </si>
  <si>
    <t>THG&lt;-&gt;Hồng Bàng, Hải Phòng</t>
  </si>
  <si>
    <t>HB.ND.DKG</t>
  </si>
  <si>
    <t>DKG&lt;-&gt;Hữu Bị, Nam Định</t>
  </si>
  <si>
    <t>HB.QN.DKG</t>
  </si>
  <si>
    <t>DKG&lt;-&gt;Hoành Bồ, Quảng Ninh</t>
  </si>
  <si>
    <t>HC.HP.DKS</t>
  </si>
  <si>
    <t>DKS&lt;-&gt;Hùng Cường, Hải Phòng</t>
  </si>
  <si>
    <t>HD.HN.DKG</t>
  </si>
  <si>
    <t>DKG&lt;-&gt;Hà Đông, Hà Nội</t>
  </si>
  <si>
    <t>HD.HN.DKS</t>
  </si>
  <si>
    <t>DKS&lt;-&gt;Hà Đông, Hà Nội</t>
  </si>
  <si>
    <t>HD.HN.THG</t>
  </si>
  <si>
    <t>THG&lt;-&gt;Hà Đông, Hà Nội</t>
  </si>
  <si>
    <t>HDU.HN.DKS</t>
  </si>
  <si>
    <t>DKS&lt;-&gt;Hoài Đức, Hà Nội</t>
  </si>
  <si>
    <t>HG.QN.DKG</t>
  </si>
  <si>
    <t>DKG&lt;-&gt;Hòn Gai, Quảng Ninh</t>
  </si>
  <si>
    <t>HG.QN.THG</t>
  </si>
  <si>
    <t>THG&lt;-&gt;Hòn Gai, Quảng Ninh</t>
  </si>
  <si>
    <t>HH.BG.DKG</t>
  </si>
  <si>
    <t>DKG&lt;-&gt;Hiệp Hòa, Bắc Giang</t>
  </si>
  <si>
    <t>HH.BG.DKS</t>
  </si>
  <si>
    <t>DKS&lt;-&gt;Hiệp Hòa, Bắc Giang</t>
  </si>
  <si>
    <t>HH.BG.THG</t>
  </si>
  <si>
    <t>THG&lt;-&gt;Hiệp Hòa, Bắc Giang</t>
  </si>
  <si>
    <t>HH.ND.DKG</t>
  </si>
  <si>
    <t>DKG&lt;-&gt;Hải Hậu, Nam Định</t>
  </si>
  <si>
    <t>HH.ND.DKS</t>
  </si>
  <si>
    <t>DKS&lt;-&gt;Hải Hậu, Nam Định</t>
  </si>
  <si>
    <t>HH.ND.THG</t>
  </si>
  <si>
    <t>THG&lt;-&gt;Hải Hậu, Nam Định</t>
  </si>
  <si>
    <t>HH.PT.DKS</t>
  </si>
  <si>
    <t>DKS&lt;-&gt;Hạ Hòa, Phú Thọ</t>
  </si>
  <si>
    <t>HH.QN.DKG</t>
  </si>
  <si>
    <t>DKG&lt;-&gt;Hải Hà, Quảng Ninh</t>
  </si>
  <si>
    <t>HH.TB.DKG</t>
  </si>
  <si>
    <t>DKG&lt;-&gt;Hưng Hà, Thái Bình</t>
  </si>
  <si>
    <t>HH.TB.DKS</t>
  </si>
  <si>
    <t>DKS&lt;-&gt;Hưng Hà, Thái Bình</t>
  </si>
  <si>
    <t>HH.TB.THG</t>
  </si>
  <si>
    <t>THG&lt;-&gt;Hưng Hà, Thái Bình</t>
  </si>
  <si>
    <t>HH.TH.DKG</t>
  </si>
  <si>
    <t>DKG&lt;-&gt;Hoàng Hóa, Thanh Hóa</t>
  </si>
  <si>
    <t>HH.TH.THG</t>
  </si>
  <si>
    <t>THG&lt;-&gt;Hoàng Hóa, Thanh Hóa</t>
  </si>
  <si>
    <t>HH001</t>
  </si>
  <si>
    <t>Sting</t>
  </si>
  <si>
    <t>HH002</t>
  </si>
  <si>
    <t>Bò húc</t>
  </si>
  <si>
    <t>HH003</t>
  </si>
  <si>
    <t>Pepsi</t>
  </si>
  <si>
    <t>HH004</t>
  </si>
  <si>
    <t>Aqua 0,5L</t>
  </si>
  <si>
    <t>HH005</t>
  </si>
  <si>
    <t>Aqua 1,5L</t>
  </si>
  <si>
    <t>HH006</t>
  </si>
  <si>
    <t>Dr Thanh</t>
  </si>
  <si>
    <t>HH007</t>
  </si>
  <si>
    <t>247</t>
  </si>
  <si>
    <t>HH008</t>
  </si>
  <si>
    <t>Chanh muối 360</t>
  </si>
  <si>
    <t>HH009</t>
  </si>
  <si>
    <t>Trà xanh không độ</t>
  </si>
  <si>
    <t>HH010</t>
  </si>
  <si>
    <t>Nước cam</t>
  </si>
  <si>
    <t>HH011</t>
  </si>
  <si>
    <t>Nước khoáng Quang Hanh</t>
  </si>
  <si>
    <t>HH012</t>
  </si>
  <si>
    <t>Revive</t>
  </si>
  <si>
    <t>HH013</t>
  </si>
  <si>
    <t>Bia chai Hà Nội</t>
  </si>
  <si>
    <t>HH014</t>
  </si>
  <si>
    <t>Bia 333</t>
  </si>
  <si>
    <t>HH015</t>
  </si>
  <si>
    <t>Thuốc lá Thăng Long</t>
  </si>
  <si>
    <t>HH016</t>
  </si>
  <si>
    <t>Thuốc lá Vina</t>
  </si>
  <si>
    <t>HH017</t>
  </si>
  <si>
    <t>Thuốc lá Mèo</t>
  </si>
  <si>
    <t>HH018</t>
  </si>
  <si>
    <t>Thuốc lá 555</t>
  </si>
  <si>
    <t>HH019</t>
  </si>
  <si>
    <t>Thuốc lá Ngựa</t>
  </si>
  <si>
    <t>HH020</t>
  </si>
  <si>
    <t>Thẻ Điện Thoại</t>
  </si>
  <si>
    <t>HH021</t>
  </si>
  <si>
    <t>Trà Olong (Matcha)</t>
  </si>
  <si>
    <t>HH022</t>
  </si>
  <si>
    <t>7 Up</t>
  </si>
  <si>
    <t>HH023</t>
  </si>
  <si>
    <t>Cocacola lon</t>
  </si>
  <si>
    <t>HH024</t>
  </si>
  <si>
    <t>Kẹo Cao Su</t>
  </si>
  <si>
    <t>HH025</t>
  </si>
  <si>
    <t>Cafe bột.</t>
  </si>
  <si>
    <t>HH026</t>
  </si>
  <si>
    <t>Sơn A300</t>
  </si>
  <si>
    <t>HH027</t>
  </si>
  <si>
    <t>Sơn HP 0,5 Lít đỏ</t>
  </si>
  <si>
    <t>HH028</t>
  </si>
  <si>
    <t>Sơn HP 0,5 Lít xanh lá</t>
  </si>
  <si>
    <t>HH029</t>
  </si>
  <si>
    <t>Chổi nhựa vàng nhỏ</t>
  </si>
  <si>
    <t>HH030</t>
  </si>
  <si>
    <t>Chổi nhựa vàng lớn</t>
  </si>
  <si>
    <t>HH031</t>
  </si>
  <si>
    <t>Thước dây 5m</t>
  </si>
  <si>
    <t>HH032</t>
  </si>
  <si>
    <t>Thước dây 10m</t>
  </si>
  <si>
    <t>HH033</t>
  </si>
  <si>
    <t>Sữa Fami</t>
  </si>
  <si>
    <t>HH034</t>
  </si>
  <si>
    <t>MD</t>
  </si>
  <si>
    <t>HH035</t>
  </si>
  <si>
    <t>Bút TQ số 8</t>
  </si>
  <si>
    <t>HH036</t>
  </si>
  <si>
    <t>Bàn chải có cán Sài Gòn bé</t>
  </si>
  <si>
    <t>HH037</t>
  </si>
  <si>
    <t>Sơn Nhũ</t>
  </si>
  <si>
    <t>HH038</t>
  </si>
  <si>
    <t>Thuốc lá Thăng Long (loại mới)</t>
  </si>
  <si>
    <t>HH039</t>
  </si>
  <si>
    <t>Lavi</t>
  </si>
  <si>
    <t>HH040</t>
  </si>
  <si>
    <t>Dasan</t>
  </si>
  <si>
    <t>HH041</t>
  </si>
  <si>
    <t>Nutri</t>
  </si>
  <si>
    <t>HH042</t>
  </si>
  <si>
    <t>Cocacola chai nhựa</t>
  </si>
  <si>
    <t>HH043</t>
  </si>
  <si>
    <t>Nước Yến</t>
  </si>
  <si>
    <t>HH044</t>
  </si>
  <si>
    <t>Sữa đậu</t>
  </si>
  <si>
    <t>HH045</t>
  </si>
  <si>
    <t>Nước bí đao</t>
  </si>
  <si>
    <t>HH046</t>
  </si>
  <si>
    <t>Aquarius</t>
  </si>
  <si>
    <t>HH047</t>
  </si>
  <si>
    <t>C2</t>
  </si>
  <si>
    <t>HH048</t>
  </si>
  <si>
    <t>Latte</t>
  </si>
  <si>
    <t>HH049</t>
  </si>
  <si>
    <t>IC đào</t>
  </si>
  <si>
    <t>HH050</t>
  </si>
  <si>
    <t>Sprite</t>
  </si>
  <si>
    <t>HH051</t>
  </si>
  <si>
    <t>Trisisoy</t>
  </si>
  <si>
    <t>HH052</t>
  </si>
  <si>
    <t>Bàn chải sắt</t>
  </si>
  <si>
    <t>HH053</t>
  </si>
  <si>
    <t>Chổi 3VM</t>
  </si>
  <si>
    <t>HH054</t>
  </si>
  <si>
    <t>Chổi 2VM</t>
  </si>
  <si>
    <t>HH055</t>
  </si>
  <si>
    <t>Thước 20m</t>
  </si>
  <si>
    <t>HH056</t>
  </si>
  <si>
    <t>Thuốc lá Man</t>
  </si>
  <si>
    <t>HH057</t>
  </si>
  <si>
    <t>Nước củ quả ép</t>
  </si>
  <si>
    <t>HH058</t>
  </si>
  <si>
    <t>Găng bạt</t>
  </si>
  <si>
    <t>HH059</t>
  </si>
  <si>
    <t>Găng sợi ngòi</t>
  </si>
  <si>
    <t>HH060</t>
  </si>
  <si>
    <t>Khẩu trang đẹp</t>
  </si>
  <si>
    <t>HH061</t>
  </si>
  <si>
    <t>Bút vẽ</t>
  </si>
  <si>
    <t>HH062</t>
  </si>
  <si>
    <t>Sơn HP 0,5 Lít Cánh Gián</t>
  </si>
  <si>
    <t>HH063</t>
  </si>
  <si>
    <t>Chổi 2,5VM</t>
  </si>
  <si>
    <t>HH064</t>
  </si>
  <si>
    <t>Nước uống Thái Lan</t>
  </si>
  <si>
    <t>HH065</t>
  </si>
  <si>
    <t>Khăn mặt</t>
  </si>
  <si>
    <t>HH066</t>
  </si>
  <si>
    <t>Kem đánh răng</t>
  </si>
  <si>
    <t>HH067</t>
  </si>
  <si>
    <t>Bàn chải đánh răng</t>
  </si>
  <si>
    <t>HH068</t>
  </si>
  <si>
    <t>Khăn ướt</t>
  </si>
  <si>
    <t>HH069</t>
  </si>
  <si>
    <t>Găng tráng nhựa</t>
  </si>
  <si>
    <t>HH070</t>
  </si>
  <si>
    <t>Xà phòng Lifeboy</t>
  </si>
  <si>
    <t>HH071</t>
  </si>
  <si>
    <t>Bật Lửa</t>
  </si>
  <si>
    <t>HH072</t>
  </si>
  <si>
    <t>Nhân trần, quả La Hán</t>
  </si>
  <si>
    <t>HH073</t>
  </si>
  <si>
    <t>Thuốc Lào</t>
  </si>
  <si>
    <t>HH074</t>
  </si>
  <si>
    <t>Chè đắng</t>
  </si>
  <si>
    <t>HH075</t>
  </si>
  <si>
    <t>Sữa đặc</t>
  </si>
  <si>
    <t>HH076</t>
  </si>
  <si>
    <t>Bút bi</t>
  </si>
  <si>
    <t>HH077</t>
  </si>
  <si>
    <t>Phấn sáp</t>
  </si>
  <si>
    <t>HH078</t>
  </si>
  <si>
    <t>Chè khô</t>
  </si>
  <si>
    <t>HH079</t>
  </si>
  <si>
    <t>Bánh chuối</t>
  </si>
  <si>
    <t>HH080</t>
  </si>
  <si>
    <t>Bánh dừa</t>
  </si>
  <si>
    <t>HH081</t>
  </si>
  <si>
    <t>Bánh Cosy</t>
  </si>
  <si>
    <t>HH082</t>
  </si>
  <si>
    <t>Kẹo lạc</t>
  </si>
  <si>
    <t>HH083</t>
  </si>
  <si>
    <t>Lương khô</t>
  </si>
  <si>
    <t>HH084</t>
  </si>
  <si>
    <t>Dao cạo</t>
  </si>
  <si>
    <t>HH085</t>
  </si>
  <si>
    <t>Bánh mỳ nho</t>
  </si>
  <si>
    <t>HH086</t>
  </si>
  <si>
    <t>Nón lá</t>
  </si>
  <si>
    <t>HH087</t>
  </si>
  <si>
    <t>Bánh Chocopie</t>
  </si>
  <si>
    <t>HH088</t>
  </si>
  <si>
    <t>Cao Sâm</t>
  </si>
  <si>
    <t>HH089</t>
  </si>
  <si>
    <t>Keo sữa</t>
  </si>
  <si>
    <t>HH090</t>
  </si>
  <si>
    <t>Bay nhỏ</t>
  </si>
  <si>
    <t>HH091</t>
  </si>
  <si>
    <t>Thuốc lá Man ngoại</t>
  </si>
  <si>
    <t>HH092</t>
  </si>
  <si>
    <t>Dasan 1,5 Lit</t>
  </si>
  <si>
    <t>HH093</t>
  </si>
  <si>
    <t>Bả Sơn</t>
  </si>
  <si>
    <t>HH094</t>
  </si>
  <si>
    <t>Mũ cối</t>
  </si>
  <si>
    <t>HH095</t>
  </si>
  <si>
    <t>Comando</t>
  </si>
  <si>
    <t>HH096</t>
  </si>
  <si>
    <t>Áo mưa bộ</t>
  </si>
  <si>
    <t>HH097</t>
  </si>
  <si>
    <t>Sấu ngâm</t>
  </si>
  <si>
    <t>HH098</t>
  </si>
  <si>
    <t>Lốp xe nâng Solideal-Srilanka 26-25 hiệu LM E3 28PR</t>
  </si>
  <si>
    <t>HH099</t>
  </si>
  <si>
    <t>Trà đào, trà chanh</t>
  </si>
  <si>
    <t>HH101</t>
  </si>
  <si>
    <t>Khẩu trang mới</t>
  </si>
  <si>
    <t>HH102</t>
  </si>
  <si>
    <t>Ve sơn</t>
  </si>
  <si>
    <t>HH103</t>
  </si>
  <si>
    <t>Giấy in</t>
  </si>
  <si>
    <t>HH104</t>
  </si>
  <si>
    <t>Thuốc lá Thăng Long (xanh)</t>
  </si>
  <si>
    <t>HH106</t>
  </si>
  <si>
    <t>Xô nhựa</t>
  </si>
  <si>
    <t>HH107</t>
  </si>
  <si>
    <t>Lipton</t>
  </si>
  <si>
    <t>HH108</t>
  </si>
  <si>
    <t>Nước sinh hoạt</t>
  </si>
  <si>
    <t>HH109</t>
  </si>
  <si>
    <t>Phí thoát, vận hành, xử lý nước sinh hoạt</t>
  </si>
  <si>
    <t>HH110</t>
  </si>
  <si>
    <t>Thước 7,5m</t>
  </si>
  <si>
    <t>HK.HT.DKG</t>
  </si>
  <si>
    <t>DKG&lt;-&gt;Hương Khê, Hà Tĩnh</t>
  </si>
  <si>
    <t>HK.QN.DKG</t>
  </si>
  <si>
    <t>DKG&lt;-&gt;Hà Khẩu, Quảng Ninh</t>
  </si>
  <si>
    <t>HK.QN.THG</t>
  </si>
  <si>
    <t>THG&lt;-&gt;Hà Khẩu, Quảng Ninh</t>
  </si>
  <si>
    <t>HK.YB.DKG</t>
  </si>
  <si>
    <t>DKG&lt;-&gt;Hưng Khánh, Yên Bái</t>
  </si>
  <si>
    <t>HL.BN.DKG</t>
  </si>
  <si>
    <t>DKG&lt;-&gt;Hòa Lạc, Bắc Ninh</t>
  </si>
  <si>
    <t>HL.BN.THG</t>
  </si>
  <si>
    <t>THG&lt;-&gt;Hòa Lạc, Bắc Ninh</t>
  </si>
  <si>
    <t>HL.HN.DKG</t>
  </si>
  <si>
    <t>DKG&lt;-&gt;Hòa Lạc, Hà Nội</t>
  </si>
  <si>
    <t>HL.HP.DKG</t>
  </si>
  <si>
    <t>DKG&lt;-&gt;Hạ Lý, Hải Phòng</t>
  </si>
  <si>
    <t>HL.HP.THG</t>
  </si>
  <si>
    <t>THG&lt;-&gt;Hạ Lý, Hải Phòng</t>
  </si>
  <si>
    <t>HL.HT.DKG</t>
  </si>
  <si>
    <t>DKG&lt;-&gt;Hồng Lĩnh, Hà Tĩnh</t>
  </si>
  <si>
    <t>HL.LS.DKS</t>
  </si>
  <si>
    <t>DKS&lt;-&gt;Hữu Lũng, Lạng Sơn</t>
  </si>
  <si>
    <t>HL.NB.DKG</t>
  </si>
  <si>
    <t>DKG&lt;-&gt;Hoa Lư, Ninh Bình</t>
  </si>
  <si>
    <t>HL.QN.DKG</t>
  </si>
  <si>
    <t>DKG&lt;-&gt;Hạ Long, Quảng Ninh</t>
  </si>
  <si>
    <t>HL.QN.DKS</t>
  </si>
  <si>
    <t>DKS&lt;-&gt;Hạ Long, Quảng Ninh</t>
  </si>
  <si>
    <t>HL.QN.THG</t>
  </si>
  <si>
    <t>THG&lt;-&gt;Hạ Long, Quảng Ninh</t>
  </si>
  <si>
    <t>HL.TH.DKG</t>
  </si>
  <si>
    <t>DKG&lt;-&gt;Hậu Lộc, Thanh Hóa</t>
  </si>
  <si>
    <t>HL.TH.DKS</t>
  </si>
  <si>
    <t>DKS&lt;-&gt;Hậu Lộc, Thanh Hóa</t>
  </si>
  <si>
    <t>HL.TH.THG</t>
  </si>
  <si>
    <t>THG&lt;-&gt;Hậu Lộc, Thanh Hóa</t>
  </si>
  <si>
    <t>HM.HN.DKS</t>
  </si>
  <si>
    <t>DKS&lt;-&gt;Hoàng Mai, Hà Nội</t>
  </si>
  <si>
    <t>HN.NA.DKG</t>
  </si>
  <si>
    <t>DKG&lt;-&gt;Hưng Nguyên, Nghệ An</t>
  </si>
  <si>
    <t>HOAHONG</t>
  </si>
  <si>
    <t>Hoa hồng cho chủ gỗ (Nhà nước)</t>
  </si>
  <si>
    <t>HS.CB</t>
  </si>
  <si>
    <t>DKG&lt;-&gt;Chuyển tải HS.CB</t>
  </si>
  <si>
    <t>HS.HA</t>
  </si>
  <si>
    <t>DKG&lt;-&gt;Chuyển tải HS-HA</t>
  </si>
  <si>
    <t>HS.HP.DKG</t>
  </si>
  <si>
    <t>DKG&lt;-&gt;Hồ Sen, Hải Phòng</t>
  </si>
  <si>
    <t>HS.HP.THG</t>
  </si>
  <si>
    <t>THG&lt;-&gt;Hồ Sen, Hải Phòng</t>
  </si>
  <si>
    <t>HS.HT.DKG</t>
  </si>
  <si>
    <t>DKG&lt;-&gt;Hương Sơn, Hà Tĩnh</t>
  </si>
  <si>
    <t>HT.TH.DKG</t>
  </si>
  <si>
    <t>DKG&lt;-&gt;Hà Trung, Thanh Hóa</t>
  </si>
  <si>
    <t>HT.TH.THG</t>
  </si>
  <si>
    <t>THG&lt;-&gt;Hà Trung, Thanh Hóa</t>
  </si>
  <si>
    <t>HX.HP.DKS</t>
  </si>
  <si>
    <t>DKS&lt;-&gt;Hồng Xuân, Hải Phòng (CS7)</t>
  </si>
  <si>
    <t>HX.PT.DKG</t>
  </si>
  <si>
    <t>DKG&lt;-&gt;Hoàng Xá, Phú Thọ</t>
  </si>
  <si>
    <t>HX.QT.DKG</t>
  </si>
  <si>
    <t>DKG&lt;-&gt;Hồ Xá, Quảng trị</t>
  </si>
  <si>
    <t>KA.HP.DKG</t>
  </si>
  <si>
    <t>DKG&lt;-&gt;Kiến An, Hải Phòng</t>
  </si>
  <si>
    <t>KA.HP.DKS</t>
  </si>
  <si>
    <t>DKS&lt;-&gt;Kiến An, Hải Phòng</t>
  </si>
  <si>
    <t>KA.HP.THG</t>
  </si>
  <si>
    <t>THG&lt;-&gt;Kiến An, Hải Phòng</t>
  </si>
  <si>
    <t>KA.HT.DKG</t>
  </si>
  <si>
    <t>DKG&lt;-&gt;Kỳ Anh, Hà Tĩnh</t>
  </si>
  <si>
    <t>KB.HB.DKS</t>
  </si>
  <si>
    <t>DKS&lt;-&gt;Kim Bôi, Hòa Bình</t>
  </si>
  <si>
    <t>KB.HNA.DKG</t>
  </si>
  <si>
    <t>DKG&lt;-&gt;Kim Bảng, Hà Nam</t>
  </si>
  <si>
    <t>KB.HNA.DKS</t>
  </si>
  <si>
    <t>DKS&lt;-&gt;Kim Bảng, Hà Nam</t>
  </si>
  <si>
    <t>KB.HNA.THG</t>
  </si>
  <si>
    <t>THG&lt;-&gt;Kim Bảng, Hà Nam</t>
  </si>
  <si>
    <t>KC.HY.DKG</t>
  </si>
  <si>
    <t>DKG&lt;-&gt;Khoái Châu, Hưng Yên</t>
  </si>
  <si>
    <t>KC.HY.DKS</t>
  </si>
  <si>
    <t>DKS&lt;-&gt;Khoái Châu, Hưng Yên</t>
  </si>
  <si>
    <t>KC.HY.THG</t>
  </si>
  <si>
    <t>THG&lt;-&gt;Khoái Châu, Hưng Yên</t>
  </si>
  <si>
    <t>KCNTD.HP.DKS</t>
  </si>
  <si>
    <t>DKS&lt;-&gt;KCN Tràng Duệ, Hải Phòng</t>
  </si>
  <si>
    <t>KD.HY.DKG</t>
  </si>
  <si>
    <t>DKG&lt;-&gt;Kim Động, Hưng Yên</t>
  </si>
  <si>
    <t>KD.HY.DKS</t>
  </si>
  <si>
    <t>DKS&lt;-&gt;Kim Động, Hưng Yên</t>
  </si>
  <si>
    <t>KD.HY.THG</t>
  </si>
  <si>
    <t>THG&lt;-&gt;Kim Động, Hưng Yên</t>
  </si>
  <si>
    <t>KH.DKG</t>
  </si>
  <si>
    <t>DKG&lt;-&gt;K/H …</t>
  </si>
  <si>
    <t>KH.DKS</t>
  </si>
  <si>
    <t>DKS&lt;-&gt;K/H …</t>
  </si>
  <si>
    <t>KH.THG</t>
  </si>
  <si>
    <t>THG&lt;-&gt;K/H …</t>
  </si>
  <si>
    <t>KHOANXAU</t>
  </si>
  <si>
    <t>Khoán xẩu gỗ</t>
  </si>
  <si>
    <t>KIEMLAMNHAP</t>
  </si>
  <si>
    <t>Làm Kiểm lâm nhập</t>
  </si>
  <si>
    <t>KIEMLAMXUAT</t>
  </si>
  <si>
    <t>Làm kiểm lâm xuất</t>
  </si>
  <si>
    <t>KM.2000</t>
  </si>
  <si>
    <t>K/M chủ gỗ 2.000 đ/m3</t>
  </si>
  <si>
    <t>KM.5000</t>
  </si>
  <si>
    <t>K/M chủ gỗ 5.000 đ/m3</t>
  </si>
  <si>
    <t>KM.HD.DKG</t>
  </si>
  <si>
    <t>DKG&lt;-&gt;Kinh Môn, Hải Dương</t>
  </si>
  <si>
    <t>KM.HD.THG</t>
  </si>
  <si>
    <t>THG&lt;-&gt;Kinh Môn, Hải Dương</t>
  </si>
  <si>
    <t>KP.NB.DKS</t>
  </si>
  <si>
    <t>DKS&lt;-&gt;Khánh Phú, Ninh Bình</t>
  </si>
  <si>
    <t>KS.HB.DKS</t>
  </si>
  <si>
    <t>DKS&lt;-&gt;Kỳ Sơn, Hòa Bình</t>
  </si>
  <si>
    <t>KS.HD.DKG</t>
  </si>
  <si>
    <t>DKG&lt;-&gt;Kẻ Sặt, Hải Dương</t>
  </si>
  <si>
    <t>KS.HD.THG</t>
  </si>
  <si>
    <t>THG&lt;-&gt;Kẻ Sặt, Hải Dương</t>
  </si>
  <si>
    <t>KS.NB.DKG</t>
  </si>
  <si>
    <t>DKG&lt;-&gt;Kim Sơn, Ninh Bình</t>
  </si>
  <si>
    <t>KS.NB.THG</t>
  </si>
  <si>
    <t>THG&lt;-&gt;Kim Sơn, Ninh Bình</t>
  </si>
  <si>
    <t>KT.HD.DKG</t>
  </si>
  <si>
    <t>DKG&lt;-&gt;Kim Thành, Hải Dương</t>
  </si>
  <si>
    <t>KT.HD.DKS</t>
  </si>
  <si>
    <t>DKS&lt;-&gt;Kim Thành, Hải Dương</t>
  </si>
  <si>
    <t>KT.HD.THG</t>
  </si>
  <si>
    <t>THG&lt;-&gt;Kim Thành, Hải Dương</t>
  </si>
  <si>
    <t>KT.HP.DKG</t>
  </si>
  <si>
    <t>DKG&lt;-&gt;Kiến Thụy, Hải Phòng</t>
  </si>
  <si>
    <t>KT.HP.DKS</t>
  </si>
  <si>
    <t>DKS&lt;-&gt;Kiến Thụy, Hải Phòng</t>
  </si>
  <si>
    <t>KT.HP.THG</t>
  </si>
  <si>
    <t>THG&lt;-&gt;Kiến Thụy, Hải Phòng</t>
  </si>
  <si>
    <t>KX.TB.DKG</t>
  </si>
  <si>
    <t>DKG&lt;-&gt;Kiến Xương, Thái Bình</t>
  </si>
  <si>
    <t>KX.TB.THG</t>
  </si>
  <si>
    <t>THG&lt;-&gt;Kiến Xương, Thái Bình</t>
  </si>
  <si>
    <t>LB.HN.DKS</t>
  </si>
  <si>
    <t>DKS&lt;-&gt;Long Biên, Hà Nội</t>
  </si>
  <si>
    <t>LB.LS.DKG</t>
  </si>
  <si>
    <t>DKG&lt;-&gt;TT. Lộc Bình, Lạng Sơn</t>
  </si>
  <si>
    <t>LB.LS.THG</t>
  </si>
  <si>
    <t>THG&lt;-&gt;TT. Lộc Bình, Lạng Sơn</t>
  </si>
  <si>
    <t>LC.DN.DKG</t>
  </si>
  <si>
    <t>DKG&lt;-&gt;Liên Chiểu, Đà Nẵng</t>
  </si>
  <si>
    <t>LC.HD.DKG</t>
  </si>
  <si>
    <t>DKG&lt;-&gt;Lai Cách, Hải Dương</t>
  </si>
  <si>
    <t>LC.HD.THG</t>
  </si>
  <si>
    <t>THG&lt;-&gt;Lai Cách, Hải Dương</t>
  </si>
  <si>
    <t>LC.HP.DKS</t>
  </si>
  <si>
    <t>DKS&lt;-&gt;Lê Chân, Hải Phòng</t>
  </si>
  <si>
    <t>LD.HN.DKG</t>
  </si>
  <si>
    <t>DKG&lt;-&gt;La Dương, Hà Đông, Hà Nội</t>
  </si>
  <si>
    <t>LD.HN.THG</t>
  </si>
  <si>
    <t>THG&lt;-&gt;La Dương, Hà Đông, Hà Nội</t>
  </si>
  <si>
    <t>LD.HY.DKG</t>
  </si>
  <si>
    <t>DKG&lt;-&gt;Lạc Đạo, Hưng Yên</t>
  </si>
  <si>
    <t>LD.HY.DKS</t>
  </si>
  <si>
    <t>DKS&lt;-&gt;Lâm Động, Hưng Yên</t>
  </si>
  <si>
    <t>LD.HY.THG</t>
  </si>
  <si>
    <t>THG&lt;-&gt;Lạc Đạo, Hưng Yên</t>
  </si>
  <si>
    <t>LDA.HN.DKG</t>
  </si>
  <si>
    <t>DKG&lt;-&gt;Linh Đàm, Hà Nội</t>
  </si>
  <si>
    <t>LG.BG.DKG</t>
  </si>
  <si>
    <t>DKG&lt;-&gt;Lạng Giang, Bắc Giang</t>
  </si>
  <si>
    <t>LG.BG.DKS</t>
  </si>
  <si>
    <t>DKS&lt;-&gt;Lạng Giang, Bắc Giang</t>
  </si>
  <si>
    <t>LG.BG.THG</t>
  </si>
  <si>
    <t>THG&lt;-&gt;Lạng Giang, Bắc Giang</t>
  </si>
  <si>
    <t>LH.TN.DKG</t>
  </si>
  <si>
    <t>DKG&lt;-&gt;La Hiên, Thái Nguyên</t>
  </si>
  <si>
    <t>LK.HD.DKG</t>
  </si>
  <si>
    <t>DKG&lt;-&gt;Lai Khê, Hải Dương</t>
  </si>
  <si>
    <t>LK.HD.THG</t>
  </si>
  <si>
    <t>THG&lt;-&gt;Lai Khê, Hải Dương</t>
  </si>
  <si>
    <t>LM.HN.DKG</t>
  </si>
  <si>
    <t>DKG&lt;-&gt;Liêm Mạc, Hà Nội</t>
  </si>
  <si>
    <t>LM.HN.THG</t>
  </si>
  <si>
    <t>THG&lt;-&gt;Liêm Mạc, Hà Nội</t>
  </si>
  <si>
    <t>LM.TH.DKS</t>
  </si>
  <si>
    <t>DKS&lt;-&gt;Lễ Môn, Thanh Hóa</t>
  </si>
  <si>
    <t>LN.BG.DKG</t>
  </si>
  <si>
    <t>DKG&lt;-&gt;Lục Ngạn, Bắc Giang</t>
  </si>
  <si>
    <t>LN.BG.THG</t>
  </si>
  <si>
    <t>THG&lt;-&gt;Lục Ngạn, Bắc Giang</t>
  </si>
  <si>
    <t>LN.HNA.DKG</t>
  </si>
  <si>
    <t>DKG&lt;-&gt;Lý Nhân, Hà Nam</t>
  </si>
  <si>
    <t>LN.HNA.DKS</t>
  </si>
  <si>
    <t>DKS&lt;-&gt;Lý Nhân, Hà Nam</t>
  </si>
  <si>
    <t>LN.HNA.THG</t>
  </si>
  <si>
    <t>THG&lt;-&gt;Lý Nhân, Hà Nam</t>
  </si>
  <si>
    <t>LNA.BG.DKG</t>
  </si>
  <si>
    <t>DKG&lt;-&gt;Lục Nam, Bắc Giang</t>
  </si>
  <si>
    <t>LNA.BG.DKS</t>
  </si>
  <si>
    <t>DKS&lt;-&gt;Lục Nam, Bắc Giang</t>
  </si>
  <si>
    <t>LNA.BG.THG</t>
  </si>
  <si>
    <t>THG&lt;-&gt;Lục Nam, Bắc Giang</t>
  </si>
  <si>
    <t>LNG.BG.DKS</t>
  </si>
  <si>
    <t>DKS&lt;-&gt;Lục Ngạn, Bắc Giang</t>
  </si>
  <si>
    <t>LPXD</t>
  </si>
  <si>
    <t>Lệ phí xăng dầu</t>
  </si>
  <si>
    <t>LS.HB.DKS</t>
  </si>
  <si>
    <t>DKS&lt;-&gt;Lương Sơn, Hòa Bình</t>
  </si>
  <si>
    <t>LT.BN.DKG</t>
  </si>
  <si>
    <t>DKG&lt;-&gt;Lương Tài, Bắc Ninh</t>
  </si>
  <si>
    <t>LT.BN.THG</t>
  </si>
  <si>
    <t>THG&lt;-&gt;Lương Tài, Bắc Ninh</t>
  </si>
  <si>
    <t>LT.HB.DKG</t>
  </si>
  <si>
    <t>DKG&lt;-&gt;Lạc Thủy, Hòa Bình</t>
  </si>
  <si>
    <t>LT.PT.DKG</t>
  </si>
  <si>
    <t>DKG&lt;-&gt;Lâm Thao, Phú Thọ</t>
  </si>
  <si>
    <t>LT.QB.DKG</t>
  </si>
  <si>
    <t>DKG&lt;-&gt;Lệ Thủy, Quảng Bình</t>
  </si>
  <si>
    <t>LT.VP.DKG</t>
  </si>
  <si>
    <t>DKG&lt;-&gt;Lập Thạch, Vĩnh Phúc</t>
  </si>
  <si>
    <t>LT.VP.DKS</t>
  </si>
  <si>
    <t>DKS&lt;-&gt;Lập Thạch, Vĩnh Phúc</t>
  </si>
  <si>
    <t>LT.VP.THG</t>
  </si>
  <si>
    <t>THG&lt;-&gt;Lập Thạch, Vĩnh Phúc</t>
  </si>
  <si>
    <t>LUUBAI</t>
  </si>
  <si>
    <t>Lưu bãi</t>
  </si>
  <si>
    <t>LUUCAXE</t>
  </si>
  <si>
    <t>Lưu ca xe</t>
  </si>
  <si>
    <t>LUUKHO</t>
  </si>
  <si>
    <t>Lưu kho</t>
  </si>
  <si>
    <t>MA.YB.DKS</t>
  </si>
  <si>
    <t>DKS&lt;-&gt;Mậu Á, Yên bái</t>
  </si>
  <si>
    <t>MC.QN.DKG</t>
  </si>
  <si>
    <t>DKG&lt;-&gt;Móng Cái, Quảng Ninh</t>
  </si>
  <si>
    <t>MC.QN.THG</t>
  </si>
  <si>
    <t>THG&lt;-&gt;Móng Cái, Quảng Ninh</t>
  </si>
  <si>
    <t>MD.HN.DKG</t>
  </si>
  <si>
    <t>DKG&lt;-&gt;Mỹ Đức, Hà Nội</t>
  </si>
  <si>
    <t>MD.HN.DKS</t>
  </si>
  <si>
    <t>DKS&lt;-&gt;Mỹ Đình, Hà Nội</t>
  </si>
  <si>
    <t>MH.HY.DKG</t>
  </si>
  <si>
    <t>DKG&lt;-&gt;Mỹ Hào, Hưng Yên</t>
  </si>
  <si>
    <t>MH.HY.DKS</t>
  </si>
  <si>
    <t>DKS&lt;-&gt;Mỹ Hào, Hưng Yên</t>
  </si>
  <si>
    <t>MH.HY.THG</t>
  </si>
  <si>
    <t>THG&lt;-&gt;Mỹ Hào, Hưng Yên</t>
  </si>
  <si>
    <t>MHL.LS.DKG</t>
  </si>
  <si>
    <t>DKG&lt;-&gt;Mẹt_Hữu Lũng, Lạng Sơn</t>
  </si>
  <si>
    <t>MK.QN.DKG</t>
  </si>
  <si>
    <t>DKG&lt;-&gt;Mạo Khê, Quảng Ninh</t>
  </si>
  <si>
    <t>MK.QN.THG</t>
  </si>
  <si>
    <t>THG&lt;-&gt;Mạo Khê, Quảng Ninh</t>
  </si>
  <si>
    <t>ML.HN.DKS</t>
  </si>
  <si>
    <t>DKS&lt;-&gt;Mê Linh, Hà Nội</t>
  </si>
  <si>
    <t>ML.ND.DKG</t>
  </si>
  <si>
    <t>DKG&lt;-&gt;Mỹ Lộc, Nam Định</t>
  </si>
  <si>
    <t>ML.ND.THG</t>
  </si>
  <si>
    <t>THG&lt;-&gt;Mỹ Lộc, Nam Định</t>
  </si>
  <si>
    <t>MT.HP.DKS</t>
  </si>
  <si>
    <t>DKS&lt;-&gt;Minh Thành, Hải Phòng</t>
  </si>
  <si>
    <t>MT.ND.DKG</t>
  </si>
  <si>
    <t>DKG&lt;-&gt;Mỹ Thuận, Nam Định</t>
  </si>
  <si>
    <t>NANGCONT</t>
  </si>
  <si>
    <t>Nâng cont từ bãi lên xe đầu kéo</t>
  </si>
  <si>
    <t>NANGGOHOP</t>
  </si>
  <si>
    <t>Nâng gỗ hộp từ bãi lên xe</t>
  </si>
  <si>
    <t>NANGGOPHAN</t>
  </si>
  <si>
    <t>Nâng gỗ phản từ bãi lên xe</t>
  </si>
  <si>
    <t>NANGGOTRAC</t>
  </si>
  <si>
    <t>Nâng gỗ trắc/gỗ rời khác từ bãi lên xe</t>
  </si>
  <si>
    <t>NANGGOTRON</t>
  </si>
  <si>
    <t>Nâng gỗ tròn từ bãi lên xe</t>
  </si>
  <si>
    <t>NANGGOXE</t>
  </si>
  <si>
    <t>Nâng gỗ xẻ, đóng kiện từ bãi lên xe</t>
  </si>
  <si>
    <t>NB.HP.DKS</t>
  </si>
  <si>
    <t>DKS&lt;-&gt;Nam Bắc, Hải Phòng</t>
  </si>
  <si>
    <t>NC.TH.DKG</t>
  </si>
  <si>
    <t>DKG&lt;-&gt;Nông Cống, Thanh Hóa</t>
  </si>
  <si>
    <t>ND.NA.DKG</t>
  </si>
  <si>
    <t>DKG&lt;-&gt;Nam Đàn, Nghệ An</t>
  </si>
  <si>
    <t>ND.NA.DKS</t>
  </si>
  <si>
    <t>DKS&lt;-&gt;Nam Đàn, Nghệ An</t>
  </si>
  <si>
    <t>ND.NA.THG</t>
  </si>
  <si>
    <t>THG&lt;-&gt;Nam Đàn, Nghệ An</t>
  </si>
  <si>
    <t>NG.HD.DKG</t>
  </si>
  <si>
    <t>DKG&lt;-&gt;Ninh Giang, Hải Dương</t>
  </si>
  <si>
    <t>NG.HD.DKS</t>
  </si>
  <si>
    <t>DKS&lt;-&gt;Ninh Giang, Hải Dương</t>
  </si>
  <si>
    <t>NG.HD.THG</t>
  </si>
  <si>
    <t>THG&lt;-&gt;Ninh Giang, Hải Dương</t>
  </si>
  <si>
    <t>NGD.NA.DKG</t>
  </si>
  <si>
    <t>DKG&lt;-&gt;Nghĩa Đàn, Nghệ An</t>
  </si>
  <si>
    <t>NGS.TH.DKG</t>
  </si>
  <si>
    <t>DKG&lt;-&gt;Nghi Sơn, Thanh Hóa</t>
  </si>
  <si>
    <t>NH.HN.DKG</t>
  </si>
  <si>
    <t>DKG&lt;-&gt;Ngọc Hồi, Hà Nội</t>
  </si>
  <si>
    <t>NH.HN.DKS</t>
  </si>
  <si>
    <t>DKS&lt;-&gt;Ngọc Hồi, Hà Nội</t>
  </si>
  <si>
    <t>NH.ND.DKG</t>
  </si>
  <si>
    <t>DKG&lt;-&gt;Nghĩa Hưng, Nam Định</t>
  </si>
  <si>
    <t>NH.ND.DKS</t>
  </si>
  <si>
    <t>DKS&lt;-&gt;Nghĩa Hưng, Nam Định</t>
  </si>
  <si>
    <t>NH.ND.THG</t>
  </si>
  <si>
    <t>THG&lt;-&gt;Nghĩa Hưng, Nam Định</t>
  </si>
  <si>
    <t>NH.TQ.DKG</t>
  </si>
  <si>
    <t>DKG&lt;-&gt;Na Hang, Tuyên Quang</t>
  </si>
  <si>
    <t>NL.NA.DKG</t>
  </si>
  <si>
    <t>DKG&lt;-&gt;Nghi Lộc, Nghệ An</t>
  </si>
  <si>
    <t>NL.NA.DKS</t>
  </si>
  <si>
    <t>DKS&lt;-&gt;Nghi Lộc, Nghệ An</t>
  </si>
  <si>
    <t>NL.YB.DKS</t>
  </si>
  <si>
    <t>DKS&lt;-&gt;Nghĩa Lộ, Yên Bái</t>
  </si>
  <si>
    <t>NP.HP.DKS</t>
  </si>
  <si>
    <t>DKS&lt;-&gt;Ngũ Phúc, Hải Phòng</t>
  </si>
  <si>
    <t>NP.NB.DKS</t>
  </si>
  <si>
    <t>DKS&lt;-&gt;Ninh Phong, Ninh Bình</t>
  </si>
  <si>
    <t>NQ.HY.DKS</t>
  </si>
  <si>
    <t>DKS&lt;-&gt;Như Quỳnh, Hưng Yên</t>
  </si>
  <si>
    <t>NQ.NB.DKG</t>
  </si>
  <si>
    <t>DKG&lt;-&gt;Nho Quan, Ninh Bình</t>
  </si>
  <si>
    <t>NS.HD.DKG</t>
  </si>
  <si>
    <t>DKG&lt;-&gt;Nam Sách, Hải Dương</t>
  </si>
  <si>
    <t>NS.HD.DKS</t>
  </si>
  <si>
    <t>DKS&lt;-&gt;Nam Sách, Hải Dương</t>
  </si>
  <si>
    <t>NS.HD.THG</t>
  </si>
  <si>
    <t>THG&lt;-&gt;Nam Sách, Hải Dương</t>
  </si>
  <si>
    <t>NS.HN.DKG</t>
  </si>
  <si>
    <t>DKG&lt;-&gt;Ninh Sở, Hà Nội</t>
  </si>
  <si>
    <t>NS.HN.THG</t>
  </si>
  <si>
    <t>THG&lt;-&gt;Ninh Sở, Hà Nội</t>
  </si>
  <si>
    <t>NS.TH.DKG</t>
  </si>
  <si>
    <t>DKG&lt;-&gt;Nga Sơn, Thanh Hóa</t>
  </si>
  <si>
    <t>NS.TH.DKS</t>
  </si>
  <si>
    <t>DKS&lt;-&gt;Nghi Sơn, Thanh Hóa</t>
  </si>
  <si>
    <t>NS.TH.THG</t>
  </si>
  <si>
    <t>THG&lt;-&gt;Nga Sơn, Thanh Hóa</t>
  </si>
  <si>
    <t>NT.HN.DKS</t>
  </si>
  <si>
    <t>DKS&lt;-&gt;Nguyễn Trãi, Hà Nội</t>
  </si>
  <si>
    <t>NT.HP.DKG</t>
  </si>
  <si>
    <t>DKG&lt;-&gt;Nội thành, Hải Phòng</t>
  </si>
  <si>
    <t>NT.HP.THG</t>
  </si>
  <si>
    <t>NT.ND.DKG</t>
  </si>
  <si>
    <t>DKG&lt;-&gt;Nam Trực, Nam Định</t>
  </si>
  <si>
    <t>NT.ND.DKS</t>
  </si>
  <si>
    <t>DKS&lt;-&gt;Nam Trực, Nam Định</t>
  </si>
  <si>
    <t>NT.ND.THG</t>
  </si>
  <si>
    <t>THG&lt;-&gt;Nam Trực, Nam Định</t>
  </si>
  <si>
    <t>NT.TH.DKG</t>
  </si>
  <si>
    <t>DKG&lt;-&gt;Như Thanh, Thanh Hóa</t>
  </si>
  <si>
    <t>NTL.HN.DKS</t>
  </si>
  <si>
    <t>DKS&lt;-&gt;Nam Từ Liêm, Hà Nội</t>
  </si>
  <si>
    <t>NUOC</t>
  </si>
  <si>
    <t>NX.HT.DKG</t>
  </si>
  <si>
    <t>DKG&lt;-&gt;Nghi Xuân, Hà Tĩnh</t>
  </si>
  <si>
    <t>OB.ND.DKG</t>
  </si>
  <si>
    <t>DKG&lt;-&gt;Ông Bách, TP. Nam Định</t>
  </si>
  <si>
    <t>OB.ND.THG</t>
  </si>
  <si>
    <t>THG&lt;-&gt;Ông Bách, TP. Nam Định</t>
  </si>
  <si>
    <t>OD.HP.DKG</t>
  </si>
  <si>
    <t>DKG&lt;-&gt;Ông Doãn, Đa Phúc, Hải Phòng</t>
  </si>
  <si>
    <t>OD.HP.THG</t>
  </si>
  <si>
    <t>THG&lt;-&gt;Ông Doãn, Đa Phúc, Hải Phòng</t>
  </si>
  <si>
    <t>OH.HP.DKG</t>
  </si>
  <si>
    <t>DKG&lt;-&gt;Ông Hữu, Rế, Hải Phòng</t>
  </si>
  <si>
    <t>OH.HP.THG</t>
  </si>
  <si>
    <t>THG&lt;-&gt;Ông Hữu, Rế, Hải Phòng</t>
  </si>
  <si>
    <t>OHP.VP.DKG</t>
  </si>
  <si>
    <t>DKG&lt;-&gt;Ông Huyền Phóng, Vĩnh Phúc</t>
  </si>
  <si>
    <t>OHP.VP.THG</t>
  </si>
  <si>
    <t>THG&lt;-&gt;Ông Huyền Phóng, Vĩnh Phúc</t>
  </si>
  <si>
    <t>OL.ND.DKG</t>
  </si>
  <si>
    <t>DKG&lt;-&gt;Ông Lợi, Xuân Trường, Nam Định</t>
  </si>
  <si>
    <t>OL.ND.THG</t>
  </si>
  <si>
    <t>THG&lt;-&gt;Ông Lợi, Xuân Trường, Nam Định</t>
  </si>
  <si>
    <t>OL.TB.DKG</t>
  </si>
  <si>
    <t>DKG&lt;-&gt;Ông Long, TP. Thái Bình</t>
  </si>
  <si>
    <t>OL.TB.THG</t>
  </si>
  <si>
    <t>THG&lt;-&gt;Ông Long, TP. Thái Bình</t>
  </si>
  <si>
    <t>OS.HD.DKG</t>
  </si>
  <si>
    <t>DKG&lt;-&gt;Ông Sự, Thanh Miện, Hải Dương</t>
  </si>
  <si>
    <t>OS.HD.THG</t>
  </si>
  <si>
    <t>THG&lt;-&gt;Ông Sự, Thanh Miện, Hải Dương</t>
  </si>
  <si>
    <t>OT.HD.DKG</t>
  </si>
  <si>
    <t>DKG&lt;-&gt;Ông Thủy, Cẩm Giàng, Hải Dương</t>
  </si>
  <si>
    <t>OT.HD.THG</t>
  </si>
  <si>
    <t>THG&lt;-&gt;Ông Thủy, Cẩm Giàng, Hải Dương</t>
  </si>
  <si>
    <t>OT.HN.DKG</t>
  </si>
  <si>
    <t>DKG&lt;-&gt;Ông Tôn, Giải Phòng, Hà Nội</t>
  </si>
  <si>
    <t>OT.HN.THG</t>
  </si>
  <si>
    <t>THG&lt;-&gt;Ông Tôn, Giải Phòng, Hà Nội</t>
  </si>
  <si>
    <t>OT.ND.DKG</t>
  </si>
  <si>
    <t>DKG&lt;-&gt;Ông Tuấn, TP. Nam Định</t>
  </si>
  <si>
    <t>OT.ND.THG</t>
  </si>
  <si>
    <t>THG&lt;-&gt;Ông Tuấn, TP. Nam Định</t>
  </si>
  <si>
    <t>OT.QN.DKG</t>
  </si>
  <si>
    <t>DKG&lt;-&gt;Ông Thăng, Giếng Đáy, Quảng Ninh</t>
  </si>
  <si>
    <t>OT.QN.THG</t>
  </si>
  <si>
    <t>THG&lt;-&gt;Ông Thăng, Giếng Đáy, Quảng Ninh</t>
  </si>
  <si>
    <t>OV.HP.DKG</t>
  </si>
  <si>
    <t>DKG&lt;-&gt;Ông Vũ, Dương Kinh, Hải Phòng</t>
  </si>
  <si>
    <t>OV.HP.THG</t>
  </si>
  <si>
    <t>THG&lt;-&gt;Ông Vũ, Dương Kinh, Hải Phòng</t>
  </si>
  <si>
    <t>PC.BN.DKG</t>
  </si>
  <si>
    <t>DKG&lt;-&gt;Phố Chờ, Bắc Ninh</t>
  </si>
  <si>
    <t>PC.BN.DKS</t>
  </si>
  <si>
    <t>DKS&lt;-&gt;Phố Chờ, Bắc Ninh</t>
  </si>
  <si>
    <t>PC.BN.THG</t>
  </si>
  <si>
    <t>THG&lt;-&gt;Phố Chờ, Bắc Ninh</t>
  </si>
  <si>
    <t>PC.HY.DKG</t>
  </si>
  <si>
    <t>DKG&lt;-&gt;Phủ Cừ, Hưng Yên</t>
  </si>
  <si>
    <t>PC.HY.THG</t>
  </si>
  <si>
    <t>THG&lt;-&gt;Phủ Cừ, Hưng Yên</t>
  </si>
  <si>
    <t>PC.PT.DKG</t>
  </si>
  <si>
    <t>DKG&lt;-&gt;Phong Châu, Phú Thọ</t>
  </si>
  <si>
    <t>PL.HD.DKG</t>
  </si>
  <si>
    <t>DKG&lt;-&gt;Phả Lại, Hải Dương</t>
  </si>
  <si>
    <t>PL.HD.THG</t>
  </si>
  <si>
    <t>THG&lt;-&gt;Phả Lại, Hải Dương</t>
  </si>
  <si>
    <t>PL.HNA.DKG</t>
  </si>
  <si>
    <t>DKG&lt;-&gt;Phủ Lý, Hà Nam</t>
  </si>
  <si>
    <t>PL.HNA.DKS</t>
  </si>
  <si>
    <t>DKS&lt;-&gt;Phủ Lý, Hà Nam</t>
  </si>
  <si>
    <t>PL.HNA.THG</t>
  </si>
  <si>
    <t>THG&lt;-&gt;Phủ Lý, Hà Nam</t>
  </si>
  <si>
    <t>PL.TN.DKG</t>
  </si>
  <si>
    <t>DKG&lt;-&gt;Phú Lương, Thái Nguyên</t>
  </si>
  <si>
    <t>PL.TN.DKS</t>
  </si>
  <si>
    <t>DKS&lt;-&gt;Phú Lương, Thái Nguyên</t>
  </si>
  <si>
    <t>PN.HY.DKG</t>
  </si>
  <si>
    <t>DKG&lt;-&gt;Phố Nối, Hưng Yên</t>
  </si>
  <si>
    <t>PN.HY.DKS</t>
  </si>
  <si>
    <t>DKS&lt;-&gt;Phố Nối, Hưng Yên</t>
  </si>
  <si>
    <t>PN.HY.THG</t>
  </si>
  <si>
    <t>THG&lt;-&gt;Phố Nối, Hưng Yên</t>
  </si>
  <si>
    <t>PN.PT.DKG</t>
  </si>
  <si>
    <t>DKG&lt;-&gt;Phù Ninh, Phú Thọ</t>
  </si>
  <si>
    <t>PN.PT.DKS</t>
  </si>
  <si>
    <t>DKS&lt;-&gt;Phù Ninh, Phú Thọ</t>
  </si>
  <si>
    <t>PNA.HY.DKS</t>
  </si>
  <si>
    <t>DKS&lt;-&gt;Phố Nối A, Hưng Yên</t>
  </si>
  <si>
    <t>PT.BN.DKG</t>
  </si>
  <si>
    <t>DKG&lt;-&gt;Phật Tích, Bắc Ninh</t>
  </si>
  <si>
    <t>PT.BN.THG</t>
  </si>
  <si>
    <t>THG&lt;-&gt;Phật Tích, Bắc Ninh</t>
  </si>
  <si>
    <t>PT.HD.DKG</t>
  </si>
  <si>
    <t>DKG&lt;-&gt;Phú Thái, Hải Dương</t>
  </si>
  <si>
    <t>PT.HD.THG</t>
  </si>
  <si>
    <t>THG&lt;-&gt;Phú Thái, Hải Dương</t>
  </si>
  <si>
    <t>PT.HN.DKG</t>
  </si>
  <si>
    <t>DKG&lt;-&gt;Phúc Thọ, Hà Nội</t>
  </si>
  <si>
    <t>PT.HN.DKS</t>
  </si>
  <si>
    <t>DKS&lt;-&gt;Phúc Thọ, Hà Nội</t>
  </si>
  <si>
    <t>PT.HN.THG</t>
  </si>
  <si>
    <t>THG&lt;-&gt;Phúc Thọ, Hà Nội</t>
  </si>
  <si>
    <t>PV.TTH.DKG</t>
  </si>
  <si>
    <t>DKG&lt;-&gt;Phú Vang, Thừa Thiên Huế</t>
  </si>
  <si>
    <t>PX.HN.DKG</t>
  </si>
  <si>
    <t>DKG&lt;-&gt;Phú Xuyên, Hà Nội</t>
  </si>
  <si>
    <t>PX.HN.DKS</t>
  </si>
  <si>
    <t>DKS&lt;-&gt;Phú Xuyên, Hà Nội</t>
  </si>
  <si>
    <t>PX.HN.THG</t>
  </si>
  <si>
    <t>THG&lt;-&gt;Phú Xuyên, Hà Nội</t>
  </si>
  <si>
    <t>PX.TN.DKS</t>
  </si>
  <si>
    <t>DKS&lt;-&gt;Phùng Xá, Thái Nguyên</t>
  </si>
  <si>
    <t>PY.TN.DKG</t>
  </si>
  <si>
    <t>DKG&lt;-&gt;Phổ Yên, Thái Nguyên</t>
  </si>
  <si>
    <t>PY.TN.DKS</t>
  </si>
  <si>
    <t>DKS&lt;-&gt;Phổ Yên, Thái Nguyên</t>
  </si>
  <si>
    <t>PY.VP.DKG</t>
  </si>
  <si>
    <t>DKG&lt;-&gt;Phúc Yên, Vĩnh Phúc</t>
  </si>
  <si>
    <t>PY.VP.THG</t>
  </si>
  <si>
    <t>THG&lt;-&gt;Phúc Yên, Vĩnh Phúc</t>
  </si>
  <si>
    <t>QB.HN.DKG</t>
  </si>
  <si>
    <t>DKG&lt;-&gt;Quảng Bị, Hà Nội</t>
  </si>
  <si>
    <t>QC.HD.DKG</t>
  </si>
  <si>
    <t>DKG&lt;-&gt;Quý Cao, Hải Dương</t>
  </si>
  <si>
    <t>QC.TB.DKG</t>
  </si>
  <si>
    <t>DKG&lt;-&gt;Quỳnh Côi, Thái Bình</t>
  </si>
  <si>
    <t>QC.TB.THG</t>
  </si>
  <si>
    <t>THG&lt;-&gt;Quỳnh Côi, Thái Bình</t>
  </si>
  <si>
    <t>QG.HD.DKG</t>
  </si>
  <si>
    <t>DKG&lt;-&gt;Quán Gỏi, Hải Dương</t>
  </si>
  <si>
    <t>QG.HD.DKS</t>
  </si>
  <si>
    <t>DKS&lt;-&gt;Quán Gỏi, Hải Dương</t>
  </si>
  <si>
    <t>QG.HD.THG</t>
  </si>
  <si>
    <t>THG&lt;-&gt;Quán Gỏi, Hải Dương</t>
  </si>
  <si>
    <t>QH.NA.DKG</t>
  </si>
  <si>
    <t>DKG&lt;-&gt;Quỳ Hợp, Nghệ An</t>
  </si>
  <si>
    <t>QH.NA.DKS</t>
  </si>
  <si>
    <t>DKS&lt;-&gt;Quỳ Hợp, Nghệ An</t>
  </si>
  <si>
    <t>QH.QN.DKG</t>
  </si>
  <si>
    <t>DKG&lt;-&gt;Quang Hanh, Quảng Ninh</t>
  </si>
  <si>
    <t>QH.TH.DKS</t>
  </si>
  <si>
    <t>DKS&lt;-&gt;Quan Hóa, Thanh Hóa</t>
  </si>
  <si>
    <t>QL.NA.DKG</t>
  </si>
  <si>
    <t>DKG&lt;-&gt;Quỳnh Lưu, Nghệ An</t>
  </si>
  <si>
    <t>QL.NA.DKS</t>
  </si>
  <si>
    <t>DKS&lt;-&gt;Quỳnh Lưu, Nghệ An</t>
  </si>
  <si>
    <t>QL.NA.THG</t>
  </si>
  <si>
    <t>THG&lt;-&gt;Quỳnh Lưu, Nghệ An</t>
  </si>
  <si>
    <t>QM.VP.DKS</t>
  </si>
  <si>
    <t>DKS&lt;-&gt;Quang Minh, Vĩnh Phúc</t>
  </si>
  <si>
    <t>QO.HN.DKG</t>
  </si>
  <si>
    <t>DKG&lt;-&gt;Quốc Oai, Hà Nội</t>
  </si>
  <si>
    <t>QO.HN.DKS</t>
  </si>
  <si>
    <t>DKS&lt;-&gt;Quốc Oai, Hà Nội</t>
  </si>
  <si>
    <t>QO.HN.THG</t>
  </si>
  <si>
    <t>THG&lt;-&gt;Quốc Oai, Hà Nội</t>
  </si>
  <si>
    <t>QP.TB.DKG</t>
  </si>
  <si>
    <t>DKG&lt;-&gt;Quỳnh Phụ, Thái Bình</t>
  </si>
  <si>
    <t>QP.TB.DKS</t>
  </si>
  <si>
    <t>DKS&lt;-&gt;Quỳnh Phụ, Thái Bình</t>
  </si>
  <si>
    <t>QP.TB.THG</t>
  </si>
  <si>
    <t>THG&lt;-&gt;Quỳnh Phụ, Thái Bình</t>
  </si>
  <si>
    <t>QT.HP.DKG</t>
  </si>
  <si>
    <t>DKG&lt;-&gt;Quán Toan, Hải Phòng</t>
  </si>
  <si>
    <t>QT.HP.DKS</t>
  </si>
  <si>
    <t>DKS&lt;-&gt;Quán Toan, Hải Phòng</t>
  </si>
  <si>
    <t>QT.HP.THG</t>
  </si>
  <si>
    <t>THG&lt;-&gt;Quán Toan, Hải Phòng</t>
  </si>
  <si>
    <t>QT.QB.DKG</t>
  </si>
  <si>
    <t>DKG&lt;-&gt;Quảng Trạch, Quảng Bình</t>
  </si>
  <si>
    <t>QV.BN.DKG</t>
  </si>
  <si>
    <t>DKG&lt;-&gt;Quế Võ, Bắc Ninh</t>
  </si>
  <si>
    <t>QV.BN.DKS</t>
  </si>
  <si>
    <t>DKS&lt;-&gt;Quế Võ, Bắc Ninh</t>
  </si>
  <si>
    <t>QV.BN.THG</t>
  </si>
  <si>
    <t>THG&lt;-&gt;Quế Võ, Bắc Ninh</t>
  </si>
  <si>
    <t>QX.TH.DKG</t>
  </si>
  <si>
    <t>DKG&lt;-&gt;Quảng Xương, Thanh Hóa</t>
  </si>
  <si>
    <t>QX.TH.DKS</t>
  </si>
  <si>
    <t>DKS&lt;-&gt;Quảng Xương, Thanh Hóa</t>
  </si>
  <si>
    <t>QX.TH.THG</t>
  </si>
  <si>
    <t>THG&lt;-&gt;Quảng Xương, Thanh Hóa</t>
  </si>
  <si>
    <t>QY.QN.DKG</t>
  </si>
  <si>
    <t>DKG&lt;-&gt;Quảng Yên, Quảng Ninh</t>
  </si>
  <si>
    <t>QY.QN.THG</t>
  </si>
  <si>
    <t>THG&lt;-&gt;Quảng Yên, Quảng Ninh</t>
  </si>
  <si>
    <t>RUTDO</t>
  </si>
  <si>
    <t>Rút đo gỗ</t>
  </si>
  <si>
    <t>RUTGOHOP</t>
  </si>
  <si>
    <t>Rút gỗ hộp trong cont ra bãi</t>
  </si>
  <si>
    <t>RUTGOPHAN</t>
  </si>
  <si>
    <t>Rút gỗ phản trong cont ra bãi</t>
  </si>
  <si>
    <t>RUTGOTRAC</t>
  </si>
  <si>
    <t>Rút gỗ trắc trong cont ra bãi</t>
  </si>
  <si>
    <t>RUTGOTRON</t>
  </si>
  <si>
    <t>Rút gỗ tròn trong cont ra bãi</t>
  </si>
  <si>
    <t>RUTGOXE</t>
  </si>
  <si>
    <t>Rút gỗ xẻ, đóng kiện trong cont ra bãi</t>
  </si>
  <si>
    <t>RX.TH.DKG</t>
  </si>
  <si>
    <t>DKG&lt;-&gt;Rốc Xây, Bỉm Sơn, Thanh Hóa</t>
  </si>
  <si>
    <t>RX.TH.THG</t>
  </si>
  <si>
    <t>THG&lt;-&gt;Rốc Xây, Bỉm Sơn, Thanh Hóa</t>
  </si>
  <si>
    <t>SC.TN.DKG</t>
  </si>
  <si>
    <t>DKG&lt;-&gt;Sông Công, Thái Nguyên</t>
  </si>
  <si>
    <t>SC.TN.DKS</t>
  </si>
  <si>
    <t>DKS&lt;-&gt;Sông Công, Thái Nguyên</t>
  </si>
  <si>
    <t>SD.BG.DKS</t>
  </si>
  <si>
    <t>DKS&lt;-&gt;Sơn Động, Bắc Giang</t>
  </si>
  <si>
    <t>SD.HN.DKS</t>
  </si>
  <si>
    <t>DKS&lt;-&gt;Sài Đồng, Hà Nội</t>
  </si>
  <si>
    <t>SD.HP.DKG</t>
  </si>
  <si>
    <t>DKG&lt;-&gt;Sở Dầu, Hải Phòng</t>
  </si>
  <si>
    <t>SD.HP.DKS</t>
  </si>
  <si>
    <t>DKS&lt;-&gt;Sở Dầu, Hải Phòng</t>
  </si>
  <si>
    <t>SD.TQ.DKS</t>
  </si>
  <si>
    <t>DKS&lt;-&gt;Sơn Dương, Tuyên Quang</t>
  </si>
  <si>
    <t>SK.BG.DKS</t>
  </si>
  <si>
    <t>DKS&lt;-&gt;Sông Khuê, Bắc Giang</t>
  </si>
  <si>
    <t>SS.HN.DKG</t>
  </si>
  <si>
    <t>DKG&lt;-&gt;Sóc Sơn, Hà Nội</t>
  </si>
  <si>
    <t>SS.HN.DKS</t>
  </si>
  <si>
    <t>DKS&lt;-&gt;Sóc Sơn, Hà Nội</t>
  </si>
  <si>
    <t>SS.HN.THG</t>
  </si>
  <si>
    <t>THG&lt;-&gt;Sóc Sơn, Hà Nội</t>
  </si>
  <si>
    <t>SS.TH.DKG</t>
  </si>
  <si>
    <t>DKG&lt;-&gt;Sầm Sơn, Thanh Hóa</t>
  </si>
  <si>
    <t>SS.TH.THG</t>
  </si>
  <si>
    <t>THG&lt;-&gt;Sầm Sơn, Thanh Hóa</t>
  </si>
  <si>
    <t>ST.HN.DKG</t>
  </si>
  <si>
    <t>DKG&lt;-&gt;Sơn Tây (Ba Vì), Hà Nội</t>
  </si>
  <si>
    <t>ST.HN.DKS</t>
  </si>
  <si>
    <t>DKS&lt;-&gt;Sơn Tây, Hà Nội</t>
  </si>
  <si>
    <t>ST.HN.THG</t>
  </si>
  <si>
    <t>THG&lt;-&gt;Sơn Tây (Ba Vì), Hà Nội</t>
  </si>
  <si>
    <t>TB.PT.DKG</t>
  </si>
  <si>
    <t>DKG&lt;-&gt;Thanh Ba, Phú Thọ</t>
  </si>
  <si>
    <t>TB.PT.DKS</t>
  </si>
  <si>
    <t>DKS&lt;-&gt;Thanh Ba, Phú Thọ</t>
  </si>
  <si>
    <t>TC.BN.DKG</t>
  </si>
  <si>
    <t>DKG&lt;-&gt;Thị Cầu, Bắc Ninh</t>
  </si>
  <si>
    <t>TC.BN.THG</t>
  </si>
  <si>
    <t>THG&lt;-&gt;Thị Cầu, Bắc Ninh</t>
  </si>
  <si>
    <t>TC.HN.DKG</t>
  </si>
  <si>
    <t>DKG&lt;-&gt;Trường Chinh, Hà Nội</t>
  </si>
  <si>
    <t>TC.NA.DKG</t>
  </si>
  <si>
    <t>DKG&lt;-&gt;Thanh Chương, Nghệ An</t>
  </si>
  <si>
    <t>TD.BN.DKG</t>
  </si>
  <si>
    <t>DKG&lt;-&gt;Tiên Du, Bắc Ninh</t>
  </si>
  <si>
    <t>TD.BN.DKS</t>
  </si>
  <si>
    <t>DKS&lt;-&gt;Tiên Du, Bắc Ninh</t>
  </si>
  <si>
    <t>TD.BN.THG</t>
  </si>
  <si>
    <t>THG&lt;-&gt;Tiên Du, Bắc Ninh</t>
  </si>
  <si>
    <t>TD.NB.DKG</t>
  </si>
  <si>
    <t>DKG&lt;-&gt;Tam Điệp, Ninh Bình</t>
  </si>
  <si>
    <t>TD.NB.THG</t>
  </si>
  <si>
    <t>THG&lt;-&gt;Tam Điệp, Ninh Bình</t>
  </si>
  <si>
    <t>TD.VP.DKG</t>
  </si>
  <si>
    <t>DKG&lt;-&gt;Tam Dương, Vĩnh Phúc</t>
  </si>
  <si>
    <t>TD.VP.DKS</t>
  </si>
  <si>
    <t>DKS&lt;-&gt;Tam Đảo, Vĩnh Phúc</t>
  </si>
  <si>
    <t>TDA.VP.DKG</t>
  </si>
  <si>
    <t>DKG&lt;-&gt;Tam Đảo, Vĩnh Phúc</t>
  </si>
  <si>
    <t>TG.TH.DKG</t>
  </si>
  <si>
    <t>DKG&lt;-&gt;Tĩnh Gia, Thanh Hóa</t>
  </si>
  <si>
    <t>TG.TH.DKS</t>
  </si>
  <si>
    <t>DKS&lt;-&gt;Tĩnh Gia, Thanh Hóa</t>
  </si>
  <si>
    <t>TG.TH.THG</t>
  </si>
  <si>
    <t>THG&lt;-&gt;Tĩnh Gia, Thanh Hóa</t>
  </si>
  <si>
    <t>TH.HD.DKG</t>
  </si>
  <si>
    <t>DKG&lt;-&gt;Thanh Hà, Hải Dương</t>
  </si>
  <si>
    <t>TH.HD.DKS</t>
  </si>
  <si>
    <t>DKS&lt;-&gt;Thanh Hà, Hải Dương</t>
  </si>
  <si>
    <t>TH.HD.THG</t>
  </si>
  <si>
    <t>THG&lt;-&gt;Thanh Hà, Hải Dương</t>
  </si>
  <si>
    <t>TH.NA.DKG</t>
  </si>
  <si>
    <t>DKG&lt;-&gt;Thái Hòa, Nghệ An</t>
  </si>
  <si>
    <t>TH.QB.DKG</t>
  </si>
  <si>
    <t>DKG&lt;-&gt;Tuyên Hóa, Quảng Bình</t>
  </si>
  <si>
    <t>TH.TB.DKG</t>
  </si>
  <si>
    <t>DKG&lt;-&gt;Tiền Hải, Thái Bình</t>
  </si>
  <si>
    <t>TH.TB.DKS</t>
  </si>
  <si>
    <t>DKS&lt;-&gt;Tiền Hải, Thái Bình</t>
  </si>
  <si>
    <t>TH.TH.DKG</t>
  </si>
  <si>
    <t>DKG&lt;-&gt;Thiệu Hóa, Thanh Hóa</t>
  </si>
  <si>
    <t>THUEBAI</t>
  </si>
  <si>
    <t>Thuê bãi</t>
  </si>
  <si>
    <t>TIENCAN</t>
  </si>
  <si>
    <t>Tiền cân</t>
  </si>
  <si>
    <t>TK.HD.DKG</t>
  </si>
  <si>
    <t>DKG&lt;-&gt;Tứ Kỳ, Hải Dương</t>
  </si>
  <si>
    <t>TK.HD.DKS</t>
  </si>
  <si>
    <t>DKS&lt;-&gt;Tứ Kỳ, Hải Dương</t>
  </si>
  <si>
    <t>TK.HD.THG</t>
  </si>
  <si>
    <t>THG&lt;-&gt;Tứ Kỳ, Hải Dương</t>
  </si>
  <si>
    <t>TK.NA.DKG</t>
  </si>
  <si>
    <t>DKG&lt;-&gt;Tân Kỳ, Nghệ An</t>
  </si>
  <si>
    <t>TKGNBN</t>
  </si>
  <si>
    <t>Thủ kho + Giao nhận + Bảo vệ</t>
  </si>
  <si>
    <t>TL.CB.DKG</t>
  </si>
  <si>
    <t>DKG&lt;-&gt;Trà Lĩnh, Cao Bằng</t>
  </si>
  <si>
    <t>TL.HN.DKS</t>
  </si>
  <si>
    <t>DKS&lt;-&gt;Từ Liêm, Hà Nội</t>
  </si>
  <si>
    <t>TL.HNA.DKG</t>
  </si>
  <si>
    <t>DKG&lt;-&gt;Thanh Liêm, Hà Nam</t>
  </si>
  <si>
    <t>TL.HNA.DKS</t>
  </si>
  <si>
    <t>DKS&lt;-&gt;Thanh Liêm, Hà Nam</t>
  </si>
  <si>
    <t>TL.HNA.THG</t>
  </si>
  <si>
    <t>THG&lt;-&gt;Thanh Liêm, Hà Nam</t>
  </si>
  <si>
    <t>TL.HP.DKG</t>
  </si>
  <si>
    <t>DKG&lt;-&gt;Tiên Lãng, Hải Phòng</t>
  </si>
  <si>
    <t>TL.HP.DKS</t>
  </si>
  <si>
    <t>DKS&lt;-&gt;Tiên Lãng, Hải Phòng</t>
  </si>
  <si>
    <t>TL.HP.THG</t>
  </si>
  <si>
    <t>THG&lt;-&gt;Tiên Lãng, Hải Phòng</t>
  </si>
  <si>
    <t>TL.HS</t>
  </si>
  <si>
    <t>DKG&lt;-&gt;Chuyển tải cảng Tự Long-HS</t>
  </si>
  <si>
    <t>TL.HY.DKG</t>
  </si>
  <si>
    <t>DKG&lt;-&gt;Tiên Lữ, Hưng Yên</t>
  </si>
  <si>
    <t>TL.HY.THG</t>
  </si>
  <si>
    <t>THG&lt;-&gt;Tiên Lữ, Hưng Yên</t>
  </si>
  <si>
    <t>TL.VP.DKG</t>
  </si>
  <si>
    <t>DKG&lt;-&gt;Thanh Lãng, Vĩnh Phúc</t>
  </si>
  <si>
    <t>TL.VP.DKS</t>
  </si>
  <si>
    <t>DKS&lt;-&gt;Thanh Lãng, Vĩnh Phúc</t>
  </si>
  <si>
    <t>TL.VP.THG</t>
  </si>
  <si>
    <t>THG&lt;-&gt;Thanh Lãng, Vĩnh Phúc</t>
  </si>
  <si>
    <t>TM.HD.DKG</t>
  </si>
  <si>
    <t>DKG&lt;-&gt;Thanh Miện, Hải Dương</t>
  </si>
  <si>
    <t>TM.HD.DKS</t>
  </si>
  <si>
    <t>DKS&lt;-&gt;Thanh Miện, Hải Dương</t>
  </si>
  <si>
    <t>TM.HD.THG</t>
  </si>
  <si>
    <t>THG&lt;-&gt;Thanh Miện, Hải Dương</t>
  </si>
  <si>
    <t>TN.HN.DKS</t>
  </si>
  <si>
    <t>DKS&lt;-&gt;Trôi Nhổn, Hà Nội</t>
  </si>
  <si>
    <t>TN.HNA.DKS</t>
  </si>
  <si>
    <t>DKS&lt;-&gt;Tây Nam, Hà Nam</t>
  </si>
  <si>
    <t>TN.HP.DKS</t>
  </si>
  <si>
    <t>DKS&lt;-&gt;Thủy Nguyên, Hải Phòng</t>
  </si>
  <si>
    <t>TN.ND.DKG</t>
  </si>
  <si>
    <t>DKG&lt;-&gt;Trực Ninh, Nam Định</t>
  </si>
  <si>
    <t>TN.ND.THG</t>
  </si>
  <si>
    <t>THG&lt;-&gt;Trực Ninh, Nam Định</t>
  </si>
  <si>
    <t>TN.PT.DKG</t>
  </si>
  <si>
    <t>DKG&lt;-&gt;Tam Nông, Phú Thọ</t>
  </si>
  <si>
    <t>TN.PT.DKS</t>
  </si>
  <si>
    <t>DKS&lt;-&gt;Tam Nông, Phú Thọ</t>
  </si>
  <si>
    <t>TNG.HP.DKG</t>
  </si>
  <si>
    <t>DKG&lt;-&gt;Thủy Nguyên Gần, Hải Phòng</t>
  </si>
  <si>
    <t>TNG.HP.THG</t>
  </si>
  <si>
    <t>THG&lt;-&gt;Thủy Nguyên Gần, Hải Phòng</t>
  </si>
  <si>
    <t>TNX.HP.DKG</t>
  </si>
  <si>
    <t>DKG&lt;-&gt;Thủy Nguyên Xa, Hải Phòng</t>
  </si>
  <si>
    <t>TNX.HP.THG</t>
  </si>
  <si>
    <t>THG&lt;-&gt;Thủy Nguyên Xa, Hải Phòng</t>
  </si>
  <si>
    <t>TO.HD.DKG</t>
  </si>
  <si>
    <t>DKG&lt;-&gt;Từ Ô, Hải Dương</t>
  </si>
  <si>
    <t>TO.HD.THG</t>
  </si>
  <si>
    <t>THG&lt;-&gt;Từ Ô, Hải Dương</t>
  </si>
  <si>
    <t>TO.HN.DKG</t>
  </si>
  <si>
    <t>DKG&lt;-&gt;Thanh Oai, Hà Nội</t>
  </si>
  <si>
    <t>TO.HN.DKS</t>
  </si>
  <si>
    <t>DKS&lt;-&gt;Thanh Oai, Hà Nội</t>
  </si>
  <si>
    <t>TO.HN.THG</t>
  </si>
  <si>
    <t>THG&lt;-&gt;Thanh Oai, Hà Nội</t>
  </si>
  <si>
    <t>TP.BG.DKG</t>
  </si>
  <si>
    <t>DKG&lt;-&gt;TP. Bắc Giang</t>
  </si>
  <si>
    <t>TP.BG.DKS</t>
  </si>
  <si>
    <t>DKS&lt;-&gt;TP. Bắc Giang</t>
  </si>
  <si>
    <t>TP.BG.THG</t>
  </si>
  <si>
    <t>THG&lt;-&gt;TP. Bắc Giang</t>
  </si>
  <si>
    <t>TP.BN.DKG</t>
  </si>
  <si>
    <t>TP.BN.DKS</t>
  </si>
  <si>
    <t>DKS&lt;-&gt;TP. Bắc Ninh</t>
  </si>
  <si>
    <t>TP.BN.THG</t>
  </si>
  <si>
    <t>THG&lt;-&gt;Thành Phố, Bắc Ninh</t>
  </si>
  <si>
    <t>TP.CB.DKG</t>
  </si>
  <si>
    <t>DKG&lt;-&gt;TP. Cao Bằng</t>
  </si>
  <si>
    <t>TP.H.DKG</t>
  </si>
  <si>
    <t>DKG&lt;-&gt;TP. Huế</t>
  </si>
  <si>
    <t>TP.HB.DKG</t>
  </si>
  <si>
    <t>DKG&lt;-&gt;TP. Hòa Bình</t>
  </si>
  <si>
    <t>TP.HB.DKS</t>
  </si>
  <si>
    <t>DKS&lt;-&gt;TP. Hòa Bình</t>
  </si>
  <si>
    <t>TP.HB.THG</t>
  </si>
  <si>
    <t>THG&lt;-&gt;TP. Hòa Bình</t>
  </si>
  <si>
    <t>TP.HD.DKG</t>
  </si>
  <si>
    <t>DKG&lt;-&gt;TP. Hải Dương</t>
  </si>
  <si>
    <t>TP.HD.DKS</t>
  </si>
  <si>
    <t>DKS&lt;-&gt;TP, Hải Dương</t>
  </si>
  <si>
    <t>TP.HD.THG</t>
  </si>
  <si>
    <t>THG&lt;-&gt;TP. Hải Dương</t>
  </si>
  <si>
    <t>TP.HG.DKG</t>
  </si>
  <si>
    <t>DKG&lt;-&gt;TP. Hà Giang</t>
  </si>
  <si>
    <t>TP.HN.DKG</t>
  </si>
  <si>
    <t>DKG&lt;-&gt;Tân Phú, Hà Nội</t>
  </si>
  <si>
    <t>TP.HN.DKS</t>
  </si>
  <si>
    <t>DKS&lt;-&gt;TP. Hà Nội</t>
  </si>
  <si>
    <t>TP.HT.DKG</t>
  </si>
  <si>
    <t>DKG&lt;-&gt;TP. Hà Tĩnh</t>
  </si>
  <si>
    <t>TP.HT.THG</t>
  </si>
  <si>
    <t>THG&lt;-&gt;TP. Hà Tĩnh</t>
  </si>
  <si>
    <t>TP.HY.DKG</t>
  </si>
  <si>
    <t>DKG&lt;-&gt;TP Hưng Yên</t>
  </si>
  <si>
    <t>TP.LC.DKG</t>
  </si>
  <si>
    <t>DKG&lt;-&gt;TP. Lào Cai</t>
  </si>
  <si>
    <t>TP.LS.DKG</t>
  </si>
  <si>
    <t>DKG&lt;-&gt;TP. Lạng Sơn</t>
  </si>
  <si>
    <t>TP.LS.THG</t>
  </si>
  <si>
    <t>THG&lt;-&gt;TP. Lạng Sơn</t>
  </si>
  <si>
    <t>TP.NB.DKG</t>
  </si>
  <si>
    <t>DKG&lt;-&gt;TP. Ninh Bình</t>
  </si>
  <si>
    <t>TP.NB.DKS</t>
  </si>
  <si>
    <t>DKS&lt;-&gt;TP. Ninh Bình</t>
  </si>
  <si>
    <t>TP.NB.THG</t>
  </si>
  <si>
    <t>THG&lt;-&gt;TP. Ninh Bình</t>
  </si>
  <si>
    <t>TP.ND.DKG</t>
  </si>
  <si>
    <t>DKG&lt;-&gt;TP. Nam Định</t>
  </si>
  <si>
    <t>TP.ND.DKS</t>
  </si>
  <si>
    <t>DKS&lt;-&gt;TP. Nam Định</t>
  </si>
  <si>
    <t>TP.ND.THG</t>
  </si>
  <si>
    <t>THG&lt;-&gt;TP. Nam Định</t>
  </si>
  <si>
    <t>TP.QB.DKG</t>
  </si>
  <si>
    <t>DKG&lt;-&gt;TP. Quảng Bình</t>
  </si>
  <si>
    <t>TP.QT.DKG</t>
  </si>
  <si>
    <t>DKG&lt;-&gt;TP. Quảng Trị</t>
  </si>
  <si>
    <t>TP.SP.DKG</t>
  </si>
  <si>
    <t>DKG&lt;-&gt;TP. Sa Pa</t>
  </si>
  <si>
    <t>TP.TB.DKG</t>
  </si>
  <si>
    <t>DKG&lt;-&gt;TP. Thái Bình</t>
  </si>
  <si>
    <t>TP.TB.DKS</t>
  </si>
  <si>
    <t>DKS&lt;-&gt;TP. Thái Bình</t>
  </si>
  <si>
    <t>TP.TB.THG</t>
  </si>
  <si>
    <t>THG&lt;-&gt;TP. Thái Bình</t>
  </si>
  <si>
    <t>TP.TH.DKG</t>
  </si>
  <si>
    <t>DKG&lt;-&gt;TP. Thanh Hóa</t>
  </si>
  <si>
    <t>TP.TH.THG</t>
  </si>
  <si>
    <t>THG&lt;-&gt;TP. Thanh Hóa</t>
  </si>
  <si>
    <t>TP.TN.DKG</t>
  </si>
  <si>
    <t>DKG&lt;-&gt;TP. Thái Nguyên</t>
  </si>
  <si>
    <t>TP.TN.DKS</t>
  </si>
  <si>
    <t>DKS&lt;-&gt;TP. Thái Nguyên</t>
  </si>
  <si>
    <t>TP.TN.THG</t>
  </si>
  <si>
    <t>THG&lt;-&gt;TP. Thái Nguyên</t>
  </si>
  <si>
    <t>TP.TQ.DKG</t>
  </si>
  <si>
    <t>DKG&lt;-&gt;TP. Tuyên Quang</t>
  </si>
  <si>
    <t>TP.VT.DKG</t>
  </si>
  <si>
    <t>DKG&lt;-&gt;TP. Việt Trì</t>
  </si>
  <si>
    <t>TP.VT.DKS</t>
  </si>
  <si>
    <t>DKS&lt;-&gt;TP. Việt Trì</t>
  </si>
  <si>
    <t>TP.VT.THG</t>
  </si>
  <si>
    <t>THG&lt;-&gt;TP. Việt Trì</t>
  </si>
  <si>
    <t>TP.YB.DKG</t>
  </si>
  <si>
    <t>DKG&lt;-&gt;TP. Yên bái</t>
  </si>
  <si>
    <t>TP.YB.DKS</t>
  </si>
  <si>
    <t>DKS&lt;-&gt;TP. Yên bái</t>
  </si>
  <si>
    <t>TP.YB.THG</t>
  </si>
  <si>
    <t>THG&lt;-&gt;TP. Yên Bái</t>
  </si>
  <si>
    <t>TPV.NA.DKG</t>
  </si>
  <si>
    <t>DKG&lt;-&gt;TP. Vinh, Nghệ An</t>
  </si>
  <si>
    <t>TPV.NA.DKS</t>
  </si>
  <si>
    <t>DKS&lt;-&gt;TP. Vinh, Nghệ An</t>
  </si>
  <si>
    <t>TPV.NA.THG</t>
  </si>
  <si>
    <t>THG&lt;-&gt;TP. Vinh, Nghệ An</t>
  </si>
  <si>
    <t>TQ.HY.DKS</t>
  </si>
  <si>
    <t>DKS&lt;-&gt;Tân Quang, Hưng Yên</t>
  </si>
  <si>
    <t>TRT.HN.DKG</t>
  </si>
  <si>
    <t>DKG&lt;-&gt;Trạm Trôi, Hoài Đức, Hà Nội</t>
  </si>
  <si>
    <t>TS.BN.DKG</t>
  </si>
  <si>
    <t>DKG&lt;-&gt;Từ Sơn, Bắc Ninh</t>
  </si>
  <si>
    <t>TS.BN.DKS</t>
  </si>
  <si>
    <t>DKS&lt;-&gt;Từ Sơn, Bắc Ninh</t>
  </si>
  <si>
    <t>TS.BN.THG</t>
  </si>
  <si>
    <t>THG&lt;-&gt;Từ Sơn, Bắc Ninh</t>
  </si>
  <si>
    <t>TS.HN.DKG</t>
  </si>
  <si>
    <t>DKG&lt;-&gt;Trúc Sơn, Hà Nội</t>
  </si>
  <si>
    <t>TS.HN.THG</t>
  </si>
  <si>
    <t>THG&lt;-&gt;Trúc Sơn, Hà Nội</t>
  </si>
  <si>
    <t>TS.PT.DKS</t>
  </si>
  <si>
    <t>DKS&lt;-&gt;Thanh Sơn, Phú Thọ</t>
  </si>
  <si>
    <t>TS.TH.DKG</t>
  </si>
  <si>
    <t>DKG&lt;-&gt;Triệu Sơn, Thanh Hóa</t>
  </si>
  <si>
    <t>TS.TH.THG</t>
  </si>
  <si>
    <t>THG&lt;-&gt;Triệu Sơn, Thanh Hóa</t>
  </si>
  <si>
    <t>TT.BN.DKG</t>
  </si>
  <si>
    <t>DKG&lt;-&gt;Thuận Thành, Bắc Ninh</t>
  </si>
  <si>
    <t>TT.BN.DKS</t>
  </si>
  <si>
    <t>DKS&lt;-&gt;Thuận Thành, Bắc Ninh</t>
  </si>
  <si>
    <t>TT.BN.THG</t>
  </si>
  <si>
    <t>THG&lt;-&gt;Thuận Thành, Bắc Ninh</t>
  </si>
  <si>
    <t>TT.HD.DKS</t>
  </si>
  <si>
    <t>DKS&lt;-&gt;Tân Trường, Hải Dương</t>
  </si>
  <si>
    <t>TT.HN.DKG</t>
  </si>
  <si>
    <t>DKG&lt;-&gt;Thạch Thất, Hà Nội</t>
  </si>
  <si>
    <t>TT.HN.DKS</t>
  </si>
  <si>
    <t>DKS&lt;-&gt;Thạch Thất, Hà Nội</t>
  </si>
  <si>
    <t>TT.HN.THG</t>
  </si>
  <si>
    <t>THG&lt;-&gt;Thạch Thất, Hà Nội</t>
  </si>
  <si>
    <t>TT.PT.DKG</t>
  </si>
  <si>
    <t>DKG&lt;-&gt;Thanh Thủy, Phú Thọ</t>
  </si>
  <si>
    <t>TT.TB.DKG</t>
  </si>
  <si>
    <t>DKG&lt;-&gt;Thái Thụy, Thái Bình</t>
  </si>
  <si>
    <t>TT.TB.THG</t>
  </si>
  <si>
    <t>THG&lt;-&gt;Thái Thụy, Thái Bình</t>
  </si>
  <si>
    <t>TT.TH.DKG</t>
  </si>
  <si>
    <t>DKG&lt;-&gt;Thạch Thành, Thanh Hóa</t>
  </si>
  <si>
    <t>TTI.HN.DKG</t>
  </si>
  <si>
    <t>DKG&lt;-&gt;Thường Tín, Hà Nội</t>
  </si>
  <si>
    <t>TTI.HN.DKS</t>
  </si>
  <si>
    <t>DKS&lt;-&gt;Thường Tín, Hà Nội</t>
  </si>
  <si>
    <t>TTI.HN.THG</t>
  </si>
  <si>
    <t>THG&lt;-&gt;Thường Tín, Hà Nội</t>
  </si>
  <si>
    <t>TTK.BG.DKG</t>
  </si>
  <si>
    <t>DKG&lt;-&gt;Thị Trấn Kép, Bắc Giang</t>
  </si>
  <si>
    <t>TTK.BG.THG</t>
  </si>
  <si>
    <t>THG&lt;-&gt;Thị Trấn Kép, Bắc Giang</t>
  </si>
  <si>
    <t>TTR.HN.DKG</t>
  </si>
  <si>
    <t>DKG&lt;-&gt;Thanh Trì, Hà Nội</t>
  </si>
  <si>
    <t>TTR.HN.DKS</t>
  </si>
  <si>
    <t>DKS&lt;-&gt;Thanh Trì, Hà Nội</t>
  </si>
  <si>
    <t>TTR.HN.THG</t>
  </si>
  <si>
    <t>THG&lt;-&gt;Thanh Trì, Hà Nội</t>
  </si>
  <si>
    <t>TTRI.HN.DKG</t>
  </si>
  <si>
    <t>DKG&lt;-&gt;Tam Trinh, Hà Nội</t>
  </si>
  <si>
    <t>TTV.BG.DKG</t>
  </si>
  <si>
    <t>DKG&lt;-&gt;Thị Trấn Vôi, Bắc Giang</t>
  </si>
  <si>
    <t>TTV.BG.THG</t>
  </si>
  <si>
    <t>THG&lt;-&gt;Thị Trấn Vôi, Bắc Giang</t>
  </si>
  <si>
    <t>TV.PT.DKS</t>
  </si>
  <si>
    <t>DKS&lt;-&gt;Thụy Vân, Phú Thọ</t>
  </si>
  <si>
    <t>TX.HY.DKG</t>
  </si>
  <si>
    <t>DKG&lt;-&gt;TX. Hưng Yên</t>
  </si>
  <si>
    <t>TX.HY.THG</t>
  </si>
  <si>
    <t>THG&lt;-&gt;TX. Hưng Yên</t>
  </si>
  <si>
    <t>TX.PT.DKG</t>
  </si>
  <si>
    <t>DKG&lt;-&gt;Thị Xã, Phú Thọ</t>
  </si>
  <si>
    <t>TX.TH.DKG</t>
  </si>
  <si>
    <t>DKG&lt;-&gt;Thọ Xuân, Thanh Hóa</t>
  </si>
  <si>
    <t>TX.TH.DKS</t>
  </si>
  <si>
    <t>DKS&lt;-&gt;Thọ Xuân, Thanh Hóa</t>
  </si>
  <si>
    <t>TX.TH.THG</t>
  </si>
  <si>
    <t>THG&lt;-&gt;Thọ Xuân, Thanh Hóa</t>
  </si>
  <si>
    <t>TY.BG.DKG</t>
  </si>
  <si>
    <t>DKG&lt;-&gt;Tân Yên, Bắc Giang</t>
  </si>
  <si>
    <t>TY.HN.DKG</t>
  </si>
  <si>
    <t>DKG&lt;-&gt;Trường Yên, Hà Nội</t>
  </si>
  <si>
    <t>UB.QN.DKG</t>
  </si>
  <si>
    <t>DKG&lt;-&gt;Uông Bí, Quảng Ninh</t>
  </si>
  <si>
    <t>UB.QN.DKS</t>
  </si>
  <si>
    <t>DKS&lt;-&gt;Uông Bí, Quảng Ninh</t>
  </si>
  <si>
    <t>UB.QN.THG</t>
  </si>
  <si>
    <t>THG&lt;-&gt;Uông Bí, Quảng Ninh</t>
  </si>
  <si>
    <t>UH.HN.DKG</t>
  </si>
  <si>
    <t>DKG&lt;-&gt;Ứng Hòa, Hà Nội</t>
  </si>
  <si>
    <t>UH.HN.THG</t>
  </si>
  <si>
    <t>THG&lt;-&gt;Ứng Hòa, Hà Nội</t>
  </si>
  <si>
    <t>VB.HP.DKG</t>
  </si>
  <si>
    <t>DKG&lt;-&gt;Vĩnh Bảo, Hải Phòng</t>
  </si>
  <si>
    <t>VB.HP.THG</t>
  </si>
  <si>
    <t>THG&lt;-&gt;Vĩnh Bảo, Hải Phòng</t>
  </si>
  <si>
    <t>VB.LC.DKG</t>
  </si>
  <si>
    <t>DKG&lt;-&gt;Văn Bản, Lào Cai</t>
  </si>
  <si>
    <t>VB.ND.DKG</t>
  </si>
  <si>
    <t>DKG&lt;-&gt;Vụ Bản, Nam Định</t>
  </si>
  <si>
    <t>VD.HN.DKG</t>
  </si>
  <si>
    <t>DKG&lt;-&gt;Văn Điển, Hà Nội</t>
  </si>
  <si>
    <t>VD.HN.DKS</t>
  </si>
  <si>
    <t>DKS&lt;-&gt;Văn Điển, Hà Nội</t>
  </si>
  <si>
    <t>VD.HN.THG</t>
  </si>
  <si>
    <t>THG&lt;-&gt;Văn Điển, Hà Nội</t>
  </si>
  <si>
    <t>VD.QN.DKS</t>
  </si>
  <si>
    <t>DKS&lt;-&gt;Vân Đồn, Quảng Ninh</t>
  </si>
  <si>
    <t>VDI.HN.DKG</t>
  </si>
  <si>
    <t>DKG&lt;-&gt;Vân Đình, Hà Nội</t>
  </si>
  <si>
    <t>VDI.HN.THG</t>
  </si>
  <si>
    <t>THG&lt;-&gt;Vân Đình, Hà Nội</t>
  </si>
  <si>
    <t>VG.HY.DKG</t>
  </si>
  <si>
    <t>DKG&lt;-&gt;Văn Giang, Hưng Yên</t>
  </si>
  <si>
    <t>VG.HY.DKS</t>
  </si>
  <si>
    <t>DKS&lt;-&gt;Văn Giang, Hưng Yên</t>
  </si>
  <si>
    <t>VK.BG.DKG</t>
  </si>
  <si>
    <t>DKG&lt;-&gt;Vĩnh Kế, Bắc Giang</t>
  </si>
  <si>
    <t>VK.BG.THG</t>
  </si>
  <si>
    <t>VL.HY.DKG</t>
  </si>
  <si>
    <t>DKG&lt;-&gt;Văn Lâm, Hưng Yên</t>
  </si>
  <si>
    <t>VL.HY.DKS</t>
  </si>
  <si>
    <t>DKS&lt;-&gt;Văn Lâm, Hưng Yên</t>
  </si>
  <si>
    <t>VL.HY.THG</t>
  </si>
  <si>
    <t>THG&lt;-&gt;Văn Lâm, Hưng Yên</t>
  </si>
  <si>
    <t>VL.QT.DKG</t>
  </si>
  <si>
    <t>DKG&lt;-&gt;Vĩnh Linh, Quảng Trị</t>
  </si>
  <si>
    <t>VN.HP.DKG</t>
  </si>
  <si>
    <t>DKG&lt;-&gt;Vĩnh Niệm, Hải Phòng</t>
  </si>
  <si>
    <t>VN.HP.THG</t>
  </si>
  <si>
    <t>THG&lt;-&gt;Vĩnh Niệm, Hải Phòng</t>
  </si>
  <si>
    <t>VN.QB.DKG</t>
  </si>
  <si>
    <t>DKG&lt;-&gt;Vạn Ninh, Quảng Bình</t>
  </si>
  <si>
    <t>VN.TN.DKS</t>
  </si>
  <si>
    <t>DKS&lt;-&gt;Võ Nhai, Thái Nguyên</t>
  </si>
  <si>
    <t>VT.BG.DKS</t>
  </si>
  <si>
    <t>DKS&lt;-&gt;Vân Trung, Bắc Giang</t>
  </si>
  <si>
    <t>VT.HN.DKS</t>
  </si>
  <si>
    <t>DKS&lt;-&gt;Vĩnh Tuy, Hà Nội</t>
  </si>
  <si>
    <t>VT.HNA.DKG</t>
  </si>
  <si>
    <t>DKG&lt;-&gt;Vĩnh Trụ, Hà Nam</t>
  </si>
  <si>
    <t>VT.HNA.THG</t>
  </si>
  <si>
    <t>THG&lt;-&gt;Vĩnh Trụ, Hà Nam</t>
  </si>
  <si>
    <t>VT.PT.DKS</t>
  </si>
  <si>
    <t>DKS&lt;-&gt;Việt Trì, Phú Thọ</t>
  </si>
  <si>
    <t>VT.TB.DKG</t>
  </si>
  <si>
    <t>DKG&lt;-&gt;Vũ Thư, Thái Bình</t>
  </si>
  <si>
    <t>VT.VP.DKG</t>
  </si>
  <si>
    <t>DKG&lt;-&gt;Vĩnh Tường, Vĩnh Phúc</t>
  </si>
  <si>
    <t>VT.VP.DKS</t>
  </si>
  <si>
    <t>DKS&lt;-&gt;Vĩnh Tường, Vĩnh Phúc</t>
  </si>
  <si>
    <t>VT.VP.THG</t>
  </si>
  <si>
    <t>THG&lt;-&gt;Vĩnh Tường, Vĩnh Phúc</t>
  </si>
  <si>
    <t>Cây trồng</t>
  </si>
  <si>
    <t>VT001</t>
  </si>
  <si>
    <t>Ắc quy</t>
  </si>
  <si>
    <t>VT002</t>
  </si>
  <si>
    <t>Lốp</t>
  </si>
  <si>
    <t>VT003</t>
  </si>
  <si>
    <t>Dầu máy</t>
  </si>
  <si>
    <t>VT004</t>
  </si>
  <si>
    <t>Dầu thủy lực</t>
  </si>
  <si>
    <t>VT005</t>
  </si>
  <si>
    <t>Dầu cầu</t>
  </si>
  <si>
    <t>VT006</t>
  </si>
  <si>
    <t>Nước làm mát</t>
  </si>
  <si>
    <t>VT007</t>
  </si>
  <si>
    <t>Dầu hộp số</t>
  </si>
  <si>
    <t>VT008</t>
  </si>
  <si>
    <t>Dầu 2T</t>
  </si>
  <si>
    <t>VT009</t>
  </si>
  <si>
    <t>Săm</t>
  </si>
  <si>
    <t>VT010</t>
  </si>
  <si>
    <t>Yếm</t>
  </si>
  <si>
    <t>VT011</t>
  </si>
  <si>
    <t>Tăng ống 10</t>
  </si>
  <si>
    <t>VT012</t>
  </si>
  <si>
    <t>Tăng vuông 26</t>
  </si>
  <si>
    <t>VT013</t>
  </si>
  <si>
    <t>Xích đúc 10</t>
  </si>
  <si>
    <t>VT014</t>
  </si>
  <si>
    <t>Xích Cont 12</t>
  </si>
  <si>
    <t>VT015</t>
  </si>
  <si>
    <t>Mã lý số 20</t>
  </si>
  <si>
    <t>VT016</t>
  </si>
  <si>
    <t>Mỡ bò (bơm mỡ)</t>
  </si>
  <si>
    <t>VT017</t>
  </si>
  <si>
    <t>Mỡ chịu nhiệt (bảo dưỡng)</t>
  </si>
  <si>
    <t>VT018</t>
  </si>
  <si>
    <t>Móc xích 10</t>
  </si>
  <si>
    <t>VT019</t>
  </si>
  <si>
    <t>Nối xích 10</t>
  </si>
  <si>
    <t>VT020</t>
  </si>
  <si>
    <t>Gioăng ngáo hơi</t>
  </si>
  <si>
    <t>VT021</t>
  </si>
  <si>
    <t>Ngáo hơi</t>
  </si>
  <si>
    <t>VT022</t>
  </si>
  <si>
    <t>San tan 12</t>
  </si>
  <si>
    <t>VT023</t>
  </si>
  <si>
    <t>Bóng cabin dài faiton (bóng hơi cabin)</t>
  </si>
  <si>
    <t>VT024</t>
  </si>
  <si>
    <t>Lọc 51649</t>
  </si>
  <si>
    <t>VT025</t>
  </si>
  <si>
    <t>Lọc 177047</t>
  </si>
  <si>
    <t>VT026</t>
  </si>
  <si>
    <t>Lọc 055</t>
  </si>
  <si>
    <t>VT027</t>
  </si>
  <si>
    <t>Côn 39 đen CH</t>
  </si>
  <si>
    <t>VT028</t>
  </si>
  <si>
    <t>Lọc Diezel TQ</t>
  </si>
  <si>
    <t>VT030</t>
  </si>
  <si>
    <t>Lọc nhớt MF 2010BD</t>
  </si>
  <si>
    <t>VT039</t>
  </si>
  <si>
    <t>Lọc nhớt MF 208BD</t>
  </si>
  <si>
    <t>VT040</t>
  </si>
  <si>
    <t>Lốc kê</t>
  </si>
  <si>
    <t>VT041</t>
  </si>
  <si>
    <t>Lọc nhớt S60 FF</t>
  </si>
  <si>
    <t>VT042</t>
  </si>
  <si>
    <t>Ắc nhíp WC</t>
  </si>
  <si>
    <t>VT043</t>
  </si>
  <si>
    <t>Cút nước xanh xịn</t>
  </si>
  <si>
    <t>VT052</t>
  </si>
  <si>
    <t>Dầu hộp số (Texa1888-xe nâng)</t>
  </si>
  <si>
    <t>VT053</t>
  </si>
  <si>
    <t>Săm+yếm 1100-20 ĐL</t>
  </si>
  <si>
    <t>VT054</t>
  </si>
  <si>
    <t>Quang nhíp móc 38</t>
  </si>
  <si>
    <t>VT055</t>
  </si>
  <si>
    <t>Lọc 3620</t>
  </si>
  <si>
    <t>VT056</t>
  </si>
  <si>
    <t>Lọc nhớt 1 cam 7154BD</t>
  </si>
  <si>
    <t>VT057</t>
  </si>
  <si>
    <t>Phớt mooc 6 lỗ</t>
  </si>
  <si>
    <t>VT058</t>
  </si>
  <si>
    <t>Bóng hơi đế nhôm WC</t>
  </si>
  <si>
    <t>VT059</t>
  </si>
  <si>
    <t>Lọc nhớt DD 15 BD</t>
  </si>
  <si>
    <t>VT060</t>
  </si>
  <si>
    <t>Sắt làm thùng đồ,bảo hiểm mooc</t>
  </si>
  <si>
    <t>VT061</t>
  </si>
  <si>
    <t>Lọc nhớt 375</t>
  </si>
  <si>
    <t>VT068</t>
  </si>
  <si>
    <t>Lọc nhớt 2 cam đô</t>
  </si>
  <si>
    <t>VT069</t>
  </si>
  <si>
    <t>Xích 14 đúc</t>
  </si>
  <si>
    <t>VT070</t>
  </si>
  <si>
    <t>Móc xích 14</t>
  </si>
  <si>
    <t>VT071</t>
  </si>
  <si>
    <t>Lọc diesel 2 cam Đô</t>
  </si>
  <si>
    <t>VT072</t>
  </si>
  <si>
    <t>Lốp 26.5_25 Deestone Thái (xe nâng)</t>
  </si>
  <si>
    <t>VT073</t>
  </si>
  <si>
    <t>Bơm nước MF</t>
  </si>
  <si>
    <t>VT074</t>
  </si>
  <si>
    <t>Lọc 559000</t>
  </si>
  <si>
    <t>VT075</t>
  </si>
  <si>
    <t>Lọc nhớt CNC</t>
  </si>
  <si>
    <t>VT076</t>
  </si>
  <si>
    <t>Lọc M14 3639</t>
  </si>
  <si>
    <t>VT077</t>
  </si>
  <si>
    <t>Bạt da</t>
  </si>
  <si>
    <t>VT078</t>
  </si>
  <si>
    <t>Bạt dứa</t>
  </si>
  <si>
    <t>VT079</t>
  </si>
  <si>
    <t>Tăng bạt</t>
  </si>
  <si>
    <t>VT080</t>
  </si>
  <si>
    <t>Dây chằng bạt</t>
  </si>
  <si>
    <t>VT081</t>
  </si>
  <si>
    <t>Tăng giật 10</t>
  </si>
  <si>
    <t>VT082</t>
  </si>
  <si>
    <t>Lốp 26.5-25 28PR VEM 99</t>
  </si>
  <si>
    <t>VT085</t>
  </si>
  <si>
    <t>tăng xích</t>
  </si>
  <si>
    <t>VT086</t>
  </si>
  <si>
    <t>Cọc dài để chở ống</t>
  </si>
  <si>
    <t>VT108</t>
  </si>
  <si>
    <t>Gạch</t>
  </si>
  <si>
    <t>VT109</t>
  </si>
  <si>
    <t>Cát</t>
  </si>
  <si>
    <t>VT110</t>
  </si>
  <si>
    <t>Sắt thép</t>
  </si>
  <si>
    <t>VT111</t>
  </si>
  <si>
    <t>Xi măng</t>
  </si>
  <si>
    <t>VT113</t>
  </si>
  <si>
    <t>Vật tư lẻ</t>
  </si>
  <si>
    <t>VT114</t>
  </si>
  <si>
    <t>Thiết bị nước</t>
  </si>
  <si>
    <t>VT115</t>
  </si>
  <si>
    <t>thiết bị điện</t>
  </si>
  <si>
    <t>VT18</t>
  </si>
  <si>
    <t>Ắc dài+ ngắn</t>
  </si>
  <si>
    <t>VT19</t>
  </si>
  <si>
    <t>Bạc 65</t>
  </si>
  <si>
    <t>VT20</t>
  </si>
  <si>
    <t>Bạc 66.5</t>
  </si>
  <si>
    <t>VT21</t>
  </si>
  <si>
    <t>Bát phanh</t>
  </si>
  <si>
    <t>VT22</t>
  </si>
  <si>
    <t>Bi 445 XF</t>
  </si>
  <si>
    <t>VT23</t>
  </si>
  <si>
    <t>Cle 14</t>
  </si>
  <si>
    <t>VT24</t>
  </si>
  <si>
    <t>Cle 21</t>
  </si>
  <si>
    <t>VT25</t>
  </si>
  <si>
    <t>Dầu trợ lái</t>
  </si>
  <si>
    <t>VT26</t>
  </si>
  <si>
    <t>Giảm sóc trước maxfocer meritor</t>
  </si>
  <si>
    <t>VT27</t>
  </si>
  <si>
    <t>Keo xám</t>
  </si>
  <si>
    <t>VT28</t>
  </si>
  <si>
    <t>Lạt rút to</t>
  </si>
  <si>
    <t>VT29</t>
  </si>
  <si>
    <t>Lò so hồi san tích</t>
  </si>
  <si>
    <t>VT30</t>
  </si>
  <si>
    <t>Lò so phanh nhỏ</t>
  </si>
  <si>
    <t>VT31</t>
  </si>
  <si>
    <t>Lò so phanh to</t>
  </si>
  <si>
    <t>VT32</t>
  </si>
  <si>
    <t>Lọc 440</t>
  </si>
  <si>
    <t>VT33</t>
  </si>
  <si>
    <t>Lọc 552100</t>
  </si>
  <si>
    <t>VT34</t>
  </si>
  <si>
    <t>Lọc 9080 BD</t>
  </si>
  <si>
    <t>VT35</t>
  </si>
  <si>
    <t>Lọc CC 1013</t>
  </si>
  <si>
    <t>VT36</t>
  </si>
  <si>
    <t>Lọc diezen 33450 WIX</t>
  </si>
  <si>
    <t>VT37</t>
  </si>
  <si>
    <t>Lọc LF 14000 fleetgat</t>
  </si>
  <si>
    <t>VT38</t>
  </si>
  <si>
    <t>Lọc LF 3000</t>
  </si>
  <si>
    <t>VT39</t>
  </si>
  <si>
    <t>Lọc nhớt 2cam 9080</t>
  </si>
  <si>
    <t>VT40</t>
  </si>
  <si>
    <t>Lọc nhớt hovo A7 (JX0818)</t>
  </si>
  <si>
    <t>VT41</t>
  </si>
  <si>
    <t>Loc thả đô</t>
  </si>
  <si>
    <t>VT42</t>
  </si>
  <si>
    <t>Lưỡi cưa</t>
  </si>
  <si>
    <t>VT43</t>
  </si>
  <si>
    <t>Mỡ L3</t>
  </si>
  <si>
    <t>VT44</t>
  </si>
  <si>
    <t>Ốc bắt gật gù</t>
  </si>
  <si>
    <t>VT45</t>
  </si>
  <si>
    <t>Ốc bắt tay giằng</t>
  </si>
  <si>
    <t>VT46</t>
  </si>
  <si>
    <t>Phớt trước new</t>
  </si>
  <si>
    <t>VT47</t>
  </si>
  <si>
    <t>Quai nhê bé</t>
  </si>
  <si>
    <t>VT48</t>
  </si>
  <si>
    <t>San tích 28R</t>
  </si>
  <si>
    <t>VT49</t>
  </si>
  <si>
    <t>San tích 10R</t>
  </si>
  <si>
    <t>VT50</t>
  </si>
  <si>
    <t>San tích 37R</t>
  </si>
  <si>
    <t>VT51</t>
  </si>
  <si>
    <t>San tan bóng đời 1 lá</t>
  </si>
  <si>
    <t>VT52</t>
  </si>
  <si>
    <t>Lọc diezel W962/7</t>
  </si>
  <si>
    <t>VT53</t>
  </si>
  <si>
    <t>Giấy ráp</t>
  </si>
  <si>
    <t>VT54</t>
  </si>
  <si>
    <t>Bìa 0.5 ly</t>
  </si>
  <si>
    <t>VT56</t>
  </si>
  <si>
    <t>Khẩu 16</t>
  </si>
  <si>
    <t>VT57</t>
  </si>
  <si>
    <t>Hộp cắt già xịn</t>
  </si>
  <si>
    <t>VT58</t>
  </si>
  <si>
    <t>Khẩu 12</t>
  </si>
  <si>
    <t>VT59</t>
  </si>
  <si>
    <t>Cle 10</t>
  </si>
  <si>
    <t>VT60</t>
  </si>
  <si>
    <t>Bóng H1 Philip</t>
  </si>
  <si>
    <t>VT61</t>
  </si>
  <si>
    <t>Bóng hộp</t>
  </si>
  <si>
    <t>VT62</t>
  </si>
  <si>
    <t>Lốp 1100R20 Bridgestone Thái M798</t>
  </si>
  <si>
    <t>VT63</t>
  </si>
  <si>
    <t>Lốp 1200R20 Bridgestone Thái M857</t>
  </si>
  <si>
    <t>VT64</t>
  </si>
  <si>
    <t>Lốp 12R225 Firestone Thái D600</t>
  </si>
  <si>
    <t>VT65</t>
  </si>
  <si>
    <t>Lốp 295/75R225 Firestone Thái D663</t>
  </si>
  <si>
    <t>VT66</t>
  </si>
  <si>
    <t>Lọc nước BD</t>
  </si>
  <si>
    <t>VT67</t>
  </si>
  <si>
    <t>Nắp may ơ sau ngao</t>
  </si>
  <si>
    <t>VT68</t>
  </si>
  <si>
    <t>Bi 3782 Nhật</t>
  </si>
  <si>
    <t>VT69</t>
  </si>
  <si>
    <t>Bi 212049 Nhật</t>
  </si>
  <si>
    <t>VT70</t>
  </si>
  <si>
    <t>Lọc PL 420</t>
  </si>
  <si>
    <t>VT71</t>
  </si>
  <si>
    <t>Dầu phanh</t>
  </si>
  <si>
    <t>VT72</t>
  </si>
  <si>
    <t>Giảm sóc cabin gabiel</t>
  </si>
  <si>
    <t>VT73</t>
  </si>
  <si>
    <t>Giảm sóc sau ngao gabiel</t>
  </si>
  <si>
    <t>VT74</t>
  </si>
  <si>
    <t>Lốp 11R225 Firestone Thái D663</t>
  </si>
  <si>
    <t>VT75</t>
  </si>
  <si>
    <t>Lốp xe nâng JK 23.5-25 20PR VEM 99</t>
  </si>
  <si>
    <t>VT76</t>
  </si>
  <si>
    <t>Lốp xe nâng  bánh đặc casumina 7.00-12</t>
  </si>
  <si>
    <t>VT77</t>
  </si>
  <si>
    <t>Me - xe máy số</t>
  </si>
  <si>
    <t>VT78</t>
  </si>
  <si>
    <t>Bạt che hàng khổ 7m x 4m</t>
  </si>
  <si>
    <t>VT79</t>
  </si>
  <si>
    <t>Lốp xe nâng JK 26.5-25 28PR E3 L3 VEM 99</t>
  </si>
  <si>
    <t>VV.HN.DKG</t>
  </si>
  <si>
    <t>DKG&lt;-&gt;Văn Võ, Hà Nội</t>
  </si>
  <si>
    <t>VY.BG.DKG</t>
  </si>
  <si>
    <t>DKG&lt;-&gt;Việt Yên, Bắc Giang</t>
  </si>
  <si>
    <t>VY.BG.DKS</t>
  </si>
  <si>
    <t>DKS&lt;-&gt;Việt Yên, Bắc Giang</t>
  </si>
  <si>
    <t>VY.BG.THG</t>
  </si>
  <si>
    <t>VY.VP.DKG</t>
  </si>
  <si>
    <t>DKG&lt;-&gt;Vĩnh Yên, Vĩnh Phúc</t>
  </si>
  <si>
    <t>VY.VP.THG</t>
  </si>
  <si>
    <t>THG&lt;-&gt;Vĩnh Yên, Vĩnh Phúc</t>
  </si>
  <si>
    <t>XA.HT.DKG</t>
  </si>
  <si>
    <t>DKG&lt;-&gt;Xuân An, Hà Tĩnh</t>
  </si>
  <si>
    <t>XECAUHAGO</t>
  </si>
  <si>
    <t>Xe cẩu tự hành hạ gỗ</t>
  </si>
  <si>
    <t>XENGOAICHOGO</t>
  </si>
  <si>
    <t>Xe ngoài vào bãi Hoàng Sơn lấy gỗ</t>
  </si>
  <si>
    <t>XM.HB.DKG</t>
  </si>
  <si>
    <t>DKG&lt;-&gt;Xuân Mai, Hòa Bình</t>
  </si>
  <si>
    <t>XM.HB.THG</t>
  </si>
  <si>
    <t>THG&lt;-&gt;Xuân Mai, Hòa Bình</t>
  </si>
  <si>
    <t>XM.HN.DKG</t>
  </si>
  <si>
    <t>DKG&lt;-&gt;Xuân Mai, Hà Nội</t>
  </si>
  <si>
    <t>XT.ND.DKG</t>
  </si>
  <si>
    <t>DKG&lt;-&gt;Xuân Trường, Nam Định</t>
  </si>
  <si>
    <t>XT.ND.THG</t>
  </si>
  <si>
    <t>THG&lt;-&gt;Xuân Trường, Nam Định</t>
  </si>
  <si>
    <t>YB.YB.DKG</t>
  </si>
  <si>
    <t>DKG&lt;-&gt;Yên Bình, Yên Bái</t>
  </si>
  <si>
    <t>YB.YB.DKS</t>
  </si>
  <si>
    <t>DKS&lt;-&gt;Yên Bình, Yên Bái</t>
  </si>
  <si>
    <t>YD.BG.DKG</t>
  </si>
  <si>
    <t>DKG&lt;-&gt;Yên Dũng, Bắc Giang</t>
  </si>
  <si>
    <t>YD.BG.THG</t>
  </si>
  <si>
    <t>THG&lt;-&gt;Yên Dũng, Bắc Giang</t>
  </si>
  <si>
    <t>YD.TH.DKG</t>
  </si>
  <si>
    <t>DKG&lt;-&gt;Yên Định, Thanh Hóa</t>
  </si>
  <si>
    <t>YD.TH.THG</t>
  </si>
  <si>
    <t>THG&lt;-&gt;Yên Định, Thanh Hóa</t>
  </si>
  <si>
    <t>YK.NB.DKG</t>
  </si>
  <si>
    <t>DKG&lt;-&gt;Yên Khánh, Ninh Bình</t>
  </si>
  <si>
    <t>YK.NB.DKS</t>
  </si>
  <si>
    <t>DKS&lt;-&gt;Yên Khánh, Ninh Bình</t>
  </si>
  <si>
    <t>YK.NB.THG</t>
  </si>
  <si>
    <t>THG&lt;-&gt;Yên Khánh, Ninh Bình</t>
  </si>
  <si>
    <t>YL.HNA.DKG</t>
  </si>
  <si>
    <t>DKG&lt;-&gt;Yên Lệnh, Hà Nam</t>
  </si>
  <si>
    <t>YL.HNA.THG</t>
  </si>
  <si>
    <t>THG&lt;-&gt;Yên Lệnh, Hà Nam</t>
  </si>
  <si>
    <t>YL.PT.DKS</t>
  </si>
  <si>
    <t>DKS&lt;-&gt;Yên Lập, Phú Thọ</t>
  </si>
  <si>
    <t>YL.VP.DKG</t>
  </si>
  <si>
    <t>DKG&lt;-&gt;Yên Lạc, Vĩnh Phúc</t>
  </si>
  <si>
    <t>YL.VP.DKS</t>
  </si>
  <si>
    <t>DKS&lt;-&gt;Yên Lạc, Vĩnh Phúc</t>
  </si>
  <si>
    <t>YL.VP.THG</t>
  </si>
  <si>
    <t>THG&lt;-&gt;Yên Lạc, Vĩnh Phúc</t>
  </si>
  <si>
    <t>YM.HY.DKG</t>
  </si>
  <si>
    <t>DKG&lt;-&gt;Yên Mỹ, Hưng Yên</t>
  </si>
  <si>
    <t>YM.HY.DKS</t>
  </si>
  <si>
    <t>DKS&lt;-&gt;Yên Mỹ, Hưng Yên</t>
  </si>
  <si>
    <t>YM.HY.THG</t>
  </si>
  <si>
    <t>THG&lt;-&gt;Yên Mỹ, Hưng Yên</t>
  </si>
  <si>
    <t>YM.NB.DKG</t>
  </si>
  <si>
    <t>DKG&lt;-&gt;Yên Mỗ, Ninh Bình</t>
  </si>
  <si>
    <t>YN.HN.DKG</t>
  </si>
  <si>
    <t>DKG&lt;-&gt;Yên Nghĩa, Hà Nội</t>
  </si>
  <si>
    <t>YP.BN.DKG</t>
  </si>
  <si>
    <t>DKG&lt;-&gt;Yên Phong, Bắc Ninh</t>
  </si>
  <si>
    <t>YP.BN.DKS</t>
  </si>
  <si>
    <t>DKS&lt;-&gt;Yên Phong, Bắc Ninh</t>
  </si>
  <si>
    <t>YP.BN.THG</t>
  </si>
  <si>
    <t>THG&lt;-&gt;Yên Phong, Bắc Ninh</t>
  </si>
  <si>
    <t>YS.HN.DKG</t>
  </si>
  <si>
    <t>DKG&lt;-&gt;Yên Sở, Hà Nội</t>
  </si>
  <si>
    <t>YS.TQ.DKG</t>
  </si>
  <si>
    <t>DKG&lt;-&gt;Yên Sơn, Tuyên Quang</t>
  </si>
  <si>
    <t>YS.TQ.DKS</t>
  </si>
  <si>
    <t>DKS&lt;-&gt;Yên Sơn, Tuyên Quang</t>
  </si>
  <si>
    <t>YT.BG.DKS</t>
  </si>
  <si>
    <t>DKS&lt;-&gt;Yên Thế, Bắc Giang</t>
  </si>
  <si>
    <t>YT.NA.DKG</t>
  </si>
  <si>
    <t>DKG&lt;-&gt;Yên Thành, Nghệ An</t>
  </si>
  <si>
    <t>YT.QN.DKG</t>
  </si>
  <si>
    <t>DKG&lt;-&gt;Yên Tử, Quảng Ninh</t>
  </si>
  <si>
    <t>YT.QN.DKS</t>
  </si>
  <si>
    <t>DKS&lt;-&gt;Yên Tử, Quảng Ninh</t>
  </si>
  <si>
    <t>YT.QN.THG</t>
  </si>
  <si>
    <t>THG&lt;-&gt;Yên Tử, Quảng Ninh</t>
  </si>
  <si>
    <t>YY.ND.DKS</t>
  </si>
  <si>
    <t>DKS&lt;-&gt;Ý Yên, Nam Định</t>
  </si>
  <si>
    <t>YY.ND.THG</t>
  </si>
  <si>
    <t>THG&lt;-&gt;Ý Yên, Nam Định</t>
  </si>
  <si>
    <t>KT tiền cước</t>
  </si>
  <si>
    <t>Công ty CP Phú Lân (PXHN) 0963336999</t>
  </si>
  <si>
    <t>0104473265</t>
  </si>
  <si>
    <t>Thôn Văn Hội, Xã Đại Thắng, Huyện Phú Xuyên, Thành phố Hà Nội</t>
  </si>
  <si>
    <t>Xe BKS</t>
  </si>
  <si>
    <t>K.H  Thu</t>
  </si>
  <si>
    <t>Số thu Thuc Te</t>
  </si>
  <si>
    <t>Noi Dung</t>
  </si>
  <si>
    <t>Tong</t>
  </si>
  <si>
    <t>Mỹ Đoàn</t>
  </si>
  <si>
    <t>CÔNG TY CP THƯƠNG MẠI VẬN TẢI HOÀNG SƠN
BỘ PHẬN VẬN CHUYỂN GỖ
*********</t>
  </si>
  <si>
    <t>CỘNG HÒA XÃ HỘI CHỦ NGHĨA VIỆT NAM
Độc lập - Tự do - Hạnh phúc
**********</t>
  </si>
  <si>
    <t>BẢNG TỔNG HỢP DOANH THU VẬN CHUYỂN GỖ</t>
  </si>
  <si>
    <t>BẢNG TỔNG HỢP CẮT CƯỚC CHO XE VẬN CHUYỂN GỖ</t>
  </si>
  <si>
    <t>PHẦN DÀNH CHO KẾ TOÁN (KHÔNG SỬA, KHÔNG IN, KHÔNG XÓA)</t>
  </si>
  <si>
    <t>STT</t>
  </si>
  <si>
    <t>Ngày
vận
chuyển</t>
  </si>
  <si>
    <t>Mã
khách hàng</t>
  </si>
  <si>
    <t>Thông tin viết Hóa đơn GTGT</t>
  </si>
  <si>
    <t>Số lệnh</t>
  </si>
  <si>
    <t>Tuyến vận tải</t>
  </si>
  <si>
    <t>Tên chủ xe và BKS</t>
  </si>
  <si>
    <t>Tên lái xe</t>
  </si>
  <si>
    <t>Cột công thức,
không được xóa</t>
  </si>
  <si>
    <t>Bãi</t>
  </si>
  <si>
    <t>Xe nâng, hạ</t>
  </si>
  <si>
    <t>Giao
nhận</t>
  </si>
  <si>
    <t>Tên 
lô gỗ</t>
  </si>
  <si>
    <t>Thu chủ hàng
(chủ gỗ)</t>
  </si>
  <si>
    <t>Điều
khoản
thanh
toán</t>
  </si>
  <si>
    <t>Hết/
chưa
hết
lô</t>
  </si>
  <si>
    <t>Cước
xe
ĐK
hoặc
TH</t>
  </si>
  <si>
    <t>Tiền đường
định mức
(đồng)</t>
  </si>
  <si>
    <t xml:space="preserve">Ghi
chú </t>
  </si>
  <si>
    <t>Số
TT</t>
  </si>
  <si>
    <t>Mã chủ xe và BKS</t>
  </si>
  <si>
    <t>Cước
xe</t>
  </si>
  <si>
    <t>Tiền đường
thực chi
(đồng)</t>
  </si>
  <si>
    <t>Chênh lệch
tiền đường
(đồng)</t>
  </si>
  <si>
    <t>Người
chi
tiền
đường</t>
  </si>
  <si>
    <t>95%
khối
lượng
thực
chở</t>
  </si>
  <si>
    <t>Cắt cước cho 
xe đầu kéo/tự hành</t>
  </si>
  <si>
    <t>Lãi
làm
hàng</t>
  </si>
  <si>
    <t>Mã
thống kê
doanh thu
vận tải</t>
  </si>
  <si>
    <t>Tài khoản doanh thu</t>
  </si>
  <si>
    <t>Mã thống kê cắt cước</t>
  </si>
  <si>
    <t>Mã
người
tạm
ứng</t>
  </si>
  <si>
    <t>Mã
tài 
khoản
trả 
xe</t>
  </si>
  <si>
    <t>Mã
tài
khoản
tiền
đường</t>
  </si>
  <si>
    <t>Mã
thống
kê
tiền
đường</t>
  </si>
  <si>
    <t>Diễn giải tiền đường</t>
  </si>
  <si>
    <t>Cung
đường</t>
  </si>
  <si>
    <t>Hạn thanh toán</t>
  </si>
  <si>
    <t>Họ và tên đầy đủ
của Khách hàng</t>
  </si>
  <si>
    <t>Địa chỉ
(xã/phường + quận/huyện + tỉnh/thành)</t>
  </si>
  <si>
    <t>Hàng của AV/
HS/
KO</t>
  </si>
  <si>
    <t>Mã tuyến</t>
  </si>
  <si>
    <t>Tên tuyến</t>
  </si>
  <si>
    <t>Tên chủ xe</t>
  </si>
  <si>
    <t>Số cây
(lóng)</t>
  </si>
  <si>
    <t>KL
thực
chở
(m3)</t>
  </si>
  <si>
    <t>Mã
chủ xe</t>
  </si>
  <si>
    <t>C</t>
  </si>
  <si>
    <t>D</t>
  </si>
  <si>
    <t>E</t>
  </si>
  <si>
    <t>F</t>
  </si>
  <si>
    <t>G</t>
  </si>
  <si>
    <t>H</t>
  </si>
  <si>
    <t>I</t>
  </si>
  <si>
    <t>K</t>
  </si>
  <si>
    <t>L</t>
  </si>
  <si>
    <t>M</t>
  </si>
  <si>
    <t>N</t>
  </si>
  <si>
    <t>O</t>
  </si>
  <si>
    <t>P</t>
  </si>
  <si>
    <t>Q</t>
  </si>
  <si>
    <t>R</t>
  </si>
  <si>
    <t>4=2x3</t>
  </si>
  <si>
    <t>S</t>
  </si>
  <si>
    <t>T</t>
  </si>
  <si>
    <t>U</t>
  </si>
  <si>
    <t>V</t>
  </si>
  <si>
    <t>3=1x2</t>
  </si>
  <si>
    <t>6=4-5</t>
  </si>
  <si>
    <t>7=1x95%</t>
  </si>
  <si>
    <t>9=7x8</t>
  </si>
  <si>
    <t>CT</t>
  </si>
  <si>
    <t>Bình</t>
  </si>
  <si>
    <t xml:space="preserve">TDG xe </t>
  </si>
  <si>
    <t>DAJI</t>
  </si>
  <si>
    <t>HS</t>
  </si>
  <si>
    <t>CHP</t>
  </si>
  <si>
    <t>Ekop Zing</t>
  </si>
  <si>
    <t>Vạn An</t>
  </si>
  <si>
    <t>Lô 17C20'</t>
  </si>
  <si>
    <t>Bến Thành</t>
  </si>
  <si>
    <t>Minh</t>
  </si>
  <si>
    <t>Trí Dũng</t>
  </si>
  <si>
    <t>ĐÔng Dương</t>
  </si>
  <si>
    <t>CT tra xe</t>
  </si>
  <si>
    <t>Đơn giá: đồng/cont</t>
  </si>
  <si>
    <t>Tỉnh/
Thành Phố</t>
  </si>
  <si>
    <t>Quận/Huyện</t>
  </si>
  <si>
    <t>Km
vận
doanh</t>
  </si>
  <si>
    <t>Tiền
đường</t>
  </si>
  <si>
    <t>Siêu tốc</t>
  </si>
  <si>
    <t>Cước
(đồng/cont)</t>
  </si>
  <si>
    <t>Trả xe
(đồng/cont)</t>
  </si>
  <si>
    <t>A. Tuyến: Quốc lộ 10</t>
  </si>
  <si>
    <t>B. Tuyến: Quốc lộ 5</t>
  </si>
  <si>
    <t>B. Tuyến: Quảng Ninh</t>
  </si>
  <si>
    <t>Mã KH</t>
  </si>
  <si>
    <t>Cước</t>
  </si>
  <si>
    <t>Cước Thành gửi</t>
  </si>
  <si>
    <t>Đinh Gia</t>
  </si>
  <si>
    <t>0101453895</t>
  </si>
  <si>
    <t>0101264009</t>
  </si>
  <si>
    <t>GreenSky</t>
  </si>
  <si>
    <t>Cont</t>
  </si>
  <si>
    <t>DKG&lt;-&gt;Lưu ca xe</t>
  </si>
  <si>
    <t>Bùi Đức Thành</t>
  </si>
  <si>
    <t xml:space="preserve">05x40' </t>
  </si>
  <si>
    <t>OK/NO</t>
  </si>
  <si>
    <t>DKG</t>
  </si>
  <si>
    <t>DKG&lt;-&gt;TP. Bắc Ninh</t>
  </si>
  <si>
    <t>BẢNG CƯỚC - TIỀN ĐƯỜNG CHẠY NGUYÊN CONT ĐI CÁC TUYẾN</t>
  </si>
  <si>
    <t>0101879838</t>
  </si>
  <si>
    <t>Công ty CP Gỗ Nguyễn Gia (HDHN) 0963589688</t>
  </si>
  <si>
    <t>Số nhà 36, TDP Quyết Tiến, P. Dương Nội, Q. Hà Đông, TP. Hà Nội</t>
  </si>
  <si>
    <t>0107780916</t>
  </si>
  <si>
    <t>Số cont</t>
  </si>
  <si>
    <t>Đại Lợi</t>
  </si>
  <si>
    <t xml:space="preserve">Lô </t>
  </si>
  <si>
    <t>Công Thức</t>
  </si>
  <si>
    <t>Ngày Tháng</t>
  </si>
  <si>
    <t>Cước VC đi</t>
  </si>
  <si>
    <t>Đơn vị
tính</t>
  </si>
  <si>
    <t>cảng lấy</t>
  </si>
  <si>
    <t xml:space="preserve">   + NVKD:</t>
  </si>
  <si>
    <t>SL</t>
  </si>
  <si>
    <t>Đơn Gia</t>
  </si>
  <si>
    <t>TC Anh</t>
  </si>
  <si>
    <t>Lô 10x40'&amp;02x40'</t>
  </si>
  <si>
    <t>NQ Hưng</t>
  </si>
  <si>
    <t>Lô 17x20'+02x40'</t>
  </si>
  <si>
    <t>Kiến Thụy</t>
  </si>
  <si>
    <t>Kiến An</t>
  </si>
  <si>
    <t>An Lão</t>
  </si>
  <si>
    <t>Tiên Lãng (chưa phí)</t>
  </si>
  <si>
    <t>Tiên Lãng (có phí)</t>
  </si>
  <si>
    <t>Vĩnh Bảo</t>
  </si>
  <si>
    <t>Tứ Kỳ</t>
  </si>
  <si>
    <t>Quỳnh Phụ</t>
  </si>
  <si>
    <t>Quỳnh Côi</t>
  </si>
  <si>
    <t>Hưng Hà</t>
  </si>
  <si>
    <t>Đông Hưng (chưa phí)</t>
  </si>
  <si>
    <t>Đông Hưng (có phí)</t>
  </si>
  <si>
    <t>TP</t>
  </si>
  <si>
    <t>Diêm Điền (Thái Thụy)</t>
  </si>
  <si>
    <t>Vũ Thư</t>
  </si>
  <si>
    <t>Kiến Xương (chưa phí)</t>
  </si>
  <si>
    <t>Kiến xương (có phí)</t>
  </si>
  <si>
    <t>Tiền Hải</t>
  </si>
  <si>
    <t>Cổ Lễ</t>
  </si>
  <si>
    <t>Hải Hậu</t>
  </si>
  <si>
    <t>Nghĩa Hưng</t>
  </si>
  <si>
    <t>Xuân Trường</t>
  </si>
  <si>
    <t>Ý Yên</t>
  </si>
  <si>
    <t>Bình Lục</t>
  </si>
  <si>
    <t>Nho Quan</t>
  </si>
  <si>
    <t>Kim Sơn</t>
  </si>
  <si>
    <t>Khánh Phú</t>
  </si>
  <si>
    <t>Ninh Phong</t>
  </si>
  <si>
    <t>Yên Khánh</t>
  </si>
  <si>
    <t>Bỉm Sơn</t>
  </si>
  <si>
    <t>Hoằng Hóa</t>
  </si>
  <si>
    <t>Đông Sơn</t>
  </si>
  <si>
    <t>Hà Trung</t>
  </si>
  <si>
    <t>Hậu Lộc</t>
  </si>
  <si>
    <t>Tĩnh Gia</t>
  </si>
  <si>
    <t>Thọ Xuân</t>
  </si>
  <si>
    <t>Triệu Sơn</t>
  </si>
  <si>
    <t>Yên Định</t>
  </si>
  <si>
    <t>Quảng Xương</t>
  </si>
  <si>
    <t>Sầm Sơn</t>
  </si>
  <si>
    <t>Thiệu Hóa</t>
  </si>
  <si>
    <t>Nông Cống</t>
  </si>
  <si>
    <t>Quỳnh Lưu</t>
  </si>
  <si>
    <t>Diễn Châu</t>
  </si>
  <si>
    <t>Yên Thành</t>
  </si>
  <si>
    <t>Cầu Bến Thủy</t>
  </si>
  <si>
    <t>Hưng Nguyên</t>
  </si>
  <si>
    <t>Nam Đàn</t>
  </si>
  <si>
    <t>Nghi Lộc</t>
  </si>
  <si>
    <t>Cửa Lò</t>
  </si>
  <si>
    <t>TP. Vinh</t>
  </si>
  <si>
    <t>Đô Lương</t>
  </si>
  <si>
    <t>Hồng Lĩnh</t>
  </si>
  <si>
    <t>Nghi Xuân</t>
  </si>
  <si>
    <t>Thạch Hà</t>
  </si>
  <si>
    <t>Cẩm Xuyên</t>
  </si>
  <si>
    <t>Can Lộc</t>
  </si>
  <si>
    <t>Đức Thọ</t>
  </si>
  <si>
    <t>Kỳ Anh</t>
  </si>
  <si>
    <t>Ba Đồn</t>
  </si>
  <si>
    <t>Quảng Trạch</t>
  </si>
  <si>
    <t>Vạn Ninh</t>
  </si>
  <si>
    <t>Vĩnh Linh</t>
  </si>
  <si>
    <t>Hồng Bàng</t>
  </si>
  <si>
    <t>An Dương</t>
  </si>
  <si>
    <t>Quán Toan (chưa phí)</t>
  </si>
  <si>
    <t>Quán Toan (có phí)</t>
  </si>
  <si>
    <t>Kinh Môn</t>
  </si>
  <si>
    <t>Phú Thái, Kim Thành</t>
  </si>
  <si>
    <t>Nam Sách</t>
  </si>
  <si>
    <t>Thanh Hà</t>
  </si>
  <si>
    <t>Quán Gỏi</t>
  </si>
  <si>
    <t>Bình Giang</t>
  </si>
  <si>
    <t>Cẩm Giàng</t>
  </si>
  <si>
    <t>Ninh Giang</t>
  </si>
  <si>
    <t>Gia Lộc</t>
  </si>
  <si>
    <t>Thanh Miện</t>
  </si>
  <si>
    <t>Ân Thi</t>
  </si>
  <si>
    <t>Yên Mỹ</t>
  </si>
  <si>
    <t>Mỹ Hào</t>
  </si>
  <si>
    <t>Văn Lâm</t>
  </si>
  <si>
    <t>Chợ Gạo</t>
  </si>
  <si>
    <t>Tiên Lữ</t>
  </si>
  <si>
    <t>Kim Động</t>
  </si>
  <si>
    <t>Phủ Cừ</t>
  </si>
  <si>
    <t>Duy Tiên</t>
  </si>
  <si>
    <t>Lý Nhân</t>
  </si>
  <si>
    <t>Yên Lệnh</t>
  </si>
  <si>
    <t>Kim Bảng</t>
  </si>
  <si>
    <t>Vĩnh Trụ</t>
  </si>
  <si>
    <t>Phủ Lý</t>
  </si>
  <si>
    <t>Thanh Liêm</t>
  </si>
  <si>
    <t>Thuận Thành</t>
  </si>
  <si>
    <t>Phật Tích</t>
  </si>
  <si>
    <t>Tiên Du</t>
  </si>
  <si>
    <t>Từ Sơn</t>
  </si>
  <si>
    <t>Phố Chờ</t>
  </si>
  <si>
    <t>Yên Phong</t>
  </si>
  <si>
    <t>Quế Võ</t>
  </si>
  <si>
    <t>Dĩnh Kế (Thành Phố)</t>
  </si>
  <si>
    <t>Hiệp Hòa</t>
  </si>
  <si>
    <t>Việt Yên</t>
  </si>
  <si>
    <t>Yên Dũng</t>
  </si>
  <si>
    <t>Lục Ngạn</t>
  </si>
  <si>
    <t>Kép</t>
  </si>
  <si>
    <t>Vôi</t>
  </si>
  <si>
    <t>Đồi Ngô</t>
  </si>
  <si>
    <t>Lục Nam</t>
  </si>
  <si>
    <t>Lạng Giang</t>
  </si>
  <si>
    <t>Yên Thế</t>
  </si>
  <si>
    <t>Bố Hạ</t>
  </si>
  <si>
    <t>Gia Lâm</t>
  </si>
  <si>
    <t>Đông Anh</t>
  </si>
  <si>
    <t>Sóc Sơn</t>
  </si>
  <si>
    <t>Ngọc Hồi</t>
  </si>
  <si>
    <t>Văn Điển</t>
  </si>
  <si>
    <t>Thanh Trì</t>
  </si>
  <si>
    <t>Trường Chinh</t>
  </si>
  <si>
    <t>Đỗ Xá</t>
  </si>
  <si>
    <t>Thường Tín</t>
  </si>
  <si>
    <t>Đan Phượng</t>
  </si>
  <si>
    <t>Phúc Thọ</t>
  </si>
  <si>
    <t>Sơn Tây</t>
  </si>
  <si>
    <t>Ba Vì</t>
  </si>
  <si>
    <t>Hà Đông</t>
  </si>
  <si>
    <t>Quốc Oai</t>
  </si>
  <si>
    <t>Thạch Thất</t>
  </si>
  <si>
    <t>Trúc Sơn</t>
  </si>
  <si>
    <t>Thanh Oai</t>
  </si>
  <si>
    <t>Ứng Hòa</t>
  </si>
  <si>
    <t>Vân Đình (Ứng Hòa)</t>
  </si>
  <si>
    <t>Ba Thá (Ứng Hòa)</t>
  </si>
  <si>
    <t>Mỹ Đức</t>
  </si>
  <si>
    <t>Kỳ Sơn</t>
  </si>
  <si>
    <t>Lạc Thủy</t>
  </si>
  <si>
    <t>Cầu Đa Phúc</t>
  </si>
  <si>
    <t>Phổ Yên</t>
  </si>
  <si>
    <t>Đại Từ</t>
  </si>
  <si>
    <t>Đồng Hỷ</t>
  </si>
  <si>
    <t>Phú Lương</t>
  </si>
  <si>
    <t>Thanh Lãng</t>
  </si>
  <si>
    <t>Vĩnh Yên/Yên Lạc</t>
  </si>
  <si>
    <t>Lập Thạch</t>
  </si>
  <si>
    <t>Vĩnh Tường</t>
  </si>
  <si>
    <t>Tam Đảo</t>
  </si>
  <si>
    <t>Lâm Thao</t>
  </si>
  <si>
    <t>Việt Trì</t>
  </si>
  <si>
    <t>Phù Ninh</t>
  </si>
  <si>
    <t>Tam Nông</t>
  </si>
  <si>
    <t>Thanh Thủy</t>
  </si>
  <si>
    <t>Đoan Hùng</t>
  </si>
  <si>
    <t>Thanh Sơn</t>
  </si>
  <si>
    <t>Hạ Hòa</t>
  </si>
  <si>
    <t>Yên Lập</t>
  </si>
  <si>
    <t>Bảo Ái</t>
  </si>
  <si>
    <t>Yên Bình</t>
  </si>
  <si>
    <t>TP. Yên Bái</t>
  </si>
  <si>
    <t>Hữu Lũng</t>
  </si>
  <si>
    <t>Lộc Bình/Bắc Sơn</t>
  </si>
  <si>
    <t>Sa Pa</t>
  </si>
  <si>
    <t>Tuyên Quang</t>
  </si>
  <si>
    <t>Yên Sơn</t>
  </si>
  <si>
    <t>Sở Dầu</t>
  </si>
  <si>
    <t>Cầu Kiền (bên Quán Toán)</t>
  </si>
  <si>
    <t>Uông Bí</t>
  </si>
  <si>
    <t>Quảng Yên</t>
  </si>
  <si>
    <t>Mạo Khê (Đông Triều)</t>
  </si>
  <si>
    <t>Hà Khẩu</t>
  </si>
  <si>
    <t>Hạ Long</t>
  </si>
  <si>
    <t>Hoành Bồ</t>
  </si>
  <si>
    <t>Cẩm Phả</t>
  </si>
  <si>
    <t>Cẩm Phả (1 lượt vé)</t>
  </si>
  <si>
    <t>Cẩm Phả (2 lượt vé)</t>
  </si>
  <si>
    <t>Hải Hà</t>
  </si>
  <si>
    <t>Móng Cái</t>
  </si>
  <si>
    <t>Hoài Đức</t>
  </si>
  <si>
    <t>27 ltt</t>
  </si>
  <si>
    <t>MEDU3242588</t>
  </si>
  <si>
    <t>MEDU6335679</t>
  </si>
  <si>
    <t>CARU2744490</t>
  </si>
  <si>
    <t>MEDU1626727</t>
  </si>
  <si>
    <t>TRHU2184293</t>
  </si>
  <si>
    <t>MSDU1179360</t>
  </si>
  <si>
    <t>MSCU3953928</t>
  </si>
  <si>
    <t>CG03197</t>
  </si>
  <si>
    <t>Nguyễn Văn Toản (DNTSBN) 027082005504 0912291626</t>
  </si>
  <si>
    <t>Soi : MD +650, trả 300, khác: +600 trả 300</t>
  </si>
  <si>
    <t>DKG&lt;-&gt;Chuyển tải khu vực CDV-HS</t>
  </si>
  <si>
    <t>Phạm Văn Tuấn</t>
  </si>
  <si>
    <t>02x20'</t>
  </si>
  <si>
    <t>Hoàng Văn Hưng</t>
  </si>
  <si>
    <t>01x40'</t>
  </si>
  <si>
    <t>Đóng xuất cảng</t>
  </si>
  <si>
    <t>CG03186</t>
  </si>
  <si>
    <t>Phong (HDHN) 0976758595</t>
  </si>
  <si>
    <t>Trần Công Anh</t>
  </si>
  <si>
    <t>07x40'</t>
  </si>
  <si>
    <t>Đồng Ngọc Điểm</t>
  </si>
  <si>
    <t>Nguyễn Văn Ca</t>
  </si>
  <si>
    <t>Vũ Đình Hà</t>
  </si>
  <si>
    <t>Trương Văn Cao</t>
  </si>
  <si>
    <t>Phạm Viết Thành</t>
  </si>
  <si>
    <t>Phạm Văn Thượng</t>
  </si>
  <si>
    <t>05x20</t>
  </si>
  <si>
    <t>Vũ Đức Chiến</t>
  </si>
  <si>
    <t>16C20'</t>
  </si>
  <si>
    <t>Phạm Hoàng Quyết</t>
  </si>
  <si>
    <t>08x40'</t>
  </si>
  <si>
    <t>Mỹ Đoàn
Đông Dương
Minh
Bến Thành
Trí Dũng
(01.11.2021)</t>
  </si>
  <si>
    <t>Đinh Gia
(01.11.2021)</t>
  </si>
  <si>
    <t>Green Sky
(01.11.2021)</t>
  </si>
  <si>
    <t>Phòng xuất nhập khẩu thuộc Mỹ Đoàn</t>
  </si>
  <si>
    <t xml:space="preserve"> 18x20'</t>
  </si>
  <si>
    <r>
      <t xml:space="preserve">BẢNG CƯỚC - TIỀN ĐƯỜNG CHẠY GỖ RỜI ĐI CÁC TUYẾN
</t>
    </r>
    <r>
      <rPr>
        <b/>
        <sz val="10"/>
        <rFont val="Times New Roman"/>
        <family val="1"/>
      </rPr>
      <t>Áp dụng từ ngày 03 tháng 5 năm 2021</t>
    </r>
  </si>
  <si>
    <t>Đơn giá: 1.000 đồng</t>
  </si>
  <si>
    <t>Giá
cước</t>
  </si>
  <si>
    <t>Phụ thu
(1/11/2021)</t>
  </si>
  <si>
    <t>Tổng</t>
  </si>
  <si>
    <t>LX</t>
  </si>
  <si>
    <t>Đội 1
Đội 4</t>
  </si>
  <si>
    <t>Báo
luật</t>
  </si>
  <si>
    <t>Mua
vé</t>
  </si>
  <si>
    <t>Ngà 420</t>
  </si>
  <si>
    <t>Chưa chính xác</t>
  </si>
  <si>
    <t>Ghi chú:</t>
  </si>
  <si>
    <t>Tp</t>
  </si>
  <si>
    <t>Vân Đình</t>
  </si>
  <si>
    <t>Ba Thá</t>
  </si>
  <si>
    <t>Hạ bãi</t>
  </si>
  <si>
    <t xml:space="preserve">01x20' </t>
  </si>
  <si>
    <t>Phụ Thu
26/11</t>
  </si>
  <si>
    <t>Dĩnh Kế</t>
  </si>
  <si>
    <t>Kim Bôi</t>
  </si>
  <si>
    <t>Thuỷ Nguyên</t>
  </si>
  <si>
    <t>Công ty TNHH Sản xuất và Thương mại Đức Tín (HDHN) 0913010067</t>
  </si>
  <si>
    <t>Tổ dân phố Trung Bình, Phường Dương Nội, Quận Hà Đông, Hà Nội</t>
  </si>
  <si>
    <t>Dương Kinh</t>
  </si>
  <si>
    <t>Đồ Sơn</t>
  </si>
  <si>
    <t>Tiên Lãng (không phí)</t>
  </si>
  <si>
    <t>Tứ Kỳ (Quý Cao)</t>
  </si>
  <si>
    <t>Cầu Nghìn</t>
  </si>
  <si>
    <t>Đông Hưng</t>
  </si>
  <si>
    <t>Thành Phố</t>
  </si>
  <si>
    <t>Diêm Điền; Thái Thụy</t>
  </si>
  <si>
    <t>Kiến Xương (không phí)</t>
  </si>
  <si>
    <t>Gôi, Vụ Bản</t>
  </si>
  <si>
    <t>Trực Ninh</t>
  </si>
  <si>
    <t>Nam Trực</t>
  </si>
  <si>
    <t>Giao Thủy</t>
  </si>
  <si>
    <t>Mỹ Lộc</t>
  </si>
  <si>
    <t>Bình Lục (Nam Định QL21A)</t>
  </si>
  <si>
    <t>Bình Lục (Nam Định QL21B)</t>
  </si>
  <si>
    <t>Tam Điệp</t>
  </si>
  <si>
    <t>Yên Mỗ</t>
  </si>
  <si>
    <t>Hoa Lư</t>
  </si>
  <si>
    <t>Dốc Xây</t>
  </si>
  <si>
    <t>Nga Sơn</t>
  </si>
  <si>
    <t>Như Thanh</t>
  </si>
  <si>
    <t>Quỳ Hợp</t>
  </si>
  <si>
    <t>Vinh</t>
  </si>
  <si>
    <t>Tân Kỳ</t>
  </si>
  <si>
    <t>Thanh Chương</t>
  </si>
  <si>
    <t>Xuân An, Nghi Xuân</t>
  </si>
  <si>
    <t>Hương Khê</t>
  </si>
  <si>
    <t>Bố Trạch</t>
  </si>
  <si>
    <t>KCN Vĩnh Niệm</t>
  </si>
  <si>
    <t>An Dương (nhà ông Hữu)</t>
  </si>
  <si>
    <t>An Dương (đi lối Quán Toan)</t>
  </si>
  <si>
    <t>Quan toan (không phí)</t>
  </si>
  <si>
    <t>Quan Toan (có phí)</t>
  </si>
  <si>
    <t>Đại Bản</t>
  </si>
  <si>
    <t>Phú Thái gần</t>
  </si>
  <si>
    <t>Phú Thái xa</t>
  </si>
  <si>
    <t>Kim Thành (Phạm Xá, Lai Khê)</t>
  </si>
  <si>
    <t>Kinh môn</t>
  </si>
  <si>
    <t>Lai Cách (Cẩm Giàng)</t>
  </si>
  <si>
    <t>Quán Gỏi (Bình Giang)</t>
  </si>
  <si>
    <t>Bình Xuyên (Bình Giang)</t>
  </si>
  <si>
    <t>Kẻ Sặt (Bình Giang)</t>
  </si>
  <si>
    <t>Cẩm Giàng (rẽ QL38)</t>
  </si>
  <si>
    <t>Cầu Bình</t>
  </si>
  <si>
    <t>Chí Linh, Sao đỏ</t>
  </si>
  <si>
    <t>Phả Lại</t>
  </si>
  <si>
    <t>Khoái Châu</t>
  </si>
  <si>
    <t>Chợ đường cái (Văn Lâm)</t>
  </si>
  <si>
    <t>Lạc Đạo (Văn Lâm)</t>
  </si>
  <si>
    <t>Văn Lâm (không phí)</t>
  </si>
  <si>
    <t>Văn Lâm (có phí)</t>
  </si>
  <si>
    <t>Văn Giang</t>
  </si>
  <si>
    <t>Chợ Gạo, TP. Hưng Yên</t>
  </si>
  <si>
    <t>Chợ Dốc Lã, TP. Hưng Yên</t>
  </si>
  <si>
    <t>Ông Toản (Gia Lâm)</t>
  </si>
  <si>
    <t>Văn Điển (Thanh Trì)</t>
  </si>
  <si>
    <t>Ngọc Hồi (Thanh Trì)</t>
  </si>
  <si>
    <t>Canh Nậu (Thạch Thất)</t>
  </si>
  <si>
    <t>Sơn Tây (Ba Vì)</t>
  </si>
  <si>
    <t>Ba La</t>
  </si>
  <si>
    <t>Xuân Mai (Chương Mỹ)</t>
  </si>
  <si>
    <t>Trúc Sơn (Chương Mỹ)</t>
  </si>
  <si>
    <t>Ông Hanh (Trúc Sơn, Chương Mỹ)</t>
  </si>
  <si>
    <t>Văn Võ (Chương Mỹ)</t>
  </si>
  <si>
    <t>Bình Đà (Thanh Oai)</t>
  </si>
  <si>
    <t>Ninh Sở (Thường Tín)</t>
  </si>
  <si>
    <t>Đỗ Xá (Thường Tín)</t>
  </si>
  <si>
    <t>Hòa Mạc (Duy Tiên)</t>
  </si>
  <si>
    <t>Đồng Văn (Duy Tiên)</t>
  </si>
  <si>
    <t>Lương Tài</t>
  </si>
  <si>
    <t>Gia Bình</t>
  </si>
  <si>
    <t>Cầu Hồ (Thuận Thành)</t>
  </si>
  <si>
    <t>Cầu Hồ (Tiên Du)</t>
  </si>
  <si>
    <t>Phật Tích (Tiên Du)</t>
  </si>
  <si>
    <t>Thị Cầu (Thành phố)</t>
  </si>
  <si>
    <t>Phố Chờ (Yên Phong)</t>
  </si>
  <si>
    <t>Bố Hạ (Yên Thế)</t>
  </si>
  <si>
    <t>Thị trấn Vôi (Lạng Giang)</t>
  </si>
  <si>
    <t>Mẹt (Hữu Lũng)</t>
  </si>
  <si>
    <t>Lộc Bình</t>
  </si>
  <si>
    <t>Phúc Yên</t>
  </si>
  <si>
    <t>Hương Canh (Bình Xuyên)</t>
  </si>
  <si>
    <t>Bình Xuyên</t>
  </si>
  <si>
    <t>Thanh Lãng (Vĩnh Yên)</t>
  </si>
  <si>
    <t>Vĩnh Yên</t>
  </si>
  <si>
    <t>Yên Lạc</t>
  </si>
  <si>
    <t>TP. Việt Trì</t>
  </si>
  <si>
    <t>Thanh Ba</t>
  </si>
  <si>
    <t>Thái Nguyên (gần)</t>
  </si>
  <si>
    <t>Thái Nguyên (xa)</t>
  </si>
  <si>
    <t>Na Hang</t>
  </si>
  <si>
    <t>Quảng Uyên</t>
  </si>
  <si>
    <t>Thành phố</t>
  </si>
  <si>
    <t>Thuỷ Nguyên (gần)</t>
  </si>
  <si>
    <t>Thuỷ Nguyên (xa)</t>
  </si>
  <si>
    <t>Yên Tử</t>
  </si>
  <si>
    <t>Mạo Khê</t>
  </si>
  <si>
    <t>Đông Triều</t>
  </si>
  <si>
    <t>Quảng Yên (đi lối Thủy Nguyên)</t>
  </si>
  <si>
    <t>Quảng Yên (đi lối cao tốc)</t>
  </si>
  <si>
    <t>Hà Khẩu (đi lối cao tốc)</t>
  </si>
  <si>
    <t>Giếng Đáy (đi lối cao tốc)</t>
  </si>
  <si>
    <t>Hạ Long (đi lối cao tốc)</t>
  </si>
  <si>
    <t>Hòn Gai (đi lối cao tốc)</t>
  </si>
  <si>
    <t>Hà Tu (đi lối cao tốc)</t>
  </si>
  <si>
    <t>Hoành Bồ (đi lối cao tốc)</t>
  </si>
  <si>
    <t>Cẩm Phả (đi lối cao tốc)</t>
  </si>
  <si>
    <t>Linh - Cẩm Phả (đi lối cao tốc)</t>
  </si>
  <si>
    <t>Tùng - Cẩm Phả (đi lối cao tốc)</t>
  </si>
  <si>
    <t>Hải Hà (đi lối cao tốc)</t>
  </si>
  <si>
    <t>Móng Cái (đi lối cao tốc)</t>
  </si>
  <si>
    <t>0201913948</t>
  </si>
  <si>
    <t>0500556797</t>
  </si>
  <si>
    <t>Nơi lấy</t>
  </si>
  <si>
    <t>Cont số</t>
  </si>
  <si>
    <t>J</t>
  </si>
  <si>
    <t>W</t>
  </si>
  <si>
    <t>Phụ Thu</t>
  </si>
  <si>
    <t>KL</t>
  </si>
  <si>
    <t>Đơn Giá Sau Pthu</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</si>
  <si>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</si>
  <si>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</si>
  <si>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</si>
  <si>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</si>
  <si>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</si>
  <si>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</si>
  <si>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</si>
  <si>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</si>
  <si>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</si>
  <si>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</si>
  <si>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</si>
  <si>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</si>
  <si>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</si>
  <si>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</si>
  <si>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</si>
  <si>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</si>
  <si>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</si>
  <si>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</si>
  <si>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</si>
  <si>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</si>
  <si>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</si>
  <si>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</si>
  <si>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</si>
  <si>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</si>
  <si>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</si>
  <si>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</si>
  <si>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</si>
  <si>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</si>
  <si>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</si>
  <si>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</si>
  <si>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</si>
  <si>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</si>
  <si>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</si>
  <si>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</si>
  <si>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</si>
  <si>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</si>
  <si>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</si>
  <si>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</si>
  <si>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V49</t>
  </si>
  <si>
    <t>V50</t>
  </si>
  <si>
    <t>V51</t>
  </si>
  <si>
    <t>V52</t>
  </si>
  <si>
    <t>V53</t>
  </si>
  <si>
    <t>V54</t>
  </si>
  <si>
    <t>V55</t>
  </si>
  <si>
    <t>V56</t>
  </si>
  <si>
    <t>V57</t>
  </si>
  <si>
    <t>V58</t>
  </si>
  <si>
    <t>V59</t>
  </si>
  <si>
    <t>Phụ thu 12,01</t>
  </si>
  <si>
    <t>V60</t>
  </si>
  <si>
    <t>V61</t>
  </si>
  <si>
    <t>V62</t>
  </si>
  <si>
    <t>V63</t>
  </si>
  <si>
    <t>V64</t>
  </si>
  <si>
    <t>V65</t>
  </si>
  <si>
    <t>đi cẩm phả</t>
  </si>
  <si>
    <t>đi Móng cái</t>
  </si>
  <si>
    <t>Trung Tâm</t>
  </si>
  <si>
    <t xml:space="preserve">cao toocs </t>
  </si>
  <si>
    <t>Tp.</t>
  </si>
  <si>
    <t>tiên yên</t>
  </si>
  <si>
    <t>Hà Cối</t>
  </si>
  <si>
    <t>Móng cái</t>
  </si>
  <si>
    <t>Đi Hải Hà  ko cần báo trạm Móng cái 4160 ngày 04/03</t>
  </si>
  <si>
    <t>ngày 26/4/21 báo cho x10812 đi Móng cái toàn cao tốc, báo 3 trạm, cộn lái xe 260K tiền vé cao tốc</t>
  </si>
  <si>
    <t>ngày 3/11/21 báo luật cẩm phả tăng 1050K</t>
  </si>
  <si>
    <t>Ngày 10/11/21 HH báo 2 trạm TT +Tiên Yên tăng lên 1050</t>
  </si>
  <si>
    <t>NHDV</t>
  </si>
  <si>
    <t>TCNU6645996, CMAU4993409, BEAU4011572, CMAU4706480, TLLU4802572, APHU6619616, CMAU6103720, TRHU8215766Chưa bán cho ai</t>
  </si>
  <si>
    <t>về bãi rút8c</t>
  </si>
  <si>
    <t>22x40'</t>
  </si>
  <si>
    <t>CMAU7445348, TCLU8628877, CMAU7823303Hùng Cóc lấy Tali, Trường kho lấy Bilinga</t>
  </si>
  <si>
    <t>về bãi rút3c</t>
  </si>
  <si>
    <t>SEGU5069204</t>
  </si>
  <si>
    <t>rút ở bãi trả vỏ</t>
  </si>
  <si>
    <t>có thể mất CA Thóa</t>
  </si>
  <si>
    <t>CG03267</t>
  </si>
  <si>
    <t>Công ty TNHH Dịch vụ Thương mại và Sản xuất Đại Hữu</t>
  </si>
  <si>
    <t>TDP Thành Công, P. Dương Nội, Q. Hà Đông, TP. Hà Nội</t>
  </si>
  <si>
    <t>0107599989</t>
  </si>
  <si>
    <t>CG03268</t>
  </si>
  <si>
    <t>Công ty CP XNK Thương mại và Sản xuất Việt Mỹ</t>
  </si>
  <si>
    <t>Số 1, ngách 157/66 La Dương, TDP Thành Công, P. Dương Nội, Q. Hà Đông, TP. Hà Nội</t>
  </si>
  <si>
    <t>0108512691</t>
  </si>
  <si>
    <t>Viet Mỹ</t>
  </si>
  <si>
    <t>DKG&lt;-&gt;Tp. Ninh Bình</t>
  </si>
  <si>
    <t>DKG&lt;-&gt;Lộc Bình/Bắc Sơn, Lạng Sơn</t>
  </si>
  <si>
    <t>Tam điệp</t>
  </si>
  <si>
    <t>DKG&lt;-&gt;Kiến Xương (chưa phí), Thái Bình</t>
  </si>
  <si>
    <t>DKG&lt;-&gt;Kiến xương (có phí), Thái Bình</t>
  </si>
  <si>
    <t>TP. Thanh Hóa</t>
  </si>
  <si>
    <t>TP. Hà Tĩnh</t>
  </si>
  <si>
    <t>TP. Hải Dương</t>
  </si>
  <si>
    <t>TP. Bắc Ninh</t>
  </si>
  <si>
    <t>TP. Lạng Sơn</t>
  </si>
  <si>
    <t>TP. Hà Giang</t>
  </si>
  <si>
    <t>TP. Lào Cai</t>
  </si>
  <si>
    <t>TP. Cao Bằng</t>
  </si>
  <si>
    <t>TP. Tuyên Quang</t>
  </si>
  <si>
    <t>LH</t>
  </si>
  <si>
    <t>BMOU2607490, TRHU2421029, FCIU3995927, FCIU5961382Lệnh hết hạn</t>
  </si>
  <si>
    <t>về bãi rút</t>
  </si>
  <si>
    <t>04x20'</t>
  </si>
  <si>
    <t>CG03226</t>
  </si>
  <si>
    <t>Công Ty TNHH Dịch Vụ Thương Mại Và Sản Xuất Ngọc Thắng</t>
  </si>
  <si>
    <t>Số 72 đường La Dương, TDP Thành Công, Phường Dương Nội, Quận Hà Ðông, Hà Nội</t>
  </si>
  <si>
    <t>0109033483</t>
  </si>
  <si>
    <t>Vương Văn Thuyết (TTBN) 125472299 0983161059</t>
  </si>
  <si>
    <t>Hoàng Thị Xuân (MCQN) 022156001149 0912458049</t>
  </si>
  <si>
    <t>Thôn 10, Hải Xuân, Móng Cái, Quảng Ninh</t>
  </si>
  <si>
    <t>Công Ty TNHH Một Thành Viên Sản Xuất Và Thương Mại Minh Nhật (VTVP) Dịnh 2500554063 0942769498 0382332222</t>
  </si>
  <si>
    <t>Thôn Bích Chu - Xã An Tường - Huyện Vĩnh Tường - Vĩnh Phúc</t>
  </si>
  <si>
    <t>2500554063</t>
  </si>
  <si>
    <t>Tạ Văn Duy (TPTN) 090976064 0973948018</t>
  </si>
  <si>
    <t>Huống Thượng, Đồng Hỷ, Thái Nguyên</t>
  </si>
  <si>
    <t>Chỉ Đạo, Văn Lâm, Hưng Yên</t>
  </si>
  <si>
    <t>Thôn Đỗ Nội, xã Tiên Hải, thành phố Phủ Lý, tỉnh Hà Nam</t>
  </si>
  <si>
    <t>Công Ty Cổ Phần Xuân Đản (TSBN) Đản 0904616304</t>
  </si>
  <si>
    <t>Khu Nghè, Phường Đồng Kỵ, Thị xã Từ Sơn, Tỉnh Bắc Ninh</t>
  </si>
  <si>
    <t>2300428128</t>
  </si>
  <si>
    <t>Hưng (VBHP) 172344817 0987445379</t>
  </si>
  <si>
    <t>Trường Nga (MDHP) 0963188831</t>
  </si>
  <si>
    <t>Bùi Văn Thắng (DSHP) 031090010397 0783194556</t>
  </si>
  <si>
    <t>Xã Hoằng Phụ, huyện Hoằng Hóa, tỉnh Thanh Hóa</t>
  </si>
  <si>
    <t>Đỗ Xuân Thành (NLTGTH) 171531195 0346784545</t>
  </si>
  <si>
    <t>Lê Viết Chương (VNA) 182011348 0903294342 0935760999</t>
  </si>
  <si>
    <t>Hưng Đông, TP. Vinh, Nghệ An</t>
  </si>
  <si>
    <t>0935760999</t>
  </si>
  <si>
    <t>Công Ty Tnhh Thương Mại Dịch Vụ Và Xuất Nhập Khẩu An Phúc (DPHN) Cường 0913063557</t>
  </si>
  <si>
    <t>Cụm 2, Xã Liên Trung, Huyện Đan Phượng, Hà Nội</t>
  </si>
  <si>
    <t>0107052427</t>
  </si>
  <si>
    <t>Trần Đức Ngọc (LTBN) 121673162 0387827092 0912512793</t>
  </si>
  <si>
    <t>Công ty CP Thương mại và Xây dựng Đông Dương (UHHN) 0396258139</t>
  </si>
  <si>
    <t>Cụm Công nghiệp Bắc Vân Đình, xã Liên Bạt, huyện Ứng Hòa, TP. Hà Nội</t>
  </si>
  <si>
    <t>Trần Quốc Khanh (QLNA) 040060024024 0911377888</t>
  </si>
  <si>
    <t>Quỳnh Thiện, Hoàng Mai, Nghệ An</t>
  </si>
  <si>
    <t>Nguyễn Bá Hiền (TPTH) 172140337 0982475778</t>
  </si>
  <si>
    <t>Công ty TNHH XNK HSH Thăng Long (TPHN) 0978506878</t>
  </si>
  <si>
    <t>Số nhà 19, ngách 26, ngõ 154 đường Đình Thôn, TDP số 7, P. Mỹ Đình 1, Q. Nam Từ Liêm, Hà Nội</t>
  </si>
  <si>
    <t>0105667792</t>
  </si>
  <si>
    <t>Nguyễn Văn Nhạ (HHND) 036072000541 0983267628</t>
  </si>
  <si>
    <t>Công ty TNHH Kỹ Nghệ Lâm Sản FMC (QTTHNA) 2900883739 0978265397</t>
  </si>
  <si>
    <t>Phong Nhung (HDHN) 0976758595</t>
  </si>
  <si>
    <t>CG03187</t>
  </si>
  <si>
    <t>Bính (TNHP) 036081002640 0984996257</t>
  </si>
  <si>
    <t>Thôn Sơ, Phục Lễ, Thủy Nguyên, Hải Phòng</t>
  </si>
  <si>
    <t>CG03188</t>
  </si>
  <si>
    <t>Công Ty TNHH Đầu Tư Phát Triển Hưng Trường Thịnh (QLNA) Bảo 2901903642 0843445678</t>
  </si>
  <si>
    <t>Khối 5, Thị Trấn Cầu Giát, Huyện Quỳnh Lưu, Tỉnh Nghệ An</t>
  </si>
  <si>
    <t>2901903642</t>
  </si>
  <si>
    <t>CG03189</t>
  </si>
  <si>
    <t>Trương Quang Đóa (YNYYND) 036081004792 0984629811</t>
  </si>
  <si>
    <t>Hùng Thắng, Yên Ninh, Ý Yên, Nam Định</t>
  </si>
  <si>
    <t>CG03190</t>
  </si>
  <si>
    <t>Thao DHS (HDHN) 0979430075</t>
  </si>
  <si>
    <t>0979430075</t>
  </si>
  <si>
    <t>CG03191</t>
  </si>
  <si>
    <t>Sang Châu (MDHP) 0911361386</t>
  </si>
  <si>
    <t>0911361386</t>
  </si>
  <si>
    <t>CG03192</t>
  </si>
  <si>
    <t>Long Sơn (MDHP) 0989161681</t>
  </si>
  <si>
    <t>0989161681</t>
  </si>
  <si>
    <t>CG03193</t>
  </si>
  <si>
    <t>Nguyễn Văn Đức (VHDNHN) 001087004214 0963031987</t>
  </si>
  <si>
    <t>Cổ Châu, Vân Hà, Đông Anh, Hà Nội</t>
  </si>
  <si>
    <t>0963031987</t>
  </si>
  <si>
    <t>CG03194</t>
  </si>
  <si>
    <t>Bàn Mạnh Cường (BPTTHN) 008093010835 0976543886</t>
  </si>
  <si>
    <t>0976543886</t>
  </si>
  <si>
    <t>CG03195</t>
  </si>
  <si>
    <t>Nguyễn Trường An (VTVBHP) 031093001644 0985163818</t>
  </si>
  <si>
    <t>Việt Tiến, Vĩnh Bảo, Hải Phòng</t>
  </si>
  <si>
    <t>0985163818</t>
  </si>
  <si>
    <t>CG03196</t>
  </si>
  <si>
    <t>Nguyễn Văn Thành (TLTXTH) 038095013226 0775876999</t>
  </si>
  <si>
    <t>Thọ Lập, Thọ Xuân, Thanh Hóa</t>
  </si>
  <si>
    <t>0775876999</t>
  </si>
  <si>
    <t>0912291626</t>
  </si>
  <si>
    <t>CG03198</t>
  </si>
  <si>
    <t>Nguyễn Định Công (TSBN) 121673162 0968761986</t>
  </si>
  <si>
    <t>Tx. Từ Sơn, Bắc Ninh</t>
  </si>
  <si>
    <t>0968761986</t>
  </si>
  <si>
    <t>CG03199</t>
  </si>
  <si>
    <t>Ngô Văn Thông (PVBVHN) 001073042634 0984839665</t>
  </si>
  <si>
    <t>Phong Vân, Ba Vì, Hà Nội</t>
  </si>
  <si>
    <t>0984839665</t>
  </si>
  <si>
    <t>CG03200</t>
  </si>
  <si>
    <t>Công ty TNHH Phúc Thành Lợi (VYBG) Hương 0982704918</t>
  </si>
  <si>
    <t>Số 204, đường Thân Nhân Trung, Thôn Dục Quang, Thị Trấn Bích Động, Huyện Việt Yên, Tỉnh Bắc Giang, Việt Nam</t>
  </si>
  <si>
    <t>2400367239</t>
  </si>
  <si>
    <t>0982704918</t>
  </si>
  <si>
    <t>CG03201</t>
  </si>
  <si>
    <t>Vũ Gia Nhâm (PTKDHY) 033080012363 0815449484</t>
  </si>
  <si>
    <t>Phú Thịnh, Kim Động, Hưng Yên.</t>
  </si>
  <si>
    <t>0815449484</t>
  </si>
  <si>
    <t>CG03202</t>
  </si>
  <si>
    <t xml:space="preserve">Đặng Văn Huấn (PLCLHT) 0984279480 </t>
  </si>
  <si>
    <t>Cầu Trù, Phù Lưu, Can Lộc, Hà Tĩnh</t>
  </si>
  <si>
    <t>0984279480</t>
  </si>
  <si>
    <t>CG03203</t>
  </si>
  <si>
    <t>Nguyễn Tiến Vinh 026070003154 0961330250</t>
  </si>
  <si>
    <t>0961330250</t>
  </si>
  <si>
    <t>CG03204</t>
  </si>
  <si>
    <t>Tiên (TTHN) 0912503674</t>
  </si>
  <si>
    <t>Thạch Thất, HN</t>
  </si>
  <si>
    <t>0912503674</t>
  </si>
  <si>
    <t>CG03205</t>
  </si>
  <si>
    <t>Phạm Văn Sỹ (NPNB) 037079002546 0912877232</t>
  </si>
  <si>
    <t>Số 160, Hai Bà Trưng, Ninh Phong, Ninh Bình.</t>
  </si>
  <si>
    <t>0912877232</t>
  </si>
  <si>
    <t>CG03206</t>
  </si>
  <si>
    <t xml:space="preserve">Nguyễn Thị Thùy (YSHDHN) 001187007855 Quảng 0904114160 </t>
  </si>
  <si>
    <t>Thôn 3, Yên Sở, Hoài Đức, Hà Nội.</t>
  </si>
  <si>
    <t>0904114160</t>
  </si>
  <si>
    <t>CG03207</t>
  </si>
  <si>
    <t xml:space="preserve">Nguyễn Đắc Thủy (VHDAHN) 001087004212 0902763999 </t>
  </si>
  <si>
    <t>0902763999</t>
  </si>
  <si>
    <t>CG03208</t>
  </si>
  <si>
    <t>Nguyễn Văn Hiếu 001082030658 0865830095</t>
  </si>
  <si>
    <t>Chương Mỹ, Hà Nội.</t>
  </si>
  <si>
    <t>0865830095</t>
  </si>
  <si>
    <t>CG03209</t>
  </si>
  <si>
    <t>Đặng Văn Hiền (TPBN) 0964902878</t>
  </si>
  <si>
    <t>Tp. Bắc Ninh</t>
  </si>
  <si>
    <t>0964902878</t>
  </si>
  <si>
    <t>CG03210</t>
  </si>
  <si>
    <t>Nguyễn Trung Anh (DCNA) 0947703133</t>
  </si>
  <si>
    <t>0947703133</t>
  </si>
  <si>
    <t>CG03211</t>
  </si>
  <si>
    <t>Khánh Tuyên (DCNA) 0968172444</t>
  </si>
  <si>
    <t>0968172444</t>
  </si>
  <si>
    <t>CG03212</t>
  </si>
  <si>
    <t xml:space="preserve">Lê Văn Mỹ (YLDLNA)  040094033108 0967185456 </t>
  </si>
  <si>
    <t>Yên Lai, Đô Lương, Nghệ An</t>
  </si>
  <si>
    <t>0967185456</t>
  </si>
  <si>
    <t>CG03213</t>
  </si>
  <si>
    <t xml:space="preserve">Ngô Đăng Cầu (DAHN) 0966609179 </t>
  </si>
  <si>
    <t>0966609179</t>
  </si>
  <si>
    <t>CG03214</t>
  </si>
  <si>
    <t>Phạm Thị Hồng Hạnh (QPTB) 034182005025 0914752261</t>
  </si>
  <si>
    <t>0914752261</t>
  </si>
  <si>
    <t>CG03215</t>
  </si>
  <si>
    <t>Bình (TKHD) 0932296868</t>
  </si>
  <si>
    <t>0932296868</t>
  </si>
  <si>
    <t>CG03216</t>
  </si>
  <si>
    <t>Tiến (TSBN) 0902084484</t>
  </si>
  <si>
    <t>0902084484</t>
  </si>
  <si>
    <t>CG03217</t>
  </si>
  <si>
    <t>0397111884</t>
  </si>
  <si>
    <t>CG03218</t>
  </si>
  <si>
    <t>Thiện (SSTH) 0979549588</t>
  </si>
  <si>
    <t>0979549588</t>
  </si>
  <si>
    <t>CG03219</t>
  </si>
  <si>
    <t>Đàm (TSHN) 0912265388</t>
  </si>
  <si>
    <t>0912265388</t>
  </si>
  <si>
    <t>CG03220</t>
  </si>
  <si>
    <t>Hùng (VTPT) 0355006011</t>
  </si>
  <si>
    <t>Việt Trì, Phú Thọ</t>
  </si>
  <si>
    <t>0355006011</t>
  </si>
  <si>
    <t>CG03221</t>
  </si>
  <si>
    <t>Thương (YKNB) 0336532527</t>
  </si>
  <si>
    <t>Yên Khánh, Ninh Bình</t>
  </si>
  <si>
    <t>0336532527</t>
  </si>
  <si>
    <t>CG03222</t>
  </si>
  <si>
    <t>Chú Dinh (BTQB) 0912116476</t>
  </si>
  <si>
    <t>0912116476</t>
  </si>
  <si>
    <t>CG03223</t>
  </si>
  <si>
    <t>Dũng (HDHN) 0912106306</t>
  </si>
  <si>
    <t>0912106306</t>
  </si>
  <si>
    <t>CG03224</t>
  </si>
  <si>
    <t>Vượng (TPNB) 0982805489</t>
  </si>
  <si>
    <t>Tp. Ninh Bình</t>
  </si>
  <si>
    <t>0982805489</t>
  </si>
  <si>
    <t>CG03225</t>
  </si>
  <si>
    <t>Tuấn (TLVP) 0912184289</t>
  </si>
  <si>
    <t>0912184289</t>
  </si>
  <si>
    <t>0978467548</t>
  </si>
  <si>
    <t>CG03227</t>
  </si>
  <si>
    <t>Doãn (VBHP) 0904613009</t>
  </si>
  <si>
    <t>0904613009</t>
  </si>
  <si>
    <t>CG03228</t>
  </si>
  <si>
    <t>Pha (HDHN) 0915936112</t>
  </si>
  <si>
    <t>Hà Đông, HN</t>
  </si>
  <si>
    <t>0915936112</t>
  </si>
  <si>
    <t>CG03229</t>
  </si>
  <si>
    <t>Sang (TPHD) 0971775559</t>
  </si>
  <si>
    <t>Tp. Hải Dương</t>
  </si>
  <si>
    <t>0971775559</t>
  </si>
  <si>
    <t>CG03230</t>
  </si>
  <si>
    <t>Chú Hùng (LNHNA) 0981339555</t>
  </si>
  <si>
    <t>0981339555</t>
  </si>
  <si>
    <t>CG03231</t>
  </si>
  <si>
    <t>Chung (NHND) 0913581952</t>
  </si>
  <si>
    <t>0913581952</t>
  </si>
  <si>
    <t>CG03232</t>
  </si>
  <si>
    <t>Nguyễn Đăng Thuận (YPBN) 027092006800 0368381903</t>
  </si>
  <si>
    <t>0368381903</t>
  </si>
  <si>
    <t>CG03263</t>
  </si>
  <si>
    <t>Nguyễn Phú Thực (CNTTHN) 001089003960 0988951996</t>
  </si>
  <si>
    <t>0988951996</t>
  </si>
  <si>
    <t>CG03265</t>
  </si>
  <si>
    <t>Nguyễn Văn Tiến (HCHHND) 03606812377 0983652545</t>
  </si>
  <si>
    <t>0983652545</t>
  </si>
  <si>
    <t>CG03266</t>
  </si>
  <si>
    <t>Thịnh (Đức Tín) 0936313079 0969779510</t>
  </si>
  <si>
    <t>Công ty TNHH SX&amp;TM Đức Tín</t>
  </si>
  <si>
    <t>0969779510</t>
  </si>
  <si>
    <t>0964160529</t>
  </si>
  <si>
    <t>CG03269</t>
  </si>
  <si>
    <t>Công ty TNHH XNK TM và DV TST</t>
  </si>
  <si>
    <t>Số 195C, km 91, Quốc lộ 5, P. Hùng Vương, Q. Hồng Bàng, TP. Hải Phòng</t>
  </si>
  <si>
    <t>0202146114</t>
  </si>
  <si>
    <t>0906897555</t>
  </si>
  <si>
    <t>CS00128</t>
  </si>
  <si>
    <t>Anh Long (0934687090)</t>
  </si>
  <si>
    <t>CS00129</t>
  </si>
  <si>
    <t>Anh Vương 0985360496</t>
  </si>
  <si>
    <t>CS00130</t>
  </si>
  <si>
    <t>Tuấn Vinatrans 0902033898</t>
  </si>
  <si>
    <t>CS00131</t>
  </si>
  <si>
    <t>Vinfast</t>
  </si>
  <si>
    <t>CS00132</t>
  </si>
  <si>
    <t>Vượng Đạt</t>
  </si>
  <si>
    <t>Lê Hồng Phong - Hải Phòng</t>
  </si>
  <si>
    <t>CS00133</t>
  </si>
  <si>
    <t>Chị Ngọc 0913075136</t>
  </si>
  <si>
    <t>CS00134</t>
  </si>
  <si>
    <t>Đạt Phát</t>
  </si>
  <si>
    <t>CS00135</t>
  </si>
  <si>
    <t>Thái Bình Dương</t>
  </si>
  <si>
    <t>CX078</t>
  </si>
  <si>
    <t>Vũ 0379802604</t>
  </si>
  <si>
    <t>0379802604</t>
  </si>
  <si>
    <t>CX079</t>
  </si>
  <si>
    <t>Công Ty T&amp;C 0772244682</t>
  </si>
  <si>
    <t>An Đồng, An Dương, Hải Phòng</t>
  </si>
  <si>
    <t>CX080</t>
  </si>
  <si>
    <t>Anh Dương 0902033362</t>
  </si>
  <si>
    <t>CX081</t>
  </si>
  <si>
    <t>Hòa Sự</t>
  </si>
  <si>
    <t>Công ty CP Logistics An Vũ</t>
  </si>
  <si>
    <t>Lô KB1.8, khu công nghiệp MP Đình Vũ, P. Đông Hải 2, Q. Hải An, TP. Hải Phòng</t>
  </si>
  <si>
    <t>0201662405</t>
  </si>
  <si>
    <t>0989080608</t>
  </si>
  <si>
    <t>KHBH05</t>
  </si>
  <si>
    <t>Nguyễn Thị Lan</t>
  </si>
  <si>
    <t>NCC000204</t>
  </si>
  <si>
    <t>Phùng Văn Giáp  0974.349.105</t>
  </si>
  <si>
    <t>Thôn Thanh Vỵ, Xã Thanh Mỹ, TX. Sơn Tây, TP. Hà Nội.</t>
  </si>
  <si>
    <t>NCC000205</t>
  </si>
  <si>
    <t>Cty CP XNK máy thực phẩm Trường Phát</t>
  </si>
  <si>
    <t>2A Ngách 34 Ngõ 133 Giải Phóng - Hoàng Liệt - Hoàng Mai - HN</t>
  </si>
  <si>
    <t>0352 50 82 82</t>
  </si>
  <si>
    <t>NCC000206</t>
  </si>
  <si>
    <t>Cty TNHH TM Toàn Thắng Hà Nội 0963 70 94 84</t>
  </si>
  <si>
    <t>23 ngõ 1035 Đường Tam Trinh - Tổ 7 - Yên Sở - Hoàng Mai - HN</t>
  </si>
  <si>
    <t>NCC000209</t>
  </si>
  <si>
    <t>Cty CPĐT Thương Mại và Kỹ Thuật HT</t>
  </si>
  <si>
    <t>34/72/732 Nguyễn Văn Linh - Niệm Nghĩa - Lê Chân - HP</t>
  </si>
  <si>
    <t>NCC000210</t>
  </si>
  <si>
    <t>Kính (Dũng Linh) 0987343588</t>
  </si>
  <si>
    <t>Cty phát triển TMDV Huy Anh</t>
  </si>
  <si>
    <t>NCC000211</t>
  </si>
  <si>
    <t>Cty TNHH TM và NT LDV</t>
  </si>
  <si>
    <t>52C ngõ 13 Đội 1 - Tả Thanh Oai - Thanh Trì - Hà Nội</t>
  </si>
  <si>
    <t>0982 634 731</t>
  </si>
  <si>
    <t>NCC000212</t>
  </si>
  <si>
    <t>Cty TNHH TM QC Linh Anh</t>
  </si>
  <si>
    <t>06/588 Thiên Lôi - Vĩnh Niệm - Lê Chân - Hải Phòng</t>
  </si>
  <si>
    <t>0915182896</t>
  </si>
  <si>
    <t>NCC000213</t>
  </si>
  <si>
    <t>CTY TNHH Quốc Tế Toàn Phát</t>
  </si>
  <si>
    <t>Shophouse 434 HK12 số 38 đường 5 khu đô thị Waterfront, Vĩnh Niệm, Lê Chân, HP</t>
  </si>
  <si>
    <t>NCC000214</t>
  </si>
  <si>
    <t>Cty CP Truyền Thông Trịnh Hoàng</t>
  </si>
  <si>
    <t>17 Trần Hưng Đạo - P. Hoàng Văn Thụ - Hồng Bàng - HP</t>
  </si>
  <si>
    <t>0946913555</t>
  </si>
  <si>
    <t>NCC000215</t>
  </si>
  <si>
    <t>Phạm Hông Thái (cung cấp phào, nẹp)</t>
  </si>
  <si>
    <t>0936510178</t>
  </si>
  <si>
    <t>NCC000216</t>
  </si>
  <si>
    <t>Cửa hàng điện máy Hoa Mai</t>
  </si>
  <si>
    <t>528 Trần Tất Văn - Tràng Mimh - Kiến An - Hải Phòng</t>
  </si>
  <si>
    <t>0913017157</t>
  </si>
  <si>
    <t>NCC000217</t>
  </si>
  <si>
    <t>Lê Ngọc Trường (0958 91 01 91)</t>
  </si>
  <si>
    <t>NCC000218</t>
  </si>
  <si>
    <t>Thông Công ty Đông Dương</t>
  </si>
  <si>
    <t>VT00044</t>
  </si>
  <si>
    <t>Nguyễn Bá Toán</t>
  </si>
  <si>
    <t>Số nhà 36 tổ dân phố Quyết Tiến - P. Dương Nội - Q. Hà Đông - TP. Hà Nội</t>
  </si>
  <si>
    <t>0963 589 688</t>
  </si>
  <si>
    <t>HASU1172079</t>
  </si>
  <si>
    <t>14C20'</t>
  </si>
  <si>
    <t>Ngày</t>
  </si>
  <si>
    <t>Giá</t>
  </si>
  <si>
    <t xml:space="preserve">Tăng </t>
  </si>
  <si>
    <t>TD 2250+BL 1750+ Bù vé đi Cao Tốc 260K</t>
  </si>
  <si>
    <t xml:space="preserve"> Thông tin chuyển khoản:</t>
  </si>
  <si>
    <t>CG03271</t>
  </si>
  <si>
    <t>0109859752</t>
  </si>
  <si>
    <t xml:space="preserve"> - Tên TK: Đoàn Văn Kỳ, số TK: 19028970302029 Ngân Hàng Techcombank.</t>
  </si>
  <si>
    <t xml:space="preserve"> - Số TK:  32110001315894 Vũ Văn Triệu tại BIDV - CN Hải Phòng</t>
  </si>
  <si>
    <t>GIẤY ĐỀ NGHỊ THANH TOÁN</t>
  </si>
  <si>
    <t>CG03273</t>
  </si>
  <si>
    <t>Công ty TNHH TM XNK Trọng Anh</t>
  </si>
  <si>
    <t>Số 37/164 Chùa Hàng, P. Hồ Nam, Q. Lê Chân, TP. Hải Phòng</t>
  </si>
  <si>
    <t>0201344258</t>
  </si>
  <si>
    <t>0979110666</t>
  </si>
  <si>
    <t>CG03270</t>
  </si>
  <si>
    <t>Công ty TNHH Dịch vụ và Thương mại Thủy Quân</t>
  </si>
  <si>
    <t>Số nhà 2, hẻm 122/77/2, TDP số 1 Miêu Nha, P. Tây Mỗ, Q, Nam Từ Liêm, TP. Hà Nội</t>
  </si>
  <si>
    <t>0109596687</t>
  </si>
  <si>
    <t>Công ty TNHH SX và DV Thương mại Hương Trà</t>
  </si>
  <si>
    <t>LK14 Lô CL04 khu đất dịch vụ Dương Nội, đường Tiến Thành, P. Dương Nội, Q. Hà Đông, TP. Hà Nội</t>
  </si>
  <si>
    <t>0965193698</t>
  </si>
  <si>
    <t>CG03272</t>
  </si>
  <si>
    <t>Hội (PYTN) 0912290991</t>
  </si>
  <si>
    <t>Phổ Yên, Thái Nguyên</t>
  </si>
  <si>
    <t>0912290991</t>
  </si>
  <si>
    <t>Ngọc Thắng</t>
  </si>
  <si>
    <t>Trọng Anh</t>
  </si>
  <si>
    <t>Hdu.HN.DKG</t>
  </si>
  <si>
    <t>DKG&lt;-&gt;Hoài Đức, Hà Nội</t>
  </si>
  <si>
    <t>Vạn an-Lâm Nghiệp
(01.11.2021) Trọng Anh Ddaij Xuan</t>
  </si>
  <si>
    <t>Cẩm Thủy</t>
  </si>
  <si>
    <t>Son Dương</t>
  </si>
  <si>
    <t>V66</t>
  </si>
  <si>
    <t>V67</t>
  </si>
  <si>
    <t>V68</t>
  </si>
  <si>
    <t>V69</t>
  </si>
  <si>
    <t>V70</t>
  </si>
  <si>
    <t>V71</t>
  </si>
  <si>
    <t>Vinatrans</t>
  </si>
  <si>
    <t>T&amp;C</t>
  </si>
  <si>
    <t>Tùng Khánh</t>
  </si>
  <si>
    <t>Anh Sức</t>
  </si>
  <si>
    <t>DKG&lt;-&gt;TP. Bắc Giang, Bắc Giang</t>
  </si>
  <si>
    <t>DKG&lt;-&gt;TP. Bắc Ninh, Bắc Ninh</t>
  </si>
  <si>
    <t>DKG&lt;-&gt;TP. Cao Bằng, Cao Bằng</t>
  </si>
  <si>
    <t>DKG&lt;-&gt;TP. Hòa Bình, Hòa Bình</t>
  </si>
  <si>
    <t>DKG&lt;-&gt;TP. Hải Dương, Hải Dương</t>
  </si>
  <si>
    <t>DKG&lt;-&gt;TP. Hà Giang, Hà Giang</t>
  </si>
  <si>
    <t>DKG&lt;-&gt;Tân Phú, Hà Nội, DKG&lt;-&gt;Tân Phú, Hà Nội</t>
  </si>
  <si>
    <t>DKG&lt;-&gt;TP. Hà Tĩnh, Hà Tĩnh</t>
  </si>
  <si>
    <t>DKG&lt;-&gt;TP Hưng Yên, DKG&lt;-&gt;TP Hưng Yên</t>
  </si>
  <si>
    <t>DKG&lt;-&gt;TP. Lào Cai, Lào Cai</t>
  </si>
  <si>
    <t>DKG&lt;-&gt;TP. Lạng Sơn, Lạng Sơn</t>
  </si>
  <si>
    <t>DKG&lt;-&gt;TP. Ninh Bình, Ninh Bình</t>
  </si>
  <si>
    <t>DKG&lt;-&gt;TP. Nam Định, Nam Định</t>
  </si>
  <si>
    <t>DKG&lt;-&gt;TP. Quảng Bình, Quảng Bình</t>
  </si>
  <si>
    <t>DKG&lt;-&gt;TP. Quảng Trị, Quảng Trị</t>
  </si>
  <si>
    <t>DKG&lt;-&gt;TP. Sa Pa, Sa Pa</t>
  </si>
  <si>
    <t>DKG&lt;-&gt;TP. Thái Bình, Thái Bình</t>
  </si>
  <si>
    <t>DKG&lt;-&gt;TP. Thanh Hóa, Thanh Hóa</t>
  </si>
  <si>
    <t>DKG&lt;-&gt;TP. Thái Nguyên, Thái Nguyên</t>
  </si>
  <si>
    <t>DKG&lt;-&gt;TP. Tuyên Quang, Tuyên Quang</t>
  </si>
  <si>
    <t>DKG&lt;-&gt;TP. Việt Trì, Việt Trì</t>
  </si>
  <si>
    <t>DKG&lt;-&gt;TP. Yên bái, Yên bái</t>
  </si>
  <si>
    <t>DKG&lt;-&gt;TP. Vinh, Nghệ An, Vinh, Nghệ An</t>
  </si>
  <si>
    <t>Bắc Từ Liêm</t>
  </si>
  <si>
    <t>Nam Từ Liêm</t>
  </si>
  <si>
    <t>Châu Thành Phát</t>
  </si>
  <si>
    <t>Như Xuân</t>
  </si>
  <si>
    <t>Bãi Falcon</t>
  </si>
  <si>
    <t>Falcon</t>
  </si>
  <si>
    <t>Bãi Falcon (Hết hạn)</t>
  </si>
  <si>
    <t>Bãi Hoàng Sơn</t>
  </si>
  <si>
    <t>Bãi Long Giang</t>
  </si>
  <si>
    <t>LG</t>
  </si>
  <si>
    <t>Bãi Vinalink</t>
  </si>
  <si>
    <t>Vinalink</t>
  </si>
  <si>
    <t>C128</t>
  </si>
  <si>
    <t>Cảng 128</t>
  </si>
  <si>
    <t>Cảng 128 (Chưa hết hạn)</t>
  </si>
  <si>
    <t>Cảng 128 (Hết hạn)</t>
  </si>
  <si>
    <t>Cảng Đình Vũ (Hết hạn)</t>
  </si>
  <si>
    <t>DV</t>
  </si>
  <si>
    <t>Cảng GreenPort (Chưa hết hạn)</t>
  </si>
  <si>
    <t>GreenPort</t>
  </si>
  <si>
    <t>Cảng Hải An</t>
  </si>
  <si>
    <t>HA</t>
  </si>
  <si>
    <t>Cảng Hải An (Chưa hết hạn)</t>
  </si>
  <si>
    <t>Cảng Hải An (Hết hạn)</t>
  </si>
  <si>
    <t>Cảng Hải An kéo sang máy soi Trung tâm (TASA) soi</t>
  </si>
  <si>
    <t>Cảng Hải An, Mipec</t>
  </si>
  <si>
    <t>Cảng Lạch Huyện (Chưa hết hạn)</t>
  </si>
  <si>
    <t>Cảng Lạch Huyện (Hết hạn)</t>
  </si>
  <si>
    <t>Cảng Mipec</t>
  </si>
  <si>
    <t>Mipec</t>
  </si>
  <si>
    <t>Cảng Nam Đình Vũ</t>
  </si>
  <si>
    <t>NDV</t>
  </si>
  <si>
    <t>Cảng Nam Đình Vũ (Chưa hết hạn)</t>
  </si>
  <si>
    <t>Cảng Nam Đình Vũ (Hết hạn)</t>
  </si>
  <si>
    <t>Cảng Nam Đình Vũ (Không hết hạn)</t>
  </si>
  <si>
    <t>Cảng Nam Hải</t>
  </si>
  <si>
    <t>Cảng Nam Hải Đình Vũ (Chưa hết hạn)</t>
  </si>
  <si>
    <t>Cảng Nam Hải Đình Vũ (Hết hạn)</t>
  </si>
  <si>
    <t>Cảng PTSC</t>
  </si>
  <si>
    <t>PTSC</t>
  </si>
  <si>
    <t>Cảng Sao Á DC (Hết hạn)</t>
  </si>
  <si>
    <t>SA</t>
  </si>
  <si>
    <t>Cảng Tân Thuận</t>
  </si>
  <si>
    <t>TT</t>
  </si>
  <si>
    <t>Cảng Tân Vũ (Chưa hết hạn)</t>
  </si>
  <si>
    <t>TV</t>
  </si>
  <si>
    <t>Cảng Tân Vũ (Hết hạn)</t>
  </si>
  <si>
    <t>Cảng Vip GreenPort (Chưa hết hạn)</t>
  </si>
  <si>
    <t>VIP</t>
  </si>
  <si>
    <t>Cảng Vip GreenPort (Hết hạn)</t>
  </si>
  <si>
    <t>Hà Hưng Hải</t>
  </si>
  <si>
    <t>HHH</t>
  </si>
  <si>
    <t>Hải An (Hết hạn)</t>
  </si>
  <si>
    <t>Lạch Huyện</t>
  </si>
  <si>
    <t>Lạch Huyện (Hết hạn)</t>
  </si>
  <si>
    <t>Lấy Hải An+Vosco hạ Chùa Vẽ</t>
  </si>
  <si>
    <t>MSC Vinalines</t>
  </si>
  <si>
    <t>Vinaline</t>
  </si>
  <si>
    <t>Nam Đình Vũ</t>
  </si>
  <si>
    <t>Nam Đình Vũ (chưa hết hạn)</t>
  </si>
  <si>
    <t>Nam Đình Vũ (Hết hạn)</t>
  </si>
  <si>
    <t>Nam Đình Vũ-VOSCO</t>
  </si>
  <si>
    <t>Nam Hải</t>
  </si>
  <si>
    <t>Nam Hải Đình Vũ</t>
  </si>
  <si>
    <t>Nam Hải Đình Vũ (chưa hết hạn)</t>
  </si>
  <si>
    <t>Nam Hải Đình Vũ (hết hạn)</t>
  </si>
  <si>
    <t>Nam Hải Lê Chân</t>
  </si>
  <si>
    <t>Nam Hải Lê Chân (Chưa hết hạn)</t>
  </si>
  <si>
    <t>Nam Hải Lê Chân (Hết hạn)</t>
  </si>
  <si>
    <t>Sao Á</t>
  </si>
  <si>
    <t>Tân Vũ</t>
  </si>
  <si>
    <t>Vip</t>
  </si>
  <si>
    <t>Vip GreenPort</t>
  </si>
  <si>
    <t>DKG&lt;-&gt;TP. Hưng Yên, Hưng Yên</t>
  </si>
  <si>
    <t>khoái châu</t>
  </si>
  <si>
    <t>Sắt rời: 0</t>
  </si>
  <si>
    <t>Cont ngoài: 0</t>
  </si>
  <si>
    <t>[ 11 Tháng Mười 2022 11:39 SA ] HS Hoàng: TK321xxx5894 tai BIDV +171,780,000VND vao 11:38 11/10/2022. So du:804,511,179VND. ND: TKThe :19032874693049, tai TCB. CK FT22284800473880 -CTLNHIDI0000030104131</t>
  </si>
  <si>
    <t>DKG&lt;-&gt;Tiên Lãng (chưa phí), Hải Phòng</t>
  </si>
  <si>
    <t>DKG&lt;-&gt;Tiên Lãng (có phí), Hải Phòng</t>
  </si>
  <si>
    <t>xn</t>
  </si>
  <si>
    <t>xe ngoài</t>
  </si>
  <si>
    <t>oá</t>
  </si>
  <si>
    <t>Thanh Hóa</t>
  </si>
  <si>
    <t>Cẩm Khê</t>
  </si>
  <si>
    <t>Người ra lệnh</t>
  </si>
  <si>
    <t>Loại Gỗ •</t>
  </si>
  <si>
    <t>Dãy hàng</t>
  </si>
  <si>
    <t>Khách Hàng</t>
  </si>
  <si>
    <t>SDT</t>
  </si>
  <si>
    <t>Địa Điểm trả hàng</t>
  </si>
  <si>
    <t>Số Xe</t>
  </si>
  <si>
    <t>CG03274</t>
  </si>
  <si>
    <t>Thung (BVHN) 0981862729</t>
  </si>
  <si>
    <t>0981862729</t>
  </si>
  <si>
    <t>CG03275</t>
  </si>
  <si>
    <t>Thành (KAHP) 0942492222</t>
  </si>
  <si>
    <t>0942492222</t>
  </si>
  <si>
    <t>CG03276</t>
  </si>
  <si>
    <t>Bằng (LNHNA) 0913272153</t>
  </si>
  <si>
    <t>0913272153</t>
  </si>
  <si>
    <t>CG03277</t>
  </si>
  <si>
    <t>Công ty TNHH Thương mại và Chế biến gỗ Vượng Phát</t>
  </si>
  <si>
    <t>Số 36 – BT5 – X2, Bắc Linh Đàm, P. Hoàng Liệt, Q. Hoàng Mai, TP. Hà Nội</t>
  </si>
  <si>
    <t>0983355636</t>
  </si>
  <si>
    <t>CG03278</t>
  </si>
  <si>
    <t>Qúy (HHND) 0984973222</t>
  </si>
  <si>
    <t>0984973222</t>
  </si>
  <si>
    <t>CG03279</t>
  </si>
  <si>
    <t>Công Ty TNHH Đồ Gỗ Mỹ Nghệ Xuất Khẩu Đức Thắng (TSBN) Đạt 0977065551</t>
  </si>
  <si>
    <t>Đồng Kỵ, Phường Đồng Kỵ, Thành phố Từ Sơn, Tỉnh Bắc Ninh, Việt Nam</t>
  </si>
  <si>
    <t>2300104765</t>
  </si>
  <si>
    <t>0977065551</t>
  </si>
  <si>
    <t>CG03280</t>
  </si>
  <si>
    <t>Soạn (DPHN) 0982286655</t>
  </si>
  <si>
    <t>0982286655</t>
  </si>
  <si>
    <t>CG03281</t>
  </si>
  <si>
    <t>Chùa Ba Vàng (UBQN) 0962368620</t>
  </si>
  <si>
    <t>0962368620</t>
  </si>
  <si>
    <t>CG03282</t>
  </si>
  <si>
    <t>Vân (NCTH) 0915393086</t>
  </si>
  <si>
    <t>0915393086</t>
  </si>
  <si>
    <t>CG03283</t>
  </si>
  <si>
    <t>Trường (LGBG) 0369284505</t>
  </si>
  <si>
    <t>0369284505</t>
  </si>
  <si>
    <t>CG03284</t>
  </si>
  <si>
    <t>Tiến (DPHN) 0932398398</t>
  </si>
  <si>
    <t>0932398398</t>
  </si>
  <si>
    <t>CG03285</t>
  </si>
  <si>
    <t>Tuấn (HKHT) 0969211899</t>
  </si>
  <si>
    <t>0969211899</t>
  </si>
  <si>
    <t>CG03286</t>
  </si>
  <si>
    <t>Ngọc Sơn (MDHP)</t>
  </si>
  <si>
    <t>0984545999</t>
  </si>
  <si>
    <t>CG03287</t>
  </si>
  <si>
    <t>Phong (TPBN) 0983283661</t>
  </si>
  <si>
    <t>0983283661</t>
  </si>
  <si>
    <t>CG03288</t>
  </si>
  <si>
    <t>Khánh Đa (DAHN) 0987701199</t>
  </si>
  <si>
    <t>0987701199</t>
  </si>
  <si>
    <t>CG03289</t>
  </si>
  <si>
    <t>Hòa (TNHP) 0912157046</t>
  </si>
  <si>
    <t>0912157046</t>
  </si>
  <si>
    <t>CG03290</t>
  </si>
  <si>
    <t>Lộc (NCTH) 0918376986</t>
  </si>
  <si>
    <t>0918376986</t>
  </si>
  <si>
    <t>CG03291</t>
  </si>
  <si>
    <t>Công ty TNHH Triệu Cao</t>
  </si>
  <si>
    <t>Số 1, ngách 157/66 La Dương, TDP Thành Công, Phường Dương Nội, Quận Hà Đông, Thành phố Hà Nội, Việt Nam</t>
  </si>
  <si>
    <t>0109597169</t>
  </si>
  <si>
    <t>CG03292</t>
  </si>
  <si>
    <t>Trần Văn Hợp (NHND) 0986070000</t>
  </si>
  <si>
    <t>0986070000</t>
  </si>
  <si>
    <t>CG03293</t>
  </si>
  <si>
    <t>Hiếu (VBHP) 0912046323</t>
  </si>
  <si>
    <t>0912046323</t>
  </si>
  <si>
    <t>CG03294</t>
  </si>
  <si>
    <t>Cường (HHTH) 0962116789</t>
  </si>
  <si>
    <t>Hoàng Hóa, Thanh Hóa</t>
  </si>
  <si>
    <t>0962116789</t>
  </si>
  <si>
    <t>CG03295</t>
  </si>
  <si>
    <t>Nhật (HHND) 0912673776</t>
  </si>
  <si>
    <t>0912673776</t>
  </si>
  <si>
    <t>CG03296</t>
  </si>
  <si>
    <t>Vũ Đình Sơn (CLND) 0942919362</t>
  </si>
  <si>
    <t>0942919362</t>
  </si>
  <si>
    <t>CG03297</t>
  </si>
  <si>
    <t>Trọng (YMHY) 0979110666</t>
  </si>
  <si>
    <t>CG03299</t>
  </si>
  <si>
    <t>Huệ (NTND) 0948669594</t>
  </si>
  <si>
    <t>0948669594</t>
  </si>
  <si>
    <t>CG03300</t>
  </si>
  <si>
    <t>Công ty TNHH TT Hưng Thịnh</t>
  </si>
  <si>
    <t>Số nhà 44, đường 72, TDP Quyết Tiến, P. Dương Nội, Q. Hà Đông, TP. Hà Nội</t>
  </si>
  <si>
    <t>0109595789</t>
  </si>
  <si>
    <t>CG03301</t>
  </si>
  <si>
    <t>Công ty TNHH Bảo Tín Minh Thu</t>
  </si>
  <si>
    <t>Số 391 Lê Lợi, P. Lê Lợi, Q. Ngô Quyền, TP. Hải Phòng</t>
  </si>
  <si>
    <t>0201784731</t>
  </si>
  <si>
    <t>CG03302</t>
  </si>
  <si>
    <t>Công ty TNHH Xuất nhập khẩu LHL Hà Nội</t>
  </si>
  <si>
    <t>Khu 6, Thôn Thụy Lôi, Xã Thuỵ Lâm, Huyện Đông Anh, TP. Hà Nội</t>
  </si>
  <si>
    <t>0109495174</t>
  </si>
  <si>
    <t>0964165592</t>
  </si>
  <si>
    <t>CG03303</t>
  </si>
  <si>
    <t>Công ty TNHH Khai Thái</t>
  </si>
  <si>
    <t>Thôn 2, Xã Hương Ngải, Huyện Thạch Thất, TP. Hà Nội</t>
  </si>
  <si>
    <t>0109268608</t>
  </si>
  <si>
    <t>CG03304</t>
  </si>
  <si>
    <t>Công ty TNHH Kinh doanh Thương mại Xuất nhập khẩu Phúc Minh</t>
  </si>
  <si>
    <t>0109166853</t>
  </si>
  <si>
    <t>Thôn Nguyên Hanh, Xã Văn Tự, Huyện Thường Tín, TP. Hà Nội</t>
  </si>
  <si>
    <t xml:space="preserve"> - Quý khách vui lòng T/T trong vòng 3 ngày kế từ ngày nhận thông báo, nếu không sẽ bị dừng các hoạt động ở bãi</t>
  </si>
  <si>
    <t>TC</t>
  </si>
  <si>
    <t>T.C</t>
  </si>
  <si>
    <t>A.Sức</t>
  </si>
  <si>
    <t>DKG&lt;-&gt;Hoằng Hóa, Thanh Hóa</t>
  </si>
  <si>
    <t>CTP</t>
  </si>
  <si>
    <t>H.Sự</t>
  </si>
  <si>
    <t>CG03308</t>
  </si>
  <si>
    <t>Công ty TNHH Dịch vụ Thương mại và Sản xuất Tuấn Ngọc</t>
  </si>
  <si>
    <t>Khu 5, thôn Thụy Lôi, xã Thuỵ Lâm, huyện Đông Anh, TP. Hà Nội</t>
  </si>
  <si>
    <t>CG03305</t>
  </si>
  <si>
    <t>Công ty TNHH Phú Hữu Dư</t>
  </si>
  <si>
    <t>Thôn 1, Xã Hương Ngải, Huyện Thạch Thất, TP. Hà Nội</t>
  </si>
  <si>
    <t>0109893834</t>
  </si>
  <si>
    <t>Quân Quynh</t>
  </si>
  <si>
    <t>BDA</t>
  </si>
  <si>
    <t>941734855</t>
  </si>
  <si>
    <t>Hải Hậu Nam Định</t>
  </si>
  <si>
    <t>Chuyển tải 128-HS</t>
  </si>
  <si>
    <t>Chuyển tải 189-HS</t>
  </si>
  <si>
    <t>An Dương Hải Phòng</t>
  </si>
  <si>
    <t>DKS&lt;-&gt;An Dương Hải Phòng</t>
  </si>
  <si>
    <t>THG&lt;-&gt;An Dương Hải Phòng</t>
  </si>
  <si>
    <t>An Lão Hải Phòng</t>
  </si>
  <si>
    <t>DKS&lt;-&gt;An Lão Hải Phòng</t>
  </si>
  <si>
    <t>THG&lt;-&gt;An Lão Hải Phòng</t>
  </si>
  <si>
    <t>Anh Sơn Nghệ An</t>
  </si>
  <si>
    <t>Ân Thi Hưng Yên</t>
  </si>
  <si>
    <t>THG&lt;-&gt;Ân Thi Hưng Yên</t>
  </si>
  <si>
    <t>Bình Đà Hà Nội</t>
  </si>
  <si>
    <t>DKS&lt;-&gt;Bình Đà Hà Nội</t>
  </si>
  <si>
    <t>THG&lt;-&gt;Bình Đà Hà Nội</t>
  </si>
  <si>
    <t>Ba Đồn Quảng Bình</t>
  </si>
  <si>
    <t>Bình Giang Hải Dương</t>
  </si>
  <si>
    <t>DKS&lt;-&gt;Bình Giang Hải Dương</t>
  </si>
  <si>
    <t>Bố Hạ Bắc Giang</t>
  </si>
  <si>
    <t>DKS&lt;-&gt;Bố Hạ Bắc Giang</t>
  </si>
  <si>
    <t>Ba La Hà Đông Hà Nội</t>
  </si>
  <si>
    <t>THG&lt;-&gt;Ba La Hà Đông Hà Nội</t>
  </si>
  <si>
    <t>Bình Lục Hà Nam</t>
  </si>
  <si>
    <t>THG&lt;-&gt;Bình Lục hà Nam</t>
  </si>
  <si>
    <t>Bình Mỹ Hà Nam</t>
  </si>
  <si>
    <t>Bảo Nhai Lào Cai</t>
  </si>
  <si>
    <t>Biển Sắt Hà Đông Hà Nội</t>
  </si>
  <si>
    <t>THG&lt;-&gt;Biển Sắt Hà Đông Hà Nội</t>
  </si>
  <si>
    <t>Bắc Sơn Lạng Sơn</t>
  </si>
  <si>
    <t>Bỉm Sơn (đường HCM) Thanh Hóa</t>
  </si>
  <si>
    <t>DKS&lt;-&gt;Bỉm Sơn Thanh Hóa</t>
  </si>
  <si>
    <t>THG&lt;-&gt;Bỉm Sơn (đường HCM) Thanh Hóa</t>
  </si>
  <si>
    <t>Ba Thá Hà Nội</t>
  </si>
  <si>
    <t>Cầu Bến Thủy Nghệ An</t>
  </si>
  <si>
    <t>THG&lt;-&gt;Cầu Bến Thủy Nghệ An</t>
  </si>
  <si>
    <t>Bố Trạch Quảng Bình</t>
  </si>
  <si>
    <t>Ba Vì Hà Nội</t>
  </si>
  <si>
    <t>DKS&lt;-&gt;Ba Vì Hà Nội</t>
  </si>
  <si>
    <t>THG&lt;-&gt;Ba Vì Hà Nội</t>
  </si>
  <si>
    <t>DKS&lt;-&gt;Bùi Viện Hải Phòng</t>
  </si>
  <si>
    <t>Bình Xuyên Hải Dương</t>
  </si>
  <si>
    <t>Bình Xuyên Vĩnh Phúc</t>
  </si>
  <si>
    <t>DKS&lt;-&gt;Bình Xuyên Vĩnh Phúc</t>
  </si>
  <si>
    <t>THG&lt;-&gt;Bình Xuyên Vĩnh Phúc</t>
  </si>
  <si>
    <t>Cầu Bình Hải Dương</t>
  </si>
  <si>
    <t>THG&lt;-&gt;Cầu Bình Hải Dương</t>
  </si>
  <si>
    <t>DKS&lt;-&gt;Cầu Bến Thủy Nghệ An</t>
  </si>
  <si>
    <t>Cổ Dũng Hải Dương</t>
  </si>
  <si>
    <t>Cầu Diễn Hà Nội</t>
  </si>
  <si>
    <t>Chợ Đường Cái Hưng Yên</t>
  </si>
  <si>
    <t>THG&lt;-&gt;Chợ Đường Cái Hưng Yên</t>
  </si>
  <si>
    <t>Cầu Đa Phúc Thái Nguyên</t>
  </si>
  <si>
    <t>THG&lt;-&gt;Cầu Đa Phúc Thái Nguyên</t>
  </si>
  <si>
    <t>Chuyển tải khu vực CĐV-189</t>
  </si>
  <si>
    <t>Chuyển tải khu vực CĐV-HS</t>
  </si>
  <si>
    <t>Cẩm Giàng Hải Dương</t>
  </si>
  <si>
    <t>DKS&lt;-&gt;Cẩm Giàng Hải Dương</t>
  </si>
  <si>
    <t>THG&lt;-&gt;Cẩm Giàng Hải Dương</t>
  </si>
  <si>
    <t>Chợ Gạo Hưng Yên</t>
  </si>
  <si>
    <t>DKS&lt;-&gt;Chợ Gạo Hưng Yên</t>
  </si>
  <si>
    <t>THG&lt;-&gt;Chợ Gạo Hưng Yên</t>
  </si>
  <si>
    <t>Cầu Hồ Bắc Ninh</t>
  </si>
  <si>
    <t>THG&lt;-&gt;Cầu Hồ Bắc Ninh</t>
  </si>
  <si>
    <t>DKS&lt;-&gt;Cát Hải Hải Phòng</t>
  </si>
  <si>
    <t>Chuyển tải CHP-189</t>
  </si>
  <si>
    <t>Chuyển tải CHP-Các bãi khác</t>
  </si>
  <si>
    <t>Chuyển tải CHP-HS</t>
  </si>
  <si>
    <t>Chí Linh Sao Đỏ Hải Dương</t>
  </si>
  <si>
    <t>DKS&lt;-&gt;Chí Linh Sao Đỏ Hải Dương</t>
  </si>
  <si>
    <t>THG&lt;-&gt;Chí Linh Sao Đỏ Hải Dương</t>
  </si>
  <si>
    <t>Can Lộc Hà Tĩnh</t>
  </si>
  <si>
    <t>THG&lt;-&gt;Can Lộc Hà Tĩnh</t>
  </si>
  <si>
    <t>Cửa Lò Nghệ An</t>
  </si>
  <si>
    <t>Cổ Lễ Nam Định</t>
  </si>
  <si>
    <t>DKS&lt;-&gt;Cổ Lễ Nam Định</t>
  </si>
  <si>
    <t>THG&lt;-&gt;Cổ Lễ Nam Định</t>
  </si>
  <si>
    <t>DKS&lt;-&gt;Cái Lân Quảng Ninh</t>
  </si>
  <si>
    <t>Chuyển tải khu vực CLH-HS</t>
  </si>
  <si>
    <t>Chương Mỹ Hà Nội</t>
  </si>
  <si>
    <t>DKS&lt;-&gt;Chương Mỹ Hà Nội</t>
  </si>
  <si>
    <t>Canh Nậu Hà Nội</t>
  </si>
  <si>
    <t>Cầu Nghìn Thái Bình</t>
  </si>
  <si>
    <t>THG&lt;-&gt;Cầu Nghìn Thái Bình</t>
  </si>
  <si>
    <t>Cao Phong Hòa Bình</t>
  </si>
  <si>
    <t>Cẩm Phả Quảng Ninh</t>
  </si>
  <si>
    <t>DKS&lt;-&gt;Cẩm Phả Quảng Ninh</t>
  </si>
  <si>
    <t>THG&lt;-&gt;Cẩm Phả Quảng Ninh</t>
  </si>
  <si>
    <t>Cây Số 7 Hải Phòng</t>
  </si>
  <si>
    <t>THG&lt;-&gt;Cây Số 7 Hải Phòng</t>
  </si>
  <si>
    <t>Cẩm Xuyên Hà Tĩnh</t>
  </si>
  <si>
    <t>DKS&lt;-&gt;Đường 5 mới Hải Phòng</t>
  </si>
  <si>
    <t>Đông Anh Hà Nội</t>
  </si>
  <si>
    <t>DKS&lt;-&gt;Đông Anh Hà Nội</t>
  </si>
  <si>
    <t>THG&lt;-&gt;Đông Anh Hà Nội</t>
  </si>
  <si>
    <t>Diễn Châu Nghệ An</t>
  </si>
  <si>
    <t>THG&lt;-&gt;Diễn Châu Nghệ An</t>
  </si>
  <si>
    <t>DKS&lt;-&gt;Đại Đồng Bắc Ninh</t>
  </si>
  <si>
    <t>DKS&lt;-&gt;Đống Đa Hà Nội</t>
  </si>
  <si>
    <t>DKS&lt;-&gt;Đồng Đạt Hải Phòng</t>
  </si>
  <si>
    <t>Diêm Điều Thái Bình</t>
  </si>
  <si>
    <t>THG&lt;-&gt;Diêm Điều Thái Bình</t>
  </si>
  <si>
    <t>DKS&lt;-&gt;Đại Đồng Vĩnh Phúc</t>
  </si>
  <si>
    <t>Đức Giang Hà Nội</t>
  </si>
  <si>
    <t>DKS&lt;-&gt;Đức Giang Hà Nội</t>
  </si>
  <si>
    <t>Đoan Hùng Phú Thọ</t>
  </si>
  <si>
    <t>DKS&lt;-&gt;Đoan Hùng Phú Thọ</t>
  </si>
  <si>
    <t>Đông Hưng Thái Bình</t>
  </si>
  <si>
    <t>DKS&lt;-&gt;Đông Hưng Thái Bình</t>
  </si>
  <si>
    <t>THG&lt;-&gt;Đông Hưng Thái Bình</t>
  </si>
  <si>
    <t>DKS&lt;-&gt;Đồng Hỷ Thái Nguyên</t>
  </si>
  <si>
    <t>DKS&lt;-&gt;Dĩnh Kế Bắc Giang</t>
  </si>
  <si>
    <t>DKS&lt;-&gt;Dương Kinh Hải Phòng</t>
  </si>
  <si>
    <t>Dốc Lã Hưng Yên</t>
  </si>
  <si>
    <t>THG&lt;-&gt;Dốc Lã Hưng Yên</t>
  </si>
  <si>
    <t>Đô Lương Nghệ An</t>
  </si>
  <si>
    <t>DKS&lt;-&gt;Đô Lương Nghệ An</t>
  </si>
  <si>
    <t>THG&lt;-&gt;Đô Lương Nghệ An</t>
  </si>
  <si>
    <t>Đại Lải Vĩnh Phúc</t>
  </si>
  <si>
    <t>DKS&lt;-&gt;Đại lộ Thăng Long Hà Nội</t>
  </si>
  <si>
    <t>Dọn rác phun nước</t>
  </si>
  <si>
    <t>Đan Phượng Hà Nội</t>
  </si>
  <si>
    <t>DKS&lt;-&gt;Đan Phượng Hà Nội</t>
  </si>
  <si>
    <t>THG&lt;-&gt;Đan Phượng Hà Nội</t>
  </si>
  <si>
    <t>Đồ Sơn Hải Phòng</t>
  </si>
  <si>
    <t>DKS&lt;-&gt;Đồ Sơn Hải Phòng</t>
  </si>
  <si>
    <t>THG&lt;-&gt;Đồ Sơn Hải Phòng</t>
  </si>
  <si>
    <t>Đông Sơn Thanh Hóa</t>
  </si>
  <si>
    <t>DKS&lt;-&gt;Đông Sơn Thanh Hóa</t>
  </si>
  <si>
    <t>DKS&lt;-&gt;Đình Trám Bắc Giang</t>
  </si>
  <si>
    <t>Duy Tiên Hà Nam</t>
  </si>
  <si>
    <t>DKS&lt;-&gt;Duy Tiên Hà Nam</t>
  </si>
  <si>
    <t>THG&lt;-&gt;Duy Tiên Hà Nam</t>
  </si>
  <si>
    <t>Đức Thọ Hà tĩnh</t>
  </si>
  <si>
    <t>Đông Triều Quảng Ninh</t>
  </si>
  <si>
    <t>THG&lt;-&gt;Đông Triều Quảng Ninh</t>
  </si>
  <si>
    <t>Đại Từ Thái Nguyên</t>
  </si>
  <si>
    <t>DKS&lt;-&gt;Đại Từ Thái Nguyên</t>
  </si>
  <si>
    <t>Đồng Văn Hà Nam</t>
  </si>
  <si>
    <t>DKS&lt;-&gt;Đồng Văn Hà Nam</t>
  </si>
  <si>
    <t>THG&lt;-&gt;Đồng Văn Hà Nam</t>
  </si>
  <si>
    <t>Đỗ Xá Hà Nội</t>
  </si>
  <si>
    <t>THG&lt;-&gt;Đỗ Xá Hà Nội</t>
  </si>
  <si>
    <t>Diễn Yên Nghệ An</t>
  </si>
  <si>
    <t>Gia Bình Bắc Ninh</t>
  </si>
  <si>
    <t>DKS&lt;-&gt;Gia Bình Bắc Ninh</t>
  </si>
  <si>
    <t>THG&lt;-&gt;Gia Bình Bắc Ninh</t>
  </si>
  <si>
    <t>Giếng Đáy Quảng Ninh</t>
  </si>
  <si>
    <t>THG&lt;-&gt;Giếng Đáy Quảng Ninh</t>
  </si>
  <si>
    <t>DKS&lt;-&gt;Gián Khẩu Ninh Bình</t>
  </si>
  <si>
    <t>Gia Lộc Hải Dương</t>
  </si>
  <si>
    <t>THG&lt;-&gt;Gia Lộc Hải Dương</t>
  </si>
  <si>
    <t>Gia Lâm Hà Nội</t>
  </si>
  <si>
    <t>DKS&lt;-&gt;Gia Lâm Hà Nội</t>
  </si>
  <si>
    <t>THG&lt;-&gt;Gia Lâm Hà Nội</t>
  </si>
  <si>
    <t>DKS&lt;-&gt;Giải Phóng Hà Nội</t>
  </si>
  <si>
    <t>Giao Thủy Nam Định</t>
  </si>
  <si>
    <t>Gia Viễn Ninh Bình</t>
  </si>
  <si>
    <t>DKS&lt;-&gt;Gia Viễn Ninh Bình</t>
  </si>
  <si>
    <t>Gôi Vụ Bản Nam Định</t>
  </si>
  <si>
    <t>Hạ gỗ xẻ đóng kiện từ xe xuống bãi</t>
  </si>
  <si>
    <t>Hồng Bàng Hải Phòng</t>
  </si>
  <si>
    <t>DKS&lt;-&gt;Hồng Bàng Hải Phòng</t>
  </si>
  <si>
    <t>THG&lt;-&gt;Hồng Bàng Hải Phòng</t>
  </si>
  <si>
    <t>Hữu Bị Nam Định</t>
  </si>
  <si>
    <t>Hoành Bồ Quảng Ninh</t>
  </si>
  <si>
    <t>DKS&lt;-&gt;Hùng Cường Hải Phòng</t>
  </si>
  <si>
    <t>Hà Đông Hà Nội</t>
  </si>
  <si>
    <t>DKS&lt;-&gt;Hà Đông Hà Nội</t>
  </si>
  <si>
    <t>THG&lt;-&gt;Hà Đông Hà Nội</t>
  </si>
  <si>
    <t>DKS&lt;-&gt;Hoài Đức Hà Nội</t>
  </si>
  <si>
    <t>Hòn Gai Quảng Ninh</t>
  </si>
  <si>
    <t>THG&lt;-&gt;Hòn Gai Quảng Ninh</t>
  </si>
  <si>
    <t>Hiệp Hòa Bắc Giang</t>
  </si>
  <si>
    <t>DKS&lt;-&gt;Hiệp Hòa Bắc Giang</t>
  </si>
  <si>
    <t>THG&lt;-&gt;Hiệp Hòa Bắc Giang</t>
  </si>
  <si>
    <t>DKS&lt;-&gt;Hải Hậu Nam Định</t>
  </si>
  <si>
    <t>THG&lt;-&gt;Hải Hậu Nam Định</t>
  </si>
  <si>
    <t>DKS&lt;-&gt;Hạ Hòa Phú Thọ</t>
  </si>
  <si>
    <t>Hải Hà Quảng Ninh</t>
  </si>
  <si>
    <t>Hưng Hà Thái Bình</t>
  </si>
  <si>
    <t>DKS&lt;-&gt;Hưng Hà Thái Bình</t>
  </si>
  <si>
    <t>THG&lt;-&gt;Hưng Hà Thái Bình</t>
  </si>
  <si>
    <t>Hoàng Hóa Thanh Hóa</t>
  </si>
  <si>
    <t>THG&lt;-&gt;Hoàng Hóa Thanh Hóa</t>
  </si>
  <si>
    <t>Aqua 05L</t>
  </si>
  <si>
    <t>Aqua 15L</t>
  </si>
  <si>
    <t>Cafe bột</t>
  </si>
  <si>
    <t>Sơn HP 05 Lít đỏ</t>
  </si>
  <si>
    <t>Sơn HP 05 Lít xanh lá</t>
  </si>
  <si>
    <t>Sơn HP 05 Lít Cánh Gián</t>
  </si>
  <si>
    <t>Chổi 25VM</t>
  </si>
  <si>
    <t>Nhân trần quả La Hán</t>
  </si>
  <si>
    <t>Dasan 15 Lit</t>
  </si>
  <si>
    <t>Trà đào trà chanh</t>
  </si>
  <si>
    <t>Phí thoát vận hành xử lý nước sinh hoạt</t>
  </si>
  <si>
    <t>Thước 75m</t>
  </si>
  <si>
    <t>Hương Khê Hà Tĩnh</t>
  </si>
  <si>
    <t>Hà Khẩu Quảng Ninh</t>
  </si>
  <si>
    <t>THG&lt;-&gt;Hà Khẩu Quảng Ninh</t>
  </si>
  <si>
    <t>Hưng Khánh Yên Bái</t>
  </si>
  <si>
    <t>Hòa Lạc Bắc Ninh</t>
  </si>
  <si>
    <t>THG&lt;-&gt;Hòa Lạc Bắc Ninh</t>
  </si>
  <si>
    <t>Hòa Lạc Hà Nội</t>
  </si>
  <si>
    <t>Hạ Lý Hải Phòng</t>
  </si>
  <si>
    <t>THG&lt;-&gt;Hạ Lý Hải Phòng</t>
  </si>
  <si>
    <t>Hồng Lĩnh Hà Tĩnh</t>
  </si>
  <si>
    <t>DKS&lt;-&gt;Hữu Lũng Lạng Sơn</t>
  </si>
  <si>
    <t>Hoa Lư Ninh Bình</t>
  </si>
  <si>
    <t>Hạ Long Quảng Ninh</t>
  </si>
  <si>
    <t>DKS&lt;-&gt;Hạ Long Quảng Ninh</t>
  </si>
  <si>
    <t>THG&lt;-&gt;Hạ Long Quảng Ninh</t>
  </si>
  <si>
    <t>Hậu Lộc Thanh Hóa</t>
  </si>
  <si>
    <t>DKS&lt;-&gt;Hậu Lộc Thanh Hóa</t>
  </si>
  <si>
    <t>THG&lt;-&gt;Hậu Lộc Thanh Hóa</t>
  </si>
  <si>
    <t>DKS&lt;-&gt;Hoàng Mai Hà Nội</t>
  </si>
  <si>
    <t>Hưng Nguyên Nghệ An</t>
  </si>
  <si>
    <t>Chuyển tải HSCB</t>
  </si>
  <si>
    <t>Chuyển tải HS-HA</t>
  </si>
  <si>
    <t>Hồ Sen Hải Phòng</t>
  </si>
  <si>
    <t>THG&lt;-&gt;Hồ Sen Hải Phòng</t>
  </si>
  <si>
    <t>Hương Sơn Hà Tĩnh</t>
  </si>
  <si>
    <t>Hà Trung Thanh Hóa</t>
  </si>
  <si>
    <t>THG&lt;-&gt;Hà Trung Thanh Hóa</t>
  </si>
  <si>
    <t>DKS&lt;-&gt;Hồng Xuân Hải Phòng (CS7)</t>
  </si>
  <si>
    <t>Hoàng Xá Phú Thọ</t>
  </si>
  <si>
    <t>Hồ Xá Quảng trị</t>
  </si>
  <si>
    <t>Kiến An Hải Phòng</t>
  </si>
  <si>
    <t>DKS&lt;-&gt;Kiến An Hải Phòng</t>
  </si>
  <si>
    <t>THG&lt;-&gt;Kiến An Hải Phòng</t>
  </si>
  <si>
    <t>Kỳ Anh Hà Tĩnh</t>
  </si>
  <si>
    <t>DKS&lt;-&gt;Kim Bôi Hòa Bình</t>
  </si>
  <si>
    <t>Kim Bảng Hà Nam</t>
  </si>
  <si>
    <t>DKS&lt;-&gt;Kim Bảng Hà Nam</t>
  </si>
  <si>
    <t>THG&lt;-&gt;Kim Bảng Hà Nam</t>
  </si>
  <si>
    <t>Khoái Châu Hưng Yên</t>
  </si>
  <si>
    <t>DKS&lt;-&gt;Khoái Châu Hưng Yên</t>
  </si>
  <si>
    <t>THG&lt;-&gt;Khoái Châu Hưng Yên</t>
  </si>
  <si>
    <t>DKS&lt;-&gt;KCN Tràng Duệ Hải Phòng</t>
  </si>
  <si>
    <t>Kim Động Hưng Yên</t>
  </si>
  <si>
    <t>DKS&lt;-&gt;Kim Động Hưng Yên</t>
  </si>
  <si>
    <t>THG&lt;-&gt;Kim Động Hưng Yên</t>
  </si>
  <si>
    <t>K/H …</t>
  </si>
  <si>
    <t>K/M chủ gỗ 2000 đ/m3</t>
  </si>
  <si>
    <t>K/M chủ gỗ 5000 đ/m3</t>
  </si>
  <si>
    <t>Kinh Môn Hải Dương</t>
  </si>
  <si>
    <t>THG&lt;-&gt;Kinh Môn Hải Dương</t>
  </si>
  <si>
    <t>DKS&lt;-&gt;Khánh Phú Ninh Bình</t>
  </si>
  <si>
    <t>DKS&lt;-&gt;Kỳ Sơn Hòa Bình</t>
  </si>
  <si>
    <t>Kẻ Sặt Hải Dương</t>
  </si>
  <si>
    <t>THG&lt;-&gt;Kẻ Sặt Hải Dương</t>
  </si>
  <si>
    <t>Kim Sơn Ninh Bình</t>
  </si>
  <si>
    <t>THG&lt;-&gt;Kim Sơn Ninh Bình</t>
  </si>
  <si>
    <t>Kim Thành Hải Dương</t>
  </si>
  <si>
    <t>DKS&lt;-&gt;Kim Thành Hải Dương</t>
  </si>
  <si>
    <t>THG&lt;-&gt;Kim Thành Hải Dương</t>
  </si>
  <si>
    <t>Kiến Thụy Hải Phòng</t>
  </si>
  <si>
    <t>DKS&lt;-&gt;Kiến Thụy Hải Phòng</t>
  </si>
  <si>
    <t>THG&lt;-&gt;Kiến Thụy Hải Phòng</t>
  </si>
  <si>
    <t>Kiến Xương Thái Bình</t>
  </si>
  <si>
    <t>THG&lt;-&gt;Kiến Xương Thái Bình</t>
  </si>
  <si>
    <t>DKS&lt;-&gt;Long Biên Hà Nội</t>
  </si>
  <si>
    <t>TT Lộc Bình Lạng Sơn</t>
  </si>
  <si>
    <t>THG&lt;-&gt;TT Lộc Bình Lạng Sơn</t>
  </si>
  <si>
    <t>Liên Chiểu Đà Nẵng</t>
  </si>
  <si>
    <t>Lai Cách Hải Dương</t>
  </si>
  <si>
    <t>THG&lt;-&gt;Lai Cách Hải Dương</t>
  </si>
  <si>
    <t>DKS&lt;-&gt;Lê Chân Hải Phòng</t>
  </si>
  <si>
    <t>La Dương Hà Đông Hà Nội</t>
  </si>
  <si>
    <t>THG&lt;-&gt;La Dương Hà Đông Hà Nội</t>
  </si>
  <si>
    <t>Lạc Đạo Hưng Yên</t>
  </si>
  <si>
    <t>DKS&lt;-&gt;Lâm Động Hưng Yên</t>
  </si>
  <si>
    <t>THG&lt;-&gt;Lạc Đạo Hưng Yên</t>
  </si>
  <si>
    <t>Linh Đàm Hà Nội</t>
  </si>
  <si>
    <t>Lạng Giang Bắc Giang</t>
  </si>
  <si>
    <t>DKS&lt;-&gt;Lạng Giang Bắc Giang</t>
  </si>
  <si>
    <t>THG&lt;-&gt;Lạng Giang Bắc Giang</t>
  </si>
  <si>
    <t>La Hiên Thái Nguyên</t>
  </si>
  <si>
    <t>Lai Khê Hải Dương</t>
  </si>
  <si>
    <t>THG&lt;-&gt;Lai Khê Hải Dương</t>
  </si>
  <si>
    <t>Liêm Mạc Hà Nội</t>
  </si>
  <si>
    <t>THG&lt;-&gt;Liêm Mạc Hà Nội</t>
  </si>
  <si>
    <t>DKS&lt;-&gt;Lễ Môn Thanh Hóa</t>
  </si>
  <si>
    <t>Lục Ngạn Bắc Giang</t>
  </si>
  <si>
    <t>THG&lt;-&gt;Lục Ngạn Bắc Giang</t>
  </si>
  <si>
    <t>Lý Nhân Hà Nam</t>
  </si>
  <si>
    <t>DKS&lt;-&gt;Lý Nhân Hà Nam</t>
  </si>
  <si>
    <t>THG&lt;-&gt;Lý Nhân Hà Nam</t>
  </si>
  <si>
    <t>Lục Nam Bắc Giang</t>
  </si>
  <si>
    <t>DKS&lt;-&gt;Lục Nam Bắc Giang</t>
  </si>
  <si>
    <t>THG&lt;-&gt;Lục Nam Bắc Giang</t>
  </si>
  <si>
    <t>DKS&lt;-&gt;Lục Ngạn Bắc Giang</t>
  </si>
  <si>
    <t>DKS&lt;-&gt;Lương Sơn Hòa Bình</t>
  </si>
  <si>
    <t>Lương Tài Bắc Ninh</t>
  </si>
  <si>
    <t>THG&lt;-&gt;Lương Tài Bắc Ninh</t>
  </si>
  <si>
    <t>Lạc Thủy Hòa Bình</t>
  </si>
  <si>
    <t>Lâm Thao Phú Thọ</t>
  </si>
  <si>
    <t>Lệ Thủy Quảng Bình</t>
  </si>
  <si>
    <t>Lập Thạch Vĩnh Phúc</t>
  </si>
  <si>
    <t>DKS&lt;-&gt;Lập Thạch Vĩnh Phúc</t>
  </si>
  <si>
    <t>THG&lt;-&gt;Lập Thạch Vĩnh Phúc</t>
  </si>
  <si>
    <t>DKS&lt;-&gt;Mậu Á Yên bái</t>
  </si>
  <si>
    <t>Móng Cái Quảng Ninh</t>
  </si>
  <si>
    <t>THG&lt;-&gt;Móng Cái Quảng Ninh</t>
  </si>
  <si>
    <t>Mỹ Đức Hà Nội</t>
  </si>
  <si>
    <t>DKS&lt;-&gt;Mỹ Đình Hà Nội</t>
  </si>
  <si>
    <t>Mỹ Hào Hưng Yên</t>
  </si>
  <si>
    <t>DKS&lt;-&gt;Mỹ Hào Hưng Yên</t>
  </si>
  <si>
    <t>THG&lt;-&gt;Mỹ Hào Hưng Yên</t>
  </si>
  <si>
    <t>Mẹt_Hữu Lũng Lạng Sơn</t>
  </si>
  <si>
    <t>Mạo Khê Quảng Ninh</t>
  </si>
  <si>
    <t>THG&lt;-&gt;Mạo Khê Quảng Ninh</t>
  </si>
  <si>
    <t>DKS&lt;-&gt;Mê Linh Hà Nội</t>
  </si>
  <si>
    <t>Mỹ Lộc Nam Định</t>
  </si>
  <si>
    <t>THG&lt;-&gt;Mỹ Lộc Nam Định</t>
  </si>
  <si>
    <t>DKS&lt;-&gt;Minh Thành Hải Phòng</t>
  </si>
  <si>
    <t>Mỹ Thuận Nam Định</t>
  </si>
  <si>
    <t>Nâng gỗ xẻ đóng kiện từ bãi lên xe</t>
  </si>
  <si>
    <t>DKS&lt;-&gt;Nam Bắc Hải Phòng</t>
  </si>
  <si>
    <t>Nông Cống Thanh Hóa</t>
  </si>
  <si>
    <t>Nam Đàn Nghệ An</t>
  </si>
  <si>
    <t>DKS&lt;-&gt;Nam Đàn Nghệ An</t>
  </si>
  <si>
    <t>THG&lt;-&gt;Nam Đàn Nghệ An</t>
  </si>
  <si>
    <t>Ninh Giang Hải Dương</t>
  </si>
  <si>
    <t>DKS&lt;-&gt;Ninh Giang Hải Dương</t>
  </si>
  <si>
    <t>THG&lt;-&gt;Ninh Giang Hải Dương</t>
  </si>
  <si>
    <t>Nghĩa Đàn Nghệ An</t>
  </si>
  <si>
    <t>Nghi Sơn Thanh Hóa</t>
  </si>
  <si>
    <t>Ngọc Hồi Hà Nội</t>
  </si>
  <si>
    <t>DKS&lt;-&gt;Ngọc Hồi Hà Nội</t>
  </si>
  <si>
    <t>Nghĩa Hưng Nam Định</t>
  </si>
  <si>
    <t>DKS&lt;-&gt;Nghĩa Hưng Nam Định</t>
  </si>
  <si>
    <t>THG&lt;-&gt;Nghĩa Hưng Nam Định</t>
  </si>
  <si>
    <t>Na Hang Tuyên Quang</t>
  </si>
  <si>
    <t>Nghi Lộc Nghệ An</t>
  </si>
  <si>
    <t>DKS&lt;-&gt;Nghi Lộc Nghệ An</t>
  </si>
  <si>
    <t>DKS&lt;-&gt;Nghĩa Lộ Yên Bái</t>
  </si>
  <si>
    <t>DKS&lt;-&gt;Ngũ Phúc Hải Phòng</t>
  </si>
  <si>
    <t>DKS&lt;-&gt;Ninh Phong Ninh Bình</t>
  </si>
  <si>
    <t>DKS&lt;-&gt;Như Quỳnh Hưng Yên</t>
  </si>
  <si>
    <t>Nho Quan Ninh Bình</t>
  </si>
  <si>
    <t>Nam Sách Hải Dương</t>
  </si>
  <si>
    <t>DKS&lt;-&gt;Nam Sách Hải Dương</t>
  </si>
  <si>
    <t>THG&lt;-&gt;Nam Sách Hải Dương</t>
  </si>
  <si>
    <t>Ninh Sở Hà Nội</t>
  </si>
  <si>
    <t>THG&lt;-&gt;Ninh Sở Hà Nội</t>
  </si>
  <si>
    <t>Nga Sơn Thanh Hóa</t>
  </si>
  <si>
    <t>DKS&lt;-&gt;Nghi Sơn Thanh Hóa</t>
  </si>
  <si>
    <t>THG&lt;-&gt;Nga Sơn Thanh Hóa</t>
  </si>
  <si>
    <t>DKS&lt;-&gt;Nguyễn Trãi Hà Nội</t>
  </si>
  <si>
    <t>Nội thành Hải Phòng</t>
  </si>
  <si>
    <t>Nam Trực Nam Định</t>
  </si>
  <si>
    <t>DKS&lt;-&gt;Nam Trực Nam Định</t>
  </si>
  <si>
    <t>THG&lt;-&gt;Nam Trực Nam Định</t>
  </si>
  <si>
    <t>Như Thanh Thanh Hóa</t>
  </si>
  <si>
    <t>DKS&lt;-&gt;Nam Từ Liêm Hà Nội</t>
  </si>
  <si>
    <t>Nghi Xuân Hà Tĩnh</t>
  </si>
  <si>
    <t>Ông Bách TP Nam Định</t>
  </si>
  <si>
    <t>THG&lt;-&gt;Ông Bách TP Nam Định</t>
  </si>
  <si>
    <t>Ông Doãn Đa Phúc Hải Phòng</t>
  </si>
  <si>
    <t>THG&lt;-&gt;Ông Doãn Đa Phúc Hải Phòng</t>
  </si>
  <si>
    <t>Ông Hữu Rế Hải Phòng</t>
  </si>
  <si>
    <t>THG&lt;-&gt;Ông Hữu Rế Hải Phòng</t>
  </si>
  <si>
    <t>Ông Huyền Phóng Vĩnh Phúc</t>
  </si>
  <si>
    <t>THG&lt;-&gt;Ông Huyền Phóng Vĩnh Phúc</t>
  </si>
  <si>
    <t>Ông Lợi Xuân Trường Nam Định</t>
  </si>
  <si>
    <t>THG&lt;-&gt;Ông Lợi Xuân Trường Nam Định</t>
  </si>
  <si>
    <t>Ông Long TP Thái Bình</t>
  </si>
  <si>
    <t>THG&lt;-&gt;Ông Long TP Thái Bình</t>
  </si>
  <si>
    <t>Ông Sự Thanh Miện Hải Dương</t>
  </si>
  <si>
    <t>THG&lt;-&gt;Ông Sự Thanh Miện Hải Dương</t>
  </si>
  <si>
    <t>Ông Thủy Cẩm Giàng Hải Dương</t>
  </si>
  <si>
    <t>THG&lt;-&gt;Ông Thủy Cẩm Giàng Hải Dương</t>
  </si>
  <si>
    <t>Ông Tôn Giải Phòng Hà Nội</t>
  </si>
  <si>
    <t>THG&lt;-&gt;Ông Tôn Giải Phòng Hà Nội</t>
  </si>
  <si>
    <t>Ông Tuấn TP Nam Định</t>
  </si>
  <si>
    <t>THG&lt;-&gt;Ông Tuấn TP Nam Định</t>
  </si>
  <si>
    <t>Ông Thăng Giếng Đáy Quảng Ninh</t>
  </si>
  <si>
    <t>THG&lt;-&gt;Ông Thăng Giếng Đáy Quảng Ninh</t>
  </si>
  <si>
    <t>Ông Vũ Dương Kinh Hải Phòng</t>
  </si>
  <si>
    <t>THG&lt;-&gt;Ông Vũ Dương Kinh Hải Phòng</t>
  </si>
  <si>
    <t>Phố Chờ Bắc Ninh</t>
  </si>
  <si>
    <t>DKS&lt;-&gt;Phố Chờ Bắc Ninh</t>
  </si>
  <si>
    <t>THG&lt;-&gt;Phố Chờ Bắc Ninh</t>
  </si>
  <si>
    <t>Phủ Cừ Hưng Yên</t>
  </si>
  <si>
    <t>THG&lt;-&gt;Phủ Cừ Hưng Yên</t>
  </si>
  <si>
    <t>Phong Châu Phú Thọ</t>
  </si>
  <si>
    <t>Phả Lại Hải Dương</t>
  </si>
  <si>
    <t>THG&lt;-&gt;Phả Lại Hải Dương</t>
  </si>
  <si>
    <t>Phủ Lý Hà Nam</t>
  </si>
  <si>
    <t>DKS&lt;-&gt;Phủ Lý Hà Nam</t>
  </si>
  <si>
    <t>THG&lt;-&gt;Phủ Lý Hà Nam</t>
  </si>
  <si>
    <t>Phú Lương Thái Nguyên</t>
  </si>
  <si>
    <t>DKS&lt;-&gt;Phú Lương Thái Nguyên</t>
  </si>
  <si>
    <t>Phố Nối Hưng Yên</t>
  </si>
  <si>
    <t>DKS&lt;-&gt;Phố Nối Hưng Yên</t>
  </si>
  <si>
    <t>THG&lt;-&gt;Phố Nối Hưng Yên</t>
  </si>
  <si>
    <t>Phù Ninh Phú Thọ</t>
  </si>
  <si>
    <t>DKS&lt;-&gt;Phù Ninh Phú Thọ</t>
  </si>
  <si>
    <t>DKS&lt;-&gt;Phố Nối A Hưng Yên</t>
  </si>
  <si>
    <t>Phật Tích Bắc Ninh</t>
  </si>
  <si>
    <t>THG&lt;-&gt;Phật Tích Bắc Ninh</t>
  </si>
  <si>
    <t>Phú Thái Hải Dương</t>
  </si>
  <si>
    <t>THG&lt;-&gt;Phú Thái Hải Dương</t>
  </si>
  <si>
    <t>Phúc Thọ Hà Nội</t>
  </si>
  <si>
    <t>DKS&lt;-&gt;Phúc Thọ Hà Nội</t>
  </si>
  <si>
    <t>THG&lt;-&gt;Phúc Thọ Hà Nội</t>
  </si>
  <si>
    <t>Phú Vang Thừa Thiên Huế</t>
  </si>
  <si>
    <t>Phú Xuyên Hà Nội</t>
  </si>
  <si>
    <t>DKS&lt;-&gt;Phú Xuyên Hà Nội</t>
  </si>
  <si>
    <t>THG&lt;-&gt;Phú Xuyên Hà Nội</t>
  </si>
  <si>
    <t>DKS&lt;-&gt;Phùng Xá Thái Nguyên</t>
  </si>
  <si>
    <t>Phổ Yên Thái Nguyên</t>
  </si>
  <si>
    <t>DKS&lt;-&gt;Phổ Yên Thái Nguyên</t>
  </si>
  <si>
    <t>Phúc Yên Vĩnh Phúc</t>
  </si>
  <si>
    <t>THG&lt;-&gt;Phúc Yên Vĩnh Phúc</t>
  </si>
  <si>
    <t>Quảng Bị Hà Nội</t>
  </si>
  <si>
    <t>Quý Cao Hải Dương</t>
  </si>
  <si>
    <t>Quỳnh Côi Thái Bình</t>
  </si>
  <si>
    <t>THG&lt;-&gt;Quỳnh Côi Thái Bình</t>
  </si>
  <si>
    <t>Quán Gỏi Hải Dương</t>
  </si>
  <si>
    <t>DKS&lt;-&gt;Quán Gỏi Hải Dương</t>
  </si>
  <si>
    <t>THG&lt;-&gt;Quán Gỏi Hải Dương</t>
  </si>
  <si>
    <t>Quỳ Hợp Nghệ An</t>
  </si>
  <si>
    <t>DKS&lt;-&gt;Quỳ Hợp Nghệ An</t>
  </si>
  <si>
    <t>Quang Hanh Quảng Ninh</t>
  </si>
  <si>
    <t>DKS&lt;-&gt;Quan Hóa Thanh Hóa</t>
  </si>
  <si>
    <t>Quỳnh Lưu Nghệ An</t>
  </si>
  <si>
    <t>DKS&lt;-&gt;Quỳnh Lưu Nghệ An</t>
  </si>
  <si>
    <t>THG&lt;-&gt;Quỳnh Lưu Nghệ An</t>
  </si>
  <si>
    <t>DKS&lt;-&gt;Quang Minh Vĩnh Phúc</t>
  </si>
  <si>
    <t>Quốc Oai Hà Nội</t>
  </si>
  <si>
    <t>DKS&lt;-&gt;Quốc Oai Hà Nội</t>
  </si>
  <si>
    <t>THG&lt;-&gt;Quốc Oai Hà Nội</t>
  </si>
  <si>
    <t>Quỳnh Phụ Thái Bình</t>
  </si>
  <si>
    <t>DKS&lt;-&gt;Quỳnh Phụ Thái Bình</t>
  </si>
  <si>
    <t>THG&lt;-&gt;Quỳnh Phụ Thái Bình</t>
  </si>
  <si>
    <t>Quán Toan Hải Phòng</t>
  </si>
  <si>
    <t>DKS&lt;-&gt;Quán Toan Hải Phòng</t>
  </si>
  <si>
    <t>THG&lt;-&gt;Quán Toan Hải Phòng</t>
  </si>
  <si>
    <t>Quảng Trạch Quảng Bình</t>
  </si>
  <si>
    <t>Quế Võ Bắc Ninh</t>
  </si>
  <si>
    <t>DKS&lt;-&gt;Quế Võ Bắc Ninh</t>
  </si>
  <si>
    <t>THG&lt;-&gt;Quế Võ Bắc Ninh</t>
  </si>
  <si>
    <t>Quảng Xương Thanh Hóa</t>
  </si>
  <si>
    <t>DKS&lt;-&gt;Quảng Xương Thanh Hóa</t>
  </si>
  <si>
    <t>THG&lt;-&gt;Quảng Xương Thanh Hóa</t>
  </si>
  <si>
    <t>Quảng Yên Quảng Ninh</t>
  </si>
  <si>
    <t>THG&lt;-&gt;Quảng Yên Quảng Ninh</t>
  </si>
  <si>
    <t>Rút gỗ xẻ đóng kiện trong cont ra bãi</t>
  </si>
  <si>
    <t>Rốc Xây Bỉm Sơn Thanh Hóa</t>
  </si>
  <si>
    <t>THG&lt;-&gt;Rốc Xây Bỉm Sơn Thanh Hóa</t>
  </si>
  <si>
    <t>Sông Công Thái Nguyên</t>
  </si>
  <si>
    <t>DKS&lt;-&gt;Sông Công Thái Nguyên</t>
  </si>
  <si>
    <t>DKS&lt;-&gt;Sơn Động Bắc Giang</t>
  </si>
  <si>
    <t>DKS&lt;-&gt;Sài Đồng Hà Nội</t>
  </si>
  <si>
    <t>Sở Dầu Hải Phòng</t>
  </si>
  <si>
    <t>DKS&lt;-&gt;Sở Dầu Hải Phòng</t>
  </si>
  <si>
    <t>DKS&lt;-&gt;Sơn Dương Tuyên Quang</t>
  </si>
  <si>
    <t>DKS&lt;-&gt;Sông Khuê Bắc Giang</t>
  </si>
  <si>
    <t>Sóc Sơn Hà Nội</t>
  </si>
  <si>
    <t>DKS&lt;-&gt;Sóc Sơn Hà Nội</t>
  </si>
  <si>
    <t>THG&lt;-&gt;Sóc Sơn Hà Nội</t>
  </si>
  <si>
    <t>Sầm Sơn Thanh Hóa</t>
  </si>
  <si>
    <t>THG&lt;-&gt;Sầm Sơn Thanh Hóa</t>
  </si>
  <si>
    <t>Sơn Tây (Ba Vì) Hà Nội</t>
  </si>
  <si>
    <t>DKS&lt;-&gt;Sơn Tây Hà Nội</t>
  </si>
  <si>
    <t>THG&lt;-&gt;Sơn Tây (Ba Vì) Hà Nội</t>
  </si>
  <si>
    <t>Thanh Ba Phú Thọ</t>
  </si>
  <si>
    <t>DKS&lt;-&gt;Thanh Ba Phú Thọ</t>
  </si>
  <si>
    <t>Thị Cầu Bắc Ninh</t>
  </si>
  <si>
    <t>THG&lt;-&gt;Thị Cầu Bắc Ninh</t>
  </si>
  <si>
    <t>Trường Chinh Hà Nội</t>
  </si>
  <si>
    <t>Thanh Chương Nghệ An</t>
  </si>
  <si>
    <t>Tiên Du Bắc Ninh</t>
  </si>
  <si>
    <t>DKS&lt;-&gt;Tiên Du Bắc Ninh</t>
  </si>
  <si>
    <t>THG&lt;-&gt;Tiên Du Bắc Ninh</t>
  </si>
  <si>
    <t>Tam Điệp Ninh Bình</t>
  </si>
  <si>
    <t>THG&lt;-&gt;Tam Điệp Ninh Bình</t>
  </si>
  <si>
    <t>Tam Dương Vĩnh Phúc</t>
  </si>
  <si>
    <t>DKS&lt;-&gt;Tam Đảo Vĩnh Phúc</t>
  </si>
  <si>
    <t>Tam Đảo Vĩnh Phúc</t>
  </si>
  <si>
    <t>Tĩnh Gia Thanh Hóa</t>
  </si>
  <si>
    <t>DKS&lt;-&gt;Tĩnh Gia Thanh Hóa</t>
  </si>
  <si>
    <t>THG&lt;-&gt;Tĩnh Gia Thanh Hóa</t>
  </si>
  <si>
    <t>Thanh Hà Hải Dương</t>
  </si>
  <si>
    <t>DKS&lt;-&gt;Thanh Hà Hải Dương</t>
  </si>
  <si>
    <t>THG&lt;-&gt;Thanh Hà Hải Dương</t>
  </si>
  <si>
    <t>Thái Hòa Nghệ An</t>
  </si>
  <si>
    <t>Tuyên Hóa Quảng Bình</t>
  </si>
  <si>
    <t>Tiền Hải Thái Bình</t>
  </si>
  <si>
    <t>DKS&lt;-&gt;Tiền Hải Thái Bình</t>
  </si>
  <si>
    <t>Thiệu Hóa Thanh Hóa</t>
  </si>
  <si>
    <t>Tứ Kỳ Hải Dương</t>
  </si>
  <si>
    <t>DKS&lt;-&gt;Tứ Kỳ Hải Dương</t>
  </si>
  <si>
    <t>THG&lt;-&gt;Tứ Kỳ Hải Dương</t>
  </si>
  <si>
    <t>Tân Kỳ Nghệ An</t>
  </si>
  <si>
    <t>Trà Lĩnh Cao Bằng</t>
  </si>
  <si>
    <t>DKS&lt;-&gt;Từ Liêm Hà Nội</t>
  </si>
  <si>
    <t>Thanh Liêm Hà Nam</t>
  </si>
  <si>
    <t>DKS&lt;-&gt;Thanh Liêm Hà Nam</t>
  </si>
  <si>
    <t>THG&lt;-&gt;Thanh Liêm Hà Nam</t>
  </si>
  <si>
    <t>Tiên Lãng Hải Phòng</t>
  </si>
  <si>
    <t>DKS&lt;-&gt;Tiên Lãng Hải Phòng</t>
  </si>
  <si>
    <t>THG&lt;-&gt;Tiên Lãng Hải Phòng</t>
  </si>
  <si>
    <t>Chuyển tải cảng Tự Long-HS</t>
  </si>
  <si>
    <t>Tiên Lữ Hưng Yên</t>
  </si>
  <si>
    <t>THG&lt;-&gt;Tiên Lữ Hưng Yên</t>
  </si>
  <si>
    <t>Thanh Lãng Vĩnh Phúc</t>
  </si>
  <si>
    <t>DKS&lt;-&gt;Thanh Lãng Vĩnh Phúc</t>
  </si>
  <si>
    <t>THG&lt;-&gt;Thanh Lãng Vĩnh Phúc</t>
  </si>
  <si>
    <t>Thanh Miện Hải Dương</t>
  </si>
  <si>
    <t>DKS&lt;-&gt;Thanh Miện Hải Dương</t>
  </si>
  <si>
    <t>THG&lt;-&gt;Thanh Miện Hải Dương</t>
  </si>
  <si>
    <t>DKS&lt;-&gt;Trôi Nhổn Hà Nội</t>
  </si>
  <si>
    <t>DKS&lt;-&gt;Tây Nam Hà Nam</t>
  </si>
  <si>
    <t>DKS&lt;-&gt;Thủy Nguyên Hải Phòng</t>
  </si>
  <si>
    <t>Trực Ninh Nam Định</t>
  </si>
  <si>
    <t>THG&lt;-&gt;Trực Ninh Nam Định</t>
  </si>
  <si>
    <t>Tam Nông Phú Thọ</t>
  </si>
  <si>
    <t>DKS&lt;-&gt;Tam Nông Phú Thọ</t>
  </si>
  <si>
    <t>Thủy Nguyên Gần Hải Phòng</t>
  </si>
  <si>
    <t>THG&lt;-&gt;Thủy Nguyên Gần Hải Phòng</t>
  </si>
  <si>
    <t>Thủy Nguyên Xa Hải Phòng</t>
  </si>
  <si>
    <t>THG&lt;-&gt;Thủy Nguyên Xa Hải Phòng</t>
  </si>
  <si>
    <t>Từ Ô Hải Dương</t>
  </si>
  <si>
    <t>THG&lt;-&gt;Từ Ô Hải Dương</t>
  </si>
  <si>
    <t>Thanh Oai Hà Nội</t>
  </si>
  <si>
    <t>DKS&lt;-&gt;Thanh Oai Hà Nội</t>
  </si>
  <si>
    <t>THG&lt;-&gt;Thanh Oai Hà Nội</t>
  </si>
  <si>
    <t>TP Bắc Giang</t>
  </si>
  <si>
    <t>DKS&lt;-&gt;TP Bắc Giang</t>
  </si>
  <si>
    <t>THG&lt;-&gt;TP Bắc Giang</t>
  </si>
  <si>
    <t>TP Bắc Ninh</t>
  </si>
  <si>
    <t>DKS&lt;-&gt;TP Bắc Ninh</t>
  </si>
  <si>
    <t>THG&lt;-&gt;Thành Phố Bắc Ninh</t>
  </si>
  <si>
    <t>TP Cao Bằng</t>
  </si>
  <si>
    <t>TP Huế</t>
  </si>
  <si>
    <t>TP Hòa Bình</t>
  </si>
  <si>
    <t>DKS&lt;-&gt;TP Hòa Bình</t>
  </si>
  <si>
    <t>THG&lt;-&gt;TP Hòa Bình</t>
  </si>
  <si>
    <t>TP Hải Dương</t>
  </si>
  <si>
    <t>DKS&lt;-&gt;TP Hải Dương</t>
  </si>
  <si>
    <t>THG&lt;-&gt;TP Hải Dương</t>
  </si>
  <si>
    <t>TP Hà Giang</t>
  </si>
  <si>
    <t>Tân Phú Hà Nội</t>
  </si>
  <si>
    <t>DKS&lt;-&gt;TP Hà Nội</t>
  </si>
  <si>
    <t>TP Hà Tĩnh</t>
  </si>
  <si>
    <t>THG&lt;-&gt;TP Hà Tĩnh</t>
  </si>
  <si>
    <t>TP Hưng Yên</t>
  </si>
  <si>
    <t>TP Lào Cai</t>
  </si>
  <si>
    <t>TP Lạng Sơn</t>
  </si>
  <si>
    <t>THG&lt;-&gt;TP Lạng Sơn</t>
  </si>
  <si>
    <t>TP Ninh Bình</t>
  </si>
  <si>
    <t>DKS&lt;-&gt;TP Ninh Bình</t>
  </si>
  <si>
    <t>THG&lt;-&gt;TP Ninh Bình</t>
  </si>
  <si>
    <t>TP Nam Định</t>
  </si>
  <si>
    <t>DKS&lt;-&gt;TP Nam Định</t>
  </si>
  <si>
    <t>THG&lt;-&gt;TP Nam Định</t>
  </si>
  <si>
    <t>TP Quảng Bình</t>
  </si>
  <si>
    <t>TP Quảng Trị</t>
  </si>
  <si>
    <t>TP Sa Pa</t>
  </si>
  <si>
    <t>TP Thái Bình</t>
  </si>
  <si>
    <t>DKS&lt;-&gt;TP Thái Bình</t>
  </si>
  <si>
    <t>THG&lt;-&gt;TP Thái Bình</t>
  </si>
  <si>
    <t>TP Thanh Hóa</t>
  </si>
  <si>
    <t>THG&lt;-&gt;TP Thanh Hóa</t>
  </si>
  <si>
    <t>TP Thái Nguyên</t>
  </si>
  <si>
    <t>DKS&lt;-&gt;TP Thái Nguyên</t>
  </si>
  <si>
    <t>THG&lt;-&gt;TP Thái Nguyên</t>
  </si>
  <si>
    <t>TP Tuyên Quang</t>
  </si>
  <si>
    <t>TP Việt Trì</t>
  </si>
  <si>
    <t>DKS&lt;-&gt;TP Việt Trì</t>
  </si>
  <si>
    <t>THG&lt;-&gt;TP Việt Trì</t>
  </si>
  <si>
    <t>TP Yên bái</t>
  </si>
  <si>
    <t>DKS&lt;-&gt;TP Yên bái</t>
  </si>
  <si>
    <t>THG&lt;-&gt;TP Yên Bái</t>
  </si>
  <si>
    <t>TP Vinh Nghệ An</t>
  </si>
  <si>
    <t>DKS&lt;-&gt;TP Vinh Nghệ An</t>
  </si>
  <si>
    <t>THG&lt;-&gt;TP Vinh Nghệ An</t>
  </si>
  <si>
    <t>DKS&lt;-&gt;Tân Quang Hưng Yên</t>
  </si>
  <si>
    <t>Trạm Trôi Hoài Đức Hà Nội</t>
  </si>
  <si>
    <t>Từ Sơn Bắc Ninh</t>
  </si>
  <si>
    <t>DKS&lt;-&gt;Từ Sơn Bắc Ninh</t>
  </si>
  <si>
    <t>THG&lt;-&gt;Từ Sơn Bắc Ninh</t>
  </si>
  <si>
    <t>Trúc Sơn Hà Nội</t>
  </si>
  <si>
    <t>THG&lt;-&gt;Trúc Sơn Hà Nội</t>
  </si>
  <si>
    <t>DKS&lt;-&gt;Thanh Sơn Phú Thọ</t>
  </si>
  <si>
    <t>Triệu Sơn Thanh Hóa</t>
  </si>
  <si>
    <t>THG&lt;-&gt;Triệu Sơn Thanh Hóa</t>
  </si>
  <si>
    <t>Thuận Thành Bắc Ninh</t>
  </si>
  <si>
    <t>DKS&lt;-&gt;Thuận Thành Bắc Ninh</t>
  </si>
  <si>
    <t>THG&lt;-&gt;Thuận Thành Bắc Ninh</t>
  </si>
  <si>
    <t>DKS&lt;-&gt;Tân Trường Hải Dương</t>
  </si>
  <si>
    <t>Thạch Thất Hà Nội</t>
  </si>
  <si>
    <t>DKS&lt;-&gt;Thạch Thất Hà Nội</t>
  </si>
  <si>
    <t>THG&lt;-&gt;Thạch Thất Hà Nội</t>
  </si>
  <si>
    <t>Thanh Thủy Phú Thọ</t>
  </si>
  <si>
    <t>Thái Thụy Thái Bình</t>
  </si>
  <si>
    <t>THG&lt;-&gt;Thái Thụy Thái Bình</t>
  </si>
  <si>
    <t>Thạch Thành Thanh Hóa</t>
  </si>
  <si>
    <t>Thường Tín Hà Nội</t>
  </si>
  <si>
    <t>DKS&lt;-&gt;Thường Tín Hà Nội</t>
  </si>
  <si>
    <t>THG&lt;-&gt;Thường Tín Hà Nội</t>
  </si>
  <si>
    <t>Thị Trấn Kép Bắc Giang</t>
  </si>
  <si>
    <t>THG&lt;-&gt;Thị Trấn Kép Bắc Giang</t>
  </si>
  <si>
    <t>Thanh Trì Hà Nội</t>
  </si>
  <si>
    <t>DKS&lt;-&gt;Thanh Trì Hà Nội</t>
  </si>
  <si>
    <t>THG&lt;-&gt;Thanh Trì Hà Nội</t>
  </si>
  <si>
    <t>Tam Trinh Hà Nội</t>
  </si>
  <si>
    <t>Thị Trấn Vôi Bắc Giang</t>
  </si>
  <si>
    <t>THG&lt;-&gt;Thị Trấn Vôi Bắc Giang</t>
  </si>
  <si>
    <t>DKS&lt;-&gt;Thụy Vân Phú Thọ</t>
  </si>
  <si>
    <t>TX Hưng Yên</t>
  </si>
  <si>
    <t>THG&lt;-&gt;TX Hưng Yên</t>
  </si>
  <si>
    <t>Thị Xã Phú Thọ</t>
  </si>
  <si>
    <t>Thọ Xuân Thanh Hóa</t>
  </si>
  <si>
    <t>DKS&lt;-&gt;Thọ Xuân Thanh Hóa</t>
  </si>
  <si>
    <t>THG&lt;-&gt;Thọ Xuân Thanh Hóa</t>
  </si>
  <si>
    <t>Tân Yên Bắc Giang</t>
  </si>
  <si>
    <t>Trường Yên Hà Nội</t>
  </si>
  <si>
    <t>Uông Bí Quảng Ninh</t>
  </si>
  <si>
    <t>DKS&lt;-&gt;Uông Bí Quảng Ninh</t>
  </si>
  <si>
    <t>THG&lt;-&gt;Uông Bí Quảng Ninh</t>
  </si>
  <si>
    <t>Ứng Hòa Hà Nội</t>
  </si>
  <si>
    <t>THG&lt;-&gt;Ứng Hòa Hà Nội</t>
  </si>
  <si>
    <t>Vĩnh Bảo Hải Phòng</t>
  </si>
  <si>
    <t>THG&lt;-&gt;Vĩnh Bảo Hải Phòng</t>
  </si>
  <si>
    <t>Văn Bản Lào Cai</t>
  </si>
  <si>
    <t>Vụ Bản Nam Định</t>
  </si>
  <si>
    <t>Văn Điển Hà Nội</t>
  </si>
  <si>
    <t>DKS&lt;-&gt;Văn Điển Hà Nội</t>
  </si>
  <si>
    <t>THG&lt;-&gt;Văn Điển Hà Nội</t>
  </si>
  <si>
    <t>DKS&lt;-&gt;Vân Đồn Quảng Ninh</t>
  </si>
  <si>
    <t>Vân Đình Hà Nội</t>
  </si>
  <si>
    <t>THG&lt;-&gt;Vân Đình Hà Nội</t>
  </si>
  <si>
    <t>Văn Giang Hưng Yên</t>
  </si>
  <si>
    <t>DKS&lt;-&gt;Văn Giang Hưng Yên</t>
  </si>
  <si>
    <t>Vĩnh Kế Bắc Giang</t>
  </si>
  <si>
    <t>Văn Lâm Hưng Yên</t>
  </si>
  <si>
    <t>DKS&lt;-&gt;Văn Lâm Hưng Yên</t>
  </si>
  <si>
    <t>THG&lt;-&gt;Văn Lâm Hưng Yên</t>
  </si>
  <si>
    <t>Vĩnh Linh Quảng Trị</t>
  </si>
  <si>
    <t>Vĩnh Niệm Hải Phòng</t>
  </si>
  <si>
    <t>THG&lt;-&gt;Vĩnh Niệm Hải Phòng</t>
  </si>
  <si>
    <t>Vạn Ninh Quảng Bình</t>
  </si>
  <si>
    <t>DKS&lt;-&gt;Võ Nhai Thái Nguyên</t>
  </si>
  <si>
    <t>DKS&lt;-&gt;Vân Trung Bắc Giang</t>
  </si>
  <si>
    <t>DKS&lt;-&gt;Vĩnh Tuy Hà Nội</t>
  </si>
  <si>
    <t>Vĩnh Trụ Hà Nam</t>
  </si>
  <si>
    <t>THG&lt;-&gt;Vĩnh Trụ Hà Nam</t>
  </si>
  <si>
    <t>DKS&lt;-&gt;Việt Trì Phú Thọ</t>
  </si>
  <si>
    <t>Vũ Thư Thái Bình</t>
  </si>
  <si>
    <t>Vĩnh Tường Vĩnh Phúc</t>
  </si>
  <si>
    <t>DKS&lt;-&gt;Vĩnh Tường Vĩnh Phúc</t>
  </si>
  <si>
    <t>THG&lt;-&gt;Vĩnh Tường Vĩnh Phúc</t>
  </si>
  <si>
    <t>Sắt làm thùng đồbảo hiểm mooc</t>
  </si>
  <si>
    <t>Lốp 265_25 Deestone Thái (xe nâng)</t>
  </si>
  <si>
    <t>Lốp 265-25 28PR VEM 99</t>
  </si>
  <si>
    <t>Bạc 665</t>
  </si>
  <si>
    <t>Bìa 05 ly</t>
  </si>
  <si>
    <t>Lốp xe nâng JK 235-25 20PR VEM 99</t>
  </si>
  <si>
    <t>Lốp xe nâng  bánh đặc casumina 700-12</t>
  </si>
  <si>
    <t>Lốp xe nâng JK 265-25 28PR E3 L3 VEM 99</t>
  </si>
  <si>
    <t>Văn Võ Hà Nội</t>
  </si>
  <si>
    <t>Việt Yên Bắc Giang</t>
  </si>
  <si>
    <t>DKS&lt;-&gt;Việt Yên Bắc Giang</t>
  </si>
  <si>
    <t>Vĩnh Yên Vĩnh Phúc</t>
  </si>
  <si>
    <t>THG&lt;-&gt;Vĩnh Yên Vĩnh Phúc</t>
  </si>
  <si>
    <t>Xuân An Hà Tĩnh</t>
  </si>
  <si>
    <t>Xuân Mai Hòa Bình</t>
  </si>
  <si>
    <t>THG&lt;-&gt;Xuân Mai Hòa Bình</t>
  </si>
  <si>
    <t>Xuân Mai Hà Nội</t>
  </si>
  <si>
    <t>Xuân Trường Nam Định</t>
  </si>
  <si>
    <t>THG&lt;-&gt;Xuân Trường Nam Định</t>
  </si>
  <si>
    <t>Yên Bình Yên Bái</t>
  </si>
  <si>
    <t>DKS&lt;-&gt;Yên Bình Yên Bái</t>
  </si>
  <si>
    <t>Yên Dũng Bắc Giang</t>
  </si>
  <si>
    <t>THG&lt;-&gt;Yên Dũng Bắc Giang</t>
  </si>
  <si>
    <t>Yên Định Thanh Hóa</t>
  </si>
  <si>
    <t>THG&lt;-&gt;Yên Định Thanh Hóa</t>
  </si>
  <si>
    <t>Yên Khánh Ninh Bình</t>
  </si>
  <si>
    <t>DKS&lt;-&gt;Yên Khánh Ninh Bình</t>
  </si>
  <si>
    <t>THG&lt;-&gt;Yên Khánh Ninh Bình</t>
  </si>
  <si>
    <t>Yên Lệnh Hà Nam</t>
  </si>
  <si>
    <t>THG&lt;-&gt;Yên Lệnh Hà Nam</t>
  </si>
  <si>
    <t>DKS&lt;-&gt;Yên Lập Phú Thọ</t>
  </si>
  <si>
    <t>Yên Lạc Vĩnh Phúc</t>
  </si>
  <si>
    <t>DKS&lt;-&gt;Yên Lạc Vĩnh Phúc</t>
  </si>
  <si>
    <t>THG&lt;-&gt;Yên Lạc Vĩnh Phúc</t>
  </si>
  <si>
    <t>Yên Mỹ Hưng Yên</t>
  </si>
  <si>
    <t>DKS&lt;-&gt;Yên Mỹ Hưng Yên</t>
  </si>
  <si>
    <t>THG&lt;-&gt;Yên Mỹ Hưng Yên</t>
  </si>
  <si>
    <t>Yên Mỗ Ninh Bình</t>
  </si>
  <si>
    <t>Yên Nghĩa Hà Nội</t>
  </si>
  <si>
    <t>Yên Phong Bắc Ninh</t>
  </si>
  <si>
    <t>DKS&lt;-&gt;Yên Phong Bắc Ninh</t>
  </si>
  <si>
    <t>THG&lt;-&gt;Yên Phong Bắc Ninh</t>
  </si>
  <si>
    <t>Yên Sở Hà Nội</t>
  </si>
  <si>
    <t>Yên Sơn Tuyên Quang</t>
  </si>
  <si>
    <t>DKS&lt;-&gt;Yên Sơn Tuyên Quang</t>
  </si>
  <si>
    <t>DKS&lt;-&gt;Yên Thế Bắc Giang</t>
  </si>
  <si>
    <t>Yên Thành Nghệ An</t>
  </si>
  <si>
    <t>Yên Tử Quảng Ninh</t>
  </si>
  <si>
    <t>DKS&lt;-&gt;Yên Tử Quảng Ninh</t>
  </si>
  <si>
    <t>THG&lt;-&gt;Yên Tử Quảng Ninh</t>
  </si>
  <si>
    <t>Ý Yên Nam Định</t>
  </si>
  <si>
    <t>DKS&lt;-&gt;Ý Yên Nam Định</t>
  </si>
  <si>
    <t>THG&lt;-&gt;Ý Yên Nam Định</t>
  </si>
  <si>
    <t>Hoài Đức Hà Nội</t>
  </si>
  <si>
    <t>Hoằng Hóa Thanh Hóa</t>
  </si>
  <si>
    <t>TP Bắc Giang Bắc Giang</t>
  </si>
  <si>
    <t>TP Bắc Ninh Bắc Ninh</t>
  </si>
  <si>
    <t>TP Cao Bằng Cao Bằng</t>
  </si>
  <si>
    <t>TP Hòa Bình Hòa Bình</t>
  </si>
  <si>
    <t>TP Hải Dương Hải Dương</t>
  </si>
  <si>
    <t>TP Hà Giang Hà Giang</t>
  </si>
  <si>
    <t>Tân Phú Hà Nội Tân Phú Hà Nội</t>
  </si>
  <si>
    <t>TP Hà Tĩnh Hà Tĩnh</t>
  </si>
  <si>
    <t>TP Hưng Yên TP Hưng Yên</t>
  </si>
  <si>
    <t>TP Lào Cai Lào Cai</t>
  </si>
  <si>
    <t>TP Lạng Sơn Lạng Sơn</t>
  </si>
  <si>
    <t>TP Ninh Bình Ninh Bình</t>
  </si>
  <si>
    <t>TP Nam Định Nam Định</t>
  </si>
  <si>
    <t>TP Quảng Bình Quảng Bình</t>
  </si>
  <si>
    <t>TP Quảng Trị Quảng Trị</t>
  </si>
  <si>
    <t>TP Sa Pa Sa Pa</t>
  </si>
  <si>
    <t>TP Thái Bình Thái Bình</t>
  </si>
  <si>
    <t>TP Thanh Hóa Thanh Hóa</t>
  </si>
  <si>
    <t>TP Thái Nguyên Thái Nguyên</t>
  </si>
  <si>
    <t>TP Tuyên Quang Tuyên Quang</t>
  </si>
  <si>
    <t>TP Việt Trì Việt Trì</t>
  </si>
  <si>
    <t>TP Yên bái Yên bái</t>
  </si>
  <si>
    <t>TP Vinh Nghệ An Vinh Nghệ An</t>
  </si>
  <si>
    <t>Huong Son</t>
  </si>
  <si>
    <t>Trả XN</t>
  </si>
  <si>
    <t>Cộng LH</t>
  </si>
  <si>
    <t>trừ Ktra</t>
  </si>
  <si>
    <t>Chuyển tải về bãi: 0</t>
  </si>
  <si>
    <t>MSM</t>
  </si>
  <si>
    <t>ghép</t>
  </si>
  <si>
    <t>Luc Yên 14</t>
  </si>
  <si>
    <t>Huương Khê</t>
  </si>
  <si>
    <t>Thạch Thành</t>
  </si>
  <si>
    <t>Tuyên Hóa, Bố Trạch, Đồng Hới</t>
  </si>
  <si>
    <t>Cháu báo cáo Ông :</t>
  </si>
  <si>
    <t>CG03306</t>
  </si>
  <si>
    <t>Phương (TTiHN) 0971400078</t>
  </si>
  <si>
    <t>CG03307</t>
  </si>
  <si>
    <t>Thưởng (TSBN) 0962169196</t>
  </si>
  <si>
    <t>CG03309</t>
  </si>
  <si>
    <t>Giáp (NSTH) 0388717116</t>
  </si>
  <si>
    <t>CG03310</t>
  </si>
  <si>
    <t>Bình (LTVP) 0948012709</t>
  </si>
  <si>
    <t>Lập Thạch , Vĩnh Phúc</t>
  </si>
  <si>
    <t>CG03311</t>
  </si>
  <si>
    <t>Tuyền (VTVP) 0981168858</t>
  </si>
  <si>
    <t>CG03312</t>
  </si>
  <si>
    <t>Đông (NLNA) 0384123096</t>
  </si>
  <si>
    <t>CG03313</t>
  </si>
  <si>
    <t>Đoàn (DTHNA) 0978446554</t>
  </si>
  <si>
    <t>CG03314</t>
  </si>
  <si>
    <t>Tân (GLHN) 0383345899</t>
  </si>
  <si>
    <t>CG03315</t>
  </si>
  <si>
    <t>Hà (PCHY) 0945031752</t>
  </si>
  <si>
    <t>CG03316</t>
  </si>
  <si>
    <t>Vĩnh (TTiHN) 0776323995</t>
  </si>
  <si>
    <t>CG03317</t>
  </si>
  <si>
    <t>Lê Văn Thủy (CMHN) 0976199369</t>
  </si>
  <si>
    <t>0976199369</t>
  </si>
  <si>
    <t>CG03318</t>
  </si>
  <si>
    <t>Phạm Văn Chuyên (TLHP) 0356224697</t>
  </si>
  <si>
    <t>0356224697</t>
  </si>
  <si>
    <t>CG03319</t>
  </si>
  <si>
    <t>Nguyê Hữu Tú 0101097091004 0979324805</t>
  </si>
  <si>
    <t>0979324805</t>
  </si>
  <si>
    <t>CG03320</t>
  </si>
  <si>
    <t>Hưng (CBHP) 0854444555</t>
  </si>
  <si>
    <t>Ngô Gia Tự, Hải Phòng</t>
  </si>
  <si>
    <t>0854444555</t>
  </si>
  <si>
    <t>CG03321</t>
  </si>
  <si>
    <t>Thưởng (CLHD) 0859671199</t>
  </si>
  <si>
    <t>0859671199</t>
  </si>
  <si>
    <t>CG03322</t>
  </si>
  <si>
    <t>Cường (TGTH) 0969256678</t>
  </si>
  <si>
    <t>0969256678</t>
  </si>
  <si>
    <t>CG03323</t>
  </si>
  <si>
    <t>Sơn (DCNA) 0969129666</t>
  </si>
  <si>
    <t>0969129666</t>
  </si>
  <si>
    <t>CG03324</t>
  </si>
  <si>
    <t>Lạc (QYQN) 0356800067</t>
  </si>
  <si>
    <t>0356800067</t>
  </si>
  <si>
    <t>CG03325</t>
  </si>
  <si>
    <t>Hải Thương (HDHN) 0977737783</t>
  </si>
  <si>
    <t>0977737783</t>
  </si>
  <si>
    <t>CG03326</t>
  </si>
  <si>
    <t>Trần Hồng Vũ (HHND) 0903225289</t>
  </si>
  <si>
    <t>0903225289</t>
  </si>
  <si>
    <t>CG03328</t>
  </si>
  <si>
    <t>Số nhà 44, Tổ dân phố Thành Công, Phường Dương Nội, Quận Hà Đông, Thành phố Hà Nội</t>
  </si>
  <si>
    <t>0109488547</t>
  </si>
  <si>
    <t>Công Ty TNHH Xuất Nhập Khẩu Và Thương Mại Trường Thọ</t>
  </si>
  <si>
    <t>CB.DKG</t>
  </si>
  <si>
    <t>DKG&lt;-&gt;Gỗ chuyển bãi 1&amp;2</t>
  </si>
  <si>
    <t>CB</t>
  </si>
  <si>
    <t>trung khánh  cao bằng 20TR trả 19TR 16/5/23 MD</t>
  </si>
  <si>
    <t>Sang DT tính 370 còn lại 380</t>
  </si>
  <si>
    <t>Công ty TNHH Mạnh Anh (CGHD) Thủy Điều 0935865688 0968326899</t>
  </si>
  <si>
    <t>Công ty TNHH Hoa Ngân (HHTH) Ngân 0912892158 0943345165 2801583822</t>
  </si>
  <si>
    <t>Trường (KBHNA) 0912444209 0944134288 0986112026</t>
  </si>
  <si>
    <t>Công ty TNHH Minh Chính (CLND) Chính 0913562193 0913848558 0857888555</t>
  </si>
  <si>
    <t>Vũ Xuân Thích (NSHD) 030067003514 0904356038 0877166999</t>
  </si>
  <si>
    <t>Toàn Tiếp (HDHN) 0988836360</t>
  </si>
  <si>
    <t>Ngô Văn Nam (LCHP) 027068000174 0912364799 0983615759 0912304799</t>
  </si>
  <si>
    <t>Bắc (PTBN) 0838689179 0986761992</t>
  </si>
  <si>
    <t>Nguyễn Văn Thành (TLBXVP) 1347416752 0915974134</t>
  </si>
  <si>
    <t>Công Ty TNHH TM Lâm Sơn Thắng (HHTB) Niệm 0912699262 1000968113 0912506787</t>
  </si>
  <si>
    <t>Nguyễn Văn Bình (BSHDHN) Sinh 111490544 0912233068 0913366123</t>
  </si>
  <si>
    <t>Trường (HHND) 0974426109 0945944619 0986271569</t>
  </si>
  <si>
    <t>Toán (HHND) 0989653191 0978710768</t>
  </si>
  <si>
    <t>Vũ Đăng Phong (DNHDHN) 1087005206 0977141199 0968721797</t>
  </si>
  <si>
    <t>Tiến (HHND) 0989355174 0327478899</t>
  </si>
  <si>
    <t>Hoan (QLNA) 0976345878 0978678889</t>
  </si>
  <si>
    <t>An (TSTH) 0975762778</t>
  </si>
  <si>
    <t>0975762778</t>
  </si>
  <si>
    <t>Nguyễn Văn Quý (VAVPHP) 031093001708 0987854078 0976662888</t>
  </si>
  <si>
    <t>Trương Văn Chiến (HHTH) 17206768 0978065456 0972678883</t>
  </si>
  <si>
    <t>Tuấn (DPHN) 0979731264 0978979889</t>
  </si>
  <si>
    <t>Vũ Mạnh Hùng (MLHLTH) 038156003024 0343673256 0942301345</t>
  </si>
  <si>
    <t>Vũ Khắc Hiệp (TLTTBN) 125149288 0979541425 097779541425</t>
  </si>
  <si>
    <t>Nguyễn Đình Thanh (HBTTHN) 017171674 0942422626 0344398999</t>
  </si>
  <si>
    <t>Hoàng Văn Hà (TPHD) 140759789 0948030027 0822486527</t>
  </si>
  <si>
    <t>Trường (HDHN) 0934379445 0973482662</t>
  </si>
  <si>
    <t>Tân (TSBN) 0913535269 0966082800</t>
  </si>
  <si>
    <t>Sơn (TPTH) 0975599168 0972402776</t>
  </si>
  <si>
    <t>Cường (TSBN) 0386700786 0915220459</t>
  </si>
  <si>
    <t>Dương (HHND) 0915096683 0968116522</t>
  </si>
  <si>
    <t>Tuấn (TTHN) 0912971368 0857707709</t>
  </si>
  <si>
    <t>Thông (QLNA) 0974171520 0917697678</t>
  </si>
  <si>
    <t>Lương Văn Hùng (HVHHND) 036074007091 0915235384 0971235384</t>
  </si>
  <si>
    <t>Nguyễn Thị Hoa (TLDAHN) 1182025777 0968684512 0963361125</t>
  </si>
  <si>
    <t>Công Ty TNHH Tư Vấn Đầu Tư và Tài Trợ Thương Mại Lục Thủy (NTLTPHN) 0961136049</t>
  </si>
  <si>
    <t>0109224985</t>
  </si>
  <si>
    <t>Trần Mạnh Dũng (TPND) 162916200 0965286286 0962292222</t>
  </si>
  <si>
    <t>Quyết (YYND)  0397111884 0971016175</t>
  </si>
  <si>
    <t>CG03233</t>
  </si>
  <si>
    <t>Công ty TNHH Xây Dựng và Thương Mại Việt Hưng Hùng 0913284564</t>
  </si>
  <si>
    <t>Số 37, phố Bà Triệu, Phường Liên Bảo, Thành phố Vĩnh Yên, Tỉnh Vĩnh Phúc, Việt Nam</t>
  </si>
  <si>
    <t>2500212768</t>
  </si>
  <si>
    <t>0913284564</t>
  </si>
  <si>
    <t>CG03234</t>
  </si>
  <si>
    <t>Chung (TTHN) 0982668657</t>
  </si>
  <si>
    <t>0982668657</t>
  </si>
  <si>
    <t>CG03235</t>
  </si>
  <si>
    <t>Lượng (QXTH) 0965115568</t>
  </si>
  <si>
    <t>0965115568</t>
  </si>
  <si>
    <t>CG03236</t>
  </si>
  <si>
    <t>Thắng (HHND) 0984282118</t>
  </si>
  <si>
    <t>0984282118</t>
  </si>
  <si>
    <t>CG03237</t>
  </si>
  <si>
    <t>Như (CPQN) 0904051952</t>
  </si>
  <si>
    <t>0904051952</t>
  </si>
  <si>
    <t>CG03238</t>
  </si>
  <si>
    <t>Quang (CLLS) 0868579799</t>
  </si>
  <si>
    <t>Cao Lộc, Lạng Sơn</t>
  </si>
  <si>
    <t>0868579799</t>
  </si>
  <si>
    <t>CG03239</t>
  </si>
  <si>
    <t>Nguyễn Bá Tuyến (HDHN) 0969618689</t>
  </si>
  <si>
    <t>0969618689</t>
  </si>
  <si>
    <t>CG03240</t>
  </si>
  <si>
    <t>Vượng (MDND) 0984614456</t>
  </si>
  <si>
    <t>0984614456</t>
  </si>
  <si>
    <t>CG03241</t>
  </si>
  <si>
    <t>Ngọc (MĐHP) 0984545999</t>
  </si>
  <si>
    <t>CG03242</t>
  </si>
  <si>
    <t>Hiệu (HHND) 0981270206</t>
  </si>
  <si>
    <t>Hải Hâu, Nam Định</t>
  </si>
  <si>
    <t>0981270206</t>
  </si>
  <si>
    <t>CG03243</t>
  </si>
  <si>
    <t>Dị (QXTH) 0975342343</t>
  </si>
  <si>
    <t>0975342343</t>
  </si>
  <si>
    <t>CG03244</t>
  </si>
  <si>
    <t>Nguyễn Đắc Toản (TSBN) 0912190191</t>
  </si>
  <si>
    <t>0912190191</t>
  </si>
  <si>
    <t>CG03245</t>
  </si>
  <si>
    <t>Nguyễn Huy Quang (QXTH) 0983671811</t>
  </si>
  <si>
    <t>0983671811</t>
  </si>
  <si>
    <t>CG03246</t>
  </si>
  <si>
    <t>Nguyễn Ngọc Thủy (TTBTQB) 035076002608 0934313131</t>
  </si>
  <si>
    <t>0934313131</t>
  </si>
  <si>
    <t>CG03247</t>
  </si>
  <si>
    <t>Vượng (TPNB) 0368672079</t>
  </si>
  <si>
    <t>0368672079</t>
  </si>
  <si>
    <t>CG03248</t>
  </si>
  <si>
    <t>Toàn (CLNA) 0362245422</t>
  </si>
  <si>
    <t>0362245422</t>
  </si>
  <si>
    <t>CG03249</t>
  </si>
  <si>
    <t>Thoàn (YMNB) 0362976889</t>
  </si>
  <si>
    <t>0362976889</t>
  </si>
  <si>
    <t>CG03250</t>
  </si>
  <si>
    <t>Hòa (PCHY) 0945031752</t>
  </si>
  <si>
    <t>0945031752</t>
  </si>
  <si>
    <t>CG03251</t>
  </si>
  <si>
    <t>Thành (YTNA) 0334166607</t>
  </si>
  <si>
    <t>0334166607</t>
  </si>
  <si>
    <t>CG03252</t>
  </si>
  <si>
    <t>Lợi (TPDN) 0914206224</t>
  </si>
  <si>
    <t>Tp. Đà Nẵng</t>
  </si>
  <si>
    <t>0914206224</t>
  </si>
  <si>
    <t>CG03253</t>
  </si>
  <si>
    <t>Nguyễn Đình Lan (QLNA) 121673162 0965284988</t>
  </si>
  <si>
    <t>0965284988</t>
  </si>
  <si>
    <t>CG03254</t>
  </si>
  <si>
    <t>Tiệp (QTHP) 0974555386</t>
  </si>
  <si>
    <t>Quán Toan, Hải Phòng</t>
  </si>
  <si>
    <t>0974555386</t>
  </si>
  <si>
    <t>CG03255</t>
  </si>
  <si>
    <t>Chung (TTHN) 0911365168</t>
  </si>
  <si>
    <t>0911365168</t>
  </si>
  <si>
    <t>CG03256</t>
  </si>
  <si>
    <t>Hùng (TSBN) 0908940033</t>
  </si>
  <si>
    <t>0908940033</t>
  </si>
  <si>
    <t>CG03257</t>
  </si>
  <si>
    <t>Sơn (CLND) 0942919362</t>
  </si>
  <si>
    <t>CG03258</t>
  </si>
  <si>
    <t>Sếp (TTHN) 0931437888</t>
  </si>
  <si>
    <t>0931437888</t>
  </si>
  <si>
    <t>CG03259</t>
  </si>
  <si>
    <t>Sang (YYND) 0981858158</t>
  </si>
  <si>
    <t>0981858158</t>
  </si>
  <si>
    <t>CG03260</t>
  </si>
  <si>
    <t>Vũ (TPBN) 0818593833</t>
  </si>
  <si>
    <t>0818593833</t>
  </si>
  <si>
    <t>CG03329</t>
  </si>
  <si>
    <t>Tùng (TTBN) 0972211518</t>
  </si>
  <si>
    <t>0972211518</t>
  </si>
  <si>
    <t>CG03330</t>
  </si>
  <si>
    <t>Sơn (TPNB) 0918262555</t>
  </si>
  <si>
    <t>0918262555</t>
  </si>
  <si>
    <t>CG03331</t>
  </si>
  <si>
    <t>Lượng (TPNB) 0912944988</t>
  </si>
  <si>
    <t>0912944988</t>
  </si>
  <si>
    <t>CG03332</t>
  </si>
  <si>
    <t>Trọng (LSHB) 0985330449</t>
  </si>
  <si>
    <t>Lạc Sơn, Hòa Bình</t>
  </si>
  <si>
    <t>0985330449</t>
  </si>
  <si>
    <t>CG03333</t>
  </si>
  <si>
    <t>Mr Mike Zhu</t>
  </si>
  <si>
    <t>Guangdong Province, China</t>
  </si>
  <si>
    <t>CG03334</t>
  </si>
  <si>
    <t>Nguyễn Khánh Tính (TSBN) 0968235688</t>
  </si>
  <si>
    <t>0968235688</t>
  </si>
  <si>
    <t>CG03335</t>
  </si>
  <si>
    <t>Dũng (PXHN) 0978129550</t>
  </si>
  <si>
    <t>0978129550</t>
  </si>
  <si>
    <t>CG03336</t>
  </si>
  <si>
    <t>Lan (TPTB) 0967138199</t>
  </si>
  <si>
    <t>Tp. Thái Bình</t>
  </si>
  <si>
    <t>967138199</t>
  </si>
  <si>
    <t>CG03337</t>
  </si>
  <si>
    <t>Chu (XTND) 0945116989</t>
  </si>
  <si>
    <t>0945116989</t>
  </si>
  <si>
    <t>CG03338</t>
  </si>
  <si>
    <t>Lê Hoan (PYTN) 0977575533</t>
  </si>
  <si>
    <t>0977575533</t>
  </si>
  <si>
    <t>CG03339</t>
  </si>
  <si>
    <t>Bình (TPNB) 0912617718</t>
  </si>
  <si>
    <t>Tp.Ninh Bình</t>
  </si>
  <si>
    <t>0912617718</t>
  </si>
  <si>
    <t>CG03340</t>
  </si>
  <si>
    <t>Sự ( YYND) 0915013638</t>
  </si>
  <si>
    <t>0915013638</t>
  </si>
  <si>
    <t>CG03341</t>
  </si>
  <si>
    <t>Duy (HTTH) 0988729569</t>
  </si>
  <si>
    <t>Hà Trung, Thanh Hoá</t>
  </si>
  <si>
    <t>0988729569</t>
  </si>
  <si>
    <t>CG03342</t>
  </si>
  <si>
    <t>Hồi (NDNA) 0376944493</t>
  </si>
  <si>
    <t>0376944493</t>
  </si>
  <si>
    <t>CG03343</t>
  </si>
  <si>
    <t>Thọ (DLNA) 0972379988</t>
  </si>
  <si>
    <t>0972379988</t>
  </si>
  <si>
    <t>CG03344</t>
  </si>
  <si>
    <t>Huệ (TTRHN) 0367019704</t>
  </si>
  <si>
    <t>0367019704</t>
  </si>
  <si>
    <t>CG03345</t>
  </si>
  <si>
    <t>Nghi (TTBN) 0979206402</t>
  </si>
  <si>
    <t>0979206402</t>
  </si>
  <si>
    <t>CG03346</t>
  </si>
  <si>
    <t>Quyền (QXTH) 0963948946</t>
  </si>
  <si>
    <t>Quảng Xương, Thanh Hoá</t>
  </si>
  <si>
    <t>0963948946</t>
  </si>
  <si>
    <t>CG03347</t>
  </si>
  <si>
    <t>Hoàng (CPQN) 0914667899</t>
  </si>
  <si>
    <t>0914667899</t>
  </si>
  <si>
    <t>CG03348</t>
  </si>
  <si>
    <t>Thoàn (HHTH) 0967179078</t>
  </si>
  <si>
    <t>Hoằng Hóa, Thanh Hoá</t>
  </si>
  <si>
    <t>0967179078</t>
  </si>
  <si>
    <t>CG03349</t>
  </si>
  <si>
    <t>Cao Thị Huyền (CPQN) 0378767525</t>
  </si>
  <si>
    <t>0378767525</t>
  </si>
  <si>
    <t>CG03350</t>
  </si>
  <si>
    <t>Tuân (HHND) 0914658395</t>
  </si>
  <si>
    <t>0914658395</t>
  </si>
  <si>
    <t>CG03351</t>
  </si>
  <si>
    <t>Bình (BTHN) 0979000706</t>
  </si>
  <si>
    <t>Ba Thá, Hà Nội</t>
  </si>
  <si>
    <t>0979000706</t>
  </si>
  <si>
    <t>CG03352</t>
  </si>
  <si>
    <t>Thuần (LNHNA) 0972595212</t>
  </si>
  <si>
    <t>0972595212</t>
  </si>
  <si>
    <t>CG03353</t>
  </si>
  <si>
    <t>Hiển (HD.HN) 0946365986</t>
  </si>
  <si>
    <t>0946365986</t>
  </si>
  <si>
    <t>CG03354</t>
  </si>
  <si>
    <t>Hinh (HHND) 0912334107</t>
  </si>
  <si>
    <t>0912334107</t>
  </si>
  <si>
    <t>CG03355</t>
  </si>
  <si>
    <t>Hạnh (CLND) 0988722256</t>
  </si>
  <si>
    <t>0988722256</t>
  </si>
  <si>
    <t>CG03356</t>
  </si>
  <si>
    <t>Điềm (VBND) 0915733629</t>
  </si>
  <si>
    <t xml:space="preserve">0915733629	</t>
  </si>
  <si>
    <t>CG03357</t>
  </si>
  <si>
    <t>Giang ( HHND) 0912527643</t>
  </si>
  <si>
    <t>0912527643</t>
  </si>
  <si>
    <t>CG03358</t>
  </si>
  <si>
    <t>Thuận (TH.NA) 0967810999</t>
  </si>
  <si>
    <t>0967810999</t>
  </si>
  <si>
    <t>CG03359</t>
  </si>
  <si>
    <t>Quảng (TT.HN) 0971120586</t>
  </si>
  <si>
    <t>0971120586</t>
  </si>
  <si>
    <t>CG03360</t>
  </si>
  <si>
    <t>Thuận (LN.HNA) 0972820962</t>
  </si>
  <si>
    <t>0972820962</t>
  </si>
  <si>
    <t>CG03361</t>
  </si>
  <si>
    <t>Hà (HH.ND) 0915407490</t>
  </si>
  <si>
    <t>0915407490</t>
  </si>
  <si>
    <t>CG03362</t>
  </si>
  <si>
    <t>Hòa (HH.ND) 0983130895</t>
  </si>
  <si>
    <t>0983130895</t>
  </si>
  <si>
    <t>CG03363</t>
  </si>
  <si>
    <t>Chí (NH.ND) 0945702886</t>
  </si>
  <si>
    <t>0945702886</t>
  </si>
  <si>
    <t>CG03364</t>
  </si>
  <si>
    <t>Sơn (HDU.HN) 0982596622</t>
  </si>
  <si>
    <t>0982596622</t>
  </si>
  <si>
    <t>CG03365</t>
  </si>
  <si>
    <t>Hải (GB.BN) 0976552730</t>
  </si>
  <si>
    <t>0976552730</t>
  </si>
  <si>
    <t>CG03366</t>
  </si>
  <si>
    <t>Thắng (MHHY) 0975669888</t>
  </si>
  <si>
    <t>0975669888</t>
  </si>
  <si>
    <t>CG03369</t>
  </si>
  <si>
    <t>Công ty TNHH Nội Thất Bình Vinh (TSBN) 2301172623 0982546398</t>
  </si>
  <si>
    <t>2301172623</t>
  </si>
  <si>
    <t>0982546398</t>
  </si>
  <si>
    <t>CG03370</t>
  </si>
  <si>
    <t>Đăng (TTiHN) 0948001679</t>
  </si>
  <si>
    <t>0948001679</t>
  </si>
  <si>
    <t>CG03371</t>
  </si>
  <si>
    <t>Vương (LSHB) 0989520555</t>
  </si>
  <si>
    <t>Kỳ Sơn, Hòa Bình</t>
  </si>
  <si>
    <t>0989520555</t>
  </si>
  <si>
    <t>CG03378</t>
  </si>
  <si>
    <t>Tính (TTiHN) 0936006899</t>
  </si>
  <si>
    <t>0936006899</t>
  </si>
  <si>
    <t>CG03377</t>
  </si>
  <si>
    <t>Vượng (MDHP) 0975709097</t>
  </si>
  <si>
    <t>Mỹ Đoàn , Hải Phòng</t>
  </si>
  <si>
    <t>0975709097</t>
  </si>
  <si>
    <t>CG03376</t>
  </si>
  <si>
    <t>Tới (UBQN) 0896625886</t>
  </si>
  <si>
    <t>0896625886</t>
  </si>
  <si>
    <t>CG03375</t>
  </si>
  <si>
    <t>Thu (KBHNA) 0913289590</t>
  </si>
  <si>
    <t>0913289590</t>
  </si>
  <si>
    <t>CG03374</t>
  </si>
  <si>
    <t>Nguyễn Tuấn Anh (ALHP) 0961789888</t>
  </si>
  <si>
    <t>0961789888</t>
  </si>
  <si>
    <t>CG03373</t>
  </si>
  <si>
    <t>Cường (CMHN) 0935581888</t>
  </si>
  <si>
    <t>Thụy Hương, Chương Mỹ, Hà Nội</t>
  </si>
  <si>
    <t>0935581888</t>
  </si>
  <si>
    <t>CG03372</t>
  </si>
  <si>
    <t>Ngô Văn Đô (CMHN)</t>
  </si>
  <si>
    <t>0939622888</t>
  </si>
  <si>
    <t xml:space="preserve">Đăng (TTiHN) 0948001679 0976709418	</t>
  </si>
  <si>
    <t>Công ty TNHH Nội Thất Bình Vinh (TSBN) 2301172623 0936633088</t>
  </si>
  <si>
    <t>0936633088</t>
  </si>
  <si>
    <t>Phúc Tâm</t>
  </si>
  <si>
    <t>Cươc</t>
  </si>
  <si>
    <t>Traxe</t>
  </si>
  <si>
    <t>Dai Huu</t>
  </si>
  <si>
    <t>Dai Xuan</t>
  </si>
  <si>
    <t>2.</t>
  </si>
  <si>
    <t>Lạc Sơn HB 700 PT1000, TD3650, lương sơn 600</t>
  </si>
  <si>
    <t>Hà LTBN 410</t>
  </si>
  <si>
    <t>cck</t>
  </si>
  <si>
    <t>chờ ck mới hạ, lh người bán</t>
  </si>
  <si>
    <t>chok</t>
  </si>
  <si>
    <t>chờ lệnh Kỳ mới hạ (nhớ là không nghe qua trung gian)</t>
  </si>
  <si>
    <t>HS01</t>
  </si>
  <si>
    <t>HS02</t>
  </si>
  <si>
    <t>HS03</t>
  </si>
  <si>
    <t>HS04</t>
  </si>
  <si>
    <t>HS05</t>
  </si>
  <si>
    <t>HS06</t>
  </si>
  <si>
    <t>HS07</t>
  </si>
  <si>
    <t>HS08</t>
  </si>
  <si>
    <t>HS09</t>
  </si>
  <si>
    <t>HS10</t>
  </si>
  <si>
    <t>HS11</t>
  </si>
  <si>
    <t>HS12</t>
  </si>
  <si>
    <t>HS13</t>
  </si>
  <si>
    <t>HS14</t>
  </si>
  <si>
    <t>Giao nhận</t>
  </si>
  <si>
    <t>Xe nâg hạ</t>
  </si>
  <si>
    <t>nói</t>
  </si>
  <si>
    <t>python:</t>
  </si>
  <si>
    <t>xe</t>
  </si>
  <si>
    <t>tiền</t>
  </si>
  <si>
    <t>BKSXE</t>
  </si>
  <si>
    <t>sau đó</t>
  </si>
  <si>
    <t>đánh vào ô BY5 =xe</t>
  </si>
  <si>
    <t>Tính tiền thu</t>
  </si>
  <si>
    <t>SoTien</t>
  </si>
  <si>
    <t>sau đó kiểm tra tiền ==BY6 thì là ok</t>
  </si>
  <si>
    <t>%</t>
  </si>
  <si>
    <t>tiền thu</t>
  </si>
  <si>
    <t>MaKH</t>
  </si>
  <si>
    <t>sau đó vào PM</t>
  </si>
  <si>
    <t>CoThuNgay</t>
  </si>
  <si>
    <t>Hải Dương</t>
  </si>
  <si>
    <t>Thái Bình</t>
  </si>
  <si>
    <t>Nam Định</t>
  </si>
  <si>
    <t>Hà Nam</t>
  </si>
  <si>
    <t>Ninh Bình</t>
  </si>
  <si>
    <t>Nghệ An</t>
  </si>
  <si>
    <t>Hà Tĩnh</t>
  </si>
  <si>
    <t>Quảng Bình</t>
  </si>
  <si>
    <t>Quảng Trị</t>
  </si>
  <si>
    <t>Hưng Yên</t>
  </si>
  <si>
    <t>Bắc Ninh</t>
  </si>
  <si>
    <t>Bắc Giang</t>
  </si>
  <si>
    <t>Hòa Bình</t>
  </si>
  <si>
    <t>Thái Nguyên</t>
  </si>
  <si>
    <t>Vĩnh Phúc</t>
  </si>
  <si>
    <t>Phú Thọ</t>
  </si>
  <si>
    <t>Yên Bái</t>
  </si>
  <si>
    <t>Lạng Sơn</t>
  </si>
  <si>
    <t>Hà Giang</t>
  </si>
  <si>
    <t>Lào Cai</t>
  </si>
  <si>
    <t>Cao Bằng</t>
  </si>
  <si>
    <t>Quảng Ninh</t>
  </si>
  <si>
    <t>Hoà Bình</t>
  </si>
  <si>
    <t>2 đội này hợp 1</t>
  </si>
  <si>
    <t>Phú Lân</t>
  </si>
  <si>
    <t>DKG&lt;-&gt;Bãi Namtraco</t>
  </si>
  <si>
    <t>DKG&lt;-&gt;Bỉm Sơn (đường HCM), Thanh Hoá</t>
  </si>
  <si>
    <t>DKS&lt;-&gt;Bỉm Sơn, Thanh Hoá</t>
  </si>
  <si>
    <t>THG&lt;-&gt;Bỉm Sơn (đường HCM), Thanh Hoá</t>
  </si>
  <si>
    <t>DKG&lt;-&gt;Đông Sơn, Thanh Hoá</t>
  </si>
  <si>
    <t>DKS&lt;-&gt;Đông Sơn, Thanh Hoá</t>
  </si>
  <si>
    <t>DKG&lt;-&gt;Hoàng Hoá, Thanh Hoá</t>
  </si>
  <si>
    <t>THG&lt;-&gt;Hoàng Hoá, Thanh Hoá</t>
  </si>
  <si>
    <t>DKG&lt;-&gt;Hậu Lộc, Thanh Hoá</t>
  </si>
  <si>
    <t>DKS&lt;-&gt;Hậu Lộc, Thanh Hoá</t>
  </si>
  <si>
    <t>THG&lt;-&gt;Hậu Lộc, Thanh Hoá</t>
  </si>
  <si>
    <t>DKG&lt;-&gt;Hà Trung, Thanh Hoá</t>
  </si>
  <si>
    <t>THG&lt;-&gt;Hà Trung, Thanh Hoá</t>
  </si>
  <si>
    <t>DKS&lt;-&gt;Lễ Môn, Thanh Hoá</t>
  </si>
  <si>
    <t>DKG&lt;-&gt;Nông Cống, Thanh Hoá</t>
  </si>
  <si>
    <t>DKG&lt;-&gt;Nghi Sơn, Thanh Hoá</t>
  </si>
  <si>
    <t>DKG&lt;-&gt;Nga Sơn, Thanh Hoá</t>
  </si>
  <si>
    <t>DKS&lt;-&gt;Nghi Sơn, Thanh Hoá</t>
  </si>
  <si>
    <t>THG&lt;-&gt;Nga Sơn, Thanh Hoá</t>
  </si>
  <si>
    <t>DKG&lt;-&gt;Như Thanh, Thanh Hoá</t>
  </si>
  <si>
    <t>DKS&lt;-&gt;Quan Hoá, Thanh Hoá</t>
  </si>
  <si>
    <t>DKG&lt;-&gt;Quảng Xương, Thanh Hoá</t>
  </si>
  <si>
    <t>DKS&lt;-&gt;Quảng Xương, Thanh Hoá</t>
  </si>
  <si>
    <t>THG&lt;-&gt;Quảng Xương, Thanh Hoá</t>
  </si>
  <si>
    <t>DKG&lt;-&gt;Rốc Xây, Bỉm Sơn, Thanh Hoá</t>
  </si>
  <si>
    <t>THG&lt;-&gt;Rốc Xây, Bỉm Sơn, Thanh Hoá</t>
  </si>
  <si>
    <t>DKG&lt;-&gt;Sầm Sơn, Thanh Hoá</t>
  </si>
  <si>
    <t>THG&lt;-&gt;Sầm Sơn, Thanh Hoá</t>
  </si>
  <si>
    <t>DKG&lt;-&gt;Tĩnh Gia, Thanh Hoá</t>
  </si>
  <si>
    <t>DKS&lt;-&gt;Tĩnh Gia, Thanh Hoá</t>
  </si>
  <si>
    <t>THG&lt;-&gt;Tĩnh Gia, Thanh Hoá</t>
  </si>
  <si>
    <t>DKG&lt;-&gt;Tuyên Hoá, Quảng Bình</t>
  </si>
  <si>
    <t>DKG&lt;-&gt;Thiệu Hoá, Thanh Hoá</t>
  </si>
  <si>
    <t>DKG&lt;-&gt;TP. Thanh Hoá</t>
  </si>
  <si>
    <t>THG&lt;-&gt;TP. Thanh Hoá</t>
  </si>
  <si>
    <t>DKG&lt;-&gt;Triệu Sơn, Thanh Hoá</t>
  </si>
  <si>
    <t>THG&lt;-&gt;Triệu Sơn, Thanh Hoá</t>
  </si>
  <si>
    <t>DKG&lt;-&gt;Thạch Thành, Thanh Hoá</t>
  </si>
  <si>
    <t>DKG&lt;-&gt;Thọ Xuân, Thanh Hoá</t>
  </si>
  <si>
    <t>DKS&lt;-&gt;Thọ Xuân, Thanh Hoá</t>
  </si>
  <si>
    <t>THG&lt;-&gt;Thọ Xuân, Thanh Hoá</t>
  </si>
  <si>
    <t>DKG&lt;-&gt;Yên Định, Thanh Hoá</t>
  </si>
  <si>
    <t>THG&lt;-&gt;Yên Định, Thanh Hoá</t>
  </si>
  <si>
    <t>DKG&lt;-&gt;Hoằng Hoá, Thanh Hoá</t>
  </si>
  <si>
    <t>DKG&lt;-&gt;TP. Thanh Hoá, Thanh Hoá</t>
  </si>
  <si>
    <t>DKG&lt;-&gt;Thủy Nguyên, Hải Phòng</t>
  </si>
  <si>
    <t>Yên Thành
(Long Thành)</t>
  </si>
  <si>
    <t>Tuấn kẻ 440 , tính 22m3…Đức Tín cẩm giàng 340 trừ 5%paduk, sến ko trừ %, Nếu Cont Nghệ An-Mỹ Đoàn thì lấy nguyên ko cộng LH</t>
  </si>
  <si>
    <t xml:space="preserve"> -   Tên TK: Vũ Thị Hải Yến, số 3216598888 ; tại BIDV Hải Phòng</t>
  </si>
  <si>
    <t>[16:17, 17/7/2024] Thanh Hs: Gỗ rời</t>
  </si>
  <si>
    <t xml:space="preserve">   + Nâng gỗ</t>
  </si>
  <si>
    <t xml:space="preserve">   + Người ra lệnh:</t>
  </si>
  <si>
    <t>Đông: 0986439690</t>
  </si>
  <si>
    <t xml:space="preserve">   + Loại gỗ:</t>
  </si>
  <si>
    <t>Gỗ Tali tròn (Đại Lợi)</t>
  </si>
  <si>
    <t xml:space="preserve">   + Khối lượng:</t>
  </si>
  <si>
    <t>Chờ list</t>
  </si>
  <si>
    <t xml:space="preserve">   + Số lượng xe:</t>
  </si>
  <si>
    <t>Đóng cont</t>
  </si>
  <si>
    <t xml:space="preserve">   + Người nhận:</t>
  </si>
  <si>
    <t xml:space="preserve">   + Nơi nhận:</t>
  </si>
  <si>
    <t>Bà Rịa Vũng Tàu</t>
  </si>
  <si>
    <t xml:space="preserve">   + Đơn giá (đ/cont):</t>
  </si>
  <si>
    <t xml:space="preserve">   + Tiền cước:</t>
  </si>
  <si>
    <t xml:space="preserve">đồng </t>
  </si>
  <si>
    <t xml:space="preserve"> </t>
  </si>
  <si>
    <t>Đông: 0986439690 trả cước</t>
  </si>
  <si>
    <t xml:space="preserve">   + Tiền đường:</t>
  </si>
  <si>
    <t>đồng/xe</t>
  </si>
  <si>
    <t>[16:18, 17/7/2024] Thanh Hs: Gỗ rời</t>
  </si>
  <si>
    <t>Hưng: 0966689440</t>
  </si>
  <si>
    <t>Gỗ Pachy tròn (Phú Lân)</t>
  </si>
  <si>
    <t>Xe ngoài</t>
  </si>
  <si>
    <t>Bình Định</t>
  </si>
  <si>
    <t>Đức Tín trả tiền xe ngoài</t>
  </si>
  <si>
    <t>Gỗ padouk tròn (Phú Lân)</t>
  </si>
  <si>
    <t>123.846m3 = 21 lóng</t>
  </si>
  <si>
    <t>Xe</t>
  </si>
  <si>
    <t>Chú Minh: 0948248047</t>
  </si>
  <si>
    <t xml:space="preserve">   + Đơn giá (đ/m3) :</t>
  </si>
  <si>
    <t>54,050,000</t>
  </si>
  <si>
    <t>Chủ gỗ trả cước</t>
  </si>
  <si>
    <t>2,550,000</t>
  </si>
  <si>
    <t>[16:19, 17/7/2024] Thanh Hs: + Nâng gỗ</t>
  </si>
  <si>
    <t xml:space="preserve"> 104.511m3 = 19 lóng</t>
  </si>
  <si>
    <t>Thuận: 0984941375</t>
  </si>
  <si>
    <t>[16:21, 17/7/2024] Thanh Hs: Gỗ rời</t>
  </si>
  <si>
    <t>Gỗ padouk tròn (Phú Lân) + pachy tròn (ghép Namtraco)</t>
  </si>
  <si>
    <t xml:space="preserve"> 30.167m3 = 6 lóng</t>
  </si>
  <si>
    <t>Vũ Đình Khải : 0973034055</t>
  </si>
  <si>
    <t>Quán Gỏi, Hải Dương</t>
  </si>
  <si>
    <t>10,250,000</t>
  </si>
  <si>
    <t>1,150,000</t>
  </si>
  <si>
    <t>[16:24, 17/7/2024] Thanh Hs: Gỗ rời</t>
  </si>
  <si>
    <t>Nam: 0335838899</t>
  </si>
  <si>
    <t>Gỗ lim xẻ (Đại Lợi)</t>
  </si>
  <si>
    <t>25.632m3 = 12 kiện</t>
  </si>
  <si>
    <t>Nguyễn Văn Toại : 0914640216</t>
  </si>
  <si>
    <t>11,550,000</t>
  </si>
  <si>
    <t>đồng + Phụ thu: 700000 đồng/xe</t>
  </si>
  <si>
    <t>2,850,000</t>
  </si>
  <si>
    <t>25.357m3 = 11 kiện</t>
  </si>
  <si>
    <t>Phạm Văn Long : 0834706011</t>
  </si>
  <si>
    <t>11,400,000</t>
  </si>
  <si>
    <t>[16:29, 17/7/2024] Thanh Hs: Cont kéo về bãi Bình Phú rút. Lô 1x20' Hiệu</t>
  </si>
  <si>
    <t xml:space="preserve">   + Nơi lấy:</t>
  </si>
  <si>
    <t xml:space="preserve">     + Số cont:</t>
  </si>
  <si>
    <t>TTNU1259252</t>
  </si>
  <si>
    <t xml:space="preserve">   + Liên hệ:</t>
  </si>
  <si>
    <t>Hiệu: 0904133533</t>
  </si>
  <si>
    <t xml:space="preserve">   + Trả cước:</t>
  </si>
  <si>
    <t>1,500,000</t>
  </si>
  <si>
    <t>đồng/cont</t>
  </si>
  <si>
    <t xml:space="preserve">   + Lưu ý:</t>
  </si>
  <si>
    <t xml:space="preserve">   + Loại gỗ</t>
  </si>
  <si>
    <t>Gỗ xẻ</t>
  </si>
  <si>
    <t>Gỗ rời</t>
  </si>
  <si>
    <t>+ Nâng gỗ</t>
  </si>
  <si>
    <t>Cont kéo về bãi Bình Phú rút. Lô 1x20' Hiệu</t>
  </si>
  <si>
    <t>CGL</t>
  </si>
  <si>
    <t>13568 11732 12812 11200</t>
  </si>
  <si>
    <t>12874 13959 11856</t>
  </si>
  <si>
    <t>Trường: 0941898699</t>
  </si>
  <si>
    <t>Gỗ xẻ (Trí Dũng)</t>
  </si>
  <si>
    <t xml:space="preserve"> chờ list</t>
  </si>
  <si>
    <t>Bãi Namtraco</t>
  </si>
  <si>
    <t xml:space="preserve">   + Đơn giá (đ/m3):</t>
  </si>
  <si>
    <t>Trí Dũng trả cước</t>
  </si>
  <si>
    <t>Dư nợ : 1,2 tỉ</t>
  </si>
  <si>
    <t>Người bán trả theo tháng : 23.000.000 (2xe của Đại Lợi)</t>
  </si>
  <si>
    <t>GMDU8152194</t>
  </si>
  <si>
    <t>GMDU8140640</t>
  </si>
  <si>
    <t>GMDU8151583</t>
  </si>
  <si>
    <t>01x20'</t>
  </si>
  <si>
    <t>Mạnh</t>
  </si>
  <si>
    <t>Trả Cẩm Giàng, Tính cước 350 cho Đức Tín</t>
  </si>
  <si>
    <t>Thuận</t>
  </si>
  <si>
    <t>PHIẾU THU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</si>
</sst>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1" formatCode="_-* #,##0_-;\-* #,##0_-;_-* &quot;-&quot;_-;_-@_-"/>
    <numFmt numFmtId="164" formatCode="_(* #,##0.00_);_(* \(#,##0.00\);_(* &quot;-&quot;??_);_(@_)"/>
    <numFmt numFmtId="165" formatCode="_-* #,##0.00\ _₫_-;\-* #,##0.00\ _₫_-;_-* &quot;-&quot;??\ _₫_-;_-@_-"/>
    <numFmt numFmtId="166" formatCode="#,##0.000"/>
    <numFmt numFmtId="167" formatCode="0.000"/>
    <numFmt numFmtId="168" formatCode="_(* #,##0_);_(* \(#,##0\);_(* &quot;-&quot;??_);_(@_)"/>
    <numFmt numFmtId="169" formatCode="000000000000"/>
    <numFmt numFmtId="170" formatCode="#,##0.0"/>
    <numFmt numFmtId="171" formatCode="dd/mm/yy;@"/>
    <numFmt numFmtId="172" formatCode="_-* #,##0\ _₫_-;\-* #,##0\ _₫_-;_-* &quot;-&quot;??\ _₫_-;_-@_-"/>
  </numFmts>
  <fonts count="58" x14ac:knownFonts="1">
    <font>
      <sz val="12"/>
      <color theme="1"/>
      <name val="Times New Roman"/>
      <family val="2"/>
    </font>
    <font>
      <sz val="11"/>
      <color theme="1"/>
      <name val="Calibri"/>
      <family val="2"/>
      <scheme val="minor"/>
    </font>
    <font>
      <sz val="11"/>
      <color theme="1"/>
      <name val="Calibri"/>
      <family val="2"/>
      <scheme val="minor"/>
    </font>
    <font>
      <sz val="11"/>
      <color theme="1"/>
      <name val="Calibri"/>
      <family val="2"/>
      <scheme val="minor"/>
    </font>
    <font>
      <sz val="8"/>
      <color theme="1"/>
      <name val="Times New Roman"/>
      <family val="2"/>
    </font>
    <font>
      <sz val="10"/>
      <color theme="1"/>
      <name val="Times New Roman"/>
      <family val="2"/>
    </font>
    <font>
      <b/>
      <sz val="10"/>
      <color theme="1"/>
      <name val="Times New Roman"/>
      <family val="1"/>
    </font>
    <font>
      <b/>
      <sz val="17"/>
      <color theme="1"/>
      <name val="Times New Roman"/>
      <family val="1"/>
    </font>
    <font>
      <i/>
      <sz val="10"/>
      <color theme="1"/>
      <name val="Times New Roman"/>
      <family val="1"/>
    </font>
    <font>
      <sz val="10"/>
      <color theme="1"/>
      <name val="Times New Roman"/>
      <family val="1"/>
    </font>
    <font>
      <b/>
      <i/>
      <sz val="10"/>
      <color theme="1"/>
      <name val="Times New Roman"/>
      <family val="1"/>
    </font>
    <font>
      <b/>
      <sz val="8"/>
      <color theme="1"/>
      <name val="Times New Roman"/>
      <family val="1"/>
    </font>
    <font>
      <sz val="8"/>
      <color theme="1"/>
      <name val="Times New Roman"/>
      <family val="1"/>
    </font>
    <font>
      <b/>
      <sz val="16"/>
      <color theme="1"/>
      <name val="Times New Roman"/>
      <family val="1"/>
    </font>
    <font>
      <sz val="12"/>
      <name val="Times New Roman"/>
      <family val="1"/>
    </font>
    <font>
      <sz val="9"/>
      <name val="Times New Roman"/>
      <family val="1"/>
    </font>
    <font>
      <b/>
      <sz val="9"/>
      <name val="Times New Roman"/>
      <family val="1"/>
    </font>
    <font>
      <sz val="10"/>
      <color rgb="FF000000"/>
      <name val="Arial"/>
      <family val="2"/>
    </font>
    <font>
      <b/>
      <sz val="13"/>
      <name val="Times New Roman"/>
      <family val="1"/>
    </font>
    <font>
      <sz val="12"/>
      <color theme="1"/>
      <name val="Times New Roman"/>
      <family val="2"/>
    </font>
    <font>
      <sz val="12"/>
      <color theme="1"/>
      <name val="Calibri"/>
      <family val="2"/>
      <scheme val="minor"/>
    </font>
    <font>
      <b/>
      <sz val="9"/>
      <color theme="1"/>
      <name val="Times New Roman"/>
      <family val="1"/>
    </font>
    <font>
      <b/>
      <sz val="14"/>
      <color theme="1"/>
      <name val="Times New Roman"/>
      <family val="1"/>
    </font>
    <font>
      <sz val="11"/>
      <color theme="1"/>
      <name val="Times New Roman"/>
      <family val="1"/>
    </font>
    <font>
      <b/>
      <sz val="12"/>
      <color theme="1"/>
      <name val="Calibri"/>
      <family val="2"/>
      <scheme val="minor"/>
    </font>
    <font>
      <b/>
      <sz val="11"/>
      <color theme="1"/>
      <name val="Calibri"/>
      <family val="2"/>
      <scheme val="minor"/>
    </font>
    <font>
      <sz val="12"/>
      <color rgb="FF000000"/>
      <name val="Times New Roman"/>
      <family val="1"/>
    </font>
    <font>
      <sz val="11"/>
      <color rgb="FF000000"/>
      <name val="Times New Roman"/>
      <family val="1"/>
    </font>
    <font>
      <b/>
      <sz val="13"/>
      <color rgb="FF44546A"/>
      <name val="Times New Roman"/>
      <family val="1"/>
    </font>
    <font>
      <b/>
      <sz val="12"/>
      <color rgb="FF3F3F76"/>
      <name val="Times New Roman"/>
      <family val="1"/>
    </font>
    <font>
      <sz val="11"/>
      <name val="Times New Roman"/>
      <family val="1"/>
    </font>
    <font>
      <i/>
      <sz val="13"/>
      <name val="Times New Roman"/>
      <family val="1"/>
    </font>
    <font>
      <u/>
      <sz val="12"/>
      <color theme="10"/>
      <name val="Times New Roman"/>
      <family val="2"/>
    </font>
    <font>
      <sz val="10"/>
      <color rgb="FF000000"/>
      <name val="Times New Roman"/>
      <family val="1"/>
    </font>
    <font>
      <sz val="11"/>
      <color theme="1"/>
      <name val="Calibri"/>
      <family val="2"/>
      <scheme val="minor"/>
    </font>
    <font>
      <sz val="8"/>
      <color rgb="FF000000"/>
      <name val="Microsoft Sans Serif"/>
      <family val="2"/>
    </font>
    <font>
      <sz val="8"/>
      <name val="Microsoft Sans Serif"/>
      <family val="2"/>
    </font>
    <font>
      <sz val="7"/>
      <color theme="1"/>
      <name val="Times New Roman"/>
      <family val="1"/>
    </font>
    <font>
      <b/>
      <sz val="12"/>
      <color theme="1"/>
      <name val="Times New Roman"/>
      <family val="1"/>
    </font>
    <font>
      <b/>
      <sz val="12"/>
      <name val="Times New Roman"/>
      <family val="1"/>
    </font>
    <font>
      <b/>
      <sz val="7"/>
      <color theme="1"/>
      <name val="Times New Roman"/>
      <family val="1"/>
    </font>
    <font>
      <sz val="10"/>
      <name val="Arial"/>
      <family val="2"/>
    </font>
    <font>
      <sz val="10"/>
      <name val="Times New Roman"/>
      <family val="1"/>
    </font>
    <font>
      <b/>
      <sz val="9"/>
      <color indexed="81"/>
      <name val="Tahoma"/>
      <family val="2"/>
    </font>
    <font>
      <sz val="11"/>
      <color theme="1"/>
      <name val="Times New Roman"/>
      <family val="2"/>
    </font>
    <font>
      <b/>
      <sz val="9.5"/>
      <color theme="1"/>
      <name val="Times New Roman"/>
      <family val="1"/>
    </font>
    <font>
      <sz val="8"/>
      <color rgb="FF000000"/>
      <name val="Times New Roman"/>
      <family val="1"/>
    </font>
    <font>
      <b/>
      <sz val="14"/>
      <name val="Times New Roman"/>
      <family val="1"/>
    </font>
    <font>
      <b/>
      <sz val="10"/>
      <name val="Times New Roman"/>
      <family val="1"/>
    </font>
    <font>
      <b/>
      <u/>
      <sz val="10"/>
      <name val="Times New Roman"/>
      <family val="1"/>
    </font>
    <font>
      <sz val="9"/>
      <color theme="1"/>
      <name val="Calibri"/>
      <family val="2"/>
      <scheme val="minor"/>
    </font>
    <font>
      <sz val="11"/>
      <color rgb="FF001A33"/>
      <name val="Segoe UI"/>
      <family val="2"/>
    </font>
    <font>
      <sz val="8"/>
      <color theme="1"/>
      <name val="Calibri"/>
      <family val="2"/>
      <scheme val="minor"/>
    </font>
    <font>
      <sz val="12"/>
      <color theme="1"/>
      <name val="Times New Roman"/>
      <family val="1"/>
    </font>
    <font>
      <sz val="10"/>
      <color theme="1"/>
      <name val="Calibri"/>
      <family val="2"/>
      <scheme val="minor"/>
    </font>
    <font>
      <i/>
      <sz val="14"/>
      <color theme="1"/>
      <name val="Times New Roman"/>
      <family val="1"/>
    </font>
    <font>
      <b/>
      <sz val="9"/>
      <color rgb="FFFF0000"/>
      <name val="Times New Roman"/>
      <family val="1"/>
    </font>
    <font>
      <sz val="11"/>
      <color theme="1"/>
      <name val="Calibri"/>
      <family val="2"/>
    </font>
  </fonts>
  <fills count="26">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CC99"/>
        <bgColor rgb="FFFFCC99"/>
      </patternFill>
    </fill>
    <fill>
      <patternFill patternType="solid">
        <fgColor theme="0"/>
        <bgColor rgb="FFECECEC"/>
      </patternFill>
    </fill>
    <fill>
      <patternFill patternType="solid">
        <fgColor theme="0"/>
        <bgColor rgb="FFFEF2CB"/>
      </patternFill>
    </fill>
    <fill>
      <patternFill patternType="solid">
        <fgColor theme="0"/>
        <bgColor rgb="FFDEEAF6"/>
      </patternFill>
    </fill>
    <fill>
      <patternFill patternType="solid">
        <fgColor theme="0"/>
        <bgColor rgb="FFE2EFD9"/>
      </patternFill>
    </fill>
    <fill>
      <patternFill patternType="solid">
        <fgColor theme="0"/>
        <bgColor rgb="FFBDD6EE"/>
      </patternFill>
    </fill>
    <fill>
      <patternFill patternType="solid">
        <fgColor theme="0"/>
        <bgColor rgb="FFFFFFCC"/>
      </patternFill>
    </fill>
    <fill>
      <patternFill patternType="solid">
        <fgColor theme="0"/>
        <bgColor rgb="FF9CC2E5"/>
      </patternFill>
    </fill>
    <fill>
      <patternFill patternType="solid">
        <fgColor theme="0"/>
        <bgColor rgb="FFF2F2F2"/>
      </patternFill>
    </fill>
    <fill>
      <patternFill patternType="solid">
        <fgColor theme="0"/>
        <bgColor rgb="FF2E75B5"/>
      </patternFill>
    </fill>
    <fill>
      <patternFill patternType="solid">
        <fgColor theme="0"/>
        <bgColor rgb="FF1E4E79"/>
      </patternFill>
    </fill>
    <fill>
      <patternFill patternType="solid">
        <fgColor rgb="FFADC7E7"/>
      </patternFill>
    </fill>
    <fill>
      <patternFill patternType="solid">
        <fgColor rgb="FFCCCCFF"/>
      </patternFill>
    </fill>
    <fill>
      <patternFill patternType="solid">
        <fgColor rgb="FF00B0F0"/>
        <bgColor indexed="64"/>
      </patternFill>
    </fill>
    <fill>
      <patternFill patternType="solid">
        <fgColor theme="5" tint="0.79998168889431442"/>
        <bgColor indexed="64"/>
      </patternFill>
    </fill>
    <fill>
      <patternFill patternType="solid">
        <fgColor rgb="FFFF0000"/>
        <bgColor indexed="64"/>
      </patternFill>
    </fill>
    <fill>
      <patternFill patternType="solid">
        <fgColor rgb="FF00FF00"/>
        <bgColor indexed="64"/>
      </patternFill>
    </fill>
    <fill>
      <patternFill patternType="solid">
        <fgColor theme="7"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3" tint="0.39997558519241921"/>
        <bgColor indexed="64"/>
      </patternFill>
    </fill>
    <fill>
      <patternFill patternType="solid">
        <fgColor rgb="FFFFFFFF"/>
        <bgColor indexed="64"/>
      </patternFill>
    </fill>
  </fills>
  <borders count="5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dotted">
        <color auto="1"/>
      </top>
      <bottom style="dotted">
        <color auto="1"/>
      </bottom>
      <diagonal/>
    </border>
    <border>
      <left style="thin">
        <color auto="1"/>
      </left>
      <right style="thin">
        <color auto="1"/>
      </right>
      <top/>
      <bottom style="dotted">
        <color auto="1"/>
      </bottom>
      <diagonal/>
    </border>
    <border>
      <left/>
      <right/>
      <top style="thin">
        <color auto="1"/>
      </top>
      <bottom/>
      <diagonal/>
    </border>
    <border>
      <left style="thin">
        <color auto="1"/>
      </left>
      <right style="thin">
        <color auto="1"/>
      </right>
      <top style="dotted">
        <color auto="1"/>
      </top>
      <bottom/>
      <diagonal/>
    </border>
    <border>
      <left/>
      <right/>
      <top/>
      <bottom style="thin">
        <color auto="1"/>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right/>
      <top/>
      <bottom style="thick">
        <color rgb="FFA1B8E1"/>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rgb="FFA1B8E1"/>
      </left>
      <right/>
      <top style="thin">
        <color rgb="FFA1B8E1"/>
      </top>
      <bottom/>
      <diagonal/>
    </border>
    <border>
      <left/>
      <right/>
      <top style="thin">
        <color rgb="FFA1B8E1"/>
      </top>
      <bottom/>
      <diagonal/>
    </border>
    <border>
      <left/>
      <right style="thin">
        <color rgb="FFA1B8E1"/>
      </right>
      <top style="thin">
        <color rgb="FFA1B8E1"/>
      </top>
      <bottom/>
      <diagonal/>
    </border>
    <border>
      <left style="thin">
        <color rgb="FFA1B8E1"/>
      </left>
      <right/>
      <top/>
      <bottom/>
      <diagonal/>
    </border>
    <border>
      <left/>
      <right style="thin">
        <color rgb="FFA1B8E1"/>
      </right>
      <top/>
      <bottom/>
      <diagonal/>
    </border>
    <border>
      <left style="thin">
        <color rgb="FF7F7F7F"/>
      </left>
      <right/>
      <top/>
      <bottom/>
      <diagonal/>
    </border>
    <border>
      <left/>
      <right style="thin">
        <color rgb="FF7F7F7F"/>
      </right>
      <top/>
      <bottom/>
      <diagonal/>
    </border>
    <border>
      <left style="thin">
        <color rgb="FF2E75B5"/>
      </left>
      <right/>
      <top style="thin">
        <color rgb="FF2E75B5"/>
      </top>
      <bottom style="thin">
        <color rgb="FF2E75B5"/>
      </bottom>
      <diagonal/>
    </border>
    <border>
      <left/>
      <right/>
      <top style="thin">
        <color rgb="FF2E75B5"/>
      </top>
      <bottom style="thin">
        <color rgb="FF2E75B5"/>
      </bottom>
      <diagonal/>
    </border>
    <border>
      <left/>
      <right style="thin">
        <color rgb="FF2E75B5"/>
      </right>
      <top style="thin">
        <color rgb="FF2E75B5"/>
      </top>
      <bottom style="thin">
        <color rgb="FF2E75B5"/>
      </bottom>
      <diagonal/>
    </border>
    <border>
      <left style="thin">
        <color rgb="FF7DA2CE"/>
      </left>
      <right style="thin">
        <color rgb="FF7DA2CE"/>
      </right>
      <top style="thin">
        <color rgb="FF7DA2CE"/>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auto="1"/>
      </right>
      <top style="thin">
        <color auto="1"/>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s>
  <cellStyleXfs count="18">
    <xf numFmtId="0" fontId="0" fillId="0" borderId="0"/>
    <xf numFmtId="0" fontId="14" fillId="0" borderId="0"/>
    <xf numFmtId="41" fontId="17" fillId="0" borderId="0" applyFont="0" applyFill="0" applyBorder="0" applyAlignment="0" applyProtection="0"/>
    <xf numFmtId="0" fontId="17" fillId="0" borderId="0"/>
    <xf numFmtId="0" fontId="19" fillId="0" borderId="0"/>
    <xf numFmtId="0" fontId="19" fillId="0" borderId="0"/>
    <xf numFmtId="0" fontId="20" fillId="0" borderId="0"/>
    <xf numFmtId="164" fontId="20" fillId="0" borderId="0" applyFont="0" applyFill="0" applyBorder="0" applyAlignment="0" applyProtection="0"/>
    <xf numFmtId="41" fontId="20" fillId="0" borderId="0" applyFont="0" applyFill="0" applyBorder="0" applyAlignment="0" applyProtection="0"/>
    <xf numFmtId="0" fontId="14" fillId="0" borderId="0"/>
    <xf numFmtId="0" fontId="27" fillId="0" borderId="0"/>
    <xf numFmtId="0" fontId="32" fillId="0" borderId="0" applyNumberFormat="0" applyFill="0" applyBorder="0" applyAlignment="0" applyProtection="0"/>
    <xf numFmtId="0" fontId="33" fillId="0" borderId="0"/>
    <xf numFmtId="0" fontId="34" fillId="0" borderId="0"/>
    <xf numFmtId="0" fontId="41" fillId="0" borderId="0"/>
    <xf numFmtId="164" fontId="41" fillId="0" borderId="0" applyFont="0" applyFill="0" applyBorder="0" applyAlignment="0" applyProtection="0"/>
    <xf numFmtId="165" fontId="19" fillId="0" borderId="0" applyFont="0" applyFill="0" applyBorder="0" applyAlignment="0" applyProtection="0"/>
    <xf numFmtId="0" fontId="20" fillId="0" borderId="0"/>
  </cellStyleXfs>
  <cellXfs count="468">
    <xf numFmtId="0" fontId="0" fillId="0" borderId="0" xfId="0"/>
    <xf numFmtId="0" fontId="5" fillId="0" borderId="0" xfId="0" applyFont="1" applyAlignment="1">
      <alignment vertical="center"/>
    </xf>
    <xf numFmtId="0" fontId="5" fillId="0" borderId="0" xfId="0" applyFont="1" applyAlignment="1">
      <alignment horizontal="center" vertical="center"/>
    </xf>
    <xf numFmtId="0" fontId="6" fillId="0" borderId="0" xfId="0" applyFont="1" applyAlignment="1">
      <alignment vertical="center"/>
    </xf>
    <xf numFmtId="0" fontId="5" fillId="0" borderId="2" xfId="0" applyFont="1" applyBorder="1" applyAlignment="1">
      <alignment vertical="center"/>
    </xf>
    <xf numFmtId="0" fontId="5" fillId="0" borderId="3" xfId="0" applyFont="1" applyBorder="1" applyAlignment="1">
      <alignment vertical="center"/>
    </xf>
    <xf numFmtId="0" fontId="5" fillId="0" borderId="3" xfId="0" applyFont="1" applyBorder="1" applyAlignment="1">
      <alignment horizontal="center" vertical="center"/>
    </xf>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5" fillId="0" borderId="5" xfId="0" applyFont="1" applyBorder="1" applyAlignment="1">
      <alignment vertical="center"/>
    </xf>
    <xf numFmtId="0" fontId="5" fillId="0" borderId="5" xfId="0" applyFont="1" applyBorder="1" applyAlignment="1">
      <alignment horizontal="center" vertical="center"/>
    </xf>
    <xf numFmtId="0" fontId="6" fillId="0" borderId="1" xfId="0" applyFont="1" applyBorder="1" applyAlignment="1">
      <alignment vertical="center"/>
    </xf>
    <xf numFmtId="0" fontId="6" fillId="0" borderId="1" xfId="0" applyFont="1" applyBorder="1" applyAlignment="1">
      <alignment horizontal="center" vertical="center"/>
    </xf>
    <xf numFmtId="0" fontId="6" fillId="0" borderId="0" xfId="0" applyFont="1" applyAlignment="1">
      <alignment horizontal="center" vertical="center"/>
    </xf>
    <xf numFmtId="0" fontId="11" fillId="0" borderId="0" xfId="0" applyFont="1" applyAlignment="1">
      <alignment horizontal="center" vertical="center" wrapText="1"/>
    </xf>
    <xf numFmtId="0" fontId="12" fillId="0" borderId="0" xfId="0" applyFont="1" applyAlignment="1">
      <alignment horizontal="center" vertical="center" wrapText="1"/>
    </xf>
    <xf numFmtId="0" fontId="4" fillId="0" borderId="0" xfId="0" applyFont="1" applyAlignment="1">
      <alignment vertical="center" wrapText="1"/>
    </xf>
    <xf numFmtId="14" fontId="6" fillId="0" borderId="0" xfId="0" applyNumberFormat="1" applyFont="1" applyAlignment="1">
      <alignment horizontal="left" vertical="center" wrapText="1"/>
    </xf>
    <xf numFmtId="0" fontId="9" fillId="0" borderId="0" xfId="0" applyFont="1" applyAlignment="1">
      <alignment horizontal="left" vertical="center" indent="2"/>
    </xf>
    <xf numFmtId="0" fontId="9" fillId="0" borderId="6" xfId="0" applyFont="1" applyBorder="1" applyAlignment="1">
      <alignment horizontal="left" vertical="center" indent="2"/>
    </xf>
    <xf numFmtId="0" fontId="6" fillId="0" borderId="0" xfId="0" applyFont="1" applyAlignment="1">
      <alignment horizontal="right" vertical="center"/>
    </xf>
    <xf numFmtId="166" fontId="5" fillId="0" borderId="3" xfId="0" applyNumberFormat="1" applyFont="1" applyBorder="1" applyAlignment="1">
      <alignment vertical="center"/>
    </xf>
    <xf numFmtId="3" fontId="5" fillId="0" borderId="3" xfId="0" applyNumberFormat="1" applyFont="1" applyBorder="1" applyAlignment="1">
      <alignment vertical="center"/>
    </xf>
    <xf numFmtId="3" fontId="5" fillId="0" borderId="3" xfId="0" applyNumberFormat="1" applyFont="1" applyBorder="1" applyAlignment="1">
      <alignment horizontal="right" vertical="center"/>
    </xf>
    <xf numFmtId="3" fontId="5" fillId="0" borderId="2" xfId="0" applyNumberFormat="1" applyFont="1" applyBorder="1" applyAlignment="1">
      <alignment vertical="center"/>
    </xf>
    <xf numFmtId="3" fontId="5" fillId="0" borderId="5" xfId="0" applyNumberFormat="1" applyFont="1" applyBorder="1" applyAlignment="1">
      <alignment vertical="center"/>
    </xf>
    <xf numFmtId="3" fontId="6" fillId="0" borderId="1" xfId="0" applyNumberFormat="1" applyFont="1" applyBorder="1" applyAlignment="1">
      <alignment horizontal="center" vertical="center"/>
    </xf>
    <xf numFmtId="3" fontId="6" fillId="0" borderId="1" xfId="0" applyNumberFormat="1" applyFont="1" applyBorder="1" applyAlignment="1">
      <alignment horizontal="right" vertical="center"/>
    </xf>
    <xf numFmtId="0" fontId="10" fillId="0" borderId="4" xfId="0" applyFont="1" applyBorder="1" applyAlignment="1">
      <alignment horizontal="right" vertical="center" wrapText="1"/>
    </xf>
    <xf numFmtId="4" fontId="15" fillId="0" borderId="0" xfId="1" applyNumberFormat="1" applyFont="1" applyAlignment="1">
      <alignment horizontal="center" vertical="center" wrapText="1"/>
    </xf>
    <xf numFmtId="0" fontId="15" fillId="0" borderId="0" xfId="1" applyFont="1" applyAlignment="1">
      <alignment vertical="center" wrapText="1"/>
    </xf>
    <xf numFmtId="0" fontId="16" fillId="0" borderId="0" xfId="1" applyFont="1" applyAlignment="1">
      <alignment vertical="center" wrapText="1"/>
    </xf>
    <xf numFmtId="167" fontId="5" fillId="0" borderId="3" xfId="0" applyNumberFormat="1" applyFont="1" applyBorder="1" applyAlignment="1">
      <alignment horizontal="center" vertical="center"/>
    </xf>
    <xf numFmtId="166" fontId="5" fillId="0" borderId="3" xfId="0" applyNumberFormat="1" applyFont="1" applyBorder="1" applyAlignment="1">
      <alignment horizontal="center" vertical="center"/>
    </xf>
    <xf numFmtId="0" fontId="23" fillId="0" borderId="1" xfId="6" applyFont="1" applyBorder="1" applyAlignment="1">
      <alignment horizontal="center" vertical="center" wrapText="1"/>
    </xf>
    <xf numFmtId="168" fontId="23" fillId="0" borderId="1" xfId="7" applyNumberFormat="1" applyFont="1" applyBorder="1" applyAlignment="1">
      <alignment horizontal="center" vertical="center" wrapText="1"/>
    </xf>
    <xf numFmtId="168" fontId="23" fillId="0" borderId="3" xfId="7" applyNumberFormat="1" applyFont="1" applyBorder="1" applyAlignment="1">
      <alignment vertical="center"/>
    </xf>
    <xf numFmtId="1" fontId="23" fillId="0" borderId="3" xfId="8" applyNumberFormat="1" applyFont="1" applyBorder="1" applyAlignment="1">
      <alignment vertical="center"/>
    </xf>
    <xf numFmtId="0" fontId="23" fillId="0" borderId="3" xfId="6" quotePrefix="1" applyFont="1" applyBorder="1" applyAlignment="1">
      <alignment vertical="center"/>
    </xf>
    <xf numFmtId="0" fontId="5" fillId="0" borderId="0" xfId="6" applyFont="1" applyAlignment="1">
      <alignment vertical="center"/>
    </xf>
    <xf numFmtId="41" fontId="23" fillId="0" borderId="1" xfId="8" applyFont="1" applyBorder="1" applyAlignment="1">
      <alignment horizontal="center" vertical="center" wrapText="1"/>
    </xf>
    <xf numFmtId="0" fontId="20" fillId="0" borderId="0" xfId="6"/>
    <xf numFmtId="41" fontId="23" fillId="0" borderId="3" xfId="8" applyFont="1" applyBorder="1" applyAlignment="1">
      <alignment vertical="center"/>
    </xf>
    <xf numFmtId="0" fontId="9" fillId="0" borderId="12" xfId="6" applyFont="1" applyBorder="1" applyAlignment="1">
      <alignment horizontal="center" vertical="center" wrapText="1"/>
    </xf>
    <xf numFmtId="0" fontId="20" fillId="0" borderId="8" xfId="6" applyBorder="1"/>
    <xf numFmtId="0" fontId="20" fillId="0" borderId="1" xfId="6" applyBorder="1"/>
    <xf numFmtId="0" fontId="9" fillId="0" borderId="13" xfId="6" applyFont="1" applyBorder="1" applyAlignment="1">
      <alignment horizontal="center" vertical="center" wrapText="1"/>
    </xf>
    <xf numFmtId="0" fontId="20" fillId="0" borderId="14" xfId="6" applyBorder="1"/>
    <xf numFmtId="0" fontId="9" fillId="0" borderId="15" xfId="6" applyFont="1" applyBorder="1" applyAlignment="1">
      <alignment horizontal="center" vertical="center" wrapText="1"/>
    </xf>
    <xf numFmtId="0" fontId="20" fillId="0" borderId="10" xfId="6" applyBorder="1"/>
    <xf numFmtId="0" fontId="9" fillId="0" borderId="16" xfId="6" applyFont="1" applyBorder="1" applyAlignment="1">
      <alignment horizontal="center" vertical="center" wrapText="1"/>
    </xf>
    <xf numFmtId="0" fontId="9" fillId="0" borderId="17" xfId="6" applyFont="1" applyBorder="1" applyAlignment="1">
      <alignment horizontal="center" vertical="center" wrapText="1"/>
    </xf>
    <xf numFmtId="0" fontId="24" fillId="0" borderId="0" xfId="6" applyFont="1"/>
    <xf numFmtId="0" fontId="9" fillId="3" borderId="16" xfId="6" applyFont="1" applyFill="1" applyBorder="1" applyAlignment="1">
      <alignment horizontal="center" vertical="center" wrapText="1"/>
    </xf>
    <xf numFmtId="0" fontId="9" fillId="3" borderId="15" xfId="6" applyFont="1" applyFill="1" applyBorder="1" applyAlignment="1">
      <alignment horizontal="center" vertical="center" wrapText="1"/>
    </xf>
    <xf numFmtId="0" fontId="20" fillId="0" borderId="11" xfId="6" applyBorder="1"/>
    <xf numFmtId="0" fontId="9" fillId="3" borderId="12" xfId="6" applyFont="1" applyFill="1" applyBorder="1" applyAlignment="1">
      <alignment horizontal="center" vertical="center" wrapText="1"/>
    </xf>
    <xf numFmtId="0" fontId="9" fillId="2" borderId="17" xfId="6" applyFont="1" applyFill="1" applyBorder="1" applyAlignment="1">
      <alignment horizontal="center" vertical="center" wrapText="1"/>
    </xf>
    <xf numFmtId="0" fontId="25" fillId="0" borderId="10" xfId="6" applyFont="1" applyBorder="1"/>
    <xf numFmtId="0" fontId="25" fillId="0" borderId="1" xfId="6" applyFont="1" applyBorder="1"/>
    <xf numFmtId="0" fontId="9" fillId="2" borderId="13" xfId="6" applyFont="1" applyFill="1" applyBorder="1" applyAlignment="1">
      <alignment horizontal="center" vertical="center" wrapText="1"/>
    </xf>
    <xf numFmtId="0" fontId="25" fillId="0" borderId="14" xfId="6" applyFont="1" applyBorder="1"/>
    <xf numFmtId="49" fontId="20" fillId="0" borderId="1" xfId="6" applyNumberFormat="1" applyBorder="1" applyAlignment="1">
      <alignment horizontal="center"/>
    </xf>
    <xf numFmtId="0" fontId="6" fillId="0" borderId="0" xfId="6" applyFont="1" applyAlignment="1">
      <alignment horizontal="center" vertical="center"/>
    </xf>
    <xf numFmtId="0" fontId="9" fillId="0" borderId="1" xfId="6" applyFont="1" applyBorder="1" applyAlignment="1">
      <alignment horizontal="center" vertical="center" wrapText="1"/>
    </xf>
    <xf numFmtId="0" fontId="9" fillId="0" borderId="7" xfId="6" applyFont="1" applyBorder="1" applyAlignment="1">
      <alignment horizontal="center" vertical="center" wrapText="1"/>
    </xf>
    <xf numFmtId="0" fontId="9" fillId="0" borderId="0" xfId="6" applyFont="1" applyAlignment="1">
      <alignment horizontal="center" vertical="center" wrapText="1"/>
    </xf>
    <xf numFmtId="1" fontId="20" fillId="0" borderId="0" xfId="6" applyNumberFormat="1"/>
    <xf numFmtId="0" fontId="6" fillId="3" borderId="9" xfId="0" applyFont="1" applyFill="1" applyBorder="1" applyAlignment="1">
      <alignment horizontal="right" vertical="center" wrapText="1"/>
    </xf>
    <xf numFmtId="49" fontId="25" fillId="3" borderId="9" xfId="0" applyNumberFormat="1" applyFont="1" applyFill="1" applyBorder="1" applyAlignment="1">
      <alignment horizontal="right"/>
    </xf>
    <xf numFmtId="0" fontId="21" fillId="3" borderId="9" xfId="0" applyFont="1" applyFill="1" applyBorder="1" applyAlignment="1">
      <alignment horizontal="right"/>
    </xf>
    <xf numFmtId="49" fontId="20" fillId="0" borderId="0" xfId="6" applyNumberFormat="1"/>
    <xf numFmtId="0" fontId="20" fillId="2" borderId="1" xfId="6" applyFill="1" applyBorder="1"/>
    <xf numFmtId="0" fontId="24" fillId="0" borderId="1" xfId="6" applyFont="1" applyBorder="1" applyAlignment="1">
      <alignment horizontal="center" vertical="center"/>
    </xf>
    <xf numFmtId="0" fontId="28" fillId="0" borderId="19" xfId="10" applyFont="1" applyBorder="1"/>
    <xf numFmtId="0" fontId="28" fillId="0" borderId="19" xfId="10" applyFont="1" applyBorder="1" applyAlignment="1">
      <alignment vertical="center"/>
    </xf>
    <xf numFmtId="0" fontId="27" fillId="0" borderId="0" xfId="10"/>
    <xf numFmtId="0" fontId="30" fillId="7" borderId="26" xfId="10" applyFont="1" applyFill="1" applyBorder="1" applyAlignment="1">
      <alignment vertical="center"/>
    </xf>
    <xf numFmtId="0" fontId="30" fillId="7" borderId="0" xfId="10" applyFont="1" applyFill="1" applyAlignment="1">
      <alignment vertical="center"/>
    </xf>
    <xf numFmtId="0" fontId="30" fillId="5" borderId="0" xfId="10" applyFont="1" applyFill="1" applyAlignment="1">
      <alignment horizontal="center" vertical="center"/>
    </xf>
    <xf numFmtId="0" fontId="30" fillId="6" borderId="0" xfId="10" applyFont="1" applyFill="1" applyAlignment="1">
      <alignment horizontal="center" vertical="center"/>
    </xf>
    <xf numFmtId="0" fontId="30" fillId="7" borderId="0" xfId="10" applyFont="1" applyFill="1" applyAlignment="1">
      <alignment horizontal="center" vertical="center"/>
    </xf>
    <xf numFmtId="0" fontId="30" fillId="8" borderId="0" xfId="10" applyFont="1" applyFill="1" applyAlignment="1">
      <alignment horizontal="center" vertical="center"/>
    </xf>
    <xf numFmtId="0" fontId="30" fillId="8" borderId="27" xfId="10" applyFont="1" applyFill="1" applyBorder="1" applyAlignment="1">
      <alignment horizontal="center" vertical="center"/>
    </xf>
    <xf numFmtId="0" fontId="30" fillId="9" borderId="26" xfId="10" applyFont="1" applyFill="1" applyBorder="1" applyAlignment="1">
      <alignment vertical="center"/>
    </xf>
    <xf numFmtId="0" fontId="30" fillId="9" borderId="0" xfId="10" applyFont="1" applyFill="1" applyAlignment="1">
      <alignment vertical="center"/>
    </xf>
    <xf numFmtId="0" fontId="30" fillId="10" borderId="18" xfId="10" applyFont="1" applyFill="1" applyBorder="1" applyAlignment="1">
      <alignment horizontal="center" vertical="center"/>
    </xf>
    <xf numFmtId="0" fontId="30" fillId="11" borderId="26" xfId="10" applyFont="1" applyFill="1" applyBorder="1" applyAlignment="1">
      <alignment vertical="center"/>
    </xf>
    <xf numFmtId="0" fontId="30" fillId="11" borderId="0" xfId="10" applyFont="1" applyFill="1" applyAlignment="1">
      <alignment vertical="center"/>
    </xf>
    <xf numFmtId="3" fontId="30" fillId="3" borderId="23" xfId="10" applyNumberFormat="1" applyFont="1" applyFill="1" applyBorder="1" applyAlignment="1">
      <alignment vertical="center"/>
    </xf>
    <xf numFmtId="169" fontId="30" fillId="3" borderId="24" xfId="10" applyNumberFormat="1" applyFont="1" applyFill="1" applyBorder="1" applyAlignment="1">
      <alignment horizontal="right" vertical="center"/>
    </xf>
    <xf numFmtId="0" fontId="30" fillId="5" borderId="24" xfId="10" applyFont="1" applyFill="1" applyBorder="1" applyAlignment="1">
      <alignment horizontal="center" vertical="center"/>
    </xf>
    <xf numFmtId="0" fontId="30" fillId="6" borderId="24" xfId="10" applyFont="1" applyFill="1" applyBorder="1" applyAlignment="1">
      <alignment horizontal="center" vertical="center"/>
    </xf>
    <xf numFmtId="0" fontId="30" fillId="7" borderId="24" xfId="10" applyFont="1" applyFill="1" applyBorder="1" applyAlignment="1">
      <alignment horizontal="center" vertical="center"/>
    </xf>
    <xf numFmtId="0" fontId="30" fillId="8" borderId="24" xfId="10" applyFont="1" applyFill="1" applyBorder="1" applyAlignment="1">
      <alignment horizontal="center" vertical="center"/>
    </xf>
    <xf numFmtId="0" fontId="30" fillId="8" borderId="25" xfId="10" applyFont="1" applyFill="1" applyBorder="1" applyAlignment="1">
      <alignment horizontal="center" vertical="center"/>
    </xf>
    <xf numFmtId="0" fontId="30" fillId="12" borderId="20" xfId="10" applyFont="1" applyFill="1" applyBorder="1" applyAlignment="1">
      <alignment horizontal="right"/>
    </xf>
    <xf numFmtId="0" fontId="30" fillId="12" borderId="21" xfId="10" applyFont="1" applyFill="1" applyBorder="1" applyAlignment="1">
      <alignment horizontal="right"/>
    </xf>
    <xf numFmtId="0" fontId="30" fillId="12" borderId="22" xfId="10" applyFont="1" applyFill="1" applyBorder="1" applyAlignment="1">
      <alignment horizontal="right"/>
    </xf>
    <xf numFmtId="0" fontId="30" fillId="13" borderId="26" xfId="10" applyFont="1" applyFill="1" applyBorder="1" applyAlignment="1">
      <alignment vertical="center"/>
    </xf>
    <xf numFmtId="0" fontId="30" fillId="13" borderId="0" xfId="10" applyFont="1" applyFill="1"/>
    <xf numFmtId="0" fontId="30" fillId="12" borderId="28" xfId="10" applyFont="1" applyFill="1" applyBorder="1" applyAlignment="1">
      <alignment horizontal="right"/>
    </xf>
    <xf numFmtId="0" fontId="30" fillId="12" borderId="0" xfId="10" applyFont="1" applyFill="1" applyAlignment="1">
      <alignment horizontal="right"/>
    </xf>
    <xf numFmtId="0" fontId="30" fillId="12" borderId="29" xfId="10" applyFont="1" applyFill="1" applyBorder="1" applyAlignment="1">
      <alignment horizontal="right"/>
    </xf>
    <xf numFmtId="0" fontId="18" fillId="14" borderId="30" xfId="10" applyFont="1" applyFill="1" applyBorder="1" applyAlignment="1">
      <alignment horizontal="right" vertical="center"/>
    </xf>
    <xf numFmtId="0" fontId="31" fillId="14" borderId="31" xfId="10" applyFont="1" applyFill="1" applyBorder="1" applyAlignment="1">
      <alignment vertical="center"/>
    </xf>
    <xf numFmtId="0" fontId="30" fillId="14" borderId="31" xfId="10" applyFont="1" applyFill="1" applyBorder="1" applyAlignment="1">
      <alignment horizontal="center" vertical="center"/>
    </xf>
    <xf numFmtId="0" fontId="30" fillId="14" borderId="32" xfId="10" applyFont="1" applyFill="1" applyBorder="1" applyAlignment="1">
      <alignment horizontal="center" vertical="center"/>
    </xf>
    <xf numFmtId="0" fontId="11" fillId="0" borderId="0" xfId="0" applyFont="1" applyAlignment="1">
      <alignment horizontal="center" wrapText="1"/>
    </xf>
    <xf numFmtId="0" fontId="5" fillId="0" borderId="0" xfId="0" applyFont="1"/>
    <xf numFmtId="3" fontId="32" fillId="0" borderId="10" xfId="11" applyNumberFormat="1" applyFill="1" applyBorder="1" applyAlignment="1">
      <alignment vertical="center" wrapText="1"/>
    </xf>
    <xf numFmtId="0" fontId="6" fillId="0" borderId="0" xfId="0" applyFont="1" applyAlignment="1">
      <alignment horizontal="left" vertical="center" wrapText="1"/>
    </xf>
    <xf numFmtId="0" fontId="6" fillId="0" borderId="0" xfId="0" applyFont="1" applyAlignment="1">
      <alignment horizontal="left" vertical="center"/>
    </xf>
    <xf numFmtId="0" fontId="34" fillId="0" borderId="0" xfId="13"/>
    <xf numFmtId="0" fontId="34" fillId="2" borderId="0" xfId="13" applyFill="1"/>
    <xf numFmtId="0" fontId="34" fillId="3" borderId="0" xfId="13" applyFill="1"/>
    <xf numFmtId="0" fontId="34" fillId="0" borderId="1" xfId="13" applyBorder="1"/>
    <xf numFmtId="0" fontId="34" fillId="0" borderId="1" xfId="13" applyBorder="1" applyAlignment="1">
      <alignment wrapText="1"/>
    </xf>
    <xf numFmtId="0" fontId="34" fillId="0" borderId="0" xfId="13" applyAlignment="1">
      <alignment wrapText="1"/>
    </xf>
    <xf numFmtId="0" fontId="35" fillId="15" borderId="33" xfId="13" applyFont="1" applyFill="1" applyBorder="1" applyAlignment="1">
      <alignment horizontal="center" vertical="center" wrapText="1"/>
    </xf>
    <xf numFmtId="0" fontId="35" fillId="0" borderId="34" xfId="13" applyFont="1" applyBorder="1" applyAlignment="1">
      <alignment horizontal="left" vertical="center"/>
    </xf>
    <xf numFmtId="0" fontId="35" fillId="16" borderId="1" xfId="13" applyFont="1" applyFill="1" applyBorder="1" applyAlignment="1">
      <alignment horizontal="center" vertical="center" wrapText="1"/>
    </xf>
    <xf numFmtId="0" fontId="36" fillId="0" borderId="1" xfId="13" applyFont="1" applyBorder="1" applyAlignment="1">
      <alignment horizontal="left" vertical="center"/>
    </xf>
    <xf numFmtId="3" fontId="37" fillId="0" borderId="2" xfId="0" applyNumberFormat="1" applyFont="1" applyBorder="1" applyAlignment="1">
      <alignment horizontal="left" vertical="center" wrapText="1"/>
    </xf>
    <xf numFmtId="0" fontId="38" fillId="0" borderId="0" xfId="0" applyFont="1"/>
    <xf numFmtId="0" fontId="0" fillId="0" borderId="35" xfId="0" applyBorder="1"/>
    <xf numFmtId="0" fontId="38" fillId="0" borderId="35" xfId="0" applyFont="1" applyBorder="1"/>
    <xf numFmtId="0" fontId="0" fillId="0" borderId="35" xfId="0" applyBorder="1" applyAlignment="1">
      <alignment horizontal="center"/>
    </xf>
    <xf numFmtId="9" fontId="0" fillId="0" borderId="0" xfId="0" applyNumberFormat="1"/>
    <xf numFmtId="49" fontId="11" fillId="0" borderId="0" xfId="0" applyNumberFormat="1" applyFont="1" applyAlignment="1">
      <alignment horizontal="center" vertical="center" wrapText="1"/>
    </xf>
    <xf numFmtId="170" fontId="11" fillId="0" borderId="0" xfId="0" applyNumberFormat="1" applyFont="1" applyAlignment="1">
      <alignment horizontal="center" vertical="center" wrapText="1"/>
    </xf>
    <xf numFmtId="0" fontId="11" fillId="0" borderId="0" xfId="0" applyFont="1" applyAlignment="1">
      <alignment vertical="center" wrapText="1"/>
    </xf>
    <xf numFmtId="0" fontId="11" fillId="0" borderId="0" xfId="0" applyFont="1" applyAlignment="1">
      <alignment horizontal="right" vertical="center" wrapText="1"/>
    </xf>
    <xf numFmtId="3" fontId="11" fillId="0" borderId="0" xfId="0" applyNumberFormat="1" applyFont="1" applyAlignment="1">
      <alignment horizontal="center" vertical="center" wrapText="1"/>
    </xf>
    <xf numFmtId="0" fontId="12" fillId="0" borderId="0" xfId="0" applyFont="1" applyAlignment="1">
      <alignment vertical="center" wrapText="1"/>
    </xf>
    <xf numFmtId="0" fontId="12" fillId="0" borderId="0" xfId="0" applyFont="1" applyAlignment="1">
      <alignment horizontal="left" vertical="center" wrapText="1"/>
    </xf>
    <xf numFmtId="49" fontId="12" fillId="0" borderId="0" xfId="0" applyNumberFormat="1" applyFont="1" applyAlignment="1">
      <alignment horizontal="left" vertical="center" wrapText="1"/>
    </xf>
    <xf numFmtId="0" fontId="12" fillId="0" borderId="0" xfId="0" applyFont="1" applyAlignment="1">
      <alignment horizontal="justify" vertical="center" wrapText="1"/>
    </xf>
    <xf numFmtId="49" fontId="12" fillId="0" borderId="0" xfId="0" applyNumberFormat="1" applyFont="1" applyAlignment="1">
      <alignment horizontal="center" vertical="center" wrapText="1"/>
    </xf>
    <xf numFmtId="170" fontId="12" fillId="0" borderId="0" xfId="0" applyNumberFormat="1" applyFont="1" applyAlignment="1">
      <alignment horizontal="center" vertical="center" wrapText="1"/>
    </xf>
    <xf numFmtId="166" fontId="12" fillId="0" borderId="0" xfId="0" applyNumberFormat="1" applyFont="1" applyAlignment="1">
      <alignment horizontal="right" vertical="center" wrapText="1"/>
    </xf>
    <xf numFmtId="3" fontId="12" fillId="0" borderId="0" xfId="0" applyNumberFormat="1" applyFont="1" applyAlignment="1">
      <alignment horizontal="right" vertical="center" wrapText="1"/>
    </xf>
    <xf numFmtId="14" fontId="12" fillId="0" borderId="0" xfId="0" applyNumberFormat="1" applyFont="1" applyAlignment="1">
      <alignment horizontal="right" vertical="center" wrapText="1"/>
    </xf>
    <xf numFmtId="14" fontId="12" fillId="0" borderId="0" xfId="0" applyNumberFormat="1" applyFont="1" applyAlignment="1">
      <alignment horizontal="left" vertical="center" wrapText="1"/>
    </xf>
    <xf numFmtId="3" fontId="12" fillId="0" borderId="0" xfId="0" applyNumberFormat="1" applyFont="1" applyAlignment="1">
      <alignment horizontal="left" vertical="center" wrapText="1"/>
    </xf>
    <xf numFmtId="3" fontId="12" fillId="0" borderId="0" xfId="0" applyNumberFormat="1" applyFont="1" applyAlignment="1">
      <alignment horizontal="center" vertical="center" wrapText="1"/>
    </xf>
    <xf numFmtId="49" fontId="11" fillId="0" borderId="0" xfId="0" applyNumberFormat="1" applyFont="1" applyAlignment="1">
      <alignment vertical="center" wrapText="1"/>
    </xf>
    <xf numFmtId="14" fontId="11" fillId="0" borderId="0" xfId="0" applyNumberFormat="1" applyFont="1" applyAlignment="1">
      <alignment horizontal="left" vertical="center" wrapText="1"/>
    </xf>
    <xf numFmtId="14" fontId="11" fillId="0" borderId="0" xfId="0" applyNumberFormat="1" applyFont="1" applyAlignment="1">
      <alignment vertical="center" wrapText="1"/>
    </xf>
    <xf numFmtId="0" fontId="11" fillId="0" borderId="0" xfId="0" applyFont="1" applyAlignment="1">
      <alignment horizontal="left" vertical="center" wrapText="1"/>
    </xf>
    <xf numFmtId="14" fontId="11" fillId="0" borderId="0" xfId="0" applyNumberFormat="1" applyFont="1" applyAlignment="1">
      <alignment horizontal="right" vertical="center" wrapText="1"/>
    </xf>
    <xf numFmtId="3" fontId="11" fillId="0" borderId="0" xfId="0" applyNumberFormat="1" applyFont="1" applyAlignment="1">
      <alignment vertical="center" wrapText="1"/>
    </xf>
    <xf numFmtId="3" fontId="12" fillId="0" borderId="0" xfId="0" applyNumberFormat="1" applyFont="1" applyAlignment="1">
      <alignment vertical="center" wrapText="1"/>
    </xf>
    <xf numFmtId="166" fontId="37" fillId="0" borderId="36" xfId="0" applyNumberFormat="1" applyFont="1" applyBorder="1" applyAlignment="1">
      <alignment horizontal="center" vertical="center" wrapText="1"/>
    </xf>
    <xf numFmtId="3" fontId="37" fillId="0" borderId="0" xfId="0" applyNumberFormat="1" applyFont="1" applyAlignment="1">
      <alignment horizontal="center" vertical="center" wrapText="1"/>
    </xf>
    <xf numFmtId="3" fontId="37" fillId="0" borderId="11" xfId="0" applyNumberFormat="1" applyFont="1" applyBorder="1" applyAlignment="1">
      <alignment horizontal="center" vertical="center" wrapText="1"/>
    </xf>
    <xf numFmtId="0" fontId="37" fillId="0" borderId="0" xfId="0" applyFont="1" applyAlignment="1">
      <alignment horizontal="center" vertical="center" wrapText="1"/>
    </xf>
    <xf numFmtId="0" fontId="37" fillId="0" borderId="35" xfId="0" applyFont="1" applyBorder="1" applyAlignment="1">
      <alignment horizontal="center" vertical="center" wrapText="1"/>
    </xf>
    <xf numFmtId="49" fontId="37" fillId="0" borderId="35" xfId="0" applyNumberFormat="1" applyFont="1" applyBorder="1" applyAlignment="1">
      <alignment horizontal="center" vertical="center" wrapText="1"/>
    </xf>
    <xf numFmtId="0" fontId="37" fillId="2" borderId="35" xfId="0" applyFont="1" applyFill="1" applyBorder="1" applyAlignment="1">
      <alignment horizontal="center" vertical="center" wrapText="1"/>
    </xf>
    <xf numFmtId="170" fontId="37" fillId="0" borderId="35" xfId="0" applyNumberFormat="1" applyFont="1" applyBorder="1" applyAlignment="1">
      <alignment horizontal="center" vertical="center" wrapText="1"/>
    </xf>
    <xf numFmtId="166" fontId="37" fillId="0" borderId="35" xfId="0" applyNumberFormat="1" applyFont="1" applyBorder="1" applyAlignment="1">
      <alignment horizontal="center" vertical="center" wrapText="1"/>
    </xf>
    <xf numFmtId="3" fontId="37" fillId="0" borderId="35" xfId="0" applyNumberFormat="1" applyFont="1" applyBorder="1" applyAlignment="1">
      <alignment horizontal="center" vertical="center" wrapText="1"/>
    </xf>
    <xf numFmtId="14" fontId="37" fillId="2" borderId="35" xfId="0" applyNumberFormat="1" applyFont="1" applyFill="1" applyBorder="1" applyAlignment="1">
      <alignment horizontal="center" vertical="center" wrapText="1"/>
    </xf>
    <xf numFmtId="14" fontId="37" fillId="0" borderId="35" xfId="0" applyNumberFormat="1" applyFont="1" applyBorder="1" applyAlignment="1">
      <alignment horizontal="center" vertical="center" wrapText="1"/>
    </xf>
    <xf numFmtId="166" fontId="37" fillId="0" borderId="10" xfId="0" applyNumberFormat="1" applyFont="1" applyBorder="1" applyAlignment="1">
      <alignment horizontal="center" vertical="center" wrapText="1"/>
    </xf>
    <xf numFmtId="49" fontId="37" fillId="2" borderId="35" xfId="0" applyNumberFormat="1" applyFont="1" applyFill="1" applyBorder="1" applyAlignment="1">
      <alignment horizontal="center" vertical="center" wrapText="1"/>
    </xf>
    <xf numFmtId="3" fontId="37" fillId="2" borderId="35" xfId="0" applyNumberFormat="1" applyFont="1" applyFill="1" applyBorder="1" applyAlignment="1">
      <alignment horizontal="center" vertical="center" wrapText="1"/>
    </xf>
    <xf numFmtId="3" fontId="37" fillId="0" borderId="7" xfId="0" applyNumberFormat="1" applyFont="1" applyBorder="1" applyAlignment="1">
      <alignment horizontal="center" vertical="center" wrapText="1"/>
    </xf>
    <xf numFmtId="3" fontId="37" fillId="0" borderId="7" xfId="0" applyNumberFormat="1" applyFont="1" applyBorder="1" applyAlignment="1">
      <alignment horizontal="left" vertical="center" wrapText="1"/>
    </xf>
    <xf numFmtId="14" fontId="37" fillId="0" borderId="7" xfId="0" applyNumberFormat="1" applyFont="1" applyBorder="1" applyAlignment="1">
      <alignment horizontal="center" vertical="center" wrapText="1"/>
    </xf>
    <xf numFmtId="0" fontId="40" fillId="0" borderId="35" xfId="0" applyFont="1" applyBorder="1" applyAlignment="1">
      <alignment horizontal="center" vertical="center" wrapText="1"/>
    </xf>
    <xf numFmtId="14" fontId="40" fillId="2" borderId="35" xfId="0" applyNumberFormat="1" applyFont="1" applyFill="1" applyBorder="1" applyAlignment="1">
      <alignment horizontal="center" vertical="center" wrapText="1"/>
    </xf>
    <xf numFmtId="0" fontId="40" fillId="0" borderId="35" xfId="0" applyFont="1" applyBorder="1" applyAlignment="1">
      <alignment horizontal="left" vertical="center" wrapText="1"/>
    </xf>
    <xf numFmtId="49" fontId="40" fillId="0" borderId="35" xfId="0" applyNumberFormat="1" applyFont="1" applyBorder="1" applyAlignment="1">
      <alignment horizontal="left" vertical="center" wrapText="1"/>
    </xf>
    <xf numFmtId="0" fontId="40" fillId="0" borderId="35" xfId="0" applyFont="1" applyBorder="1" applyAlignment="1">
      <alignment horizontal="justify" vertical="center" wrapText="1"/>
    </xf>
    <xf numFmtId="0" fontId="40" fillId="0" borderId="35" xfId="0" applyFont="1" applyBorder="1" applyAlignment="1">
      <alignment vertical="center" wrapText="1"/>
    </xf>
    <xf numFmtId="3" fontId="40" fillId="2" borderId="35" xfId="0" applyNumberFormat="1" applyFont="1" applyFill="1" applyBorder="1" applyAlignment="1">
      <alignment horizontal="center" vertical="center" wrapText="1"/>
    </xf>
    <xf numFmtId="3" fontId="40" fillId="0" borderId="35" xfId="0" applyNumberFormat="1" applyFont="1" applyBorder="1" applyAlignment="1">
      <alignment horizontal="center" vertical="center" wrapText="1"/>
    </xf>
    <xf numFmtId="49" fontId="40" fillId="2" borderId="35" xfId="0" applyNumberFormat="1" applyFont="1" applyFill="1" applyBorder="1" applyAlignment="1">
      <alignment horizontal="center" vertical="center" wrapText="1"/>
    </xf>
    <xf numFmtId="3" fontId="40" fillId="0" borderId="35" xfId="0" applyNumberFormat="1" applyFont="1" applyBorder="1" applyAlignment="1">
      <alignment vertical="center" wrapText="1"/>
    </xf>
    <xf numFmtId="3" fontId="40" fillId="0" borderId="35" xfId="0" applyNumberFormat="1" applyFont="1" applyBorder="1" applyAlignment="1">
      <alignment horizontal="right" vertical="center" wrapText="1"/>
    </xf>
    <xf numFmtId="166" fontId="40" fillId="0" borderId="35" xfId="0" applyNumberFormat="1" applyFont="1" applyBorder="1" applyAlignment="1">
      <alignment horizontal="right" vertical="center" wrapText="1"/>
    </xf>
    <xf numFmtId="3" fontId="40" fillId="2" borderId="35" xfId="0" applyNumberFormat="1" applyFont="1" applyFill="1" applyBorder="1" applyAlignment="1">
      <alignment horizontal="right" vertical="center" wrapText="1"/>
    </xf>
    <xf numFmtId="3" fontId="40" fillId="0" borderId="35" xfId="0" applyNumberFormat="1" applyFont="1" applyBorder="1" applyAlignment="1">
      <alignment horizontal="left" vertical="center" wrapText="1"/>
    </xf>
    <xf numFmtId="3" fontId="40" fillId="0" borderId="0" xfId="0" applyNumberFormat="1" applyFont="1" applyAlignment="1">
      <alignment horizontal="right" vertical="center" wrapText="1"/>
    </xf>
    <xf numFmtId="3" fontId="40" fillId="0" borderId="11" xfId="0" applyNumberFormat="1" applyFont="1" applyBorder="1" applyAlignment="1">
      <alignment horizontal="right" vertical="center" wrapText="1"/>
    </xf>
    <xf numFmtId="3" fontId="40" fillId="0" borderId="7" xfId="0" applyNumberFormat="1" applyFont="1" applyBorder="1" applyAlignment="1">
      <alignment horizontal="right" vertical="center" wrapText="1"/>
    </xf>
    <xf numFmtId="3" fontId="40" fillId="0" borderId="7" xfId="0" applyNumberFormat="1" applyFont="1" applyBorder="1" applyAlignment="1">
      <alignment horizontal="left" vertical="center" wrapText="1"/>
    </xf>
    <xf numFmtId="14" fontId="40" fillId="0" borderId="7" xfId="0" applyNumberFormat="1" applyFont="1" applyBorder="1" applyAlignment="1">
      <alignment horizontal="center" vertical="center" wrapText="1"/>
    </xf>
    <xf numFmtId="0" fontId="40" fillId="0" borderId="0" xfId="0" applyFont="1" applyAlignment="1">
      <alignment vertical="center" wrapText="1"/>
    </xf>
    <xf numFmtId="0" fontId="37" fillId="0" borderId="2" xfId="0" applyFont="1" applyBorder="1" applyAlignment="1">
      <alignment horizontal="center" vertical="center" wrapText="1"/>
    </xf>
    <xf numFmtId="171" fontId="37" fillId="2" borderId="3" xfId="0" applyNumberFormat="1" applyFont="1" applyFill="1" applyBorder="1" applyAlignment="1">
      <alignment horizontal="center" vertical="center" wrapText="1"/>
    </xf>
    <xf numFmtId="0" fontId="37" fillId="0" borderId="2" xfId="0" applyFont="1" applyBorder="1" applyAlignment="1">
      <alignment horizontal="left" vertical="center" wrapText="1"/>
    </xf>
    <xf numFmtId="49" fontId="37" fillId="0" borderId="2" xfId="0" applyNumberFormat="1" applyFont="1" applyBorder="1" applyAlignment="1">
      <alignment horizontal="left" vertical="center" wrapText="1"/>
    </xf>
    <xf numFmtId="0" fontId="37" fillId="0" borderId="2" xfId="0" applyFont="1" applyBorder="1" applyAlignment="1">
      <alignment horizontal="justify" vertical="center" wrapText="1"/>
    </xf>
    <xf numFmtId="0" fontId="37" fillId="0" borderId="2" xfId="0" applyFont="1" applyBorder="1" applyAlignment="1">
      <alignment vertical="center" wrapText="1"/>
    </xf>
    <xf numFmtId="3" fontId="37" fillId="2" borderId="3" xfId="0" applyNumberFormat="1" applyFont="1" applyFill="1" applyBorder="1" applyAlignment="1">
      <alignment horizontal="center" vertical="center" wrapText="1"/>
    </xf>
    <xf numFmtId="3" fontId="37" fillId="0" borderId="3" xfId="0" applyNumberFormat="1" applyFont="1" applyBorder="1" applyAlignment="1">
      <alignment horizontal="left" vertical="center" wrapText="1"/>
    </xf>
    <xf numFmtId="3" fontId="37" fillId="0" borderId="3" xfId="0" applyNumberFormat="1" applyFont="1" applyBorder="1" applyAlignment="1">
      <alignment horizontal="center" vertical="center" wrapText="1"/>
    </xf>
    <xf numFmtId="3" fontId="37" fillId="0" borderId="3" xfId="0" applyNumberFormat="1" applyFont="1" applyBorder="1" applyAlignment="1">
      <alignment vertical="center" wrapText="1"/>
    </xf>
    <xf numFmtId="170" fontId="37" fillId="0" borderId="3" xfId="0" applyNumberFormat="1" applyFont="1" applyBorder="1" applyAlignment="1">
      <alignment horizontal="center" vertical="center" wrapText="1"/>
    </xf>
    <xf numFmtId="166" fontId="37" fillId="0" borderId="3" xfId="0" applyNumberFormat="1" applyFont="1" applyBorder="1" applyAlignment="1">
      <alignment horizontal="right" vertical="center" wrapText="1"/>
    </xf>
    <xf numFmtId="3" fontId="37" fillId="0" borderId="2" xfId="0" applyNumberFormat="1" applyFont="1" applyBorder="1" applyAlignment="1">
      <alignment horizontal="right" vertical="center" wrapText="1"/>
    </xf>
    <xf numFmtId="3" fontId="37" fillId="2" borderId="3" xfId="0" applyNumberFormat="1" applyFont="1" applyFill="1" applyBorder="1" applyAlignment="1">
      <alignment horizontal="right" vertical="center" wrapText="1"/>
    </xf>
    <xf numFmtId="3" fontId="37" fillId="0" borderId="3" xfId="0" applyNumberFormat="1" applyFont="1" applyBorder="1" applyAlignment="1">
      <alignment horizontal="right" vertical="center" wrapText="1"/>
    </xf>
    <xf numFmtId="0" fontId="37" fillId="0" borderId="3" xfId="0" applyFont="1" applyBorder="1" applyAlignment="1">
      <alignment horizontal="center" vertical="center" wrapText="1"/>
    </xf>
    <xf numFmtId="0" fontId="37" fillId="0" borderId="3" xfId="0" applyFont="1" applyBorder="1" applyAlignment="1">
      <alignment horizontal="left" vertical="center" wrapText="1"/>
    </xf>
    <xf numFmtId="166" fontId="37" fillId="0" borderId="0" xfId="0" applyNumberFormat="1" applyFont="1" applyAlignment="1">
      <alignment vertical="center" wrapText="1"/>
    </xf>
    <xf numFmtId="3" fontId="37" fillId="0" borderId="0" xfId="0" applyNumberFormat="1" applyFont="1" applyAlignment="1">
      <alignment vertical="center" wrapText="1"/>
    </xf>
    <xf numFmtId="3" fontId="37" fillId="0" borderId="11" xfId="0" applyNumberFormat="1" applyFont="1" applyBorder="1" applyAlignment="1">
      <alignment horizontal="right" vertical="center" wrapText="1"/>
    </xf>
    <xf numFmtId="3" fontId="37" fillId="0" borderId="7" xfId="0" applyNumberFormat="1" applyFont="1" applyBorder="1" applyAlignment="1">
      <alignment horizontal="right" vertical="center" wrapText="1"/>
    </xf>
    <xf numFmtId="0" fontId="37" fillId="0" borderId="0" xfId="0" applyFont="1" applyAlignment="1">
      <alignment vertical="center" wrapText="1"/>
    </xf>
    <xf numFmtId="49" fontId="37" fillId="0" borderId="2" xfId="0" quotePrefix="1" applyNumberFormat="1" applyFont="1" applyBorder="1" applyAlignment="1">
      <alignment horizontal="left" vertical="center" wrapText="1"/>
    </xf>
    <xf numFmtId="0" fontId="30" fillId="0" borderId="0" xfId="14" applyFont="1" applyAlignment="1">
      <alignment vertical="center" wrapText="1"/>
    </xf>
    <xf numFmtId="0" fontId="42" fillId="0" borderId="35" xfId="14" applyFont="1" applyBorder="1" applyAlignment="1">
      <alignment horizontal="left" vertical="center" wrapText="1"/>
    </xf>
    <xf numFmtId="0" fontId="30" fillId="0" borderId="0" xfId="14" applyFont="1" applyAlignment="1">
      <alignment horizontal="right" vertical="center" wrapText="1"/>
    </xf>
    <xf numFmtId="3" fontId="30" fillId="0" borderId="0" xfId="14" applyNumberFormat="1" applyFont="1" applyAlignment="1">
      <alignment horizontal="right" vertical="center" wrapText="1"/>
    </xf>
    <xf numFmtId="0" fontId="30" fillId="0" borderId="0" xfId="14" applyFont="1" applyAlignment="1">
      <alignment horizontal="center" vertical="center" wrapText="1"/>
    </xf>
    <xf numFmtId="0" fontId="30" fillId="0" borderId="0" xfId="14" applyFont="1" applyAlignment="1">
      <alignment horizontal="left" vertical="center" wrapText="1"/>
    </xf>
    <xf numFmtId="0" fontId="30" fillId="0" borderId="0" xfId="14" applyFont="1" applyAlignment="1">
      <alignment horizontal="justify" vertical="center" wrapText="1"/>
    </xf>
    <xf numFmtId="0" fontId="12" fillId="2" borderId="0" xfId="0" applyFont="1" applyFill="1" applyAlignment="1">
      <alignment horizontal="center" vertical="center" wrapText="1"/>
    </xf>
    <xf numFmtId="0" fontId="37" fillId="0" borderId="35" xfId="0" applyFont="1" applyBorder="1" applyAlignment="1">
      <alignment vertical="center" wrapText="1"/>
    </xf>
    <xf numFmtId="0" fontId="0" fillId="2" borderId="0" xfId="0" applyFill="1"/>
    <xf numFmtId="0" fontId="34" fillId="18" borderId="0" xfId="13" applyFill="1"/>
    <xf numFmtId="0" fontId="34" fillId="0" borderId="35" xfId="13" applyBorder="1"/>
    <xf numFmtId="0" fontId="25" fillId="0" borderId="1" xfId="13" applyFont="1" applyBorder="1" applyAlignment="1">
      <alignment wrapText="1"/>
    </xf>
    <xf numFmtId="0" fontId="34" fillId="0" borderId="0" xfId="13" applyAlignment="1">
      <alignment vertical="center"/>
    </xf>
    <xf numFmtId="0" fontId="15" fillId="0" borderId="0" xfId="14" applyFont="1" applyAlignment="1">
      <alignment vertical="center" wrapText="1"/>
    </xf>
    <xf numFmtId="0" fontId="15" fillId="0" borderId="0" xfId="14" applyFont="1" applyAlignment="1">
      <alignment horizontal="center" vertical="center" wrapText="1"/>
    </xf>
    <xf numFmtId="3" fontId="15" fillId="0" borderId="35" xfId="14" applyNumberFormat="1" applyFont="1" applyBorder="1" applyAlignment="1">
      <alignment horizontal="center" vertical="center" wrapText="1"/>
    </xf>
    <xf numFmtId="170" fontId="15" fillId="0" borderId="35" xfId="14" applyNumberFormat="1" applyFont="1" applyBorder="1" applyAlignment="1">
      <alignment horizontal="center" vertical="center" wrapText="1"/>
    </xf>
    <xf numFmtId="0" fontId="16" fillId="0" borderId="0" xfId="14" applyFont="1" applyAlignment="1">
      <alignment horizontal="center" vertical="center" wrapText="1"/>
    </xf>
    <xf numFmtId="0" fontId="15" fillId="0" borderId="35" xfId="14" applyFont="1" applyBorder="1" applyAlignment="1">
      <alignment horizontal="left" vertical="center" wrapText="1"/>
    </xf>
    <xf numFmtId="0" fontId="15" fillId="0" borderId="35" xfId="14" applyFont="1" applyBorder="1" applyAlignment="1">
      <alignment horizontal="right" vertical="center" wrapText="1"/>
    </xf>
    <xf numFmtId="3" fontId="15" fillId="0" borderId="35" xfId="14" applyNumberFormat="1" applyFont="1" applyBorder="1" applyAlignment="1">
      <alignment horizontal="right" vertical="center" wrapText="1"/>
    </xf>
    <xf numFmtId="3" fontId="15" fillId="0" borderId="35" xfId="15" applyNumberFormat="1" applyFont="1" applyFill="1" applyBorder="1" applyAlignment="1">
      <alignment horizontal="right" vertical="center" wrapText="1"/>
    </xf>
    <xf numFmtId="3" fontId="15" fillId="0" borderId="0" xfId="14" applyNumberFormat="1" applyFont="1" applyAlignment="1">
      <alignment horizontal="center" vertical="center" wrapText="1"/>
    </xf>
    <xf numFmtId="0" fontId="15" fillId="0" borderId="0" xfId="14" applyFont="1" applyAlignment="1">
      <alignment horizontal="left" vertical="center" wrapText="1"/>
    </xf>
    <xf numFmtId="0" fontId="15" fillId="0" borderId="0" xfId="14" applyFont="1" applyAlignment="1">
      <alignment horizontal="right" vertical="center" wrapText="1"/>
    </xf>
    <xf numFmtId="3" fontId="15" fillId="0" borderId="0" xfId="14" applyNumberFormat="1" applyFont="1" applyAlignment="1">
      <alignment horizontal="right" vertical="center" wrapText="1"/>
    </xf>
    <xf numFmtId="0" fontId="15" fillId="0" borderId="0" xfId="14" applyFont="1" applyAlignment="1">
      <alignment horizontal="justify" vertical="center" wrapText="1"/>
    </xf>
    <xf numFmtId="0" fontId="16" fillId="0" borderId="37" xfId="14" applyFont="1" applyBorder="1" applyAlignment="1">
      <alignment vertical="center" wrapText="1"/>
    </xf>
    <xf numFmtId="0" fontId="16" fillId="0" borderId="39" xfId="14" applyFont="1" applyBorder="1" applyAlignment="1">
      <alignment vertical="center" wrapText="1"/>
    </xf>
    <xf numFmtId="172" fontId="34" fillId="0" borderId="35" xfId="16" applyNumberFormat="1" applyFont="1" applyBorder="1"/>
    <xf numFmtId="0" fontId="25" fillId="0" borderId="0" xfId="13" applyFont="1"/>
    <xf numFmtId="0" fontId="25" fillId="2" borderId="0" xfId="13" applyFont="1" applyFill="1"/>
    <xf numFmtId="0" fontId="9" fillId="0" borderId="2" xfId="0" applyFont="1" applyBorder="1" applyAlignment="1">
      <alignment horizontal="left" vertical="center" wrapText="1" indent="1"/>
    </xf>
    <xf numFmtId="0" fontId="45" fillId="0" borderId="2" xfId="0" applyFont="1" applyBorder="1" applyAlignment="1">
      <alignment horizontal="center" vertical="center" wrapText="1"/>
    </xf>
    <xf numFmtId="0" fontId="9" fillId="0" borderId="5" xfId="0" applyFont="1" applyBorder="1" applyAlignment="1">
      <alignment horizontal="left" vertical="center" wrapText="1" indent="1"/>
    </xf>
    <xf numFmtId="16" fontId="34" fillId="0" borderId="35" xfId="13" applyNumberFormat="1" applyBorder="1"/>
    <xf numFmtId="172" fontId="34" fillId="0" borderId="35" xfId="13" applyNumberFormat="1" applyBorder="1"/>
    <xf numFmtId="3" fontId="37" fillId="3" borderId="3" xfId="0" applyNumberFormat="1" applyFont="1" applyFill="1" applyBorder="1" applyAlignment="1">
      <alignment horizontal="right" vertical="center" wrapText="1"/>
    </xf>
    <xf numFmtId="0" fontId="15" fillId="0" borderId="35" xfId="14" applyFont="1" applyBorder="1" applyAlignment="1">
      <alignment horizontal="center" vertical="center" wrapText="1"/>
    </xf>
    <xf numFmtId="3" fontId="15" fillId="0" borderId="0" xfId="14" applyNumberFormat="1" applyFont="1" applyAlignment="1">
      <alignment vertical="center" wrapText="1"/>
    </xf>
    <xf numFmtId="0" fontId="15" fillId="0" borderId="36" xfId="14" applyFont="1" applyBorder="1" applyAlignment="1">
      <alignment horizontal="center" vertical="center" wrapText="1"/>
    </xf>
    <xf numFmtId="0" fontId="15" fillId="0" borderId="10" xfId="14" applyFont="1" applyBorder="1" applyAlignment="1">
      <alignment horizontal="center" vertical="center" wrapText="1"/>
    </xf>
    <xf numFmtId="0" fontId="16" fillId="0" borderId="37" xfId="14" applyFont="1" applyBorder="1" applyAlignment="1">
      <alignment vertical="center"/>
    </xf>
    <xf numFmtId="0" fontId="16" fillId="0" borderId="39" xfId="14" applyFont="1" applyBorder="1" applyAlignment="1">
      <alignment vertical="center"/>
    </xf>
    <xf numFmtId="0" fontId="16" fillId="0" borderId="38" xfId="14" applyFont="1" applyBorder="1" applyAlignment="1">
      <alignment vertical="center"/>
    </xf>
    <xf numFmtId="0" fontId="42" fillId="0" borderId="0" xfId="14" applyFont="1" applyAlignment="1">
      <alignment vertical="center" wrapText="1"/>
    </xf>
    <xf numFmtId="0" fontId="42" fillId="0" borderId="36" xfId="14" applyFont="1" applyBorder="1" applyAlignment="1">
      <alignment horizontal="center" vertical="center" wrapText="1"/>
    </xf>
    <xf numFmtId="168" fontId="42" fillId="0" borderId="0" xfId="15" applyNumberFormat="1" applyFont="1" applyFill="1" applyAlignment="1">
      <alignment horizontal="center" vertical="center" wrapText="1"/>
    </xf>
    <xf numFmtId="0" fontId="42" fillId="0" borderId="0" xfId="14" applyFont="1" applyAlignment="1">
      <alignment horizontal="center" vertical="center" wrapText="1"/>
    </xf>
    <xf numFmtId="0" fontId="42" fillId="0" borderId="10" xfId="14" applyFont="1" applyBorder="1" applyAlignment="1">
      <alignment horizontal="center" vertical="center" wrapText="1"/>
    </xf>
    <xf numFmtId="170" fontId="42" fillId="0" borderId="35" xfId="14" applyNumberFormat="1" applyFont="1" applyBorder="1" applyAlignment="1">
      <alignment horizontal="center" vertical="center" wrapText="1"/>
    </xf>
    <xf numFmtId="168" fontId="42" fillId="0" borderId="35" xfId="15" applyNumberFormat="1" applyFont="1" applyFill="1" applyBorder="1" applyAlignment="1">
      <alignment horizontal="center" vertical="center" wrapText="1"/>
    </xf>
    <xf numFmtId="0" fontId="48" fillId="0" borderId="37" xfId="14" applyFont="1" applyBorder="1" applyAlignment="1">
      <alignment vertical="center"/>
    </xf>
    <xf numFmtId="0" fontId="48" fillId="0" borderId="39" xfId="14" applyFont="1" applyBorder="1" applyAlignment="1">
      <alignment vertical="center"/>
    </xf>
    <xf numFmtId="168" fontId="48" fillId="0" borderId="0" xfId="15" applyNumberFormat="1" applyFont="1" applyFill="1" applyAlignment="1">
      <alignment horizontal="center" vertical="center" wrapText="1"/>
    </xf>
    <xf numFmtId="0" fontId="48" fillId="0" borderId="0" xfId="14" applyFont="1" applyAlignment="1">
      <alignment horizontal="center" vertical="center" wrapText="1"/>
    </xf>
    <xf numFmtId="0" fontId="42" fillId="0" borderId="35" xfId="14" applyFont="1" applyBorder="1" applyAlignment="1">
      <alignment horizontal="center" vertical="center" wrapText="1"/>
    </xf>
    <xf numFmtId="3" fontId="42" fillId="0" borderId="35" xfId="14" applyNumberFormat="1" applyFont="1" applyBorder="1" applyAlignment="1">
      <alignment horizontal="right" vertical="center" wrapText="1"/>
    </xf>
    <xf numFmtId="3" fontId="42" fillId="0" borderId="35" xfId="15" applyNumberFormat="1" applyFont="1" applyFill="1" applyBorder="1" applyAlignment="1">
      <alignment horizontal="right" vertical="center" wrapText="1"/>
    </xf>
    <xf numFmtId="3" fontId="42" fillId="0" borderId="35" xfId="14" applyNumberFormat="1" applyFont="1" applyBorder="1" applyAlignment="1">
      <alignment vertical="center" wrapText="1"/>
    </xf>
    <xf numFmtId="168" fontId="42" fillId="0" borderId="0" xfId="15" applyNumberFormat="1" applyFont="1" applyFill="1" applyAlignment="1">
      <alignment vertical="center" wrapText="1"/>
    </xf>
    <xf numFmtId="0" fontId="42" fillId="0" borderId="0" xfId="14" applyFont="1" applyAlignment="1">
      <alignment horizontal="right" vertical="center" wrapText="1"/>
    </xf>
    <xf numFmtId="170" fontId="30" fillId="0" borderId="0" xfId="15" applyNumberFormat="1" applyFont="1" applyFill="1" applyAlignment="1">
      <alignment horizontal="right" vertical="center" wrapText="1"/>
    </xf>
    <xf numFmtId="172" fontId="5" fillId="0" borderId="0" xfId="16" applyNumberFormat="1" applyFont="1" applyAlignment="1">
      <alignment horizontal="center" vertical="center"/>
    </xf>
    <xf numFmtId="172" fontId="42" fillId="0" borderId="0" xfId="16" applyNumberFormat="1" applyFont="1" applyFill="1" applyAlignment="1">
      <alignment horizontal="center" vertical="center" wrapText="1"/>
    </xf>
    <xf numFmtId="172" fontId="42" fillId="0" borderId="0" xfId="16" applyNumberFormat="1" applyFont="1" applyFill="1" applyAlignment="1">
      <alignment vertical="center" wrapText="1"/>
    </xf>
    <xf numFmtId="172" fontId="30" fillId="0" borderId="0" xfId="16" applyNumberFormat="1" applyFont="1" applyFill="1" applyAlignment="1">
      <alignment vertical="center" wrapText="1"/>
    </xf>
    <xf numFmtId="172" fontId="48" fillId="0" borderId="0" xfId="16" applyNumberFormat="1" applyFont="1" applyFill="1" applyAlignment="1">
      <alignment horizontal="center" vertical="center" wrapText="1"/>
    </xf>
    <xf numFmtId="0" fontId="0" fillId="20" borderId="0" xfId="0" applyFill="1"/>
    <xf numFmtId="172" fontId="34" fillId="0" borderId="0" xfId="16" applyNumberFormat="1" applyFont="1"/>
    <xf numFmtId="0" fontId="34" fillId="21" borderId="0" xfId="13" applyFill="1"/>
    <xf numFmtId="0" fontId="42" fillId="0" borderId="0" xfId="0" applyFont="1" applyAlignment="1">
      <alignment vertical="center" wrapText="1"/>
    </xf>
    <xf numFmtId="0" fontId="0" fillId="0" borderId="0" xfId="0" applyAlignment="1">
      <alignment horizontal="left" vertical="top"/>
    </xf>
    <xf numFmtId="0" fontId="0" fillId="0" borderId="35" xfId="0" applyBorder="1" applyAlignment="1">
      <alignment horizontal="left" vertical="top"/>
    </xf>
    <xf numFmtId="0" fontId="33" fillId="0" borderId="35" xfId="0" applyFont="1" applyBorder="1" applyAlignment="1">
      <alignment horizontal="left" vertical="top"/>
    </xf>
    <xf numFmtId="0" fontId="33" fillId="0" borderId="0" xfId="0" applyFont="1" applyAlignment="1">
      <alignment horizontal="left" vertical="top"/>
    </xf>
    <xf numFmtId="0" fontId="42" fillId="0" borderId="0" xfId="0" applyFont="1" applyAlignment="1">
      <alignment horizontal="left" vertical="center" wrapText="1"/>
    </xf>
    <xf numFmtId="3" fontId="37" fillId="0" borderId="0" xfId="0" applyNumberFormat="1" applyFont="1" applyAlignment="1">
      <alignment horizontal="right" vertical="center" wrapText="1"/>
    </xf>
    <xf numFmtId="0" fontId="34" fillId="0" borderId="36" xfId="13" applyBorder="1"/>
    <xf numFmtId="3" fontId="16" fillId="0" borderId="35" xfId="15" applyNumberFormat="1" applyFont="1" applyFill="1" applyBorder="1" applyAlignment="1">
      <alignment horizontal="right" vertical="center" wrapText="1"/>
    </xf>
    <xf numFmtId="3" fontId="16" fillId="2" borderId="35" xfId="15" applyNumberFormat="1" applyFont="1" applyFill="1" applyBorder="1" applyAlignment="1">
      <alignment horizontal="right" vertical="center" wrapText="1"/>
    </xf>
    <xf numFmtId="3" fontId="16" fillId="0" borderId="0" xfId="14" applyNumberFormat="1" applyFont="1" applyAlignment="1">
      <alignment vertical="center" wrapText="1"/>
    </xf>
    <xf numFmtId="0" fontId="37" fillId="2" borderId="2" xfId="0" applyFont="1" applyFill="1" applyBorder="1" applyAlignment="1">
      <alignment horizontal="center" vertical="center" wrapText="1"/>
    </xf>
    <xf numFmtId="0" fontId="35" fillId="0" borderId="34" xfId="0" applyFont="1" applyBorder="1" applyAlignment="1">
      <alignment horizontal="left" vertical="center"/>
    </xf>
    <xf numFmtId="0" fontId="36" fillId="0" borderId="34" xfId="0" applyFont="1" applyBorder="1" applyAlignment="1">
      <alignment horizontal="left" vertical="center"/>
    </xf>
    <xf numFmtId="0" fontId="34" fillId="0" borderId="35" xfId="13" applyBorder="1" applyAlignment="1">
      <alignment horizontal="center"/>
    </xf>
    <xf numFmtId="0" fontId="34" fillId="0" borderId="0" xfId="13" applyAlignment="1">
      <alignment horizontal="center"/>
    </xf>
    <xf numFmtId="0" fontId="37" fillId="3" borderId="2" xfId="0" applyFont="1" applyFill="1" applyBorder="1" applyAlignment="1">
      <alignment horizontal="center" vertical="center" wrapText="1"/>
    </xf>
    <xf numFmtId="16" fontId="0" fillId="0" borderId="0" xfId="0" applyNumberFormat="1"/>
    <xf numFmtId="14" fontId="0" fillId="0" borderId="0" xfId="0" applyNumberFormat="1"/>
    <xf numFmtId="3" fontId="12" fillId="3" borderId="3" xfId="0" applyNumberFormat="1" applyFont="1" applyFill="1" applyBorder="1" applyAlignment="1">
      <alignment horizontal="right" vertical="center" wrapText="1"/>
    </xf>
    <xf numFmtId="3" fontId="37" fillId="3" borderId="3" xfId="0" applyNumberFormat="1" applyFont="1" applyFill="1" applyBorder="1" applyAlignment="1">
      <alignment horizontal="left" vertical="center"/>
    </xf>
    <xf numFmtId="0" fontId="35" fillId="0" borderId="34" xfId="0" quotePrefix="1" applyFont="1" applyBorder="1" applyAlignment="1">
      <alignment horizontal="left" vertical="center"/>
    </xf>
    <xf numFmtId="0" fontId="44" fillId="0" borderId="0" xfId="0" applyFont="1" applyAlignment="1">
      <alignment horizontal="left" vertical="center" indent="2"/>
    </xf>
    <xf numFmtId="3" fontId="48" fillId="0" borderId="35" xfId="15" applyNumberFormat="1" applyFont="1" applyFill="1" applyBorder="1" applyAlignment="1">
      <alignment horizontal="right" vertical="center" wrapText="1"/>
    </xf>
    <xf numFmtId="3" fontId="0" fillId="0" borderId="0" xfId="0" applyNumberFormat="1"/>
    <xf numFmtId="0" fontId="50" fillId="0" borderId="35" xfId="13" applyFont="1" applyBorder="1"/>
    <xf numFmtId="0" fontId="6" fillId="0" borderId="0" xfId="0" applyFont="1" applyAlignment="1">
      <alignment horizontal="center" vertical="center" wrapText="1"/>
    </xf>
    <xf numFmtId="0" fontId="6" fillId="0" borderId="0" xfId="0" applyFont="1" applyAlignment="1">
      <alignment vertical="center" wrapText="1"/>
    </xf>
    <xf numFmtId="0" fontId="10" fillId="0" borderId="0" xfId="0" applyFont="1" applyAlignment="1">
      <alignment vertical="center" wrapText="1"/>
    </xf>
    <xf numFmtId="0" fontId="9" fillId="0" borderId="0" xfId="0" applyFont="1" applyAlignment="1">
      <alignment vertical="center" wrapText="1"/>
    </xf>
    <xf numFmtId="0" fontId="9" fillId="0" borderId="0" xfId="0" applyFont="1" applyAlignment="1">
      <alignment vertical="center"/>
    </xf>
    <xf numFmtId="0" fontId="0" fillId="0" borderId="0" xfId="0" applyAlignment="1">
      <alignment horizontal="center"/>
    </xf>
    <xf numFmtId="0" fontId="36" fillId="0" borderId="35" xfId="13" applyFont="1" applyBorder="1" applyAlignment="1">
      <alignment horizontal="left" vertical="center"/>
    </xf>
    <xf numFmtId="0" fontId="34" fillId="22" borderId="0" xfId="13" applyFill="1"/>
    <xf numFmtId="172" fontId="25" fillId="0" borderId="0" xfId="16" applyNumberFormat="1" applyFont="1"/>
    <xf numFmtId="172" fontId="25" fillId="0" borderId="35" xfId="13" applyNumberFormat="1" applyFont="1" applyBorder="1"/>
    <xf numFmtId="0" fontId="51" fillId="0" borderId="0" xfId="0" applyFont="1"/>
    <xf numFmtId="0" fontId="52" fillId="3" borderId="36" xfId="13" applyFont="1" applyFill="1" applyBorder="1"/>
    <xf numFmtId="0" fontId="4" fillId="0" borderId="41" xfId="0" applyFont="1" applyBorder="1"/>
    <xf numFmtId="0" fontId="52" fillId="3" borderId="2" xfId="13" applyFont="1" applyFill="1" applyBorder="1"/>
    <xf numFmtId="0" fontId="4" fillId="0" borderId="7" xfId="0" applyFont="1" applyBorder="1"/>
    <xf numFmtId="14" fontId="12" fillId="3" borderId="2" xfId="0" applyNumberFormat="1" applyFont="1" applyFill="1" applyBorder="1" applyAlignment="1">
      <alignment horizontal="left" vertical="center" wrapText="1"/>
    </xf>
    <xf numFmtId="0" fontId="52" fillId="3" borderId="35" xfId="13" applyFont="1" applyFill="1" applyBorder="1"/>
    <xf numFmtId="14" fontId="12" fillId="3" borderId="35" xfId="0" applyNumberFormat="1" applyFont="1" applyFill="1" applyBorder="1" applyAlignment="1">
      <alignment horizontal="left" vertical="center" wrapText="1"/>
    </xf>
    <xf numFmtId="0" fontId="52" fillId="0" borderId="45" xfId="6" applyFont="1" applyBorder="1"/>
    <xf numFmtId="0" fontId="52" fillId="0" borderId="7" xfId="6" applyFont="1" applyBorder="1"/>
    <xf numFmtId="0" fontId="52" fillId="0" borderId="42" xfId="6" applyFont="1" applyBorder="1"/>
    <xf numFmtId="0" fontId="52" fillId="0" borderId="43" xfId="6" applyFont="1" applyBorder="1"/>
    <xf numFmtId="0" fontId="52" fillId="0" borderId="0" xfId="6" applyFont="1"/>
    <xf numFmtId="0" fontId="49" fillId="0" borderId="0" xfId="14" applyFont="1" applyAlignment="1">
      <alignment horizontal="left" vertical="center" wrapText="1"/>
    </xf>
    <xf numFmtId="0" fontId="42" fillId="0" borderId="0" xfId="14" applyFont="1" applyAlignment="1">
      <alignment horizontal="left" vertical="center" wrapText="1"/>
    </xf>
    <xf numFmtId="3" fontId="42" fillId="22" borderId="0" xfId="14" applyNumberFormat="1" applyFont="1" applyFill="1" applyAlignment="1">
      <alignment horizontal="left" vertical="center" wrapText="1"/>
    </xf>
    <xf numFmtId="3" fontId="42" fillId="0" borderId="0" xfId="14" applyNumberFormat="1" applyFont="1" applyAlignment="1">
      <alignment horizontal="left" vertical="center" wrapText="1"/>
    </xf>
    <xf numFmtId="0" fontId="36" fillId="0" borderId="35" xfId="0" applyFont="1" applyBorder="1" applyAlignment="1">
      <alignment horizontal="left" vertical="center"/>
    </xf>
    <xf numFmtId="0" fontId="37" fillId="19" borderId="0" xfId="0" applyFont="1" applyFill="1" applyAlignment="1">
      <alignment vertical="center" wrapText="1"/>
    </xf>
    <xf numFmtId="0" fontId="20" fillId="0" borderId="0" xfId="6" quotePrefix="1"/>
    <xf numFmtId="0" fontId="20" fillId="0" borderId="35" xfId="6" applyBorder="1"/>
    <xf numFmtId="0" fontId="34" fillId="0" borderId="35" xfId="13" applyBorder="1" applyAlignment="1">
      <alignment wrapText="1"/>
    </xf>
    <xf numFmtId="0" fontId="25" fillId="0" borderId="35" xfId="13" applyFont="1" applyBorder="1" applyAlignment="1">
      <alignment wrapText="1"/>
    </xf>
    <xf numFmtId="0" fontId="24" fillId="0" borderId="0" xfId="6" applyFont="1" applyAlignment="1">
      <alignment wrapText="1"/>
    </xf>
    <xf numFmtId="0" fontId="53" fillId="0" borderId="0" xfId="17" applyFont="1" applyAlignment="1">
      <alignment horizontal="left" vertical="center"/>
    </xf>
    <xf numFmtId="0" fontId="34" fillId="0" borderId="0" xfId="13" quotePrefix="1"/>
    <xf numFmtId="49" fontId="20" fillId="0" borderId="35" xfId="6" applyNumberFormat="1" applyBorder="1"/>
    <xf numFmtId="172" fontId="40" fillId="2" borderId="0" xfId="16" applyNumberFormat="1" applyFont="1" applyFill="1" applyAlignment="1">
      <alignment vertical="center" wrapText="1"/>
    </xf>
    <xf numFmtId="172" fontId="37" fillId="0" borderId="0" xfId="0" applyNumberFormat="1" applyFont="1" applyAlignment="1">
      <alignment vertical="center" wrapText="1"/>
    </xf>
    <xf numFmtId="0" fontId="54" fillId="0" borderId="0" xfId="13" applyFont="1"/>
    <xf numFmtId="3" fontId="37" fillId="3" borderId="2" xfId="0" applyNumberFormat="1" applyFont="1" applyFill="1" applyBorder="1" applyAlignment="1">
      <alignment horizontal="left" vertical="center" wrapText="1"/>
    </xf>
    <xf numFmtId="0" fontId="55" fillId="0" borderId="0" xfId="0" applyFont="1" applyAlignment="1">
      <alignment horizontal="left" vertical="center"/>
    </xf>
    <xf numFmtId="0" fontId="55" fillId="0" borderId="0" xfId="0" applyFont="1" applyAlignment="1">
      <alignment vertical="center"/>
    </xf>
    <xf numFmtId="0" fontId="55" fillId="0" borderId="0" xfId="0" applyFont="1" applyAlignment="1">
      <alignment horizontal="center" vertical="center"/>
    </xf>
    <xf numFmtId="3" fontId="15" fillId="0" borderId="35" xfId="15" applyNumberFormat="1" applyFont="1" applyFill="1" applyBorder="1" applyAlignment="1">
      <alignment horizontal="left" vertical="center"/>
    </xf>
    <xf numFmtId="0" fontId="3" fillId="0" borderId="35" xfId="13" applyFont="1" applyBorder="1"/>
    <xf numFmtId="0" fontId="3" fillId="0" borderId="0" xfId="13" applyFont="1"/>
    <xf numFmtId="0" fontId="34" fillId="19" borderId="35" xfId="13" applyFill="1" applyBorder="1"/>
    <xf numFmtId="0" fontId="3" fillId="0" borderId="0" xfId="13" quotePrefix="1" applyFont="1"/>
    <xf numFmtId="14" fontId="2" fillId="0" borderId="0" xfId="13" applyNumberFormat="1" applyFont="1"/>
    <xf numFmtId="0" fontId="2" fillId="0" borderId="0" xfId="13" applyFont="1"/>
    <xf numFmtId="0" fontId="12" fillId="0" borderId="35" xfId="0" applyFont="1" applyBorder="1" applyAlignment="1">
      <alignment vertical="center"/>
    </xf>
    <xf numFmtId="0" fontId="11" fillId="0" borderId="35" xfId="0" applyFont="1" applyBorder="1" applyAlignment="1">
      <alignment vertical="center"/>
    </xf>
    <xf numFmtId="0" fontId="4" fillId="0" borderId="0" xfId="0" applyFont="1" applyAlignment="1">
      <alignment vertical="center"/>
    </xf>
    <xf numFmtId="0" fontId="5" fillId="2" borderId="0" xfId="0" applyFont="1" applyFill="1" applyAlignment="1">
      <alignment vertical="center"/>
    </xf>
    <xf numFmtId="0" fontId="11" fillId="0" borderId="35" xfId="0" applyFont="1" applyBorder="1" applyAlignment="1">
      <alignment vertical="center" wrapText="1"/>
    </xf>
    <xf numFmtId="0" fontId="21" fillId="0" borderId="0" xfId="0" applyFont="1" applyAlignment="1">
      <alignment wrapText="1"/>
    </xf>
    <xf numFmtId="0" fontId="56" fillId="0" borderId="0" xfId="0" applyFont="1" applyAlignment="1">
      <alignment wrapText="1"/>
    </xf>
    <xf numFmtId="0" fontId="1" fillId="0" borderId="1" xfId="13" applyFont="1" applyBorder="1"/>
    <xf numFmtId="0" fontId="1" fillId="0" borderId="35" xfId="13" applyFont="1" applyBorder="1"/>
    <xf numFmtId="0" fontId="1" fillId="0" borderId="0" xfId="13" applyFont="1"/>
    <xf numFmtId="0" fontId="1" fillId="0" borderId="35" xfId="13" applyFont="1" applyBorder="1" applyAlignment="1">
      <alignment horizontal="center"/>
    </xf>
    <xf numFmtId="3" fontId="20" fillId="0" borderId="0" xfId="6" applyNumberFormat="1"/>
    <xf numFmtId="0" fontId="38" fillId="0" borderId="6" xfId="17" quotePrefix="1" applyFont="1" applyBorder="1" applyAlignment="1">
      <alignment vertical="center" wrapText="1"/>
    </xf>
    <xf numFmtId="172" fontId="1" fillId="0" borderId="0" xfId="16" applyNumberFormat="1" applyFont="1"/>
    <xf numFmtId="0" fontId="1" fillId="2" borderId="0" xfId="13" applyFont="1" applyFill="1"/>
    <xf numFmtId="172" fontId="1" fillId="2" borderId="0" xfId="16" applyNumberFormat="1" applyFont="1" applyFill="1"/>
    <xf numFmtId="0" fontId="1" fillId="0" borderId="0" xfId="13" quotePrefix="1" applyFont="1"/>
    <xf numFmtId="172" fontId="34" fillId="0" borderId="0" xfId="13" applyNumberFormat="1"/>
    <xf numFmtId="0" fontId="36" fillId="0" borderId="13" xfId="13" applyFont="1" applyBorder="1" applyAlignment="1">
      <alignment horizontal="left" vertical="center"/>
    </xf>
    <xf numFmtId="0" fontId="36" fillId="0" borderId="14" xfId="13" applyFont="1" applyBorder="1" applyAlignment="1">
      <alignment horizontal="left" vertical="center"/>
    </xf>
    <xf numFmtId="0" fontId="34" fillId="0" borderId="46" xfId="13" applyBorder="1"/>
    <xf numFmtId="0" fontId="34" fillId="0" borderId="47" xfId="13" applyBorder="1"/>
    <xf numFmtId="0" fontId="36" fillId="0" borderId="17" xfId="13" applyFont="1" applyBorder="1" applyAlignment="1">
      <alignment horizontal="left" vertical="center"/>
    </xf>
    <xf numFmtId="0" fontId="34" fillId="0" borderId="48" xfId="13" applyBorder="1"/>
    <xf numFmtId="0" fontId="36" fillId="0" borderId="49" xfId="13" applyFont="1" applyBorder="1" applyAlignment="1">
      <alignment horizontal="left" vertical="center"/>
    </xf>
    <xf numFmtId="0" fontId="34" fillId="0" borderId="50" xfId="13" applyBorder="1"/>
    <xf numFmtId="0" fontId="34" fillId="0" borderId="51" xfId="13" applyBorder="1"/>
    <xf numFmtId="172" fontId="15" fillId="0" borderId="0" xfId="16" applyNumberFormat="1" applyFont="1" applyAlignment="1">
      <alignment vertical="center" wrapText="1"/>
    </xf>
    <xf numFmtId="3" fontId="16" fillId="23" borderId="35" xfId="15" applyNumberFormat="1" applyFont="1" applyFill="1" applyBorder="1" applyAlignment="1">
      <alignment horizontal="right" vertical="center" wrapText="1"/>
    </xf>
    <xf numFmtId="3" fontId="16" fillId="24" borderId="35" xfId="15" applyNumberFormat="1" applyFont="1" applyFill="1" applyBorder="1" applyAlignment="1">
      <alignment horizontal="right" vertical="center" wrapText="1"/>
    </xf>
    <xf numFmtId="0" fontId="57" fillId="25" borderId="52" xfId="0" applyFont="1" applyFill="1" applyBorder="1" applyAlignment="1">
      <alignment horizontal="center" wrapText="1"/>
    </xf>
    <xf numFmtId="0" fontId="57" fillId="25" borderId="53" xfId="0" applyFont="1" applyFill="1" applyBorder="1" applyAlignment="1">
      <alignment horizontal="center" wrapText="1"/>
    </xf>
    <xf numFmtId="3" fontId="37" fillId="0" borderId="11" xfId="0" applyNumberFormat="1" applyFont="1" applyBorder="1" applyAlignment="1">
      <alignment horizontal="center" vertical="center" wrapText="1"/>
    </xf>
    <xf numFmtId="14" fontId="37" fillId="0" borderId="11" xfId="0" applyNumberFormat="1" applyFont="1" applyBorder="1" applyAlignment="1">
      <alignment horizontal="center" vertical="center" wrapText="1"/>
    </xf>
    <xf numFmtId="0" fontId="37" fillId="0" borderId="36" xfId="0" applyFont="1" applyBorder="1" applyAlignment="1">
      <alignment horizontal="center" vertical="center" wrapText="1"/>
    </xf>
    <xf numFmtId="0" fontId="37" fillId="0" borderId="10" xfId="0" applyFont="1" applyBorder="1" applyAlignment="1">
      <alignment horizontal="center" vertical="center" wrapText="1"/>
    </xf>
    <xf numFmtId="0" fontId="37" fillId="0" borderId="35" xfId="0" applyFont="1" applyBorder="1" applyAlignment="1">
      <alignment horizontal="center" vertical="center" wrapText="1"/>
    </xf>
    <xf numFmtId="3" fontId="37" fillId="0" borderId="36" xfId="0" applyNumberFormat="1" applyFont="1" applyBorder="1" applyAlignment="1">
      <alignment horizontal="center" vertical="center" wrapText="1"/>
    </xf>
    <xf numFmtId="3" fontId="37" fillId="0" borderId="10" xfId="0" applyNumberFormat="1" applyFont="1" applyBorder="1" applyAlignment="1">
      <alignment horizontal="center" vertical="center" wrapText="1"/>
    </xf>
    <xf numFmtId="166" fontId="37" fillId="0" borderId="36" xfId="0" applyNumberFormat="1" applyFont="1" applyBorder="1" applyAlignment="1">
      <alignment horizontal="center" vertical="center" wrapText="1"/>
    </xf>
    <xf numFmtId="166" fontId="37" fillId="0" borderId="10" xfId="0" applyNumberFormat="1" applyFont="1" applyBorder="1" applyAlignment="1">
      <alignment horizontal="center" vertical="center" wrapText="1"/>
    </xf>
    <xf numFmtId="3" fontId="37" fillId="0" borderId="35" xfId="0" applyNumberFormat="1" applyFont="1" applyBorder="1" applyAlignment="1">
      <alignment horizontal="center" vertical="center" wrapText="1"/>
    </xf>
    <xf numFmtId="3" fontId="37" fillId="0" borderId="0" xfId="0" applyNumberFormat="1" applyFont="1" applyAlignment="1">
      <alignment horizontal="center" vertical="center" wrapText="1"/>
    </xf>
    <xf numFmtId="0" fontId="37" fillId="2" borderId="36" xfId="0" applyFont="1" applyFill="1" applyBorder="1" applyAlignment="1">
      <alignment horizontal="center" vertical="center" wrapText="1"/>
    </xf>
    <xf numFmtId="0" fontId="37" fillId="2" borderId="10" xfId="0" applyFont="1" applyFill="1" applyBorder="1" applyAlignment="1">
      <alignment horizontal="center" vertical="center" wrapText="1"/>
    </xf>
    <xf numFmtId="0" fontId="38" fillId="0" borderId="0" xfId="0" applyFont="1" applyAlignment="1">
      <alignment horizontal="center" vertical="center" wrapText="1"/>
    </xf>
    <xf numFmtId="0" fontId="11" fillId="0" borderId="0" xfId="0" applyFont="1" applyAlignment="1">
      <alignment horizontal="right" vertical="center" wrapText="1"/>
    </xf>
    <xf numFmtId="0" fontId="37" fillId="0" borderId="40" xfId="0" applyFont="1" applyBorder="1" applyAlignment="1">
      <alignment horizontal="center" vertical="center" wrapText="1"/>
    </xf>
    <xf numFmtId="0" fontId="37" fillId="0" borderId="44" xfId="0" applyFont="1" applyBorder="1" applyAlignment="1">
      <alignment horizontal="center" vertical="center" wrapText="1"/>
    </xf>
    <xf numFmtId="0" fontId="37" fillId="0" borderId="41" xfId="0" applyFont="1" applyBorder="1" applyAlignment="1">
      <alignment horizontal="center" vertical="center" wrapText="1"/>
    </xf>
    <xf numFmtId="49" fontId="37" fillId="2" borderId="36" xfId="0" applyNumberFormat="1" applyFont="1" applyFill="1" applyBorder="1" applyAlignment="1">
      <alignment horizontal="center" vertical="center" wrapText="1"/>
    </xf>
    <xf numFmtId="49" fontId="37" fillId="2" borderId="10" xfId="0" applyNumberFormat="1" applyFont="1" applyFill="1" applyBorder="1" applyAlignment="1">
      <alignment horizontal="center" vertical="center" wrapText="1"/>
    </xf>
    <xf numFmtId="3" fontId="37" fillId="0" borderId="37" xfId="0" applyNumberFormat="1" applyFont="1" applyBorder="1" applyAlignment="1">
      <alignment horizontal="center" vertical="center" wrapText="1"/>
    </xf>
    <xf numFmtId="3" fontId="37" fillId="0" borderId="39" xfId="0" applyNumberFormat="1" applyFont="1" applyBorder="1" applyAlignment="1">
      <alignment horizontal="center" vertical="center" wrapText="1"/>
    </xf>
    <xf numFmtId="3" fontId="37" fillId="0" borderId="38" xfId="0" applyNumberFormat="1" applyFont="1" applyBorder="1" applyAlignment="1">
      <alignment horizontal="center" vertical="center" wrapText="1"/>
    </xf>
    <xf numFmtId="14" fontId="37" fillId="2" borderId="36" xfId="0" applyNumberFormat="1" applyFont="1" applyFill="1" applyBorder="1" applyAlignment="1">
      <alignment horizontal="center" vertical="center" wrapText="1"/>
    </xf>
    <xf numFmtId="14" fontId="37" fillId="2" borderId="10" xfId="0" applyNumberFormat="1" applyFont="1" applyFill="1" applyBorder="1" applyAlignment="1">
      <alignment horizontal="center" vertical="center" wrapText="1"/>
    </xf>
    <xf numFmtId="0" fontId="37" fillId="17" borderId="35" xfId="0" applyFont="1" applyFill="1" applyBorder="1" applyAlignment="1">
      <alignment horizontal="center" vertical="center" wrapText="1"/>
    </xf>
    <xf numFmtId="0" fontId="11" fillId="0" borderId="0" xfId="0" applyFont="1" applyAlignment="1">
      <alignment horizontal="center" vertical="center" wrapText="1"/>
    </xf>
    <xf numFmtId="0" fontId="39" fillId="0" borderId="0" xfId="0" applyFont="1" applyAlignment="1">
      <alignment horizontal="center" vertical="center" wrapText="1"/>
    </xf>
    <xf numFmtId="0" fontId="6" fillId="0" borderId="6" xfId="0" applyFont="1" applyBorder="1" applyAlignment="1">
      <alignment horizontal="left" vertical="center"/>
    </xf>
    <xf numFmtId="0" fontId="10" fillId="0" borderId="4" xfId="0" applyFont="1" applyBorder="1" applyAlignment="1">
      <alignment horizontal="left" vertical="center"/>
    </xf>
    <xf numFmtId="0" fontId="6" fillId="0" borderId="0" xfId="0" applyFont="1" applyAlignment="1">
      <alignment horizontal="left" vertical="center" indent="1"/>
    </xf>
    <xf numFmtId="0" fontId="6" fillId="0" borderId="0" xfId="0" applyFont="1" applyAlignment="1">
      <alignment horizontal="left" vertical="center" wrapText="1"/>
    </xf>
    <xf numFmtId="0" fontId="6" fillId="0" borderId="0" xfId="0" applyFont="1" applyAlignment="1">
      <alignment horizontal="center" vertical="center" wrapText="1"/>
    </xf>
    <xf numFmtId="0" fontId="11" fillId="0" borderId="6" xfId="0" applyFont="1" applyBorder="1" applyAlignment="1">
      <alignment horizontal="center" wrapText="1"/>
    </xf>
    <xf numFmtId="0" fontId="13" fillId="0" borderId="0" xfId="0" applyFont="1" applyAlignment="1">
      <alignment horizontal="center" vertical="center" wrapText="1"/>
    </xf>
    <xf numFmtId="0" fontId="12" fillId="0" borderId="0" xfId="0" applyFont="1" applyAlignment="1">
      <alignment horizontal="right" vertical="center" wrapText="1"/>
    </xf>
    <xf numFmtId="0" fontId="6" fillId="0" borderId="0" xfId="0" applyFont="1" applyAlignment="1">
      <alignment horizontal="right" vertical="center" wrapText="1"/>
    </xf>
    <xf numFmtId="0" fontId="6" fillId="0" borderId="0" xfId="0" applyFont="1" applyAlignment="1">
      <alignment horizontal="left" vertical="center"/>
    </xf>
    <xf numFmtId="49" fontId="6" fillId="0" borderId="0" xfId="0" applyNumberFormat="1" applyFont="1" applyAlignment="1">
      <alignment horizontal="left" vertical="center"/>
    </xf>
    <xf numFmtId="0" fontId="13" fillId="0" borderId="0" xfId="0" applyFont="1" applyAlignment="1">
      <alignment horizontal="center" wrapText="1"/>
    </xf>
    <xf numFmtId="0" fontId="11" fillId="0" borderId="0" xfId="0" applyFont="1" applyAlignment="1">
      <alignment horizontal="right" wrapText="1"/>
    </xf>
    <xf numFmtId="0" fontId="12" fillId="0" borderId="0" xfId="0" applyFont="1" applyAlignment="1">
      <alignment horizontal="right" wrapText="1"/>
    </xf>
    <xf numFmtId="0" fontId="22" fillId="0" borderId="0" xfId="13" applyFont="1" applyAlignment="1">
      <alignment horizontal="center"/>
    </xf>
    <xf numFmtId="0" fontId="37" fillId="0" borderId="37" xfId="0" applyFont="1" applyBorder="1" applyAlignment="1">
      <alignment horizontal="center" vertical="center" wrapText="1"/>
    </xf>
    <xf numFmtId="0" fontId="37" fillId="0" borderId="38" xfId="0" applyFont="1" applyBorder="1" applyAlignment="1">
      <alignment horizontal="center" vertical="center" wrapText="1"/>
    </xf>
    <xf numFmtId="0" fontId="38" fillId="0" borderId="36" xfId="0" applyFont="1" applyBorder="1" applyAlignment="1">
      <alignment horizontal="center" vertical="center"/>
    </xf>
    <xf numFmtId="0" fontId="38" fillId="0" borderId="10" xfId="0" applyFont="1" applyBorder="1" applyAlignment="1">
      <alignment horizontal="center" vertical="center"/>
    </xf>
    <xf numFmtId="0" fontId="33" fillId="0" borderId="0" xfId="0" applyFont="1" applyAlignment="1">
      <alignment horizontal="center" vertical="top" wrapText="1"/>
    </xf>
    <xf numFmtId="0" fontId="49" fillId="0" borderId="0" xfId="14" applyFont="1" applyAlignment="1">
      <alignment horizontal="left" vertical="center" wrapText="1"/>
    </xf>
    <xf numFmtId="0" fontId="42" fillId="0" borderId="0" xfId="14" applyFont="1" applyAlignment="1">
      <alignment horizontal="left" vertical="center" wrapText="1"/>
    </xf>
    <xf numFmtId="0" fontId="47" fillId="0" borderId="0" xfId="14" applyFont="1" applyAlignment="1">
      <alignment horizontal="center" vertical="center" wrapText="1"/>
    </xf>
    <xf numFmtId="0" fontId="42" fillId="0" borderId="6" xfId="14" applyFont="1" applyBorder="1" applyAlignment="1">
      <alignment horizontal="right" vertical="center" wrapText="1"/>
    </xf>
    <xf numFmtId="0" fontId="42" fillId="0" borderId="35" xfId="14" applyFont="1" applyBorder="1" applyAlignment="1">
      <alignment horizontal="center" vertical="center" wrapText="1"/>
    </xf>
    <xf numFmtId="170" fontId="42" fillId="0" borderId="36" xfId="14" applyNumberFormat="1" applyFont="1" applyBorder="1" applyAlignment="1">
      <alignment horizontal="center" vertical="center" wrapText="1"/>
    </xf>
    <xf numFmtId="170" fontId="42" fillId="0" borderId="10" xfId="14" applyNumberFormat="1" applyFont="1" applyBorder="1" applyAlignment="1">
      <alignment horizontal="center" vertical="center" wrapText="1"/>
    </xf>
    <xf numFmtId="170" fontId="42" fillId="0" borderId="35" xfId="14" applyNumberFormat="1" applyFont="1" applyBorder="1" applyAlignment="1">
      <alignment horizontal="center" vertical="center" wrapText="1"/>
    </xf>
    <xf numFmtId="170" fontId="42" fillId="0" borderId="37" xfId="14" applyNumberFormat="1" applyFont="1" applyBorder="1" applyAlignment="1">
      <alignment horizontal="center" vertical="center" wrapText="1"/>
    </xf>
    <xf numFmtId="170" fontId="42" fillId="0" borderId="39" xfId="14" applyNumberFormat="1" applyFont="1" applyBorder="1" applyAlignment="1">
      <alignment horizontal="center" vertical="center" wrapText="1"/>
    </xf>
    <xf numFmtId="170" fontId="42" fillId="0" borderId="38" xfId="14" applyNumberFormat="1" applyFont="1" applyBorder="1" applyAlignment="1">
      <alignment horizontal="center" vertical="center" wrapText="1"/>
    </xf>
    <xf numFmtId="0" fontId="22" fillId="0" borderId="0" xfId="14" applyFont="1" applyAlignment="1">
      <alignment horizontal="center" vertical="center" wrapText="1"/>
    </xf>
    <xf numFmtId="0" fontId="15" fillId="0" borderId="6" xfId="14" applyFont="1" applyBorder="1" applyAlignment="1">
      <alignment horizontal="right" vertical="center" wrapText="1"/>
    </xf>
    <xf numFmtId="0" fontId="15" fillId="0" borderId="35" xfId="14" applyFont="1" applyBorder="1" applyAlignment="1">
      <alignment horizontal="center" vertical="center" wrapText="1"/>
    </xf>
    <xf numFmtId="0" fontId="15" fillId="0" borderId="36" xfId="14" applyFont="1" applyBorder="1" applyAlignment="1">
      <alignment horizontal="center" vertical="center" wrapText="1"/>
    </xf>
    <xf numFmtId="0" fontId="15" fillId="0" borderId="10" xfId="14" applyFont="1" applyBorder="1" applyAlignment="1">
      <alignment horizontal="center" vertical="center" wrapText="1"/>
    </xf>
    <xf numFmtId="3" fontId="15" fillId="0" borderId="36" xfId="14" applyNumberFormat="1" applyFont="1" applyBorder="1" applyAlignment="1">
      <alignment horizontal="center" vertical="center" wrapText="1"/>
    </xf>
    <xf numFmtId="3" fontId="15" fillId="0" borderId="10" xfId="14" applyNumberFormat="1" applyFont="1" applyBorder="1" applyAlignment="1">
      <alignment horizontal="center" vertical="center" wrapText="1"/>
    </xf>
    <xf numFmtId="170" fontId="15" fillId="0" borderId="40" xfId="14" applyNumberFormat="1" applyFont="1" applyBorder="1" applyAlignment="1">
      <alignment horizontal="center" vertical="center" wrapText="1"/>
    </xf>
    <xf numFmtId="170" fontId="15" fillId="0" borderId="41" xfId="14" applyNumberFormat="1" applyFont="1" applyBorder="1" applyAlignment="1">
      <alignment horizontal="center" vertical="center" wrapText="1"/>
    </xf>
    <xf numFmtId="170" fontId="15" fillId="0" borderId="42" xfId="14" applyNumberFormat="1" applyFont="1" applyBorder="1" applyAlignment="1">
      <alignment horizontal="center" vertical="center" wrapText="1"/>
    </xf>
    <xf numFmtId="170" fontId="15" fillId="0" borderId="43" xfId="14" applyNumberFormat="1" applyFont="1" applyBorder="1" applyAlignment="1">
      <alignment horizontal="center" vertical="center" wrapText="1"/>
    </xf>
    <xf numFmtId="3" fontId="29" fillId="4" borderId="20" xfId="10" applyNumberFormat="1" applyFont="1" applyFill="1" applyBorder="1" applyAlignment="1">
      <alignment horizontal="right" vertical="center"/>
    </xf>
    <xf numFmtId="0" fontId="30" fillId="0" borderId="21" xfId="10" applyFont="1" applyBorder="1"/>
    <xf numFmtId="0" fontId="30" fillId="0" borderId="22" xfId="10" applyFont="1" applyBorder="1"/>
  </cellXfs>
  <cellStyles count="18">
    <cellStyle name="Comma" xfId="16" builtinId="3"/>
    <cellStyle name="Comma [0] 2" xfId="2" xr:uid="{00000000-0005-0000-0000-000001000000}"/>
    <cellStyle name="Comma [0] 3" xfId="8" xr:uid="{00000000-0005-0000-0000-000002000000}"/>
    <cellStyle name="Comma 2" xfId="7" xr:uid="{00000000-0005-0000-0000-000003000000}"/>
    <cellStyle name="Comma 2 2" xfId="15" xr:uid="{00000000-0005-0000-0000-000004000000}"/>
    <cellStyle name="Hyperlink" xfId="11" builtinId="8"/>
    <cellStyle name="Normal" xfId="0" builtinId="0"/>
    <cellStyle name="Normal 2" xfId="1" xr:uid="{00000000-0005-0000-0000-000007000000}"/>
    <cellStyle name="Normal 2 2" xfId="9" xr:uid="{00000000-0005-0000-0000-000008000000}"/>
    <cellStyle name="Normal 2 3" xfId="14" xr:uid="{00000000-0005-0000-0000-000009000000}"/>
    <cellStyle name="Normal 3" xfId="3" xr:uid="{00000000-0005-0000-0000-00000A000000}"/>
    <cellStyle name="Normal 3 2" xfId="4" xr:uid="{00000000-0005-0000-0000-00000B000000}"/>
    <cellStyle name="Normal 3 3" xfId="5" xr:uid="{00000000-0005-0000-0000-00000C000000}"/>
    <cellStyle name="Normal 4" xfId="6" xr:uid="{00000000-0005-0000-0000-00000D000000}"/>
    <cellStyle name="Normal 4 3" xfId="17" xr:uid="{00000000-0005-0000-0000-00000E000000}"/>
    <cellStyle name="Normal 5" xfId="10" xr:uid="{00000000-0005-0000-0000-00000F000000}"/>
    <cellStyle name="Normal 6" xfId="12" xr:uid="{00000000-0005-0000-0000-000010000000}"/>
    <cellStyle name="Normal 7" xfId="13" xr:uid="{00000000-0005-0000-0000-000011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5.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106680</xdr:colOff>
          <xdr:row>2</xdr:row>
          <xdr:rowOff>137160</xdr:rowOff>
        </xdr:from>
        <xdr:to>
          <xdr:col>22</xdr:col>
          <xdr:colOff>144780</xdr:colOff>
          <xdr:row>3</xdr:row>
          <xdr:rowOff>83820</xdr:rowOff>
        </xdr:to>
        <xdr:sp macro="" textlink="">
          <xdr:nvSpPr>
            <xdr:cNvPr id="31752" name="Button 8" hidden="1">
              <a:extLst>
                <a:ext uri="{63B3BB69-23CF-44E3-9099-C40C66FF867C}">
                  <a14:compatExt spid="_x0000_s31752"/>
                </a:ext>
                <a:ext uri="{FF2B5EF4-FFF2-40B4-BE49-F238E27FC236}">
                  <a16:creationId xmlns:a16="http://schemas.microsoft.com/office/drawing/2014/main" id="{00000000-0008-0000-0000-000008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copy KH sang 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342900</xdr:colOff>
          <xdr:row>1</xdr:row>
          <xdr:rowOff>121920</xdr:rowOff>
        </xdr:from>
        <xdr:to>
          <xdr:col>6</xdr:col>
          <xdr:colOff>312420</xdr:colOff>
          <xdr:row>2</xdr:row>
          <xdr:rowOff>83820</xdr:rowOff>
        </xdr:to>
        <xdr:sp macro="" textlink="">
          <xdr:nvSpPr>
            <xdr:cNvPr id="31753" name="Button 9" hidden="1">
              <a:extLst>
                <a:ext uri="{63B3BB69-23CF-44E3-9099-C40C66FF867C}">
                  <a14:compatExt spid="_x0000_s31753"/>
                </a:ext>
                <a:ext uri="{FF2B5EF4-FFF2-40B4-BE49-F238E27FC236}">
                  <a16:creationId xmlns:a16="http://schemas.microsoft.com/office/drawing/2014/main" id="{00000000-0008-0000-0000-000009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Dien ngay luu 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90</xdr:row>
          <xdr:rowOff>175260</xdr:rowOff>
        </xdr:from>
        <xdr:to>
          <xdr:col>5</xdr:col>
          <xdr:colOff>213360</xdr:colOff>
          <xdr:row>188</xdr:row>
          <xdr:rowOff>38100</xdr:rowOff>
        </xdr:to>
        <xdr:sp macro="" textlink="">
          <xdr:nvSpPr>
            <xdr:cNvPr id="31754" name="Button 10" hidden="1">
              <a:extLst>
                <a:ext uri="{63B3BB69-23CF-44E3-9099-C40C66FF867C}">
                  <a14:compatExt spid="_x0000_s31754"/>
                </a:ext>
                <a:ext uri="{FF2B5EF4-FFF2-40B4-BE49-F238E27FC236}">
                  <a16:creationId xmlns:a16="http://schemas.microsoft.com/office/drawing/2014/main" id="{00000000-0008-0000-0000-00000A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211</xdr:row>
          <xdr:rowOff>175260</xdr:rowOff>
        </xdr:from>
        <xdr:to>
          <xdr:col>5</xdr:col>
          <xdr:colOff>213360</xdr:colOff>
          <xdr:row>309</xdr:row>
          <xdr:rowOff>38100</xdr:rowOff>
        </xdr:to>
        <xdr:sp macro="" textlink="">
          <xdr:nvSpPr>
            <xdr:cNvPr id="31755" name="Button 11" hidden="1">
              <a:extLst>
                <a:ext uri="{63B3BB69-23CF-44E3-9099-C40C66FF867C}">
                  <a14:compatExt spid="_x0000_s31755"/>
                </a:ext>
                <a:ext uri="{FF2B5EF4-FFF2-40B4-BE49-F238E27FC236}">
                  <a16:creationId xmlns:a16="http://schemas.microsoft.com/office/drawing/2014/main" id="{00000000-0008-0000-0000-00000B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234</xdr:row>
          <xdr:rowOff>175260</xdr:rowOff>
        </xdr:from>
        <xdr:to>
          <xdr:col>5</xdr:col>
          <xdr:colOff>213360</xdr:colOff>
          <xdr:row>332</xdr:row>
          <xdr:rowOff>38100</xdr:rowOff>
        </xdr:to>
        <xdr:sp macro="" textlink="">
          <xdr:nvSpPr>
            <xdr:cNvPr id="31756" name="Button 12" hidden="1">
              <a:extLst>
                <a:ext uri="{63B3BB69-23CF-44E3-9099-C40C66FF867C}">
                  <a14:compatExt spid="_x0000_s31756"/>
                </a:ext>
                <a:ext uri="{FF2B5EF4-FFF2-40B4-BE49-F238E27FC236}">
                  <a16:creationId xmlns:a16="http://schemas.microsoft.com/office/drawing/2014/main" id="{00000000-0008-0000-0000-00000C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236</xdr:row>
          <xdr:rowOff>175260</xdr:rowOff>
        </xdr:from>
        <xdr:to>
          <xdr:col>5</xdr:col>
          <xdr:colOff>213360</xdr:colOff>
          <xdr:row>334</xdr:row>
          <xdr:rowOff>38100</xdr:rowOff>
        </xdr:to>
        <xdr:sp macro="" textlink="">
          <xdr:nvSpPr>
            <xdr:cNvPr id="31757" name="Button 13" hidden="1">
              <a:extLst>
                <a:ext uri="{63B3BB69-23CF-44E3-9099-C40C66FF867C}">
                  <a14:compatExt spid="_x0000_s31757"/>
                </a:ext>
                <a:ext uri="{FF2B5EF4-FFF2-40B4-BE49-F238E27FC236}">
                  <a16:creationId xmlns:a16="http://schemas.microsoft.com/office/drawing/2014/main" id="{00000000-0008-0000-0000-00000D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238</xdr:row>
          <xdr:rowOff>175260</xdr:rowOff>
        </xdr:from>
        <xdr:to>
          <xdr:col>5</xdr:col>
          <xdr:colOff>213360</xdr:colOff>
          <xdr:row>336</xdr:row>
          <xdr:rowOff>38100</xdr:rowOff>
        </xdr:to>
        <xdr:sp macro="" textlink="">
          <xdr:nvSpPr>
            <xdr:cNvPr id="31758" name="Button 14" hidden="1">
              <a:extLst>
                <a:ext uri="{63B3BB69-23CF-44E3-9099-C40C66FF867C}">
                  <a14:compatExt spid="_x0000_s31758"/>
                </a:ext>
                <a:ext uri="{FF2B5EF4-FFF2-40B4-BE49-F238E27FC236}">
                  <a16:creationId xmlns:a16="http://schemas.microsoft.com/office/drawing/2014/main" id="{00000000-0008-0000-0000-00000E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8</xdr:row>
          <xdr:rowOff>175260</xdr:rowOff>
        </xdr:from>
        <xdr:to>
          <xdr:col>5</xdr:col>
          <xdr:colOff>213360</xdr:colOff>
          <xdr:row>70</xdr:row>
          <xdr:rowOff>38100</xdr:rowOff>
        </xdr:to>
        <xdr:sp macro="" textlink="">
          <xdr:nvSpPr>
            <xdr:cNvPr id="31759" name="Button 15" hidden="1">
              <a:extLst>
                <a:ext uri="{63B3BB69-23CF-44E3-9099-C40C66FF867C}">
                  <a14:compatExt spid="_x0000_s31759"/>
                </a:ext>
                <a:ext uri="{FF2B5EF4-FFF2-40B4-BE49-F238E27FC236}">
                  <a16:creationId xmlns:a16="http://schemas.microsoft.com/office/drawing/2014/main" id="{00000000-0008-0000-0000-00000F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240</xdr:row>
          <xdr:rowOff>175260</xdr:rowOff>
        </xdr:from>
        <xdr:to>
          <xdr:col>5</xdr:col>
          <xdr:colOff>213360</xdr:colOff>
          <xdr:row>338</xdr:row>
          <xdr:rowOff>38100</xdr:rowOff>
        </xdr:to>
        <xdr:sp macro="" textlink="">
          <xdr:nvSpPr>
            <xdr:cNvPr id="31760" name="Button 16" hidden="1">
              <a:extLst>
                <a:ext uri="{63B3BB69-23CF-44E3-9099-C40C66FF867C}">
                  <a14:compatExt spid="_x0000_s31760"/>
                </a:ext>
                <a:ext uri="{FF2B5EF4-FFF2-40B4-BE49-F238E27FC236}">
                  <a16:creationId xmlns:a16="http://schemas.microsoft.com/office/drawing/2014/main" id="{00000000-0008-0000-0000-000010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8</xdr:row>
          <xdr:rowOff>175260</xdr:rowOff>
        </xdr:from>
        <xdr:to>
          <xdr:col>5</xdr:col>
          <xdr:colOff>213360</xdr:colOff>
          <xdr:row>70</xdr:row>
          <xdr:rowOff>38100</xdr:rowOff>
        </xdr:to>
        <xdr:sp macro="" textlink="">
          <xdr:nvSpPr>
            <xdr:cNvPr id="31761" name="Button 17" hidden="1">
              <a:extLst>
                <a:ext uri="{63B3BB69-23CF-44E3-9099-C40C66FF867C}">
                  <a14:compatExt spid="_x0000_s31761"/>
                </a:ext>
                <a:ext uri="{FF2B5EF4-FFF2-40B4-BE49-F238E27FC236}">
                  <a16:creationId xmlns:a16="http://schemas.microsoft.com/office/drawing/2014/main" id="{00000000-0008-0000-0000-00001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241</xdr:row>
          <xdr:rowOff>175260</xdr:rowOff>
        </xdr:from>
        <xdr:to>
          <xdr:col>5</xdr:col>
          <xdr:colOff>213360</xdr:colOff>
          <xdr:row>339</xdr:row>
          <xdr:rowOff>38100</xdr:rowOff>
        </xdr:to>
        <xdr:sp macro="" textlink="">
          <xdr:nvSpPr>
            <xdr:cNvPr id="31762" name="Button 18" hidden="1">
              <a:extLst>
                <a:ext uri="{63B3BB69-23CF-44E3-9099-C40C66FF867C}">
                  <a14:compatExt spid="_x0000_s31762"/>
                </a:ext>
                <a:ext uri="{FF2B5EF4-FFF2-40B4-BE49-F238E27FC236}">
                  <a16:creationId xmlns:a16="http://schemas.microsoft.com/office/drawing/2014/main" id="{00000000-0008-0000-0000-000012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8</xdr:row>
          <xdr:rowOff>175260</xdr:rowOff>
        </xdr:from>
        <xdr:to>
          <xdr:col>5</xdr:col>
          <xdr:colOff>213360</xdr:colOff>
          <xdr:row>70</xdr:row>
          <xdr:rowOff>38100</xdr:rowOff>
        </xdr:to>
        <xdr:sp macro="" textlink="">
          <xdr:nvSpPr>
            <xdr:cNvPr id="31763" name="Button 19" hidden="1">
              <a:extLst>
                <a:ext uri="{63B3BB69-23CF-44E3-9099-C40C66FF867C}">
                  <a14:compatExt spid="_x0000_s31763"/>
                </a:ext>
                <a:ext uri="{FF2B5EF4-FFF2-40B4-BE49-F238E27FC236}">
                  <a16:creationId xmlns:a16="http://schemas.microsoft.com/office/drawing/2014/main" id="{00000000-0008-0000-0000-000013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175260</xdr:colOff>
          <xdr:row>1</xdr:row>
          <xdr:rowOff>0</xdr:rowOff>
        </xdr:from>
        <xdr:to>
          <xdr:col>3</xdr:col>
          <xdr:colOff>60960</xdr:colOff>
          <xdr:row>1</xdr:row>
          <xdr:rowOff>60960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0100-000001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Times New Roman"/>
                  <a:cs typeface="Times New Roman"/>
                </a:rPr>
                <a:t>copy dong xuong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144780</xdr:colOff>
          <xdr:row>1</xdr:row>
          <xdr:rowOff>0</xdr:rowOff>
        </xdr:from>
        <xdr:to>
          <xdr:col>5</xdr:col>
          <xdr:colOff>30480</xdr:colOff>
          <xdr:row>1</xdr:row>
          <xdr:rowOff>45720</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00000000-0008-0000-0100-000002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Times New Roman"/>
                  <a:cs typeface="Times New Roman"/>
                </a:rPr>
                <a:t>copy len (xoa)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114300</xdr:colOff>
          <xdr:row>1</xdr:row>
          <xdr:rowOff>0</xdr:rowOff>
        </xdr:from>
        <xdr:to>
          <xdr:col>21</xdr:col>
          <xdr:colOff>175260</xdr:colOff>
          <xdr:row>1</xdr:row>
          <xdr:rowOff>0</xdr:rowOff>
        </xdr:to>
        <xdr:sp macro="" textlink="">
          <xdr:nvSpPr>
            <xdr:cNvPr id="50180" name="thutien" hidden="1">
              <a:extLst>
                <a:ext uri="{63B3BB69-23CF-44E3-9099-C40C66FF867C}">
                  <a14:compatExt spid="_x0000_s50180"/>
                </a:ext>
                <a:ext uri="{FF2B5EF4-FFF2-40B4-BE49-F238E27FC236}">
                  <a16:creationId xmlns:a16="http://schemas.microsoft.com/office/drawing/2014/main" id="{00000000-0008-0000-0100-000004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0</xdr:row>
          <xdr:rowOff>365760</xdr:rowOff>
        </xdr:from>
        <xdr:to>
          <xdr:col>5</xdr:col>
          <xdr:colOff>320040</xdr:colOff>
          <xdr:row>1</xdr:row>
          <xdr:rowOff>60960</xdr:rowOff>
        </xdr:to>
        <xdr:sp macro="" textlink="">
          <xdr:nvSpPr>
            <xdr:cNvPr id="50181" name="Button 5" hidden="1">
              <a:extLst>
                <a:ext uri="{63B3BB69-23CF-44E3-9099-C40C66FF867C}">
                  <a14:compatExt spid="_x0000_s50181"/>
                </a:ext>
                <a:ext uri="{FF2B5EF4-FFF2-40B4-BE49-F238E27FC236}">
                  <a16:creationId xmlns:a16="http://schemas.microsoft.com/office/drawing/2014/main" id="{00000000-0008-0000-0100-000005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bien So xe</a:t>
              </a:r>
            </a:p>
            <a:p>
              <a:pPr algn="ctr" rtl="0">
                <a:defRPr sz="1000"/>
              </a:pPr>
              <a:endParaRPr lang="en-US" sz="12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350520</xdr:colOff>
          <xdr:row>0</xdr:row>
          <xdr:rowOff>373380</xdr:rowOff>
        </xdr:from>
        <xdr:to>
          <xdr:col>5</xdr:col>
          <xdr:colOff>830580</xdr:colOff>
          <xdr:row>1</xdr:row>
          <xdr:rowOff>83820</xdr:rowOff>
        </xdr:to>
        <xdr:sp macro="" textlink="">
          <xdr:nvSpPr>
            <xdr:cNvPr id="50183" name="Button 7" hidden="1">
              <a:extLst>
                <a:ext uri="{63B3BB69-23CF-44E3-9099-C40C66FF867C}">
                  <a14:compatExt spid="_x0000_s50183"/>
                </a:ext>
                <a:ext uri="{FF2B5EF4-FFF2-40B4-BE49-F238E27FC236}">
                  <a16:creationId xmlns:a16="http://schemas.microsoft.com/office/drawing/2014/main" id="{00000000-0008-0000-0100-000007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saveass</a:t>
              </a:r>
            </a:p>
            <a:p>
              <a:pPr algn="ctr" rtl="0">
                <a:defRPr sz="1000"/>
              </a:pPr>
              <a:endParaRPr lang="en-US" sz="1200" b="0" i="0" u="none" strike="noStrike" baseline="0">
                <a:solidFill>
                  <a:srgbClr val="000000"/>
                </a:solidFill>
                <a:latin typeface="Times New Roman"/>
                <a:cs typeface="Times New Roman"/>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495300</xdr:colOff>
          <xdr:row>0</xdr:row>
          <xdr:rowOff>76200</xdr:rowOff>
        </xdr:from>
        <xdr:to>
          <xdr:col>12</xdr:col>
          <xdr:colOff>480060</xdr:colOff>
          <xdr:row>1</xdr:row>
          <xdr:rowOff>106680</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B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114300</xdr:rowOff>
        </xdr:from>
        <xdr:to>
          <xdr:col>10</xdr:col>
          <xdr:colOff>525780</xdr:colOff>
          <xdr:row>43</xdr:row>
          <xdr:rowOff>106680</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B00-00000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234</xdr:row>
          <xdr:rowOff>175260</xdr:rowOff>
        </xdr:from>
        <xdr:to>
          <xdr:col>4</xdr:col>
          <xdr:colOff>213360</xdr:colOff>
          <xdr:row>332</xdr:row>
          <xdr:rowOff>38100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B00-00001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83</xdr:row>
          <xdr:rowOff>175260</xdr:rowOff>
        </xdr:from>
        <xdr:to>
          <xdr:col>8</xdr:col>
          <xdr:colOff>213360</xdr:colOff>
          <xdr:row>181</xdr:row>
          <xdr:rowOff>38100</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B00-00001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83</xdr:row>
          <xdr:rowOff>175260</xdr:rowOff>
        </xdr:from>
        <xdr:to>
          <xdr:col>9</xdr:col>
          <xdr:colOff>213360</xdr:colOff>
          <xdr:row>181</xdr:row>
          <xdr:rowOff>38100</xdr:rowOff>
        </xdr:to>
        <xdr:sp macro="" textlink="">
          <xdr:nvSpPr>
            <xdr:cNvPr id="9245" name="Button 29" hidden="1">
              <a:extLst>
                <a:ext uri="{63B3BB69-23CF-44E3-9099-C40C66FF867C}">
                  <a14:compatExt spid="_x0000_s9245"/>
                </a:ext>
                <a:ext uri="{FF2B5EF4-FFF2-40B4-BE49-F238E27FC236}">
                  <a16:creationId xmlns:a16="http://schemas.microsoft.com/office/drawing/2014/main" id="{00000000-0008-0000-0B00-00001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xdr:row>
          <xdr:rowOff>175260</xdr:rowOff>
        </xdr:from>
        <xdr:to>
          <xdr:col>4</xdr:col>
          <xdr:colOff>213360</xdr:colOff>
          <xdr:row>63</xdr:row>
          <xdr:rowOff>38100</xdr:rowOff>
        </xdr:to>
        <xdr:sp macro="" textlink="">
          <xdr:nvSpPr>
            <xdr:cNvPr id="9247" name="Button 31" hidden="1">
              <a:extLst>
                <a:ext uri="{63B3BB69-23CF-44E3-9099-C40C66FF867C}">
                  <a14:compatExt spid="_x0000_s9247"/>
                </a:ext>
                <a:ext uri="{FF2B5EF4-FFF2-40B4-BE49-F238E27FC236}">
                  <a16:creationId xmlns:a16="http://schemas.microsoft.com/office/drawing/2014/main" id="{00000000-0008-0000-0B00-00001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204</xdr:row>
          <xdr:rowOff>175260</xdr:rowOff>
        </xdr:from>
        <xdr:to>
          <xdr:col>8</xdr:col>
          <xdr:colOff>213360</xdr:colOff>
          <xdr:row>302</xdr:row>
          <xdr:rowOff>38100</xdr:rowOff>
        </xdr:to>
        <xdr:sp macro="" textlink="">
          <xdr:nvSpPr>
            <xdr:cNvPr id="9248" name="Button 32" hidden="1">
              <a:extLst>
                <a:ext uri="{63B3BB69-23CF-44E3-9099-C40C66FF867C}">
                  <a14:compatExt spid="_x0000_s9248"/>
                </a:ext>
                <a:ext uri="{FF2B5EF4-FFF2-40B4-BE49-F238E27FC236}">
                  <a16:creationId xmlns:a16="http://schemas.microsoft.com/office/drawing/2014/main" id="{00000000-0008-0000-0B00-000020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204</xdr:row>
          <xdr:rowOff>175260</xdr:rowOff>
        </xdr:from>
        <xdr:to>
          <xdr:col>9</xdr:col>
          <xdr:colOff>213360</xdr:colOff>
          <xdr:row>302</xdr:row>
          <xdr:rowOff>38100</xdr:rowOff>
        </xdr:to>
        <xdr:sp macro="" textlink="">
          <xdr:nvSpPr>
            <xdr:cNvPr id="9250" name="Button 34" hidden="1">
              <a:extLst>
                <a:ext uri="{63B3BB69-23CF-44E3-9099-C40C66FF867C}">
                  <a14:compatExt spid="_x0000_s9250"/>
                </a:ext>
                <a:ext uri="{FF2B5EF4-FFF2-40B4-BE49-F238E27FC236}">
                  <a16:creationId xmlns:a16="http://schemas.microsoft.com/office/drawing/2014/main" id="{00000000-0008-0000-0B00-00002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227</xdr:row>
          <xdr:rowOff>175260</xdr:rowOff>
        </xdr:from>
        <xdr:to>
          <xdr:col>8</xdr:col>
          <xdr:colOff>213360</xdr:colOff>
          <xdr:row>325</xdr:row>
          <xdr:rowOff>38100</xdr:rowOff>
        </xdr:to>
        <xdr:sp macro="" textlink="">
          <xdr:nvSpPr>
            <xdr:cNvPr id="9252" name="Button 36" hidden="1">
              <a:extLst>
                <a:ext uri="{63B3BB69-23CF-44E3-9099-C40C66FF867C}">
                  <a14:compatExt spid="_x0000_s9252"/>
                </a:ext>
                <a:ext uri="{FF2B5EF4-FFF2-40B4-BE49-F238E27FC236}">
                  <a16:creationId xmlns:a16="http://schemas.microsoft.com/office/drawing/2014/main" id="{00000000-0008-0000-0B00-00002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227</xdr:row>
          <xdr:rowOff>175260</xdr:rowOff>
        </xdr:from>
        <xdr:to>
          <xdr:col>9</xdr:col>
          <xdr:colOff>213360</xdr:colOff>
          <xdr:row>325</xdr:row>
          <xdr:rowOff>38100</xdr:rowOff>
        </xdr:to>
        <xdr:sp macro="" textlink="">
          <xdr:nvSpPr>
            <xdr:cNvPr id="9254" name="Button 38" hidden="1">
              <a:extLst>
                <a:ext uri="{63B3BB69-23CF-44E3-9099-C40C66FF867C}">
                  <a14:compatExt spid="_x0000_s9254"/>
                </a:ext>
                <a:ext uri="{FF2B5EF4-FFF2-40B4-BE49-F238E27FC236}">
                  <a16:creationId xmlns:a16="http://schemas.microsoft.com/office/drawing/2014/main" id="{00000000-0008-0000-0B00-00002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229</xdr:row>
          <xdr:rowOff>175260</xdr:rowOff>
        </xdr:from>
        <xdr:to>
          <xdr:col>8</xdr:col>
          <xdr:colOff>213360</xdr:colOff>
          <xdr:row>327</xdr:row>
          <xdr:rowOff>38100</xdr:rowOff>
        </xdr:to>
        <xdr:sp macro="" textlink="">
          <xdr:nvSpPr>
            <xdr:cNvPr id="9256" name="Button 40" hidden="1">
              <a:extLst>
                <a:ext uri="{63B3BB69-23CF-44E3-9099-C40C66FF867C}">
                  <a14:compatExt spid="_x0000_s9256"/>
                </a:ext>
                <a:ext uri="{FF2B5EF4-FFF2-40B4-BE49-F238E27FC236}">
                  <a16:creationId xmlns:a16="http://schemas.microsoft.com/office/drawing/2014/main" id="{00000000-0008-0000-0B00-000028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229</xdr:row>
          <xdr:rowOff>175260</xdr:rowOff>
        </xdr:from>
        <xdr:to>
          <xdr:col>9</xdr:col>
          <xdr:colOff>213360</xdr:colOff>
          <xdr:row>327</xdr:row>
          <xdr:rowOff>38100</xdr:rowOff>
        </xdr:to>
        <xdr:sp macro="" textlink="">
          <xdr:nvSpPr>
            <xdr:cNvPr id="9258" name="Button 42" hidden="1">
              <a:extLst>
                <a:ext uri="{63B3BB69-23CF-44E3-9099-C40C66FF867C}">
                  <a14:compatExt spid="_x0000_s9258"/>
                </a:ext>
                <a:ext uri="{FF2B5EF4-FFF2-40B4-BE49-F238E27FC236}">
                  <a16:creationId xmlns:a16="http://schemas.microsoft.com/office/drawing/2014/main" id="{00000000-0008-0000-0B00-00002A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231</xdr:row>
          <xdr:rowOff>175260</xdr:rowOff>
        </xdr:from>
        <xdr:to>
          <xdr:col>8</xdr:col>
          <xdr:colOff>213360</xdr:colOff>
          <xdr:row>329</xdr:row>
          <xdr:rowOff>38100</xdr:rowOff>
        </xdr:to>
        <xdr:sp macro="" textlink="">
          <xdr:nvSpPr>
            <xdr:cNvPr id="9259" name="Button 43" hidden="1">
              <a:extLst>
                <a:ext uri="{63B3BB69-23CF-44E3-9099-C40C66FF867C}">
                  <a14:compatExt spid="_x0000_s9259"/>
                </a:ext>
                <a:ext uri="{FF2B5EF4-FFF2-40B4-BE49-F238E27FC236}">
                  <a16:creationId xmlns:a16="http://schemas.microsoft.com/office/drawing/2014/main" id="{00000000-0008-0000-0B00-00002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1</xdr:row>
          <xdr:rowOff>175260</xdr:rowOff>
        </xdr:from>
        <xdr:to>
          <xdr:col>8</xdr:col>
          <xdr:colOff>213360</xdr:colOff>
          <xdr:row>63</xdr:row>
          <xdr:rowOff>38100</xdr:rowOff>
        </xdr:to>
        <xdr:sp macro="" textlink="">
          <xdr:nvSpPr>
            <xdr:cNvPr id="9260" name="Button 44" hidden="1">
              <a:extLst>
                <a:ext uri="{63B3BB69-23CF-44E3-9099-C40C66FF867C}">
                  <a14:compatExt spid="_x0000_s9260"/>
                </a:ext>
                <a:ext uri="{FF2B5EF4-FFF2-40B4-BE49-F238E27FC236}">
                  <a16:creationId xmlns:a16="http://schemas.microsoft.com/office/drawing/2014/main" id="{00000000-0008-0000-0B00-00002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231</xdr:row>
          <xdr:rowOff>175260</xdr:rowOff>
        </xdr:from>
        <xdr:to>
          <xdr:col>9</xdr:col>
          <xdr:colOff>213360</xdr:colOff>
          <xdr:row>329</xdr:row>
          <xdr:rowOff>38100</xdr:rowOff>
        </xdr:to>
        <xdr:sp macro="" textlink="">
          <xdr:nvSpPr>
            <xdr:cNvPr id="9261" name="Button 45" hidden="1">
              <a:extLst>
                <a:ext uri="{63B3BB69-23CF-44E3-9099-C40C66FF867C}">
                  <a14:compatExt spid="_x0000_s9261"/>
                </a:ext>
                <a:ext uri="{FF2B5EF4-FFF2-40B4-BE49-F238E27FC236}">
                  <a16:creationId xmlns:a16="http://schemas.microsoft.com/office/drawing/2014/main" id="{00000000-0008-0000-0B00-00002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1</xdr:row>
          <xdr:rowOff>175260</xdr:rowOff>
        </xdr:from>
        <xdr:to>
          <xdr:col>9</xdr:col>
          <xdr:colOff>213360</xdr:colOff>
          <xdr:row>63</xdr:row>
          <xdr:rowOff>38100</xdr:rowOff>
        </xdr:to>
        <xdr:sp macro="" textlink="">
          <xdr:nvSpPr>
            <xdr:cNvPr id="9262" name="Button 46" hidden="1">
              <a:extLst>
                <a:ext uri="{63B3BB69-23CF-44E3-9099-C40C66FF867C}">
                  <a14:compatExt spid="_x0000_s9262"/>
                </a:ext>
                <a:ext uri="{FF2B5EF4-FFF2-40B4-BE49-F238E27FC236}">
                  <a16:creationId xmlns:a16="http://schemas.microsoft.com/office/drawing/2014/main" id="{00000000-0008-0000-0B00-00002E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233</xdr:row>
          <xdr:rowOff>175260</xdr:rowOff>
        </xdr:from>
        <xdr:to>
          <xdr:col>8</xdr:col>
          <xdr:colOff>213360</xdr:colOff>
          <xdr:row>331</xdr:row>
          <xdr:rowOff>38100</xdr:rowOff>
        </xdr:to>
        <xdr:sp macro="" textlink="">
          <xdr:nvSpPr>
            <xdr:cNvPr id="9263" name="Button 47" hidden="1">
              <a:extLst>
                <a:ext uri="{63B3BB69-23CF-44E3-9099-C40C66FF867C}">
                  <a14:compatExt spid="_x0000_s9263"/>
                </a:ext>
                <a:ext uri="{FF2B5EF4-FFF2-40B4-BE49-F238E27FC236}">
                  <a16:creationId xmlns:a16="http://schemas.microsoft.com/office/drawing/2014/main" id="{00000000-0008-0000-0B00-00002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1</xdr:row>
          <xdr:rowOff>175260</xdr:rowOff>
        </xdr:from>
        <xdr:to>
          <xdr:col>8</xdr:col>
          <xdr:colOff>213360</xdr:colOff>
          <xdr:row>63</xdr:row>
          <xdr:rowOff>38100</xdr:rowOff>
        </xdr:to>
        <xdr:sp macro="" textlink="">
          <xdr:nvSpPr>
            <xdr:cNvPr id="9264" name="Button 48" hidden="1">
              <a:extLst>
                <a:ext uri="{63B3BB69-23CF-44E3-9099-C40C66FF867C}">
                  <a14:compatExt spid="_x0000_s9264"/>
                </a:ext>
                <a:ext uri="{FF2B5EF4-FFF2-40B4-BE49-F238E27FC236}">
                  <a16:creationId xmlns:a16="http://schemas.microsoft.com/office/drawing/2014/main" id="{00000000-0008-0000-0B00-000030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233</xdr:row>
          <xdr:rowOff>175260</xdr:rowOff>
        </xdr:from>
        <xdr:to>
          <xdr:col>9</xdr:col>
          <xdr:colOff>213360</xdr:colOff>
          <xdr:row>331</xdr:row>
          <xdr:rowOff>38100</xdr:rowOff>
        </xdr:to>
        <xdr:sp macro="" textlink="">
          <xdr:nvSpPr>
            <xdr:cNvPr id="9265" name="Button 49" hidden="1">
              <a:extLst>
                <a:ext uri="{63B3BB69-23CF-44E3-9099-C40C66FF867C}">
                  <a14:compatExt spid="_x0000_s9265"/>
                </a:ext>
                <a:ext uri="{FF2B5EF4-FFF2-40B4-BE49-F238E27FC236}">
                  <a16:creationId xmlns:a16="http://schemas.microsoft.com/office/drawing/2014/main" id="{00000000-0008-0000-0B00-00003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1</xdr:row>
          <xdr:rowOff>175260</xdr:rowOff>
        </xdr:from>
        <xdr:to>
          <xdr:col>9</xdr:col>
          <xdr:colOff>213360</xdr:colOff>
          <xdr:row>63</xdr:row>
          <xdr:rowOff>38100</xdr:rowOff>
        </xdr:to>
        <xdr:sp macro="" textlink="">
          <xdr:nvSpPr>
            <xdr:cNvPr id="9266" name="Button 50" hidden="1">
              <a:extLst>
                <a:ext uri="{63B3BB69-23CF-44E3-9099-C40C66FF867C}">
                  <a14:compatExt spid="_x0000_s9266"/>
                </a:ext>
                <a:ext uri="{FF2B5EF4-FFF2-40B4-BE49-F238E27FC236}">
                  <a16:creationId xmlns:a16="http://schemas.microsoft.com/office/drawing/2014/main" id="{00000000-0008-0000-0B00-00003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234</xdr:row>
          <xdr:rowOff>175260</xdr:rowOff>
        </xdr:from>
        <xdr:to>
          <xdr:col>8</xdr:col>
          <xdr:colOff>213360</xdr:colOff>
          <xdr:row>332</xdr:row>
          <xdr:rowOff>38100</xdr:rowOff>
        </xdr:to>
        <xdr:sp macro="" textlink="">
          <xdr:nvSpPr>
            <xdr:cNvPr id="9267" name="Button 51" hidden="1">
              <a:extLst>
                <a:ext uri="{63B3BB69-23CF-44E3-9099-C40C66FF867C}">
                  <a14:compatExt spid="_x0000_s9267"/>
                </a:ext>
                <a:ext uri="{FF2B5EF4-FFF2-40B4-BE49-F238E27FC236}">
                  <a16:creationId xmlns:a16="http://schemas.microsoft.com/office/drawing/2014/main" id="{00000000-0008-0000-0B00-00003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1</xdr:row>
          <xdr:rowOff>175260</xdr:rowOff>
        </xdr:from>
        <xdr:to>
          <xdr:col>8</xdr:col>
          <xdr:colOff>213360</xdr:colOff>
          <xdr:row>63</xdr:row>
          <xdr:rowOff>38100</xdr:rowOff>
        </xdr:to>
        <xdr:sp macro="" textlink="">
          <xdr:nvSpPr>
            <xdr:cNvPr id="9268" name="Button 52" hidden="1">
              <a:extLst>
                <a:ext uri="{63B3BB69-23CF-44E3-9099-C40C66FF867C}">
                  <a14:compatExt spid="_x0000_s9268"/>
                </a:ext>
                <a:ext uri="{FF2B5EF4-FFF2-40B4-BE49-F238E27FC236}">
                  <a16:creationId xmlns:a16="http://schemas.microsoft.com/office/drawing/2014/main" id="{00000000-0008-0000-0B00-00003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234</xdr:row>
          <xdr:rowOff>175260</xdr:rowOff>
        </xdr:from>
        <xdr:to>
          <xdr:col>9</xdr:col>
          <xdr:colOff>213360</xdr:colOff>
          <xdr:row>332</xdr:row>
          <xdr:rowOff>38100</xdr:rowOff>
        </xdr:to>
        <xdr:sp macro="" textlink="">
          <xdr:nvSpPr>
            <xdr:cNvPr id="9269" name="Button 53" hidden="1">
              <a:extLst>
                <a:ext uri="{63B3BB69-23CF-44E3-9099-C40C66FF867C}">
                  <a14:compatExt spid="_x0000_s9269"/>
                </a:ext>
                <a:ext uri="{FF2B5EF4-FFF2-40B4-BE49-F238E27FC236}">
                  <a16:creationId xmlns:a16="http://schemas.microsoft.com/office/drawing/2014/main" id="{00000000-0008-0000-0B00-00003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1</xdr:row>
          <xdr:rowOff>175260</xdr:rowOff>
        </xdr:from>
        <xdr:to>
          <xdr:col>9</xdr:col>
          <xdr:colOff>213360</xdr:colOff>
          <xdr:row>63</xdr:row>
          <xdr:rowOff>38100</xdr:rowOff>
        </xdr:to>
        <xdr:sp macro="" textlink="">
          <xdr:nvSpPr>
            <xdr:cNvPr id="9270" name="Button 54" hidden="1">
              <a:extLst>
                <a:ext uri="{63B3BB69-23CF-44E3-9099-C40C66FF867C}">
                  <a14:compatExt spid="_x0000_s9270"/>
                </a:ext>
                <a:ext uri="{FF2B5EF4-FFF2-40B4-BE49-F238E27FC236}">
                  <a16:creationId xmlns:a16="http://schemas.microsoft.com/office/drawing/2014/main" id="{00000000-0008-0000-0B00-00003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Dropbox\1.%20Tien_duong_tu_13.08.2021\NRL.xlsx" TargetMode="External"/><Relationship Id="rId1" Type="http://schemas.openxmlformats.org/officeDocument/2006/relationships/externalLinkPath" Target="NRL.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D:\Dropbox\Danh%20muc\Chu%20go_New.xls" TargetMode="External"/><Relationship Id="rId1" Type="http://schemas.openxmlformats.org/officeDocument/2006/relationships/externalLinkPath" Target="/Dropbox/Danh%20muc/Chu%20go_New.xls"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A:\QKY.xlsx" TargetMode="External"/><Relationship Id="rId1" Type="http://schemas.openxmlformats.org/officeDocument/2006/relationships/externalLinkPath" Target="file:///A:\QKY.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D:\Dropbox\1.%20Tien_duong_tu_13.08.2021\KH16.07.24..xlsm" TargetMode="External"/><Relationship Id="rId1" Type="http://schemas.openxmlformats.org/officeDocument/2006/relationships/externalLinkPath" Target="KH16.07.2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anh%20Trinh/trax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sheetDataSet>
      <sheetData sheetId="0">
        <row r="1">
          <cell r="B1" t="str">
            <v>sdt</v>
          </cell>
        </row>
        <row r="3">
          <cell r="B3" t="str">
            <v>Hùng: 0989279194</v>
          </cell>
          <cell r="C3" t="str">
            <v>Đức Tín</v>
          </cell>
        </row>
        <row r="4">
          <cell r="B4" t="str">
            <v>Cường: 0778268966</v>
          </cell>
          <cell r="C4" t="str">
            <v>Đại Xuân</v>
          </cell>
        </row>
        <row r="5">
          <cell r="B5" t="str">
            <v>Hoàng: 0936378866</v>
          </cell>
          <cell r="C5" t="str">
            <v>Sơn MDHP</v>
          </cell>
        </row>
        <row r="6">
          <cell r="B6" t="str">
            <v>Tuấn Anh: 0902269390</v>
          </cell>
          <cell r="C6" t="str">
            <v>Sơn MDHP</v>
          </cell>
        </row>
        <row r="7">
          <cell r="B7" t="str">
            <v>Hải: 0903446806</v>
          </cell>
          <cell r="C7" t="str">
            <v>Hải Quyên MDHP</v>
          </cell>
        </row>
        <row r="8">
          <cell r="B8" t="str">
            <v>Khang: 0904631715</v>
          </cell>
          <cell r="C8" t="str">
            <v>Sang con MDHP</v>
          </cell>
        </row>
        <row r="9">
          <cell r="B9" t="str">
            <v>Đạt: 0982941126</v>
          </cell>
          <cell r="C9" t="str">
            <v>Trung Lùn MDHP</v>
          </cell>
        </row>
        <row r="10">
          <cell r="B10" t="str">
            <v>Châu: 0918931266</v>
          </cell>
          <cell r="C10" t="str">
            <v>Châu MDHP</v>
          </cell>
        </row>
        <row r="11">
          <cell r="B11" t="str">
            <v>Tuấn Yến</v>
          </cell>
          <cell r="C11" t="str">
            <v>Tuấn Yến</v>
          </cell>
        </row>
        <row r="12">
          <cell r="B12" t="str">
            <v>Trọng: 0869601682</v>
          </cell>
          <cell r="C12" t="str">
            <v>Đại Lợi</v>
          </cell>
        </row>
        <row r="13">
          <cell r="B13" t="str">
            <v>Tiến: 0978702199</v>
          </cell>
          <cell r="C13" t="str">
            <v>Phúc Tâm</v>
          </cell>
        </row>
        <row r="14">
          <cell r="B14" t="str">
            <v>Huân: 0983393975</v>
          </cell>
          <cell r="C14" t="str">
            <v>Trí Dũng</v>
          </cell>
        </row>
        <row r="15">
          <cell r="B15" t="str">
            <v>Huân: 0983393975</v>
          </cell>
          <cell r="C15" t="str">
            <v>Trí Dũng</v>
          </cell>
        </row>
        <row r="16">
          <cell r="B16" t="str">
            <v>Quynh: 0983183162</v>
          </cell>
          <cell r="C16" t="str">
            <v>Quân Quynh MDHP</v>
          </cell>
        </row>
        <row r="17">
          <cell r="B17" t="str">
            <v>Hoàn: 0975784844</v>
          </cell>
          <cell r="C17" t="str">
            <v>Sơn MDHP</v>
          </cell>
        </row>
        <row r="18">
          <cell r="B18" t="str">
            <v>Đạt: 0943288910</v>
          </cell>
          <cell r="C18" t="str">
            <v>Phương Thanh MDHP</v>
          </cell>
        </row>
        <row r="19">
          <cell r="B19" t="str">
            <v>Nghĩa: 0936955883</v>
          </cell>
          <cell r="C19" t="str">
            <v>Sơn MDHP</v>
          </cell>
        </row>
        <row r="20">
          <cell r="B20" t="str">
            <v>Đạt: 0943288910</v>
          </cell>
          <cell r="C20" t="str">
            <v>Phương Thanh MDHP</v>
          </cell>
        </row>
        <row r="21">
          <cell r="B21" t="str">
            <v>Minh: 0979206402</v>
          </cell>
          <cell r="C21" t="str">
            <v>Quân Quynh MDHP</v>
          </cell>
        </row>
        <row r="22">
          <cell r="B22" t="str">
            <v>Minh: 0979206402</v>
          </cell>
          <cell r="C22" t="str">
            <v>Quân Quynh MDHP</v>
          </cell>
        </row>
        <row r="23">
          <cell r="B23" t="str">
            <v>Thịnh: 0868668303</v>
          </cell>
          <cell r="C23" t="str">
            <v>Toàn Tiếp HDHN</v>
          </cell>
        </row>
        <row r="24">
          <cell r="B24" t="str">
            <v>Khương: 0936291102</v>
          </cell>
          <cell r="C24" t="str">
            <v>Đại Xuân</v>
          </cell>
        </row>
        <row r="25">
          <cell r="B25" t="str">
            <v>Hoàng: 0936378866</v>
          </cell>
          <cell r="C25" t="str">
            <v>Sơn MDHP</v>
          </cell>
        </row>
        <row r="26">
          <cell r="B26" t="str">
            <v>Huân: 0983393975</v>
          </cell>
          <cell r="C26" t="str">
            <v>Trí Dũng</v>
          </cell>
        </row>
        <row r="27">
          <cell r="B27" t="str">
            <v>Trung lùn MDHP</v>
          </cell>
          <cell r="C27" t="str">
            <v>Trung lùn MDHP</v>
          </cell>
        </row>
        <row r="28">
          <cell r="B28" t="str">
            <v>Tú: 0961175699</v>
          </cell>
          <cell r="C28" t="str">
            <v>Sang con MDHP</v>
          </cell>
        </row>
        <row r="29">
          <cell r="B29" t="str">
            <v>Công: 0967116336</v>
          </cell>
          <cell r="C29" t="str">
            <v>Phúc Tâm</v>
          </cell>
        </row>
        <row r="30">
          <cell r="B30" t="str">
            <v>Thao: 0979430075</v>
          </cell>
          <cell r="C30" t="str">
            <v>Thao MDHP</v>
          </cell>
        </row>
        <row r="31">
          <cell r="B31" t="str">
            <v>Hoàng: 0987426536</v>
          </cell>
          <cell r="C31" t="str">
            <v>Bá TTHN</v>
          </cell>
        </row>
        <row r="32">
          <cell r="B32" t="str">
            <v>Sơn: 0989975858</v>
          </cell>
          <cell r="C32" t="str">
            <v>Đại Hữu</v>
          </cell>
        </row>
        <row r="33">
          <cell r="B33" t="str">
            <v>Phong: 0975786693</v>
          </cell>
          <cell r="C33" t="str">
            <v>Phong MDHP</v>
          </cell>
        </row>
        <row r="34">
          <cell r="B34" t="str">
            <v>Bình: 0967023709</v>
          </cell>
          <cell r="C34" t="str">
            <v>Tiếp (MDHP)</v>
          </cell>
        </row>
        <row r="35">
          <cell r="B35" t="str">
            <v>Vũ: 0972752069</v>
          </cell>
          <cell r="C35" t="str">
            <v>Vạn An</v>
          </cell>
        </row>
        <row r="36">
          <cell r="B36" t="str">
            <v>Việt: 0986357855</v>
          </cell>
          <cell r="C36" t="str">
            <v>Sang Xuân MDHP</v>
          </cell>
        </row>
        <row r="37">
          <cell r="B37" t="str">
            <v>Sang: 0988592386</v>
          </cell>
          <cell r="C37" t="str">
            <v>Sơn MDHP</v>
          </cell>
        </row>
        <row r="38">
          <cell r="B38" t="str">
            <v>Tiến: 0968899680</v>
          </cell>
          <cell r="C38" t="str">
            <v>Oanh HDHN</v>
          </cell>
        </row>
        <row r="39">
          <cell r="B39" t="str">
            <v>Thuần: 0974703218</v>
          </cell>
          <cell r="C39" t="str">
            <v>Thuần Hợi MDHP</v>
          </cell>
        </row>
        <row r="40">
          <cell r="B40" t="str">
            <v>Thịnh: 0934345752</v>
          </cell>
          <cell r="C40" t="str">
            <v>Đại Xuân</v>
          </cell>
        </row>
        <row r="41">
          <cell r="B41" t="str">
            <v>Xuân: 0989182899</v>
          </cell>
          <cell r="C41" t="str">
            <v>Phúc Tâm</v>
          </cell>
        </row>
        <row r="42">
          <cell r="B42" t="str">
            <v>Đức: 0912163586</v>
          </cell>
          <cell r="C42" t="str">
            <v>Đức Phúc MDHP</v>
          </cell>
        </row>
        <row r="43">
          <cell r="B43" t="str">
            <v>Thiện: 0365669969</v>
          </cell>
          <cell r="C43" t="str">
            <v>Đại Xuân</v>
          </cell>
        </row>
        <row r="44">
          <cell r="B44" t="str">
            <v>Duẩn: 0986306493</v>
          </cell>
          <cell r="C44" t="str">
            <v>Sáng MDHP</v>
          </cell>
        </row>
        <row r="45">
          <cell r="B45" t="str">
            <v>Hải: 0976552730</v>
          </cell>
          <cell r="C45" t="str">
            <v>Sáng MDHP</v>
          </cell>
        </row>
        <row r="46">
          <cell r="B46" t="str">
            <v>Trần Hà: 0973606366</v>
          </cell>
          <cell r="C46" t="str">
            <v>Thái MDHP</v>
          </cell>
        </row>
        <row r="47">
          <cell r="B47" t="str">
            <v>Trọng: 0968751066</v>
          </cell>
          <cell r="C47" t="str">
            <v>Đại Xuân</v>
          </cell>
        </row>
        <row r="48">
          <cell r="B48" t="str">
            <v>Hùng: 0929924444</v>
          </cell>
          <cell r="C48" t="str">
            <v>Tuấn Yến</v>
          </cell>
        </row>
        <row r="49">
          <cell r="B49" t="str">
            <v>Hoàng: 0705836668</v>
          </cell>
          <cell r="C49" t="str">
            <v>Vạn An</v>
          </cell>
        </row>
        <row r="50">
          <cell r="B50" t="str">
            <v>Biển: 0868353839</v>
          </cell>
          <cell r="C50" t="str">
            <v>Trung Lùn MDHP</v>
          </cell>
        </row>
        <row r="51">
          <cell r="B51" t="str">
            <v>Công: 0944871989</v>
          </cell>
          <cell r="C51" t="str">
            <v>Toàn MDHP</v>
          </cell>
        </row>
        <row r="52">
          <cell r="B52" t="str">
            <v>Đông: 0986439690</v>
          </cell>
          <cell r="C52" t="str">
            <v>Tuấn Phúc</v>
          </cell>
        </row>
        <row r="53">
          <cell r="B53" t="str">
            <v>Phi: 0934488566</v>
          </cell>
          <cell r="C53" t="str">
            <v>Việt MDHP</v>
          </cell>
        </row>
        <row r="54">
          <cell r="B54" t="str">
            <v>Trung: 0974557168</v>
          </cell>
          <cell r="C54" t="str">
            <v>Trung Lùn MDHP</v>
          </cell>
        </row>
        <row r="55">
          <cell r="B55" t="str">
            <v>Thái: 0966766143</v>
          </cell>
          <cell r="C55" t="str">
            <v>Đại Lợi</v>
          </cell>
        </row>
        <row r="56">
          <cell r="B56" t="str">
            <v>Đạt: 0989202229</v>
          </cell>
          <cell r="C56" t="str">
            <v>Đạt DHS</v>
          </cell>
        </row>
        <row r="57">
          <cell r="B57" t="str">
            <v>Huyên: 0902281377</v>
          </cell>
          <cell r="C57" t="str">
            <v>Tuyến MDHP</v>
          </cell>
        </row>
        <row r="58">
          <cell r="B58" t="str">
            <v>Thắng: 0981365563</v>
          </cell>
          <cell r="C58" t="str">
            <v>Đại Xuân</v>
          </cell>
        </row>
        <row r="59">
          <cell r="B59" t="str">
            <v>Trọng: 0979110666</v>
          </cell>
          <cell r="C59" t="str">
            <v>Đại Xuân</v>
          </cell>
        </row>
        <row r="60">
          <cell r="B60" t="str">
            <v>Chiều: 0974582671</v>
          </cell>
          <cell r="C60" t="str">
            <v>Chiều MDHP</v>
          </cell>
        </row>
        <row r="61">
          <cell r="B61" t="str">
            <v>Quyền: 0983652545</v>
          </cell>
          <cell r="C61" t="str">
            <v>Tuấn Phúc</v>
          </cell>
        </row>
        <row r="62">
          <cell r="B62" t="str">
            <v>Mạnh: 0985768369</v>
          </cell>
          <cell r="C62" t="str">
            <v>Phúc Tâm</v>
          </cell>
        </row>
        <row r="63">
          <cell r="B63" t="str">
            <v>Thuận: 0936943988</v>
          </cell>
          <cell r="C63" t="str">
            <v>Đại Xuân</v>
          </cell>
        </row>
        <row r="64">
          <cell r="B64" t="str">
            <v>Thuận: 0972820962</v>
          </cell>
          <cell r="C64" t="str">
            <v>Đại Xuân</v>
          </cell>
        </row>
        <row r="65">
          <cell r="B65" t="str">
            <v>Tuyên: 0974189688</v>
          </cell>
          <cell r="C65" t="str">
            <v>Nguyễn Gia</v>
          </cell>
        </row>
        <row r="66">
          <cell r="B66" t="str">
            <v>Trường: 0981678995</v>
          </cell>
          <cell r="C66" t="str">
            <v>Tuấn Yến</v>
          </cell>
        </row>
        <row r="67">
          <cell r="B67" t="str">
            <v>Hưng: 0966689440</v>
          </cell>
          <cell r="C67" t="str">
            <v>Đức Tín</v>
          </cell>
        </row>
        <row r="68">
          <cell r="B68" t="str">
            <v>Hải: 0977737783</v>
          </cell>
          <cell r="C68" t="str">
            <v>Hải Thương</v>
          </cell>
        </row>
        <row r="69">
          <cell r="B69" t="str">
            <v>Quyền: 0903446806</v>
          </cell>
          <cell r="C69" t="str">
            <v>Hải Quyên MDHP</v>
          </cell>
        </row>
        <row r="70">
          <cell r="B70" t="str">
            <v>Nam: 0335838899</v>
          </cell>
          <cell r="C70" t="str">
            <v>Đại Lợi</v>
          </cell>
        </row>
        <row r="71">
          <cell r="B71" t="str">
            <v>Dương: 0961956296</v>
          </cell>
          <cell r="C71" t="str">
            <v>Phương Thanh MDHP</v>
          </cell>
        </row>
        <row r="72">
          <cell r="B72" t="str">
            <v>Tiến: 0968899680</v>
          </cell>
          <cell r="C72" t="str">
            <v>Oanh HDHN</v>
          </cell>
        </row>
        <row r="73">
          <cell r="B73" t="str">
            <v>Chiến: 0388844365</v>
          </cell>
          <cell r="C73" t="str">
            <v>Bến Thành</v>
          </cell>
        </row>
        <row r="74">
          <cell r="B74" t="str">
            <v>Toán: 0961899883</v>
          </cell>
          <cell r="C74" t="str">
            <v>Toàn MDHP</v>
          </cell>
        </row>
        <row r="75">
          <cell r="B75" t="str">
            <v>Tuấn: 0981159811</v>
          </cell>
          <cell r="C75" t="str">
            <v>Đạt DHS</v>
          </cell>
        </row>
        <row r="76">
          <cell r="B76" t="str">
            <v>Trường: 0941898699</v>
          </cell>
          <cell r="C76" t="str">
            <v>Trí Dũng</v>
          </cell>
        </row>
        <row r="77">
          <cell r="B77" t="str">
            <v>Tùng: 0989888626</v>
          </cell>
          <cell r="C77" t="str">
            <v>Tùng MDHP</v>
          </cell>
        </row>
        <row r="78">
          <cell r="B78" t="str">
            <v>Sang 0902141799</v>
          </cell>
          <cell r="C78" t="str">
            <v>Trí Dũng</v>
          </cell>
        </row>
        <row r="79">
          <cell r="B79" t="str">
            <v xml:space="preserve">Tuấn Anh: 0902269390 </v>
          </cell>
          <cell r="C79" t="str">
            <v>Sơn MDHP</v>
          </cell>
        </row>
        <row r="80">
          <cell r="B80" t="str">
            <v>Kiên: 0772293000</v>
          </cell>
          <cell r="C80" t="str">
            <v>Tuấn Phúc</v>
          </cell>
        </row>
        <row r="81">
          <cell r="B81" t="str">
            <v>Tư: 0975181733</v>
          </cell>
          <cell r="C81" t="str">
            <v>Sang con MDHP</v>
          </cell>
        </row>
        <row r="82">
          <cell r="B82" t="str">
            <v>Điệp: 0941933633</v>
          </cell>
          <cell r="C82" t="str">
            <v>Phú Lân</v>
          </cell>
        </row>
        <row r="83">
          <cell r="B83" t="str">
            <v>Tám: 0979630707</v>
          </cell>
          <cell r="C83" t="str">
            <v>Đồng Hiệp</v>
          </cell>
        </row>
        <row r="84">
          <cell r="B84" t="str">
            <v>Hưng: 0772214668</v>
          </cell>
          <cell r="C84" t="str">
            <v>Đại Lợi</v>
          </cell>
        </row>
        <row r="85">
          <cell r="B85" t="str">
            <v>Hải: 0982887777</v>
          </cell>
          <cell r="C85" t="str">
            <v>Hải Quyên MDHP</v>
          </cell>
        </row>
        <row r="86">
          <cell r="B86" t="str">
            <v>Cường: 0979834869</v>
          </cell>
          <cell r="C86" t="str">
            <v>Cường Trụ LCHP</v>
          </cell>
        </row>
        <row r="87">
          <cell r="B87" t="str">
            <v>Điệp: 0989955931</v>
          </cell>
          <cell r="C87" t="str">
            <v>Thủy CMHN</v>
          </cell>
        </row>
        <row r="88">
          <cell r="B88" t="str">
            <v>Toàn: 0979666595</v>
          </cell>
          <cell r="C88" t="str">
            <v>Toàn Tùng MDHP</v>
          </cell>
        </row>
        <row r="89">
          <cell r="B89" t="str">
            <v>Huynh: 0915366654</v>
          </cell>
          <cell r="C89" t="str">
            <v>Đồng Hiệp</v>
          </cell>
        </row>
        <row r="90">
          <cell r="B90" t="str">
            <v>Vượng: 0975709097</v>
          </cell>
          <cell r="C90" t="str">
            <v>Vượng MDHP</v>
          </cell>
        </row>
        <row r="91">
          <cell r="B91" t="str">
            <v>Hùng: 0917061675</v>
          </cell>
          <cell r="C91" t="str">
            <v>Đại Xuân</v>
          </cell>
        </row>
        <row r="92">
          <cell r="B92" t="str">
            <v>Cường: 0962899496</v>
          </cell>
          <cell r="C92" t="str">
            <v>Phúc Tâm</v>
          </cell>
        </row>
        <row r="93">
          <cell r="B93" t="str">
            <v>Thắng: 0979654892</v>
          </cell>
          <cell r="C93" t="str">
            <v>Đại Xuân</v>
          </cell>
        </row>
        <row r="94">
          <cell r="B94" t="str">
            <v>Tiếp: 0985099846</v>
          </cell>
          <cell r="C94" t="str">
            <v>Tiếp (HDHN)</v>
          </cell>
        </row>
        <row r="95">
          <cell r="B95" t="str">
            <v>Cường: 0975458585</v>
          </cell>
          <cell r="C95" t="str">
            <v>Toàn Tùng MDHP</v>
          </cell>
        </row>
        <row r="96">
          <cell r="B96" t="str">
            <v>Trường: 0989757867</v>
          </cell>
          <cell r="C96" t="str">
            <v>Toàn Tùng MDHP</v>
          </cell>
        </row>
        <row r="97">
          <cell r="B97" t="str">
            <v>Nguyện: 0327661168</v>
          </cell>
          <cell r="C97" t="str">
            <v>Đại Lợi</v>
          </cell>
        </row>
        <row r="98">
          <cell r="B98" t="str">
            <v>Hiếu: 0974162262</v>
          </cell>
          <cell r="C98" t="str">
            <v>Sáng MDHP</v>
          </cell>
        </row>
        <row r="99">
          <cell r="B99" t="str">
            <v>Duẩn: 0865996869</v>
          </cell>
          <cell r="C99" t="str">
            <v>Sáng MDHP</v>
          </cell>
        </row>
        <row r="100">
          <cell r="B100" t="str">
            <v>Long: 0988719898</v>
          </cell>
          <cell r="C100" t="str">
            <v>Đức Tín</v>
          </cell>
        </row>
        <row r="101">
          <cell r="B101" t="str">
            <v>Tiếp: 0985099846</v>
          </cell>
          <cell r="C101" t="str">
            <v>Tiếp (HDHN)</v>
          </cell>
        </row>
        <row r="102">
          <cell r="B102" t="str">
            <v>Thao: 0985273030</v>
          </cell>
          <cell r="C102" t="str">
            <v>Đức Tín</v>
          </cell>
        </row>
        <row r="103">
          <cell r="B103" t="str">
            <v>Khuê: 0347842782</v>
          </cell>
          <cell r="C103" t="str">
            <v>Đại Lợi</v>
          </cell>
        </row>
        <row r="104">
          <cell r="B104" t="str">
            <v>Huân: 0976889957</v>
          </cell>
          <cell r="C104" t="str">
            <v>Huân MDHP</v>
          </cell>
        </row>
        <row r="105">
          <cell r="B105" t="str">
            <v>Hải: 0903443887</v>
          </cell>
          <cell r="C105" t="str">
            <v>Hải Thanh</v>
          </cell>
        </row>
        <row r="106">
          <cell r="B106" t="str">
            <v>Dương: 0967919019</v>
          </cell>
          <cell r="C106" t="str">
            <v>Lợi TPDN</v>
          </cell>
        </row>
        <row r="107">
          <cell r="B107" t="str">
            <v>Huyền: 0364210068</v>
          </cell>
          <cell r="C107" t="str">
            <v>Bến Thành</v>
          </cell>
        </row>
        <row r="108">
          <cell r="B108" t="str">
            <v>Hiệp: 0989012339</v>
          </cell>
          <cell r="C108" t="str">
            <v>Tuấn Phúc</v>
          </cell>
        </row>
        <row r="109">
          <cell r="B109" t="str">
            <v>Bình: 0913622868</v>
          </cell>
          <cell r="C109" t="str">
            <v>Phú Lân</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MKH"/>
      <sheetName val="KhachHangCu"/>
      <sheetName val="Khach_hangmoi"/>
      <sheetName val="thêm"/>
      <sheetName val="KhachHangCu (2)"/>
    </sheetNames>
    <sheetDataSet>
      <sheetData sheetId="0"/>
      <sheetData sheetId="1"/>
      <sheetData sheetId="2">
        <row r="3">
          <cell r="A3" t="str">
            <v>CG00001</v>
          </cell>
          <cell r="B3" t="str">
            <v>Trịnh Bá Vui (LDHDHN) 1063002533 0912350099</v>
          </cell>
          <cell r="C3" t="str">
            <v>La Dương, Hà Đông, Hà Nội</v>
          </cell>
          <cell r="D3" t="str">
            <v>CG</v>
          </cell>
          <cell r="F3" t="str">
            <v>0912350099</v>
          </cell>
          <cell r="G3" t="b">
            <v>0</v>
          </cell>
          <cell r="H3" t="b">
            <v>0</v>
          </cell>
          <cell r="J3" t="str">
            <v>0912350099</v>
          </cell>
          <cell r="K3" t="str">
            <v>CG00001</v>
          </cell>
        </row>
        <row r="4">
          <cell r="A4" t="str">
            <v>CG00002</v>
          </cell>
          <cell r="B4" t="str">
            <v>Hoa (TTIHN) 0382293886 0969855228</v>
          </cell>
          <cell r="C4" t="str">
            <v>Thường Tín, Hà Nội</v>
          </cell>
          <cell r="D4" t="str">
            <v>CG</v>
          </cell>
          <cell r="G4" t="b">
            <v>0</v>
          </cell>
          <cell r="H4" t="b">
            <v>0</v>
          </cell>
          <cell r="J4" t="str">
            <v>969855228</v>
          </cell>
          <cell r="K4" t="str">
            <v>CG00002</v>
          </cell>
        </row>
        <row r="5">
          <cell r="A5" t="str">
            <v>xn</v>
          </cell>
          <cell r="B5" t="str">
            <v>Xe ngoài</v>
          </cell>
          <cell r="C5" t="str">
            <v>Xe ngoài</v>
          </cell>
          <cell r="D5" t="str">
            <v>Xe ngoài</v>
          </cell>
          <cell r="E5" t="str">
            <v>Xe ngoài</v>
          </cell>
          <cell r="F5" t="str">
            <v>Xe ngoài</v>
          </cell>
          <cell r="G5" t="str">
            <v>Xe ngoài</v>
          </cell>
          <cell r="H5" t="str">
            <v>Xe ngoài</v>
          </cell>
          <cell r="J5" t="str">
            <v>Xe ngoài</v>
          </cell>
          <cell r="K5" t="str">
            <v>xn</v>
          </cell>
        </row>
        <row r="6">
          <cell r="A6" t="str">
            <v>CG00003</v>
          </cell>
          <cell r="B6" t="str">
            <v>Tuấn (TPND) 0913544073</v>
          </cell>
          <cell r="C6" t="str">
            <v>TP. Nam Định, Nam Định</v>
          </cell>
          <cell r="D6" t="str">
            <v>CG</v>
          </cell>
          <cell r="G6" t="b">
            <v>0</v>
          </cell>
          <cell r="H6" t="b">
            <v>0</v>
          </cell>
          <cell r="J6" t="str">
            <v>913544073</v>
          </cell>
          <cell r="K6" t="str">
            <v>CG00003</v>
          </cell>
        </row>
        <row r="7">
          <cell r="A7" t="str">
            <v>CG00004</v>
          </cell>
          <cell r="B7" t="str">
            <v>Nguyễn Văn Bản (HDHN) DHS 111882697 0983456337</v>
          </cell>
          <cell r="C7" t="str">
            <v>An Thượng, Hoài Đức, Hà Nội</v>
          </cell>
          <cell r="D7" t="str">
            <v>CG</v>
          </cell>
          <cell r="F7" t="str">
            <v>0983456337</v>
          </cell>
          <cell r="G7" t="b">
            <v>0</v>
          </cell>
          <cell r="H7" t="b">
            <v>0</v>
          </cell>
          <cell r="J7" t="str">
            <v>983456337</v>
          </cell>
          <cell r="K7" t="str">
            <v>CG00004</v>
          </cell>
        </row>
        <row r="8">
          <cell r="A8" t="str">
            <v>CG00005</v>
          </cell>
          <cell r="B8" t="str">
            <v>Trịnh Bá Oanh (HDHN) 001088017018 0975086668</v>
          </cell>
          <cell r="C8" t="str">
            <v>Biển Sắt, Hà Đông, Hà Nội</v>
          </cell>
          <cell r="D8" t="str">
            <v>CG</v>
          </cell>
          <cell r="F8" t="str">
            <v>0975086668</v>
          </cell>
          <cell r="G8" t="b">
            <v>0</v>
          </cell>
          <cell r="H8" t="b">
            <v>0</v>
          </cell>
          <cell r="J8" t="str">
            <v>975086668</v>
          </cell>
          <cell r="K8" t="str">
            <v>CG00005</v>
          </cell>
        </row>
        <row r="9">
          <cell r="A9" t="str">
            <v>CG00006</v>
          </cell>
          <cell r="B9" t="str">
            <v>Hưng (VNA) 0983229941</v>
          </cell>
          <cell r="C9" t="str">
            <v>TP. Vinh, Nghệ An</v>
          </cell>
          <cell r="D9" t="str">
            <v>CG</v>
          </cell>
          <cell r="G9" t="b">
            <v>0</v>
          </cell>
          <cell r="H9" t="b">
            <v>0</v>
          </cell>
          <cell r="J9" t="str">
            <v>983229941</v>
          </cell>
          <cell r="K9" t="str">
            <v>CG00006</v>
          </cell>
        </row>
        <row r="10">
          <cell r="A10" t="str">
            <v>CG00007</v>
          </cell>
          <cell r="B10" t="str">
            <v>Nguyễn Văn Chiều (HDHN) 001882136 0912949536</v>
          </cell>
          <cell r="C10" t="str">
            <v>An Thượng, Hoài Đức, Hà Nội</v>
          </cell>
          <cell r="D10" t="str">
            <v>CG</v>
          </cell>
          <cell r="G10" t="b">
            <v>0</v>
          </cell>
          <cell r="H10" t="b">
            <v>0</v>
          </cell>
          <cell r="J10" t="str">
            <v>912949536</v>
          </cell>
          <cell r="K10" t="str">
            <v>CG00007</v>
          </cell>
        </row>
        <row r="11">
          <cell r="A11" t="str">
            <v>CG00008</v>
          </cell>
          <cell r="B11" t="str">
            <v>Đạt DHS (HDHN) 0989202229</v>
          </cell>
          <cell r="C11" t="str">
            <v>Hà Đông, Hà Nội</v>
          </cell>
          <cell r="D11" t="str">
            <v>CG</v>
          </cell>
          <cell r="F11" t="str">
            <v>0989202229</v>
          </cell>
          <cell r="G11" t="b">
            <v>0</v>
          </cell>
          <cell r="H11" t="b">
            <v>0</v>
          </cell>
          <cell r="J11" t="str">
            <v>989202229</v>
          </cell>
          <cell r="K11" t="str">
            <v>CG00008</v>
          </cell>
        </row>
        <row r="12">
          <cell r="A12" t="str">
            <v>CG00009</v>
          </cell>
          <cell r="B12" t="str">
            <v>Nguyễn Đình Sơn (GLHD) 030088009598 0344446661</v>
          </cell>
          <cell r="C12" t="str">
            <v>Gia Lộc, Hải Dương</v>
          </cell>
          <cell r="D12" t="str">
            <v>CG</v>
          </cell>
          <cell r="F12" t="str">
            <v>0344446661</v>
          </cell>
          <cell r="G12" t="b">
            <v>0</v>
          </cell>
          <cell r="H12" t="b">
            <v>0</v>
          </cell>
          <cell r="J12" t="str">
            <v>344446661</v>
          </cell>
          <cell r="K12" t="str">
            <v>CG00009</v>
          </cell>
        </row>
        <row r="13">
          <cell r="A13" t="str">
            <v>CG00010</v>
          </cell>
          <cell r="B13" t="str">
            <v>Nguyễn Văn Sức (LDVLHY) 145288211 0913500185</v>
          </cell>
          <cell r="C13" t="str">
            <v>Lạc Đạo, Văn Lâm, Hưng Yên</v>
          </cell>
          <cell r="D13" t="str">
            <v>CG</v>
          </cell>
          <cell r="F13" t="str">
            <v>0913500185</v>
          </cell>
          <cell r="G13" t="b">
            <v>0</v>
          </cell>
          <cell r="H13" t="b">
            <v>0</v>
          </cell>
          <cell r="J13" t="str">
            <v>913500185</v>
          </cell>
          <cell r="K13" t="str">
            <v>CG00010</v>
          </cell>
        </row>
        <row r="14">
          <cell r="A14" t="str">
            <v>CG00011</v>
          </cell>
          <cell r="B14" t="str">
            <v>Trụ (LCHP) 0906096568</v>
          </cell>
          <cell r="C14" t="str">
            <v>Lê Chân, Hải Phòng</v>
          </cell>
          <cell r="D14" t="str">
            <v>CG</v>
          </cell>
          <cell r="G14" t="b">
            <v>0</v>
          </cell>
          <cell r="H14" t="b">
            <v>0</v>
          </cell>
          <cell r="J14" t="str">
            <v>906096568</v>
          </cell>
          <cell r="K14" t="str">
            <v>CG00011</v>
          </cell>
        </row>
        <row r="15">
          <cell r="A15" t="str">
            <v>CG00012</v>
          </cell>
          <cell r="B15" t="str">
            <v>Tạ Công Lý (LNHNA) 1681699499 0914171689</v>
          </cell>
          <cell r="C15" t="str">
            <v>Nhân Lý, Lý Nhân, Hà Nam</v>
          </cell>
          <cell r="D15" t="str">
            <v>CG</v>
          </cell>
          <cell r="F15" t="str">
            <v>0914171689</v>
          </cell>
          <cell r="G15" t="b">
            <v>0</v>
          </cell>
          <cell r="H15" t="b">
            <v>0</v>
          </cell>
          <cell r="J15" t="str">
            <v>914171689</v>
          </cell>
          <cell r="K15" t="str">
            <v>CG00012</v>
          </cell>
        </row>
        <row r="16">
          <cell r="A16" t="str">
            <v>CG00013</v>
          </cell>
          <cell r="B16" t="str">
            <v>Công ty TNHH Sản xuất và Thương mại Đức Tín (HDHN) 0913010067</v>
          </cell>
          <cell r="C16" t="str">
            <v>Tổ dân phố Trung Bình, Phường Dương Nội, Quận Hà Đông, Hà Nội</v>
          </cell>
          <cell r="D16" t="str">
            <v>CG</v>
          </cell>
          <cell r="E16" t="str">
            <v>0500556797</v>
          </cell>
          <cell r="F16" t="str">
            <v>0913010067</v>
          </cell>
          <cell r="G16" t="b">
            <v>0</v>
          </cell>
          <cell r="H16" t="b">
            <v>0</v>
          </cell>
          <cell r="J16" t="str">
            <v>913010067</v>
          </cell>
          <cell r="K16" t="str">
            <v>CG00013</v>
          </cell>
        </row>
        <row r="17">
          <cell r="A17" t="str">
            <v>CG00014</v>
          </cell>
          <cell r="B17" t="str">
            <v>Vũ Xuân Thích (NSHD) 030067003514 0904356038 0877166999</v>
          </cell>
          <cell r="C17" t="str">
            <v>Thị Trấn Nam Sách, Hải Dương</v>
          </cell>
          <cell r="D17" t="str">
            <v>CG</v>
          </cell>
          <cell r="F17" t="str">
            <v>0904356038</v>
          </cell>
          <cell r="G17" t="b">
            <v>0</v>
          </cell>
          <cell r="H17" t="b">
            <v>0</v>
          </cell>
          <cell r="J17" t="str">
            <v>877166999</v>
          </cell>
          <cell r="K17" t="str">
            <v>CG00014</v>
          </cell>
        </row>
        <row r="18">
          <cell r="A18" t="str">
            <v>CG00015</v>
          </cell>
          <cell r="B18" t="str">
            <v>Công ty TNHH Cao Cường (CLND) Phụng 0912432215 0600345126</v>
          </cell>
          <cell r="C18" t="str">
            <v>Nam Tiến, Nam Trực, Nam Định</v>
          </cell>
          <cell r="D18" t="str">
            <v>CG</v>
          </cell>
          <cell r="E18" t="str">
            <v>0600345126</v>
          </cell>
          <cell r="F18" t="str">
            <v>0912432215</v>
          </cell>
          <cell r="G18" t="b">
            <v>0</v>
          </cell>
          <cell r="H18" t="b">
            <v>0</v>
          </cell>
          <cell r="J18" t="str">
            <v>600345126</v>
          </cell>
          <cell r="K18" t="str">
            <v>CG00015</v>
          </cell>
        </row>
        <row r="19">
          <cell r="A19" t="str">
            <v>CG00016</v>
          </cell>
          <cell r="B19" t="str">
            <v>Đinh Khắc Bình (TNXHP) 031069000330 0916492176</v>
          </cell>
          <cell r="C19" t="str">
            <v>Phả Lễ, Thủy Nguyên, Hải Phòng</v>
          </cell>
          <cell r="D19" t="str">
            <v>CG</v>
          </cell>
          <cell r="F19" t="str">
            <v>0916492176</v>
          </cell>
          <cell r="G19" t="b">
            <v>0</v>
          </cell>
          <cell r="H19" t="b">
            <v>0</v>
          </cell>
          <cell r="J19" t="str">
            <v>916492176</v>
          </cell>
          <cell r="K19" t="str">
            <v>CG00016</v>
          </cell>
        </row>
        <row r="20">
          <cell r="A20" t="str">
            <v>CG00017</v>
          </cell>
          <cell r="B20" t="str">
            <v>Nguyễn Ngọc Lợi (QCTB) 034071003730 0915539491</v>
          </cell>
          <cell r="C20" t="str">
            <v>Quỳnh Côi, Quỳnh Phụ, Thái Bình</v>
          </cell>
          <cell r="D20" t="str">
            <v>CG</v>
          </cell>
          <cell r="F20" t="str">
            <v>0915539491</v>
          </cell>
          <cell r="G20" t="b">
            <v>0</v>
          </cell>
          <cell r="H20" t="b">
            <v>0</v>
          </cell>
          <cell r="J20" t="str">
            <v>915539491</v>
          </cell>
          <cell r="K20" t="str">
            <v>CG00017</v>
          </cell>
        </row>
        <row r="21">
          <cell r="A21" t="str">
            <v>CG00018</v>
          </cell>
          <cell r="B21" t="str">
            <v>Toàn Tiếp (HDHN) 0988836360</v>
          </cell>
          <cell r="C21" t="str">
            <v>Hà Đông, Hà Nội</v>
          </cell>
          <cell r="D21" t="str">
            <v>CG</v>
          </cell>
          <cell r="F21" t="str">
            <v>0988836360</v>
          </cell>
          <cell r="G21" t="b">
            <v>0</v>
          </cell>
          <cell r="H21" t="b">
            <v>0</v>
          </cell>
          <cell r="J21" t="str">
            <v>988836360</v>
          </cell>
          <cell r="K21" t="str">
            <v>CG00018</v>
          </cell>
        </row>
        <row r="22">
          <cell r="A22" t="str">
            <v>CG00019</v>
          </cell>
          <cell r="B22" t="str">
            <v>Công ty TNHH Trường Giang (QOHN) Hậu 0989891157</v>
          </cell>
          <cell r="C22" t="str">
            <v>Quốc Oai, Hà Nội</v>
          </cell>
          <cell r="D22" t="str">
            <v>CG</v>
          </cell>
          <cell r="E22" t="str">
            <v>0104164404</v>
          </cell>
          <cell r="F22" t="str">
            <v>0989891157</v>
          </cell>
          <cell r="G22" t="b">
            <v>0</v>
          </cell>
          <cell r="H22" t="b">
            <v>0</v>
          </cell>
          <cell r="J22" t="str">
            <v>989891157</v>
          </cell>
          <cell r="K22" t="str">
            <v>CG00019</v>
          </cell>
        </row>
        <row r="23">
          <cell r="A23" t="str">
            <v>CG00020</v>
          </cell>
          <cell r="B23" t="str">
            <v>Trần Thị Thảo (NCLNHNA) 161942583 0392239610</v>
          </cell>
          <cell r="C23" t="str">
            <v>Nhân Chính, Lý Nhân, Hà Nam</v>
          </cell>
          <cell r="D23" t="str">
            <v>CG</v>
          </cell>
          <cell r="F23" t="str">
            <v>0392239610</v>
          </cell>
          <cell r="G23" t="b">
            <v>0</v>
          </cell>
          <cell r="H23" t="b">
            <v>0</v>
          </cell>
          <cell r="J23" t="str">
            <v>392239610</v>
          </cell>
          <cell r="K23" t="str">
            <v>CG00020</v>
          </cell>
        </row>
        <row r="24">
          <cell r="A24" t="str">
            <v>CG00021</v>
          </cell>
          <cell r="B24" t="str">
            <v>Hưng (YMHY) 0987607331 0839609999</v>
          </cell>
          <cell r="C24" t="str">
            <v>Yên Mỹ, Hưng Yên</v>
          </cell>
          <cell r="D24" t="str">
            <v>CG</v>
          </cell>
          <cell r="F24" t="str">
            <v>0839609999</v>
          </cell>
          <cell r="G24" t="b">
            <v>0</v>
          </cell>
          <cell r="H24" t="b">
            <v>0</v>
          </cell>
          <cell r="J24" t="str">
            <v>839609999</v>
          </cell>
          <cell r="K24" t="str">
            <v>CG00021</v>
          </cell>
        </row>
        <row r="25">
          <cell r="A25" t="str">
            <v>CG00022</v>
          </cell>
          <cell r="B25" t="str">
            <v>Vũ Đình Hữu (CLND) 036070007104 0913347079 0966393205</v>
          </cell>
          <cell r="C25" t="str">
            <v>Trung Đông, Trực Ninh, Nam Định</v>
          </cell>
          <cell r="D25" t="str">
            <v>CG</v>
          </cell>
          <cell r="F25" t="str">
            <v>0966393205</v>
          </cell>
          <cell r="G25" t="b">
            <v>0</v>
          </cell>
          <cell r="H25" t="b">
            <v>0</v>
          </cell>
          <cell r="J25" t="str">
            <v>966393205</v>
          </cell>
          <cell r="K25" t="str">
            <v>CG00022</v>
          </cell>
        </row>
        <row r="26">
          <cell r="A26" t="str">
            <v>CG00023</v>
          </cell>
          <cell r="B26" t="str">
            <v>Vũ Văn Quý (VBHP) 031090002118 0984223888</v>
          </cell>
          <cell r="C26" t="str">
            <v>Kiến Thiết, Tiên Lãng, Hải Phòng</v>
          </cell>
          <cell r="D26" t="str">
            <v>CG</v>
          </cell>
          <cell r="F26" t="str">
            <v>0984223888</v>
          </cell>
          <cell r="G26" t="b">
            <v>0</v>
          </cell>
          <cell r="H26" t="b">
            <v>0</v>
          </cell>
          <cell r="J26" t="str">
            <v>984223888</v>
          </cell>
          <cell r="K26" t="str">
            <v>CG00023</v>
          </cell>
        </row>
        <row r="27">
          <cell r="A27" t="str">
            <v>CG00024</v>
          </cell>
          <cell r="B27" t="str">
            <v>Công ty TNHH XNK và Thương mại Phúc Tâm (HDHN) 0913074797</v>
          </cell>
          <cell r="C27" t="str">
            <v xml:space="preserve">Thôn An Hạ, Xã An Thượng, Huyện Hoài Đức, Hà Nội </v>
          </cell>
          <cell r="D27" t="str">
            <v>CG</v>
          </cell>
          <cell r="E27" t="str">
            <v>0106860679</v>
          </cell>
          <cell r="F27" t="str">
            <v>0913074797</v>
          </cell>
          <cell r="G27" t="b">
            <v>0</v>
          </cell>
          <cell r="H27" t="b">
            <v>0</v>
          </cell>
          <cell r="J27" t="str">
            <v>913074797</v>
          </cell>
          <cell r="K27" t="str">
            <v>CG00024</v>
          </cell>
        </row>
        <row r="28">
          <cell r="A28" t="str">
            <v>CG00025</v>
          </cell>
          <cell r="B28" t="str">
            <v>Phùng Thế Văn (QTTKHD) 142092069 0989526386</v>
          </cell>
          <cell r="C28" t="str">
            <v>Quang Trung, Tứ Kỳ, Hải Dương</v>
          </cell>
          <cell r="D28" t="str">
            <v>CG</v>
          </cell>
          <cell r="F28" t="str">
            <v>0989526386</v>
          </cell>
          <cell r="G28" t="b">
            <v>0</v>
          </cell>
          <cell r="H28" t="b">
            <v>0</v>
          </cell>
          <cell r="J28" t="str">
            <v>989526386</v>
          </cell>
          <cell r="K28" t="str">
            <v>CG00025</v>
          </cell>
        </row>
        <row r="29">
          <cell r="A29" t="str">
            <v>CG00026</v>
          </cell>
          <cell r="B29" t="str">
            <v>Phạm Văn Dũng (TGTH) 172167341 0915040509</v>
          </cell>
          <cell r="C29" t="str">
            <v>Tĩnh Gia, Thanh Hóa</v>
          </cell>
          <cell r="D29" t="str">
            <v>CG</v>
          </cell>
          <cell r="F29" t="str">
            <v>0915040509</v>
          </cell>
          <cell r="G29" t="b">
            <v>0</v>
          </cell>
          <cell r="H29" t="b">
            <v>0</v>
          </cell>
          <cell r="J29" t="str">
            <v>915040509</v>
          </cell>
          <cell r="K29" t="str">
            <v>CG00026</v>
          </cell>
        </row>
        <row r="30">
          <cell r="A30" t="str">
            <v>CG00027</v>
          </cell>
          <cell r="B30" t="str">
            <v>Chủ lẻ gỗ (CLG)</v>
          </cell>
          <cell r="C30" t="str">
            <v>Chủ lẻ gỗ</v>
          </cell>
          <cell r="D30" t="str">
            <v>CG</v>
          </cell>
          <cell r="F30" t="str">
            <v/>
          </cell>
          <cell r="G30" t="b">
            <v>0</v>
          </cell>
          <cell r="H30" t="b">
            <v>0</v>
          </cell>
          <cell r="J30" t="str">
            <v xml:space="preserve"> gỗ (CLG)</v>
          </cell>
          <cell r="K30" t="str">
            <v>CG00027</v>
          </cell>
        </row>
        <row r="31">
          <cell r="A31" t="str">
            <v>CG00028</v>
          </cell>
          <cell r="B31" t="str">
            <v>Châu (MDHP) 0918931266</v>
          </cell>
          <cell r="C31" t="str">
            <v>Mỹ Đoàn, Hải Phòng</v>
          </cell>
          <cell r="D31" t="str">
            <v>CG</v>
          </cell>
          <cell r="F31" t="str">
            <v>0918931266</v>
          </cell>
          <cell r="G31" t="b">
            <v>0</v>
          </cell>
          <cell r="H31" t="b">
            <v>0</v>
          </cell>
          <cell r="J31" t="str">
            <v>918931266</v>
          </cell>
          <cell r="K31" t="str">
            <v>CG00028</v>
          </cell>
        </row>
        <row r="32">
          <cell r="A32" t="str">
            <v>CG00029</v>
          </cell>
          <cell r="B32" t="str">
            <v>Chức (MDHP) 0913652268</v>
          </cell>
          <cell r="C32" t="str">
            <v>Mỹ Đoàn, Hải Phòng</v>
          </cell>
          <cell r="D32" t="str">
            <v>CG</v>
          </cell>
          <cell r="F32" t="str">
            <v>0913652268</v>
          </cell>
          <cell r="G32" t="b">
            <v>0</v>
          </cell>
          <cell r="H32" t="b">
            <v>0</v>
          </cell>
          <cell r="J32" t="str">
            <v>913652268</v>
          </cell>
          <cell r="K32" t="str">
            <v>CG00029</v>
          </cell>
        </row>
        <row r="33">
          <cell r="A33" t="str">
            <v>CG00030</v>
          </cell>
          <cell r="B33" t="str">
            <v>Phạm Văn Độ (HTHHND) 036065003488 0932380806</v>
          </cell>
          <cell r="C33" t="str">
            <v>Hải Trung, Hải Hậu, Nam Định</v>
          </cell>
          <cell r="D33" t="str">
            <v>CG</v>
          </cell>
          <cell r="F33" t="str">
            <v>0932380806</v>
          </cell>
          <cell r="G33" t="b">
            <v>0</v>
          </cell>
          <cell r="H33" t="b">
            <v>0</v>
          </cell>
          <cell r="J33" t="str">
            <v>932380806</v>
          </cell>
          <cell r="K33" t="str">
            <v>CG00030</v>
          </cell>
        </row>
        <row r="34">
          <cell r="A34" t="str">
            <v>CG00031</v>
          </cell>
          <cell r="B34" t="str">
            <v>Nguyễn Văn Lành (NTKBHNA) 035075002464 0912548391</v>
          </cell>
          <cell r="C34" t="str">
            <v>Nhật Tân, Kim Bảng, Hà Nam</v>
          </cell>
          <cell r="D34" t="str">
            <v>CG</v>
          </cell>
          <cell r="F34" t="str">
            <v>0912548391</v>
          </cell>
          <cell r="G34" t="b">
            <v>0</v>
          </cell>
          <cell r="H34" t="b">
            <v>0</v>
          </cell>
          <cell r="J34" t="str">
            <v>912548391</v>
          </cell>
          <cell r="K34" t="str">
            <v>CG00031</v>
          </cell>
        </row>
        <row r="35">
          <cell r="A35" t="str">
            <v>CG00032</v>
          </cell>
          <cell r="B35" t="str">
            <v>Trần Tài (DTDCNA) 182548446 0901789676 0948295968</v>
          </cell>
          <cell r="C35" t="str">
            <v>Diễn Thọ, Diễn Châu, Nghệ An</v>
          </cell>
          <cell r="D35" t="str">
            <v>CG</v>
          </cell>
          <cell r="F35" t="str">
            <v>0948295968</v>
          </cell>
          <cell r="G35" t="b">
            <v>0</v>
          </cell>
          <cell r="H35" t="b">
            <v>0</v>
          </cell>
          <cell r="J35" t="str">
            <v>948295968</v>
          </cell>
          <cell r="K35" t="str">
            <v>CG00032</v>
          </cell>
        </row>
        <row r="36">
          <cell r="A36" t="str">
            <v>CG00033</v>
          </cell>
          <cell r="B36" t="str">
            <v>Hoàng Văn Chức (CVCGHD) 030079002737 0982373247 0965197907</v>
          </cell>
          <cell r="C36" t="str">
            <v>Cẩm Vũ, Cẩm Giàng, Hải Dương</v>
          </cell>
          <cell r="D36" t="str">
            <v>CG</v>
          </cell>
          <cell r="F36" t="str">
            <v>0965197907</v>
          </cell>
          <cell r="G36" t="b">
            <v>0</v>
          </cell>
          <cell r="H36" t="b">
            <v>0</v>
          </cell>
          <cell r="J36" t="str">
            <v>965197907</v>
          </cell>
          <cell r="K36" t="str">
            <v>CG00033</v>
          </cell>
        </row>
        <row r="37">
          <cell r="A37" t="str">
            <v>CG00034</v>
          </cell>
          <cell r="B37" t="str">
            <v>Sơn (MDHP) 0904552838</v>
          </cell>
          <cell r="C37" t="str">
            <v>Mỹ Đoàn, Hải Phòng</v>
          </cell>
          <cell r="D37" t="str">
            <v>CG</v>
          </cell>
          <cell r="F37" t="str">
            <v>0904552838</v>
          </cell>
          <cell r="G37" t="b">
            <v>0</v>
          </cell>
          <cell r="H37" t="b">
            <v>0</v>
          </cell>
          <cell r="J37" t="str">
            <v>904552838</v>
          </cell>
          <cell r="K37" t="str">
            <v>CG00034</v>
          </cell>
        </row>
        <row r="38">
          <cell r="A38" t="str">
            <v>CG00035</v>
          </cell>
          <cell r="B38" t="str">
            <v>Trường (DPHN) 0976657152 0906636288</v>
          </cell>
          <cell r="C38" t="str">
            <v>Đan Phượng, Hà Nội</v>
          </cell>
          <cell r="D38" t="str">
            <v>CG</v>
          </cell>
          <cell r="F38" t="str">
            <v>0976657152</v>
          </cell>
          <cell r="G38" t="b">
            <v>0</v>
          </cell>
          <cell r="H38" t="b">
            <v>0</v>
          </cell>
          <cell r="J38" t="str">
            <v>906636288</v>
          </cell>
          <cell r="K38" t="str">
            <v>CG00035</v>
          </cell>
        </row>
        <row r="39">
          <cell r="A39" t="str">
            <v>CG00036</v>
          </cell>
          <cell r="B39" t="str">
            <v>Hùng Cóc (MDHP) 0989250669</v>
          </cell>
          <cell r="C39" t="str">
            <v>Mỹ Đoàn, Hải Phòng</v>
          </cell>
          <cell r="D39" t="str">
            <v>CG</v>
          </cell>
          <cell r="F39" t="str">
            <v>0989250669</v>
          </cell>
          <cell r="G39" t="b">
            <v>0</v>
          </cell>
          <cell r="H39" t="b">
            <v>0</v>
          </cell>
          <cell r="J39" t="str">
            <v>989250669</v>
          </cell>
          <cell r="K39" t="str">
            <v>CG00036</v>
          </cell>
        </row>
        <row r="40">
          <cell r="A40" t="str">
            <v>CG00037</v>
          </cell>
          <cell r="B40" t="str">
            <v>Quân béo (MDHP) 0977403766</v>
          </cell>
          <cell r="C40" t="str">
            <v>Mỹ Đoàn, Hải Phòng</v>
          </cell>
          <cell r="D40" t="str">
            <v>CG</v>
          </cell>
          <cell r="F40" t="str">
            <v>0977403766</v>
          </cell>
          <cell r="G40" t="b">
            <v>0</v>
          </cell>
          <cell r="H40" t="b">
            <v>0</v>
          </cell>
          <cell r="J40" t="str">
            <v>977403766</v>
          </cell>
          <cell r="K40" t="str">
            <v>CG00037</v>
          </cell>
        </row>
        <row r="41">
          <cell r="A41" t="str">
            <v>CG00038</v>
          </cell>
          <cell r="B41" t="str">
            <v>Sang con (MDHP) 0915709670</v>
          </cell>
          <cell r="C41" t="str">
            <v>Mỹ Đoàn, Hải Phòng</v>
          </cell>
          <cell r="D41" t="str">
            <v>CG</v>
          </cell>
          <cell r="F41" t="str">
            <v>0915709670</v>
          </cell>
          <cell r="G41" t="b">
            <v>0</v>
          </cell>
          <cell r="H41" t="b">
            <v>0</v>
          </cell>
          <cell r="J41" t="str">
            <v>915709670</v>
          </cell>
          <cell r="K41" t="str">
            <v>CG00038</v>
          </cell>
        </row>
        <row r="42">
          <cell r="A42" t="str">
            <v>CG00039</v>
          </cell>
          <cell r="B42" t="str">
            <v>Phùng Văn Dĩnh (ATVTVP) 135024746 0967376229 0967106234</v>
          </cell>
          <cell r="C42" t="str">
            <v>An Tường, Vĩnh Tường, Vĩnh Phúc</v>
          </cell>
          <cell r="D42" t="str">
            <v>CG</v>
          </cell>
          <cell r="F42" t="str">
            <v>0967106234</v>
          </cell>
          <cell r="G42" t="b">
            <v>0</v>
          </cell>
          <cell r="H42" t="b">
            <v>0</v>
          </cell>
          <cell r="J42" t="str">
            <v>967106234</v>
          </cell>
          <cell r="K42" t="str">
            <v>CG00039</v>
          </cell>
        </row>
        <row r="43">
          <cell r="A43" t="str">
            <v>CG00040</v>
          </cell>
          <cell r="B43" t="str">
            <v>Công ty TNHH Gỗ Đại Xuân (PLHNA) 0979668924</v>
          </cell>
          <cell r="C43" t="str">
            <v>Thôn Đỗ Nội, xã Tiên Hải, thành phố Phủ Lý, tỉnh Hà Nam</v>
          </cell>
          <cell r="D43" t="str">
            <v>CG</v>
          </cell>
          <cell r="E43" t="str">
            <v>0700772763</v>
          </cell>
          <cell r="F43" t="str">
            <v>0979668924</v>
          </cell>
          <cell r="G43" t="b">
            <v>0</v>
          </cell>
          <cell r="H43" t="b">
            <v>0</v>
          </cell>
          <cell r="J43" t="str">
            <v>979668924</v>
          </cell>
          <cell r="K43" t="str">
            <v>CG00040</v>
          </cell>
        </row>
        <row r="44">
          <cell r="A44" t="str">
            <v>CG00041</v>
          </cell>
          <cell r="B44" t="str">
            <v>Tuấn Yến (TTHN) 0912738434</v>
          </cell>
          <cell r="C44" t="str">
            <v>Thạch Thất, Hà Nội</v>
          </cell>
          <cell r="D44" t="str">
            <v>CG</v>
          </cell>
          <cell r="F44" t="str">
            <v>0912738434</v>
          </cell>
          <cell r="G44" t="b">
            <v>0</v>
          </cell>
          <cell r="H44" t="b">
            <v>0</v>
          </cell>
          <cell r="J44" t="str">
            <v>912738434</v>
          </cell>
          <cell r="K44" t="str">
            <v>CG00041</v>
          </cell>
        </row>
        <row r="45">
          <cell r="A45" t="str">
            <v>CG00042</v>
          </cell>
          <cell r="B45" t="str">
            <v>Nguyễn Đình Tâm (GLHD) 030069004284 0904155661</v>
          </cell>
          <cell r="C45" t="str">
            <v>Thị Trấn Gia Lộc, Hải Dương</v>
          </cell>
          <cell r="D45" t="str">
            <v>CG</v>
          </cell>
          <cell r="F45" t="str">
            <v>0904155661</v>
          </cell>
          <cell r="G45" t="b">
            <v>0</v>
          </cell>
          <cell r="H45" t="b">
            <v>0</v>
          </cell>
          <cell r="J45" t="str">
            <v>904155661</v>
          </cell>
          <cell r="K45" t="str">
            <v>CG00042</v>
          </cell>
        </row>
        <row r="46">
          <cell r="A46" t="str">
            <v>CG00043</v>
          </cell>
          <cell r="B46" t="str">
            <v>Doanh (CLND) 0912302597</v>
          </cell>
          <cell r="C46" t="str">
            <v>Cổ Lễ, Nam Định</v>
          </cell>
          <cell r="D46" t="str">
            <v>CG</v>
          </cell>
          <cell r="F46" t="str">
            <v>0912302597</v>
          </cell>
          <cell r="G46" t="b">
            <v>0</v>
          </cell>
          <cell r="H46" t="b">
            <v>0</v>
          </cell>
          <cell r="J46" t="str">
            <v>912302597</v>
          </cell>
          <cell r="K46" t="str">
            <v>CG00043</v>
          </cell>
        </row>
        <row r="47">
          <cell r="A47" t="str">
            <v>CG00044</v>
          </cell>
          <cell r="B47" t="str">
            <v>Công ty TNHH Thương mại và Sản xuất Trí Dũng (QOHN) 0905557788</v>
          </cell>
          <cell r="C47" t="str">
            <v>Thôn Ngọc Phúc, xã Ngọc Liệp, huyện Quốc Oai, thành phố Hà Nội</v>
          </cell>
          <cell r="D47" t="str">
            <v>CG</v>
          </cell>
          <cell r="E47" t="str">
            <v>0101453895</v>
          </cell>
          <cell r="F47" t="str">
            <v>0905557788</v>
          </cell>
          <cell r="G47" t="b">
            <v>0</v>
          </cell>
          <cell r="H47" t="b">
            <v>0</v>
          </cell>
          <cell r="J47" t="str">
            <v>905557788</v>
          </cell>
          <cell r="K47" t="str">
            <v>CG00044</v>
          </cell>
        </row>
        <row r="48">
          <cell r="A48" t="str">
            <v>CG00045</v>
          </cell>
          <cell r="B48" t="str">
            <v>Công ty TNHH Minh (CGHN) 0989981348</v>
          </cell>
          <cell r="C48" t="str">
            <v>Số 3, ngõ 186 Trần Duy Hưng, Tổ 10, P. Trung Hòa, Q. Cầu Giấy. Hà Nội</v>
          </cell>
          <cell r="D48" t="str">
            <v>CG</v>
          </cell>
          <cell r="E48" t="str">
            <v>0101879838</v>
          </cell>
          <cell r="F48" t="str">
            <v>0989981348</v>
          </cell>
          <cell r="G48" t="b">
            <v>0</v>
          </cell>
          <cell r="H48" t="b">
            <v>0</v>
          </cell>
          <cell r="J48" t="str">
            <v>989981348</v>
          </cell>
          <cell r="K48" t="str">
            <v>CG00045</v>
          </cell>
        </row>
        <row r="49">
          <cell r="A49" t="str">
            <v>CG00046</v>
          </cell>
          <cell r="B49" t="str">
            <v>Phương Thanh (MDHP) 0913562288</v>
          </cell>
          <cell r="C49" t="str">
            <v>Mỹ Đoàn, Hải Phòng</v>
          </cell>
          <cell r="D49" t="str">
            <v>CG</v>
          </cell>
          <cell r="F49" t="str">
            <v>0913562288</v>
          </cell>
          <cell r="G49" t="b">
            <v>0</v>
          </cell>
          <cell r="H49" t="b">
            <v>0</v>
          </cell>
          <cell r="J49" t="str">
            <v>913562288</v>
          </cell>
          <cell r="K49" t="str">
            <v>CG00046</v>
          </cell>
        </row>
        <row r="50">
          <cell r="A50" t="str">
            <v>CG00047</v>
          </cell>
          <cell r="B50" t="str">
            <v>Công ty CP Gỗ Nguyễn Gia (HDHN) 0963589688</v>
          </cell>
          <cell r="C50" t="str">
            <v>Số nhà 36, TDP Quyết Tiến, P. Dương Nội, Q. Hà Đông, TP. Hà Nội</v>
          </cell>
          <cell r="D50" t="str">
            <v>CG</v>
          </cell>
          <cell r="E50" t="str">
            <v>0107780916</v>
          </cell>
          <cell r="F50" t="str">
            <v>0963589688</v>
          </cell>
          <cell r="G50" t="b">
            <v>0</v>
          </cell>
          <cell r="H50" t="b">
            <v>0</v>
          </cell>
          <cell r="J50" t="str">
            <v>963589688</v>
          </cell>
          <cell r="K50" t="str">
            <v>CG00047</v>
          </cell>
        </row>
        <row r="51">
          <cell r="A51" t="str">
            <v>CG00048</v>
          </cell>
          <cell r="B51" t="str">
            <v>Tới (MDHP) 0975919491</v>
          </cell>
          <cell r="C51" t="str">
            <v>Mỹ Đoàn, Hải Phòng</v>
          </cell>
          <cell r="D51" t="str">
            <v>CG</v>
          </cell>
          <cell r="F51" t="str">
            <v>0975919491</v>
          </cell>
          <cell r="G51" t="b">
            <v>0</v>
          </cell>
          <cell r="H51" t="b">
            <v>0</v>
          </cell>
          <cell r="J51" t="str">
            <v>975919491</v>
          </cell>
          <cell r="K51" t="str">
            <v>CG00048</v>
          </cell>
        </row>
        <row r="52">
          <cell r="A52" t="str">
            <v>CG00049</v>
          </cell>
          <cell r="B52" t="str">
            <v>Toàn (MDHP) 0986024089</v>
          </cell>
          <cell r="C52" t="str">
            <v>Mỹ Đoàn, Hải Phòng</v>
          </cell>
          <cell r="D52" t="str">
            <v>CG</v>
          </cell>
          <cell r="F52" t="str">
            <v>0986024089</v>
          </cell>
          <cell r="G52" t="b">
            <v>0</v>
          </cell>
          <cell r="H52" t="b">
            <v>0</v>
          </cell>
          <cell r="J52" t="str">
            <v>986024089</v>
          </cell>
          <cell r="K52" t="str">
            <v>CG00049</v>
          </cell>
        </row>
        <row r="53">
          <cell r="A53" t="str">
            <v>CG00050</v>
          </cell>
          <cell r="B53" t="str">
            <v>Đinh Văn Hiếu (THYYND) Hải 381305528 0918956938</v>
          </cell>
          <cell r="C53" t="str">
            <v>Tân Hưng, Ý Yên, Nam Định</v>
          </cell>
          <cell r="D53" t="str">
            <v>CG</v>
          </cell>
          <cell r="F53" t="str">
            <v>0918956938</v>
          </cell>
          <cell r="G53" t="b">
            <v>0</v>
          </cell>
          <cell r="H53" t="b">
            <v>0</v>
          </cell>
          <cell r="J53" t="str">
            <v>918956938</v>
          </cell>
          <cell r="K53" t="str">
            <v>CG00050</v>
          </cell>
        </row>
        <row r="54">
          <cell r="A54" t="str">
            <v>CG00051</v>
          </cell>
          <cell r="B54" t="str">
            <v>Trần Văn Tiến (VTHNA) 017394354 0976850526</v>
          </cell>
          <cell r="C54" t="str">
            <v>Nhân Chính, Lý Nhân, Hà Nam</v>
          </cell>
          <cell r="D54" t="str">
            <v>CG</v>
          </cell>
          <cell r="F54" t="str">
            <v>0916065526</v>
          </cell>
          <cell r="G54" t="b">
            <v>0</v>
          </cell>
          <cell r="H54" t="b">
            <v>0</v>
          </cell>
          <cell r="J54" t="str">
            <v>976850526</v>
          </cell>
          <cell r="K54" t="str">
            <v>CG00051</v>
          </cell>
        </row>
        <row r="55">
          <cell r="A55" t="str">
            <v>CG00052</v>
          </cell>
          <cell r="B55" t="str">
            <v>Tuấn Phúc (HDHN) 0912766567</v>
          </cell>
          <cell r="C55" t="str">
            <v>Hà Đông, Hà Nội</v>
          </cell>
          <cell r="D55" t="str">
            <v>CG</v>
          </cell>
          <cell r="F55" t="str">
            <v>0912766567</v>
          </cell>
          <cell r="G55" t="b">
            <v>0</v>
          </cell>
          <cell r="H55" t="b">
            <v>0</v>
          </cell>
          <cell r="J55" t="str">
            <v>912766567</v>
          </cell>
          <cell r="K55" t="str">
            <v>CG00052</v>
          </cell>
        </row>
        <row r="56">
          <cell r="A56" t="str">
            <v>CG00053</v>
          </cell>
          <cell r="B56" t="str">
            <v>Vũ Văn Thắng (QGHD) 145538584 0902094352 0968702552</v>
          </cell>
          <cell r="C56" t="str">
            <v>Hòa Phong, Mỹ Hào, Hưng Yên</v>
          </cell>
          <cell r="D56" t="str">
            <v>CG</v>
          </cell>
          <cell r="F56" t="str">
            <v>0968702552</v>
          </cell>
          <cell r="G56" t="b">
            <v>0</v>
          </cell>
          <cell r="H56" t="b">
            <v>0</v>
          </cell>
          <cell r="J56" t="str">
            <v>968702552</v>
          </cell>
          <cell r="K56" t="str">
            <v>CG00053</v>
          </cell>
        </row>
        <row r="57">
          <cell r="A57" t="str">
            <v>CG00054</v>
          </cell>
          <cell r="B57" t="str">
            <v>Trương Văn Tuyến (QTHP) 0313670305 0912726582</v>
          </cell>
          <cell r="C57" t="str">
            <v>An Hưng, An Dương, Hải Phòng</v>
          </cell>
          <cell r="D57" t="str">
            <v>CG</v>
          </cell>
          <cell r="F57" t="str">
            <v>0912726582</v>
          </cell>
          <cell r="G57" t="b">
            <v>0</v>
          </cell>
          <cell r="H57" t="b">
            <v>0</v>
          </cell>
          <cell r="J57" t="str">
            <v>912726582</v>
          </cell>
          <cell r="K57" t="str">
            <v>CG00054</v>
          </cell>
        </row>
        <row r="58">
          <cell r="A58" t="str">
            <v>CG00055</v>
          </cell>
          <cell r="B58" t="str">
            <v>Công ty TNHH Thương mại Đại Lợi (YMHY) 0984883883</v>
          </cell>
          <cell r="C58" t="str">
            <v>Quảng Uyên, xã Minh Châu, huyện Yên Mỹ, tỉnh Hưng Yên</v>
          </cell>
          <cell r="D58" t="str">
            <v>CG</v>
          </cell>
          <cell r="E58" t="str">
            <v>0900220978</v>
          </cell>
          <cell r="F58" t="str">
            <v>0984883883</v>
          </cell>
          <cell r="G58" t="b">
            <v>0</v>
          </cell>
          <cell r="H58" t="b">
            <v>0</v>
          </cell>
          <cell r="J58" t="str">
            <v>984883883</v>
          </cell>
          <cell r="K58" t="str">
            <v>CG00055</v>
          </cell>
        </row>
        <row r="59">
          <cell r="A59" t="str">
            <v>CG00056</v>
          </cell>
          <cell r="B59" t="str">
            <v>Sáng (MDHP) 0902211003</v>
          </cell>
          <cell r="C59" t="str">
            <v>Mỹ Đoàn, Hải Phòng</v>
          </cell>
          <cell r="D59" t="str">
            <v>CG</v>
          </cell>
          <cell r="F59" t="str">
            <v>0902211003</v>
          </cell>
          <cell r="G59" t="b">
            <v>0</v>
          </cell>
          <cell r="H59" t="b">
            <v>0</v>
          </cell>
          <cell r="J59" t="str">
            <v>902211003</v>
          </cell>
          <cell r="K59" t="str">
            <v>CG00056</v>
          </cell>
        </row>
        <row r="60">
          <cell r="A60" t="str">
            <v>CG00057</v>
          </cell>
          <cell r="B60" t="str">
            <v>Dũng (TTHN) 0912970198</v>
          </cell>
          <cell r="C60" t="str">
            <v>Thạch Thất, Hà Nội</v>
          </cell>
          <cell r="D60" t="str">
            <v>CG</v>
          </cell>
          <cell r="F60" t="str">
            <v>0912970198</v>
          </cell>
          <cell r="G60" t="b">
            <v>0</v>
          </cell>
          <cell r="H60" t="b">
            <v>0</v>
          </cell>
          <cell r="J60" t="str">
            <v>912970198</v>
          </cell>
          <cell r="K60" t="str">
            <v>CG00057</v>
          </cell>
        </row>
        <row r="61">
          <cell r="A61" t="str">
            <v>CG00058</v>
          </cell>
          <cell r="B61" t="str">
            <v>Kha (VBG) 0912285686</v>
          </cell>
          <cell r="C61" t="str">
            <v>Vôi, Lạng Giang, Bắc Giang</v>
          </cell>
          <cell r="D61" t="str">
            <v>CG</v>
          </cell>
          <cell r="F61" t="str">
            <v>0912285686</v>
          </cell>
          <cell r="G61" t="b">
            <v>0</v>
          </cell>
          <cell r="H61" t="b">
            <v>0</v>
          </cell>
          <cell r="J61" t="str">
            <v>912285686</v>
          </cell>
          <cell r="K61" t="str">
            <v>CG00058</v>
          </cell>
        </row>
        <row r="62">
          <cell r="A62" t="str">
            <v>CG00059</v>
          </cell>
          <cell r="B62" t="str">
            <v>Tuấn (YYND) 0389953333</v>
          </cell>
          <cell r="C62" t="str">
            <v>Ý Yên, Nam Định</v>
          </cell>
          <cell r="D62" t="str">
            <v>CG</v>
          </cell>
          <cell r="F62" t="str">
            <v>0389953333</v>
          </cell>
          <cell r="G62" t="b">
            <v>0</v>
          </cell>
          <cell r="H62" t="b">
            <v>0</v>
          </cell>
          <cell r="J62" t="str">
            <v>389953333</v>
          </cell>
          <cell r="K62" t="str">
            <v>CG00059</v>
          </cell>
        </row>
        <row r="63">
          <cell r="A63" t="str">
            <v>CG00060</v>
          </cell>
          <cell r="B63" t="str">
            <v>Tuấn (TTHN) 0967982396</v>
          </cell>
          <cell r="C63" t="str">
            <v>Thạch Thất, Hà Nội</v>
          </cell>
          <cell r="D63" t="str">
            <v>CG</v>
          </cell>
          <cell r="F63" t="str">
            <v>0967982396</v>
          </cell>
          <cell r="G63" t="b">
            <v>0</v>
          </cell>
          <cell r="H63" t="b">
            <v>0</v>
          </cell>
          <cell r="J63" t="str">
            <v>967982396</v>
          </cell>
          <cell r="K63" t="str">
            <v>CG00060</v>
          </cell>
        </row>
        <row r="64">
          <cell r="A64" t="str">
            <v>CG00061</v>
          </cell>
          <cell r="B64" t="str">
            <v>Sang Xuân (MDHP) 0972002211</v>
          </cell>
          <cell r="C64" t="str">
            <v>Mỹ Đoàn, Hải Phòng</v>
          </cell>
          <cell r="D64" t="str">
            <v>CG</v>
          </cell>
          <cell r="F64" t="str">
            <v>0972002211</v>
          </cell>
          <cell r="G64" t="b">
            <v>0</v>
          </cell>
          <cell r="H64" t="b">
            <v>0</v>
          </cell>
          <cell r="J64" t="str">
            <v>972002211</v>
          </cell>
          <cell r="K64" t="str">
            <v>CG00061</v>
          </cell>
        </row>
        <row r="65">
          <cell r="A65" t="str">
            <v>CG00062</v>
          </cell>
          <cell r="B65" t="str">
            <v>Tạ Hữu Sơn (HDHHTH) 171526503 0962568789 0917609648</v>
          </cell>
          <cell r="C65" t="str">
            <v>Hoằng Đồng, Hoằng Hóa, Thanh Hóa</v>
          </cell>
          <cell r="D65" t="str">
            <v>CG</v>
          </cell>
          <cell r="F65" t="str">
            <v>0917609648</v>
          </cell>
          <cell r="G65" t="b">
            <v>0</v>
          </cell>
          <cell r="H65" t="b">
            <v>0</v>
          </cell>
          <cell r="J65" t="str">
            <v>917609648</v>
          </cell>
          <cell r="K65" t="str">
            <v>CG00062</v>
          </cell>
        </row>
        <row r="66">
          <cell r="A66" t="str">
            <v>CG00063</v>
          </cell>
          <cell r="B66" t="str">
            <v>Tỉnh (NSTH) 0983165544</v>
          </cell>
          <cell r="C66" t="str">
            <v>Nga Sơn, Thanh Hóa</v>
          </cell>
          <cell r="D66" t="str">
            <v>CG</v>
          </cell>
          <cell r="F66" t="str">
            <v>0983165544</v>
          </cell>
          <cell r="G66" t="b">
            <v>0</v>
          </cell>
          <cell r="H66" t="b">
            <v>0</v>
          </cell>
          <cell r="J66" t="str">
            <v>983165544</v>
          </cell>
          <cell r="K66" t="str">
            <v>CG00063</v>
          </cell>
        </row>
        <row r="67">
          <cell r="A67" t="str">
            <v>CG00064</v>
          </cell>
          <cell r="B67" t="str">
            <v>Ngô Trung Thức (HVHHND) 160465294 0816483620</v>
          </cell>
          <cell r="C67" t="str">
            <v>Hải Vân, Hải Hậu, Nam Định</v>
          </cell>
          <cell r="D67" t="str">
            <v>CG</v>
          </cell>
          <cell r="F67" t="str">
            <v>0816483620</v>
          </cell>
          <cell r="G67" t="b">
            <v>0</v>
          </cell>
          <cell r="H67" t="b">
            <v>0</v>
          </cell>
          <cell r="J67" t="str">
            <v>816483620</v>
          </cell>
          <cell r="K67" t="str">
            <v>CG00064</v>
          </cell>
        </row>
        <row r="68">
          <cell r="A68" t="str">
            <v>CG00065</v>
          </cell>
          <cell r="B68" t="str">
            <v>An (TSTH) 0975762778</v>
          </cell>
          <cell r="C68" t="str">
            <v>Triệu Sơn, Thanh Hóa</v>
          </cell>
          <cell r="D68" t="str">
            <v>CG</v>
          </cell>
          <cell r="F68" t="str">
            <v>0975762778</v>
          </cell>
          <cell r="G68" t="b">
            <v>0</v>
          </cell>
          <cell r="H68" t="b">
            <v>0</v>
          </cell>
          <cell r="J68" t="str">
            <v>975762778</v>
          </cell>
          <cell r="K68" t="str">
            <v>CG00065</v>
          </cell>
        </row>
        <row r="69">
          <cell r="A69" t="str">
            <v>CG00066</v>
          </cell>
          <cell r="B69" t="str">
            <v>Hải Quyên (MDHP) 0982887777</v>
          </cell>
          <cell r="C69" t="str">
            <v>Mỹ Đoàn, Hải Phòng</v>
          </cell>
          <cell r="D69" t="str">
            <v>CG</v>
          </cell>
          <cell r="F69" t="str">
            <v>0982887777</v>
          </cell>
          <cell r="G69" t="b">
            <v>0</v>
          </cell>
          <cell r="H69" t="b">
            <v>0</v>
          </cell>
          <cell r="J69" t="str">
            <v>982887777</v>
          </cell>
          <cell r="K69" t="str">
            <v>CG00066</v>
          </cell>
        </row>
        <row r="70">
          <cell r="A70" t="str">
            <v>CG00067</v>
          </cell>
          <cell r="B70" t="str">
            <v>Đức kho (MDHP) 0962558286</v>
          </cell>
          <cell r="C70" t="str">
            <v>Mỹ Đoàn, Hải Phòng</v>
          </cell>
          <cell r="D70" t="str">
            <v>CG</v>
          </cell>
          <cell r="F70" t="str">
            <v>0962558286</v>
          </cell>
          <cell r="G70" t="b">
            <v>0</v>
          </cell>
          <cell r="H70" t="b">
            <v>0</v>
          </cell>
          <cell r="J70" t="str">
            <v>962558286</v>
          </cell>
          <cell r="K70" t="str">
            <v>CG00067</v>
          </cell>
        </row>
        <row r="71">
          <cell r="A71" t="str">
            <v>CG00068</v>
          </cell>
          <cell r="B71" t="str">
            <v>Nguyễn Văn Quý (VAVPHP) 031093001708 0987854078 0976662888</v>
          </cell>
          <cell r="C71" t="str">
            <v>Vĩnh An, Vĩnh Bảo, Hải Phòng</v>
          </cell>
          <cell r="D71" t="str">
            <v>CG</v>
          </cell>
          <cell r="F71" t="str">
            <v>0987854078</v>
          </cell>
          <cell r="G71" t="b">
            <v>0</v>
          </cell>
          <cell r="H71" t="b">
            <v>0</v>
          </cell>
          <cell r="J71" t="str">
            <v>976662888</v>
          </cell>
          <cell r="K71" t="str">
            <v>CG00068</v>
          </cell>
        </row>
        <row r="72">
          <cell r="A72" t="str">
            <v>CG00069</v>
          </cell>
          <cell r="B72" t="str">
            <v>Công ty TNHH sản xuất TM và DV TMC Hà Nội (DAHN) Dung 0972234232</v>
          </cell>
          <cell r="C72" t="str">
            <v>Đồng Xuân, Sóc Sơn, Hà Nội</v>
          </cell>
          <cell r="D72" t="str">
            <v>CG</v>
          </cell>
          <cell r="E72" t="str">
            <v>0106272525</v>
          </cell>
          <cell r="F72" t="str">
            <v>0972234232</v>
          </cell>
          <cell r="G72" t="b">
            <v>0</v>
          </cell>
          <cell r="H72" t="b">
            <v>0</v>
          </cell>
          <cell r="J72" t="str">
            <v>972234232</v>
          </cell>
          <cell r="K72" t="str">
            <v>CG00069</v>
          </cell>
        </row>
        <row r="73">
          <cell r="A73" t="str">
            <v>CG00070</v>
          </cell>
          <cell r="B73" t="str">
            <v>Ngà (XTND) 0904762266</v>
          </cell>
          <cell r="C73" t="str">
            <v>Xuân Trường, Nam Định</v>
          </cell>
          <cell r="D73" t="str">
            <v>CG</v>
          </cell>
          <cell r="F73" t="str">
            <v>0904762266</v>
          </cell>
          <cell r="G73" t="b">
            <v>0</v>
          </cell>
          <cell r="H73" t="b">
            <v>0</v>
          </cell>
          <cell r="J73" t="str">
            <v>904762266</v>
          </cell>
          <cell r="K73" t="str">
            <v>CG00070</v>
          </cell>
        </row>
        <row r="74">
          <cell r="A74" t="str">
            <v>CG00071</v>
          </cell>
          <cell r="B74" t="str">
            <v>Đào Ngọc Long (BSTH) 171622434 0825128666</v>
          </cell>
          <cell r="C74" t="str">
            <v>Hà Dương, Hà Trung, Thanh Hóa</v>
          </cell>
          <cell r="D74" t="str">
            <v>CG</v>
          </cell>
          <cell r="F74" t="str">
            <v>0825128666</v>
          </cell>
          <cell r="G74" t="b">
            <v>0</v>
          </cell>
          <cell r="H74" t="b">
            <v>0</v>
          </cell>
          <cell r="J74" t="str">
            <v>825128666</v>
          </cell>
          <cell r="K74" t="str">
            <v>CG00071</v>
          </cell>
        </row>
        <row r="75">
          <cell r="A75" t="str">
            <v>CG00072</v>
          </cell>
          <cell r="B75" t="str">
            <v>Tuyến (MDHP) 0934522000</v>
          </cell>
          <cell r="C75" t="str">
            <v>Mỹ Đoàn, Hải Phòng</v>
          </cell>
          <cell r="D75" t="str">
            <v>CG</v>
          </cell>
          <cell r="F75" t="str">
            <v>0934522000</v>
          </cell>
          <cell r="G75" t="b">
            <v>0</v>
          </cell>
          <cell r="H75" t="b">
            <v>0</v>
          </cell>
          <cell r="J75" t="str">
            <v>934522000</v>
          </cell>
          <cell r="K75" t="str">
            <v>CG00072</v>
          </cell>
        </row>
        <row r="76">
          <cell r="A76" t="str">
            <v>CG00073</v>
          </cell>
          <cell r="B76" t="str">
            <v>P. XNK - Mỹ Đoàn (các lô) 0913288269</v>
          </cell>
          <cell r="C76" t="str">
            <v>Mỹ Đoàn, Hà Nội</v>
          </cell>
          <cell r="D76" t="str">
            <v>CG</v>
          </cell>
          <cell r="E76" t="str">
            <v>0500414591</v>
          </cell>
          <cell r="F76" t="str">
            <v>0913288269</v>
          </cell>
          <cell r="G76" t="b">
            <v>0</v>
          </cell>
          <cell r="H76" t="b">
            <v>0</v>
          </cell>
          <cell r="J76" t="str">
            <v>913288269</v>
          </cell>
          <cell r="K76" t="str">
            <v>CG00073</v>
          </cell>
        </row>
        <row r="77">
          <cell r="A77" t="str">
            <v>CG00074</v>
          </cell>
          <cell r="B77" t="str">
            <v>Vũ Đức Trung (TSVYBG) 121925347 0974610669</v>
          </cell>
          <cell r="C77" t="str">
            <v>Trung Sơn, Việt Yên, Bắc Giang</v>
          </cell>
          <cell r="D77" t="str">
            <v>CG</v>
          </cell>
          <cell r="F77" t="str">
            <v>0974610669</v>
          </cell>
          <cell r="G77" t="b">
            <v>0</v>
          </cell>
          <cell r="H77" t="b">
            <v>0</v>
          </cell>
          <cell r="J77" t="str">
            <v>974610669</v>
          </cell>
          <cell r="K77" t="str">
            <v>CG00074</v>
          </cell>
        </row>
        <row r="78">
          <cell r="A78" t="str">
            <v>CG00075</v>
          </cell>
          <cell r="B78" t="str">
            <v>Phan Văn Huy (NMQOHN) 001085002492 0985886034</v>
          </cell>
          <cell r="C78" t="str">
            <v>Ngọc Mỹ, Quốc Oai, Hà Nội</v>
          </cell>
          <cell r="D78" t="str">
            <v>CG</v>
          </cell>
          <cell r="F78" t="str">
            <v>0985886034</v>
          </cell>
          <cell r="G78" t="b">
            <v>0</v>
          </cell>
          <cell r="H78" t="b">
            <v>0</v>
          </cell>
          <cell r="J78" t="str">
            <v>985886034</v>
          </cell>
          <cell r="K78" t="str">
            <v>CG00075</v>
          </cell>
        </row>
        <row r="79">
          <cell r="A79" t="str">
            <v>CG00076</v>
          </cell>
          <cell r="B79" t="str">
            <v>Nguyễn Thị Hương (NCNTND) 162755228 0988763699</v>
          </cell>
          <cell r="C79" t="str">
            <v>Nam Cường, Nam Trực, Nam Định</v>
          </cell>
          <cell r="D79" t="str">
            <v>CG</v>
          </cell>
          <cell r="F79" t="str">
            <v>0988763699</v>
          </cell>
          <cell r="G79" t="b">
            <v>0</v>
          </cell>
          <cell r="H79" t="b">
            <v>0</v>
          </cell>
          <cell r="J79" t="str">
            <v>988763699</v>
          </cell>
          <cell r="K79" t="str">
            <v>CG00076</v>
          </cell>
        </row>
        <row r="80">
          <cell r="A80" t="str">
            <v>CG00077</v>
          </cell>
          <cell r="B80" t="str">
            <v>Vương (CMHN) 0912969999</v>
          </cell>
          <cell r="C80" t="str">
            <v>Chương Mỹ, Hà Nội</v>
          </cell>
          <cell r="D80" t="str">
            <v>CG</v>
          </cell>
          <cell r="F80" t="str">
            <v>0912969999</v>
          </cell>
          <cell r="G80" t="b">
            <v>0</v>
          </cell>
          <cell r="H80" t="b">
            <v>0</v>
          </cell>
          <cell r="J80" t="str">
            <v>912969999</v>
          </cell>
          <cell r="K80" t="str">
            <v>CG00077</v>
          </cell>
        </row>
        <row r="81">
          <cell r="A81" t="str">
            <v>CG00078</v>
          </cell>
          <cell r="B81" t="str">
            <v>Công ty TNHH Gỗ Bến Thành (TPHCM) 0989981348</v>
          </cell>
          <cell r="C81" t="str">
            <v>Lô Officetel 3B.32, tầng lầu 3B, khối 3, dự án chung cư cao cấp, đường số 01, khu phố 2, Phường Phú Hữu, thành phố Thủ Đức, thành phố Hồ Chí Minh, Việt Nam</v>
          </cell>
          <cell r="D81" t="str">
            <v>CG</v>
          </cell>
          <cell r="E81" t="str">
            <v>0314467370</v>
          </cell>
          <cell r="F81" t="str">
            <v>0989981348</v>
          </cell>
          <cell r="G81" t="b">
            <v>0</v>
          </cell>
          <cell r="H81" t="b">
            <v>0</v>
          </cell>
          <cell r="J81" t="str">
            <v>989981348</v>
          </cell>
          <cell r="K81" t="str">
            <v>CG00078</v>
          </cell>
        </row>
        <row r="82">
          <cell r="A82" t="str">
            <v>CG00079</v>
          </cell>
          <cell r="B82" t="str">
            <v>Nguyễn Trọng Khoát (VBHP) 31044396 0912810316</v>
          </cell>
          <cell r="C82" t="str">
            <v>Minh Tân, Thủy Nguyên, Hải Phòng</v>
          </cell>
          <cell r="D82" t="str">
            <v>CG</v>
          </cell>
          <cell r="F82" t="str">
            <v>0912810316</v>
          </cell>
          <cell r="G82" t="b">
            <v>0</v>
          </cell>
          <cell r="H82" t="b">
            <v>0</v>
          </cell>
          <cell r="J82" t="str">
            <v>912810316</v>
          </cell>
          <cell r="K82" t="str">
            <v>CG00079</v>
          </cell>
        </row>
        <row r="83">
          <cell r="A83" t="str">
            <v>CG00080</v>
          </cell>
          <cell r="B83" t="str">
            <v>Tuấn (BLHNA) 0984571979</v>
          </cell>
          <cell r="C83" t="str">
            <v>Bình Lục, Hà Nam</v>
          </cell>
          <cell r="D83" t="str">
            <v>CG</v>
          </cell>
          <cell r="F83" t="str">
            <v>0984571979</v>
          </cell>
          <cell r="G83" t="b">
            <v>0</v>
          </cell>
          <cell r="H83" t="b">
            <v>0</v>
          </cell>
          <cell r="J83" t="str">
            <v>984571979</v>
          </cell>
          <cell r="K83" t="str">
            <v>CG00080</v>
          </cell>
        </row>
        <row r="84">
          <cell r="A84" t="str">
            <v>CG00081</v>
          </cell>
          <cell r="B84" t="str">
            <v>Trung lùn (MDHP) 0974557168</v>
          </cell>
          <cell r="C84" t="str">
            <v>Mỹ Đoàn, Hải Phòng</v>
          </cell>
          <cell r="D84" t="str">
            <v>CG</v>
          </cell>
          <cell r="F84" t="str">
            <v>0974557168</v>
          </cell>
          <cell r="G84" t="b">
            <v>0</v>
          </cell>
          <cell r="H84" t="b">
            <v>0</v>
          </cell>
          <cell r="J84" t="str">
            <v>974557168</v>
          </cell>
          <cell r="K84" t="str">
            <v>CG00081</v>
          </cell>
        </row>
        <row r="85">
          <cell r="A85" t="str">
            <v>CG00082</v>
          </cell>
          <cell r="B85" t="str">
            <v>Chính (HHND) 0356843350</v>
          </cell>
          <cell r="C85" t="str">
            <v>Hải Hậu, Nam Định</v>
          </cell>
          <cell r="D85" t="str">
            <v>CG</v>
          </cell>
          <cell r="F85" t="str">
            <v>0356843350</v>
          </cell>
          <cell r="G85" t="b">
            <v>0</v>
          </cell>
          <cell r="H85" t="b">
            <v>0</v>
          </cell>
          <cell r="J85" t="str">
            <v>356843350</v>
          </cell>
          <cell r="K85" t="str">
            <v>CG00082</v>
          </cell>
        </row>
        <row r="86">
          <cell r="A86" t="str">
            <v>CG00083</v>
          </cell>
          <cell r="B86" t="str">
            <v>Nguyễn Khắc Toàn (TTHN) Bá 11436310 0914953333</v>
          </cell>
          <cell r="C86" t="str">
            <v>Bình Phú, Thạch Thất, Hà Nội</v>
          </cell>
          <cell r="D86" t="str">
            <v>CG</v>
          </cell>
          <cell r="F86" t="str">
            <v>0914953333</v>
          </cell>
          <cell r="G86" t="b">
            <v>0</v>
          </cell>
          <cell r="H86" t="b">
            <v>0</v>
          </cell>
          <cell r="J86" t="str">
            <v>914953333</v>
          </cell>
          <cell r="K86" t="str">
            <v>CG00083</v>
          </cell>
        </row>
        <row r="87">
          <cell r="A87" t="str">
            <v>CG00084</v>
          </cell>
          <cell r="B87" t="str">
            <v>Nguyễn Văn Doãn (DQMHHY) 145739779 0974965968</v>
          </cell>
          <cell r="C87" t="str">
            <v>Dương Quang, Mỹ Hào, Hưng Yên</v>
          </cell>
          <cell r="D87" t="str">
            <v>CG</v>
          </cell>
          <cell r="F87" t="str">
            <v>0974965968</v>
          </cell>
          <cell r="G87" t="b">
            <v>0</v>
          </cell>
          <cell r="H87" t="b">
            <v>0</v>
          </cell>
          <cell r="J87" t="str">
            <v>974965968</v>
          </cell>
          <cell r="K87" t="str">
            <v>CG00084</v>
          </cell>
        </row>
        <row r="88">
          <cell r="A88" t="str">
            <v>CG00085</v>
          </cell>
          <cell r="B88" t="str">
            <v>Huy (ATHY) 0965655296</v>
          </cell>
          <cell r="C88" t="str">
            <v>Ân Thi, Hưng Yên</v>
          </cell>
          <cell r="D88" t="str">
            <v>CG</v>
          </cell>
          <cell r="F88" t="str">
            <v>0965655296</v>
          </cell>
          <cell r="G88" t="b">
            <v>0</v>
          </cell>
          <cell r="H88" t="b">
            <v>0</v>
          </cell>
          <cell r="J88" t="str">
            <v>965655296</v>
          </cell>
          <cell r="K88" t="str">
            <v>CG00085</v>
          </cell>
        </row>
        <row r="89">
          <cell r="A89" t="str">
            <v>CG00086</v>
          </cell>
          <cell r="B89" t="str">
            <v>Phạm Tuấn Ngọc (TPNB) 164620273 0886456989</v>
          </cell>
          <cell r="C89" t="str">
            <v>TP. Ninh Bình, Ninh Bình</v>
          </cell>
          <cell r="D89" t="str">
            <v>CG</v>
          </cell>
          <cell r="F89" t="str">
            <v>0886456989</v>
          </cell>
          <cell r="G89" t="b">
            <v>0</v>
          </cell>
          <cell r="H89" t="b">
            <v>0</v>
          </cell>
          <cell r="J89" t="str">
            <v>886456989</v>
          </cell>
          <cell r="K89" t="str">
            <v>CG00086</v>
          </cell>
        </row>
        <row r="90">
          <cell r="A90" t="str">
            <v>CG00087</v>
          </cell>
          <cell r="B90" t="str">
            <v>Vụ (HDHN) 0984092268</v>
          </cell>
          <cell r="C90" t="str">
            <v>Hà Đông, Hà Nội</v>
          </cell>
          <cell r="D90" t="str">
            <v>CG</v>
          </cell>
          <cell r="F90" t="str">
            <v>0984092268</v>
          </cell>
          <cell r="G90" t="b">
            <v>0</v>
          </cell>
          <cell r="H90" t="b">
            <v>0</v>
          </cell>
          <cell r="J90" t="str">
            <v>984092268</v>
          </cell>
          <cell r="K90" t="str">
            <v>CG00087</v>
          </cell>
        </row>
        <row r="91">
          <cell r="A91" t="str">
            <v>CG00088</v>
          </cell>
          <cell r="B91" t="str">
            <v>Công ty Cổ phần Xuất nhập khẩu Vạn An (LCHP) 0942111888</v>
          </cell>
          <cell r="C91" t="str">
            <v>Số 62/164 Chùa Hàng, phường Hồ Nam, quận Lê Chân, thành phố Hải Phòng</v>
          </cell>
          <cell r="D91" t="str">
            <v>CG</v>
          </cell>
          <cell r="E91" t="str">
            <v>0201649531</v>
          </cell>
          <cell r="F91" t="str">
            <v>0942111888</v>
          </cell>
          <cell r="G91" t="b">
            <v>0</v>
          </cell>
          <cell r="H91" t="b">
            <v>0</v>
          </cell>
          <cell r="J91" t="str">
            <v>942111888</v>
          </cell>
          <cell r="K91" t="str">
            <v>CG00088</v>
          </cell>
        </row>
        <row r="92">
          <cell r="A92" t="str">
            <v>CG00089</v>
          </cell>
          <cell r="B92" t="str">
            <v>Quánh (TPHD) 0903296376</v>
          </cell>
          <cell r="C92" t="str">
            <v>TP. Hải Dương, Hải Dương</v>
          </cell>
          <cell r="D92" t="str">
            <v>CG</v>
          </cell>
          <cell r="F92" t="str">
            <v>0903296376</v>
          </cell>
          <cell r="G92" t="b">
            <v>0</v>
          </cell>
          <cell r="H92" t="b">
            <v>0</v>
          </cell>
          <cell r="J92" t="str">
            <v>903296376</v>
          </cell>
          <cell r="K92" t="str">
            <v>CG00089</v>
          </cell>
        </row>
        <row r="93">
          <cell r="A93" t="str">
            <v>CG00090</v>
          </cell>
          <cell r="B93" t="str">
            <v>Mai Công Dũng (HVHHND) 036094004850 0965083395</v>
          </cell>
          <cell r="C93" t="str">
            <v>Hải Vân, Hải Hậu, Nam Định</v>
          </cell>
          <cell r="D93" t="str">
            <v>CG</v>
          </cell>
          <cell r="F93" t="str">
            <v>0965083395</v>
          </cell>
          <cell r="G93" t="b">
            <v>0</v>
          </cell>
          <cell r="H93" t="b">
            <v>0</v>
          </cell>
          <cell r="J93" t="str">
            <v>965083395</v>
          </cell>
          <cell r="K93" t="str">
            <v>CG00090</v>
          </cell>
        </row>
        <row r="94">
          <cell r="A94" t="str">
            <v>CG00091</v>
          </cell>
          <cell r="B94" t="str">
            <v>Trịnh Duy Mạnh (XTTXTH) 172381937 0975189023</v>
          </cell>
          <cell r="C94" t="str">
            <v>Xuân Tín, Thọ Xuân, Thanh Hóa</v>
          </cell>
          <cell r="D94" t="str">
            <v>CG</v>
          </cell>
          <cell r="F94" t="str">
            <v>0975189023</v>
          </cell>
          <cell r="G94" t="b">
            <v>0</v>
          </cell>
          <cell r="H94" t="b">
            <v>0</v>
          </cell>
          <cell r="J94" t="str">
            <v>975189023</v>
          </cell>
          <cell r="K94" t="str">
            <v>CG00091</v>
          </cell>
        </row>
        <row r="95">
          <cell r="A95" t="str">
            <v>CG00092</v>
          </cell>
          <cell r="B95" t="str">
            <v>Ngô Minh (TLDAHN) 012260576 0982336090</v>
          </cell>
          <cell r="C95" t="str">
            <v>Thụy Lâm, Đông Anh, Hà Nội</v>
          </cell>
          <cell r="D95" t="str">
            <v>CG</v>
          </cell>
          <cell r="F95" t="str">
            <v>0982336090</v>
          </cell>
          <cell r="G95" t="b">
            <v>0</v>
          </cell>
          <cell r="H95" t="b">
            <v>0</v>
          </cell>
          <cell r="J95" t="str">
            <v>982336090</v>
          </cell>
          <cell r="K95" t="str">
            <v>CG00092</v>
          </cell>
        </row>
        <row r="96">
          <cell r="A96" t="str">
            <v>CG00093</v>
          </cell>
          <cell r="B96" t="str">
            <v>Thái (MDHP) 0971511586</v>
          </cell>
          <cell r="C96" t="str">
            <v>Mỹ Đoàn, Hải Phòng</v>
          </cell>
          <cell r="D96" t="str">
            <v>CG</v>
          </cell>
          <cell r="F96" t="str">
            <v>0971511586</v>
          </cell>
          <cell r="G96" t="b">
            <v>0</v>
          </cell>
          <cell r="H96" t="b">
            <v>0</v>
          </cell>
          <cell r="J96" t="str">
            <v>971511586</v>
          </cell>
          <cell r="K96" t="str">
            <v>CG00093</v>
          </cell>
        </row>
        <row r="97">
          <cell r="A97" t="str">
            <v>CG00094</v>
          </cell>
          <cell r="B97" t="str">
            <v>Phương (HDHN) 0987738080</v>
          </cell>
          <cell r="C97" t="str">
            <v>Hà Đông, Hà Nội</v>
          </cell>
          <cell r="D97" t="str">
            <v>CG</v>
          </cell>
          <cell r="G97" t="b">
            <v>0</v>
          </cell>
          <cell r="H97" t="b">
            <v>0</v>
          </cell>
          <cell r="J97" t="str">
            <v>987738080</v>
          </cell>
          <cell r="K97" t="str">
            <v>CG00094</v>
          </cell>
        </row>
        <row r="98">
          <cell r="A98" t="str">
            <v>CG00095</v>
          </cell>
          <cell r="B98" t="str">
            <v>Vũ Văn Tường (MTKTHP) 031088002845 0964761288</v>
          </cell>
          <cell r="C98" t="str">
            <v>Minh Tân, Kiến Thụy, Hải Phòng</v>
          </cell>
          <cell r="D98" t="str">
            <v>CG</v>
          </cell>
          <cell r="F98" t="str">
            <v>0964761288</v>
          </cell>
          <cell r="G98" t="b">
            <v>0</v>
          </cell>
          <cell r="H98" t="b">
            <v>0</v>
          </cell>
          <cell r="J98" t="str">
            <v>964761288</v>
          </cell>
          <cell r="K98" t="str">
            <v>CG00095</v>
          </cell>
        </row>
        <row r="99">
          <cell r="A99" t="str">
            <v>CG00096</v>
          </cell>
          <cell r="B99" t="str">
            <v>Nguyễn Xuân Lâm (TBTPHD) 142360630 0904356636</v>
          </cell>
          <cell r="C99" t="str">
            <v>Thanh Bình, TP. Hải Dương</v>
          </cell>
          <cell r="D99" t="str">
            <v>CG</v>
          </cell>
          <cell r="F99" t="str">
            <v>0904356636</v>
          </cell>
          <cell r="G99" t="b">
            <v>0</v>
          </cell>
          <cell r="H99" t="b">
            <v>0</v>
          </cell>
          <cell r="J99" t="str">
            <v>904356636</v>
          </cell>
          <cell r="K99" t="str">
            <v>CG00096</v>
          </cell>
        </row>
        <row r="100">
          <cell r="A100" t="str">
            <v>CG00097</v>
          </cell>
          <cell r="B100" t="str">
            <v>Nguyễn Văn Nhạ (HHND) 036072000541 0983267628</v>
          </cell>
          <cell r="C100" t="str">
            <v>Hải Hậu, Nam Định</v>
          </cell>
          <cell r="D100" t="str">
            <v>CG</v>
          </cell>
          <cell r="G100" t="b">
            <v>0</v>
          </cell>
          <cell r="H100" t="b">
            <v>0</v>
          </cell>
          <cell r="J100" t="str">
            <v>983267628</v>
          </cell>
          <cell r="K100" t="str">
            <v>CG00097</v>
          </cell>
        </row>
        <row r="101">
          <cell r="A101" t="str">
            <v>CG00098</v>
          </cell>
          <cell r="B101" t="str">
            <v>Nguyễn Chí Thông (TYCMHN) 001082028107 0904339707</v>
          </cell>
          <cell r="C101" t="str">
            <v>Trường Yên, Chương Mỹ, Hà Nội</v>
          </cell>
          <cell r="D101" t="str">
            <v>CG</v>
          </cell>
          <cell r="F101" t="str">
            <v>0904339707</v>
          </cell>
          <cell r="G101" t="b">
            <v>0</v>
          </cell>
          <cell r="H101" t="b">
            <v>0</v>
          </cell>
          <cell r="J101" t="str">
            <v>904339707</v>
          </cell>
          <cell r="K101" t="str">
            <v>CG00098</v>
          </cell>
        </row>
        <row r="102">
          <cell r="A102" t="str">
            <v>CG00099</v>
          </cell>
          <cell r="B102" t="str">
            <v>Phạm Văn Độ (HTHHND) 036065003488 0914846712</v>
          </cell>
          <cell r="C102" t="str">
            <v>Hải Trung, Hải Hậu, Nam Định</v>
          </cell>
          <cell r="D102" t="str">
            <v>CG</v>
          </cell>
          <cell r="F102" t="str">
            <v>0914846712</v>
          </cell>
          <cell r="G102" t="b">
            <v>0</v>
          </cell>
          <cell r="H102" t="b">
            <v>0</v>
          </cell>
          <cell r="J102" t="str">
            <v>914846712</v>
          </cell>
          <cell r="K102" t="str">
            <v>CG00099</v>
          </cell>
        </row>
        <row r="103">
          <cell r="A103" t="str">
            <v>CG00100</v>
          </cell>
          <cell r="B103" t="str">
            <v>Công ty TNHH In Và Thiết Bị Trường Học Thanh Hóa (QTTPTH) Giáp 0916574818</v>
          </cell>
          <cell r="C103" t="str">
            <v>Gia Lộc, Quảng Thịnh, Thanh Hóa</v>
          </cell>
          <cell r="D103" t="str">
            <v>CG</v>
          </cell>
          <cell r="E103" t="str">
            <v>2801852264</v>
          </cell>
          <cell r="F103" t="str">
            <v>0916574818</v>
          </cell>
          <cell r="G103" t="b">
            <v>0</v>
          </cell>
          <cell r="H103" t="b">
            <v>0</v>
          </cell>
          <cell r="J103" t="str">
            <v>916574818</v>
          </cell>
          <cell r="K103" t="str">
            <v>CG00100</v>
          </cell>
        </row>
        <row r="104">
          <cell r="A104" t="str">
            <v>CG00101</v>
          </cell>
          <cell r="B104" t="str">
            <v>Đỗ Văn Tới (HDHN) 112330843 0948464488 0838438888</v>
          </cell>
          <cell r="C104" t="str">
            <v>Hà Đông, Hà Nội</v>
          </cell>
          <cell r="D104" t="str">
            <v>CG</v>
          </cell>
          <cell r="F104" t="str">
            <v>0948464488</v>
          </cell>
          <cell r="G104" t="b">
            <v>0</v>
          </cell>
          <cell r="H104" t="b">
            <v>0</v>
          </cell>
          <cell r="J104" t="str">
            <v>838438888</v>
          </cell>
          <cell r="K104" t="str">
            <v>CG00101</v>
          </cell>
        </row>
        <row r="105">
          <cell r="A105" t="str">
            <v>CG00102</v>
          </cell>
          <cell r="B105" t="str">
            <v>Công ty TNHH Hoàng Anh Tiến (TPTH) Tiến 0977999000</v>
          </cell>
          <cell r="C105" t="str">
            <v>Hoằng Cát, Hoằng Hoá, Thanh Hoá</v>
          </cell>
          <cell r="D105" t="str">
            <v>CG</v>
          </cell>
          <cell r="E105" t="str">
            <v>2802051531</v>
          </cell>
          <cell r="F105" t="str">
            <v>0977999000</v>
          </cell>
          <cell r="G105" t="b">
            <v>0</v>
          </cell>
          <cell r="H105" t="b">
            <v>0</v>
          </cell>
          <cell r="J105" t="str">
            <v>977999000</v>
          </cell>
          <cell r="K105" t="str">
            <v>CG00102</v>
          </cell>
        </row>
        <row r="106">
          <cell r="A106" t="str">
            <v>CG00103</v>
          </cell>
          <cell r="B106" t="str">
            <v>Vũ Văn Tuấn (PLTNHP) 031536122 0354901674</v>
          </cell>
          <cell r="C106" t="str">
            <v>Phả Lễ, Thủy Nguyên, Hải Phòng.</v>
          </cell>
          <cell r="D106" t="str">
            <v>CG</v>
          </cell>
          <cell r="F106" t="str">
            <v>0354901674</v>
          </cell>
          <cell r="G106" t="b">
            <v>0</v>
          </cell>
          <cell r="H106" t="b">
            <v>0</v>
          </cell>
          <cell r="J106" t="str">
            <v>354901674</v>
          </cell>
          <cell r="K106" t="str">
            <v>CG00103</v>
          </cell>
        </row>
        <row r="107">
          <cell r="A107" t="str">
            <v>CG00104</v>
          </cell>
          <cell r="B107" t="str">
            <v>Vạn Hà (NQHP) 0968080059</v>
          </cell>
          <cell r="C107" t="str">
            <v>Đông Khê, Ngô Quyền, Hải Phòng</v>
          </cell>
          <cell r="D107" t="str">
            <v>CG</v>
          </cell>
          <cell r="F107" t="str">
            <v>0968080059</v>
          </cell>
          <cell r="G107" t="b">
            <v>0</v>
          </cell>
          <cell r="H107" t="b">
            <v>0</v>
          </cell>
          <cell r="J107" t="str">
            <v>968080059</v>
          </cell>
          <cell r="K107" t="str">
            <v>CG00104</v>
          </cell>
        </row>
        <row r="108">
          <cell r="A108" t="str">
            <v>CG00105</v>
          </cell>
          <cell r="B108" t="str">
            <v>Phong (MDHP) 0975786693</v>
          </cell>
          <cell r="C108" t="str">
            <v>Mỹ Đoàn, Hải Phòng</v>
          </cell>
          <cell r="D108" t="str">
            <v>CG</v>
          </cell>
          <cell r="F108" t="str">
            <v/>
          </cell>
          <cell r="G108" t="b">
            <v>0</v>
          </cell>
          <cell r="H108" t="b">
            <v>0</v>
          </cell>
          <cell r="J108" t="str">
            <v>975786693</v>
          </cell>
          <cell r="K108" t="str">
            <v>CG00105</v>
          </cell>
        </row>
        <row r="109">
          <cell r="A109" t="str">
            <v>CG00106</v>
          </cell>
          <cell r="B109" t="str">
            <v>Sang Châu (MDHP) 0911361386</v>
          </cell>
          <cell r="C109" t="str">
            <v>Mỹ Đoàn, Hải Phòng</v>
          </cell>
          <cell r="D109" t="str">
            <v>CG</v>
          </cell>
          <cell r="F109" t="str">
            <v>0911361386</v>
          </cell>
          <cell r="G109" t="b">
            <v>0</v>
          </cell>
          <cell r="H109" t="b">
            <v>0</v>
          </cell>
          <cell r="J109" t="str">
            <v>911361386</v>
          </cell>
          <cell r="K109" t="str">
            <v>CG00106</v>
          </cell>
        </row>
        <row r="110">
          <cell r="A110" t="str">
            <v>CG00107</v>
          </cell>
          <cell r="B110" t="str">
            <v>Sang (YYND) 0981858158</v>
          </cell>
          <cell r="C110" t="str">
            <v>Ý Yên, Nam Định</v>
          </cell>
          <cell r="D110" t="str">
            <v>CG</v>
          </cell>
          <cell r="E110" t="str">
            <v/>
          </cell>
          <cell r="F110" t="str">
            <v>0981858158</v>
          </cell>
          <cell r="G110" t="b">
            <v>0</v>
          </cell>
          <cell r="H110" t="b">
            <v>0</v>
          </cell>
          <cell r="J110" t="str">
            <v>981858158</v>
          </cell>
          <cell r="K110" t="str">
            <v>CG00107</v>
          </cell>
        </row>
        <row r="111">
          <cell r="A111" t="str">
            <v>CG00108</v>
          </cell>
          <cell r="B111" t="str">
            <v>Thịnh (Đức Tín) 0936313079 0969779510</v>
          </cell>
          <cell r="C111" t="str">
            <v>Công ty TNHH SX&amp;TM Đức Tín</v>
          </cell>
          <cell r="D111" t="str">
            <v>CG</v>
          </cell>
          <cell r="E111" t="str">
            <v/>
          </cell>
          <cell r="F111" t="str">
            <v>0969779510</v>
          </cell>
          <cell r="G111" t="b">
            <v>0</v>
          </cell>
          <cell r="H111" t="b">
            <v>0</v>
          </cell>
          <cell r="J111" t="str">
            <v>969779510</v>
          </cell>
          <cell r="K111" t="str">
            <v>CG00108</v>
          </cell>
        </row>
        <row r="112">
          <cell r="A112" t="str">
            <v>CG00109</v>
          </cell>
          <cell r="B112" t="str">
            <v>Công ty TNHH Dịch vụ Thương mại và Sản xuất Đại Hữu</v>
          </cell>
          <cell r="C112" t="str">
            <v>TDP Thành Công, P. Dương Nội, Q. Hà Đông, TP. Hà Nội</v>
          </cell>
          <cell r="D112" t="str">
            <v>CG</v>
          </cell>
          <cell r="E112" t="str">
            <v>0107599989</v>
          </cell>
          <cell r="F112" t="str">
            <v>0964160529</v>
          </cell>
          <cell r="G112" t="b">
            <v>0</v>
          </cell>
          <cell r="H112" t="b">
            <v>0</v>
          </cell>
          <cell r="J112" t="str">
            <v>t Đại Hữu</v>
          </cell>
          <cell r="K112" t="str">
            <v>CG00109</v>
          </cell>
        </row>
        <row r="113">
          <cell r="A113" t="str">
            <v>CG00110</v>
          </cell>
          <cell r="B113" t="str">
            <v>Công ty TNHH TM XNK Trọng Anh</v>
          </cell>
          <cell r="C113" t="str">
            <v>Số 37/164 Chùa Hàng, P. Hồ Nam, Q. Lê Chân, TP. Hải Phòng</v>
          </cell>
          <cell r="D113" t="str">
            <v>CG</v>
          </cell>
          <cell r="E113" t="str">
            <v>0201344258</v>
          </cell>
          <cell r="F113" t="str">
            <v>0979110666</v>
          </cell>
          <cell r="G113" t="b">
            <v>0</v>
          </cell>
          <cell r="H113" t="b">
            <v>0</v>
          </cell>
          <cell r="J113" t="str">
            <v>Trọng Anh</v>
          </cell>
          <cell r="K113" t="str">
            <v>CG00110</v>
          </cell>
        </row>
        <row r="114">
          <cell r="A114" t="str">
            <v>CG00111</v>
          </cell>
          <cell r="B114" t="str">
            <v>Cường (TGTH) 0969256678</v>
          </cell>
          <cell r="C114" t="str">
            <v>Tĩnh Gia, Thanh Hóa</v>
          </cell>
          <cell r="D114" t="str">
            <v>CG</v>
          </cell>
          <cell r="E114" t="str">
            <v/>
          </cell>
          <cell r="F114" t="str">
            <v>0969256678</v>
          </cell>
          <cell r="G114" t="b">
            <v>0</v>
          </cell>
          <cell r="H114" t="b">
            <v>0</v>
          </cell>
          <cell r="J114" t="str">
            <v>969256678</v>
          </cell>
          <cell r="K114" t="str">
            <v>CG00111</v>
          </cell>
        </row>
        <row r="115">
          <cell r="A115" t="str">
            <v>CG00112</v>
          </cell>
          <cell r="B115" t="str">
            <v>Bình (TPNB) 0912617718</v>
          </cell>
          <cell r="C115" t="str">
            <v>Tp.Ninh Bình</v>
          </cell>
          <cell r="D115" t="str">
            <v>CG</v>
          </cell>
          <cell r="E115" t="str">
            <v/>
          </cell>
          <cell r="F115" t="str">
            <v>0912617718</v>
          </cell>
          <cell r="G115" t="b">
            <v>0</v>
          </cell>
          <cell r="H115" t="b">
            <v>0</v>
          </cell>
          <cell r="J115" t="str">
            <v>912617718</v>
          </cell>
          <cell r="K115" t="str">
            <v>CG00112</v>
          </cell>
        </row>
        <row r="116">
          <cell r="A116" t="str">
            <v>CG00113</v>
          </cell>
          <cell r="B116" t="str">
            <v>Sơn (HDU.HN) 0982596622</v>
          </cell>
          <cell r="C116" t="str">
            <v>Hoài Đức, Hà Nội</v>
          </cell>
          <cell r="D116" t="str">
            <v>CG</v>
          </cell>
          <cell r="E116" t="str">
            <v/>
          </cell>
          <cell r="F116" t="str">
            <v>0982596622</v>
          </cell>
          <cell r="G116" t="b">
            <v>0</v>
          </cell>
          <cell r="H116" t="b">
            <v>0</v>
          </cell>
          <cell r="J116" t="str">
            <v>982596622</v>
          </cell>
          <cell r="K116" t="str">
            <v>CG00113</v>
          </cell>
        </row>
        <row r="117">
          <cell r="A117" t="str">
            <v>CG00114</v>
          </cell>
          <cell r="B117" t="str">
            <v>Công ty TNHH Nội Thất Bình Vinh (TSBN) 2301172623 0936633088</v>
          </cell>
          <cell r="C117" t="str">
            <v>Từ Sơn, Bắc Ninh</v>
          </cell>
          <cell r="D117" t="str">
            <v>CG</v>
          </cell>
          <cell r="E117" t="str">
            <v>2301172623</v>
          </cell>
          <cell r="F117" t="str">
            <v>0936633088</v>
          </cell>
          <cell r="G117" t="b">
            <v>0</v>
          </cell>
          <cell r="H117" t="b">
            <v>0</v>
          </cell>
          <cell r="J117" t="str">
            <v>936633088</v>
          </cell>
          <cell r="K117" t="str">
            <v>CG00114</v>
          </cell>
        </row>
        <row r="118">
          <cell r="A118" t="str">
            <v>CG00115</v>
          </cell>
          <cell r="B118" t="str">
            <v xml:space="preserve">Đăng (TTiHN) 0948001679 0976709418	</v>
          </cell>
          <cell r="C118" t="str">
            <v>Thường Tín, Hà Nội</v>
          </cell>
          <cell r="D118" t="str">
            <v>CG</v>
          </cell>
          <cell r="E118" t="str">
            <v/>
          </cell>
          <cell r="F118" t="str">
            <v>0948001679</v>
          </cell>
          <cell r="G118" t="b">
            <v>0</v>
          </cell>
          <cell r="H118" t="b">
            <v>0</v>
          </cell>
          <cell r="J118" t="str">
            <v xml:space="preserve">76709418	</v>
          </cell>
          <cell r="K118" t="str">
            <v>CG00115</v>
          </cell>
        </row>
        <row r="119">
          <cell r="A119" t="str">
            <v>CG00116</v>
          </cell>
          <cell r="B119" t="str">
            <v>Cường (CMHN) 0935581888</v>
          </cell>
          <cell r="C119" t="str">
            <v>Thụy Hương, Chương Mỹ, Hà Nội</v>
          </cell>
          <cell r="D119" t="str">
            <v>CG</v>
          </cell>
          <cell r="E119" t="str">
            <v/>
          </cell>
          <cell r="F119" t="str">
            <v>0935581888</v>
          </cell>
          <cell r="G119" t="b">
            <v>0</v>
          </cell>
          <cell r="H119" t="b">
            <v>0</v>
          </cell>
          <cell r="J119" t="str">
            <v>935581888</v>
          </cell>
          <cell r="K119" t="str">
            <v>CG00116</v>
          </cell>
        </row>
        <row r="120">
          <cell r="A120" t="str">
            <v>CG00117</v>
          </cell>
          <cell r="B120" t="str">
            <v>Nguyễn Tuấn Anh (ALHP) 0961789888</v>
          </cell>
          <cell r="C120" t="str">
            <v>An Lão, Hải Phòng</v>
          </cell>
          <cell r="D120" t="str">
            <v>CG</v>
          </cell>
          <cell r="E120" t="str">
            <v/>
          </cell>
          <cell r="F120" t="str">
            <v>0961789888</v>
          </cell>
          <cell r="G120" t="b">
            <v>0</v>
          </cell>
          <cell r="H120" t="b">
            <v>0</v>
          </cell>
          <cell r="J120" t="str">
            <v>961789888</v>
          </cell>
          <cell r="K120" t="str">
            <v>CG00117</v>
          </cell>
        </row>
        <row r="121">
          <cell r="A121" t="str">
            <v>CG00118</v>
          </cell>
          <cell r="B121" t="str">
            <v>Thu (KBHNA) 0913289590</v>
          </cell>
          <cell r="C121" t="str">
            <v>Kim Bảng, Hà Nam</v>
          </cell>
          <cell r="D121" t="str">
            <v>CG</v>
          </cell>
          <cell r="E121" t="str">
            <v/>
          </cell>
          <cell r="F121" t="str">
            <v>0913289590</v>
          </cell>
          <cell r="G121" t="b">
            <v>0</v>
          </cell>
          <cell r="H121" t="b">
            <v>0</v>
          </cell>
          <cell r="J121" t="str">
            <v>913289590</v>
          </cell>
          <cell r="K121" t="str">
            <v>CG00118</v>
          </cell>
        </row>
        <row r="122">
          <cell r="A122" t="str">
            <v>CG00119</v>
          </cell>
          <cell r="B122" t="str">
            <v>Tới (UBQN) 0896625886</v>
          </cell>
          <cell r="C122" t="str">
            <v>Uông Bí, Quảng Ninh</v>
          </cell>
          <cell r="D122" t="str">
            <v>CG</v>
          </cell>
          <cell r="E122" t="str">
            <v/>
          </cell>
          <cell r="F122" t="str">
            <v>0896625886</v>
          </cell>
          <cell r="G122" t="b">
            <v>0</v>
          </cell>
          <cell r="H122" t="b">
            <v>0</v>
          </cell>
          <cell r="J122" t="str">
            <v>896625886</v>
          </cell>
          <cell r="K122" t="str">
            <v>CG00119</v>
          </cell>
        </row>
        <row r="123">
          <cell r="A123" t="str">
            <v>CG00120</v>
          </cell>
          <cell r="B123" t="str">
            <v>Vượng (MDHP) 0975709097</v>
          </cell>
          <cell r="C123" t="str">
            <v>Mỹ Đoàn , Hải Phòng</v>
          </cell>
          <cell r="D123" t="str">
            <v>CG</v>
          </cell>
          <cell r="E123" t="str">
            <v/>
          </cell>
          <cell r="F123" t="str">
            <v>0975709097</v>
          </cell>
          <cell r="G123" t="b">
            <v>0</v>
          </cell>
          <cell r="H123" t="b">
            <v>0</v>
          </cell>
          <cell r="J123" t="str">
            <v>975709097</v>
          </cell>
          <cell r="K123" t="str">
            <v>CG00120</v>
          </cell>
        </row>
        <row r="124">
          <cell r="A124" t="str">
            <v>CG00121</v>
          </cell>
          <cell r="B124" t="str">
            <v>Hợi (MDHP) 0913888869</v>
          </cell>
          <cell r="C124" t="str">
            <v>Mỹ Đoàn , Hải Phòng</v>
          </cell>
          <cell r="D124" t="str">
            <v>CG</v>
          </cell>
        </row>
        <row r="125">
          <cell r="A125" t="str">
            <v>CG00122</v>
          </cell>
          <cell r="B125" t="str">
            <v>Toản (GLHN) 0913091265</v>
          </cell>
          <cell r="C125" t="str">
            <v>Gia Lâm, Hà Nội</v>
          </cell>
          <cell r="D125" t="str">
            <v>CG</v>
          </cell>
          <cell r="F125">
            <v>913091265</v>
          </cell>
          <cell r="J125" t="str">
            <v>913091265</v>
          </cell>
          <cell r="K125" t="str">
            <v>CG00122</v>
          </cell>
        </row>
        <row r="126">
          <cell r="A126" t="str">
            <v>CG00123</v>
          </cell>
          <cell r="B126" t="str">
            <v>Báo (KAHP) 0917630596</v>
          </cell>
          <cell r="C126" t="str">
            <v>Kiến An, Hải Phòng</v>
          </cell>
          <cell r="D126" t="str">
            <v>CG</v>
          </cell>
          <cell r="F126" t="str">
            <v>0917630596</v>
          </cell>
          <cell r="G126" t="b">
            <v>0</v>
          </cell>
          <cell r="H126" t="b">
            <v>0</v>
          </cell>
          <cell r="J126" t="str">
            <v>917630596</v>
          </cell>
          <cell r="K126" t="str">
            <v>CG00123</v>
          </cell>
        </row>
        <row r="127">
          <cell r="A127" t="str">
            <v>CG00124</v>
          </cell>
          <cell r="B127" t="str">
            <v>Trần Thế Hậu (NTKBHNA) 035083005550 0978459779</v>
          </cell>
          <cell r="D127" t="str">
            <v>CG</v>
          </cell>
          <cell r="J127" t="str">
            <v>978459779</v>
          </cell>
          <cell r="K127" t="str">
            <v>CG00124</v>
          </cell>
        </row>
        <row r="128">
          <cell r="A128" t="str">
            <v>CG00125</v>
          </cell>
          <cell r="B128" t="str">
            <v>Công ty TNHH Cát Đại Lợi (DNHDHN) Huân 0946887799</v>
          </cell>
          <cell r="C128" t="str">
            <v>Dương Nội, Hà Đông, Hà Nội</v>
          </cell>
          <cell r="D128" t="str">
            <v>CG</v>
          </cell>
          <cell r="E128" t="str">
            <v>0500563949</v>
          </cell>
          <cell r="F128" t="str">
            <v>0946887799</v>
          </cell>
          <cell r="G128" t="b">
            <v>0</v>
          </cell>
          <cell r="H128" t="b">
            <v>0</v>
          </cell>
          <cell r="J128" t="str">
            <v>946887799</v>
          </cell>
          <cell r="K128" t="str">
            <v>CG00125</v>
          </cell>
        </row>
        <row r="129">
          <cell r="A129" t="str">
            <v>CG00126</v>
          </cell>
          <cell r="B129" t="str">
            <v>Thủy (TTHN) 0976199369</v>
          </cell>
          <cell r="C129" t="str">
            <v>Thạch Thất, Hà Nội</v>
          </cell>
          <cell r="D129" t="str">
            <v>CG</v>
          </cell>
          <cell r="J129" t="str">
            <v>976199369</v>
          </cell>
          <cell r="K129" t="str">
            <v>CG00126</v>
          </cell>
        </row>
        <row r="130">
          <cell r="A130" t="str">
            <v>CG00127</v>
          </cell>
          <cell r="B130" t="str">
            <v>Nguyễn Đình Hiệp (BTHN) 0977491997</v>
          </cell>
          <cell r="C130" t="str">
            <v>Ba Thá, Hà Nội</v>
          </cell>
          <cell r="D130" t="str">
            <v>CG</v>
          </cell>
          <cell r="J130" t="str">
            <v>977491997</v>
          </cell>
          <cell r="K130" t="str">
            <v>CG00127</v>
          </cell>
        </row>
        <row r="131">
          <cell r="A131" t="str">
            <v>CG00128</v>
          </cell>
          <cell r="B131" t="str">
            <v>Đào (BHBG) 0913584576</v>
          </cell>
          <cell r="C131" t="str">
            <v>Bố Hạ, Bắc Giang</v>
          </cell>
          <cell r="D131" t="str">
            <v>CG</v>
          </cell>
          <cell r="F131" t="str">
            <v>0913584576</v>
          </cell>
          <cell r="J131" t="str">
            <v>913584576</v>
          </cell>
          <cell r="K131" t="str">
            <v>CG00128</v>
          </cell>
        </row>
        <row r="132">
          <cell r="A132" t="str">
            <v>CG00129</v>
          </cell>
          <cell r="B132" t="str">
            <v>Hoàng Danh Đới (HDHN) 111312157 0914860035</v>
          </cell>
          <cell r="C132" t="str">
            <v>An Thượng, Hoài Đức, Hà Nội</v>
          </cell>
          <cell r="D132" t="str">
            <v>CG</v>
          </cell>
          <cell r="E132">
            <v>0</v>
          </cell>
          <cell r="F132" t="str">
            <v>0914860035</v>
          </cell>
          <cell r="G132" t="b">
            <v>0</v>
          </cell>
          <cell r="H132" t="b">
            <v>0</v>
          </cell>
          <cell r="J132" t="str">
            <v>914860035</v>
          </cell>
          <cell r="K132" t="str">
            <v>CG00129</v>
          </cell>
        </row>
        <row r="133">
          <cell r="A133" t="str">
            <v>CG00130</v>
          </cell>
          <cell r="B133" t="str">
            <v>Thống (TPND) 0946563999</v>
          </cell>
          <cell r="C133" t="str">
            <v>TP. Nam Định, Nam Định</v>
          </cell>
          <cell r="D133" t="str">
            <v>CG</v>
          </cell>
          <cell r="E133">
            <v>0</v>
          </cell>
          <cell r="F133" t="str">
            <v>0946563999</v>
          </cell>
          <cell r="G133" t="b">
            <v>0</v>
          </cell>
          <cell r="H133" t="e">
            <v>#N/A</v>
          </cell>
          <cell r="J133" t="str">
            <v>946563999</v>
          </cell>
          <cell r="K133" t="str">
            <v>CG00130</v>
          </cell>
        </row>
        <row r="134">
          <cell r="A134" t="str">
            <v>CG00131</v>
          </cell>
          <cell r="B134" t="str">
            <v>Trần Văn Sáng (KXTPBN) 112497475 0915031754</v>
          </cell>
          <cell r="C134" t="str">
            <v>Khúc Xuyên, TP. Bắc Ninh</v>
          </cell>
          <cell r="D134" t="str">
            <v>CG</v>
          </cell>
          <cell r="E134">
            <v>0</v>
          </cell>
          <cell r="F134" t="str">
            <v>0915031754</v>
          </cell>
          <cell r="G134" t="b">
            <v>0</v>
          </cell>
          <cell r="H134" t="b">
            <v>0</v>
          </cell>
          <cell r="J134" t="str">
            <v>915031754</v>
          </cell>
          <cell r="K134" t="str">
            <v>CG00131</v>
          </cell>
        </row>
        <row r="135">
          <cell r="A135" t="str">
            <v>CG00132</v>
          </cell>
          <cell r="B135" t="str">
            <v>Hùng(KMHD) 0398425297</v>
          </cell>
          <cell r="C135" t="str">
            <v>Kinh Môn, Hải Dương</v>
          </cell>
          <cell r="D135" t="str">
            <v>CG</v>
          </cell>
          <cell r="E135">
            <v>0</v>
          </cell>
          <cell r="F135" t="str">
            <v>0398425297</v>
          </cell>
          <cell r="G135" t="e">
            <v>#N/A</v>
          </cell>
          <cell r="H135" t="e">
            <v>#N/A</v>
          </cell>
          <cell r="J135" t="str">
            <v>398425297</v>
          </cell>
          <cell r="K135" t="str">
            <v>CG00132</v>
          </cell>
        </row>
        <row r="136">
          <cell r="A136" t="str">
            <v>CG00133</v>
          </cell>
          <cell r="B136" t="str">
            <v>Nguyễn Văn Khanh (HAHHND) 161878636 0946939568</v>
          </cell>
          <cell r="C136" t="str">
            <v>Hải Anh, Hải Hậu, Nam Định</v>
          </cell>
          <cell r="D136" t="str">
            <v>CG</v>
          </cell>
          <cell r="E136">
            <v>0</v>
          </cell>
          <cell r="F136">
            <v>0</v>
          </cell>
          <cell r="G136" t="b">
            <v>0</v>
          </cell>
          <cell r="H136" t="b">
            <v>0</v>
          </cell>
          <cell r="J136" t="str">
            <v>946939568</v>
          </cell>
          <cell r="K136" t="str">
            <v>CG00133</v>
          </cell>
        </row>
        <row r="137">
          <cell r="A137" t="str">
            <v>CG00134</v>
          </cell>
          <cell r="B137" t="str">
            <v>Nguyễn Ngọc Oanh (HPHHND) 161452470 0984689561</v>
          </cell>
          <cell r="C137" t="str">
            <v>Hải Phương, Hải Hậu, Nam Định</v>
          </cell>
          <cell r="D137" t="str">
            <v>CG</v>
          </cell>
          <cell r="E137">
            <v>0</v>
          </cell>
          <cell r="F137" t="str">
            <v>0984689561</v>
          </cell>
          <cell r="G137" t="b">
            <v>0</v>
          </cell>
          <cell r="H137" t="b">
            <v>0</v>
          </cell>
          <cell r="J137" t="str">
            <v>984689561</v>
          </cell>
          <cell r="K137" t="str">
            <v>CG00134</v>
          </cell>
        </row>
        <row r="138">
          <cell r="A138" t="str">
            <v>CG00135</v>
          </cell>
          <cell r="B138" t="str">
            <v>Trụ (DCNA) 0986153658</v>
          </cell>
          <cell r="C138" t="str">
            <v>Diễn Châu, Nghệ An</v>
          </cell>
          <cell r="D138" t="str">
            <v>CG</v>
          </cell>
          <cell r="E138">
            <v>0</v>
          </cell>
          <cell r="F138" t="str">
            <v>0986153658</v>
          </cell>
          <cell r="G138" t="b">
            <v>0</v>
          </cell>
          <cell r="H138" t="b">
            <v>0</v>
          </cell>
          <cell r="J138" t="str">
            <v>986153658</v>
          </cell>
          <cell r="K138" t="str">
            <v>CG00135</v>
          </cell>
        </row>
        <row r="139">
          <cell r="A139" t="str">
            <v>CG00136</v>
          </cell>
          <cell r="B139" t="str">
            <v>Nguyễn Văn Bình (BSHDHN) Sinh 111490544 0913366123 0912233068</v>
          </cell>
          <cell r="C139" t="str">
            <v>Biển Sắt, Hà Đông, Hà Nội</v>
          </cell>
          <cell r="D139" t="str">
            <v>CG</v>
          </cell>
          <cell r="E139">
            <v>0</v>
          </cell>
          <cell r="F139" t="str">
            <v>0912233068</v>
          </cell>
          <cell r="G139" t="b">
            <v>0</v>
          </cell>
          <cell r="H139" t="b">
            <v>0</v>
          </cell>
          <cell r="J139" t="str">
            <v>912233068</v>
          </cell>
          <cell r="K139" t="str">
            <v>CG00136</v>
          </cell>
        </row>
        <row r="140">
          <cell r="A140" t="str">
            <v>CG00137</v>
          </cell>
          <cell r="B140" t="str">
            <v>Trịnh Bá Tuyên (DNHDHN) Luyện 111375612 0912472672</v>
          </cell>
          <cell r="C140" t="str">
            <v>Dương Nội, Hà Đông, Hà Nội</v>
          </cell>
          <cell r="D140" t="str">
            <v>CG</v>
          </cell>
          <cell r="E140">
            <v>0</v>
          </cell>
          <cell r="F140" t="str">
            <v>0912472672</v>
          </cell>
          <cell r="G140" t="b">
            <v>0</v>
          </cell>
          <cell r="H140" t="b">
            <v>0</v>
          </cell>
          <cell r="J140" t="str">
            <v>912472672</v>
          </cell>
          <cell r="K140" t="str">
            <v>CG00137</v>
          </cell>
        </row>
        <row r="141">
          <cell r="A141" t="str">
            <v>CG00138</v>
          </cell>
          <cell r="B141" t="str">
            <v>Trần Văn Lợi (NSVYBG) 120842660 0915275693</v>
          </cell>
          <cell r="C141" t="str">
            <v>Ninh Sơn, Việt Yên, Bắc Giang</v>
          </cell>
          <cell r="D141" t="str">
            <v>CG</v>
          </cell>
          <cell r="E141">
            <v>0</v>
          </cell>
          <cell r="F141" t="str">
            <v>0915275693</v>
          </cell>
          <cell r="G141" t="b">
            <v>0</v>
          </cell>
          <cell r="H141" t="b">
            <v>0</v>
          </cell>
          <cell r="J141" t="str">
            <v>915275693</v>
          </cell>
          <cell r="K141" t="str">
            <v>CG00138</v>
          </cell>
        </row>
        <row r="142">
          <cell r="A142" t="str">
            <v>CG00139</v>
          </cell>
          <cell r="B142" t="str">
            <v>Luyến (TTIHN) 0392323428</v>
          </cell>
          <cell r="C142" t="str">
            <v>Thường Tín, Hà Nội</v>
          </cell>
          <cell r="D142" t="str">
            <v>CG</v>
          </cell>
          <cell r="E142">
            <v>0</v>
          </cell>
          <cell r="F142" t="str">
            <v>0392323428</v>
          </cell>
          <cell r="G142" t="e">
            <v>#N/A</v>
          </cell>
          <cell r="H142" t="e">
            <v>#N/A</v>
          </cell>
          <cell r="J142" t="str">
            <v>392323428</v>
          </cell>
          <cell r="K142" t="str">
            <v>CG00139</v>
          </cell>
        </row>
        <row r="143">
          <cell r="A143" t="str">
            <v>CG00140</v>
          </cell>
          <cell r="B143" t="str">
            <v>Sáng (BLHNA) 0979873426</v>
          </cell>
          <cell r="C143" t="str">
            <v>Bình Lục, Hà Nam</v>
          </cell>
          <cell r="D143" t="str">
            <v>CG</v>
          </cell>
          <cell r="E143">
            <v>0</v>
          </cell>
          <cell r="F143" t="str">
            <v>0979873426</v>
          </cell>
          <cell r="G143" t="e">
            <v>#N/A</v>
          </cell>
          <cell r="H143" t="e">
            <v>#N/A</v>
          </cell>
          <cell r="J143" t="str">
            <v>979873426</v>
          </cell>
          <cell r="K143" t="str">
            <v>CG00140</v>
          </cell>
        </row>
        <row r="144">
          <cell r="A144" t="str">
            <v>CG00141</v>
          </cell>
          <cell r="B144" t="str">
            <v>Thiều Văn Sự (TLBVHN) 135890014 0968066789</v>
          </cell>
          <cell r="C144" t="str">
            <v>Tân Lĩnh, Bà Vì, Hà Nội</v>
          </cell>
          <cell r="D144" t="str">
            <v>CG</v>
          </cell>
          <cell r="E144">
            <v>0</v>
          </cell>
          <cell r="F144" t="str">
            <v>0968066789</v>
          </cell>
          <cell r="G144" t="b">
            <v>0</v>
          </cell>
          <cell r="H144" t="b">
            <v>0</v>
          </cell>
          <cell r="J144" t="str">
            <v>968066789</v>
          </cell>
          <cell r="K144" t="str">
            <v>CG00141</v>
          </cell>
        </row>
        <row r="145">
          <cell r="A145" t="str">
            <v>CG00142</v>
          </cell>
          <cell r="B145" t="str">
            <v>Vũ Đình Hữu (CLND) 036070007104 0913347079 0966393205 0913347079</v>
          </cell>
          <cell r="C145" t="str">
            <v>Trung Đông, Trực Ninh, Nam Định</v>
          </cell>
          <cell r="D145" t="str">
            <v>CG</v>
          </cell>
          <cell r="E145">
            <v>0</v>
          </cell>
          <cell r="F145" t="str">
            <v>0966393205</v>
          </cell>
          <cell r="G145" t="b">
            <v>0</v>
          </cell>
          <cell r="H145" t="b">
            <v>0</v>
          </cell>
          <cell r="J145" t="str">
            <v>913347079</v>
          </cell>
          <cell r="K145" t="str">
            <v>CG00142</v>
          </cell>
        </row>
        <row r="146">
          <cell r="A146" t="str">
            <v>CG00143</v>
          </cell>
          <cell r="B146" t="str">
            <v>Hiệu (BSTH) 0913546151</v>
          </cell>
          <cell r="C146" t="str">
            <v>Bỉm Sơn, Thanh Hóa</v>
          </cell>
          <cell r="D146" t="str">
            <v>CG</v>
          </cell>
          <cell r="E146" t="e">
            <v>#N/A</v>
          </cell>
          <cell r="F146" t="str">
            <v>0913546151</v>
          </cell>
          <cell r="G146" t="e">
            <v>#N/A</v>
          </cell>
          <cell r="H146" t="e">
            <v>#N/A</v>
          </cell>
          <cell r="J146" t="str">
            <v>913546151</v>
          </cell>
          <cell r="K146" t="str">
            <v>CG00143</v>
          </cell>
        </row>
        <row r="147">
          <cell r="A147" t="str">
            <v>CG00144</v>
          </cell>
          <cell r="B147" t="str">
            <v>Đang (NTND) 0948382858</v>
          </cell>
          <cell r="C147" t="str">
            <v>Nam Trực, Nam Định</v>
          </cell>
          <cell r="D147" t="str">
            <v>CG</v>
          </cell>
          <cell r="E147" t="e">
            <v>#N/A</v>
          </cell>
          <cell r="F147" t="str">
            <v>0948382858</v>
          </cell>
          <cell r="G147" t="e">
            <v>#N/A</v>
          </cell>
          <cell r="H147" t="e">
            <v>#N/A</v>
          </cell>
          <cell r="J147" t="str">
            <v>948382858</v>
          </cell>
          <cell r="K147" t="str">
            <v>CG00144</v>
          </cell>
        </row>
        <row r="148">
          <cell r="A148" t="str">
            <v>CG00145</v>
          </cell>
          <cell r="B148" t="str">
            <v>Công ty TNHH Thương Mại Mạnh Thanh (KBHNA) Ba 0397407377</v>
          </cell>
          <cell r="C148" t="str">
            <v>Nhật Tân, Kim Bảng, Hà Nam</v>
          </cell>
          <cell r="D148" t="str">
            <v>CG</v>
          </cell>
          <cell r="E148" t="str">
            <v>0700792495</v>
          </cell>
          <cell r="F148" t="str">
            <v>0397407377</v>
          </cell>
          <cell r="G148" t="b">
            <v>0</v>
          </cell>
          <cell r="H148" t="b">
            <v>0</v>
          </cell>
          <cell r="J148" t="str">
            <v>397407377</v>
          </cell>
          <cell r="K148" t="str">
            <v>CG00145</v>
          </cell>
        </row>
        <row r="149">
          <cell r="A149" t="str">
            <v>CG00146</v>
          </cell>
          <cell r="B149" t="str">
            <v>Đoàn Ngọc Bế (TLHY) 145624431 0982415325</v>
          </cell>
          <cell r="C149" t="str">
            <v>Thị Trấn Vương, Tiên Lữ, Hưng Yên</v>
          </cell>
          <cell r="D149" t="str">
            <v>CG</v>
          </cell>
          <cell r="E149">
            <v>0</v>
          </cell>
          <cell r="F149" t="str">
            <v>0982415325</v>
          </cell>
          <cell r="G149" t="b">
            <v>0</v>
          </cell>
          <cell r="H149" t="b">
            <v>0</v>
          </cell>
          <cell r="J149" t="str">
            <v>982415325</v>
          </cell>
          <cell r="K149" t="str">
            <v>CG00146</v>
          </cell>
        </row>
        <row r="150">
          <cell r="A150" t="str">
            <v>CG00147</v>
          </cell>
          <cell r="B150" t="str">
            <v>Huân (MDHP) 0976889957</v>
          </cell>
          <cell r="C150" t="str">
            <v>Mỹ Đoàn, Hải Phòng</v>
          </cell>
          <cell r="D150" t="str">
            <v>CG</v>
          </cell>
          <cell r="E150" t="e">
            <v>#N/A</v>
          </cell>
          <cell r="F150" t="str">
            <v>0976889957</v>
          </cell>
          <cell r="G150" t="e">
            <v>#N/A</v>
          </cell>
          <cell r="H150" t="e">
            <v>#N/A</v>
          </cell>
          <cell r="J150" t="str">
            <v>976889957</v>
          </cell>
          <cell r="K150" t="str">
            <v>CG00147</v>
          </cell>
        </row>
        <row r="151">
          <cell r="A151" t="str">
            <v>CG00148</v>
          </cell>
          <cell r="B151" t="str">
            <v>Trần Văn Tiến (VTHNA) 017394354 0976850526</v>
          </cell>
          <cell r="C151" t="str">
            <v>Nhân Chính, Lý Nhân, Hà Nam</v>
          </cell>
          <cell r="D151" t="str">
            <v>CG</v>
          </cell>
          <cell r="E151">
            <v>0</v>
          </cell>
          <cell r="F151" t="str">
            <v>0916065526</v>
          </cell>
          <cell r="G151" t="b">
            <v>0</v>
          </cell>
          <cell r="H151" t="b">
            <v>0</v>
          </cell>
          <cell r="J151" t="str">
            <v>976850526</v>
          </cell>
          <cell r="K151" t="str">
            <v>CG00148</v>
          </cell>
        </row>
        <row r="152">
          <cell r="A152" t="str">
            <v>CG00149</v>
          </cell>
          <cell r="B152" t="str">
            <v>Trần Văn Tuyến (BSHDHN) 111783927 0942995996</v>
          </cell>
          <cell r="C152" t="str">
            <v>Biển Sắt, Hà Đông, Hà Nội</v>
          </cell>
          <cell r="D152" t="str">
            <v>CG</v>
          </cell>
          <cell r="E152">
            <v>0</v>
          </cell>
          <cell r="F152" t="str">
            <v>0942995996</v>
          </cell>
          <cell r="G152" t="b">
            <v>0</v>
          </cell>
          <cell r="H152" t="b">
            <v>0</v>
          </cell>
          <cell r="J152" t="str">
            <v>942995996</v>
          </cell>
          <cell r="K152" t="str">
            <v>CG00149</v>
          </cell>
        </row>
        <row r="153">
          <cell r="A153" t="str">
            <v>CG00150</v>
          </cell>
          <cell r="B153" t="str">
            <v>Tạ Văn Hạng (CLLNHNA) Quang 168289049 0982728558</v>
          </cell>
          <cell r="C153" t="str">
            <v>Công Lý, Lý Nhân, Hà Nam</v>
          </cell>
          <cell r="D153" t="str">
            <v>CG</v>
          </cell>
          <cell r="E153">
            <v>0</v>
          </cell>
          <cell r="F153" t="str">
            <v>0982728558</v>
          </cell>
          <cell r="G153" t="b">
            <v>0</v>
          </cell>
          <cell r="H153" t="b">
            <v>0</v>
          </cell>
          <cell r="J153" t="str">
            <v>982728558</v>
          </cell>
          <cell r="K153" t="str">
            <v>CG00150</v>
          </cell>
        </row>
        <row r="154">
          <cell r="A154" t="str">
            <v>CG00151</v>
          </cell>
          <cell r="B154" t="str">
            <v>Quân (HDHN) 0903483824</v>
          </cell>
          <cell r="C154" t="str">
            <v>Hà Đông, Hà Nội</v>
          </cell>
          <cell r="D154" t="str">
            <v>CG</v>
          </cell>
          <cell r="E154">
            <v>0</v>
          </cell>
          <cell r="F154" t="str">
            <v>0903483824</v>
          </cell>
          <cell r="G154" t="b">
            <v>0</v>
          </cell>
          <cell r="H154" t="b">
            <v>0</v>
          </cell>
          <cell r="J154" t="str">
            <v>903483824</v>
          </cell>
          <cell r="K154" t="str">
            <v>CG00151</v>
          </cell>
        </row>
        <row r="155">
          <cell r="A155" t="str">
            <v>CG00152</v>
          </cell>
          <cell r="B155" t="str">
            <v>Công Ty TNHH Một Thành Viên Sản Xuất Và Thương Mại Minh Nhật (VTVP) Dịnh 2500554063 0942769498 0382332222</v>
          </cell>
          <cell r="C155" t="str">
            <v>Thôn Bích Chu - Xã An Tường - Huyện Vĩnh Tường - Vĩnh Phúc</v>
          </cell>
          <cell r="D155" t="str">
            <v>CG</v>
          </cell>
          <cell r="E155" t="str">
            <v>2500554063</v>
          </cell>
          <cell r="F155" t="str">
            <v>0942769498</v>
          </cell>
          <cell r="G155" t="b">
            <v>0</v>
          </cell>
          <cell r="H155" t="b">
            <v>0</v>
          </cell>
          <cell r="J155" t="str">
            <v>382332222</v>
          </cell>
          <cell r="K155" t="str">
            <v>CG00152</v>
          </cell>
        </row>
        <row r="156">
          <cell r="A156" t="str">
            <v>CG00153</v>
          </cell>
          <cell r="B156" t="str">
            <v>Du (TTIHN) 0985450243</v>
          </cell>
          <cell r="C156" t="str">
            <v>Thường Tín, Hà Nội</v>
          </cell>
          <cell r="D156" t="str">
            <v>CG</v>
          </cell>
          <cell r="E156">
            <v>0</v>
          </cell>
          <cell r="F156" t="str">
            <v>0985450243</v>
          </cell>
          <cell r="G156" t="e">
            <v>#N/A</v>
          </cell>
          <cell r="H156" t="e">
            <v>#N/A</v>
          </cell>
          <cell r="J156" t="str">
            <v>985450243</v>
          </cell>
          <cell r="K156" t="str">
            <v>CG00153</v>
          </cell>
        </row>
        <row r="157">
          <cell r="A157" t="str">
            <v>CG00154</v>
          </cell>
          <cell r="B157" t="str">
            <v>Hoàng Văn Chức (CVCGHD) 030079002737 0982373247 0965197907 0982373247</v>
          </cell>
          <cell r="C157" t="str">
            <v>Cẩm Vũ, Cẩm Giàng, Hải Dương</v>
          </cell>
          <cell r="D157" t="str">
            <v>CG</v>
          </cell>
          <cell r="E157">
            <v>0</v>
          </cell>
          <cell r="F157" t="str">
            <v>0982373247</v>
          </cell>
          <cell r="G157" t="b">
            <v>0</v>
          </cell>
          <cell r="H157" t="b">
            <v>0</v>
          </cell>
          <cell r="J157" t="str">
            <v>982373247</v>
          </cell>
          <cell r="K157" t="str">
            <v>CG00154</v>
          </cell>
          <cell r="L157" t="str">
            <v>Chức: 0982373247</v>
          </cell>
        </row>
        <row r="158">
          <cell r="A158" t="str">
            <v>CG00155</v>
          </cell>
          <cell r="B158" t="str">
            <v>Công Ty TNHH Một Thành Viên Sản Xuất Và Thương Mại Minh Nhật (VTVP) Dịnh 2500554063 0942769498 0382332222</v>
          </cell>
          <cell r="C158" t="str">
            <v>Thôn Bích Chu - Xã An Tường - Huyện Vĩnh Tường - Vĩnh Phúc</v>
          </cell>
          <cell r="D158" t="str">
            <v>CG</v>
          </cell>
          <cell r="E158" t="str">
            <v>2500554063</v>
          </cell>
          <cell r="F158" t="str">
            <v>0942769498</v>
          </cell>
          <cell r="G158" t="b">
            <v>0</v>
          </cell>
          <cell r="H158" t="b">
            <v>0</v>
          </cell>
          <cell r="J158" t="str">
            <v>382332222</v>
          </cell>
          <cell r="K158" t="str">
            <v>CG00155</v>
          </cell>
        </row>
        <row r="159">
          <cell r="A159" t="str">
            <v>CG00156</v>
          </cell>
          <cell r="B159" t="str">
            <v>Huy (QGHD) 0904221159</v>
          </cell>
          <cell r="C159" t="str">
            <v>Quán Gỏi, Bình Giang, Hải Dương</v>
          </cell>
          <cell r="D159" t="str">
            <v>CG</v>
          </cell>
          <cell r="E159">
            <v>0</v>
          </cell>
          <cell r="F159" t="str">
            <v>0904221159</v>
          </cell>
          <cell r="G159" t="b">
            <v>0</v>
          </cell>
          <cell r="H159" t="b">
            <v>0</v>
          </cell>
          <cell r="J159" t="str">
            <v>904221159</v>
          </cell>
          <cell r="K159" t="str">
            <v>CG00156</v>
          </cell>
        </row>
        <row r="160">
          <cell r="A160" t="str">
            <v>CG00157</v>
          </cell>
          <cell r="B160" t="str">
            <v>Bình (BTHN) 0979000706</v>
          </cell>
          <cell r="C160" t="str">
            <v>Ba Thá, Hà Nội</v>
          </cell>
          <cell r="D160" t="str">
            <v>CG</v>
          </cell>
          <cell r="E160" t="str">
            <v/>
          </cell>
          <cell r="F160" t="str">
            <v>0979000706</v>
          </cell>
          <cell r="G160" t="b">
            <v>0</v>
          </cell>
          <cell r="H160" t="b">
            <v>0</v>
          </cell>
          <cell r="J160" t="str">
            <v>979000706</v>
          </cell>
          <cell r="K160" t="str">
            <v>CG00157</v>
          </cell>
        </row>
        <row r="161">
          <cell r="A161" t="str">
            <v>CG00158</v>
          </cell>
          <cell r="B161" t="str">
            <v>Trần Ngọc Thư (HVHHND) 162193271 0914656068</v>
          </cell>
          <cell r="C161" t="str">
            <v>Hải Vân, Hải Hậu, Nam Định</v>
          </cell>
          <cell r="D161" t="str">
            <v>CG</v>
          </cell>
          <cell r="E161">
            <v>0</v>
          </cell>
          <cell r="F161" t="str">
            <v>0914656068</v>
          </cell>
          <cell r="G161" t="b">
            <v>0</v>
          </cell>
          <cell r="H161" t="b">
            <v>0</v>
          </cell>
          <cell r="J161" t="str">
            <v>914656068</v>
          </cell>
          <cell r="K161" t="str">
            <v>CG00158</v>
          </cell>
        </row>
        <row r="162">
          <cell r="A162" t="str">
            <v>CG00159</v>
          </cell>
          <cell r="B162" t="str">
            <v>Lê Văn Minh (TTTHHD) 141324306 0973154420</v>
          </cell>
          <cell r="C162" t="str">
            <v>Tiền Tiến, Thanh Hà, Hải Dương</v>
          </cell>
          <cell r="D162" t="str">
            <v>CG</v>
          </cell>
          <cell r="E162">
            <v>0</v>
          </cell>
          <cell r="F162" t="str">
            <v>0973154420</v>
          </cell>
          <cell r="G162" t="b">
            <v>0</v>
          </cell>
          <cell r="H162" t="b">
            <v>0</v>
          </cell>
          <cell r="J162" t="str">
            <v>973154420</v>
          </cell>
          <cell r="K162" t="str">
            <v>CG00159</v>
          </cell>
        </row>
        <row r="163">
          <cell r="A163" t="str">
            <v>CG00160</v>
          </cell>
          <cell r="B163" t="str">
            <v>Tảng (TNXHP) 0902173954</v>
          </cell>
          <cell r="C163" t="str">
            <v>Ngũ Lão, Thủy Nguyên, Hải Phòng</v>
          </cell>
          <cell r="D163" t="str">
            <v>CG</v>
          </cell>
          <cell r="E163">
            <v>0</v>
          </cell>
          <cell r="F163" t="str">
            <v>0902173954</v>
          </cell>
          <cell r="G163" t="b">
            <v>0</v>
          </cell>
          <cell r="H163" t="b">
            <v>0</v>
          </cell>
          <cell r="J163" t="str">
            <v>902173954</v>
          </cell>
          <cell r="K163" t="str">
            <v>CG00160</v>
          </cell>
        </row>
        <row r="164">
          <cell r="A164" t="str">
            <v>CG00161</v>
          </cell>
          <cell r="B164" t="str">
            <v>Hoàng Thị Xuân (MCQN) 022156001149 0912458049 0338489765</v>
          </cell>
          <cell r="C164" t="str">
            <v>Thôn 10, Hải Xuân, Móng Cái, Quảng Ninh</v>
          </cell>
          <cell r="D164" t="str">
            <v>CG</v>
          </cell>
          <cell r="E164" t="str">
            <v/>
          </cell>
          <cell r="F164" t="str">
            <v>0338489765</v>
          </cell>
          <cell r="G164" t="b">
            <v>0</v>
          </cell>
          <cell r="H164" t="b">
            <v>0</v>
          </cell>
          <cell r="J164" t="str">
            <v>338489765</v>
          </cell>
          <cell r="K164" t="str">
            <v>CG00161</v>
          </cell>
        </row>
        <row r="165">
          <cell r="A165" t="str">
            <v>CG00162</v>
          </cell>
          <cell r="B165" t="str">
            <v>Tuyền (LGBG) 0974806822</v>
          </cell>
          <cell r="C165" t="str">
            <v>Lạng Giang, Bắc Giang</v>
          </cell>
          <cell r="D165" t="str">
            <v>CG</v>
          </cell>
          <cell r="E165">
            <v>0</v>
          </cell>
          <cell r="F165" t="str">
            <v>0974806822</v>
          </cell>
          <cell r="G165" t="e">
            <v>#N/A</v>
          </cell>
          <cell r="H165" t="e">
            <v>#N/A</v>
          </cell>
          <cell r="J165" t="str">
            <v>974806822</v>
          </cell>
          <cell r="K165" t="str">
            <v>CG00162</v>
          </cell>
        </row>
        <row r="166">
          <cell r="A166" t="str">
            <v>CG00163</v>
          </cell>
          <cell r="B166" t="str">
            <v>Thắng (HHND) 0984282118</v>
          </cell>
          <cell r="C166" t="str">
            <v>Hải Hậu, Nam Định</v>
          </cell>
          <cell r="D166" t="str">
            <v>CG</v>
          </cell>
          <cell r="E166" t="str">
            <v/>
          </cell>
          <cell r="F166" t="str">
            <v>0984282118</v>
          </cell>
          <cell r="G166" t="b">
            <v>0</v>
          </cell>
          <cell r="H166" t="b">
            <v>0</v>
          </cell>
          <cell r="J166" t="str">
            <v>984282118</v>
          </cell>
          <cell r="K166" t="str">
            <v>CG00163</v>
          </cell>
        </row>
        <row r="167">
          <cell r="A167" t="str">
            <v>CG00164</v>
          </cell>
          <cell r="B167" t="str">
            <v>Lê Phú Dung (HHHHTH) 038068008487 0982538655</v>
          </cell>
          <cell r="C167" t="str">
            <v>Hoàng Tiến, Hoàng Hóa, Thanh Hóa</v>
          </cell>
          <cell r="D167" t="str">
            <v>CG</v>
          </cell>
          <cell r="E167">
            <v>0</v>
          </cell>
          <cell r="F167" t="str">
            <v>0982538655</v>
          </cell>
          <cell r="G167" t="b">
            <v>0</v>
          </cell>
          <cell r="H167" t="b">
            <v>0</v>
          </cell>
          <cell r="J167" t="str">
            <v>982538655</v>
          </cell>
          <cell r="K167" t="str">
            <v>CG00164</v>
          </cell>
        </row>
        <row r="168">
          <cell r="A168" t="str">
            <v>CG00165</v>
          </cell>
          <cell r="B168" t="str">
            <v>Công ty TNHH một thành viên Nhất Phúc (HLTH) Nội 0904783534</v>
          </cell>
          <cell r="C168" t="str">
            <v>Phú Lộc, Hậu Lộc, Thanh Hóa</v>
          </cell>
          <cell r="D168" t="str">
            <v>CG</v>
          </cell>
          <cell r="E168" t="str">
            <v>2801879026</v>
          </cell>
          <cell r="F168" t="str">
            <v>0904783534</v>
          </cell>
          <cell r="G168" t="b">
            <v>0</v>
          </cell>
          <cell r="H168" t="b">
            <v>0</v>
          </cell>
          <cell r="J168" t="str">
            <v>904783534</v>
          </cell>
          <cell r="K168" t="str">
            <v>CG00165</v>
          </cell>
        </row>
        <row r="169">
          <cell r="A169" t="str">
            <v>CG00166</v>
          </cell>
          <cell r="B169" t="str">
            <v>Công ty CP xây dựng dịch vụ Thương mại Dương Hà (ATLTBN) Hà 0916933323</v>
          </cell>
          <cell r="C169" t="str">
            <v>An Thịnh, Lương Tài, Bắc Ninh</v>
          </cell>
          <cell r="D169" t="str">
            <v>CG</v>
          </cell>
          <cell r="E169" t="str">
            <v>2300761545</v>
          </cell>
          <cell r="F169" t="str">
            <v>0916933323</v>
          </cell>
          <cell r="G169" t="b">
            <v>0</v>
          </cell>
          <cell r="H169" t="b">
            <v>0</v>
          </cell>
          <cell r="J169" t="str">
            <v>916933323</v>
          </cell>
          <cell r="K169" t="str">
            <v>CG00166</v>
          </cell>
        </row>
        <row r="170">
          <cell r="A170" t="str">
            <v>CG00167</v>
          </cell>
          <cell r="B170" t="str">
            <v>Ngạn (TTHN) 0987433616</v>
          </cell>
          <cell r="C170" t="str">
            <v>Thạch Thất, Hà Nội</v>
          </cell>
          <cell r="D170" t="str">
            <v>CG</v>
          </cell>
          <cell r="E170" t="e">
            <v>#N/A</v>
          </cell>
          <cell r="F170" t="str">
            <v>0987433616</v>
          </cell>
          <cell r="G170" t="e">
            <v>#N/A</v>
          </cell>
          <cell r="H170" t="e">
            <v>#N/A</v>
          </cell>
          <cell r="J170" t="str">
            <v>987433616</v>
          </cell>
          <cell r="K170" t="str">
            <v>CG00167</v>
          </cell>
        </row>
        <row r="171">
          <cell r="A171" t="str">
            <v>CG00168</v>
          </cell>
          <cell r="B171" t="str">
            <v>Công Ty TNHH Tư Vấn Đầu Tư và Tài Trợ Thương Mại Lục Thủy (NTLTPHN) 0961136049</v>
          </cell>
          <cell r="C171" t="str">
            <v>Phòng 2830 tầng 28 tòa G3 Khu đô thị Vinhomes Green Bay, số 7 Đại Lộ Thăng Long, P. Mễ Trì, Q. Nam Từ Liêm, TP. Hà Nội</v>
          </cell>
          <cell r="D171" t="str">
            <v>CG</v>
          </cell>
          <cell r="E171" t="str">
            <v>0109224985</v>
          </cell>
          <cell r="F171" t="str">
            <v>0961136049</v>
          </cell>
          <cell r="G171" t="b">
            <v>0</v>
          </cell>
          <cell r="H171" t="b">
            <v>0</v>
          </cell>
          <cell r="J171" t="str">
            <v>961136049</v>
          </cell>
          <cell r="K171" t="str">
            <v>CG00168</v>
          </cell>
        </row>
        <row r="172">
          <cell r="A172" t="str">
            <v>CG00169</v>
          </cell>
          <cell r="B172" t="str">
            <v>Dũng (TTHN) 0935903368</v>
          </cell>
          <cell r="C172" t="e">
            <v>#N/A</v>
          </cell>
          <cell r="D172" t="str">
            <v>CG</v>
          </cell>
          <cell r="E172" t="e">
            <v>#N/A</v>
          </cell>
          <cell r="F172" t="str">
            <v>0935903368</v>
          </cell>
          <cell r="G172" t="e">
            <v>#N/A</v>
          </cell>
          <cell r="H172" t="e">
            <v>#N/A</v>
          </cell>
          <cell r="J172" t="str">
            <v>935903368</v>
          </cell>
          <cell r="K172" t="str">
            <v>CG00169</v>
          </cell>
        </row>
        <row r="173">
          <cell r="A173" t="str">
            <v>CG00170</v>
          </cell>
          <cell r="B173" t="str">
            <v>Nguyễn Văn Thắng (NTNHND) 162140007 0945273525</v>
          </cell>
          <cell r="C173" t="str">
            <v>Nghĩa Thành, Nghĩa Hưng, Nam Định</v>
          </cell>
          <cell r="D173" t="str">
            <v>CG</v>
          </cell>
          <cell r="E173">
            <v>0</v>
          </cell>
          <cell r="F173" t="str">
            <v>0945273525</v>
          </cell>
          <cell r="G173" t="b">
            <v>0</v>
          </cell>
          <cell r="H173" t="b">
            <v>0</v>
          </cell>
          <cell r="J173" t="str">
            <v>945273525</v>
          </cell>
          <cell r="K173" t="str">
            <v>CG00170</v>
          </cell>
        </row>
        <row r="174">
          <cell r="A174" t="str">
            <v>CG00171</v>
          </cell>
          <cell r="B174" t="str">
            <v>Trần Đình Dư (VNVTVP) 135616070 0913378935 0964709999</v>
          </cell>
          <cell r="C174" t="str">
            <v>Vĩnh Ninh, Vĩnh Tường, Vĩnh Phúc</v>
          </cell>
          <cell r="D174" t="str">
            <v>CG</v>
          </cell>
          <cell r="E174">
            <v>0</v>
          </cell>
          <cell r="F174" t="str">
            <v>0964709999</v>
          </cell>
          <cell r="G174" t="b">
            <v>0</v>
          </cell>
          <cell r="H174" t="b">
            <v>0</v>
          </cell>
          <cell r="J174" t="str">
            <v>964709999</v>
          </cell>
          <cell r="K174" t="str">
            <v>CG00171</v>
          </cell>
        </row>
        <row r="175">
          <cell r="A175" t="str">
            <v>CG00172</v>
          </cell>
          <cell r="B175" t="str">
            <v>Dũng (TTHN) 0912970198</v>
          </cell>
          <cell r="C175" t="str">
            <v>Thạch Thất, Hà Nội</v>
          </cell>
          <cell r="D175" t="str">
            <v>CG</v>
          </cell>
          <cell r="E175">
            <v>0</v>
          </cell>
          <cell r="F175" t="str">
            <v>0912970198</v>
          </cell>
          <cell r="G175" t="b">
            <v>0</v>
          </cell>
          <cell r="H175" t="b">
            <v>0</v>
          </cell>
          <cell r="J175" t="str">
            <v>912970198</v>
          </cell>
          <cell r="K175" t="str">
            <v>CG00172</v>
          </cell>
        </row>
        <row r="176">
          <cell r="A176" t="str">
            <v>CG00173</v>
          </cell>
          <cell r="B176" t="str">
            <v>Công (MHHY) 0364146406</v>
          </cell>
          <cell r="C176" t="str">
            <v>Mỹ Hào, Hưng Yên</v>
          </cell>
          <cell r="D176" t="str">
            <v>CG</v>
          </cell>
          <cell r="E176">
            <v>0</v>
          </cell>
          <cell r="F176" t="str">
            <v>0364146406</v>
          </cell>
          <cell r="G176">
            <v>0</v>
          </cell>
          <cell r="H176">
            <v>0</v>
          </cell>
          <cell r="J176" t="str">
            <v>364146406</v>
          </cell>
          <cell r="K176" t="str">
            <v>CG00173</v>
          </cell>
        </row>
        <row r="177">
          <cell r="A177" t="str">
            <v>CG00174</v>
          </cell>
          <cell r="B177" t="str">
            <v>Dần (TPNB) 0918067686</v>
          </cell>
          <cell r="C177" t="str">
            <v>TP. Ninh Bình</v>
          </cell>
          <cell r="D177">
            <v>0</v>
          </cell>
          <cell r="E177">
            <v>0</v>
          </cell>
          <cell r="F177" t="str">
            <v>0918067686</v>
          </cell>
          <cell r="G177">
            <v>0</v>
          </cell>
          <cell r="H177">
            <v>0</v>
          </cell>
          <cell r="J177" t="str">
            <v>918067686</v>
          </cell>
          <cell r="K177" t="str">
            <v>CG00174</v>
          </cell>
        </row>
        <row r="178">
          <cell r="A178" t="str">
            <v>CG00175</v>
          </cell>
          <cell r="B178" t="str">
            <v>Đinh Xuân An (HCTGTH) 171880044 0982562875</v>
          </cell>
          <cell r="C178" t="str">
            <v>Hải Châu, Tĩnh Gia, Thanh Hóa</v>
          </cell>
          <cell r="D178" t="str">
            <v>CG</v>
          </cell>
          <cell r="E178">
            <v>0</v>
          </cell>
          <cell r="F178" t="str">
            <v>0982562875</v>
          </cell>
          <cell r="G178" t="b">
            <v>0</v>
          </cell>
          <cell r="H178" t="b">
            <v>0</v>
          </cell>
          <cell r="J178" t="str">
            <v>982562875</v>
          </cell>
          <cell r="K178" t="str">
            <v>CG00175</v>
          </cell>
        </row>
        <row r="179">
          <cell r="A179" t="str">
            <v>CG00176</v>
          </cell>
          <cell r="B179" t="str">
            <v>Du (TTIHN) 0854502432</v>
          </cell>
          <cell r="C179" t="str">
            <v>Thường Tín, Hà Nội</v>
          </cell>
          <cell r="D179">
            <v>0</v>
          </cell>
          <cell r="E179">
            <v>0</v>
          </cell>
          <cell r="F179" t="str">
            <v>0854502432</v>
          </cell>
          <cell r="G179">
            <v>0</v>
          </cell>
          <cell r="H179">
            <v>0</v>
          </cell>
          <cell r="J179" t="str">
            <v>854502432</v>
          </cell>
          <cell r="K179" t="str">
            <v>CG00176</v>
          </cell>
        </row>
        <row r="180">
          <cell r="A180" t="str">
            <v>CG00177</v>
          </cell>
          <cell r="B180" t="str">
            <v>Huy (CGHD) 0335262666</v>
          </cell>
          <cell r="C180" t="str">
            <v>Cẩm Giàng, Hải Dương</v>
          </cell>
          <cell r="D180">
            <v>0</v>
          </cell>
          <cell r="E180">
            <v>0</v>
          </cell>
          <cell r="F180" t="str">
            <v>0335262666</v>
          </cell>
          <cell r="G180">
            <v>0</v>
          </cell>
          <cell r="H180">
            <v>0</v>
          </cell>
          <cell r="J180" t="str">
            <v>335262666</v>
          </cell>
          <cell r="K180" t="str">
            <v>CG00177</v>
          </cell>
        </row>
        <row r="181">
          <cell r="A181" t="str">
            <v>CG00178</v>
          </cell>
          <cell r="B181" t="str">
            <v>Tuyên (HHTB) 0974189688</v>
          </cell>
          <cell r="C181" t="str">
            <v>Hưng Hà, Thái Bình</v>
          </cell>
          <cell r="D181">
            <v>0</v>
          </cell>
          <cell r="E181">
            <v>0</v>
          </cell>
          <cell r="F181" t="str">
            <v>0974189688</v>
          </cell>
          <cell r="G181">
            <v>0</v>
          </cell>
          <cell r="H181">
            <v>0</v>
          </cell>
          <cell r="J181" t="str">
            <v>974189688</v>
          </cell>
          <cell r="K181" t="str">
            <v>CG00178</v>
          </cell>
        </row>
        <row r="182">
          <cell r="A182" t="str">
            <v>CG00179</v>
          </cell>
          <cell r="B182" t="str">
            <v>Kim (HHTH) 0912958577</v>
          </cell>
          <cell r="C182" t="str">
            <v>Hoàng Hóa, Thanh Hóa</v>
          </cell>
          <cell r="D182">
            <v>0</v>
          </cell>
          <cell r="E182">
            <v>0</v>
          </cell>
          <cell r="F182" t="str">
            <v>0912958577</v>
          </cell>
          <cell r="G182">
            <v>0</v>
          </cell>
          <cell r="H182">
            <v>0</v>
          </cell>
          <cell r="J182" t="str">
            <v>912958577</v>
          </cell>
          <cell r="K182" t="str">
            <v>CG00179</v>
          </cell>
        </row>
        <row r="183">
          <cell r="A183" t="str">
            <v>CG00180</v>
          </cell>
          <cell r="B183" t="str">
            <v>Thái (NSTH) 0989189437</v>
          </cell>
          <cell r="C183" t="str">
            <v>Nga Sơn, Thanh Hóa</v>
          </cell>
          <cell r="D183">
            <v>0</v>
          </cell>
          <cell r="E183">
            <v>0</v>
          </cell>
          <cell r="F183" t="str">
            <v>0989189437</v>
          </cell>
          <cell r="G183">
            <v>0</v>
          </cell>
          <cell r="H183">
            <v>0</v>
          </cell>
          <cell r="J183" t="str">
            <v>989189437</v>
          </cell>
          <cell r="K183" t="str">
            <v>CG00180</v>
          </cell>
        </row>
        <row r="184">
          <cell r="A184" t="str">
            <v>CG00181</v>
          </cell>
          <cell r="B184" t="str">
            <v>Phạm Thị Xim (XHXTND) 162959802 0983800412</v>
          </cell>
          <cell r="C184" t="str">
            <v>Xuân Hòa, Xuân Trường, Nam Định</v>
          </cell>
          <cell r="D184" t="str">
            <v>CG</v>
          </cell>
          <cell r="E184">
            <v>0</v>
          </cell>
          <cell r="F184" t="str">
            <v>0983800412</v>
          </cell>
          <cell r="G184" t="b">
            <v>0</v>
          </cell>
          <cell r="H184" t="b">
            <v>0</v>
          </cell>
          <cell r="J184" t="str">
            <v>983800412</v>
          </cell>
          <cell r="K184" t="str">
            <v>CG00181</v>
          </cell>
        </row>
        <row r="185">
          <cell r="A185" t="str">
            <v>CG00182</v>
          </cell>
          <cell r="B185" t="str">
            <v>Trường kho (MDHP) 0986903455</v>
          </cell>
          <cell r="C185" t="str">
            <v>Mỹ Đoàn, Hải Phòng</v>
          </cell>
          <cell r="D185" t="str">
            <v>CG</v>
          </cell>
          <cell r="E185">
            <v>0</v>
          </cell>
          <cell r="F185" t="str">
            <v>0986903455</v>
          </cell>
          <cell r="G185" t="b">
            <v>0</v>
          </cell>
          <cell r="H185" t="b">
            <v>0</v>
          </cell>
          <cell r="J185" t="str">
            <v>986903455</v>
          </cell>
          <cell r="K185" t="str">
            <v>CG00182</v>
          </cell>
        </row>
        <row r="186">
          <cell r="A186" t="str">
            <v>CG00183</v>
          </cell>
          <cell r="B186" t="str">
            <v>Phúc (TTIHN) 0961635572</v>
          </cell>
          <cell r="C186" t="str">
            <v>Thường Tín, Hà Nội</v>
          </cell>
          <cell r="D186" t="str">
            <v>CG</v>
          </cell>
          <cell r="E186" t="e">
            <v>#N/A</v>
          </cell>
          <cell r="F186" t="str">
            <v>0961635572</v>
          </cell>
          <cell r="G186" t="e">
            <v>#N/A</v>
          </cell>
          <cell r="H186" t="e">
            <v>#N/A</v>
          </cell>
          <cell r="J186" t="str">
            <v>961635572</v>
          </cell>
          <cell r="K186" t="str">
            <v>CG00183</v>
          </cell>
        </row>
        <row r="187">
          <cell r="A187" t="str">
            <v>CG00184</v>
          </cell>
          <cell r="B187" t="str">
            <v>Nguyễn Xuân Quất (VHDAHN) 001087005509 0904616606</v>
          </cell>
          <cell r="C187" t="str">
            <v>Vân Hà, Đông Anh, Hà Nội</v>
          </cell>
          <cell r="D187" t="str">
            <v>CG</v>
          </cell>
          <cell r="E187">
            <v>0</v>
          </cell>
          <cell r="F187" t="str">
            <v>0904616606</v>
          </cell>
          <cell r="G187" t="b">
            <v>0</v>
          </cell>
          <cell r="H187" t="b">
            <v>0</v>
          </cell>
          <cell r="J187" t="str">
            <v>904616606</v>
          </cell>
          <cell r="K187" t="str">
            <v>CG00184</v>
          </cell>
        </row>
        <row r="188">
          <cell r="A188" t="str">
            <v>CG00185</v>
          </cell>
          <cell r="B188" t="str">
            <v>Chung (THTH) 0982722502</v>
          </cell>
          <cell r="C188" t="str">
            <v>Thiệu Hóa, Thanh Hóa</v>
          </cell>
          <cell r="D188" t="str">
            <v>CG</v>
          </cell>
          <cell r="E188">
            <v>0</v>
          </cell>
          <cell r="F188" t="str">
            <v>0982722502</v>
          </cell>
          <cell r="G188" t="b">
            <v>0</v>
          </cell>
          <cell r="H188" t="b">
            <v>0</v>
          </cell>
          <cell r="J188" t="str">
            <v>982722502</v>
          </cell>
          <cell r="K188" t="str">
            <v>CG00185</v>
          </cell>
        </row>
        <row r="189">
          <cell r="A189" t="str">
            <v>CG00186</v>
          </cell>
          <cell r="B189" t="str">
            <v>Chung (NCTH) 0944102999</v>
          </cell>
          <cell r="C189" t="str">
            <v>Nông Cống, Thanh Hóa</v>
          </cell>
          <cell r="D189" t="str">
            <v>CG</v>
          </cell>
          <cell r="E189" t="e">
            <v>#N/A</v>
          </cell>
          <cell r="F189" t="str">
            <v>0944102999</v>
          </cell>
          <cell r="G189" t="e">
            <v>#N/A</v>
          </cell>
          <cell r="H189" t="e">
            <v>#N/A</v>
          </cell>
          <cell r="J189" t="str">
            <v>944102999</v>
          </cell>
          <cell r="K189" t="str">
            <v>CG00186</v>
          </cell>
        </row>
        <row r="190">
          <cell r="A190" t="str">
            <v>CG00187</v>
          </cell>
          <cell r="B190" t="str">
            <v>Tuấn (TSBN) 0977888499</v>
          </cell>
          <cell r="C190" t="str">
            <v>Từ Sơn, Bắc Ninh</v>
          </cell>
          <cell r="D190" t="str">
            <v>CG</v>
          </cell>
          <cell r="E190">
            <v>0</v>
          </cell>
          <cell r="F190" t="str">
            <v>0977888499</v>
          </cell>
          <cell r="G190" t="b">
            <v>0</v>
          </cell>
          <cell r="H190" t="b">
            <v>0</v>
          </cell>
          <cell r="J190" t="str">
            <v>977888499</v>
          </cell>
          <cell r="K190" t="str">
            <v>CG00187</v>
          </cell>
        </row>
        <row r="191">
          <cell r="A191" t="str">
            <v>CG00188</v>
          </cell>
          <cell r="B191" t="str">
            <v>Vũ Xuân Trung (LDCGHD) 141925466 0969717989</v>
          </cell>
          <cell r="C191" t="str">
            <v>Lương Điền, Cẩm Giàng, Hải Dương</v>
          </cell>
          <cell r="D191" t="str">
            <v>CG</v>
          </cell>
          <cell r="E191">
            <v>0</v>
          </cell>
          <cell r="F191" t="str">
            <v>0969717989</v>
          </cell>
          <cell r="G191" t="b">
            <v>0</v>
          </cell>
          <cell r="H191" t="b">
            <v>0</v>
          </cell>
          <cell r="J191" t="str">
            <v>969717989</v>
          </cell>
          <cell r="K191" t="str">
            <v>CG00188</v>
          </cell>
        </row>
        <row r="192">
          <cell r="A192" t="str">
            <v>CG00189</v>
          </cell>
          <cell r="B192" t="str">
            <v>Quyết (YYND)  0397111884 0971016175</v>
          </cell>
          <cell r="C192" t="str">
            <v>Ý Yên, Nam Định</v>
          </cell>
          <cell r="D192" t="str">
            <v>CG</v>
          </cell>
          <cell r="E192" t="str">
            <v/>
          </cell>
          <cell r="F192" t="str">
            <v>0397111884</v>
          </cell>
          <cell r="G192" t="b">
            <v>0</v>
          </cell>
          <cell r="H192" t="b">
            <v>0</v>
          </cell>
          <cell r="J192" t="str">
            <v>971016175</v>
          </cell>
          <cell r="K192" t="str">
            <v>CG00189</v>
          </cell>
        </row>
        <row r="193">
          <cell r="A193" t="str">
            <v>CG00190</v>
          </cell>
          <cell r="B193" t="str">
            <v>Tuyền Trang (LGBG) 0974806822</v>
          </cell>
          <cell r="C193" t="str">
            <v>Lạng Giang, Bắc Giang</v>
          </cell>
          <cell r="D193" t="str">
            <v>CG</v>
          </cell>
          <cell r="E193">
            <v>0</v>
          </cell>
          <cell r="F193" t="str">
            <v>0974806822</v>
          </cell>
          <cell r="G193" t="e">
            <v>#N/A</v>
          </cell>
          <cell r="H193" t="e">
            <v>#N/A</v>
          </cell>
          <cell r="J193" t="str">
            <v>974806822</v>
          </cell>
          <cell r="K193" t="str">
            <v>CG00190</v>
          </cell>
        </row>
        <row r="194">
          <cell r="A194" t="str">
            <v>CG00191</v>
          </cell>
          <cell r="B194" t="str">
            <v>Trường (MDHP) 0963188831</v>
          </cell>
          <cell r="C194" t="str">
            <v>Mỹ Đoàn, Hải Phòng</v>
          </cell>
          <cell r="D194" t="str">
            <v>CG</v>
          </cell>
          <cell r="E194" t="e">
            <v>#N/A</v>
          </cell>
          <cell r="F194" t="str">
            <v>0963188831</v>
          </cell>
          <cell r="G194" t="e">
            <v>#N/A</v>
          </cell>
          <cell r="H194" t="e">
            <v>#N/A</v>
          </cell>
          <cell r="J194" t="str">
            <v>963188831</v>
          </cell>
          <cell r="K194" t="str">
            <v>CG00191</v>
          </cell>
        </row>
        <row r="195">
          <cell r="A195" t="str">
            <v>CG00192</v>
          </cell>
          <cell r="B195" t="str">
            <v>Phạm Danh Mậu (ADTHHD) 141288308 0975201992</v>
          </cell>
          <cell r="C195" t="str">
            <v>An Dương, Thanh Hà, Hải Dương</v>
          </cell>
          <cell r="D195" t="str">
            <v>CG</v>
          </cell>
          <cell r="E195">
            <v>0</v>
          </cell>
          <cell r="F195" t="str">
            <v>0975201992</v>
          </cell>
          <cell r="G195" t="b">
            <v>0</v>
          </cell>
          <cell r="H195" t="b">
            <v>0</v>
          </cell>
          <cell r="J195" t="str">
            <v>975201992</v>
          </cell>
          <cell r="K195" t="str">
            <v>CG00192</v>
          </cell>
        </row>
        <row r="196">
          <cell r="A196" t="str">
            <v>CG00193</v>
          </cell>
          <cell r="B196" t="str">
            <v>Phúc (HDHN) 0869345999</v>
          </cell>
          <cell r="C196" t="str">
            <v>Hà Đông, Hà Nội</v>
          </cell>
          <cell r="D196" t="str">
            <v>CG</v>
          </cell>
          <cell r="E196" t="e">
            <v>#N/A</v>
          </cell>
          <cell r="F196" t="str">
            <v>0869345999</v>
          </cell>
          <cell r="G196" t="e">
            <v>#N/A</v>
          </cell>
          <cell r="H196" t="e">
            <v>#N/A</v>
          </cell>
          <cell r="J196" t="str">
            <v>869345999</v>
          </cell>
          <cell r="K196" t="str">
            <v>CG00193</v>
          </cell>
        </row>
        <row r="197">
          <cell r="A197" t="str">
            <v>CG00194</v>
          </cell>
          <cell r="B197" t="str">
            <v>Công ty TNHH Đức Tài Lộc (HHBG) Tài 0941258888</v>
          </cell>
          <cell r="C197" t="str">
            <v>Văn Môn, Yên Phong, Bắc Ninh</v>
          </cell>
          <cell r="D197" t="str">
            <v>CG</v>
          </cell>
          <cell r="E197" t="str">
            <v>2300490172</v>
          </cell>
          <cell r="F197" t="str">
            <v>0941258888</v>
          </cell>
          <cell r="G197" t="b">
            <v>0</v>
          </cell>
          <cell r="H197" t="b">
            <v>0</v>
          </cell>
          <cell r="J197" t="str">
            <v>941258888</v>
          </cell>
          <cell r="K197" t="str">
            <v>CG00194</v>
          </cell>
        </row>
        <row r="198">
          <cell r="A198" t="str">
            <v>CG00195</v>
          </cell>
          <cell r="B198" t="str">
            <v>Công ty TNHH Trọng Đạt (TSBN) Hoa 0983175689</v>
          </cell>
          <cell r="C198" t="str">
            <v>Đồng Nguyên, Từ Sơn, Bắc Ninh</v>
          </cell>
          <cell r="D198" t="str">
            <v>CG</v>
          </cell>
          <cell r="E198" t="str">
            <v>2300235510</v>
          </cell>
          <cell r="F198" t="str">
            <v>0983175689</v>
          </cell>
          <cell r="G198" t="b">
            <v>0</v>
          </cell>
          <cell r="H198" t="b">
            <v>0</v>
          </cell>
          <cell r="J198" t="str">
            <v>983175689</v>
          </cell>
          <cell r="K198" t="str">
            <v>CG00195</v>
          </cell>
        </row>
        <row r="199">
          <cell r="A199" t="str">
            <v>CG00196</v>
          </cell>
          <cell r="B199" t="str">
            <v>Trường (HHND) 0974426109</v>
          </cell>
          <cell r="C199" t="str">
            <v>Hải Hậu, Nam Định</v>
          </cell>
          <cell r="D199" t="str">
            <v>CG</v>
          </cell>
          <cell r="E199" t="e">
            <v>#N/A</v>
          </cell>
          <cell r="F199" t="str">
            <v>0974426109</v>
          </cell>
          <cell r="G199" t="e">
            <v>#N/A</v>
          </cell>
          <cell r="H199" t="e">
            <v>#N/A</v>
          </cell>
          <cell r="J199" t="str">
            <v>974426109</v>
          </cell>
          <cell r="K199" t="str">
            <v>CG00196</v>
          </cell>
        </row>
        <row r="200">
          <cell r="A200" t="str">
            <v>CG00197</v>
          </cell>
          <cell r="B200" t="str">
            <v>Hải (NLNA) 0972441677</v>
          </cell>
          <cell r="C200" t="str">
            <v>Nghi Lộc, Nghệ An</v>
          </cell>
          <cell r="D200" t="str">
            <v>CG</v>
          </cell>
          <cell r="E200">
            <v>0</v>
          </cell>
          <cell r="F200" t="str">
            <v>0972441677</v>
          </cell>
          <cell r="G200" t="b">
            <v>0</v>
          </cell>
          <cell r="H200" t="b">
            <v>0</v>
          </cell>
          <cell r="J200" t="str">
            <v>972441677</v>
          </cell>
          <cell r="K200" t="str">
            <v>CG00197</v>
          </cell>
        </row>
        <row r="201">
          <cell r="A201" t="str">
            <v>CG00198</v>
          </cell>
          <cell r="B201" t="str">
            <v>Vũ Đăng Phong (DNHDHN) 1087005206 0977141199 0968721797</v>
          </cell>
          <cell r="C201" t="str">
            <v>Dương Nội, Hà Đông, Hà Nội</v>
          </cell>
          <cell r="D201" t="str">
            <v>CG</v>
          </cell>
          <cell r="E201">
            <v>0</v>
          </cell>
          <cell r="F201" t="str">
            <v>0977141199</v>
          </cell>
          <cell r="G201" t="b">
            <v>0</v>
          </cell>
          <cell r="H201" t="b">
            <v>0</v>
          </cell>
          <cell r="J201" t="str">
            <v>968721797</v>
          </cell>
          <cell r="K201" t="str">
            <v>CG00198</v>
          </cell>
        </row>
        <row r="202">
          <cell r="A202" t="str">
            <v>CG00199</v>
          </cell>
          <cell r="B202" t="str">
            <v>Nguyễn Duy Tình (ABQPTB) Kết 034083003966 0976262644</v>
          </cell>
          <cell r="C202" t="str">
            <v>An Bái, Quỳnh Phụ, Thái Bình</v>
          </cell>
          <cell r="D202" t="str">
            <v>CG</v>
          </cell>
          <cell r="E202">
            <v>0</v>
          </cell>
          <cell r="F202" t="str">
            <v>0976262644</v>
          </cell>
          <cell r="G202" t="b">
            <v>0</v>
          </cell>
          <cell r="H202" t="b">
            <v>0</v>
          </cell>
          <cell r="J202" t="str">
            <v>976262644</v>
          </cell>
          <cell r="K202" t="str">
            <v>CG00199</v>
          </cell>
        </row>
        <row r="203">
          <cell r="A203" t="str">
            <v>CG00200</v>
          </cell>
          <cell r="B203" t="str">
            <v>Quỳnh (TTBN) 0945545394</v>
          </cell>
          <cell r="C203" t="str">
            <v>Thuận Thành, Bắc Ninh</v>
          </cell>
          <cell r="D203" t="str">
            <v>CG</v>
          </cell>
          <cell r="E203">
            <v>0</v>
          </cell>
          <cell r="F203" t="str">
            <v>0945545394</v>
          </cell>
          <cell r="G203" t="e">
            <v>#N/A</v>
          </cell>
          <cell r="H203" t="e">
            <v>#N/A</v>
          </cell>
          <cell r="J203" t="str">
            <v>945545394</v>
          </cell>
          <cell r="K203" t="str">
            <v>CG00200</v>
          </cell>
        </row>
        <row r="204">
          <cell r="A204" t="str">
            <v>CG00201</v>
          </cell>
          <cell r="B204" t="str">
            <v>Công (MHHY) 0904958735</v>
          </cell>
          <cell r="C204" t="str">
            <v>Mỹ Hào, Hưng Yên</v>
          </cell>
          <cell r="D204" t="str">
            <v>CG</v>
          </cell>
          <cell r="E204">
            <v>0</v>
          </cell>
          <cell r="F204" t="str">
            <v>0904958735</v>
          </cell>
          <cell r="G204" t="e">
            <v>#N/A</v>
          </cell>
          <cell r="H204" t="e">
            <v>#N/A</v>
          </cell>
          <cell r="J204" t="str">
            <v>904958735</v>
          </cell>
          <cell r="K204" t="str">
            <v>CG00201</v>
          </cell>
        </row>
        <row r="205">
          <cell r="A205" t="str">
            <v>CG00202</v>
          </cell>
          <cell r="B205" t="str">
            <v>Việt (MDHP) 0917078388</v>
          </cell>
          <cell r="C205" t="str">
            <v>Mỹ Đoàn, Hải Phòng</v>
          </cell>
          <cell r="D205" t="str">
            <v>CG</v>
          </cell>
          <cell r="E205">
            <v>0</v>
          </cell>
          <cell r="F205" t="str">
            <v>0917078388</v>
          </cell>
          <cell r="G205" t="b">
            <v>0</v>
          </cell>
          <cell r="H205" t="b">
            <v>0</v>
          </cell>
          <cell r="J205" t="str">
            <v>917078388</v>
          </cell>
          <cell r="K205" t="str">
            <v>CG00202</v>
          </cell>
        </row>
        <row r="206">
          <cell r="A206" t="str">
            <v>CG00203</v>
          </cell>
          <cell r="B206" t="str">
            <v>Vân (CMHN) 0969223999</v>
          </cell>
          <cell r="C206" t="str">
            <v>Chương Mỹ, Hà Nội</v>
          </cell>
          <cell r="D206" t="str">
            <v>CG</v>
          </cell>
          <cell r="E206">
            <v>0</v>
          </cell>
          <cell r="F206" t="str">
            <v>0969223999</v>
          </cell>
          <cell r="G206" t="e">
            <v>#N/A</v>
          </cell>
          <cell r="H206" t="e">
            <v>#N/A</v>
          </cell>
          <cell r="J206" t="str">
            <v>969223999</v>
          </cell>
          <cell r="K206" t="str">
            <v>CG00203</v>
          </cell>
        </row>
        <row r="207">
          <cell r="A207" t="str">
            <v>CG00204</v>
          </cell>
          <cell r="B207" t="str">
            <v>Toàn Tùng (MDHP) 0979666595</v>
          </cell>
          <cell r="C207" t="str">
            <v>Mỹ Đoàn, Hải Phòng</v>
          </cell>
          <cell r="D207" t="str">
            <v>CG</v>
          </cell>
          <cell r="E207">
            <v>0</v>
          </cell>
          <cell r="F207" t="str">
            <v>0979666595</v>
          </cell>
          <cell r="G207" t="b">
            <v>0</v>
          </cell>
          <cell r="H207" t="b">
            <v>0</v>
          </cell>
          <cell r="J207" t="str">
            <v>979666595</v>
          </cell>
          <cell r="K207" t="str">
            <v>CG00204</v>
          </cell>
        </row>
        <row r="208">
          <cell r="A208" t="str">
            <v>CG00205</v>
          </cell>
          <cell r="B208" t="str">
            <v>Đỗ Thị Quý (TBTPHD) 142362484 0902249044</v>
          </cell>
          <cell r="C208" t="str">
            <v>Thanh Bình, TP. Hải Dương</v>
          </cell>
          <cell r="D208" t="str">
            <v>CG</v>
          </cell>
          <cell r="E208">
            <v>0</v>
          </cell>
          <cell r="F208" t="str">
            <v>0902249044</v>
          </cell>
          <cell r="G208" t="b">
            <v>0</v>
          </cell>
          <cell r="H208" t="b">
            <v>0</v>
          </cell>
          <cell r="J208" t="str">
            <v>902249044</v>
          </cell>
          <cell r="K208" t="str">
            <v>CG00205</v>
          </cell>
        </row>
        <row r="209">
          <cell r="A209" t="str">
            <v>CG00206</v>
          </cell>
          <cell r="B209" t="str">
            <v>Trần Đức Chiều (TSTLHY) 112497475 0982710284</v>
          </cell>
          <cell r="C209" t="str">
            <v>Thủ Sỹ, Tiên Lữ, Hưng Yên</v>
          </cell>
          <cell r="D209" t="str">
            <v>CG</v>
          </cell>
          <cell r="E209">
            <v>0</v>
          </cell>
          <cell r="F209" t="str">
            <v>0982710284</v>
          </cell>
          <cell r="G209" t="b">
            <v>0</v>
          </cell>
          <cell r="H209" t="b">
            <v>0</v>
          </cell>
          <cell r="J209" t="str">
            <v>982710284</v>
          </cell>
          <cell r="K209" t="str">
            <v>CG00206</v>
          </cell>
        </row>
        <row r="210">
          <cell r="A210" t="str">
            <v>CG00207</v>
          </cell>
          <cell r="B210" t="str">
            <v>Đồng (HHND) 0916971986</v>
          </cell>
          <cell r="C210" t="str">
            <v>Hải Hậu, Nam Định</v>
          </cell>
          <cell r="D210" t="str">
            <v>CG</v>
          </cell>
          <cell r="E210">
            <v>0</v>
          </cell>
          <cell r="F210" t="str">
            <v>0916971986</v>
          </cell>
          <cell r="G210" t="e">
            <v>#N/A</v>
          </cell>
          <cell r="H210" t="e">
            <v>#N/A</v>
          </cell>
          <cell r="J210" t="str">
            <v>916971986</v>
          </cell>
          <cell r="K210" t="str">
            <v>CG00207</v>
          </cell>
        </row>
        <row r="211">
          <cell r="A211" t="str">
            <v>CG00208</v>
          </cell>
          <cell r="B211" t="str">
            <v>Hải Thương (HDHN) 0977737783</v>
          </cell>
          <cell r="C211" t="str">
            <v>Hà Đông, Hà Nội</v>
          </cell>
          <cell r="D211" t="str">
            <v>CG</v>
          </cell>
          <cell r="E211" t="str">
            <v/>
          </cell>
          <cell r="F211" t="str">
            <v>0977737783</v>
          </cell>
          <cell r="G211" t="b">
            <v>0</v>
          </cell>
          <cell r="H211" t="b">
            <v>0</v>
          </cell>
          <cell r="J211" t="str">
            <v>977737783</v>
          </cell>
          <cell r="K211" t="str">
            <v>CG00208</v>
          </cell>
        </row>
        <row r="212">
          <cell r="A212" t="str">
            <v>CG00209</v>
          </cell>
          <cell r="B212" t="str">
            <v>Đỗ Văn Chiến (TDTNND) 162362699 0912194620</v>
          </cell>
          <cell r="C212" t="str">
            <v>Trung Đông, Trực Ninh, Nam Định</v>
          </cell>
          <cell r="D212" t="str">
            <v>CG</v>
          </cell>
          <cell r="E212">
            <v>0</v>
          </cell>
          <cell r="F212" t="str">
            <v>0912194620</v>
          </cell>
          <cell r="G212" t="b">
            <v>0</v>
          </cell>
          <cell r="H212" t="b">
            <v>0</v>
          </cell>
          <cell r="J212" t="str">
            <v>912194620</v>
          </cell>
          <cell r="K212" t="str">
            <v>CG00209</v>
          </cell>
        </row>
        <row r="213">
          <cell r="A213" t="str">
            <v>CG00210</v>
          </cell>
          <cell r="B213" t="str">
            <v>Am (TGTH) 0929727789</v>
          </cell>
          <cell r="C213" t="str">
            <v>Tĩnh Gia, Thanh Hóa</v>
          </cell>
          <cell r="D213" t="str">
            <v>CG</v>
          </cell>
          <cell r="E213">
            <v>0</v>
          </cell>
          <cell r="F213" t="str">
            <v>0929727789</v>
          </cell>
          <cell r="G213" t="e">
            <v>#N/A</v>
          </cell>
          <cell r="H213" t="e">
            <v>#N/A</v>
          </cell>
          <cell r="J213" t="str">
            <v>929727789</v>
          </cell>
          <cell r="K213" t="str">
            <v>CG00210</v>
          </cell>
        </row>
        <row r="214">
          <cell r="A214" t="str">
            <v>CG00211</v>
          </cell>
          <cell r="B214" t="str">
            <v>Hoạt (CGHD) 0902017112</v>
          </cell>
          <cell r="C214" t="str">
            <v>Cẩm Giàng, Hải Dương</v>
          </cell>
          <cell r="D214" t="str">
            <v>CG</v>
          </cell>
          <cell r="E214">
            <v>0</v>
          </cell>
          <cell r="F214" t="str">
            <v>0902017112</v>
          </cell>
          <cell r="G214" t="b">
            <v>0</v>
          </cell>
          <cell r="H214" t="b">
            <v>0</v>
          </cell>
          <cell r="J214" t="str">
            <v>902017112</v>
          </cell>
          <cell r="K214" t="str">
            <v>CG00211</v>
          </cell>
        </row>
        <row r="215">
          <cell r="A215" t="str">
            <v>CG00212</v>
          </cell>
          <cell r="B215" t="str">
            <v>Công ty CP xây dựng và thương mại Đạt Huy (HDHN) Quang 0947186892</v>
          </cell>
          <cell r="C215" t="str">
            <v>Dương Nội, Hà Đông, Hà Nội</v>
          </cell>
          <cell r="D215" t="str">
            <v>CG</v>
          </cell>
          <cell r="E215" t="str">
            <v>0108803161</v>
          </cell>
          <cell r="F215" t="str">
            <v>0947186892</v>
          </cell>
          <cell r="G215" t="b">
            <v>0</v>
          </cell>
          <cell r="H215" t="b">
            <v>0</v>
          </cell>
          <cell r="J215" t="str">
            <v>947186892</v>
          </cell>
          <cell r="K215" t="str">
            <v>CG00212</v>
          </cell>
        </row>
        <row r="216">
          <cell r="A216" t="str">
            <v>CG00213</v>
          </cell>
          <cell r="B216" t="str">
            <v>Thao DHS (HDHN) 0979430075</v>
          </cell>
          <cell r="C216" t="str">
            <v>Hà Đông, Hà Nội</v>
          </cell>
          <cell r="D216" t="str">
            <v>CG</v>
          </cell>
          <cell r="E216">
            <v>0</v>
          </cell>
          <cell r="F216" t="str">
            <v>0979430075</v>
          </cell>
          <cell r="G216" t="b">
            <v>0</v>
          </cell>
          <cell r="H216" t="b">
            <v>0</v>
          </cell>
          <cell r="J216" t="str">
            <v>979430075</v>
          </cell>
          <cell r="K216" t="str">
            <v>CG00213</v>
          </cell>
        </row>
        <row r="217">
          <cell r="A217" t="str">
            <v>CG00214</v>
          </cell>
          <cell r="B217" t="str">
            <v>Nguyễn Đình Cường (BTVTTB) 151980854 0979667502</v>
          </cell>
          <cell r="C217" t="str">
            <v>Bánh Thuận, Vũ Thư, Thái Bình</v>
          </cell>
          <cell r="D217" t="str">
            <v>CG</v>
          </cell>
          <cell r="E217">
            <v>0</v>
          </cell>
          <cell r="F217" t="str">
            <v>0979667502</v>
          </cell>
          <cell r="G217" t="b">
            <v>0</v>
          </cell>
          <cell r="H217" t="b">
            <v>0</v>
          </cell>
          <cell r="J217" t="str">
            <v>979667502</v>
          </cell>
          <cell r="K217" t="str">
            <v>CG00214</v>
          </cell>
        </row>
        <row r="218">
          <cell r="A218" t="str">
            <v>CG00215</v>
          </cell>
          <cell r="B218" t="str">
            <v>Oanh (TPND) 0913067454</v>
          </cell>
          <cell r="C218" t="str">
            <v>TP. Nam Định, Nam Định</v>
          </cell>
          <cell r="D218" t="str">
            <v>CG</v>
          </cell>
          <cell r="E218" t="e">
            <v>#N/A</v>
          </cell>
          <cell r="F218" t="str">
            <v>0913067454</v>
          </cell>
          <cell r="G218" t="e">
            <v>#N/A</v>
          </cell>
          <cell r="H218" t="e">
            <v>#N/A</v>
          </cell>
          <cell r="J218" t="str">
            <v>913067454</v>
          </cell>
          <cell r="K218" t="str">
            <v>CG00215</v>
          </cell>
        </row>
        <row r="219">
          <cell r="A219" t="str">
            <v>CG00216</v>
          </cell>
          <cell r="B219" t="str">
            <v>Nguyễn Đăng Tuệ (NSHD) 142538769 0788286807 0932235415</v>
          </cell>
          <cell r="C219" t="str">
            <v>Nam Sách, Hải Dương</v>
          </cell>
          <cell r="D219" t="str">
            <v>CG</v>
          </cell>
          <cell r="E219">
            <v>0</v>
          </cell>
          <cell r="F219" t="str">
            <v>0788286807</v>
          </cell>
          <cell r="G219" t="b">
            <v>0</v>
          </cell>
          <cell r="H219" t="b">
            <v>0</v>
          </cell>
          <cell r="J219" t="str">
            <v>932235415</v>
          </cell>
          <cell r="K219" t="str">
            <v>CG00216</v>
          </cell>
        </row>
        <row r="220">
          <cell r="A220" t="str">
            <v>CG00217</v>
          </cell>
          <cell r="B220" t="str">
            <v>Ngừng (NGHD) 0976622197</v>
          </cell>
          <cell r="C220" t="str">
            <v>Ninh Giang, Hải Dương</v>
          </cell>
          <cell r="D220" t="str">
            <v>CG</v>
          </cell>
          <cell r="E220">
            <v>0</v>
          </cell>
          <cell r="F220" t="str">
            <v>0976622197</v>
          </cell>
          <cell r="G220" t="e">
            <v>#N/A</v>
          </cell>
          <cell r="H220" t="e">
            <v>#N/A</v>
          </cell>
          <cell r="J220" t="str">
            <v>976622197</v>
          </cell>
          <cell r="K220" t="str">
            <v>CG00217</v>
          </cell>
        </row>
        <row r="221">
          <cell r="A221" t="str">
            <v>CG00218</v>
          </cell>
          <cell r="B221" t="str">
            <v>Thủy (QYQN) 0912095474</v>
          </cell>
          <cell r="C221" t="str">
            <v>Quảng Yên, Quảng Ninh</v>
          </cell>
          <cell r="D221" t="str">
            <v>CG</v>
          </cell>
          <cell r="E221">
            <v>0</v>
          </cell>
          <cell r="F221" t="str">
            <v>0912095474</v>
          </cell>
          <cell r="G221" t="b">
            <v>0</v>
          </cell>
          <cell r="H221" t="b">
            <v>0</v>
          </cell>
          <cell r="J221" t="str">
            <v>912095474</v>
          </cell>
          <cell r="K221" t="str">
            <v>CG00218</v>
          </cell>
        </row>
        <row r="222">
          <cell r="A222" t="str">
            <v>CG00219</v>
          </cell>
          <cell r="B222" t="str">
            <v>Sức (VLHY) 0913550185</v>
          </cell>
          <cell r="C222" t="str">
            <v>Văn Lâm, Hưng Yên</v>
          </cell>
          <cell r="D222" t="str">
            <v>CG</v>
          </cell>
          <cell r="E222">
            <v>0</v>
          </cell>
          <cell r="F222" t="str">
            <v>0913550185</v>
          </cell>
          <cell r="G222" t="e">
            <v>#N/A</v>
          </cell>
          <cell r="H222" t="e">
            <v>#N/A</v>
          </cell>
          <cell r="J222" t="str">
            <v>913550185</v>
          </cell>
          <cell r="K222" t="str">
            <v>CG00219</v>
          </cell>
        </row>
        <row r="223">
          <cell r="A223" t="str">
            <v>CG00220</v>
          </cell>
          <cell r="B223" t="str">
            <v>Ngọc (LGBG) 0973747777</v>
          </cell>
          <cell r="C223" t="str">
            <v>Lạng Giang, Bắc Giang</v>
          </cell>
          <cell r="D223" t="str">
            <v>CG</v>
          </cell>
          <cell r="E223">
            <v>0</v>
          </cell>
          <cell r="F223" t="str">
            <v>0973747777</v>
          </cell>
          <cell r="G223" t="b">
            <v>0</v>
          </cell>
          <cell r="H223" t="b">
            <v>0</v>
          </cell>
          <cell r="J223" t="str">
            <v>973747777</v>
          </cell>
          <cell r="K223" t="str">
            <v>CG00220</v>
          </cell>
        </row>
        <row r="224">
          <cell r="A224" t="str">
            <v>CG00221</v>
          </cell>
          <cell r="B224" t="str">
            <v>Ngô Thị Thúy (HVHHND) Quyết 036183009632 0353634555 0941734855</v>
          </cell>
          <cell r="C224" t="str">
            <v>Hải Vân, Hải Hậu, Nam Định</v>
          </cell>
          <cell r="D224" t="str">
            <v>CG</v>
          </cell>
          <cell r="E224">
            <v>0</v>
          </cell>
          <cell r="F224" t="str">
            <v>0353634555</v>
          </cell>
          <cell r="G224" t="b">
            <v>0</v>
          </cell>
          <cell r="H224" t="b">
            <v>0</v>
          </cell>
          <cell r="J224" t="str">
            <v>941734855</v>
          </cell>
          <cell r="K224" t="str">
            <v>CG00221</v>
          </cell>
        </row>
        <row r="225">
          <cell r="A225" t="str">
            <v>CG00222</v>
          </cell>
          <cell r="B225" t="str">
            <v>Trịnh Bá Tuyên (DNHDHN) Luyện 111375612 0912472672</v>
          </cell>
          <cell r="C225" t="str">
            <v>Dương Nội, Hà Đông, Hà Nội</v>
          </cell>
          <cell r="D225" t="str">
            <v>CG</v>
          </cell>
          <cell r="E225">
            <v>0</v>
          </cell>
          <cell r="F225" t="str">
            <v>0912472672</v>
          </cell>
          <cell r="G225" t="b">
            <v>0</v>
          </cell>
          <cell r="H225" t="b">
            <v>0</v>
          </cell>
          <cell r="J225" t="str">
            <v>912472672</v>
          </cell>
          <cell r="K225" t="str">
            <v>CG00222</v>
          </cell>
        </row>
        <row r="226">
          <cell r="A226" t="str">
            <v>CG00223</v>
          </cell>
          <cell r="B226" t="str">
            <v>Hoàng Văn Thăng (HKHLQN) 030070002291 0913350422</v>
          </cell>
          <cell r="C226" t="str">
            <v>Hà Khẩu. Hạ Long, Quảng Ninh</v>
          </cell>
          <cell r="D226" t="str">
            <v>CG</v>
          </cell>
          <cell r="E226">
            <v>0</v>
          </cell>
          <cell r="F226" t="str">
            <v>0913350422</v>
          </cell>
          <cell r="G226" t="b">
            <v>0</v>
          </cell>
          <cell r="H226" t="b">
            <v>0</v>
          </cell>
          <cell r="J226" t="str">
            <v>913350422</v>
          </cell>
          <cell r="K226" t="str">
            <v>CG00223</v>
          </cell>
        </row>
        <row r="227">
          <cell r="A227" t="str">
            <v>CG00224</v>
          </cell>
          <cell r="B227" t="str">
            <v>Hiền (QTHP) 0345740679</v>
          </cell>
          <cell r="C227" t="str">
            <v>Quán Toan, Hải Phòng</v>
          </cell>
          <cell r="D227" t="str">
            <v>CG</v>
          </cell>
          <cell r="E227">
            <v>0</v>
          </cell>
          <cell r="F227" t="str">
            <v>0345740679</v>
          </cell>
          <cell r="G227" t="e">
            <v>#N/A</v>
          </cell>
          <cell r="H227" t="e">
            <v>#N/A</v>
          </cell>
          <cell r="J227" t="str">
            <v>345740679</v>
          </cell>
          <cell r="K227" t="str">
            <v>CG00224</v>
          </cell>
        </row>
        <row r="228">
          <cell r="A228" t="str">
            <v>CG00225</v>
          </cell>
          <cell r="B228" t="str">
            <v>Kim (YMHY) 0912705286</v>
          </cell>
          <cell r="C228" t="str">
            <v>Yên Mỹ, Hưng Yên</v>
          </cell>
          <cell r="D228" t="str">
            <v>CG</v>
          </cell>
          <cell r="E228">
            <v>0</v>
          </cell>
          <cell r="F228" t="str">
            <v>0912705286</v>
          </cell>
          <cell r="G228" t="e">
            <v>#N/A</v>
          </cell>
          <cell r="H228" t="e">
            <v>#N/A</v>
          </cell>
          <cell r="J228" t="str">
            <v>912705286</v>
          </cell>
          <cell r="K228" t="str">
            <v>CG00225</v>
          </cell>
        </row>
        <row r="229">
          <cell r="A229" t="str">
            <v>CG00226</v>
          </cell>
          <cell r="B229" t="str">
            <v>Trương Văn Ảnh (DDTTBN) 125007901 0977688007</v>
          </cell>
          <cell r="C229" t="str">
            <v>Đại Đồng, Thuận Thành, Bắc Ninh</v>
          </cell>
          <cell r="D229" t="str">
            <v>CG</v>
          </cell>
          <cell r="E229">
            <v>0</v>
          </cell>
          <cell r="F229" t="str">
            <v>0977688007</v>
          </cell>
          <cell r="G229" t="b">
            <v>0</v>
          </cell>
          <cell r="H229" t="b">
            <v>0</v>
          </cell>
          <cell r="J229" t="str">
            <v>977688007</v>
          </cell>
          <cell r="K229" t="str">
            <v>CG00226</v>
          </cell>
        </row>
        <row r="230">
          <cell r="A230" t="str">
            <v>CG00227</v>
          </cell>
          <cell r="B230" t="str">
            <v>Anh Duy (LNHNA) 0972757972</v>
          </cell>
          <cell r="C230" t="str">
            <v>Lý Nhân, Hà Nam</v>
          </cell>
          <cell r="D230" t="str">
            <v>CG</v>
          </cell>
          <cell r="E230" t="e">
            <v>#N/A</v>
          </cell>
          <cell r="F230" t="str">
            <v>0972757972</v>
          </cell>
          <cell r="G230" t="e">
            <v>#N/A</v>
          </cell>
          <cell r="H230" t="e">
            <v>#N/A</v>
          </cell>
          <cell r="J230" t="str">
            <v>972757972</v>
          </cell>
          <cell r="K230" t="str">
            <v>CG00227</v>
          </cell>
        </row>
        <row r="231">
          <cell r="A231" t="str">
            <v>CG00228</v>
          </cell>
          <cell r="B231" t="str">
            <v>Nguyễn Danh Ngà (CDKTHD) 142088127 0989149541</v>
          </cell>
          <cell r="C231" t="str">
            <v>Cổ Dũng, Kim Thành, Hải Dương</v>
          </cell>
          <cell r="D231" t="str">
            <v>CG</v>
          </cell>
          <cell r="E231">
            <v>0</v>
          </cell>
          <cell r="F231" t="str">
            <v>0989149541</v>
          </cell>
          <cell r="G231" t="b">
            <v>0</v>
          </cell>
          <cell r="H231" t="b">
            <v>0</v>
          </cell>
          <cell r="J231" t="str">
            <v>989149541</v>
          </cell>
          <cell r="K231" t="str">
            <v>CG00228</v>
          </cell>
        </row>
        <row r="232">
          <cell r="A232" t="str">
            <v>CG00229</v>
          </cell>
          <cell r="B232" t="str">
            <v>Ngô Văn Nam (LCHP) 027068000174 0912364799 0983615759 0912304799</v>
          </cell>
          <cell r="C232" t="str">
            <v>Dư Hàng Kênh, Lê Chân, Hải Phòng</v>
          </cell>
          <cell r="D232" t="str">
            <v>CG</v>
          </cell>
          <cell r="E232">
            <v>0</v>
          </cell>
          <cell r="F232" t="str">
            <v>0983615759</v>
          </cell>
          <cell r="G232" t="b">
            <v>0</v>
          </cell>
          <cell r="H232" t="b">
            <v>0</v>
          </cell>
          <cell r="J232" t="str">
            <v>912304799</v>
          </cell>
          <cell r="K232" t="str">
            <v>CG00229</v>
          </cell>
        </row>
        <row r="233">
          <cell r="A233" t="str">
            <v>CG00230</v>
          </cell>
          <cell r="B233" t="str">
            <v>Bình (TOHN) 0975706993</v>
          </cell>
          <cell r="C233" t="str">
            <v>Thanh Oai, Hà Nội</v>
          </cell>
          <cell r="D233" t="str">
            <v>CG</v>
          </cell>
          <cell r="E233" t="e">
            <v>#N/A</v>
          </cell>
          <cell r="F233" t="str">
            <v>0975706993</v>
          </cell>
          <cell r="G233" t="e">
            <v>#N/A</v>
          </cell>
          <cell r="H233" t="e">
            <v>#N/A</v>
          </cell>
          <cell r="J233" t="str">
            <v>975706993</v>
          </cell>
          <cell r="K233" t="str">
            <v>CG00230</v>
          </cell>
        </row>
        <row r="234">
          <cell r="A234" t="str">
            <v>CG00231</v>
          </cell>
          <cell r="B234" t="str">
            <v>Sáng (LTVP) 0979439390</v>
          </cell>
          <cell r="C234" t="str">
            <v>Lập Thạch, Vĩnh Phúc</v>
          </cell>
          <cell r="D234" t="str">
            <v>CG</v>
          </cell>
          <cell r="E234" t="e">
            <v>#N/A</v>
          </cell>
          <cell r="F234" t="str">
            <v>0979439390</v>
          </cell>
          <cell r="G234" t="e">
            <v>#N/A</v>
          </cell>
          <cell r="H234" t="e">
            <v>#N/A</v>
          </cell>
          <cell r="J234" t="str">
            <v>979439390</v>
          </cell>
          <cell r="K234" t="str">
            <v>CG00231</v>
          </cell>
        </row>
        <row r="235">
          <cell r="A235" t="str">
            <v>CG00232</v>
          </cell>
          <cell r="B235" t="str">
            <v>Thủy (QYQN) 0963344074</v>
          </cell>
          <cell r="C235" t="str">
            <v>Quảng Yên, Quảng Ninh</v>
          </cell>
          <cell r="D235" t="str">
            <v>CG</v>
          </cell>
          <cell r="E235">
            <v>0</v>
          </cell>
          <cell r="F235" t="str">
            <v>0963344074</v>
          </cell>
          <cell r="G235" t="b">
            <v>0</v>
          </cell>
          <cell r="H235" t="b">
            <v>0</v>
          </cell>
          <cell r="J235" t="str">
            <v>963344074</v>
          </cell>
          <cell r="K235" t="str">
            <v>CG00232</v>
          </cell>
        </row>
        <row r="236">
          <cell r="A236" t="str">
            <v>CG00233</v>
          </cell>
          <cell r="B236" t="str">
            <v>Ngô Thị Thúy (HVHHND) Quyết 036183009632 0353634555 0941734855</v>
          </cell>
          <cell r="C236" t="str">
            <v>Hải Vân, Hải Hậu, Nam Định</v>
          </cell>
          <cell r="D236" t="str">
            <v>CG</v>
          </cell>
          <cell r="E236">
            <v>0</v>
          </cell>
          <cell r="F236" t="str">
            <v>0353634555</v>
          </cell>
          <cell r="G236" t="b">
            <v>0</v>
          </cell>
          <cell r="H236" t="b">
            <v>0</v>
          </cell>
          <cell r="J236" t="str">
            <v>941734855</v>
          </cell>
          <cell r="K236" t="str">
            <v>CG00233</v>
          </cell>
        </row>
        <row r="237">
          <cell r="A237" t="str">
            <v>CG00234</v>
          </cell>
          <cell r="B237" t="str">
            <v>Mạnh (STHN) 0929704567</v>
          </cell>
          <cell r="C237" t="str">
            <v>Sơn Tây, Hà Nội</v>
          </cell>
          <cell r="D237" t="str">
            <v>CG</v>
          </cell>
          <cell r="E237" t="e">
            <v>#N/A</v>
          </cell>
          <cell r="F237" t="str">
            <v>0929704567</v>
          </cell>
          <cell r="G237" t="e">
            <v>#N/A</v>
          </cell>
          <cell r="H237" t="e">
            <v>#N/A</v>
          </cell>
          <cell r="J237" t="str">
            <v>929704567</v>
          </cell>
          <cell r="K237" t="str">
            <v>CG00234</v>
          </cell>
        </row>
        <row r="238">
          <cell r="A238" t="str">
            <v>CG00235</v>
          </cell>
          <cell r="B238" t="str">
            <v>Đức (HDHN) 0915432476</v>
          </cell>
          <cell r="C238" t="str">
            <v>Hà Đông, Hà Nội</v>
          </cell>
          <cell r="D238" t="str">
            <v>CG</v>
          </cell>
          <cell r="E238">
            <v>0</v>
          </cell>
          <cell r="F238" t="str">
            <v>0915432476</v>
          </cell>
          <cell r="G238" t="b">
            <v>0</v>
          </cell>
          <cell r="H238" t="b">
            <v>0</v>
          </cell>
          <cell r="J238" t="str">
            <v>915432476</v>
          </cell>
          <cell r="K238" t="str">
            <v>CG00235</v>
          </cell>
        </row>
        <row r="239">
          <cell r="A239" t="str">
            <v>CG00236</v>
          </cell>
          <cell r="B239" t="str">
            <v>Phạm Thị Trang (KTHP) 031174005141 0904435298</v>
          </cell>
          <cell r="C239" t="str">
            <v>Tú Sơn, Kiến Thụy, Hải Phòng</v>
          </cell>
          <cell r="D239" t="str">
            <v>CG</v>
          </cell>
          <cell r="E239">
            <v>0</v>
          </cell>
          <cell r="F239" t="str">
            <v>0904435298</v>
          </cell>
          <cell r="G239" t="b">
            <v>0</v>
          </cell>
          <cell r="H239" t="b">
            <v>0</v>
          </cell>
          <cell r="J239" t="str">
            <v>904435298</v>
          </cell>
          <cell r="K239" t="str">
            <v>CG00236</v>
          </cell>
        </row>
        <row r="240">
          <cell r="A240" t="str">
            <v>CG00237</v>
          </cell>
          <cell r="B240" t="str">
            <v>Hùng (HLTH) 0973506686</v>
          </cell>
          <cell r="C240" t="str">
            <v>Hậu Lộc, Thanh Hóa</v>
          </cell>
          <cell r="D240" t="str">
            <v>CG</v>
          </cell>
          <cell r="E240">
            <v>0</v>
          </cell>
          <cell r="F240" t="str">
            <v>0973506686</v>
          </cell>
          <cell r="G240" t="b">
            <v>0</v>
          </cell>
          <cell r="H240" t="b">
            <v>0</v>
          </cell>
          <cell r="J240" t="str">
            <v>973506686</v>
          </cell>
          <cell r="K240" t="str">
            <v>CG00237</v>
          </cell>
        </row>
        <row r="241">
          <cell r="A241" t="str">
            <v>CG00238</v>
          </cell>
          <cell r="B241" t="str">
            <v>Mai Văn Triệu (HHHHND) 036072001880 0912137126</v>
          </cell>
          <cell r="C241" t="str">
            <v>Hải Hòa, Hải Hậu, Nam Định</v>
          </cell>
          <cell r="D241" t="str">
            <v>CG</v>
          </cell>
          <cell r="E241">
            <v>0</v>
          </cell>
          <cell r="F241" t="str">
            <v>0912137126</v>
          </cell>
          <cell r="G241" t="b">
            <v>0</v>
          </cell>
          <cell r="H241" t="b">
            <v>0</v>
          </cell>
          <cell r="J241" t="str">
            <v>912137126</v>
          </cell>
          <cell r="K241" t="str">
            <v>CG00238</v>
          </cell>
        </row>
        <row r="242">
          <cell r="A242" t="str">
            <v>CG00239</v>
          </cell>
          <cell r="B242" t="str">
            <v>Quyết (YYND) 0397111884</v>
          </cell>
          <cell r="C242" t="str">
            <v>Ý Yên, Nam Định</v>
          </cell>
          <cell r="D242" t="str">
            <v>CG</v>
          </cell>
          <cell r="E242">
            <v>0</v>
          </cell>
          <cell r="F242" t="str">
            <v>0397111884</v>
          </cell>
          <cell r="G242" t="e">
            <v>#N/A</v>
          </cell>
          <cell r="H242" t="e">
            <v>#N/A</v>
          </cell>
          <cell r="J242" t="str">
            <v>397111884</v>
          </cell>
          <cell r="K242" t="str">
            <v>CG00239</v>
          </cell>
        </row>
        <row r="243">
          <cell r="A243" t="str">
            <v>CG00240</v>
          </cell>
          <cell r="B243" t="str">
            <v>Quát (HDHN) 0359944218</v>
          </cell>
          <cell r="C243" t="str">
            <v>Hà Đông, Hà Nội</v>
          </cell>
          <cell r="D243" t="str">
            <v>CG</v>
          </cell>
          <cell r="E243">
            <v>0</v>
          </cell>
          <cell r="F243" t="str">
            <v>0359944218</v>
          </cell>
          <cell r="G243" t="e">
            <v>#N/A</v>
          </cell>
          <cell r="H243" t="e">
            <v>#N/A</v>
          </cell>
          <cell r="J243" t="str">
            <v>359944218</v>
          </cell>
          <cell r="K243" t="str">
            <v>CG00240</v>
          </cell>
        </row>
        <row r="244">
          <cell r="A244" t="str">
            <v>CG00241</v>
          </cell>
          <cell r="B244" t="str">
            <v>Lê Văn Tuấn (THHD) 141750438 0983762707</v>
          </cell>
          <cell r="C244" t="str">
            <v>Nhân Nghĩa, Nam Đồng, Hải Dương</v>
          </cell>
          <cell r="D244" t="str">
            <v>CG</v>
          </cell>
          <cell r="E244">
            <v>0</v>
          </cell>
          <cell r="F244" t="str">
            <v>0983762707</v>
          </cell>
          <cell r="G244" t="b">
            <v>0</v>
          </cell>
          <cell r="H244" t="b">
            <v>0</v>
          </cell>
          <cell r="J244" t="str">
            <v>983762707</v>
          </cell>
          <cell r="K244" t="str">
            <v>CG00241</v>
          </cell>
        </row>
        <row r="245">
          <cell r="A245" t="str">
            <v>CG00242</v>
          </cell>
          <cell r="B245" t="str">
            <v>Năm (VTVP) 0963726088</v>
          </cell>
          <cell r="C245" t="str">
            <v>Vĩnh Tường, Vĩnh Phúc</v>
          </cell>
          <cell r="D245" t="str">
            <v>CG</v>
          </cell>
          <cell r="E245">
            <v>0</v>
          </cell>
          <cell r="F245" t="str">
            <v>0963726088</v>
          </cell>
          <cell r="G245" t="e">
            <v>#N/A</v>
          </cell>
          <cell r="H245" t="e">
            <v>#N/A</v>
          </cell>
          <cell r="J245" t="str">
            <v>963726088</v>
          </cell>
          <cell r="K245" t="str">
            <v>CG00242</v>
          </cell>
        </row>
        <row r="246">
          <cell r="A246" t="str">
            <v>CG00243</v>
          </cell>
          <cell r="B246" t="str">
            <v>Thúy (TPTN) 0979877547</v>
          </cell>
          <cell r="C246" t="str">
            <v>TP. Thái Nguyên, Thái Nguyên</v>
          </cell>
          <cell r="D246" t="str">
            <v>CG</v>
          </cell>
          <cell r="E246">
            <v>0</v>
          </cell>
          <cell r="F246" t="str">
            <v>0979877547</v>
          </cell>
          <cell r="G246" t="b">
            <v>0</v>
          </cell>
          <cell r="H246" t="b">
            <v>0</v>
          </cell>
          <cell r="J246" t="str">
            <v>979877547</v>
          </cell>
          <cell r="K246" t="str">
            <v>CG00243</v>
          </cell>
        </row>
        <row r="247">
          <cell r="A247" t="str">
            <v>CG00244</v>
          </cell>
          <cell r="B247" t="str">
            <v>Tú (HDHN) 0988172838</v>
          </cell>
          <cell r="C247" t="str">
            <v>Hà Đông, Hà Nội</v>
          </cell>
          <cell r="D247" t="str">
            <v>CG</v>
          </cell>
          <cell r="E247">
            <v>0</v>
          </cell>
          <cell r="F247" t="str">
            <v>0988172838</v>
          </cell>
          <cell r="G247" t="e">
            <v>#N/A</v>
          </cell>
          <cell r="H247" t="e">
            <v>#N/A</v>
          </cell>
          <cell r="J247" t="str">
            <v>988172838</v>
          </cell>
          <cell r="K247" t="str">
            <v>CG00244</v>
          </cell>
        </row>
        <row r="248">
          <cell r="A248" t="str">
            <v>CG00245</v>
          </cell>
          <cell r="B248" t="str">
            <v>Lê Quang Thủy (HDHN) 0982327779</v>
          </cell>
          <cell r="C248" t="str">
            <v>Hà Đông, Hà Nội</v>
          </cell>
          <cell r="D248" t="str">
            <v>CG</v>
          </cell>
          <cell r="E248">
            <v>0</v>
          </cell>
          <cell r="F248" t="str">
            <v>0982327779</v>
          </cell>
          <cell r="G248" t="e">
            <v>#N/A</v>
          </cell>
          <cell r="H248" t="e">
            <v>#N/A</v>
          </cell>
          <cell r="J248" t="str">
            <v>982327779</v>
          </cell>
          <cell r="K248" t="str">
            <v>CG00245</v>
          </cell>
        </row>
        <row r="249">
          <cell r="A249" t="str">
            <v>CG00246</v>
          </cell>
          <cell r="B249" t="str">
            <v>Cường (TSBN) 0915220459</v>
          </cell>
          <cell r="C249" t="str">
            <v>Từ Sơn, Bắc Ninh</v>
          </cell>
          <cell r="D249" t="str">
            <v>CG</v>
          </cell>
          <cell r="E249">
            <v>0</v>
          </cell>
          <cell r="F249" t="str">
            <v>0915220459</v>
          </cell>
          <cell r="G249" t="e">
            <v>#N/A</v>
          </cell>
          <cell r="H249" t="e">
            <v>#N/A</v>
          </cell>
          <cell r="J249" t="str">
            <v>915220459</v>
          </cell>
          <cell r="K249" t="str">
            <v>CG00246</v>
          </cell>
        </row>
        <row r="250">
          <cell r="A250" t="str">
            <v>CG00247</v>
          </cell>
          <cell r="B250" t="str">
            <v>Lê Văn Nhật (HHND) 0912673779</v>
          </cell>
          <cell r="C250" t="str">
            <v>Hải Hậu, Nam Định</v>
          </cell>
          <cell r="D250" t="str">
            <v>CG</v>
          </cell>
          <cell r="E250">
            <v>0</v>
          </cell>
          <cell r="F250" t="str">
            <v>0912673779</v>
          </cell>
          <cell r="G250" t="e">
            <v>#N/A</v>
          </cell>
          <cell r="H250" t="e">
            <v>#N/A</v>
          </cell>
          <cell r="J250" t="str">
            <v>912673779</v>
          </cell>
          <cell r="K250" t="str">
            <v>CG00247</v>
          </cell>
        </row>
        <row r="251">
          <cell r="A251" t="str">
            <v>CG00248</v>
          </cell>
          <cell r="B251" t="str">
            <v>Thảo (TSBN) 0972779266</v>
          </cell>
          <cell r="C251" t="str">
            <v>Từ Sơn, Bắc Ninh</v>
          </cell>
          <cell r="D251" t="str">
            <v>CG</v>
          </cell>
          <cell r="E251">
            <v>0</v>
          </cell>
          <cell r="F251" t="str">
            <v>0972779266</v>
          </cell>
          <cell r="G251" t="e">
            <v>#N/A</v>
          </cell>
          <cell r="H251" t="e">
            <v>#N/A</v>
          </cell>
          <cell r="J251" t="str">
            <v>972779266</v>
          </cell>
          <cell r="K251" t="str">
            <v>CG00248</v>
          </cell>
        </row>
        <row r="252">
          <cell r="A252" t="str">
            <v>CG00249</v>
          </cell>
          <cell r="B252" t="str">
            <v>Trung (YYND) 0919349269</v>
          </cell>
          <cell r="C252" t="str">
            <v>Ý Yên, Nam Định</v>
          </cell>
          <cell r="D252" t="str">
            <v>CG</v>
          </cell>
          <cell r="E252">
            <v>0</v>
          </cell>
          <cell r="F252" t="str">
            <v>0919349269</v>
          </cell>
          <cell r="G252" t="e">
            <v>#N/A</v>
          </cell>
          <cell r="H252" t="e">
            <v>#N/A</v>
          </cell>
          <cell r="J252" t="str">
            <v>919349269</v>
          </cell>
          <cell r="K252" t="str">
            <v>CG00249</v>
          </cell>
        </row>
        <row r="253">
          <cell r="A253" t="str">
            <v>CG00250</v>
          </cell>
          <cell r="B253" t="str">
            <v>Trai (NTND) 0988492384</v>
          </cell>
          <cell r="C253" t="str">
            <v>Nam Trực, Nam Định</v>
          </cell>
          <cell r="D253" t="str">
            <v>CG</v>
          </cell>
          <cell r="E253">
            <v>0</v>
          </cell>
          <cell r="F253" t="str">
            <v>0988492384</v>
          </cell>
          <cell r="G253" t="e">
            <v>#N/A</v>
          </cell>
          <cell r="H253" t="e">
            <v>#N/A</v>
          </cell>
          <cell r="J253" t="str">
            <v>988492384</v>
          </cell>
          <cell r="K253" t="str">
            <v>CG00250</v>
          </cell>
        </row>
        <row r="254">
          <cell r="A254" t="str">
            <v>CG00251</v>
          </cell>
          <cell r="B254" t="str">
            <v>Hùng (TPNB) 0943677435</v>
          </cell>
          <cell r="C254" t="str">
            <v>TP. Ninh Bình</v>
          </cell>
          <cell r="D254" t="str">
            <v>CG</v>
          </cell>
          <cell r="E254">
            <v>0</v>
          </cell>
          <cell r="F254" t="str">
            <v>0943677435</v>
          </cell>
          <cell r="G254" t="e">
            <v>#N/A</v>
          </cell>
          <cell r="H254" t="e">
            <v>#N/A</v>
          </cell>
          <cell r="J254" t="str">
            <v>943677435</v>
          </cell>
          <cell r="K254" t="str">
            <v>CG00251</v>
          </cell>
        </row>
        <row r="255">
          <cell r="A255" t="str">
            <v>CG00252</v>
          </cell>
          <cell r="B255" t="str">
            <v>Anh Sinh (HDHN) 0913366123</v>
          </cell>
          <cell r="C255" t="str">
            <v>Hà Đông, Hà Nội</v>
          </cell>
          <cell r="D255" t="str">
            <v>CG</v>
          </cell>
          <cell r="E255">
            <v>0</v>
          </cell>
          <cell r="F255" t="str">
            <v>0913366123</v>
          </cell>
          <cell r="G255" t="e">
            <v>#N/A</v>
          </cell>
          <cell r="H255" t="e">
            <v>#N/A</v>
          </cell>
          <cell r="J255" t="str">
            <v>913366123</v>
          </cell>
          <cell r="K255" t="str">
            <v>CG00252</v>
          </cell>
        </row>
        <row r="256">
          <cell r="A256" t="str">
            <v>CG00253</v>
          </cell>
          <cell r="B256" t="str">
            <v>Những (TNXHP) 0912950670</v>
          </cell>
          <cell r="C256" t="str">
            <v>Thủy Nguyên Xa, Hải Phòng</v>
          </cell>
          <cell r="D256" t="str">
            <v>CG</v>
          </cell>
          <cell r="E256">
            <v>0</v>
          </cell>
          <cell r="F256" t="str">
            <v>0912950670</v>
          </cell>
          <cell r="G256" t="e">
            <v>#N/A</v>
          </cell>
          <cell r="H256" t="e">
            <v>#N/A</v>
          </cell>
          <cell r="J256" t="str">
            <v>912950670</v>
          </cell>
          <cell r="K256" t="str">
            <v>CG00253</v>
          </cell>
        </row>
        <row r="257">
          <cell r="A257" t="str">
            <v>CG00254</v>
          </cell>
          <cell r="B257" t="str">
            <v>Công ty CP Phú Lân (PXHN) 0963336999</v>
          </cell>
          <cell r="C257" t="str">
            <v>Thôn Văn Hội, Xã Đại Thắng, Huyện Phú Xuyên, Thành phố Hà Nội</v>
          </cell>
          <cell r="D257" t="str">
            <v>CG</v>
          </cell>
          <cell r="E257" t="str">
            <v>0104473265</v>
          </cell>
          <cell r="F257" t="str">
            <v>0963336999</v>
          </cell>
          <cell r="G257" t="b">
            <v>0</v>
          </cell>
          <cell r="H257" t="b">
            <v>0</v>
          </cell>
          <cell r="J257" t="str">
            <v>963336999</v>
          </cell>
          <cell r="K257" t="str">
            <v>CG00254</v>
          </cell>
        </row>
        <row r="258">
          <cell r="A258" t="str">
            <v>CG00255</v>
          </cell>
          <cell r="B258" t="str">
            <v>Thái (VYBG) 0983867257</v>
          </cell>
          <cell r="C258" t="str">
            <v>Việt Yên, Bắc Giang</v>
          </cell>
          <cell r="D258" t="str">
            <v>CG</v>
          </cell>
          <cell r="E258">
            <v>0</v>
          </cell>
          <cell r="F258" t="str">
            <v>0983867257</v>
          </cell>
          <cell r="G258" t="e">
            <v>#N/A</v>
          </cell>
          <cell r="H258" t="e">
            <v>#N/A</v>
          </cell>
          <cell r="J258" t="str">
            <v>983867257</v>
          </cell>
          <cell r="K258" t="str">
            <v>CG00255</v>
          </cell>
        </row>
        <row r="259">
          <cell r="A259" t="str">
            <v>CG00256</v>
          </cell>
          <cell r="B259" t="str">
            <v>Kỳ (LNHNA) 0989688338</v>
          </cell>
          <cell r="C259" t="str">
            <v>Lý Nhân, Hà Nam</v>
          </cell>
          <cell r="D259" t="str">
            <v>CG</v>
          </cell>
          <cell r="E259">
            <v>0</v>
          </cell>
          <cell r="F259" t="str">
            <v>0989688338</v>
          </cell>
          <cell r="G259" t="e">
            <v>#N/A</v>
          </cell>
          <cell r="H259" t="e">
            <v>#N/A</v>
          </cell>
          <cell r="J259" t="str">
            <v>989688338</v>
          </cell>
          <cell r="K259" t="str">
            <v>CG00256</v>
          </cell>
        </row>
        <row r="260">
          <cell r="A260" t="str">
            <v>CG00257</v>
          </cell>
          <cell r="B260" t="str">
            <v>Lan (QLNA) 0965284988</v>
          </cell>
          <cell r="C260" t="str">
            <v>Quỳnh Lưu, Nghệ An</v>
          </cell>
          <cell r="D260" t="str">
            <v>CG</v>
          </cell>
          <cell r="E260">
            <v>0</v>
          </cell>
          <cell r="F260" t="str">
            <v>0965284988</v>
          </cell>
          <cell r="G260" t="e">
            <v>#N/A</v>
          </cell>
          <cell r="H260" t="e">
            <v>#N/A</v>
          </cell>
          <cell r="J260" t="str">
            <v>965284988</v>
          </cell>
          <cell r="K260" t="str">
            <v>CG00257</v>
          </cell>
        </row>
        <row r="261">
          <cell r="A261" t="str">
            <v>CG00258</v>
          </cell>
          <cell r="B261" t="str">
            <v>Mạnh (TSBN) 0982183333</v>
          </cell>
          <cell r="C261" t="str">
            <v>Từ Sơn, Bắc Ninh</v>
          </cell>
          <cell r="D261" t="str">
            <v>CG</v>
          </cell>
          <cell r="E261">
            <v>0</v>
          </cell>
          <cell r="F261" t="str">
            <v>0982183333</v>
          </cell>
          <cell r="G261" t="e">
            <v>#N/A</v>
          </cell>
          <cell r="H261" t="e">
            <v>#N/A</v>
          </cell>
          <cell r="J261" t="str">
            <v>982183333</v>
          </cell>
          <cell r="K261" t="str">
            <v>CG00258</v>
          </cell>
        </row>
        <row r="262">
          <cell r="A262" t="str">
            <v>CG00259</v>
          </cell>
          <cell r="B262" t="str">
            <v>Công ty TNHH một thành viên Gia Lượng (HLTH) Thương 0989803309</v>
          </cell>
          <cell r="C262" t="str">
            <v>Hoa Lộc, Hậu Lộc, Thanh Hóa</v>
          </cell>
          <cell r="D262" t="str">
            <v>CG</v>
          </cell>
          <cell r="E262" t="str">
            <v>2801877685</v>
          </cell>
          <cell r="F262" t="str">
            <v>0989803309</v>
          </cell>
          <cell r="G262" t="b">
            <v>0</v>
          </cell>
          <cell r="H262" t="b">
            <v>0</v>
          </cell>
          <cell r="J262" t="str">
            <v>989803309</v>
          </cell>
          <cell r="K262" t="str">
            <v>CG00259</v>
          </cell>
        </row>
        <row r="263">
          <cell r="A263" t="str">
            <v>CG00260</v>
          </cell>
          <cell r="B263" t="str">
            <v>Tạo (CMHN) 0981703771</v>
          </cell>
          <cell r="C263" t="str">
            <v>Chương Mỹ, Hà Nội</v>
          </cell>
          <cell r="D263" t="str">
            <v>CG</v>
          </cell>
          <cell r="E263">
            <v>0</v>
          </cell>
          <cell r="F263" t="str">
            <v>0981703771</v>
          </cell>
          <cell r="G263" t="e">
            <v>#N/A</v>
          </cell>
          <cell r="H263" t="e">
            <v>#N/A</v>
          </cell>
          <cell r="J263" t="str">
            <v>981703771</v>
          </cell>
          <cell r="K263" t="str">
            <v>CG00260</v>
          </cell>
        </row>
        <row r="264">
          <cell r="A264" t="str">
            <v>CG00261</v>
          </cell>
          <cell r="B264" t="str">
            <v>Minh (DHTB) 0982468109</v>
          </cell>
          <cell r="C264" t="str">
            <v>Đông Hưng, Thái Bình</v>
          </cell>
          <cell r="D264" t="str">
            <v>CG</v>
          </cell>
          <cell r="E264">
            <v>0</v>
          </cell>
          <cell r="F264" t="str">
            <v>0982468109</v>
          </cell>
          <cell r="G264" t="e">
            <v>#N/A</v>
          </cell>
          <cell r="H264" t="e">
            <v>#N/A</v>
          </cell>
          <cell r="J264" t="str">
            <v>982468109</v>
          </cell>
          <cell r="K264" t="str">
            <v>CG00261</v>
          </cell>
        </row>
        <row r="265">
          <cell r="A265" t="str">
            <v>CG00262</v>
          </cell>
          <cell r="B265" t="str">
            <v>Trương Văn Chiến (HHTH) 0978065456</v>
          </cell>
          <cell r="C265" t="str">
            <v>Hoàng Hóa, Thanh Hóa</v>
          </cell>
          <cell r="D265" t="str">
            <v>CG</v>
          </cell>
          <cell r="E265">
            <v>0</v>
          </cell>
          <cell r="F265" t="str">
            <v>0978065456</v>
          </cell>
          <cell r="G265" t="e">
            <v>#N/A</v>
          </cell>
          <cell r="H265" t="e">
            <v>#N/A</v>
          </cell>
          <cell r="J265" t="str">
            <v>978065456</v>
          </cell>
          <cell r="K265" t="str">
            <v>CG00262</v>
          </cell>
        </row>
        <row r="266">
          <cell r="A266" t="str">
            <v>CG00263</v>
          </cell>
          <cell r="B266" t="str">
            <v>Nguyễn Văn Thái (TPBG) 0976409028</v>
          </cell>
          <cell r="C266" t="str">
            <v>Tp. Bắc Giang</v>
          </cell>
          <cell r="D266" t="str">
            <v>CG</v>
          </cell>
          <cell r="E266">
            <v>0</v>
          </cell>
          <cell r="F266" t="str">
            <v>0976409028</v>
          </cell>
          <cell r="G266" t="e">
            <v>#N/A</v>
          </cell>
          <cell r="H266" t="e">
            <v>#N/A</v>
          </cell>
          <cell r="J266" t="str">
            <v>976409028</v>
          </cell>
          <cell r="K266" t="str">
            <v>CG00263</v>
          </cell>
        </row>
        <row r="267">
          <cell r="A267" t="str">
            <v>CG00264</v>
          </cell>
          <cell r="B267" t="str">
            <v>Anh Tiến (TSBN) 0912312344</v>
          </cell>
          <cell r="C267" t="str">
            <v>Từ Sơn, Bắc Ninh</v>
          </cell>
          <cell r="D267" t="str">
            <v>CG</v>
          </cell>
          <cell r="E267">
            <v>0</v>
          </cell>
          <cell r="F267" t="str">
            <v>0912312344</v>
          </cell>
          <cell r="G267" t="e">
            <v>#N/A</v>
          </cell>
          <cell r="H267" t="e">
            <v>#N/A</v>
          </cell>
          <cell r="J267" t="str">
            <v>912312344</v>
          </cell>
          <cell r="K267" t="str">
            <v>CG00264</v>
          </cell>
        </row>
        <row r="268">
          <cell r="A268" t="str">
            <v>CG00265</v>
          </cell>
          <cell r="B268" t="str">
            <v>Nguyễn Hữu Đức (QPTB) 0969364559</v>
          </cell>
          <cell r="C268" t="str">
            <v>Quỳnh Phụ , Thái Bình</v>
          </cell>
          <cell r="D268" t="str">
            <v>CG</v>
          </cell>
          <cell r="E268">
            <v>0</v>
          </cell>
          <cell r="F268" t="str">
            <v>0969364559</v>
          </cell>
          <cell r="G268" t="e">
            <v>#N/A</v>
          </cell>
          <cell r="H268" t="e">
            <v>#N/A</v>
          </cell>
          <cell r="J268" t="str">
            <v>969364559</v>
          </cell>
          <cell r="K268" t="str">
            <v>CG00265</v>
          </cell>
        </row>
        <row r="269">
          <cell r="A269" t="str">
            <v>CG00266</v>
          </cell>
          <cell r="B269" t="str">
            <v>Diệu (PLHNA) 0913562137</v>
          </cell>
          <cell r="C269" t="str">
            <v>Phủ Lý, Hà Nam</v>
          </cell>
          <cell r="D269" t="str">
            <v>CG</v>
          </cell>
          <cell r="E269">
            <v>0</v>
          </cell>
          <cell r="F269" t="str">
            <v>0913562137</v>
          </cell>
          <cell r="G269" t="e">
            <v>#N/A</v>
          </cell>
          <cell r="H269" t="e">
            <v>#N/A</v>
          </cell>
          <cell r="J269" t="str">
            <v>913562137</v>
          </cell>
          <cell r="K269" t="str">
            <v>CG00266</v>
          </cell>
        </row>
        <row r="270">
          <cell r="A270" t="str">
            <v>CG00267</v>
          </cell>
          <cell r="B270" t="str">
            <v>Nguyễn Khắc Cường (TTHN) 0916895931</v>
          </cell>
          <cell r="C270" t="str">
            <v>Thạch Thất, Hà Nội</v>
          </cell>
          <cell r="D270" t="str">
            <v>CG</v>
          </cell>
          <cell r="E270">
            <v>0</v>
          </cell>
          <cell r="F270" t="str">
            <v>0916895931</v>
          </cell>
          <cell r="G270" t="e">
            <v>#N/A</v>
          </cell>
          <cell r="H270" t="e">
            <v>#N/A</v>
          </cell>
          <cell r="J270" t="str">
            <v>916895931</v>
          </cell>
          <cell r="K270" t="str">
            <v>CG00267</v>
          </cell>
        </row>
        <row r="271">
          <cell r="A271" t="str">
            <v>CG00268</v>
          </cell>
          <cell r="B271" t="str">
            <v>Lê văn Tuyên (TNGHP) 031066002695 0936191021</v>
          </cell>
          <cell r="C271" t="str">
            <v>Phù Ninh, Thủy Nguyên, Hải Phòng</v>
          </cell>
          <cell r="D271" t="str">
            <v>CG</v>
          </cell>
          <cell r="E271">
            <v>0</v>
          </cell>
          <cell r="F271" t="str">
            <v>0936191021</v>
          </cell>
          <cell r="G271" t="b">
            <v>0</v>
          </cell>
          <cell r="H271" t="b">
            <v>0</v>
          </cell>
          <cell r="J271" t="str">
            <v>936191021</v>
          </cell>
          <cell r="K271" t="str">
            <v>CG00268</v>
          </cell>
        </row>
        <row r="272">
          <cell r="A272" t="str">
            <v>CG00269</v>
          </cell>
          <cell r="B272" t="str">
            <v>Hoạt (QGHD) 0332513123</v>
          </cell>
          <cell r="C272" t="str">
            <v>Quán Gỏi, Bình Giang, Hải Dương</v>
          </cell>
          <cell r="D272" t="str">
            <v>CG</v>
          </cell>
          <cell r="E272">
            <v>0</v>
          </cell>
          <cell r="F272" t="str">
            <v>0332513123</v>
          </cell>
          <cell r="G272" t="b">
            <v>0</v>
          </cell>
          <cell r="H272" t="b">
            <v>0</v>
          </cell>
          <cell r="J272" t="str">
            <v>332513123</v>
          </cell>
          <cell r="K272" t="str">
            <v>CG00269</v>
          </cell>
        </row>
        <row r="273">
          <cell r="A273" t="str">
            <v>CG00270</v>
          </cell>
          <cell r="B273" t="str">
            <v>Tiến (HHTH) 0911499999</v>
          </cell>
          <cell r="C273" t="str">
            <v>Hoàng Hóa, Thanh Hóa</v>
          </cell>
          <cell r="D273" t="str">
            <v>CG</v>
          </cell>
          <cell r="E273">
            <v>0</v>
          </cell>
          <cell r="F273" t="str">
            <v>0911499999</v>
          </cell>
          <cell r="G273" t="e">
            <v>#N/A</v>
          </cell>
          <cell r="H273" t="e">
            <v>#N/A</v>
          </cell>
          <cell r="J273" t="str">
            <v>911499999</v>
          </cell>
          <cell r="K273" t="str">
            <v>CG00270</v>
          </cell>
        </row>
        <row r="274">
          <cell r="A274" t="str">
            <v>CG00271</v>
          </cell>
          <cell r="B274" t="str">
            <v>Nguyễn Văn Trọng (YNDTHNA) 168422473 0915258451</v>
          </cell>
          <cell r="C274" t="str">
            <v>Yên Nam, Duy Tiên, Hà Nam</v>
          </cell>
          <cell r="D274" t="str">
            <v>CG</v>
          </cell>
          <cell r="E274">
            <v>0</v>
          </cell>
          <cell r="F274" t="str">
            <v>0915258451</v>
          </cell>
          <cell r="G274" t="b">
            <v>0</v>
          </cell>
          <cell r="H274" t="b">
            <v>0</v>
          </cell>
          <cell r="J274" t="str">
            <v>915258451</v>
          </cell>
          <cell r="K274" t="str">
            <v>CG00271</v>
          </cell>
        </row>
        <row r="275">
          <cell r="A275" t="str">
            <v>CG00272</v>
          </cell>
          <cell r="B275" t="str">
            <v>Hưng (DAHN) 0989249983</v>
          </cell>
          <cell r="C275" t="str">
            <v>Đông Anh, Hà Nội</v>
          </cell>
          <cell r="D275" t="str">
            <v>CG</v>
          </cell>
          <cell r="E275">
            <v>0</v>
          </cell>
          <cell r="F275" t="str">
            <v>0989249983</v>
          </cell>
          <cell r="G275" t="e">
            <v>#N/A</v>
          </cell>
          <cell r="H275" t="e">
            <v>#N/A</v>
          </cell>
          <cell r="J275" t="str">
            <v>989249983</v>
          </cell>
          <cell r="K275" t="str">
            <v>CG00272</v>
          </cell>
        </row>
        <row r="276">
          <cell r="A276" t="str">
            <v>CG00273</v>
          </cell>
          <cell r="B276" t="str">
            <v>Lê Văn Tiềm (VTTTIHN) 001078013262 0983784546</v>
          </cell>
          <cell r="C276" t="str">
            <v>Văn Tự, Thường Tín, Hà Nội</v>
          </cell>
          <cell r="D276" t="str">
            <v>CG</v>
          </cell>
          <cell r="E276">
            <v>0</v>
          </cell>
          <cell r="F276" t="str">
            <v>0983784546</v>
          </cell>
          <cell r="G276" t="b">
            <v>0</v>
          </cell>
          <cell r="H276" t="b">
            <v>0</v>
          </cell>
          <cell r="J276" t="str">
            <v>983784546</v>
          </cell>
          <cell r="K276" t="str">
            <v>CG00273</v>
          </cell>
        </row>
        <row r="277">
          <cell r="A277" t="str">
            <v>CG00274</v>
          </cell>
          <cell r="B277" t="str">
            <v>Lê Bá Sơn (MLNTTH) 038087007131 0972729223</v>
          </cell>
          <cell r="C277" t="str">
            <v>Mậu Lâm, Như Thanh, Thanh Hóa</v>
          </cell>
          <cell r="D277" t="str">
            <v>CG</v>
          </cell>
          <cell r="E277">
            <v>0</v>
          </cell>
          <cell r="F277" t="str">
            <v>0972729223</v>
          </cell>
          <cell r="G277" t="b">
            <v>0</v>
          </cell>
          <cell r="H277" t="b">
            <v>0</v>
          </cell>
          <cell r="J277" t="str">
            <v>972729223</v>
          </cell>
          <cell r="K277" t="str">
            <v>CG00274</v>
          </cell>
        </row>
        <row r="278">
          <cell r="A278" t="str">
            <v>CG00275</v>
          </cell>
          <cell r="B278" t="str">
            <v>Lương Xuân Sáu (TLVBHP) 031083001284 0963112586</v>
          </cell>
          <cell r="C278" t="str">
            <v>Thanh Lương, Vĩnh Bảo, Hải Phòng</v>
          </cell>
          <cell r="D278" t="str">
            <v>CG</v>
          </cell>
          <cell r="E278">
            <v>0</v>
          </cell>
          <cell r="F278" t="str">
            <v>0963112586</v>
          </cell>
          <cell r="G278" t="b">
            <v>0</v>
          </cell>
          <cell r="H278" t="b">
            <v>0</v>
          </cell>
          <cell r="J278" t="str">
            <v>963112586</v>
          </cell>
          <cell r="K278" t="str">
            <v>CG00275</v>
          </cell>
        </row>
        <row r="279">
          <cell r="A279" t="str">
            <v>CG00276</v>
          </cell>
          <cell r="B279" t="str">
            <v>Long (KTHP) 0968751066</v>
          </cell>
          <cell r="C279" t="str">
            <v>Kiến Thụy, Hải Phòng</v>
          </cell>
          <cell r="D279" t="str">
            <v>CG</v>
          </cell>
          <cell r="E279">
            <v>0</v>
          </cell>
          <cell r="F279" t="str">
            <v>0968751066</v>
          </cell>
          <cell r="G279" t="e">
            <v>#N/A</v>
          </cell>
          <cell r="H279" t="e">
            <v>#N/A</v>
          </cell>
          <cell r="J279" t="str">
            <v>968751066</v>
          </cell>
          <cell r="K279" t="str">
            <v>CG00276</v>
          </cell>
        </row>
        <row r="280">
          <cell r="A280" t="str">
            <v>CG00277</v>
          </cell>
          <cell r="B280" t="str">
            <v>Tuấn (TTiHN) 0364215991</v>
          </cell>
          <cell r="C280" t="str">
            <v>Thường Tín, Hà Nội</v>
          </cell>
          <cell r="D280" t="str">
            <v>CG</v>
          </cell>
          <cell r="E280">
            <v>0</v>
          </cell>
          <cell r="F280" t="str">
            <v>0364215991</v>
          </cell>
          <cell r="G280" t="e">
            <v>#N/A</v>
          </cell>
          <cell r="H280" t="e">
            <v>#N/A</v>
          </cell>
          <cell r="J280" t="str">
            <v>364215991</v>
          </cell>
          <cell r="K280" t="str">
            <v>CG00277</v>
          </cell>
        </row>
        <row r="281">
          <cell r="A281" t="str">
            <v>CG00278</v>
          </cell>
          <cell r="B281" t="str">
            <v>Hoàng Văn Sự (HAHHND) 36081001671 0978357685</v>
          </cell>
          <cell r="C281" t="str">
            <v>Hải Anh, Hải Hậu, Nam Định</v>
          </cell>
          <cell r="D281" t="str">
            <v>CG</v>
          </cell>
          <cell r="E281">
            <v>0</v>
          </cell>
          <cell r="F281" t="str">
            <v>0978357685</v>
          </cell>
          <cell r="G281" t="b">
            <v>0</v>
          </cell>
          <cell r="H281" t="b">
            <v>0</v>
          </cell>
          <cell r="J281" t="str">
            <v>978357685</v>
          </cell>
          <cell r="K281" t="str">
            <v>CG00278</v>
          </cell>
        </row>
        <row r="282">
          <cell r="A282" t="str">
            <v>CG00279</v>
          </cell>
          <cell r="B282" t="str">
            <v>Công ty CP 27-7 Hải Hậu (HHND) Thắng 0982272498</v>
          </cell>
          <cell r="C282" t="str">
            <v>Hải Long, Hải Hậu, Nam Định</v>
          </cell>
          <cell r="D282" t="str">
            <v>CG</v>
          </cell>
          <cell r="E282" t="str">
            <v>0600200635</v>
          </cell>
          <cell r="F282" t="str">
            <v>0982272498</v>
          </cell>
          <cell r="G282" t="b">
            <v>0</v>
          </cell>
          <cell r="H282" t="b">
            <v>0</v>
          </cell>
          <cell r="J282" t="str">
            <v>982272498</v>
          </cell>
          <cell r="K282" t="str">
            <v>CG00279</v>
          </cell>
        </row>
        <row r="283">
          <cell r="A283" t="str">
            <v>CG00280</v>
          </cell>
          <cell r="B283" t="str">
            <v>Hải (DPHN) 0966346819</v>
          </cell>
          <cell r="C283" t="str">
            <v>Đan Phượng, Hà Nội</v>
          </cell>
          <cell r="D283" t="str">
            <v>CG</v>
          </cell>
          <cell r="E283">
            <v>0</v>
          </cell>
          <cell r="F283" t="str">
            <v>0966346819</v>
          </cell>
          <cell r="G283" t="e">
            <v>#N/A</v>
          </cell>
          <cell r="H283" t="e">
            <v>#N/A</v>
          </cell>
          <cell r="J283" t="str">
            <v>966346819</v>
          </cell>
          <cell r="K283" t="str">
            <v>CG00280</v>
          </cell>
        </row>
        <row r="284">
          <cell r="A284" t="str">
            <v>CG00281</v>
          </cell>
          <cell r="B284" t="str">
            <v>Vĩnh (KTHP) 0855598898</v>
          </cell>
          <cell r="C284" t="str">
            <v>Kiến Thụy, Hải Phòng</v>
          </cell>
          <cell r="D284" t="str">
            <v>CG</v>
          </cell>
          <cell r="E284">
            <v>0</v>
          </cell>
          <cell r="F284" t="str">
            <v>0855598898</v>
          </cell>
          <cell r="G284" t="e">
            <v>#N/A</v>
          </cell>
          <cell r="H284" t="e">
            <v>#N/A</v>
          </cell>
          <cell r="J284" t="str">
            <v>855598898</v>
          </cell>
          <cell r="K284" t="str">
            <v>CG00281</v>
          </cell>
        </row>
        <row r="285">
          <cell r="A285" t="str">
            <v>CG00282</v>
          </cell>
          <cell r="B285" t="str">
            <v>Phi (HDHN) 0934554231</v>
          </cell>
          <cell r="C285" t="str">
            <v>Hà Đông, Hà Nội</v>
          </cell>
          <cell r="D285" t="str">
            <v>CG</v>
          </cell>
          <cell r="E285">
            <v>0</v>
          </cell>
          <cell r="F285" t="str">
            <v>0934554231</v>
          </cell>
          <cell r="G285" t="e">
            <v>#N/A</v>
          </cell>
          <cell r="H285" t="e">
            <v>#N/A</v>
          </cell>
          <cell r="J285" t="str">
            <v>934554231</v>
          </cell>
          <cell r="K285" t="str">
            <v>CG00282</v>
          </cell>
        </row>
        <row r="286">
          <cell r="A286" t="str">
            <v>CG00283</v>
          </cell>
          <cell r="B286" t="str">
            <v>Công ty TNHH XD &amp; TM Hiếu Nghĩa Nam (QPTB) Thêm 0912807888</v>
          </cell>
          <cell r="C286" t="str">
            <v>Đông Đô, Hưng Hà, Thái Bình</v>
          </cell>
          <cell r="D286" t="str">
            <v>CG</v>
          </cell>
          <cell r="E286" t="str">
            <v>1001129801</v>
          </cell>
          <cell r="F286" t="str">
            <v>0912807888</v>
          </cell>
          <cell r="G286" t="b">
            <v>0</v>
          </cell>
          <cell r="H286" t="b">
            <v>0</v>
          </cell>
          <cell r="J286" t="str">
            <v>912807888</v>
          </cell>
          <cell r="K286" t="str">
            <v>CG00283</v>
          </cell>
        </row>
        <row r="287">
          <cell r="A287" t="str">
            <v>CG00284</v>
          </cell>
          <cell r="B287" t="str">
            <v>Tony (+86 13812984111)</v>
          </cell>
          <cell r="C287" t="str">
            <v>Trung Quốc</v>
          </cell>
          <cell r="D287" t="str">
            <v>CG</v>
          </cell>
          <cell r="E287">
            <v>0</v>
          </cell>
          <cell r="F287" t="str">
            <v>+86 13812984111</v>
          </cell>
          <cell r="G287" t="e">
            <v>#N/A</v>
          </cell>
          <cell r="H287" t="e">
            <v>#N/A</v>
          </cell>
          <cell r="J287" t="str">
            <v>12984111)</v>
          </cell>
          <cell r="K287" t="str">
            <v>CG00284</v>
          </cell>
        </row>
        <row r="288">
          <cell r="A288" t="str">
            <v>CG00285</v>
          </cell>
          <cell r="B288" t="str">
            <v>Nguyễn Văn Hoan (NSNHND) 036076002845 0985211163</v>
          </cell>
          <cell r="C288" t="str">
            <v>Nghĩa Sơn, Nghĩa Hưng, Nam Định</v>
          </cell>
          <cell r="D288" t="str">
            <v>CG</v>
          </cell>
          <cell r="E288">
            <v>0</v>
          </cell>
          <cell r="F288" t="str">
            <v>0985211163</v>
          </cell>
          <cell r="G288" t="b">
            <v>0</v>
          </cell>
          <cell r="H288" t="b">
            <v>0</v>
          </cell>
          <cell r="J288" t="str">
            <v>985211163</v>
          </cell>
          <cell r="K288" t="str">
            <v>CG00285</v>
          </cell>
        </row>
        <row r="289">
          <cell r="A289" t="str">
            <v>CG00286</v>
          </cell>
          <cell r="B289" t="str">
            <v>Đạo (NDNA) 0986751135</v>
          </cell>
          <cell r="C289" t="str">
            <v>Nam Đàn, Nghệ An</v>
          </cell>
          <cell r="D289" t="str">
            <v>CG</v>
          </cell>
          <cell r="E289">
            <v>0</v>
          </cell>
          <cell r="F289" t="str">
            <v>0986751135</v>
          </cell>
          <cell r="G289" t="b">
            <v>0</v>
          </cell>
          <cell r="H289" t="b">
            <v>0</v>
          </cell>
          <cell r="J289" t="str">
            <v>986751135</v>
          </cell>
          <cell r="K289" t="str">
            <v>CG00286</v>
          </cell>
        </row>
        <row r="290">
          <cell r="A290" t="str">
            <v>CG00287</v>
          </cell>
          <cell r="B290" t="str">
            <v>Nguyễn Việt Hân (HVHHND) 162880908 0985579389</v>
          </cell>
          <cell r="C290" t="str">
            <v>Hải Vân, Hải Hậu, Nam Định</v>
          </cell>
          <cell r="D290" t="str">
            <v>CG</v>
          </cell>
          <cell r="E290">
            <v>0</v>
          </cell>
          <cell r="F290" t="str">
            <v>0985579389</v>
          </cell>
          <cell r="G290" t="b">
            <v>0</v>
          </cell>
          <cell r="H290" t="b">
            <v>0</v>
          </cell>
          <cell r="J290" t="str">
            <v>985579389</v>
          </cell>
          <cell r="K290" t="str">
            <v>CG00287</v>
          </cell>
        </row>
        <row r="291">
          <cell r="A291" t="str">
            <v>CG00288</v>
          </cell>
          <cell r="B291" t="str">
            <v>Đội (TPNB) 0915366494</v>
          </cell>
          <cell r="C291" t="str">
            <v>TP. Ninh Bình</v>
          </cell>
          <cell r="D291" t="str">
            <v>CG</v>
          </cell>
          <cell r="E291">
            <v>0</v>
          </cell>
          <cell r="F291" t="str">
            <v>0915366494</v>
          </cell>
          <cell r="G291" t="e">
            <v>#N/A</v>
          </cell>
          <cell r="H291" t="e">
            <v>#N/A</v>
          </cell>
          <cell r="J291" t="str">
            <v>915366494</v>
          </cell>
          <cell r="K291" t="str">
            <v>CG00288</v>
          </cell>
        </row>
        <row r="292">
          <cell r="A292" t="str">
            <v>CG00289</v>
          </cell>
          <cell r="B292" t="str">
            <v>Mạnh (DPHN) 0976600667</v>
          </cell>
          <cell r="C292" t="str">
            <v>Đan Phượng, Hà Nội</v>
          </cell>
          <cell r="D292" t="str">
            <v>CG</v>
          </cell>
          <cell r="E292">
            <v>0</v>
          </cell>
          <cell r="F292" t="str">
            <v>0976600667</v>
          </cell>
          <cell r="G292" t="b">
            <v>0</v>
          </cell>
          <cell r="H292" t="b">
            <v>0</v>
          </cell>
          <cell r="J292" t="str">
            <v>976600667</v>
          </cell>
          <cell r="K292" t="str">
            <v>CG00289</v>
          </cell>
        </row>
        <row r="293">
          <cell r="A293" t="str">
            <v>CG00290</v>
          </cell>
          <cell r="B293" t="str">
            <v>Trần Ngọc Thư (HVHHND) 162193271 0973288011</v>
          </cell>
          <cell r="C293" t="str">
            <v>Hải Hậu, Nam Định</v>
          </cell>
          <cell r="D293" t="str">
            <v>CG</v>
          </cell>
          <cell r="E293">
            <v>0</v>
          </cell>
          <cell r="F293" t="str">
            <v>0973288011</v>
          </cell>
          <cell r="G293" t="b">
            <v>0</v>
          </cell>
          <cell r="H293" t="b">
            <v>0</v>
          </cell>
          <cell r="J293" t="str">
            <v>973288011</v>
          </cell>
          <cell r="K293" t="str">
            <v>CG00290</v>
          </cell>
        </row>
        <row r="294">
          <cell r="A294" t="str">
            <v>CG00291</v>
          </cell>
          <cell r="B294" t="str">
            <v>Đỗ Hữu Trọng (LHPTHN) 017096111 0387326789</v>
          </cell>
          <cell r="C294" t="str">
            <v>Liên Hiệp, Phúc Thọ, Hà Nội</v>
          </cell>
          <cell r="D294" t="str">
            <v>CG</v>
          </cell>
          <cell r="E294">
            <v>0</v>
          </cell>
          <cell r="F294" t="str">
            <v>0387326789</v>
          </cell>
          <cell r="G294" t="b">
            <v>0</v>
          </cell>
          <cell r="H294" t="b">
            <v>0</v>
          </cell>
          <cell r="J294" t="str">
            <v>387326789</v>
          </cell>
          <cell r="K294" t="str">
            <v>CG00291</v>
          </cell>
        </row>
        <row r="295">
          <cell r="A295" t="str">
            <v>CG00292</v>
          </cell>
          <cell r="B295" t="str">
            <v>Nguyễn Nguyên Nghĩa (DSDLNA) 181391610 0913308682</v>
          </cell>
          <cell r="C295" t="str">
            <v>Đông Sơn, Đô Lương, Nghệ An</v>
          </cell>
          <cell r="D295" t="str">
            <v>CG</v>
          </cell>
          <cell r="E295">
            <v>0</v>
          </cell>
          <cell r="F295" t="str">
            <v>0913308682</v>
          </cell>
          <cell r="G295" t="b">
            <v>0</v>
          </cell>
          <cell r="H295" t="b">
            <v>0</v>
          </cell>
          <cell r="J295" t="str">
            <v>913308682</v>
          </cell>
          <cell r="K295" t="str">
            <v>CG00292</v>
          </cell>
        </row>
        <row r="296">
          <cell r="A296" t="str">
            <v>CG00293</v>
          </cell>
          <cell r="B296" t="str">
            <v>Anh Cường (DTHT) 0967868899</v>
          </cell>
          <cell r="C296" t="str">
            <v>Đức Thọ, Hà Tĩnh</v>
          </cell>
          <cell r="D296" t="str">
            <v>CG</v>
          </cell>
          <cell r="E296">
            <v>0</v>
          </cell>
          <cell r="F296" t="str">
            <v>0967868899</v>
          </cell>
          <cell r="G296" t="e">
            <v>#N/A</v>
          </cell>
          <cell r="H296" t="e">
            <v>#N/A</v>
          </cell>
          <cell r="J296" t="str">
            <v>967868899</v>
          </cell>
          <cell r="K296" t="str">
            <v>CG00293</v>
          </cell>
        </row>
        <row r="297">
          <cell r="A297" t="str">
            <v>CG00294</v>
          </cell>
          <cell r="B297" t="str">
            <v>Phó (CLND) 0912334137</v>
          </cell>
          <cell r="C297" t="str">
            <v>Cổ Lễ, Nam Định</v>
          </cell>
          <cell r="D297" t="str">
            <v>CG</v>
          </cell>
          <cell r="E297">
            <v>0</v>
          </cell>
          <cell r="F297" t="str">
            <v>0912334137</v>
          </cell>
          <cell r="G297" t="e">
            <v>#N/A</v>
          </cell>
          <cell r="H297" t="e">
            <v>#N/A</v>
          </cell>
          <cell r="J297" t="str">
            <v>912334137</v>
          </cell>
          <cell r="K297" t="str">
            <v>CG00294</v>
          </cell>
        </row>
        <row r="298">
          <cell r="A298" t="str">
            <v>CG00295</v>
          </cell>
          <cell r="B298" t="str">
            <v>Công ty TNHH thương mại và dịch vụ vận tải Tiến Đạt (QGHD) Mạnh 0976226227</v>
          </cell>
          <cell r="C298" t="str">
            <v>Minh Đức, Mỹ Hào, Hưng Yên</v>
          </cell>
          <cell r="D298" t="str">
            <v>CG</v>
          </cell>
          <cell r="E298" t="str">
            <v>0900282357</v>
          </cell>
          <cell r="F298" t="str">
            <v>0976226227</v>
          </cell>
          <cell r="G298" t="b">
            <v>0</v>
          </cell>
          <cell r="H298" t="b">
            <v>0</v>
          </cell>
          <cell r="J298" t="str">
            <v>976226227</v>
          </cell>
          <cell r="K298" t="str">
            <v>CG00295</v>
          </cell>
        </row>
        <row r="299">
          <cell r="A299" t="str">
            <v>CG00296</v>
          </cell>
          <cell r="B299" t="str">
            <v>Nguyễn Xuân Sơn (TBTPHD) 141749948 0904695262</v>
          </cell>
          <cell r="C299" t="str">
            <v>Thanh Bình, TP. Hải Dương</v>
          </cell>
          <cell r="D299" t="str">
            <v>CG</v>
          </cell>
          <cell r="E299">
            <v>0</v>
          </cell>
          <cell r="F299" t="str">
            <v>0904695262</v>
          </cell>
          <cell r="G299" t="b">
            <v>0</v>
          </cell>
          <cell r="H299" t="b">
            <v>0</v>
          </cell>
          <cell r="J299" t="str">
            <v>904695262</v>
          </cell>
          <cell r="K299" t="str">
            <v>CG00296</v>
          </cell>
        </row>
        <row r="300">
          <cell r="A300" t="str">
            <v>CG00297</v>
          </cell>
          <cell r="B300" t="str">
            <v>Vũ Kim Đành (HQTMHD) 140617487 0984401803 0978237583</v>
          </cell>
          <cell r="C300" t="str">
            <v>Hồng Quang, Thanh Miện, Hải Dương</v>
          </cell>
          <cell r="D300" t="str">
            <v>CG</v>
          </cell>
          <cell r="E300">
            <v>0</v>
          </cell>
          <cell r="F300" t="str">
            <v>0978237583</v>
          </cell>
          <cell r="G300" t="b">
            <v>0</v>
          </cell>
          <cell r="H300" t="b">
            <v>0</v>
          </cell>
          <cell r="J300" t="str">
            <v>978237583</v>
          </cell>
          <cell r="K300" t="str">
            <v>CG00297</v>
          </cell>
        </row>
        <row r="301">
          <cell r="A301" t="str">
            <v>CG00298</v>
          </cell>
          <cell r="B301" t="str">
            <v>Nguyễn Văn Toại (LTKSNB) 164093838 0914640216</v>
          </cell>
          <cell r="C301" t="str">
            <v>Lai Thành, Kim Sơn, Ninh Bình</v>
          </cell>
          <cell r="D301" t="str">
            <v>CG</v>
          </cell>
          <cell r="E301">
            <v>0</v>
          </cell>
          <cell r="F301" t="str">
            <v>0914640216</v>
          </cell>
          <cell r="G301" t="b">
            <v>0</v>
          </cell>
          <cell r="H301" t="b">
            <v>0</v>
          </cell>
          <cell r="J301" t="str">
            <v>914640216</v>
          </cell>
          <cell r="K301" t="str">
            <v>CG00298</v>
          </cell>
        </row>
        <row r="302">
          <cell r="A302" t="str">
            <v>CG00299</v>
          </cell>
          <cell r="B302" t="str">
            <v>Dương (HHND) 0915096683 0968116522</v>
          </cell>
          <cell r="C302" t="str">
            <v>Hải Hậu, Nam Định</v>
          </cell>
          <cell r="D302" t="str">
            <v>CG</v>
          </cell>
          <cell r="E302">
            <v>0</v>
          </cell>
          <cell r="F302" t="str">
            <v>0968116522</v>
          </cell>
          <cell r="G302" t="b">
            <v>0</v>
          </cell>
          <cell r="H302" t="b">
            <v>0</v>
          </cell>
          <cell r="J302" t="str">
            <v>968116522</v>
          </cell>
          <cell r="K302" t="str">
            <v>CG00299</v>
          </cell>
        </row>
        <row r="303">
          <cell r="A303" t="str">
            <v>CG00300</v>
          </cell>
          <cell r="B303" t="str">
            <v>Nguyễn Minh An (MLVTTB) 151494855 0989093602</v>
          </cell>
          <cell r="C303" t="str">
            <v>Minh Lãng, Vũ Thư, Thái Bình</v>
          </cell>
          <cell r="D303" t="str">
            <v>CG</v>
          </cell>
          <cell r="E303">
            <v>0</v>
          </cell>
          <cell r="F303" t="str">
            <v>0989093602</v>
          </cell>
          <cell r="G303" t="b">
            <v>0</v>
          </cell>
          <cell r="H303" t="b">
            <v>0</v>
          </cell>
          <cell r="J303" t="str">
            <v>989093602</v>
          </cell>
          <cell r="K303" t="str">
            <v>CG00300</v>
          </cell>
        </row>
        <row r="304">
          <cell r="A304" t="str">
            <v>CG00301</v>
          </cell>
          <cell r="B304" t="str">
            <v>Công ty TNHH Tài Nguyên</v>
          </cell>
          <cell r="C304" t="str">
            <v>Số 15, Phố Nối, Thị trấn Bần Yên Nhân, huyện Mỹ Hào, Hưng Yên</v>
          </cell>
          <cell r="D304" t="str">
            <v>CG</v>
          </cell>
          <cell r="E304">
            <v>0</v>
          </cell>
          <cell r="F304" t="str">
            <v>0ài Nguyên</v>
          </cell>
          <cell r="G304" t="b">
            <v>0</v>
          </cell>
          <cell r="H304" t="b">
            <v>0</v>
          </cell>
          <cell r="J304" t="str">
            <v>ài Nguyên</v>
          </cell>
          <cell r="K304" t="str">
            <v>CG00301</v>
          </cell>
        </row>
        <row r="305">
          <cell r="A305" t="str">
            <v>CG00302</v>
          </cell>
          <cell r="B305" t="str">
            <v>Lức (CGHD) 0978044645</v>
          </cell>
          <cell r="C305" t="str">
            <v>Cẩm Giàng, Hải Dương</v>
          </cell>
          <cell r="D305" t="str">
            <v>CG</v>
          </cell>
          <cell r="E305">
            <v>0</v>
          </cell>
          <cell r="F305" t="str">
            <v>0978044645</v>
          </cell>
          <cell r="G305" t="e">
            <v>#N/A</v>
          </cell>
          <cell r="H305" t="e">
            <v>#N/A</v>
          </cell>
          <cell r="J305" t="str">
            <v>978044645</v>
          </cell>
          <cell r="K305" t="str">
            <v>CG00302</v>
          </cell>
        </row>
        <row r="306">
          <cell r="A306" t="str">
            <v>CG00303</v>
          </cell>
          <cell r="B306" t="str">
            <v>Thảo (YMHY) 0972595588</v>
          </cell>
          <cell r="C306" t="str">
            <v>Yên Mỹ, Hưng Yên</v>
          </cell>
          <cell r="D306" t="str">
            <v>CG</v>
          </cell>
          <cell r="E306">
            <v>0</v>
          </cell>
          <cell r="F306" t="str">
            <v>0972595588</v>
          </cell>
          <cell r="G306" t="e">
            <v>#N/A</v>
          </cell>
          <cell r="H306" t="e">
            <v>#N/A</v>
          </cell>
          <cell r="J306" t="str">
            <v>972595588</v>
          </cell>
          <cell r="K306" t="str">
            <v>CG00303</v>
          </cell>
        </row>
        <row r="307">
          <cell r="A307" t="str">
            <v>CG00304</v>
          </cell>
          <cell r="B307" t="str">
            <v>Nhật (HHND) 0979699666</v>
          </cell>
          <cell r="C307" t="str">
            <v>Hải Hậu, Nam Định</v>
          </cell>
          <cell r="D307" t="str">
            <v>CG</v>
          </cell>
          <cell r="E307">
            <v>0</v>
          </cell>
          <cell r="F307" t="str">
            <v>0979699666</v>
          </cell>
          <cell r="G307" t="e">
            <v>#N/A</v>
          </cell>
          <cell r="H307" t="e">
            <v>#N/A</v>
          </cell>
          <cell r="J307" t="str">
            <v>979699666</v>
          </cell>
          <cell r="K307" t="str">
            <v>CG00304</v>
          </cell>
        </row>
        <row r="308">
          <cell r="A308" t="str">
            <v>CG00305</v>
          </cell>
          <cell r="B308" t="str">
            <v>Nguyễn Duy Hảo (DAHN) 0985187865</v>
          </cell>
          <cell r="C308" t="str">
            <v>Đông Anh, Hà Nội</v>
          </cell>
          <cell r="D308" t="str">
            <v>CG</v>
          </cell>
          <cell r="E308" t="e">
            <v>#N/A</v>
          </cell>
          <cell r="F308" t="str">
            <v>0985187865</v>
          </cell>
          <cell r="G308" t="e">
            <v>#N/A</v>
          </cell>
          <cell r="H308" t="e">
            <v>#N/A</v>
          </cell>
          <cell r="J308" t="str">
            <v>985187865</v>
          </cell>
          <cell r="K308" t="str">
            <v>CG00305</v>
          </cell>
        </row>
        <row r="309">
          <cell r="A309" t="str">
            <v>CG00306</v>
          </cell>
          <cell r="B309" t="str">
            <v>Vượng (HHTB) 0936172393</v>
          </cell>
          <cell r="C309" t="str">
            <v>Liên Hiệp, Hưng Hà, Thái Bình</v>
          </cell>
          <cell r="D309" t="str">
            <v>CG</v>
          </cell>
          <cell r="E309" t="e">
            <v>#N/A</v>
          </cell>
          <cell r="F309" t="str">
            <v>0936172393</v>
          </cell>
          <cell r="G309" t="e">
            <v>#N/A</v>
          </cell>
          <cell r="H309" t="e">
            <v>#N/A</v>
          </cell>
          <cell r="J309" t="str">
            <v>936172393</v>
          </cell>
          <cell r="K309" t="str">
            <v>CG00306</v>
          </cell>
        </row>
        <row r="310">
          <cell r="A310" t="str">
            <v>CG00307</v>
          </cell>
          <cell r="B310" t="str">
            <v>Biên (KMHD) 0368223866</v>
          </cell>
          <cell r="C310" t="str">
            <v>Thượng Quận, Kinh Môn, Hải Dương</v>
          </cell>
          <cell r="D310" t="str">
            <v>CG</v>
          </cell>
          <cell r="E310" t="e">
            <v>#N/A</v>
          </cell>
          <cell r="F310" t="str">
            <v>0368223866</v>
          </cell>
          <cell r="G310" t="e">
            <v>#N/A</v>
          </cell>
          <cell r="H310" t="e">
            <v>#N/A</v>
          </cell>
          <cell r="J310" t="str">
            <v>368223866</v>
          </cell>
          <cell r="K310" t="str">
            <v>CG00307</v>
          </cell>
        </row>
        <row r="311">
          <cell r="A311" t="str">
            <v>CG00308</v>
          </cell>
          <cell r="B311" t="str">
            <v>Tuân (HHTB) 0858213491</v>
          </cell>
          <cell r="C311" t="str">
            <v>Liên Hiệp, Hưng Hà, Thái Bình</v>
          </cell>
          <cell r="D311" t="str">
            <v>CG</v>
          </cell>
          <cell r="E311" t="e">
            <v>#N/A</v>
          </cell>
          <cell r="F311" t="str">
            <v>0858213491</v>
          </cell>
          <cell r="G311" t="e">
            <v>#N/A</v>
          </cell>
          <cell r="H311" t="e">
            <v>#N/A</v>
          </cell>
          <cell r="J311" t="str">
            <v>858213491</v>
          </cell>
          <cell r="K311" t="str">
            <v>CG00308</v>
          </cell>
        </row>
        <row r="312">
          <cell r="A312" t="str">
            <v>CG00309</v>
          </cell>
          <cell r="B312" t="str">
            <v>Nguyễn Văn Hương (TPBG) 0353516488</v>
          </cell>
          <cell r="C312" t="e">
            <v>#REF!</v>
          </cell>
          <cell r="D312" t="str">
            <v>CG</v>
          </cell>
          <cell r="E312" t="e">
            <v>#N/A</v>
          </cell>
          <cell r="F312" t="str">
            <v>0353516488</v>
          </cell>
          <cell r="G312" t="e">
            <v>#N/A</v>
          </cell>
          <cell r="H312" t="e">
            <v>#N/A</v>
          </cell>
          <cell r="J312" t="str">
            <v>353516488</v>
          </cell>
          <cell r="K312" t="str">
            <v>CG00309</v>
          </cell>
        </row>
        <row r="313">
          <cell r="A313" t="str">
            <v>CG00310</v>
          </cell>
          <cell r="B313" t="str">
            <v>Trường (KBHNA) 0986112026</v>
          </cell>
          <cell r="C313" t="str">
            <v>Kim Bảng, Hà Nam</v>
          </cell>
          <cell r="D313" t="str">
            <v>CG</v>
          </cell>
          <cell r="E313" t="e">
            <v>#N/A</v>
          </cell>
          <cell r="F313" t="str">
            <v>0986112026</v>
          </cell>
          <cell r="G313" t="e">
            <v>#N/A</v>
          </cell>
          <cell r="H313" t="e">
            <v>#N/A</v>
          </cell>
          <cell r="J313" t="str">
            <v>986112026</v>
          </cell>
          <cell r="K313" t="str">
            <v>CG00310</v>
          </cell>
        </row>
        <row r="314">
          <cell r="A314" t="str">
            <v>CG00311</v>
          </cell>
          <cell r="B314" t="str">
            <v>Công ty TNHH kinh doanh XNK Gỗ Trường Thành (DAHN) 0944736999</v>
          </cell>
          <cell r="C314" t="str">
            <v>Tp. Bắc Giang</v>
          </cell>
          <cell r="D314" t="str">
            <v>CG</v>
          </cell>
          <cell r="E314" t="e">
            <v>#N/A</v>
          </cell>
          <cell r="F314" t="str">
            <v>0944736999</v>
          </cell>
          <cell r="G314" t="e">
            <v>#N/A</v>
          </cell>
          <cell r="H314" t="e">
            <v>#N/A</v>
          </cell>
          <cell r="J314" t="str">
            <v>944736999</v>
          </cell>
          <cell r="K314" t="str">
            <v>CG00311</v>
          </cell>
        </row>
        <row r="315">
          <cell r="A315" t="str">
            <v>CG00312</v>
          </cell>
          <cell r="B315" t="str">
            <v>Bách (HDHN) 0389086633</v>
          </cell>
          <cell r="C315" t="str">
            <v>Hà Đông, Hà Nội</v>
          </cell>
          <cell r="D315" t="str">
            <v>CG</v>
          </cell>
          <cell r="E315" t="e">
            <v>#N/A</v>
          </cell>
          <cell r="F315" t="str">
            <v>0389086633</v>
          </cell>
          <cell r="G315" t="e">
            <v>#N/A</v>
          </cell>
          <cell r="H315" t="e">
            <v>#N/A</v>
          </cell>
          <cell r="J315" t="str">
            <v>389086633</v>
          </cell>
          <cell r="K315" t="str">
            <v>CG00312</v>
          </cell>
        </row>
        <row r="316">
          <cell r="A316" t="str">
            <v>CG00313</v>
          </cell>
          <cell r="B316" t="str">
            <v>Bảy (THTH) 0904791615</v>
          </cell>
          <cell r="C316" t="str">
            <v>Thiệu Hóa, Thanh Hóa</v>
          </cell>
          <cell r="D316" t="str">
            <v>CG</v>
          </cell>
          <cell r="E316" t="e">
            <v>#N/A</v>
          </cell>
          <cell r="F316" t="str">
            <v>0904791615</v>
          </cell>
          <cell r="G316" t="e">
            <v>#N/A</v>
          </cell>
          <cell r="H316" t="e">
            <v>#N/A</v>
          </cell>
          <cell r="J316" t="str">
            <v>904791615</v>
          </cell>
          <cell r="K316" t="str">
            <v>CG00313</v>
          </cell>
        </row>
        <row r="317">
          <cell r="A317" t="str">
            <v>CG00314</v>
          </cell>
          <cell r="B317" t="str">
            <v>Nguyễn Văn Hải (TPNB) 0913578957</v>
          </cell>
          <cell r="C317" t="str">
            <v>Tp.Ninh Bình</v>
          </cell>
          <cell r="D317" t="str">
            <v>CG</v>
          </cell>
          <cell r="E317" t="e">
            <v>#N/A</v>
          </cell>
          <cell r="F317" t="str">
            <v>0913578957</v>
          </cell>
          <cell r="G317" t="e">
            <v>#N/A</v>
          </cell>
          <cell r="H317" t="e">
            <v>#N/A</v>
          </cell>
          <cell r="J317" t="str">
            <v>913578957</v>
          </cell>
          <cell r="K317" t="str">
            <v>CG00314</v>
          </cell>
        </row>
        <row r="318">
          <cell r="A318" t="str">
            <v>CG00315</v>
          </cell>
          <cell r="B318" t="str">
            <v>Tùng (TNXHP) 0936007100</v>
          </cell>
          <cell r="C318" t="str">
            <v>Phả Lễ, Thủy Nguyên, Hải Phòng</v>
          </cell>
          <cell r="D318" t="str">
            <v>CG</v>
          </cell>
          <cell r="E318" t="e">
            <v>#N/A</v>
          </cell>
          <cell r="F318" t="str">
            <v>0936007100</v>
          </cell>
          <cell r="G318" t="e">
            <v>#N/A</v>
          </cell>
          <cell r="H318" t="e">
            <v>#N/A</v>
          </cell>
          <cell r="J318" t="str">
            <v>936007100</v>
          </cell>
          <cell r="K318" t="str">
            <v>CG00315</v>
          </cell>
        </row>
        <row r="319">
          <cell r="A319" t="str">
            <v>CG00316</v>
          </cell>
          <cell r="B319" t="str">
            <v>Nguyễn Văn Thủy (DAHN) 0989168889</v>
          </cell>
          <cell r="C319" t="str">
            <v>Đông Anh, Hà Nội</v>
          </cell>
          <cell r="D319" t="str">
            <v>CG</v>
          </cell>
          <cell r="E319" t="e">
            <v>#N/A</v>
          </cell>
          <cell r="F319" t="str">
            <v>0989168889</v>
          </cell>
          <cell r="G319" t="e">
            <v>#N/A</v>
          </cell>
          <cell r="H319" t="e">
            <v>#N/A</v>
          </cell>
          <cell r="J319" t="str">
            <v>989168889</v>
          </cell>
          <cell r="K319" t="str">
            <v>CG00316</v>
          </cell>
        </row>
        <row r="320">
          <cell r="A320" t="str">
            <v>CG00317</v>
          </cell>
          <cell r="B320" t="str">
            <v>Hưng (HDHN) 0975556345</v>
          </cell>
          <cell r="C320" t="str">
            <v>Hà Đông, Hà Nội</v>
          </cell>
          <cell r="D320" t="str">
            <v>CG</v>
          </cell>
          <cell r="E320" t="e">
            <v>#N/A</v>
          </cell>
          <cell r="F320" t="str">
            <v>0975556345</v>
          </cell>
          <cell r="G320" t="e">
            <v>#N/A</v>
          </cell>
          <cell r="H320" t="e">
            <v>#N/A</v>
          </cell>
          <cell r="J320" t="str">
            <v>975556345</v>
          </cell>
          <cell r="K320" t="str">
            <v>CG00317</v>
          </cell>
        </row>
        <row r="321">
          <cell r="A321" t="str">
            <v>CG00318</v>
          </cell>
          <cell r="B321" t="str">
            <v>Thành (DAHN) 0976248759</v>
          </cell>
          <cell r="C321" t="str">
            <v>Đông Anh, Hà Nội</v>
          </cell>
          <cell r="D321" t="str">
            <v>CG</v>
          </cell>
          <cell r="E321" t="e">
            <v>#N/A</v>
          </cell>
          <cell r="F321" t="str">
            <v>0976248759</v>
          </cell>
          <cell r="G321" t="e">
            <v>#N/A</v>
          </cell>
          <cell r="H321" t="e">
            <v>#N/A</v>
          </cell>
          <cell r="J321" t="str">
            <v>976248759</v>
          </cell>
          <cell r="K321" t="str">
            <v>CG00318</v>
          </cell>
        </row>
        <row r="322">
          <cell r="A322" t="str">
            <v>CG00319</v>
          </cell>
          <cell r="B322" t="str">
            <v>Hùng (TXTH) 0854508072</v>
          </cell>
          <cell r="C322" t="str">
            <v>Thọ Xuân, Thanh Hóa</v>
          </cell>
          <cell r="D322" t="str">
            <v>CG</v>
          </cell>
          <cell r="E322" t="e">
            <v>#N/A</v>
          </cell>
          <cell r="F322" t="str">
            <v>0854508072</v>
          </cell>
          <cell r="G322" t="e">
            <v>#N/A</v>
          </cell>
          <cell r="H322" t="e">
            <v>#N/A</v>
          </cell>
          <cell r="J322" t="str">
            <v>854508072</v>
          </cell>
          <cell r="K322" t="str">
            <v>CG00319</v>
          </cell>
        </row>
        <row r="323">
          <cell r="A323" t="str">
            <v>CG00320</v>
          </cell>
          <cell r="B323" t="str">
            <v>Vương Duy Hải (TTHN) 0968548096</v>
          </cell>
          <cell r="C323" t="str">
            <v>Thạch Thất, Hà Nội</v>
          </cell>
          <cell r="D323" t="str">
            <v>CG</v>
          </cell>
          <cell r="E323" t="e">
            <v>#N/A</v>
          </cell>
          <cell r="F323" t="str">
            <v>0968548096</v>
          </cell>
          <cell r="G323" t="e">
            <v>#N/A</v>
          </cell>
          <cell r="H323" t="e">
            <v>#N/A</v>
          </cell>
          <cell r="J323" t="str">
            <v>968548096</v>
          </cell>
          <cell r="K323" t="str">
            <v>CG00320</v>
          </cell>
        </row>
        <row r="324">
          <cell r="A324" t="str">
            <v>CG00321</v>
          </cell>
          <cell r="B324" t="str">
            <v>Phạm Ngọc Ngữ (KXTB) 0945526368</v>
          </cell>
          <cell r="C324" t="str">
            <v>Tây Giang, Tiền Hải, Thái Bình</v>
          </cell>
          <cell r="D324" t="str">
            <v>CG</v>
          </cell>
          <cell r="E324" t="e">
            <v>#N/A</v>
          </cell>
          <cell r="F324" t="str">
            <v>0945526368</v>
          </cell>
          <cell r="G324" t="e">
            <v>#N/A</v>
          </cell>
          <cell r="H324" t="e">
            <v>#N/A</v>
          </cell>
          <cell r="J324" t="str">
            <v>945526368</v>
          </cell>
          <cell r="K324" t="str">
            <v>CG00321</v>
          </cell>
        </row>
        <row r="325">
          <cell r="A325" t="str">
            <v>CG00322</v>
          </cell>
          <cell r="B325" t="str">
            <v>Vương Thị Hương (VTVP) 0346839745</v>
          </cell>
          <cell r="C325" t="str">
            <v>Vĩnh Tường, Vĩnh Phúc</v>
          </cell>
          <cell r="D325" t="str">
            <v>CG</v>
          </cell>
          <cell r="E325" t="e">
            <v>#N/A</v>
          </cell>
          <cell r="F325" t="str">
            <v>0346839745</v>
          </cell>
          <cell r="G325" t="e">
            <v>#N/A</v>
          </cell>
          <cell r="H325" t="e">
            <v>#N/A</v>
          </cell>
          <cell r="J325" t="str">
            <v>346839745</v>
          </cell>
          <cell r="K325" t="str">
            <v>CG00322</v>
          </cell>
        </row>
        <row r="326">
          <cell r="A326" t="str">
            <v>CG00323</v>
          </cell>
          <cell r="B326" t="str">
            <v>Công (YYND) 0945270555</v>
          </cell>
          <cell r="C326" t="str">
            <v>Ý Yên, Nam Định</v>
          </cell>
          <cell r="D326" t="str">
            <v>CG</v>
          </cell>
          <cell r="E326" t="e">
            <v>#N/A</v>
          </cell>
          <cell r="F326" t="str">
            <v>0945270555</v>
          </cell>
          <cell r="G326" t="e">
            <v>#N/A</v>
          </cell>
          <cell r="H326" t="e">
            <v>#N/A</v>
          </cell>
          <cell r="J326" t="str">
            <v>945270555</v>
          </cell>
          <cell r="K326" t="str">
            <v>CG00323</v>
          </cell>
        </row>
        <row r="327">
          <cell r="A327" t="str">
            <v>CG00324</v>
          </cell>
          <cell r="B327" t="str">
            <v>Tuân (TOHN) 0869982566</v>
          </cell>
          <cell r="C327" t="str">
            <v>Đỗ Động, Thanh Oai, Hà Nội.</v>
          </cell>
          <cell r="D327" t="str">
            <v>CG</v>
          </cell>
          <cell r="E327" t="e">
            <v>#N/A</v>
          </cell>
          <cell r="F327" t="str">
            <v>0869982566</v>
          </cell>
          <cell r="G327" t="e">
            <v>#N/A</v>
          </cell>
          <cell r="H327" t="e">
            <v>#N/A</v>
          </cell>
          <cell r="J327" t="str">
            <v>869982566</v>
          </cell>
          <cell r="K327" t="str">
            <v>CG00324</v>
          </cell>
        </row>
        <row r="328">
          <cell r="A328" t="str">
            <v>CG00325</v>
          </cell>
          <cell r="B328" t="str">
            <v>Nguyễn Văn Ích (QYQN) 0912524244</v>
          </cell>
          <cell r="C328" t="str">
            <v>Quảng Yên, Quảng Ninh</v>
          </cell>
          <cell r="D328" t="str">
            <v>CG</v>
          </cell>
          <cell r="E328" t="e">
            <v>#N/A</v>
          </cell>
          <cell r="F328" t="str">
            <v>0912524244</v>
          </cell>
          <cell r="G328" t="e">
            <v>#N/A</v>
          </cell>
          <cell r="H328" t="e">
            <v>#N/A</v>
          </cell>
          <cell r="J328" t="str">
            <v>912524244</v>
          </cell>
          <cell r="K328" t="str">
            <v>CG00325</v>
          </cell>
        </row>
        <row r="329">
          <cell r="A329" t="str">
            <v>CG00326</v>
          </cell>
          <cell r="B329" t="str">
            <v>Đỗ Mạnh Khởi (NDGTND) 036080002958 0945652905</v>
          </cell>
          <cell r="C329" t="str">
            <v>Ngô Đồng, Giao Thủy, Nam Định</v>
          </cell>
          <cell r="D329" t="str">
            <v>CG</v>
          </cell>
          <cell r="E329">
            <v>0</v>
          </cell>
          <cell r="F329" t="str">
            <v>0945652905</v>
          </cell>
          <cell r="G329" t="b">
            <v>0</v>
          </cell>
          <cell r="H329" t="b">
            <v>0</v>
          </cell>
          <cell r="J329" t="str">
            <v>945652905</v>
          </cell>
          <cell r="K329" t="str">
            <v>CG00326</v>
          </cell>
        </row>
        <row r="330">
          <cell r="A330" t="str">
            <v>CG00327</v>
          </cell>
          <cell r="B330" t="str">
            <v>Công ty TNHH Minh Chính (CLND) Chính 0913562193 0913848558 0857888555 0913848558</v>
          </cell>
          <cell r="C330" t="str">
            <v>Nam Thanh, Nam Trực, Nam Định</v>
          </cell>
          <cell r="D330" t="str">
            <v>CG</v>
          </cell>
          <cell r="E330" t="str">
            <v>0600343143</v>
          </cell>
          <cell r="F330" t="str">
            <v>0913848558</v>
          </cell>
          <cell r="G330" t="b">
            <v>0</v>
          </cell>
          <cell r="H330" t="b">
            <v>0</v>
          </cell>
          <cell r="J330" t="str">
            <v>913848558</v>
          </cell>
          <cell r="K330" t="str">
            <v>CG00327</v>
          </cell>
        </row>
        <row r="331">
          <cell r="A331" t="str">
            <v>CG00328</v>
          </cell>
          <cell r="B331" t="str">
            <v>Trương Đức Hùng (VMYPBN) 125011851 0946545850</v>
          </cell>
          <cell r="C331" t="str">
            <v>Văn Môn, Yên Phong, Bắc Ninh</v>
          </cell>
          <cell r="D331" t="str">
            <v>CG</v>
          </cell>
          <cell r="E331">
            <v>0</v>
          </cell>
          <cell r="F331" t="str">
            <v>0946545850</v>
          </cell>
          <cell r="G331" t="b">
            <v>0</v>
          </cell>
          <cell r="H331" t="b">
            <v>0</v>
          </cell>
          <cell r="J331" t="str">
            <v>946545850</v>
          </cell>
          <cell r="K331" t="str">
            <v>CG00328</v>
          </cell>
        </row>
        <row r="332">
          <cell r="A332" t="str">
            <v>CG00329</v>
          </cell>
          <cell r="B332" t="str">
            <v>Ninh Khắc Hảo (YNYYND) 036073007339 0949838258</v>
          </cell>
          <cell r="C332" t="str">
            <v>Yên Ninh, Ý Yên, Nam Định</v>
          </cell>
          <cell r="D332" t="str">
            <v>CG</v>
          </cell>
          <cell r="E332">
            <v>0</v>
          </cell>
          <cell r="F332" t="str">
            <v>0949838258</v>
          </cell>
          <cell r="G332" t="b">
            <v>0</v>
          </cell>
          <cell r="H332" t="b">
            <v>0</v>
          </cell>
          <cell r="J332" t="str">
            <v>949838258</v>
          </cell>
          <cell r="K332" t="str">
            <v>CG00329</v>
          </cell>
        </row>
        <row r="333">
          <cell r="A333" t="str">
            <v>CG00330</v>
          </cell>
          <cell r="B333" t="str">
            <v>Giáp (HLTH) 0886946306</v>
          </cell>
          <cell r="C333" t="str">
            <v>Hoa Lộc, Hậu Lộc, Thanh Hóa</v>
          </cell>
          <cell r="D333" t="str">
            <v>CG</v>
          </cell>
          <cell r="E333" t="e">
            <v>#N/A</v>
          </cell>
          <cell r="F333" t="str">
            <v>0886946306</v>
          </cell>
          <cell r="G333" t="e">
            <v>#N/A</v>
          </cell>
          <cell r="H333" t="e">
            <v>#N/A</v>
          </cell>
          <cell r="J333" t="str">
            <v>886946306</v>
          </cell>
          <cell r="K333" t="str">
            <v>CG00330</v>
          </cell>
        </row>
        <row r="334">
          <cell r="A334" t="str">
            <v>CG00331</v>
          </cell>
          <cell r="B334" t="str">
            <v>Thịnh (TTiHN) 0856668398</v>
          </cell>
          <cell r="C334" t="str">
            <v>Thường Tín, Hà Nội</v>
          </cell>
          <cell r="D334" t="str">
            <v>CG</v>
          </cell>
          <cell r="E334" t="e">
            <v>#N/A</v>
          </cell>
          <cell r="F334" t="str">
            <v>0856668398</v>
          </cell>
          <cell r="G334" t="e">
            <v>#N/A</v>
          </cell>
          <cell r="H334" t="e">
            <v>#N/A</v>
          </cell>
          <cell r="J334" t="str">
            <v>856668398</v>
          </cell>
          <cell r="K334" t="str">
            <v>CG00331</v>
          </cell>
        </row>
        <row r="335">
          <cell r="A335" t="str">
            <v>CG00332</v>
          </cell>
          <cell r="B335" t="str">
            <v>Mai Quang Đương (HBHP) 141730133 0983129799</v>
          </cell>
          <cell r="C335" t="str">
            <v>Hùng Vương, Hồng Bàng, Hải Phòng</v>
          </cell>
          <cell r="D335" t="str">
            <v>CG</v>
          </cell>
          <cell r="E335">
            <v>0</v>
          </cell>
          <cell r="F335" t="str">
            <v>0983129799</v>
          </cell>
          <cell r="G335" t="b">
            <v>0</v>
          </cell>
          <cell r="H335" t="b">
            <v>0</v>
          </cell>
          <cell r="J335" t="str">
            <v>983129799</v>
          </cell>
          <cell r="K335" t="str">
            <v>CG00332</v>
          </cell>
        </row>
        <row r="336">
          <cell r="A336" t="str">
            <v>CG00333</v>
          </cell>
          <cell r="B336" t="str">
            <v>Lê Quang Khỏe  (TBTPHD) 141528317 0975366368</v>
          </cell>
          <cell r="C336" t="str">
            <v>Thanh Bình, TP. Hải Dương</v>
          </cell>
          <cell r="D336" t="str">
            <v>CG</v>
          </cell>
          <cell r="E336">
            <v>0</v>
          </cell>
          <cell r="F336" t="str">
            <v>0975366368</v>
          </cell>
          <cell r="G336" t="b">
            <v>0</v>
          </cell>
          <cell r="H336" t="b">
            <v>0</v>
          </cell>
          <cell r="J336" t="str">
            <v>975366368</v>
          </cell>
          <cell r="K336" t="str">
            <v>CG00333</v>
          </cell>
        </row>
        <row r="337">
          <cell r="A337" t="str">
            <v>CG00334</v>
          </cell>
          <cell r="B337" t="str">
            <v>Hiệp (BGHD) 0904215366</v>
          </cell>
          <cell r="C337" t="str">
            <v>Bình Giang, Hải Dương</v>
          </cell>
          <cell r="D337" t="str">
            <v>CG</v>
          </cell>
          <cell r="E337" t="e">
            <v>#N/A</v>
          </cell>
          <cell r="F337" t="str">
            <v>0904215366</v>
          </cell>
          <cell r="G337" t="e">
            <v>#N/A</v>
          </cell>
          <cell r="H337" t="e">
            <v>#N/A</v>
          </cell>
          <cell r="J337" t="str">
            <v>904215366</v>
          </cell>
          <cell r="K337" t="str">
            <v>CG00334</v>
          </cell>
        </row>
        <row r="338">
          <cell r="A338" t="str">
            <v>CG00335</v>
          </cell>
          <cell r="B338" t="str">
            <v>Hoàng Bá Toàn (TLCLHT) 183093548 0975133197</v>
          </cell>
          <cell r="C338" t="str">
            <v>Trung Lộc, Can Lộc, Hà Tĩnh</v>
          </cell>
          <cell r="D338" t="str">
            <v>CG</v>
          </cell>
          <cell r="E338">
            <v>0</v>
          </cell>
          <cell r="F338" t="str">
            <v>0975133197</v>
          </cell>
          <cell r="G338" t="b">
            <v>0</v>
          </cell>
          <cell r="H338" t="b">
            <v>0</v>
          </cell>
          <cell r="J338" t="str">
            <v>975133197</v>
          </cell>
          <cell r="K338" t="str">
            <v>CG00335</v>
          </cell>
        </row>
        <row r="339">
          <cell r="A339" t="str">
            <v>CG00336</v>
          </cell>
          <cell r="B339" t="str">
            <v>Mạnh (STHN) 0584366666</v>
          </cell>
          <cell r="C339" t="str">
            <v>Sơn Tây, Hà Nội</v>
          </cell>
          <cell r="D339" t="str">
            <v>CG</v>
          </cell>
          <cell r="E339" t="e">
            <v>#N/A</v>
          </cell>
          <cell r="F339" t="str">
            <v>0584366666</v>
          </cell>
          <cell r="G339" t="e">
            <v>#N/A</v>
          </cell>
          <cell r="H339" t="e">
            <v>#N/A</v>
          </cell>
          <cell r="J339" t="str">
            <v>584366666</v>
          </cell>
          <cell r="K339" t="str">
            <v>CG00336</v>
          </cell>
        </row>
        <row r="340">
          <cell r="A340" t="str">
            <v>CG00337</v>
          </cell>
          <cell r="B340" t="str">
            <v>Chu Văn Chiêu (QLKXTB) 151767262 0987775084</v>
          </cell>
          <cell r="C340" t="str">
            <v>Quang Lịch, Kiến Xương, Thái Bình</v>
          </cell>
          <cell r="D340" t="str">
            <v>CG</v>
          </cell>
          <cell r="E340">
            <v>0</v>
          </cell>
          <cell r="F340" t="str">
            <v>0987775084</v>
          </cell>
          <cell r="G340" t="b">
            <v>0</v>
          </cell>
          <cell r="H340" t="b">
            <v>0</v>
          </cell>
          <cell r="J340" t="str">
            <v>987775084</v>
          </cell>
          <cell r="K340" t="str">
            <v>CG00337</v>
          </cell>
        </row>
        <row r="341">
          <cell r="A341" t="str">
            <v>CG00338</v>
          </cell>
          <cell r="B341" t="str">
            <v>Phạm Duy Huỳnh (PXTPTN) 090774117 0913595567</v>
          </cell>
          <cell r="C341" t="str">
            <v>Phú Xá, TP. Thái Nguyên</v>
          </cell>
          <cell r="D341" t="str">
            <v>CG</v>
          </cell>
          <cell r="E341">
            <v>0</v>
          </cell>
          <cell r="F341" t="str">
            <v>0913595567</v>
          </cell>
          <cell r="G341" t="b">
            <v>0</v>
          </cell>
          <cell r="H341" t="b">
            <v>0</v>
          </cell>
          <cell r="J341" t="str">
            <v>913595567</v>
          </cell>
          <cell r="K341" t="str">
            <v>CG00338</v>
          </cell>
        </row>
        <row r="342">
          <cell r="A342" t="str">
            <v>CG00339</v>
          </cell>
          <cell r="B342" t="str">
            <v>Bích (TPNB) 0915808265</v>
          </cell>
          <cell r="C342" t="str">
            <v>Tp.Ninh Bình</v>
          </cell>
          <cell r="D342" t="str">
            <v>CG</v>
          </cell>
          <cell r="E342">
            <v>0</v>
          </cell>
          <cell r="F342" t="str">
            <v>0915808265</v>
          </cell>
          <cell r="G342" t="b">
            <v>0</v>
          </cell>
          <cell r="H342" t="b">
            <v>0</v>
          </cell>
          <cell r="J342" t="str">
            <v>915808265</v>
          </cell>
          <cell r="K342" t="str">
            <v>CG00339</v>
          </cell>
        </row>
        <row r="343">
          <cell r="A343" t="str">
            <v>CG00340</v>
          </cell>
          <cell r="B343" t="str">
            <v>Tiến (DPHN) 0932398398</v>
          </cell>
          <cell r="C343" t="str">
            <v>Đan Phượng, Hà Nội</v>
          </cell>
          <cell r="D343" t="str">
            <v>CG</v>
          </cell>
          <cell r="E343" t="str">
            <v/>
          </cell>
          <cell r="F343" t="str">
            <v>0932398398</v>
          </cell>
          <cell r="G343" t="b">
            <v>0</v>
          </cell>
          <cell r="H343" t="b">
            <v>0</v>
          </cell>
          <cell r="J343" t="str">
            <v>932398398</v>
          </cell>
          <cell r="K343" t="str">
            <v>CG00340</v>
          </cell>
        </row>
        <row r="344">
          <cell r="A344" t="str">
            <v>CG00341</v>
          </cell>
          <cell r="B344" t="str">
            <v>Thành (LNHNA) 0394621431</v>
          </cell>
          <cell r="C344" t="str">
            <v>Lý Nhân, Hà Nam</v>
          </cell>
          <cell r="D344" t="str">
            <v>CG</v>
          </cell>
          <cell r="E344" t="e">
            <v>#N/A</v>
          </cell>
          <cell r="F344" t="str">
            <v>0394621431</v>
          </cell>
          <cell r="G344" t="e">
            <v>#N/A</v>
          </cell>
          <cell r="H344" t="e">
            <v>#N/A</v>
          </cell>
          <cell r="J344" t="str">
            <v>394621431</v>
          </cell>
          <cell r="K344" t="str">
            <v>CG00341</v>
          </cell>
        </row>
        <row r="345">
          <cell r="A345" t="str">
            <v>CG00342</v>
          </cell>
          <cell r="B345" t="str">
            <v>Đỉnh (KAHP) 0936546446</v>
          </cell>
          <cell r="C345" t="str">
            <v>Kiến An, Hải Phòng</v>
          </cell>
          <cell r="D345" t="str">
            <v>CG</v>
          </cell>
          <cell r="E345" t="e">
            <v>#N/A</v>
          </cell>
          <cell r="F345" t="str">
            <v>0936546446</v>
          </cell>
          <cell r="G345" t="e">
            <v>#N/A</v>
          </cell>
          <cell r="H345" t="e">
            <v>#N/A</v>
          </cell>
          <cell r="J345" t="str">
            <v>936546446</v>
          </cell>
          <cell r="K345" t="str">
            <v>CG00342</v>
          </cell>
        </row>
        <row r="346">
          <cell r="A346" t="str">
            <v>CG00343</v>
          </cell>
          <cell r="B346" t="str">
            <v>Mai Ngọc Hương (HPHHND) 162170427 0912894313</v>
          </cell>
          <cell r="C346" t="str">
            <v>Hải Phương, Hải Hậu, Nam Định</v>
          </cell>
          <cell r="D346" t="str">
            <v>CG</v>
          </cell>
          <cell r="E346">
            <v>0</v>
          </cell>
          <cell r="F346" t="str">
            <v>0912894313</v>
          </cell>
          <cell r="G346" t="b">
            <v>0</v>
          </cell>
          <cell r="H346" t="b">
            <v>0</v>
          </cell>
          <cell r="J346" t="str">
            <v>912894313</v>
          </cell>
          <cell r="K346" t="str">
            <v>CG00343</v>
          </cell>
        </row>
        <row r="347">
          <cell r="A347" t="str">
            <v>CG00344</v>
          </cell>
          <cell r="B347" t="str">
            <v>Doãn Văn Ảnh (TNGHP) 031666111 0356721316</v>
          </cell>
          <cell r="C347" t="str">
            <v>Núi Đèo, Thủy Nguyên, Hải Phòng</v>
          </cell>
          <cell r="D347" t="str">
            <v>CG</v>
          </cell>
          <cell r="E347">
            <v>0</v>
          </cell>
          <cell r="F347" t="str">
            <v>0356721316</v>
          </cell>
          <cell r="G347" t="b">
            <v>0</v>
          </cell>
          <cell r="H347" t="b">
            <v>0</v>
          </cell>
          <cell r="J347" t="str">
            <v>356721316</v>
          </cell>
          <cell r="K347" t="str">
            <v>CG00344</v>
          </cell>
        </row>
        <row r="348">
          <cell r="A348" t="str">
            <v>CG00345</v>
          </cell>
          <cell r="B348" t="str">
            <v>Nguyễn Đình Cường (NTKBHNA) 162063743 0984343402</v>
          </cell>
          <cell r="C348" t="str">
            <v>Nhật Tân, Kim Bảng, Hà Nam</v>
          </cell>
          <cell r="D348" t="str">
            <v>CG</v>
          </cell>
          <cell r="E348">
            <v>0</v>
          </cell>
          <cell r="F348" t="str">
            <v>0984343402</v>
          </cell>
          <cell r="G348" t="b">
            <v>0</v>
          </cell>
          <cell r="H348" t="b">
            <v>0</v>
          </cell>
          <cell r="J348" t="str">
            <v>984343402</v>
          </cell>
          <cell r="K348" t="str">
            <v>CG00345</v>
          </cell>
        </row>
        <row r="349">
          <cell r="A349" t="str">
            <v>CG00346</v>
          </cell>
          <cell r="B349" t="str">
            <v>Nguyễn Văn Vinh (HLHLTH) 174484323 0983832136</v>
          </cell>
          <cell r="C349" t="str">
            <v>Hưng Lộc, Hậu Lộc, Thanh Hóa</v>
          </cell>
          <cell r="D349" t="str">
            <v>CG</v>
          </cell>
          <cell r="E349">
            <v>0</v>
          </cell>
          <cell r="F349" t="str">
            <v>0983832136</v>
          </cell>
          <cell r="G349" t="b">
            <v>0</v>
          </cell>
          <cell r="H349" t="b">
            <v>0</v>
          </cell>
          <cell r="J349" t="str">
            <v>983832136</v>
          </cell>
          <cell r="K349" t="str">
            <v>CG00346</v>
          </cell>
        </row>
        <row r="350">
          <cell r="A350" t="str">
            <v>CG00347</v>
          </cell>
          <cell r="B350" t="str">
            <v>Nguyễn Văn Đông (YYND) 162353903 0976677316</v>
          </cell>
          <cell r="C350" t="str">
            <v>Ý Yên, Nam Định</v>
          </cell>
          <cell r="D350" t="str">
            <v>CG</v>
          </cell>
          <cell r="E350">
            <v>0</v>
          </cell>
          <cell r="F350" t="str">
            <v>0976677316</v>
          </cell>
          <cell r="G350" t="b">
            <v>0</v>
          </cell>
          <cell r="H350" t="b">
            <v>0</v>
          </cell>
          <cell r="J350" t="str">
            <v>976677316</v>
          </cell>
          <cell r="K350" t="str">
            <v>CG00347</v>
          </cell>
        </row>
        <row r="351">
          <cell r="A351" t="str">
            <v>CG00348</v>
          </cell>
          <cell r="B351" t="str">
            <v>Lê Đoài (QCTB) 151537489 0972882904 0933556222</v>
          </cell>
          <cell r="C351" t="str">
            <v>Quỳnh Côi, Quỳnh Phụ, Thái Bình</v>
          </cell>
          <cell r="D351" t="str">
            <v>CG</v>
          </cell>
          <cell r="E351">
            <v>0</v>
          </cell>
          <cell r="F351" t="str">
            <v>0933556222</v>
          </cell>
          <cell r="G351" t="b">
            <v>0</v>
          </cell>
          <cell r="H351" t="b">
            <v>0</v>
          </cell>
          <cell r="J351" t="str">
            <v>933556222</v>
          </cell>
          <cell r="K351" t="str">
            <v>CG00348</v>
          </cell>
        </row>
        <row r="352">
          <cell r="A352" t="str">
            <v>CG00349</v>
          </cell>
          <cell r="B352" t="str">
            <v>Lục (TLVP) 0975494632</v>
          </cell>
          <cell r="C352" t="str">
            <v>Thanh Lãng, Vĩnh Phúc</v>
          </cell>
          <cell r="D352" t="str">
            <v>CG</v>
          </cell>
          <cell r="E352">
            <v>0</v>
          </cell>
          <cell r="F352" t="str">
            <v>0975494632</v>
          </cell>
          <cell r="G352" t="b">
            <v>0</v>
          </cell>
          <cell r="H352" t="b">
            <v>0</v>
          </cell>
          <cell r="J352" t="str">
            <v>975494632</v>
          </cell>
          <cell r="K352" t="str">
            <v>CG00349</v>
          </cell>
        </row>
        <row r="353">
          <cell r="A353" t="str">
            <v>CG00350</v>
          </cell>
          <cell r="B353" t="str">
            <v>Tuấn Kẻ (DPHN) 0984322622</v>
          </cell>
          <cell r="C353" t="str">
            <v>Đan Phượng, Hà Nội</v>
          </cell>
          <cell r="D353" t="str">
            <v>CG</v>
          </cell>
          <cell r="E353">
            <v>0</v>
          </cell>
          <cell r="F353" t="str">
            <v>0984322622</v>
          </cell>
          <cell r="G353" t="b">
            <v>0</v>
          </cell>
          <cell r="H353" t="b">
            <v>0</v>
          </cell>
          <cell r="J353" t="str">
            <v>984322622</v>
          </cell>
          <cell r="K353" t="str">
            <v>CG00350</v>
          </cell>
        </row>
        <row r="354">
          <cell r="A354" t="str">
            <v>CG00351</v>
          </cell>
          <cell r="B354" t="str">
            <v>Đông (NLNA) 0384123096</v>
          </cell>
          <cell r="C354" t="str">
            <v>Nghi Lộc, Nghệ An</v>
          </cell>
          <cell r="D354" t="str">
            <v>CG</v>
          </cell>
          <cell r="E354" t="str">
            <v/>
          </cell>
          <cell r="F354" t="str">
            <v>0384123096</v>
          </cell>
          <cell r="G354" t="b">
            <v>0</v>
          </cell>
          <cell r="H354" t="b">
            <v>0</v>
          </cell>
          <cell r="J354" t="str">
            <v>384123096</v>
          </cell>
          <cell r="K354" t="str">
            <v>CG00351</v>
          </cell>
        </row>
        <row r="355">
          <cell r="A355" t="str">
            <v>CG00352</v>
          </cell>
          <cell r="B355" t="str">
            <v>Nguyễn Hữu Phương (LHDPHN) 11150717 0972927228</v>
          </cell>
          <cell r="C355" t="str">
            <v>Liên Hà, Đan Phượng, Hà Nội</v>
          </cell>
          <cell r="D355" t="str">
            <v>CG</v>
          </cell>
          <cell r="E355">
            <v>0</v>
          </cell>
          <cell r="F355" t="str">
            <v>0972927228</v>
          </cell>
          <cell r="G355" t="b">
            <v>0</v>
          </cell>
          <cell r="H355" t="b">
            <v>0</v>
          </cell>
          <cell r="J355" t="str">
            <v>972927228</v>
          </cell>
          <cell r="K355" t="str">
            <v>CG00352</v>
          </cell>
        </row>
        <row r="356">
          <cell r="A356" t="str">
            <v>CG00353</v>
          </cell>
          <cell r="B356" t="str">
            <v>Hoàng (CGHD) 0936629199</v>
          </cell>
          <cell r="C356" t="str">
            <v>Cẩm Giàng, Hải Dương</v>
          </cell>
          <cell r="D356" t="str">
            <v>CG</v>
          </cell>
          <cell r="E356" t="e">
            <v>#N/A</v>
          </cell>
          <cell r="F356" t="str">
            <v>0936629199</v>
          </cell>
          <cell r="G356" t="e">
            <v>#N/A</v>
          </cell>
          <cell r="H356" t="e">
            <v>#N/A</v>
          </cell>
          <cell r="J356" t="str">
            <v>936629199</v>
          </cell>
          <cell r="K356" t="str">
            <v>CG00353</v>
          </cell>
        </row>
        <row r="357">
          <cell r="A357" t="str">
            <v>CG00354</v>
          </cell>
          <cell r="B357" t="str">
            <v>Nguyễn Văn Cường (VKBG) 121341761 0915533221</v>
          </cell>
          <cell r="C357" t="str">
            <v>Dĩnh Kế. Bắc Giang, Bắc Giang</v>
          </cell>
          <cell r="D357" t="str">
            <v>CG</v>
          </cell>
          <cell r="E357">
            <v>0</v>
          </cell>
          <cell r="F357" t="str">
            <v>0915533221</v>
          </cell>
          <cell r="G357" t="b">
            <v>0</v>
          </cell>
          <cell r="H357" t="b">
            <v>0</v>
          </cell>
          <cell r="J357" t="str">
            <v>915533221</v>
          </cell>
          <cell r="K357" t="str">
            <v>CG00354</v>
          </cell>
        </row>
        <row r="358">
          <cell r="A358" t="str">
            <v>CG00355</v>
          </cell>
          <cell r="B358" t="str">
            <v>Duy (VTVP) 0911686688</v>
          </cell>
          <cell r="C358" t="str">
            <v>Vĩnh Tường, Vĩnh Phúc</v>
          </cell>
          <cell r="D358" t="str">
            <v>CG</v>
          </cell>
          <cell r="E358" t="e">
            <v>#N/A</v>
          </cell>
          <cell r="F358" t="str">
            <v>0911686688</v>
          </cell>
          <cell r="G358" t="e">
            <v>#N/A</v>
          </cell>
          <cell r="H358" t="e">
            <v>#N/A</v>
          </cell>
          <cell r="J358" t="str">
            <v>911686688</v>
          </cell>
          <cell r="K358" t="str">
            <v>CG00355</v>
          </cell>
        </row>
        <row r="359">
          <cell r="A359" t="str">
            <v>CG00356</v>
          </cell>
          <cell r="B359" t="str">
            <v>Chuyền (DHTB) 0904260158</v>
          </cell>
          <cell r="C359" t="str">
            <v>Đông La, Đông Hưng, Thái Bình</v>
          </cell>
          <cell r="D359" t="str">
            <v>CG</v>
          </cell>
          <cell r="E359">
            <v>0</v>
          </cell>
          <cell r="F359" t="str">
            <v>0904260158</v>
          </cell>
          <cell r="G359" t="b">
            <v>0</v>
          </cell>
          <cell r="H359" t="b">
            <v>0</v>
          </cell>
          <cell r="J359" t="str">
            <v>904260158</v>
          </cell>
          <cell r="K359" t="str">
            <v>CG00356</v>
          </cell>
        </row>
        <row r="360">
          <cell r="A360" t="str">
            <v>CG00357</v>
          </cell>
          <cell r="B360" t="str">
            <v>Vũ Xuân Thích (NSHD) 0904356038</v>
          </cell>
          <cell r="C360" t="str">
            <v>Thị Trấn Nam Sách, Hải Dương</v>
          </cell>
          <cell r="D360" t="str">
            <v>CG</v>
          </cell>
          <cell r="E360" t="e">
            <v>#N/A</v>
          </cell>
          <cell r="F360" t="str">
            <v>0904356038</v>
          </cell>
          <cell r="G360" t="e">
            <v>#N/A</v>
          </cell>
          <cell r="H360" t="e">
            <v>#N/A</v>
          </cell>
          <cell r="J360" t="str">
            <v>904356038</v>
          </cell>
          <cell r="K360" t="str">
            <v>CG00357</v>
          </cell>
        </row>
        <row r="361">
          <cell r="A361" t="str">
            <v>CG00358</v>
          </cell>
          <cell r="B361" t="str">
            <v>Chung (NHND) 0913581952</v>
          </cell>
          <cell r="C361" t="str">
            <v>Nghĩa Hưng, Nam Định</v>
          </cell>
          <cell r="D361" t="str">
            <v>CG</v>
          </cell>
          <cell r="E361" t="str">
            <v/>
          </cell>
          <cell r="F361" t="str">
            <v>0913581952</v>
          </cell>
          <cell r="G361" t="b">
            <v>0</v>
          </cell>
          <cell r="H361" t="b">
            <v>0</v>
          </cell>
          <cell r="J361" t="str">
            <v>913581952</v>
          </cell>
          <cell r="K361" t="str">
            <v>CG00358</v>
          </cell>
        </row>
        <row r="362">
          <cell r="A362" t="str">
            <v>CG00359</v>
          </cell>
          <cell r="B362" t="str">
            <v>Thuần (MDHP) 0974703218</v>
          </cell>
          <cell r="C362" t="str">
            <v>Mỹ Đoàn , Hải Phòng</v>
          </cell>
          <cell r="D362" t="str">
            <v>CG</v>
          </cell>
          <cell r="E362">
            <v>0</v>
          </cell>
          <cell r="F362" t="str">
            <v>0974703218</v>
          </cell>
          <cell r="G362" t="b">
            <v>0</v>
          </cell>
          <cell r="H362" t="b">
            <v>0</v>
          </cell>
          <cell r="J362" t="str">
            <v>974703218</v>
          </cell>
          <cell r="K362" t="str">
            <v>CG00359</v>
          </cell>
        </row>
        <row r="363">
          <cell r="A363" t="str">
            <v>CG00360</v>
          </cell>
          <cell r="B363" t="str">
            <v>Đinh Hữu Thắng (TBTPHD) 140200367 0903231150 0335390490</v>
          </cell>
          <cell r="C363" t="str">
            <v>Thanh Bình, TP. Hải Dương</v>
          </cell>
          <cell r="D363" t="str">
            <v>CG</v>
          </cell>
          <cell r="E363">
            <v>0</v>
          </cell>
          <cell r="F363" t="str">
            <v>0335390490</v>
          </cell>
          <cell r="G363" t="b">
            <v>0</v>
          </cell>
          <cell r="H363" t="b">
            <v>0</v>
          </cell>
          <cell r="J363" t="str">
            <v>335390490</v>
          </cell>
          <cell r="K363" t="str">
            <v>CG00360</v>
          </cell>
        </row>
        <row r="364">
          <cell r="A364" t="str">
            <v>CG00361</v>
          </cell>
          <cell r="B364" t="str">
            <v>Bùi Ngọc Điệp (PNUBQN) Cẩm 022086002027 0978884866 0984403986</v>
          </cell>
          <cell r="C364" t="str">
            <v>Phương Nam, Uông Bí, Quảng Ninh</v>
          </cell>
          <cell r="D364" t="str">
            <v>CG</v>
          </cell>
          <cell r="E364">
            <v>0</v>
          </cell>
          <cell r="F364" t="str">
            <v>0984403986</v>
          </cell>
          <cell r="G364" t="b">
            <v>0</v>
          </cell>
          <cell r="H364" t="b">
            <v>0</v>
          </cell>
          <cell r="J364" t="str">
            <v>984403986</v>
          </cell>
          <cell r="K364" t="str">
            <v>CG00361</v>
          </cell>
        </row>
        <row r="365">
          <cell r="A365" t="str">
            <v>CG00362</v>
          </cell>
          <cell r="B365" t="str">
            <v>Ngãi (VTVP) 0983772804</v>
          </cell>
          <cell r="C365" t="str">
            <v>Vĩnh Tường, Vĩnh Phúc</v>
          </cell>
          <cell r="D365" t="str">
            <v>CG</v>
          </cell>
          <cell r="E365" t="e">
            <v>#N/A</v>
          </cell>
          <cell r="F365" t="str">
            <v>0983772804</v>
          </cell>
          <cell r="G365" t="e">
            <v>#N/A</v>
          </cell>
          <cell r="H365" t="e">
            <v>#N/A</v>
          </cell>
          <cell r="J365" t="str">
            <v>983772804</v>
          </cell>
          <cell r="K365" t="str">
            <v>CG00362</v>
          </cell>
        </row>
        <row r="366">
          <cell r="A366" t="str">
            <v>CG00363</v>
          </cell>
          <cell r="B366" t="str">
            <v>Hoàng Thị Xuân (MCQN) 022156001149 0912458049 0338489765</v>
          </cell>
          <cell r="C366" t="str">
            <v>Hải Yên, Móng Cái, Quảng Ninh</v>
          </cell>
          <cell r="D366" t="str">
            <v>CG</v>
          </cell>
          <cell r="E366" t="str">
            <v/>
          </cell>
          <cell r="F366" t="str">
            <v>0338489765</v>
          </cell>
          <cell r="G366" t="b">
            <v>0</v>
          </cell>
          <cell r="H366" t="b">
            <v>0</v>
          </cell>
          <cell r="J366" t="str">
            <v>338489765</v>
          </cell>
          <cell r="K366" t="str">
            <v>CG00363</v>
          </cell>
        </row>
        <row r="367">
          <cell r="A367" t="str">
            <v>CG00364</v>
          </cell>
          <cell r="B367" t="str">
            <v>Nguyễn Văn Dũng (MDTNHP) 031080003531 0986857915</v>
          </cell>
          <cell r="C367" t="str">
            <v>Minh Đức, Thủy Nguyên, Hải Phòng</v>
          </cell>
          <cell r="D367" t="str">
            <v>CG</v>
          </cell>
          <cell r="E367">
            <v>0</v>
          </cell>
          <cell r="F367" t="str">
            <v>0986857915</v>
          </cell>
          <cell r="G367" t="b">
            <v>0</v>
          </cell>
          <cell r="H367" t="b">
            <v>0</v>
          </cell>
          <cell r="J367" t="str">
            <v>986857915</v>
          </cell>
          <cell r="K367" t="str">
            <v>CG00364</v>
          </cell>
        </row>
        <row r="368">
          <cell r="A368" t="str">
            <v>CG00365</v>
          </cell>
          <cell r="B368" t="str">
            <v>Công ty TNHH Tuấn Thành Phát TTP (TXTH) Hưng 0985562333</v>
          </cell>
          <cell r="C368" t="str">
            <v>Thọ Xuân, Thanh Hóa</v>
          </cell>
          <cell r="D368" t="str">
            <v>CG</v>
          </cell>
          <cell r="E368" t="str">
            <v>2802537498</v>
          </cell>
          <cell r="F368" t="str">
            <v>0985562333</v>
          </cell>
          <cell r="G368" t="b">
            <v>0</v>
          </cell>
          <cell r="H368" t="b">
            <v>0</v>
          </cell>
          <cell r="J368" t="str">
            <v>985562333</v>
          </cell>
          <cell r="K368" t="str">
            <v>CG00365</v>
          </cell>
        </row>
        <row r="369">
          <cell r="A369" t="str">
            <v>CG00366</v>
          </cell>
          <cell r="B369" t="str">
            <v>Thực (HHND) 0346125463</v>
          </cell>
          <cell r="C369" t="str">
            <v>Hải Hậu, Nam Định</v>
          </cell>
          <cell r="D369" t="str">
            <v>CG</v>
          </cell>
          <cell r="E369" t="e">
            <v>#N/A</v>
          </cell>
          <cell r="F369" t="str">
            <v>0346125463</v>
          </cell>
          <cell r="G369" t="e">
            <v>#N/A</v>
          </cell>
          <cell r="H369" t="e">
            <v>#N/A</v>
          </cell>
          <cell r="J369" t="str">
            <v>346125463</v>
          </cell>
          <cell r="K369" t="str">
            <v>CG00366</v>
          </cell>
        </row>
        <row r="370">
          <cell r="A370" t="str">
            <v>CG00367</v>
          </cell>
          <cell r="B370" t="str">
            <v>Nguyễn Văn Đạo (LTYTNA) 181550937 0982833632</v>
          </cell>
          <cell r="C370" t="str">
            <v>Long Thành, Yên Thành, Nghệ An</v>
          </cell>
          <cell r="D370" t="str">
            <v>CG</v>
          </cell>
          <cell r="E370">
            <v>0</v>
          </cell>
          <cell r="F370" t="str">
            <v>0982833632</v>
          </cell>
          <cell r="G370" t="b">
            <v>0</v>
          </cell>
          <cell r="H370" t="b">
            <v>0</v>
          </cell>
          <cell r="J370" t="str">
            <v>982833632</v>
          </cell>
          <cell r="K370" t="str">
            <v>CG00367</v>
          </cell>
        </row>
        <row r="371">
          <cell r="A371" t="str">
            <v>CG00368</v>
          </cell>
          <cell r="B371" t="str">
            <v>Chiến (HBQN) 0983379711</v>
          </cell>
          <cell r="C371" t="str">
            <v>Hoành Bồ, Quảng Ninh</v>
          </cell>
          <cell r="D371" t="str">
            <v>CG</v>
          </cell>
          <cell r="E371" t="e">
            <v>#N/A</v>
          </cell>
          <cell r="F371" t="str">
            <v>0983379711</v>
          </cell>
          <cell r="G371" t="e">
            <v>#N/A</v>
          </cell>
          <cell r="H371" t="e">
            <v>#N/A</v>
          </cell>
          <cell r="J371" t="str">
            <v>983379711</v>
          </cell>
          <cell r="K371" t="str">
            <v>CG00368</v>
          </cell>
        </row>
        <row r="372">
          <cell r="A372" t="str">
            <v>CG00369</v>
          </cell>
          <cell r="B372" t="str">
            <v>Hường (LNHNA) 0988488308</v>
          </cell>
          <cell r="C372" t="str">
            <v>Lý Nhân, Hà Nam</v>
          </cell>
          <cell r="D372" t="str">
            <v>CG</v>
          </cell>
          <cell r="E372" t="e">
            <v>#N/A</v>
          </cell>
          <cell r="F372" t="str">
            <v>0988488308</v>
          </cell>
          <cell r="G372" t="e">
            <v>#N/A</v>
          </cell>
          <cell r="H372" t="e">
            <v>#N/A</v>
          </cell>
          <cell r="J372" t="str">
            <v>988488308</v>
          </cell>
          <cell r="K372" t="str">
            <v>CG00369</v>
          </cell>
        </row>
        <row r="373">
          <cell r="A373" t="str">
            <v>CG00370</v>
          </cell>
          <cell r="B373" t="str">
            <v>Lê Thị Nhài (TPNB) Tỵ 037185005638 0913346712</v>
          </cell>
          <cell r="C373" t="str">
            <v>Tp.Ninh Bình</v>
          </cell>
          <cell r="D373" t="str">
            <v>CG</v>
          </cell>
          <cell r="E373">
            <v>0</v>
          </cell>
          <cell r="F373" t="str">
            <v>0913346712</v>
          </cell>
          <cell r="G373" t="b">
            <v>0</v>
          </cell>
          <cell r="H373" t="b">
            <v>0</v>
          </cell>
          <cell r="J373" t="str">
            <v>913346712</v>
          </cell>
          <cell r="K373" t="str">
            <v>CG00370</v>
          </cell>
        </row>
        <row r="374">
          <cell r="A374" t="str">
            <v>CG00371</v>
          </cell>
          <cell r="B374" t="str">
            <v>Hoàng Ngọc Bình (BMHNA) 035067001157 0915245733</v>
          </cell>
          <cell r="C374" t="str">
            <v>Bình Mỹ, Bình Lục, Hà Nam</v>
          </cell>
          <cell r="D374" t="str">
            <v>CG</v>
          </cell>
          <cell r="E374">
            <v>0</v>
          </cell>
          <cell r="F374" t="str">
            <v>0915245733</v>
          </cell>
          <cell r="G374" t="b">
            <v>0</v>
          </cell>
          <cell r="H374" t="b">
            <v>0</v>
          </cell>
          <cell r="J374" t="str">
            <v>915245733</v>
          </cell>
          <cell r="K374" t="str">
            <v>CG00371</v>
          </cell>
        </row>
        <row r="375">
          <cell r="A375" t="str">
            <v>CG00372</v>
          </cell>
          <cell r="B375" t="str">
            <v>Trần Văn Chiều (VBHP) 017171055 0944455229 0869696129</v>
          </cell>
          <cell r="C375" t="str">
            <v>Vĩnh Bảo, Hải Phòng</v>
          </cell>
          <cell r="D375" t="str">
            <v>CG</v>
          </cell>
          <cell r="E375">
            <v>0</v>
          </cell>
          <cell r="F375" t="str">
            <v>0869696129</v>
          </cell>
          <cell r="G375" t="b">
            <v>0</v>
          </cell>
          <cell r="H375" t="b">
            <v>0</v>
          </cell>
          <cell r="J375" t="str">
            <v>869696129</v>
          </cell>
          <cell r="K375" t="str">
            <v>CG00372</v>
          </cell>
        </row>
        <row r="376">
          <cell r="A376" t="str">
            <v>CG00373</v>
          </cell>
          <cell r="B376" t="str">
            <v>Ngô Trung Thức (HVHHND) Thỏa 160465294 0975593230</v>
          </cell>
          <cell r="C376" t="str">
            <v>Hải Vân, Hải Hậu, Nam Định</v>
          </cell>
          <cell r="D376" t="str">
            <v>CG</v>
          </cell>
          <cell r="E376">
            <v>0</v>
          </cell>
          <cell r="F376" t="str">
            <v>0975593230</v>
          </cell>
          <cell r="G376" t="b">
            <v>0</v>
          </cell>
          <cell r="H376" t="b">
            <v>0</v>
          </cell>
          <cell r="J376" t="str">
            <v>975593230</v>
          </cell>
          <cell r="K376" t="str">
            <v>CG00373</v>
          </cell>
        </row>
        <row r="377">
          <cell r="A377" t="str">
            <v>CG00374</v>
          </cell>
          <cell r="B377" t="str">
            <v>Phạm Văn Sỹ (NPNB) 037079002546 0912877232</v>
          </cell>
          <cell r="C377" t="str">
            <v>Số 160, Hai Bà Trưng, Ninh Phong, Ninh Bình.</v>
          </cell>
          <cell r="D377" t="str">
            <v>CG</v>
          </cell>
          <cell r="E377" t="str">
            <v/>
          </cell>
          <cell r="F377" t="str">
            <v>0912877232</v>
          </cell>
          <cell r="G377" t="b">
            <v>0</v>
          </cell>
          <cell r="H377" t="b">
            <v>0</v>
          </cell>
          <cell r="J377" t="str">
            <v>912877232</v>
          </cell>
          <cell r="K377" t="str">
            <v>CG00374</v>
          </cell>
        </row>
        <row r="378">
          <cell r="A378" t="str">
            <v>CG00375</v>
          </cell>
          <cell r="B378" t="str">
            <v>Minh (TTHN) 0968866178</v>
          </cell>
          <cell r="C378" t="str">
            <v>Thạch Thất, Hà Nội</v>
          </cell>
          <cell r="D378" t="str">
            <v>CG</v>
          </cell>
          <cell r="E378" t="e">
            <v>#N/A</v>
          </cell>
          <cell r="F378" t="str">
            <v>0968866178</v>
          </cell>
          <cell r="G378" t="e">
            <v>#N/A</v>
          </cell>
          <cell r="H378" t="e">
            <v>#N/A</v>
          </cell>
          <cell r="J378" t="str">
            <v>968866178</v>
          </cell>
          <cell r="K378" t="str">
            <v>CG00375</v>
          </cell>
        </row>
        <row r="379">
          <cell r="A379" t="str">
            <v>CG00376</v>
          </cell>
          <cell r="B379" t="str">
            <v>Chú Dũng (GVNB) 0913232135</v>
          </cell>
          <cell r="C379" t="str">
            <v>Gia Viễn, Ninh Bình</v>
          </cell>
          <cell r="D379" t="str">
            <v>CG</v>
          </cell>
          <cell r="E379" t="e">
            <v>#N/A</v>
          </cell>
          <cell r="F379" t="str">
            <v>0913232135</v>
          </cell>
          <cell r="G379" t="e">
            <v>#N/A</v>
          </cell>
          <cell r="H379" t="e">
            <v>#N/A</v>
          </cell>
          <cell r="J379" t="str">
            <v>913232135</v>
          </cell>
          <cell r="K379" t="str">
            <v>CG00376</v>
          </cell>
        </row>
        <row r="380">
          <cell r="A380" t="str">
            <v>CG00377</v>
          </cell>
          <cell r="B380" t="str">
            <v>DNTN TM Hoa Tiên (TTIHN) Hoa 0382293886</v>
          </cell>
          <cell r="C380" t="str">
            <v>Thường Tín, Hà Nội</v>
          </cell>
          <cell r="D380" t="str">
            <v>CG</v>
          </cell>
          <cell r="E380" t="str">
            <v>0104285127</v>
          </cell>
          <cell r="F380" t="str">
            <v>0382293886</v>
          </cell>
          <cell r="G380" t="b">
            <v>0</v>
          </cell>
          <cell r="H380" t="b">
            <v>0</v>
          </cell>
          <cell r="J380" t="str">
            <v>382293886</v>
          </cell>
          <cell r="K380" t="str">
            <v>CG00377</v>
          </cell>
        </row>
        <row r="381">
          <cell r="A381" t="str">
            <v>CG00378</v>
          </cell>
          <cell r="B381" t="str">
            <v>Đoàn (CLND) 0975552099</v>
          </cell>
          <cell r="C381" t="str">
            <v>Cổ Lễ, Nam Định</v>
          </cell>
          <cell r="D381" t="str">
            <v>CG</v>
          </cell>
          <cell r="E381">
            <v>0</v>
          </cell>
          <cell r="F381" t="str">
            <v>0975552099</v>
          </cell>
          <cell r="G381" t="b">
            <v>0</v>
          </cell>
          <cell r="H381" t="b">
            <v>0</v>
          </cell>
          <cell r="J381" t="str">
            <v>975552099</v>
          </cell>
          <cell r="K381" t="str">
            <v>CG00378</v>
          </cell>
        </row>
        <row r="382">
          <cell r="A382" t="str">
            <v>CG00379</v>
          </cell>
          <cell r="B382" t="str">
            <v>Hào (YDTH) 0919498308</v>
          </cell>
          <cell r="C382" t="str">
            <v>Yên Định, Thanh Hóa</v>
          </cell>
          <cell r="D382" t="str">
            <v>CG</v>
          </cell>
          <cell r="E382" t="e">
            <v>#N/A</v>
          </cell>
          <cell r="F382" t="str">
            <v>0919498308</v>
          </cell>
          <cell r="G382" t="e">
            <v>#N/A</v>
          </cell>
          <cell r="H382" t="e">
            <v>#N/A</v>
          </cell>
          <cell r="J382" t="str">
            <v>919498308</v>
          </cell>
          <cell r="K382" t="str">
            <v>CG00379</v>
          </cell>
        </row>
        <row r="383">
          <cell r="A383" t="str">
            <v>CG00380</v>
          </cell>
          <cell r="B383" t="str">
            <v>Quý (KXTB) 0903443887</v>
          </cell>
          <cell r="C383" t="str">
            <v>Tây Giang, Tiền Hải, Thái Bình</v>
          </cell>
          <cell r="D383" t="str">
            <v>CG</v>
          </cell>
          <cell r="E383" t="e">
            <v>#N/A</v>
          </cell>
          <cell r="F383" t="str">
            <v>0903443887</v>
          </cell>
          <cell r="G383" t="e">
            <v>#N/A</v>
          </cell>
          <cell r="H383" t="e">
            <v>#N/A</v>
          </cell>
          <cell r="J383" t="str">
            <v>903443887</v>
          </cell>
          <cell r="K383" t="str">
            <v>CG00380</v>
          </cell>
        </row>
        <row r="384">
          <cell r="A384" t="str">
            <v>CG00381</v>
          </cell>
          <cell r="B384" t="str">
            <v>Giang (DKHP) 0911123479</v>
          </cell>
          <cell r="C384" t="str">
            <v>Dương Kinh, Hải Phòng</v>
          </cell>
          <cell r="D384" t="str">
            <v>CG</v>
          </cell>
          <cell r="E384" t="e">
            <v>#N/A</v>
          </cell>
          <cell r="F384" t="str">
            <v>0911123479</v>
          </cell>
          <cell r="G384" t="e">
            <v>#N/A</v>
          </cell>
          <cell r="H384" t="e">
            <v>#N/A</v>
          </cell>
          <cell r="J384" t="str">
            <v>911123479</v>
          </cell>
          <cell r="K384" t="str">
            <v>CG00381</v>
          </cell>
        </row>
        <row r="385">
          <cell r="A385" t="str">
            <v>CG00382</v>
          </cell>
          <cell r="B385" t="str">
            <v>Tuân (TOHN) 0911662256</v>
          </cell>
          <cell r="C385" t="str">
            <v>Đỗ Động, Thanh Oai, Hà Nội.</v>
          </cell>
          <cell r="D385" t="str">
            <v>CG</v>
          </cell>
          <cell r="E385" t="e">
            <v>#N/A</v>
          </cell>
          <cell r="F385" t="str">
            <v>0911662256</v>
          </cell>
          <cell r="G385" t="e">
            <v>#N/A</v>
          </cell>
          <cell r="H385" t="e">
            <v>#N/A</v>
          </cell>
          <cell r="J385" t="str">
            <v>911662256</v>
          </cell>
          <cell r="K385" t="str">
            <v>CG00382</v>
          </cell>
        </row>
        <row r="386">
          <cell r="A386" t="str">
            <v>CG00383</v>
          </cell>
          <cell r="B386" t="str">
            <v>Thực (HHND) 0979749199</v>
          </cell>
          <cell r="C386" t="str">
            <v>Hải Hậu, Nam Định</v>
          </cell>
          <cell r="D386" t="str">
            <v>CG</v>
          </cell>
          <cell r="E386" t="e">
            <v>#N/A</v>
          </cell>
          <cell r="F386" t="str">
            <v>0979749199</v>
          </cell>
          <cell r="G386" t="e">
            <v>#N/A</v>
          </cell>
          <cell r="H386" t="e">
            <v>#N/A</v>
          </cell>
          <cell r="J386" t="str">
            <v>979749199</v>
          </cell>
          <cell r="K386" t="str">
            <v>CG00383</v>
          </cell>
        </row>
        <row r="387">
          <cell r="A387" t="str">
            <v>CG00384</v>
          </cell>
          <cell r="B387" t="str">
            <v>Tuyết (VTVP) 0988527308</v>
          </cell>
          <cell r="C387" t="str">
            <v>Vĩnh Tường, Vĩnh Phúc</v>
          </cell>
          <cell r="D387" t="str">
            <v>CG</v>
          </cell>
          <cell r="E387" t="e">
            <v>#N/A</v>
          </cell>
          <cell r="F387" t="str">
            <v>0988527308</v>
          </cell>
          <cell r="G387" t="e">
            <v>#N/A</v>
          </cell>
          <cell r="H387" t="e">
            <v>#N/A</v>
          </cell>
          <cell r="J387" t="str">
            <v>988527308</v>
          </cell>
          <cell r="K387" t="str">
            <v>CG00384</v>
          </cell>
        </row>
        <row r="388">
          <cell r="A388" t="str">
            <v>CG00385</v>
          </cell>
          <cell r="B388" t="str">
            <v>Hiền (TTHN) 0394704988</v>
          </cell>
          <cell r="C388" t="str">
            <v>Thạch Thất, Hà Nội</v>
          </cell>
          <cell r="D388" t="str">
            <v>CG</v>
          </cell>
          <cell r="E388" t="e">
            <v>#N/A</v>
          </cell>
          <cell r="F388" t="str">
            <v>0394704988</v>
          </cell>
          <cell r="G388" t="e">
            <v>#N/A</v>
          </cell>
          <cell r="H388" t="e">
            <v>#N/A</v>
          </cell>
          <cell r="J388" t="str">
            <v>394704988</v>
          </cell>
          <cell r="K388" t="str">
            <v>CG00385</v>
          </cell>
        </row>
        <row r="389">
          <cell r="A389" t="str">
            <v>CG00386</v>
          </cell>
          <cell r="B389" t="str">
            <v>Mai (TSBN) 0972266285</v>
          </cell>
          <cell r="C389" t="str">
            <v>Từ Sơn, Bắc Ninh</v>
          </cell>
          <cell r="D389" t="str">
            <v>CG</v>
          </cell>
          <cell r="E389" t="e">
            <v>#N/A</v>
          </cell>
          <cell r="F389" t="str">
            <v>0972266285</v>
          </cell>
          <cell r="G389" t="e">
            <v>#N/A</v>
          </cell>
          <cell r="H389" t="e">
            <v>#N/A</v>
          </cell>
          <cell r="J389" t="str">
            <v>972266285</v>
          </cell>
          <cell r="K389" t="str">
            <v>CG00386</v>
          </cell>
        </row>
        <row r="390">
          <cell r="A390" t="str">
            <v>CG00387</v>
          </cell>
          <cell r="B390" t="str">
            <v>Hải Thanh (HDHN) 0903443887</v>
          </cell>
          <cell r="C390" t="str">
            <v>Hà Đông, Hà Nội</v>
          </cell>
          <cell r="D390" t="str">
            <v>CG</v>
          </cell>
          <cell r="E390" t="e">
            <v>#N/A</v>
          </cell>
          <cell r="F390" t="str">
            <v>0903443887</v>
          </cell>
          <cell r="G390" t="e">
            <v>#N/A</v>
          </cell>
          <cell r="H390" t="e">
            <v>#N/A</v>
          </cell>
          <cell r="J390" t="str">
            <v>903443887</v>
          </cell>
          <cell r="K390" t="str">
            <v>CG00387</v>
          </cell>
        </row>
        <row r="391">
          <cell r="A391" t="str">
            <v>CG00388</v>
          </cell>
          <cell r="B391" t="str">
            <v>Lập (KDHY) 0392504928</v>
          </cell>
          <cell r="C391" t="str">
            <v>Kim Động, Hưng Yên</v>
          </cell>
          <cell r="D391" t="str">
            <v>CG</v>
          </cell>
          <cell r="E391" t="e">
            <v>#N/A</v>
          </cell>
          <cell r="F391" t="str">
            <v>0392504928</v>
          </cell>
          <cell r="G391" t="e">
            <v>#N/A</v>
          </cell>
          <cell r="H391" t="e">
            <v>#N/A</v>
          </cell>
          <cell r="J391" t="str">
            <v>392504928</v>
          </cell>
          <cell r="K391" t="str">
            <v>CG00388</v>
          </cell>
        </row>
        <row r="392">
          <cell r="A392" t="str">
            <v>CG00389</v>
          </cell>
          <cell r="B392" t="str">
            <v>Lịch (TPND) 0919057696</v>
          </cell>
          <cell r="C392" t="str">
            <v>TP. Nam Định</v>
          </cell>
          <cell r="D392" t="str">
            <v>CG</v>
          </cell>
          <cell r="E392" t="e">
            <v>#N/A</v>
          </cell>
          <cell r="F392" t="str">
            <v>0919057696</v>
          </cell>
          <cell r="G392" t="e">
            <v>#N/A</v>
          </cell>
          <cell r="H392" t="e">
            <v>#N/A</v>
          </cell>
          <cell r="J392" t="str">
            <v>919057696</v>
          </cell>
          <cell r="K392" t="str">
            <v>CG00389</v>
          </cell>
        </row>
        <row r="393">
          <cell r="A393" t="str">
            <v>CG00390</v>
          </cell>
          <cell r="B393" t="str">
            <v>Ca (SSTH) 0988965346</v>
          </cell>
          <cell r="C393" t="str">
            <v>Sầm Sơn, Thanh Hóa</v>
          </cell>
          <cell r="D393" t="str">
            <v>CG</v>
          </cell>
          <cell r="E393">
            <v>0</v>
          </cell>
          <cell r="F393" t="str">
            <v>0988965346</v>
          </cell>
          <cell r="G393" t="b">
            <v>0</v>
          </cell>
          <cell r="H393" t="b">
            <v>0</v>
          </cell>
          <cell r="J393" t="str">
            <v>988965346</v>
          </cell>
          <cell r="K393" t="str">
            <v>CG00390</v>
          </cell>
        </row>
        <row r="394">
          <cell r="A394" t="str">
            <v>CG00391</v>
          </cell>
          <cell r="B394" t="str">
            <v>Đỗ Văn Phước (DNHDHN) 111685384 0904247463</v>
          </cell>
          <cell r="C394" t="str">
            <v>Dương Nội, Hà Đông, Hà Nội</v>
          </cell>
          <cell r="D394" t="str">
            <v>CG</v>
          </cell>
          <cell r="E394">
            <v>0</v>
          </cell>
          <cell r="F394" t="str">
            <v>0904247463</v>
          </cell>
          <cell r="G394" t="b">
            <v>0</v>
          </cell>
          <cell r="H394" t="b">
            <v>0</v>
          </cell>
          <cell r="J394" t="str">
            <v>904247463</v>
          </cell>
          <cell r="K394" t="str">
            <v>CG00391</v>
          </cell>
        </row>
        <row r="395">
          <cell r="A395" t="str">
            <v>CG00392</v>
          </cell>
          <cell r="B395" t="str">
            <v>Toàn (CMHN) 0972222335</v>
          </cell>
          <cell r="C395" t="str">
            <v>Thụy Hương, Chương Mỹ, Hà Nội</v>
          </cell>
          <cell r="D395" t="str">
            <v>CG</v>
          </cell>
          <cell r="E395" t="e">
            <v>#N/A</v>
          </cell>
          <cell r="F395" t="str">
            <v>0972222335</v>
          </cell>
          <cell r="G395" t="e">
            <v>#N/A</v>
          </cell>
          <cell r="H395" t="e">
            <v>#N/A</v>
          </cell>
          <cell r="J395" t="str">
            <v>972222335</v>
          </cell>
          <cell r="K395" t="str">
            <v>CG00392</v>
          </cell>
        </row>
        <row r="396">
          <cell r="A396" t="str">
            <v>CG00393</v>
          </cell>
          <cell r="B396" t="str">
            <v>Khương (TKHD) 0948079427</v>
          </cell>
          <cell r="C396" t="str">
            <v>Tứ Kỳ, Hải Dương</v>
          </cell>
          <cell r="D396" t="str">
            <v>CG</v>
          </cell>
          <cell r="E396">
            <v>0</v>
          </cell>
          <cell r="F396" t="str">
            <v>0948079427</v>
          </cell>
          <cell r="G396" t="b">
            <v>0</v>
          </cell>
          <cell r="H396" t="b">
            <v>0</v>
          </cell>
          <cell r="J396" t="str">
            <v>948079427</v>
          </cell>
          <cell r="K396" t="str">
            <v>CG00393</v>
          </cell>
        </row>
        <row r="397">
          <cell r="A397" t="str">
            <v>CG00394</v>
          </cell>
          <cell r="B397" t="str">
            <v>Công ty CP XD và TM Kiên Cường (SSTH) Cường 0916494833</v>
          </cell>
          <cell r="C397" t="str">
            <v>Sầm Sơn, Thanh Hóa</v>
          </cell>
          <cell r="D397" t="str">
            <v>CG</v>
          </cell>
          <cell r="E397" t="str">
            <v>2801135429</v>
          </cell>
          <cell r="F397" t="str">
            <v>0916494833</v>
          </cell>
          <cell r="G397" t="b">
            <v>0</v>
          </cell>
          <cell r="H397" t="b">
            <v>0</v>
          </cell>
          <cell r="J397" t="str">
            <v>916494833</v>
          </cell>
          <cell r="K397" t="str">
            <v>CG00394</v>
          </cell>
        </row>
        <row r="398">
          <cell r="A398" t="str">
            <v>CG00395</v>
          </cell>
          <cell r="B398" t="str">
            <v>Chung (CPQN) 0783414086</v>
          </cell>
          <cell r="C398" t="str">
            <v>Cẩm Phả, Quảng Ninh</v>
          </cell>
          <cell r="D398" t="str">
            <v>CG</v>
          </cell>
          <cell r="E398" t="e">
            <v>#N/A</v>
          </cell>
          <cell r="F398" t="str">
            <v>0783414086</v>
          </cell>
          <cell r="G398" t="e">
            <v>#N/A</v>
          </cell>
          <cell r="H398" t="e">
            <v>#N/A</v>
          </cell>
          <cell r="J398" t="str">
            <v>783414086</v>
          </cell>
          <cell r="K398" t="str">
            <v>CG00395</v>
          </cell>
        </row>
        <row r="399">
          <cell r="A399" t="str">
            <v>CG00396</v>
          </cell>
          <cell r="B399" t="str">
            <v>Huy (HDHN) 0915523468</v>
          </cell>
          <cell r="C399" t="str">
            <v>Hà Đông, Hà Nội</v>
          </cell>
          <cell r="D399" t="str">
            <v>CG</v>
          </cell>
          <cell r="E399" t="e">
            <v>#N/A</v>
          </cell>
          <cell r="F399" t="str">
            <v>0915523468</v>
          </cell>
          <cell r="G399" t="e">
            <v>#N/A</v>
          </cell>
          <cell r="H399" t="e">
            <v>#N/A</v>
          </cell>
          <cell r="J399" t="str">
            <v>915523468</v>
          </cell>
          <cell r="K399" t="str">
            <v>CG00396</v>
          </cell>
        </row>
        <row r="400">
          <cell r="A400" t="str">
            <v>CG00397</v>
          </cell>
          <cell r="B400" t="str">
            <v>Khiêm (NHND) 0948346289</v>
          </cell>
          <cell r="C400" t="str">
            <v>Nghĩa Hưng, Nam Định</v>
          </cell>
          <cell r="D400" t="str">
            <v>CG</v>
          </cell>
          <cell r="E400" t="e">
            <v>#N/A</v>
          </cell>
          <cell r="F400" t="str">
            <v>0948346289</v>
          </cell>
          <cell r="G400" t="e">
            <v>#N/A</v>
          </cell>
          <cell r="H400" t="e">
            <v>#N/A</v>
          </cell>
          <cell r="J400" t="str">
            <v>948346289</v>
          </cell>
          <cell r="K400" t="str">
            <v>CG00397</v>
          </cell>
        </row>
        <row r="401">
          <cell r="A401" t="str">
            <v>CG00398</v>
          </cell>
          <cell r="B401" t="str">
            <v>Khuyên (TTHN) 0912456193</v>
          </cell>
          <cell r="C401" t="str">
            <v>Thạch Thất, Hà Nội</v>
          </cell>
          <cell r="D401" t="str">
            <v>CG</v>
          </cell>
          <cell r="E401">
            <v>0</v>
          </cell>
          <cell r="F401" t="str">
            <v>0912456193</v>
          </cell>
          <cell r="G401" t="b">
            <v>0</v>
          </cell>
          <cell r="H401" t="b">
            <v>0</v>
          </cell>
          <cell r="J401" t="str">
            <v>912456193</v>
          </cell>
          <cell r="K401" t="str">
            <v>CG00398</v>
          </cell>
        </row>
        <row r="402">
          <cell r="A402" t="str">
            <v>CG00399</v>
          </cell>
          <cell r="B402" t="str">
            <v>Trường (NHTQ) 0974618888</v>
          </cell>
          <cell r="C402" t="str">
            <v>Na Hang, Tuyên Quang</v>
          </cell>
          <cell r="D402" t="str">
            <v>CG</v>
          </cell>
          <cell r="E402" t="e">
            <v>#N/A</v>
          </cell>
          <cell r="F402" t="str">
            <v>0974618888</v>
          </cell>
          <cell r="G402" t="e">
            <v>#N/A</v>
          </cell>
          <cell r="H402" t="e">
            <v>#N/A</v>
          </cell>
          <cell r="J402" t="str">
            <v>974618888</v>
          </cell>
          <cell r="K402" t="str">
            <v>CG00399</v>
          </cell>
        </row>
        <row r="403">
          <cell r="A403" t="str">
            <v>CG00400</v>
          </cell>
          <cell r="B403" t="str">
            <v>Lê Văn Việt (VAVBHP) 031088001968 0972971888</v>
          </cell>
          <cell r="C403" t="str">
            <v>Vĩnh An, Vĩnh Bảo, Hải Phòng</v>
          </cell>
          <cell r="D403" t="str">
            <v>CG</v>
          </cell>
          <cell r="E403">
            <v>0</v>
          </cell>
          <cell r="F403" t="str">
            <v>0972971888</v>
          </cell>
          <cell r="G403" t="b">
            <v>0</v>
          </cell>
          <cell r="H403" t="b">
            <v>0</v>
          </cell>
          <cell r="J403" t="str">
            <v>972971888</v>
          </cell>
          <cell r="K403" t="str">
            <v>CG00400</v>
          </cell>
        </row>
        <row r="404">
          <cell r="A404" t="str">
            <v>CG00401</v>
          </cell>
          <cell r="B404" t="str">
            <v>Nhắc (KSNB) 0967723933</v>
          </cell>
          <cell r="C404" t="str">
            <v>Kim Sơn, Ninh Bình</v>
          </cell>
          <cell r="D404" t="str">
            <v>CG</v>
          </cell>
          <cell r="E404" t="e">
            <v>#N/A</v>
          </cell>
          <cell r="F404" t="str">
            <v>0967723933</v>
          </cell>
          <cell r="G404" t="e">
            <v>#N/A</v>
          </cell>
          <cell r="H404" t="e">
            <v>#N/A</v>
          </cell>
          <cell r="J404" t="str">
            <v>967723933</v>
          </cell>
          <cell r="K404" t="str">
            <v>CG00401</v>
          </cell>
        </row>
        <row r="405">
          <cell r="A405" t="str">
            <v>CG00402</v>
          </cell>
          <cell r="B405" t="str">
            <v>Nhân (HHTB) 0968595033</v>
          </cell>
          <cell r="C405" t="str">
            <v>Liên Hiệp, Hưng Hà, Thái Bình</v>
          </cell>
          <cell r="D405" t="str">
            <v>CG</v>
          </cell>
          <cell r="E405" t="e">
            <v>#N/A</v>
          </cell>
          <cell r="F405" t="str">
            <v>0968595033</v>
          </cell>
          <cell r="G405" t="e">
            <v>#N/A</v>
          </cell>
          <cell r="H405" t="e">
            <v>#N/A</v>
          </cell>
          <cell r="J405" t="str">
            <v>968595033</v>
          </cell>
          <cell r="K405" t="str">
            <v>CG00402</v>
          </cell>
        </row>
        <row r="406">
          <cell r="A406" t="str">
            <v>CG00403</v>
          </cell>
          <cell r="B406" t="str">
            <v>Minh (YYND) 0914274361</v>
          </cell>
          <cell r="C406" t="str">
            <v>Ý Yên, Nam Định</v>
          </cell>
          <cell r="D406" t="str">
            <v>CG</v>
          </cell>
          <cell r="E406">
            <v>0</v>
          </cell>
          <cell r="F406" t="str">
            <v>0914274361</v>
          </cell>
          <cell r="G406" t="b">
            <v>0</v>
          </cell>
          <cell r="H406" t="b">
            <v>0</v>
          </cell>
          <cell r="J406" t="str">
            <v>914274361</v>
          </cell>
          <cell r="K406" t="str">
            <v>CG00403</v>
          </cell>
        </row>
        <row r="407">
          <cell r="A407" t="str">
            <v>CG00404</v>
          </cell>
          <cell r="B407" t="str">
            <v>Thái Quang Dũng (TSDLNA) 183337809 0969677888</v>
          </cell>
          <cell r="C407" t="str">
            <v>Tràng Sơn, Đô Lương, Nghệ An</v>
          </cell>
          <cell r="D407" t="str">
            <v>CG</v>
          </cell>
          <cell r="E407">
            <v>0</v>
          </cell>
          <cell r="F407" t="str">
            <v>0969677888</v>
          </cell>
          <cell r="G407" t="b">
            <v>0</v>
          </cell>
          <cell r="H407" t="b">
            <v>0</v>
          </cell>
          <cell r="J407" t="str">
            <v>969677888</v>
          </cell>
          <cell r="K407" t="str">
            <v>CG00404</v>
          </cell>
        </row>
        <row r="408">
          <cell r="A408" t="str">
            <v>CG00405</v>
          </cell>
          <cell r="B408" t="str">
            <v>Tấn (TPHD) 0967606134</v>
          </cell>
          <cell r="C408" t="str">
            <v>Tp. Hải Dương</v>
          </cell>
          <cell r="D408" t="str">
            <v>CG</v>
          </cell>
          <cell r="E408" t="e">
            <v>#N/A</v>
          </cell>
          <cell r="F408" t="str">
            <v>0967606134</v>
          </cell>
          <cell r="G408" t="e">
            <v>#N/A</v>
          </cell>
          <cell r="H408" t="e">
            <v>#N/A</v>
          </cell>
          <cell r="J408" t="str">
            <v>967606134</v>
          </cell>
          <cell r="K408" t="str">
            <v>CG00405</v>
          </cell>
        </row>
        <row r="409">
          <cell r="A409" t="str">
            <v>CG00406</v>
          </cell>
          <cell r="B409" t="str">
            <v>Nghĩa (VTVP) 0984757660</v>
          </cell>
          <cell r="C409" t="str">
            <v>Vĩnh Tường, Vĩnh Phúc</v>
          </cell>
          <cell r="D409" t="str">
            <v>CG</v>
          </cell>
          <cell r="E409" t="e">
            <v>#N/A</v>
          </cell>
          <cell r="F409" t="str">
            <v>0984757660</v>
          </cell>
          <cell r="G409" t="e">
            <v>#N/A</v>
          </cell>
          <cell r="H409" t="e">
            <v>#N/A</v>
          </cell>
          <cell r="J409" t="str">
            <v>984757660</v>
          </cell>
          <cell r="K409" t="str">
            <v>CG00406</v>
          </cell>
        </row>
        <row r="410">
          <cell r="A410" t="str">
            <v>CG00407</v>
          </cell>
          <cell r="B410" t="str">
            <v>Long (TTIHN) 0772211188</v>
          </cell>
          <cell r="C410" t="str">
            <v>Thường Tín, Hà Nội</v>
          </cell>
          <cell r="D410" t="str">
            <v>CG</v>
          </cell>
          <cell r="E410">
            <v>0</v>
          </cell>
          <cell r="F410" t="str">
            <v>0772211188</v>
          </cell>
          <cell r="G410" t="b">
            <v>0</v>
          </cell>
          <cell r="H410" t="b">
            <v>0</v>
          </cell>
          <cell r="J410" t="str">
            <v>772211188</v>
          </cell>
          <cell r="K410" t="str">
            <v>CG00407</v>
          </cell>
        </row>
        <row r="411">
          <cell r="A411" t="str">
            <v>CG00408</v>
          </cell>
          <cell r="B411" t="str">
            <v>Lán (KXTB) 0973294636</v>
          </cell>
          <cell r="C411" t="str">
            <v>Tây Giang, Tiền Hải, Thái Bình</v>
          </cell>
          <cell r="D411" t="str">
            <v>CG</v>
          </cell>
          <cell r="E411" t="e">
            <v>#N/A</v>
          </cell>
          <cell r="F411" t="str">
            <v>0973294636</v>
          </cell>
          <cell r="G411" t="e">
            <v>#N/A</v>
          </cell>
          <cell r="H411" t="e">
            <v>#N/A</v>
          </cell>
          <cell r="J411" t="str">
            <v>973294636</v>
          </cell>
          <cell r="K411" t="str">
            <v>CG00408</v>
          </cell>
        </row>
        <row r="412">
          <cell r="A412" t="str">
            <v>CG00409</v>
          </cell>
          <cell r="B412" t="str">
            <v>Cán (ATHY) 0977358465</v>
          </cell>
          <cell r="C412" t="str">
            <v>Ân Thi, Hưng Yên</v>
          </cell>
          <cell r="D412" t="str">
            <v>CG</v>
          </cell>
          <cell r="E412" t="e">
            <v>#N/A</v>
          </cell>
          <cell r="F412" t="str">
            <v>0977358465</v>
          </cell>
          <cell r="G412" t="e">
            <v>#N/A</v>
          </cell>
          <cell r="H412" t="e">
            <v>#N/A</v>
          </cell>
          <cell r="J412" t="str">
            <v>977358465</v>
          </cell>
          <cell r="K412" t="str">
            <v>CG00409</v>
          </cell>
        </row>
        <row r="413">
          <cell r="A413" t="str">
            <v>CG00410</v>
          </cell>
          <cell r="B413" t="str">
            <v>Trâm (HLTH) 0374904719</v>
          </cell>
          <cell r="C413" t="str">
            <v>Hoa Lộc, Hậu Lộc, Thanh Hóa</v>
          </cell>
          <cell r="D413" t="str">
            <v>CG</v>
          </cell>
          <cell r="E413" t="e">
            <v>#N/A</v>
          </cell>
          <cell r="F413" t="str">
            <v>0374904719</v>
          </cell>
          <cell r="G413" t="e">
            <v>#N/A</v>
          </cell>
          <cell r="H413" t="e">
            <v>#N/A</v>
          </cell>
          <cell r="J413" t="str">
            <v>374904719</v>
          </cell>
          <cell r="K413" t="str">
            <v>CG00410</v>
          </cell>
        </row>
        <row r="414">
          <cell r="A414" t="str">
            <v>CG00411</v>
          </cell>
          <cell r="B414" t="str">
            <v>Công ty TNHH TM Hải Anh Quân (XHNDNA) Giang 0977504888</v>
          </cell>
          <cell r="C414" t="str">
            <v>Xuân Hòa, Nam Đàn, Nghệ An</v>
          </cell>
          <cell r="D414" t="str">
            <v>CG</v>
          </cell>
          <cell r="E414" t="str">
            <v>2901903025</v>
          </cell>
          <cell r="F414" t="str">
            <v>0977504888</v>
          </cell>
          <cell r="G414" t="b">
            <v>0</v>
          </cell>
          <cell r="H414" t="b">
            <v>0</v>
          </cell>
          <cell r="J414" t="str">
            <v>977504888</v>
          </cell>
          <cell r="K414" t="str">
            <v>CG00411</v>
          </cell>
        </row>
        <row r="415">
          <cell r="A415" t="str">
            <v>CG00412</v>
          </cell>
          <cell r="B415" t="str">
            <v>Nguyễn Văn Minh (YBYYND) 164338195 0983563135</v>
          </cell>
          <cell r="C415" t="str">
            <v>Yên Bằng, Ý Yên, Nam Định</v>
          </cell>
          <cell r="D415" t="str">
            <v>CG</v>
          </cell>
          <cell r="E415">
            <v>0</v>
          </cell>
          <cell r="F415" t="str">
            <v>0983563135</v>
          </cell>
          <cell r="G415" t="b">
            <v>0</v>
          </cell>
          <cell r="H415" t="b">
            <v>0</v>
          </cell>
          <cell r="J415" t="str">
            <v>983563135</v>
          </cell>
          <cell r="K415" t="str">
            <v>CG00412</v>
          </cell>
        </row>
        <row r="416">
          <cell r="A416" t="str">
            <v>CG00413</v>
          </cell>
          <cell r="B416" t="str">
            <v>Tiến (LNHNA) 0976250526</v>
          </cell>
          <cell r="C416" t="str">
            <v>Lý Nhân, Hà Nam</v>
          </cell>
          <cell r="D416" t="str">
            <v>CG</v>
          </cell>
          <cell r="E416" t="e">
            <v>#N/A</v>
          </cell>
          <cell r="F416" t="str">
            <v>0976250526</v>
          </cell>
          <cell r="G416" t="e">
            <v>#N/A</v>
          </cell>
          <cell r="H416" t="e">
            <v>#N/A</v>
          </cell>
          <cell r="J416" t="str">
            <v>976250526</v>
          </cell>
          <cell r="K416" t="str">
            <v>CG00413</v>
          </cell>
        </row>
        <row r="417">
          <cell r="A417" t="str">
            <v>CG00414</v>
          </cell>
          <cell r="B417" t="str">
            <v>Đệ (TPNB) 0903838295</v>
          </cell>
          <cell r="C417" t="str">
            <v>Tp.Ninh Bình</v>
          </cell>
          <cell r="D417" t="str">
            <v>CG</v>
          </cell>
          <cell r="E417" t="e">
            <v>#N/A</v>
          </cell>
          <cell r="F417" t="str">
            <v>0903838295</v>
          </cell>
          <cell r="G417" t="e">
            <v>#N/A</v>
          </cell>
          <cell r="H417" t="e">
            <v>#N/A</v>
          </cell>
          <cell r="J417" t="str">
            <v>903838295</v>
          </cell>
          <cell r="K417" t="str">
            <v>CG00414</v>
          </cell>
        </row>
        <row r="418">
          <cell r="A418" t="str">
            <v>CG00415</v>
          </cell>
          <cell r="B418" t="str">
            <v>Lê Văn Trượng (VTTTIHN) 111452168 0912822641</v>
          </cell>
          <cell r="C418" t="str">
            <v>Văn Tự, Thường Tín, Hà Nội</v>
          </cell>
          <cell r="D418" t="str">
            <v>CG</v>
          </cell>
          <cell r="E418">
            <v>0</v>
          </cell>
          <cell r="F418" t="str">
            <v>0912822641</v>
          </cell>
          <cell r="G418" t="b">
            <v>0</v>
          </cell>
          <cell r="H418" t="b">
            <v>0</v>
          </cell>
          <cell r="J418" t="str">
            <v>912822641</v>
          </cell>
          <cell r="K418" t="str">
            <v>CG00415</v>
          </cell>
        </row>
        <row r="419">
          <cell r="A419" t="str">
            <v>CG00416</v>
          </cell>
          <cell r="B419" t="str">
            <v>Cường (KMHD) 0707880999</v>
          </cell>
          <cell r="C419" t="str">
            <v>Thượng Quận, Kinh Môn, Hải Dương</v>
          </cell>
          <cell r="D419" t="str">
            <v>CG</v>
          </cell>
          <cell r="E419" t="e">
            <v>#N/A</v>
          </cell>
          <cell r="F419" t="str">
            <v>0707880999</v>
          </cell>
          <cell r="G419" t="e">
            <v>#N/A</v>
          </cell>
          <cell r="H419" t="e">
            <v>#N/A</v>
          </cell>
          <cell r="J419" t="str">
            <v>707880999</v>
          </cell>
          <cell r="K419" t="str">
            <v>CG00416</v>
          </cell>
        </row>
        <row r="420">
          <cell r="A420" t="str">
            <v>CG00417</v>
          </cell>
          <cell r="B420" t="str">
            <v>Sơn (VLHY) 0985943111</v>
          </cell>
          <cell r="C420" t="str">
            <v>Văn Lâm, Hưng Yên</v>
          </cell>
          <cell r="D420" t="str">
            <v>CG</v>
          </cell>
          <cell r="E420" t="e">
            <v>#N/A</v>
          </cell>
          <cell r="F420" t="str">
            <v>0985943111</v>
          </cell>
          <cell r="G420" t="e">
            <v>#N/A</v>
          </cell>
          <cell r="H420" t="e">
            <v>#N/A</v>
          </cell>
          <cell r="J420" t="str">
            <v>985943111</v>
          </cell>
          <cell r="K420" t="str">
            <v>CG00417</v>
          </cell>
        </row>
        <row r="421">
          <cell r="A421" t="str">
            <v>CG00418</v>
          </cell>
          <cell r="B421" t="str">
            <v>Ngân (HHTH) 0912892158</v>
          </cell>
          <cell r="C421" t="str">
            <v>Hoằng Hóa, Thanh Hoá</v>
          </cell>
          <cell r="D421" t="str">
            <v>CG</v>
          </cell>
          <cell r="E421" t="e">
            <v>#N/A</v>
          </cell>
          <cell r="F421" t="str">
            <v>0912892158</v>
          </cell>
          <cell r="G421" t="e">
            <v>#N/A</v>
          </cell>
          <cell r="H421" t="e">
            <v>#N/A</v>
          </cell>
          <cell r="J421" t="str">
            <v>912892158</v>
          </cell>
          <cell r="K421" t="str">
            <v>CG00418</v>
          </cell>
        </row>
        <row r="422">
          <cell r="A422" t="str">
            <v>CG00419</v>
          </cell>
          <cell r="B422" t="str">
            <v>Thiện (TNHP) 0855556988</v>
          </cell>
          <cell r="C422" t="str">
            <v>Thủy Nguyên, Hải Phòng</v>
          </cell>
          <cell r="D422" t="str">
            <v>CG</v>
          </cell>
          <cell r="E422" t="e">
            <v>#N/A</v>
          </cell>
          <cell r="F422" t="str">
            <v>0855556988</v>
          </cell>
          <cell r="G422" t="e">
            <v>#N/A</v>
          </cell>
          <cell r="H422" t="e">
            <v>#N/A</v>
          </cell>
          <cell r="J422" t="str">
            <v>855556988</v>
          </cell>
          <cell r="K422" t="str">
            <v>CG00419</v>
          </cell>
        </row>
        <row r="423">
          <cell r="A423" t="str">
            <v>CG00420</v>
          </cell>
          <cell r="B423" t="str">
            <v>Lê Văn Ước (MTTNHP) 031067005014 0936698259</v>
          </cell>
          <cell r="C423" t="str">
            <v>Minh Tân, Thủy Nguyên, Hải Phòng</v>
          </cell>
          <cell r="D423" t="str">
            <v>CG</v>
          </cell>
          <cell r="E423">
            <v>0</v>
          </cell>
          <cell r="F423" t="str">
            <v>0936698259</v>
          </cell>
          <cell r="G423" t="b">
            <v>0</v>
          </cell>
          <cell r="H423" t="b">
            <v>0</v>
          </cell>
          <cell r="J423" t="str">
            <v>936698259</v>
          </cell>
          <cell r="K423" t="str">
            <v>CG00420</v>
          </cell>
        </row>
        <row r="424">
          <cell r="A424" t="str">
            <v>CG00421</v>
          </cell>
          <cell r="B424" t="str">
            <v>Hùng (TPHD) 0912503368</v>
          </cell>
          <cell r="C424" t="str">
            <v>Tp. Hải Dương</v>
          </cell>
          <cell r="D424" t="str">
            <v>CG</v>
          </cell>
          <cell r="E424" t="e">
            <v>#N/A</v>
          </cell>
          <cell r="F424" t="str">
            <v>0912503368</v>
          </cell>
          <cell r="G424" t="e">
            <v>#N/A</v>
          </cell>
          <cell r="H424" t="e">
            <v>#N/A</v>
          </cell>
          <cell r="J424" t="str">
            <v>912503368</v>
          </cell>
          <cell r="K424" t="str">
            <v>CG00421</v>
          </cell>
        </row>
        <row r="425">
          <cell r="A425" t="str">
            <v>CG00422</v>
          </cell>
          <cell r="B425" t="str">
            <v>Đàm (TSHN) 0912265388</v>
          </cell>
          <cell r="C425" t="str">
            <v>Trúc Sơn, Hà Nội</v>
          </cell>
          <cell r="D425" t="str">
            <v>CG</v>
          </cell>
          <cell r="E425" t="str">
            <v/>
          </cell>
          <cell r="F425" t="str">
            <v>0912265388</v>
          </cell>
          <cell r="G425" t="b">
            <v>0</v>
          </cell>
          <cell r="H425" t="b">
            <v>0</v>
          </cell>
          <cell r="J425" t="str">
            <v>912265388</v>
          </cell>
          <cell r="K425" t="str">
            <v>CG00422</v>
          </cell>
        </row>
        <row r="426">
          <cell r="A426" t="str">
            <v>CG00423</v>
          </cell>
          <cell r="B426" t="str">
            <v>Quy (DKHP) 0848035179</v>
          </cell>
          <cell r="C426" t="str">
            <v>Dương Kinh, Hải Phòng</v>
          </cell>
          <cell r="D426" t="str">
            <v>CG</v>
          </cell>
          <cell r="E426" t="e">
            <v>#N/A</v>
          </cell>
          <cell r="F426" t="str">
            <v>0848035179</v>
          </cell>
          <cell r="G426" t="e">
            <v>#N/A</v>
          </cell>
          <cell r="H426" t="e">
            <v>#N/A</v>
          </cell>
          <cell r="J426" t="str">
            <v>848035179</v>
          </cell>
          <cell r="K426" t="str">
            <v>CG00423</v>
          </cell>
        </row>
        <row r="427">
          <cell r="A427" t="str">
            <v>CG00424</v>
          </cell>
          <cell r="B427" t="str">
            <v>Cường (HDHN) 0912073630</v>
          </cell>
          <cell r="C427" t="str">
            <v>Hà Đông, Hà Nội</v>
          </cell>
          <cell r="D427" t="str">
            <v>CG</v>
          </cell>
          <cell r="E427">
            <v>0</v>
          </cell>
          <cell r="F427" t="str">
            <v>0912073630</v>
          </cell>
          <cell r="G427" t="b">
            <v>0</v>
          </cell>
          <cell r="H427" t="b">
            <v>0</v>
          </cell>
          <cell r="J427" t="str">
            <v>912073630</v>
          </cell>
          <cell r="K427" t="str">
            <v>CG00424</v>
          </cell>
        </row>
        <row r="428">
          <cell r="A428" t="str">
            <v>CG00425</v>
          </cell>
          <cell r="B428" t="str">
            <v>Minh (YYND) 0948248047</v>
          </cell>
          <cell r="C428" t="str">
            <v>Ý Yên, Nam Định</v>
          </cell>
          <cell r="D428" t="str">
            <v>CG</v>
          </cell>
          <cell r="E428" t="e">
            <v>#N/A</v>
          </cell>
          <cell r="F428" t="str">
            <v>0948248047</v>
          </cell>
          <cell r="G428" t="e">
            <v>#N/A</v>
          </cell>
          <cell r="H428" t="e">
            <v>#N/A</v>
          </cell>
          <cell r="J428" t="str">
            <v>948248047</v>
          </cell>
          <cell r="K428" t="str">
            <v>CG00425</v>
          </cell>
        </row>
        <row r="429">
          <cell r="A429" t="str">
            <v>CG00426</v>
          </cell>
          <cell r="B429" t="str">
            <v>Huệ (NTND) 0948669594</v>
          </cell>
          <cell r="C429" t="str">
            <v>Nam Trực, Nam Định</v>
          </cell>
          <cell r="D429" t="str">
            <v>CG</v>
          </cell>
          <cell r="E429" t="str">
            <v/>
          </cell>
          <cell r="F429" t="str">
            <v>0948669594</v>
          </cell>
          <cell r="G429" t="b">
            <v>0</v>
          </cell>
          <cell r="H429" t="b">
            <v>0</v>
          </cell>
          <cell r="J429" t="str">
            <v>948669594</v>
          </cell>
          <cell r="K429" t="str">
            <v>CG00426</v>
          </cell>
        </row>
        <row r="430">
          <cell r="A430" t="str">
            <v>CG00427</v>
          </cell>
          <cell r="B430" t="str">
            <v>Công ty CP Thương mại và Xây dựng Đông Dương (UHHN) 0396258139</v>
          </cell>
          <cell r="C430" t="str">
            <v>Đồng Hóa, Kim Bảng, Hà Nam.</v>
          </cell>
          <cell r="D430" t="str">
            <v>CG</v>
          </cell>
          <cell r="E430" t="str">
            <v>0101264009</v>
          </cell>
          <cell r="F430" t="str">
            <v>0396258139</v>
          </cell>
          <cell r="G430" t="b">
            <v>0</v>
          </cell>
          <cell r="H430" t="b">
            <v>0</v>
          </cell>
          <cell r="J430" t="str">
            <v>396258139</v>
          </cell>
          <cell r="K430" t="str">
            <v>CG00427</v>
          </cell>
        </row>
        <row r="431">
          <cell r="A431" t="str">
            <v>CG00428</v>
          </cell>
          <cell r="B431" t="str">
            <v>Chiến (HHND) 0379540878</v>
          </cell>
          <cell r="C431" t="str">
            <v>Hải Hậu, Nam Định</v>
          </cell>
          <cell r="D431" t="str">
            <v>CG</v>
          </cell>
          <cell r="E431" t="e">
            <v>#N/A</v>
          </cell>
          <cell r="F431" t="str">
            <v>0379540878</v>
          </cell>
          <cell r="G431" t="e">
            <v>#N/A</v>
          </cell>
          <cell r="H431" t="e">
            <v>#N/A</v>
          </cell>
          <cell r="J431" t="str">
            <v>379540878</v>
          </cell>
          <cell r="K431" t="str">
            <v>CG00428</v>
          </cell>
        </row>
        <row r="432">
          <cell r="A432" t="str">
            <v>CG00429</v>
          </cell>
          <cell r="B432" t="str">
            <v>Phạm Văn Cường (DNHDHN) 001072013008 0367403999</v>
          </cell>
          <cell r="C432" t="str">
            <v>Dương Nội, Hà Đông, Hà Nội</v>
          </cell>
          <cell r="D432" t="str">
            <v>CG</v>
          </cell>
          <cell r="E432">
            <v>0</v>
          </cell>
          <cell r="F432" t="str">
            <v>0367403999</v>
          </cell>
          <cell r="G432" t="b">
            <v>0</v>
          </cell>
          <cell r="H432" t="b">
            <v>0</v>
          </cell>
          <cell r="J432" t="str">
            <v>367403999</v>
          </cell>
          <cell r="K432" t="str">
            <v>CG00429</v>
          </cell>
        </row>
        <row r="433">
          <cell r="A433" t="str">
            <v>CG00430</v>
          </cell>
          <cell r="B433" t="str">
            <v>Học (HHND) 0913248622</v>
          </cell>
          <cell r="C433" t="str">
            <v>Hải Hậu, Nam Định</v>
          </cell>
          <cell r="D433" t="str">
            <v>CG</v>
          </cell>
          <cell r="E433">
            <v>0</v>
          </cell>
          <cell r="F433" t="str">
            <v>0913248622</v>
          </cell>
          <cell r="G433" t="b">
            <v>0</v>
          </cell>
          <cell r="H433" t="b">
            <v>0</v>
          </cell>
          <cell r="J433" t="str">
            <v>913248622</v>
          </cell>
          <cell r="K433" t="str">
            <v>CG00430</v>
          </cell>
        </row>
        <row r="434">
          <cell r="A434" t="str">
            <v>CG00431</v>
          </cell>
          <cell r="B434" t="str">
            <v>Nguyễn Minh Châu (HAHHND) 161569905 0915606406</v>
          </cell>
          <cell r="C434" t="str">
            <v>Hải Anh, Hải Hậu, Nam Định</v>
          </cell>
          <cell r="D434" t="str">
            <v>CG</v>
          </cell>
          <cell r="E434">
            <v>0</v>
          </cell>
          <cell r="F434" t="str">
            <v>0915606406</v>
          </cell>
          <cell r="G434" t="b">
            <v>0</v>
          </cell>
          <cell r="H434" t="b">
            <v>0</v>
          </cell>
          <cell r="J434" t="str">
            <v>915606406</v>
          </cell>
          <cell r="K434" t="str">
            <v>CG00431</v>
          </cell>
        </row>
        <row r="435">
          <cell r="A435" t="str">
            <v>CG00432</v>
          </cell>
          <cell r="B435" t="str">
            <v>Tiến (TPDN) 0905108038</v>
          </cell>
          <cell r="C435" t="str">
            <v>Tp. Đà Nẵng</v>
          </cell>
          <cell r="D435" t="str">
            <v>CG</v>
          </cell>
          <cell r="E435" t="e">
            <v>#N/A</v>
          </cell>
          <cell r="F435" t="str">
            <v>0905108038</v>
          </cell>
          <cell r="G435" t="e">
            <v>#N/A</v>
          </cell>
          <cell r="H435" t="e">
            <v>#N/A</v>
          </cell>
          <cell r="J435" t="str">
            <v>905108038</v>
          </cell>
          <cell r="K435" t="str">
            <v>CG00432</v>
          </cell>
        </row>
        <row r="436">
          <cell r="A436" t="str">
            <v>CG00433</v>
          </cell>
          <cell r="B436" t="str">
            <v>Đông (QLNA) 0972900933</v>
          </cell>
          <cell r="C436" t="str">
            <v>Quỳnh Lưu, Nghệ An</v>
          </cell>
          <cell r="D436" t="str">
            <v>CG</v>
          </cell>
          <cell r="E436" t="e">
            <v>#N/A</v>
          </cell>
          <cell r="F436" t="str">
            <v>0972900933</v>
          </cell>
          <cell r="G436" t="e">
            <v>#N/A</v>
          </cell>
          <cell r="H436" t="e">
            <v>#N/A</v>
          </cell>
          <cell r="J436" t="str">
            <v>972900933</v>
          </cell>
          <cell r="K436" t="str">
            <v>CG00433</v>
          </cell>
        </row>
        <row r="437">
          <cell r="A437" t="str">
            <v>CG00434</v>
          </cell>
          <cell r="B437" t="str">
            <v>CÔNG TY TNHH TC XANH</v>
          </cell>
          <cell r="C437" t="str">
            <v>Số 467, tổ 30 cụm 4, Phường Nhật Tân, Quận Tây Hồ, Thành phố Hà Nội, Việt Nam</v>
          </cell>
          <cell r="D437" t="str">
            <v>CG</v>
          </cell>
          <cell r="E437" t="str">
            <v>0106114021</v>
          </cell>
          <cell r="F437" t="str">
            <v>0915595009</v>
          </cell>
          <cell r="G437" t="e">
            <v>#N/A</v>
          </cell>
          <cell r="H437" t="e">
            <v>#N/A</v>
          </cell>
          <cell r="J437" t="str">
            <v>H TC XANH</v>
          </cell>
          <cell r="K437" t="str">
            <v>CG00434</v>
          </cell>
        </row>
        <row r="438">
          <cell r="A438" t="str">
            <v>CG00435</v>
          </cell>
          <cell r="B438" t="str">
            <v>Long (YPBN) 0839498668</v>
          </cell>
          <cell r="C438" t="str">
            <v>Yên Phong, Bắc Ninh</v>
          </cell>
          <cell r="D438" t="str">
            <v>CG</v>
          </cell>
          <cell r="E438">
            <v>0</v>
          </cell>
          <cell r="F438" t="str">
            <v>0839498668</v>
          </cell>
          <cell r="G438" t="b">
            <v>0</v>
          </cell>
          <cell r="H438" t="b">
            <v>0</v>
          </cell>
          <cell r="J438" t="str">
            <v>839498668</v>
          </cell>
          <cell r="K438" t="str">
            <v>CG00435</v>
          </cell>
        </row>
        <row r="439">
          <cell r="A439" t="str">
            <v>CG00436</v>
          </cell>
          <cell r="B439" t="str">
            <v>CÔNG TY TNHH THƯƠNG MẠI VÀ DỊCH VỤ LESSON 0985616169</v>
          </cell>
          <cell r="C439" t="str">
            <v>A32 đường Tô Ký, Phường Tân Chánh Hiệp, Quận 12, Thành phố Hồ Chí Minh, Việt Nam</v>
          </cell>
          <cell r="D439" t="str">
            <v>CG</v>
          </cell>
          <cell r="E439" t="str">
            <v>0318336668</v>
          </cell>
          <cell r="F439" t="str">
            <v>0985616169</v>
          </cell>
          <cell r="G439" t="e">
            <v>#N/A</v>
          </cell>
          <cell r="H439" t="e">
            <v>#N/A</v>
          </cell>
          <cell r="J439" t="str">
            <v>985616169</v>
          </cell>
          <cell r="K439" t="str">
            <v>CG00436</v>
          </cell>
        </row>
        <row r="440">
          <cell r="A440" t="str">
            <v>CG00437</v>
          </cell>
          <cell r="B440" t="str">
            <v>Trần Chí Hiếu (NTKBHNA) 168153427 0982122398</v>
          </cell>
          <cell r="C440" t="str">
            <v>Nhật Tân, Kim Bảng, Hà Nam</v>
          </cell>
          <cell r="D440" t="str">
            <v>CG</v>
          </cell>
          <cell r="E440">
            <v>0</v>
          </cell>
          <cell r="F440" t="str">
            <v>0982122398</v>
          </cell>
          <cell r="G440" t="b">
            <v>0</v>
          </cell>
          <cell r="H440" t="b">
            <v>0</v>
          </cell>
          <cell r="J440" t="str">
            <v>982122398</v>
          </cell>
          <cell r="K440" t="str">
            <v>CG00437</v>
          </cell>
        </row>
        <row r="441">
          <cell r="A441" t="str">
            <v>CG00438</v>
          </cell>
          <cell r="B441" t="str">
            <v>Hinh (HHND) 0912334107</v>
          </cell>
          <cell r="C441" t="str">
            <v>Hải Hậu, Nam Định</v>
          </cell>
          <cell r="D441" t="str">
            <v>CG</v>
          </cell>
          <cell r="E441" t="str">
            <v/>
          </cell>
          <cell r="F441" t="str">
            <v>0912334107</v>
          </cell>
          <cell r="G441" t="b">
            <v>0</v>
          </cell>
          <cell r="H441" t="b">
            <v>0</v>
          </cell>
          <cell r="J441" t="str">
            <v>912334107</v>
          </cell>
          <cell r="K441" t="str">
            <v>CG00438</v>
          </cell>
        </row>
        <row r="442">
          <cell r="A442" t="str">
            <v>CG00439</v>
          </cell>
          <cell r="B442" t="str">
            <v>Hoàng Đình Tuân (KSGLHN) 012156891 0983026079</v>
          </cell>
          <cell r="C442" t="str">
            <v>Kim Sơn, Gia Lâm, Hà Nội</v>
          </cell>
          <cell r="D442" t="str">
            <v>CG</v>
          </cell>
          <cell r="E442">
            <v>0</v>
          </cell>
          <cell r="F442" t="str">
            <v>0983026079</v>
          </cell>
          <cell r="G442" t="b">
            <v>0</v>
          </cell>
          <cell r="H442" t="b">
            <v>0</v>
          </cell>
          <cell r="J442" t="str">
            <v>983026079</v>
          </cell>
          <cell r="K442" t="str">
            <v>CG00439</v>
          </cell>
        </row>
        <row r="443">
          <cell r="A443" t="str">
            <v>CG00440</v>
          </cell>
          <cell r="B443" t="str">
            <v>Chú Hiến (ALHP) 0906039738</v>
          </cell>
          <cell r="C443" t="str">
            <v>An Lão, Hải Phòng</v>
          </cell>
          <cell r="D443" t="str">
            <v>CG</v>
          </cell>
          <cell r="E443" t="e">
            <v>#N/A</v>
          </cell>
          <cell r="F443" t="str">
            <v>0906039738</v>
          </cell>
          <cell r="G443" t="e">
            <v>#N/A</v>
          </cell>
          <cell r="H443" t="e">
            <v>#N/A</v>
          </cell>
          <cell r="J443" t="str">
            <v>906039738</v>
          </cell>
          <cell r="K443" t="str">
            <v>CG00440</v>
          </cell>
        </row>
        <row r="444">
          <cell r="A444" t="str">
            <v>CG00441</v>
          </cell>
          <cell r="B444" t="str">
            <v>Cường (HDHN) 0979834869</v>
          </cell>
          <cell r="C444" t="str">
            <v>Hà Đông, Hà Nội</v>
          </cell>
          <cell r="D444" t="str">
            <v>CG</v>
          </cell>
          <cell r="E444" t="e">
            <v>#N/A</v>
          </cell>
          <cell r="F444" t="str">
            <v>0979834869</v>
          </cell>
          <cell r="G444" t="e">
            <v>#N/A</v>
          </cell>
          <cell r="H444" t="e">
            <v>#N/A</v>
          </cell>
          <cell r="J444" t="str">
            <v>979834869</v>
          </cell>
          <cell r="K444" t="str">
            <v>CG00441</v>
          </cell>
        </row>
        <row r="445">
          <cell r="A445" t="str">
            <v>CG00442</v>
          </cell>
          <cell r="B445" t="str">
            <v>Sự (HDHN) 0974105286</v>
          </cell>
          <cell r="C445" t="str">
            <v>Hà Đông, Hà Nội</v>
          </cell>
          <cell r="D445" t="str">
            <v>CG</v>
          </cell>
          <cell r="E445" t="e">
            <v>#N/A</v>
          </cell>
          <cell r="F445" t="str">
            <v>0974105286</v>
          </cell>
          <cell r="G445" t="e">
            <v>#N/A</v>
          </cell>
          <cell r="H445" t="e">
            <v>#N/A</v>
          </cell>
          <cell r="J445" t="str">
            <v>974105286</v>
          </cell>
          <cell r="K445" t="str">
            <v>CG00442</v>
          </cell>
        </row>
        <row r="446">
          <cell r="A446" t="str">
            <v>CG00443</v>
          </cell>
          <cell r="B446" t="str">
            <v>Hùng  (CPQN) 0913010914</v>
          </cell>
          <cell r="C446" t="str">
            <v>Cẩm Phả, Quảng Ninh</v>
          </cell>
          <cell r="D446" t="str">
            <v>CG</v>
          </cell>
          <cell r="E446" t="e">
            <v>#N/A</v>
          </cell>
          <cell r="F446" t="str">
            <v>0913010914</v>
          </cell>
          <cell r="G446" t="e">
            <v>#N/A</v>
          </cell>
          <cell r="H446" t="e">
            <v>#N/A</v>
          </cell>
          <cell r="J446" t="str">
            <v>913010914</v>
          </cell>
          <cell r="K446" t="str">
            <v>CG00443</v>
          </cell>
        </row>
        <row r="447">
          <cell r="A447" t="str">
            <v>CG00444</v>
          </cell>
          <cell r="B447" t="str">
            <v>Thủy (HDHN) 0325129599</v>
          </cell>
          <cell r="C447" t="str">
            <v>Hà Đông, Hà Nội</v>
          </cell>
          <cell r="D447" t="str">
            <v>CG</v>
          </cell>
          <cell r="E447" t="e">
            <v>#N/A</v>
          </cell>
          <cell r="F447" t="str">
            <v>0325129599</v>
          </cell>
          <cell r="G447" t="e">
            <v>#N/A</v>
          </cell>
          <cell r="H447" t="e">
            <v>#N/A</v>
          </cell>
          <cell r="J447" t="str">
            <v>325129599</v>
          </cell>
          <cell r="K447" t="str">
            <v>CG00444</v>
          </cell>
        </row>
        <row r="448">
          <cell r="A448" t="str">
            <v>CG00445</v>
          </cell>
          <cell r="B448" t="str">
            <v>Thảo (LTBN) 0984934298</v>
          </cell>
          <cell r="C448" t="str">
            <v>Thị Trấn Thứa, Lương Tài, Bắc Ninh</v>
          </cell>
          <cell r="D448" t="str">
            <v>CG</v>
          </cell>
          <cell r="E448" t="e">
            <v>#N/A</v>
          </cell>
          <cell r="F448" t="str">
            <v>0984934298</v>
          </cell>
          <cell r="G448" t="e">
            <v>#N/A</v>
          </cell>
          <cell r="H448" t="e">
            <v>#N/A</v>
          </cell>
          <cell r="J448" t="str">
            <v>984934298</v>
          </cell>
          <cell r="K448" t="str">
            <v>CG00445</v>
          </cell>
        </row>
        <row r="449">
          <cell r="A449" t="str">
            <v>CG00446</v>
          </cell>
          <cell r="B449" t="str">
            <v>Khanh (HHND) 0946839568</v>
          </cell>
          <cell r="C449" t="str">
            <v>Hải Hậu, Nam Định</v>
          </cell>
          <cell r="D449" t="str">
            <v>CG</v>
          </cell>
          <cell r="E449" t="e">
            <v>#N/A</v>
          </cell>
          <cell r="F449" t="str">
            <v>0946839568</v>
          </cell>
          <cell r="G449" t="e">
            <v>#N/A</v>
          </cell>
          <cell r="H449" t="e">
            <v>#N/A</v>
          </cell>
          <cell r="J449" t="str">
            <v>946839568</v>
          </cell>
          <cell r="K449" t="str">
            <v>CG00446</v>
          </cell>
        </row>
        <row r="450">
          <cell r="A450" t="str">
            <v>CG00447</v>
          </cell>
          <cell r="B450" t="str">
            <v>Tiến Nga (LNHNA) 0356702375</v>
          </cell>
          <cell r="C450" t="str">
            <v>Lý Nhân, Hà Nam</v>
          </cell>
          <cell r="D450" t="str">
            <v>CG</v>
          </cell>
          <cell r="E450" t="e">
            <v>#N/A</v>
          </cell>
          <cell r="F450" t="str">
            <v>0356702375</v>
          </cell>
          <cell r="G450" t="e">
            <v>#N/A</v>
          </cell>
          <cell r="H450" t="e">
            <v>#N/A</v>
          </cell>
          <cell r="J450" t="str">
            <v>356702375</v>
          </cell>
          <cell r="K450" t="str">
            <v>CG00447</v>
          </cell>
        </row>
        <row r="451">
          <cell r="A451" t="str">
            <v>CG00448</v>
          </cell>
          <cell r="B451" t="str">
            <v>Kiên (YLHNA) 0919954967</v>
          </cell>
          <cell r="C451" t="str">
            <v>Yên Lệnh, Hà Nam</v>
          </cell>
          <cell r="D451" t="str">
            <v>CG</v>
          </cell>
          <cell r="E451" t="e">
            <v>#N/A</v>
          </cell>
          <cell r="F451" t="str">
            <v>0919954967</v>
          </cell>
          <cell r="G451" t="e">
            <v>#N/A</v>
          </cell>
          <cell r="H451" t="e">
            <v>#N/A</v>
          </cell>
          <cell r="J451" t="str">
            <v>919954967</v>
          </cell>
          <cell r="K451" t="str">
            <v>CG00448</v>
          </cell>
        </row>
        <row r="452">
          <cell r="A452" t="str">
            <v>CG00449</v>
          </cell>
          <cell r="B452" t="str">
            <v>Chú Vy (HHND) 0912466962</v>
          </cell>
          <cell r="C452" t="str">
            <v>Hải Hậu, Nam Định</v>
          </cell>
          <cell r="D452" t="str">
            <v>CG</v>
          </cell>
          <cell r="E452" t="e">
            <v>#N/A</v>
          </cell>
          <cell r="F452" t="str">
            <v>0912466962</v>
          </cell>
          <cell r="G452" t="e">
            <v>#N/A</v>
          </cell>
          <cell r="H452" t="e">
            <v>#N/A</v>
          </cell>
          <cell r="J452" t="str">
            <v>912466962</v>
          </cell>
          <cell r="K452" t="str">
            <v>CG00449</v>
          </cell>
        </row>
        <row r="453">
          <cell r="A453" t="str">
            <v>CG00044</v>
          </cell>
          <cell r="B453" t="str">
            <v>Trí Dũng</v>
          </cell>
          <cell r="C453" t="e">
            <v>#VALUE!</v>
          </cell>
          <cell r="D453" t="str">
            <v>CG</v>
          </cell>
          <cell r="E453" t="e">
            <v>#N/A</v>
          </cell>
          <cell r="F453" t="str">
            <v>0Trí Dũng</v>
          </cell>
          <cell r="G453" t="e">
            <v>#N/A</v>
          </cell>
          <cell r="H453" t="e">
            <v>#N/A</v>
          </cell>
          <cell r="J453" t="str">
            <v>Trí Dũng</v>
          </cell>
          <cell r="K453" t="str">
            <v>CG00044</v>
          </cell>
        </row>
        <row r="454">
          <cell r="A454" t="str">
            <v>CG00451</v>
          </cell>
          <cell r="B454" t="str">
            <v>Công ty TNHH Xây Dựng Đại Kim (VTHNA) Huynh 0976441939</v>
          </cell>
          <cell r="C454" t="str">
            <v>Nhân Khang, Lý Nhân, Hà Nam</v>
          </cell>
          <cell r="D454" t="str">
            <v>CG</v>
          </cell>
          <cell r="E454" t="str">
            <v>0700361650</v>
          </cell>
          <cell r="F454" t="str">
            <v>0976441939</v>
          </cell>
          <cell r="G454" t="b">
            <v>0</v>
          </cell>
          <cell r="H454" t="b">
            <v>0</v>
          </cell>
          <cell r="J454" t="str">
            <v>976441939</v>
          </cell>
          <cell r="K454" t="str">
            <v>CG00451</v>
          </cell>
        </row>
        <row r="455">
          <cell r="A455" t="str">
            <v>CG00452</v>
          </cell>
          <cell r="B455" t="str">
            <v>Ngân (HHTH) 0346745397</v>
          </cell>
          <cell r="C455" t="str">
            <v>Hoằng Hóa, Thanh Hoá</v>
          </cell>
          <cell r="D455" t="str">
            <v>CG</v>
          </cell>
          <cell r="E455" t="e">
            <v>#N/A</v>
          </cell>
          <cell r="F455" t="str">
            <v>0346745397</v>
          </cell>
          <cell r="G455" t="e">
            <v>#N/A</v>
          </cell>
          <cell r="H455" t="e">
            <v>#N/A</v>
          </cell>
          <cell r="J455" t="str">
            <v>346745397</v>
          </cell>
          <cell r="K455" t="str">
            <v>CG00452</v>
          </cell>
        </row>
        <row r="456">
          <cell r="A456" t="str">
            <v>CG00453</v>
          </cell>
          <cell r="B456" t="str">
            <v>Nguyễn Bá Tuyến (HDHN) 0969618689</v>
          </cell>
          <cell r="C456" t="str">
            <v>Hà Đông, Hà Nội</v>
          </cell>
          <cell r="D456" t="str">
            <v>CG</v>
          </cell>
          <cell r="E456" t="str">
            <v/>
          </cell>
          <cell r="F456" t="str">
            <v>0969618689</v>
          </cell>
          <cell r="G456" t="b">
            <v>0</v>
          </cell>
          <cell r="H456" t="b">
            <v>0</v>
          </cell>
          <cell r="J456" t="str">
            <v>969618689</v>
          </cell>
          <cell r="K456" t="str">
            <v>CG00453</v>
          </cell>
        </row>
        <row r="457">
          <cell r="A457" t="str">
            <v>CG00454</v>
          </cell>
          <cell r="B457" t="str">
            <v>Hòa (BGHD) 0866561655</v>
          </cell>
          <cell r="C457" t="str">
            <v>Bình Giang, Hải Dương</v>
          </cell>
          <cell r="D457" t="str">
            <v>CG</v>
          </cell>
          <cell r="E457" t="e">
            <v>#N/A</v>
          </cell>
          <cell r="F457" t="str">
            <v>0866561655</v>
          </cell>
          <cell r="G457" t="e">
            <v>#N/A</v>
          </cell>
          <cell r="H457" t="e">
            <v>#N/A</v>
          </cell>
          <cell r="J457" t="str">
            <v>866561655</v>
          </cell>
          <cell r="K457" t="str">
            <v>CG00454</v>
          </cell>
        </row>
        <row r="458">
          <cell r="A458" t="str">
            <v>CG00455</v>
          </cell>
          <cell r="B458" t="e">
            <v>#N/A</v>
          </cell>
          <cell r="C458" t="e">
            <v>#N/A</v>
          </cell>
          <cell r="D458" t="str">
            <v>CG</v>
          </cell>
          <cell r="E458" t="e">
            <v>#N/A</v>
          </cell>
          <cell r="F458" t="e">
            <v>#N/A</v>
          </cell>
          <cell r="G458" t="e">
            <v>#N/A</v>
          </cell>
          <cell r="H458" t="e">
            <v>#N/A</v>
          </cell>
          <cell r="J458" t="e">
            <v>#N/A</v>
          </cell>
          <cell r="K458" t="str">
            <v>CG00455</v>
          </cell>
        </row>
        <row r="459">
          <cell r="A459" t="str">
            <v>CG00456</v>
          </cell>
          <cell r="B459" t="e">
            <v>#N/A</v>
          </cell>
          <cell r="C459" t="e">
            <v>#N/A</v>
          </cell>
          <cell r="D459" t="str">
            <v>CG</v>
          </cell>
          <cell r="E459" t="e">
            <v>#N/A</v>
          </cell>
          <cell r="F459" t="e">
            <v>#N/A</v>
          </cell>
          <cell r="G459" t="e">
            <v>#N/A</v>
          </cell>
          <cell r="H459" t="e">
            <v>#N/A</v>
          </cell>
          <cell r="J459" t="e">
            <v>#N/A</v>
          </cell>
          <cell r="K459" t="str">
            <v>CG00456</v>
          </cell>
        </row>
        <row r="460">
          <cell r="A460" t="str">
            <v>CG00457</v>
          </cell>
          <cell r="B460" t="e">
            <v>#N/A</v>
          </cell>
          <cell r="C460" t="e">
            <v>#N/A</v>
          </cell>
          <cell r="D460" t="str">
            <v>CG</v>
          </cell>
          <cell r="E460" t="e">
            <v>#N/A</v>
          </cell>
          <cell r="F460" t="e">
            <v>#N/A</v>
          </cell>
          <cell r="G460" t="e">
            <v>#N/A</v>
          </cell>
          <cell r="H460" t="e">
            <v>#N/A</v>
          </cell>
          <cell r="J460" t="e">
            <v>#N/A</v>
          </cell>
          <cell r="K460" t="str">
            <v>CG00457</v>
          </cell>
        </row>
        <row r="461">
          <cell r="A461" t="str">
            <v>CG00458</v>
          </cell>
          <cell r="B461" t="e">
            <v>#N/A</v>
          </cell>
          <cell r="C461" t="e">
            <v>#N/A</v>
          </cell>
          <cell r="D461" t="str">
            <v>CG</v>
          </cell>
          <cell r="E461" t="e">
            <v>#N/A</v>
          </cell>
          <cell r="F461" t="e">
            <v>#N/A</v>
          </cell>
          <cell r="G461" t="e">
            <v>#N/A</v>
          </cell>
          <cell r="H461" t="e">
            <v>#N/A</v>
          </cell>
          <cell r="J461" t="e">
            <v>#N/A</v>
          </cell>
          <cell r="K461" t="str">
            <v>CG00458</v>
          </cell>
        </row>
        <row r="462">
          <cell r="A462" t="str">
            <v>CG00459</v>
          </cell>
          <cell r="B462" t="e">
            <v>#N/A</v>
          </cell>
          <cell r="C462" t="e">
            <v>#N/A</v>
          </cell>
          <cell r="D462" t="str">
            <v>CG</v>
          </cell>
          <cell r="E462" t="e">
            <v>#N/A</v>
          </cell>
          <cell r="F462" t="e">
            <v>#N/A</v>
          </cell>
          <cell r="G462" t="e">
            <v>#N/A</v>
          </cell>
          <cell r="H462" t="e">
            <v>#N/A</v>
          </cell>
          <cell r="J462" t="e">
            <v>#N/A</v>
          </cell>
          <cell r="K462" t="str">
            <v>CG00459</v>
          </cell>
        </row>
        <row r="463">
          <cell r="A463" t="str">
            <v>CG00460</v>
          </cell>
          <cell r="B463" t="e">
            <v>#N/A</v>
          </cell>
          <cell r="C463" t="e">
            <v>#N/A</v>
          </cell>
          <cell r="D463" t="str">
            <v>CG</v>
          </cell>
          <cell r="E463" t="e">
            <v>#N/A</v>
          </cell>
          <cell r="F463" t="e">
            <v>#N/A</v>
          </cell>
          <cell r="G463" t="e">
            <v>#N/A</v>
          </cell>
          <cell r="H463" t="e">
            <v>#N/A</v>
          </cell>
          <cell r="J463" t="e">
            <v>#N/A</v>
          </cell>
          <cell r="K463" t="str">
            <v>CG00460</v>
          </cell>
        </row>
        <row r="464">
          <cell r="A464" t="str">
            <v>CG00461</v>
          </cell>
          <cell r="B464" t="e">
            <v>#N/A</v>
          </cell>
          <cell r="C464" t="e">
            <v>#N/A</v>
          </cell>
          <cell r="D464" t="str">
            <v>CG</v>
          </cell>
          <cell r="E464" t="e">
            <v>#N/A</v>
          </cell>
          <cell r="F464" t="e">
            <v>#N/A</v>
          </cell>
          <cell r="G464" t="e">
            <v>#N/A</v>
          </cell>
          <cell r="H464" t="e">
            <v>#N/A</v>
          </cell>
          <cell r="J464" t="e">
            <v>#N/A</v>
          </cell>
          <cell r="K464" t="str">
            <v>CG00461</v>
          </cell>
        </row>
        <row r="465">
          <cell r="A465" t="str">
            <v>CG00462</v>
          </cell>
          <cell r="B465" t="e">
            <v>#N/A</v>
          </cell>
          <cell r="C465" t="e">
            <v>#N/A</v>
          </cell>
          <cell r="D465" t="str">
            <v>CG</v>
          </cell>
          <cell r="E465" t="e">
            <v>#N/A</v>
          </cell>
          <cell r="F465" t="e">
            <v>#N/A</v>
          </cell>
          <cell r="G465" t="e">
            <v>#N/A</v>
          </cell>
          <cell r="H465" t="e">
            <v>#N/A</v>
          </cell>
          <cell r="J465" t="e">
            <v>#N/A</v>
          </cell>
          <cell r="K465" t="str">
            <v>CG00462</v>
          </cell>
        </row>
        <row r="466">
          <cell r="A466" t="str">
            <v>CG00463</v>
          </cell>
          <cell r="B466" t="e">
            <v>#N/A</v>
          </cell>
          <cell r="C466" t="e">
            <v>#N/A</v>
          </cell>
          <cell r="D466" t="str">
            <v>CG</v>
          </cell>
          <cell r="E466" t="e">
            <v>#N/A</v>
          </cell>
          <cell r="F466" t="e">
            <v>#N/A</v>
          </cell>
          <cell r="G466" t="e">
            <v>#N/A</v>
          </cell>
          <cell r="H466" t="e">
            <v>#N/A</v>
          </cell>
          <cell r="J466" t="e">
            <v>#N/A</v>
          </cell>
          <cell r="K466" t="str">
            <v>CG00463</v>
          </cell>
        </row>
        <row r="467">
          <cell r="A467" t="str">
            <v>CG00464</v>
          </cell>
          <cell r="B467" t="e">
            <v>#N/A</v>
          </cell>
          <cell r="C467" t="e">
            <v>#N/A</v>
          </cell>
          <cell r="D467" t="str">
            <v>CG</v>
          </cell>
          <cell r="E467" t="e">
            <v>#N/A</v>
          </cell>
          <cell r="F467" t="e">
            <v>#N/A</v>
          </cell>
          <cell r="G467" t="e">
            <v>#N/A</v>
          </cell>
          <cell r="H467" t="e">
            <v>#N/A</v>
          </cell>
          <cell r="J467" t="e">
            <v>#N/A</v>
          </cell>
          <cell r="K467" t="str">
            <v>CG00464</v>
          </cell>
        </row>
        <row r="468">
          <cell r="A468" t="str">
            <v>CG00465</v>
          </cell>
          <cell r="B468" t="e">
            <v>#N/A</v>
          </cell>
          <cell r="C468" t="e">
            <v>#N/A</v>
          </cell>
          <cell r="D468" t="str">
            <v>CG</v>
          </cell>
          <cell r="E468" t="e">
            <v>#N/A</v>
          </cell>
          <cell r="F468" t="e">
            <v>#N/A</v>
          </cell>
          <cell r="G468" t="e">
            <v>#N/A</v>
          </cell>
          <cell r="H468" t="e">
            <v>#N/A</v>
          </cell>
          <cell r="J468" t="e">
            <v>#N/A</v>
          </cell>
          <cell r="K468" t="str">
            <v>CG00465</v>
          </cell>
        </row>
        <row r="469">
          <cell r="A469" t="str">
            <v>CG00466</v>
          </cell>
          <cell r="B469" t="e">
            <v>#N/A</v>
          </cell>
          <cell r="C469" t="e">
            <v>#N/A</v>
          </cell>
          <cell r="D469" t="str">
            <v>CG</v>
          </cell>
          <cell r="E469" t="e">
            <v>#N/A</v>
          </cell>
          <cell r="F469" t="e">
            <v>#N/A</v>
          </cell>
          <cell r="G469" t="e">
            <v>#N/A</v>
          </cell>
          <cell r="H469" t="e">
            <v>#N/A</v>
          </cell>
          <cell r="J469" t="e">
            <v>#N/A</v>
          </cell>
          <cell r="K469" t="str">
            <v>CG00466</v>
          </cell>
        </row>
        <row r="470">
          <cell r="A470" t="str">
            <v>CG00467</v>
          </cell>
          <cell r="B470" t="e">
            <v>#N/A</v>
          </cell>
          <cell r="C470" t="e">
            <v>#N/A</v>
          </cell>
          <cell r="D470" t="str">
            <v>CG</v>
          </cell>
          <cell r="E470" t="e">
            <v>#N/A</v>
          </cell>
          <cell r="F470" t="e">
            <v>#N/A</v>
          </cell>
          <cell r="G470" t="e">
            <v>#N/A</v>
          </cell>
          <cell r="H470" t="e">
            <v>#N/A</v>
          </cell>
          <cell r="J470" t="e">
            <v>#N/A</v>
          </cell>
          <cell r="K470" t="str">
            <v>CG00467</v>
          </cell>
        </row>
        <row r="471">
          <cell r="A471" t="str">
            <v>CG00468</v>
          </cell>
          <cell r="B471" t="e">
            <v>#N/A</v>
          </cell>
          <cell r="C471" t="e">
            <v>#N/A</v>
          </cell>
          <cell r="D471" t="str">
            <v>CG</v>
          </cell>
          <cell r="E471" t="e">
            <v>#N/A</v>
          </cell>
          <cell r="F471" t="e">
            <v>#N/A</v>
          </cell>
          <cell r="G471" t="e">
            <v>#N/A</v>
          </cell>
          <cell r="H471" t="e">
            <v>#N/A</v>
          </cell>
          <cell r="J471" t="e">
            <v>#N/A</v>
          </cell>
          <cell r="K471" t="str">
            <v>CG00468</v>
          </cell>
        </row>
        <row r="472">
          <cell r="A472" t="str">
            <v>CG00469</v>
          </cell>
          <cell r="B472" t="e">
            <v>#N/A</v>
          </cell>
          <cell r="C472" t="e">
            <v>#N/A</v>
          </cell>
          <cell r="D472" t="str">
            <v>CG</v>
          </cell>
          <cell r="E472" t="e">
            <v>#N/A</v>
          </cell>
          <cell r="F472" t="e">
            <v>#N/A</v>
          </cell>
          <cell r="G472" t="e">
            <v>#N/A</v>
          </cell>
          <cell r="H472" t="e">
            <v>#N/A</v>
          </cell>
          <cell r="J472" t="e">
            <v>#N/A</v>
          </cell>
          <cell r="K472" t="str">
            <v>CG00469</v>
          </cell>
        </row>
        <row r="473">
          <cell r="A473" t="str">
            <v>CG00470</v>
          </cell>
          <cell r="B473" t="e">
            <v>#N/A</v>
          </cell>
          <cell r="C473" t="e">
            <v>#N/A</v>
          </cell>
          <cell r="D473" t="str">
            <v>CG</v>
          </cell>
          <cell r="E473" t="e">
            <v>#N/A</v>
          </cell>
          <cell r="F473" t="e">
            <v>#N/A</v>
          </cell>
          <cell r="G473" t="e">
            <v>#N/A</v>
          </cell>
          <cell r="H473" t="e">
            <v>#N/A</v>
          </cell>
          <cell r="J473" t="e">
            <v>#N/A</v>
          </cell>
          <cell r="K473" t="str">
            <v>CG00470</v>
          </cell>
        </row>
        <row r="474">
          <cell r="A474" t="str">
            <v>CG00471</v>
          </cell>
          <cell r="B474" t="e">
            <v>#N/A</v>
          </cell>
          <cell r="C474" t="e">
            <v>#N/A</v>
          </cell>
          <cell r="D474" t="str">
            <v>CG</v>
          </cell>
          <cell r="E474" t="e">
            <v>#N/A</v>
          </cell>
          <cell r="F474" t="e">
            <v>#N/A</v>
          </cell>
          <cell r="G474" t="e">
            <v>#N/A</v>
          </cell>
          <cell r="H474" t="e">
            <v>#N/A</v>
          </cell>
          <cell r="J474" t="e">
            <v>#N/A</v>
          </cell>
          <cell r="K474" t="str">
            <v>CG00471</v>
          </cell>
        </row>
        <row r="475">
          <cell r="A475" t="str">
            <v>CG00472</v>
          </cell>
          <cell r="B475" t="e">
            <v>#N/A</v>
          </cell>
          <cell r="C475" t="e">
            <v>#N/A</v>
          </cell>
          <cell r="D475" t="str">
            <v>CG</v>
          </cell>
          <cell r="E475" t="e">
            <v>#N/A</v>
          </cell>
          <cell r="F475" t="e">
            <v>#N/A</v>
          </cell>
          <cell r="G475" t="e">
            <v>#N/A</v>
          </cell>
          <cell r="H475" t="e">
            <v>#N/A</v>
          </cell>
          <cell r="J475" t="e">
            <v>#N/A</v>
          </cell>
          <cell r="K475" t="str">
            <v>CG00472</v>
          </cell>
        </row>
        <row r="476">
          <cell r="A476" t="str">
            <v>CG00473</v>
          </cell>
          <cell r="B476" t="e">
            <v>#N/A</v>
          </cell>
          <cell r="C476" t="e">
            <v>#N/A</v>
          </cell>
          <cell r="D476" t="str">
            <v>CG</v>
          </cell>
          <cell r="E476" t="e">
            <v>#N/A</v>
          </cell>
          <cell r="F476" t="e">
            <v>#N/A</v>
          </cell>
          <cell r="G476" t="e">
            <v>#N/A</v>
          </cell>
          <cell r="H476" t="e">
            <v>#N/A</v>
          </cell>
          <cell r="J476" t="e">
            <v>#N/A</v>
          </cell>
          <cell r="K476" t="str">
            <v>CG00473</v>
          </cell>
        </row>
        <row r="477">
          <cell r="A477" t="str">
            <v>CG00474</v>
          </cell>
          <cell r="B477" t="e">
            <v>#N/A</v>
          </cell>
          <cell r="C477" t="e">
            <v>#N/A</v>
          </cell>
          <cell r="D477" t="str">
            <v>CG</v>
          </cell>
          <cell r="E477" t="e">
            <v>#N/A</v>
          </cell>
          <cell r="F477" t="e">
            <v>#N/A</v>
          </cell>
          <cell r="G477" t="e">
            <v>#N/A</v>
          </cell>
          <cell r="H477" t="e">
            <v>#N/A</v>
          </cell>
          <cell r="J477" t="e">
            <v>#N/A</v>
          </cell>
          <cell r="K477" t="str">
            <v>CG00474</v>
          </cell>
        </row>
        <row r="478">
          <cell r="A478" t="str">
            <v>CG00475</v>
          </cell>
          <cell r="B478" t="e">
            <v>#N/A</v>
          </cell>
          <cell r="C478" t="e">
            <v>#N/A</v>
          </cell>
          <cell r="D478" t="str">
            <v>CG</v>
          </cell>
          <cell r="E478" t="e">
            <v>#N/A</v>
          </cell>
          <cell r="F478" t="e">
            <v>#N/A</v>
          </cell>
          <cell r="G478" t="e">
            <v>#N/A</v>
          </cell>
          <cell r="H478" t="e">
            <v>#N/A</v>
          </cell>
          <cell r="J478" t="e">
            <v>#N/A</v>
          </cell>
          <cell r="K478" t="str">
            <v>CG00475</v>
          </cell>
        </row>
        <row r="479">
          <cell r="A479" t="str">
            <v>CG00476</v>
          </cell>
          <cell r="B479" t="e">
            <v>#N/A</v>
          </cell>
          <cell r="C479" t="e">
            <v>#N/A</v>
          </cell>
          <cell r="D479" t="str">
            <v>CG</v>
          </cell>
          <cell r="E479" t="e">
            <v>#N/A</v>
          </cell>
          <cell r="F479" t="e">
            <v>#N/A</v>
          </cell>
          <cell r="G479" t="e">
            <v>#N/A</v>
          </cell>
          <cell r="H479" t="e">
            <v>#N/A</v>
          </cell>
          <cell r="J479" t="e">
            <v>#N/A</v>
          </cell>
          <cell r="K479" t="str">
            <v>CG00476</v>
          </cell>
        </row>
        <row r="480">
          <cell r="A480" t="str">
            <v>CG00477</v>
          </cell>
          <cell r="B480" t="e">
            <v>#N/A</v>
          </cell>
          <cell r="C480" t="e">
            <v>#N/A</v>
          </cell>
          <cell r="D480" t="str">
            <v>CG</v>
          </cell>
          <cell r="E480" t="e">
            <v>#N/A</v>
          </cell>
          <cell r="F480" t="e">
            <v>#N/A</v>
          </cell>
          <cell r="G480" t="e">
            <v>#N/A</v>
          </cell>
          <cell r="H480" t="e">
            <v>#N/A</v>
          </cell>
          <cell r="J480" t="e">
            <v>#N/A</v>
          </cell>
          <cell r="K480" t="str">
            <v>CG00477</v>
          </cell>
        </row>
        <row r="481">
          <cell r="A481" t="str">
            <v>CG00478</v>
          </cell>
          <cell r="B481" t="e">
            <v>#N/A</v>
          </cell>
          <cell r="C481" t="e">
            <v>#N/A</v>
          </cell>
          <cell r="D481" t="str">
            <v>CG</v>
          </cell>
          <cell r="E481" t="e">
            <v>#N/A</v>
          </cell>
          <cell r="F481" t="e">
            <v>#N/A</v>
          </cell>
          <cell r="G481" t="e">
            <v>#N/A</v>
          </cell>
          <cell r="H481" t="e">
            <v>#N/A</v>
          </cell>
          <cell r="J481" t="e">
            <v>#N/A</v>
          </cell>
          <cell r="K481" t="str">
            <v>CG00478</v>
          </cell>
        </row>
        <row r="482">
          <cell r="A482" t="str">
            <v>CG00479</v>
          </cell>
          <cell r="B482" t="e">
            <v>#N/A</v>
          </cell>
          <cell r="C482" t="e">
            <v>#N/A</v>
          </cell>
          <cell r="D482" t="str">
            <v>CG</v>
          </cell>
          <cell r="E482" t="e">
            <v>#N/A</v>
          </cell>
          <cell r="F482" t="e">
            <v>#N/A</v>
          </cell>
          <cell r="G482" t="e">
            <v>#N/A</v>
          </cell>
          <cell r="H482" t="e">
            <v>#N/A</v>
          </cell>
          <cell r="J482" t="e">
            <v>#N/A</v>
          </cell>
          <cell r="K482" t="str">
            <v>CG00479</v>
          </cell>
        </row>
        <row r="483">
          <cell r="A483" t="str">
            <v>CG00480</v>
          </cell>
          <cell r="B483" t="e">
            <v>#N/A</v>
          </cell>
          <cell r="C483" t="e">
            <v>#N/A</v>
          </cell>
          <cell r="D483" t="str">
            <v>CG</v>
          </cell>
          <cell r="E483" t="e">
            <v>#N/A</v>
          </cell>
          <cell r="F483" t="e">
            <v>#N/A</v>
          </cell>
          <cell r="G483" t="e">
            <v>#N/A</v>
          </cell>
          <cell r="H483" t="e">
            <v>#N/A</v>
          </cell>
          <cell r="J483" t="e">
            <v>#N/A</v>
          </cell>
          <cell r="K483" t="str">
            <v>CG00480</v>
          </cell>
        </row>
        <row r="484">
          <cell r="A484" t="str">
            <v>CG00481</v>
          </cell>
          <cell r="B484" t="e">
            <v>#N/A</v>
          </cell>
          <cell r="C484" t="e">
            <v>#N/A</v>
          </cell>
          <cell r="D484" t="str">
            <v>CG</v>
          </cell>
          <cell r="E484" t="e">
            <v>#N/A</v>
          </cell>
          <cell r="F484" t="e">
            <v>#N/A</v>
          </cell>
          <cell r="G484" t="e">
            <v>#N/A</v>
          </cell>
          <cell r="H484" t="e">
            <v>#N/A</v>
          </cell>
          <cell r="J484" t="e">
            <v>#N/A</v>
          </cell>
          <cell r="K484" t="str">
            <v>CG00481</v>
          </cell>
        </row>
        <row r="485">
          <cell r="A485" t="str">
            <v>CG00482</v>
          </cell>
          <cell r="B485" t="e">
            <v>#N/A</v>
          </cell>
          <cell r="C485" t="e">
            <v>#N/A</v>
          </cell>
          <cell r="D485" t="str">
            <v>CG</v>
          </cell>
          <cell r="E485" t="e">
            <v>#N/A</v>
          </cell>
          <cell r="F485" t="e">
            <v>#N/A</v>
          </cell>
          <cell r="G485" t="e">
            <v>#N/A</v>
          </cell>
          <cell r="H485" t="e">
            <v>#N/A</v>
          </cell>
          <cell r="J485" t="e">
            <v>#N/A</v>
          </cell>
          <cell r="K485" t="str">
            <v>CG00482</v>
          </cell>
        </row>
        <row r="486">
          <cell r="A486" t="str">
            <v>CG00483</v>
          </cell>
          <cell r="B486" t="e">
            <v>#N/A</v>
          </cell>
          <cell r="C486" t="e">
            <v>#N/A</v>
          </cell>
          <cell r="D486" t="str">
            <v>CG</v>
          </cell>
          <cell r="E486" t="e">
            <v>#N/A</v>
          </cell>
          <cell r="F486" t="e">
            <v>#N/A</v>
          </cell>
          <cell r="G486" t="e">
            <v>#N/A</v>
          </cell>
          <cell r="H486" t="e">
            <v>#N/A</v>
          </cell>
          <cell r="J486" t="e">
            <v>#N/A</v>
          </cell>
          <cell r="K486" t="str">
            <v>CG00483</v>
          </cell>
        </row>
        <row r="487">
          <cell r="A487" t="str">
            <v>CG00484</v>
          </cell>
          <cell r="B487" t="e">
            <v>#N/A</v>
          </cell>
          <cell r="C487" t="e">
            <v>#N/A</v>
          </cell>
          <cell r="D487" t="str">
            <v>CG</v>
          </cell>
          <cell r="E487" t="e">
            <v>#N/A</v>
          </cell>
          <cell r="F487" t="e">
            <v>#N/A</v>
          </cell>
          <cell r="G487" t="e">
            <v>#N/A</v>
          </cell>
          <cell r="H487" t="e">
            <v>#N/A</v>
          </cell>
          <cell r="J487" t="e">
            <v>#N/A</v>
          </cell>
          <cell r="K487" t="str">
            <v>CG00484</v>
          </cell>
        </row>
        <row r="488">
          <cell r="A488" t="str">
            <v>CG00485</v>
          </cell>
          <cell r="B488" t="e">
            <v>#N/A</v>
          </cell>
          <cell r="C488" t="e">
            <v>#N/A</v>
          </cell>
          <cell r="D488" t="str">
            <v>CG</v>
          </cell>
          <cell r="E488" t="e">
            <v>#N/A</v>
          </cell>
          <cell r="F488" t="e">
            <v>#N/A</v>
          </cell>
          <cell r="G488" t="e">
            <v>#N/A</v>
          </cell>
          <cell r="H488" t="e">
            <v>#N/A</v>
          </cell>
          <cell r="J488" t="e">
            <v>#N/A</v>
          </cell>
          <cell r="K488" t="str">
            <v>CG00485</v>
          </cell>
        </row>
        <row r="489">
          <cell r="A489" t="str">
            <v>CG00486</v>
          </cell>
          <cell r="B489" t="e">
            <v>#N/A</v>
          </cell>
          <cell r="C489" t="e">
            <v>#N/A</v>
          </cell>
          <cell r="D489" t="str">
            <v>CG</v>
          </cell>
          <cell r="E489" t="e">
            <v>#N/A</v>
          </cell>
          <cell r="F489" t="e">
            <v>#N/A</v>
          </cell>
          <cell r="G489" t="e">
            <v>#N/A</v>
          </cell>
          <cell r="H489" t="e">
            <v>#N/A</v>
          </cell>
          <cell r="J489" t="e">
            <v>#N/A</v>
          </cell>
          <cell r="K489" t="str">
            <v>CG00486</v>
          </cell>
        </row>
        <row r="490">
          <cell r="A490" t="str">
            <v>CG00487</v>
          </cell>
          <cell r="B490" t="e">
            <v>#N/A</v>
          </cell>
          <cell r="C490" t="e">
            <v>#N/A</v>
          </cell>
          <cell r="D490" t="str">
            <v>CG</v>
          </cell>
          <cell r="E490" t="e">
            <v>#N/A</v>
          </cell>
          <cell r="F490" t="e">
            <v>#N/A</v>
          </cell>
          <cell r="G490" t="e">
            <v>#N/A</v>
          </cell>
          <cell r="H490" t="e">
            <v>#N/A</v>
          </cell>
          <cell r="J490" t="e">
            <v>#N/A</v>
          </cell>
          <cell r="K490" t="str">
            <v>CG00487</v>
          </cell>
        </row>
        <row r="491">
          <cell r="A491" t="str">
            <v>CG00488</v>
          </cell>
          <cell r="B491" t="e">
            <v>#N/A</v>
          </cell>
          <cell r="C491" t="e">
            <v>#N/A</v>
          </cell>
          <cell r="D491" t="str">
            <v>CG</v>
          </cell>
          <cell r="E491" t="e">
            <v>#N/A</v>
          </cell>
          <cell r="F491" t="e">
            <v>#N/A</v>
          </cell>
          <cell r="G491" t="e">
            <v>#N/A</v>
          </cell>
          <cell r="H491" t="e">
            <v>#N/A</v>
          </cell>
          <cell r="J491" t="e">
            <v>#N/A</v>
          </cell>
          <cell r="K491" t="str">
            <v>CG00488</v>
          </cell>
        </row>
        <row r="492">
          <cell r="A492" t="str">
            <v>CG00489</v>
          </cell>
          <cell r="B492" t="e">
            <v>#N/A</v>
          </cell>
          <cell r="C492" t="e">
            <v>#N/A</v>
          </cell>
          <cell r="D492" t="str">
            <v>CG</v>
          </cell>
          <cell r="E492" t="e">
            <v>#N/A</v>
          </cell>
          <cell r="F492" t="e">
            <v>#N/A</v>
          </cell>
          <cell r="G492" t="e">
            <v>#N/A</v>
          </cell>
          <cell r="H492" t="e">
            <v>#N/A</v>
          </cell>
          <cell r="J492" t="e">
            <v>#N/A</v>
          </cell>
          <cell r="K492" t="str">
            <v>CG00489</v>
          </cell>
        </row>
        <row r="493">
          <cell r="A493" t="str">
            <v>CG00490</v>
          </cell>
          <cell r="B493" t="e">
            <v>#N/A</v>
          </cell>
          <cell r="C493" t="e">
            <v>#N/A</v>
          </cell>
          <cell r="D493" t="str">
            <v>CG</v>
          </cell>
          <cell r="E493" t="e">
            <v>#N/A</v>
          </cell>
          <cell r="F493" t="e">
            <v>#N/A</v>
          </cell>
          <cell r="G493" t="e">
            <v>#N/A</v>
          </cell>
          <cell r="H493" t="e">
            <v>#N/A</v>
          </cell>
          <cell r="J493" t="e">
            <v>#N/A</v>
          </cell>
          <cell r="K493" t="str">
            <v>CG00490</v>
          </cell>
        </row>
        <row r="494">
          <cell r="A494" t="str">
            <v>CG00491</v>
          </cell>
          <cell r="B494" t="e">
            <v>#N/A</v>
          </cell>
          <cell r="C494" t="e">
            <v>#N/A</v>
          </cell>
          <cell r="D494" t="str">
            <v>CG</v>
          </cell>
          <cell r="E494" t="e">
            <v>#N/A</v>
          </cell>
          <cell r="F494" t="e">
            <v>#N/A</v>
          </cell>
          <cell r="G494" t="e">
            <v>#N/A</v>
          </cell>
          <cell r="H494" t="e">
            <v>#N/A</v>
          </cell>
          <cell r="J494" t="e">
            <v>#N/A</v>
          </cell>
          <cell r="K494" t="str">
            <v>CG00491</v>
          </cell>
        </row>
        <row r="495">
          <cell r="A495" t="str">
            <v>CG00492</v>
          </cell>
          <cell r="B495" t="e">
            <v>#N/A</v>
          </cell>
          <cell r="C495" t="e">
            <v>#N/A</v>
          </cell>
          <cell r="D495" t="str">
            <v>CG</v>
          </cell>
          <cell r="E495" t="e">
            <v>#N/A</v>
          </cell>
          <cell r="F495" t="e">
            <v>#N/A</v>
          </cell>
          <cell r="G495" t="e">
            <v>#N/A</v>
          </cell>
          <cell r="H495" t="e">
            <v>#N/A</v>
          </cell>
          <cell r="J495" t="e">
            <v>#N/A</v>
          </cell>
          <cell r="K495" t="str">
            <v>CG00492</v>
          </cell>
        </row>
        <row r="496">
          <cell r="A496" t="str">
            <v>CG00493</v>
          </cell>
          <cell r="B496" t="e">
            <v>#N/A</v>
          </cell>
          <cell r="C496" t="e">
            <v>#N/A</v>
          </cell>
          <cell r="D496" t="str">
            <v>CG</v>
          </cell>
          <cell r="E496" t="e">
            <v>#N/A</v>
          </cell>
          <cell r="F496" t="e">
            <v>#N/A</v>
          </cell>
          <cell r="G496" t="e">
            <v>#N/A</v>
          </cell>
          <cell r="H496" t="e">
            <v>#N/A</v>
          </cell>
          <cell r="J496" t="e">
            <v>#N/A</v>
          </cell>
          <cell r="K496" t="str">
            <v>CG00493</v>
          </cell>
        </row>
        <row r="497">
          <cell r="A497" t="str">
            <v>CG00494</v>
          </cell>
          <cell r="B497" t="e">
            <v>#N/A</v>
          </cell>
          <cell r="C497" t="e">
            <v>#N/A</v>
          </cell>
          <cell r="D497" t="str">
            <v>CG</v>
          </cell>
          <cell r="E497" t="e">
            <v>#N/A</v>
          </cell>
          <cell r="F497" t="e">
            <v>#N/A</v>
          </cell>
          <cell r="G497" t="e">
            <v>#N/A</v>
          </cell>
          <cell r="H497" t="e">
            <v>#N/A</v>
          </cell>
          <cell r="J497" t="e">
            <v>#N/A</v>
          </cell>
          <cell r="K497" t="str">
            <v>CG00494</v>
          </cell>
        </row>
        <row r="498">
          <cell r="A498" t="str">
            <v>CG00495</v>
          </cell>
          <cell r="B498" t="e">
            <v>#N/A</v>
          </cell>
          <cell r="C498" t="e">
            <v>#N/A</v>
          </cell>
          <cell r="D498" t="str">
            <v>CG</v>
          </cell>
          <cell r="E498" t="e">
            <v>#N/A</v>
          </cell>
          <cell r="F498" t="e">
            <v>#N/A</v>
          </cell>
          <cell r="G498" t="e">
            <v>#N/A</v>
          </cell>
          <cell r="H498" t="e">
            <v>#N/A</v>
          </cell>
          <cell r="J498" t="e">
            <v>#N/A</v>
          </cell>
          <cell r="K498" t="str">
            <v>CG00495</v>
          </cell>
        </row>
        <row r="499">
          <cell r="A499" t="str">
            <v>CG00496</v>
          </cell>
          <cell r="B499" t="e">
            <v>#N/A</v>
          </cell>
          <cell r="C499" t="e">
            <v>#N/A</v>
          </cell>
          <cell r="D499" t="str">
            <v>CG</v>
          </cell>
          <cell r="E499" t="e">
            <v>#N/A</v>
          </cell>
          <cell r="F499" t="e">
            <v>#N/A</v>
          </cell>
          <cell r="G499" t="e">
            <v>#N/A</v>
          </cell>
          <cell r="H499" t="e">
            <v>#N/A</v>
          </cell>
          <cell r="J499" t="e">
            <v>#N/A</v>
          </cell>
          <cell r="K499" t="str">
            <v>CG00496</v>
          </cell>
        </row>
        <row r="500">
          <cell r="A500" t="str">
            <v>CG00497</v>
          </cell>
          <cell r="B500" t="e">
            <v>#N/A</v>
          </cell>
          <cell r="C500" t="e">
            <v>#N/A</v>
          </cell>
          <cell r="D500" t="str">
            <v>CG</v>
          </cell>
          <cell r="E500" t="e">
            <v>#N/A</v>
          </cell>
          <cell r="F500" t="e">
            <v>#N/A</v>
          </cell>
          <cell r="G500" t="e">
            <v>#N/A</v>
          </cell>
          <cell r="H500" t="e">
            <v>#N/A</v>
          </cell>
          <cell r="J500" t="e">
            <v>#N/A</v>
          </cell>
          <cell r="K500" t="str">
            <v>CG00497</v>
          </cell>
        </row>
        <row r="501">
          <cell r="A501" t="str">
            <v>CG00498</v>
          </cell>
          <cell r="B501" t="e">
            <v>#N/A</v>
          </cell>
          <cell r="C501" t="e">
            <v>#N/A</v>
          </cell>
          <cell r="D501" t="str">
            <v>CG</v>
          </cell>
          <cell r="E501" t="e">
            <v>#N/A</v>
          </cell>
          <cell r="F501" t="e">
            <v>#N/A</v>
          </cell>
          <cell r="G501" t="e">
            <v>#N/A</v>
          </cell>
          <cell r="H501" t="e">
            <v>#N/A</v>
          </cell>
          <cell r="J501" t="e">
            <v>#N/A</v>
          </cell>
          <cell r="K501" t="str">
            <v>CG00498</v>
          </cell>
        </row>
        <row r="502">
          <cell r="A502" t="str">
            <v>CG00499</v>
          </cell>
          <cell r="B502" t="e">
            <v>#N/A</v>
          </cell>
          <cell r="C502" t="e">
            <v>#N/A</v>
          </cell>
          <cell r="D502" t="str">
            <v>CG</v>
          </cell>
          <cell r="E502" t="e">
            <v>#N/A</v>
          </cell>
          <cell r="F502" t="e">
            <v>#N/A</v>
          </cell>
          <cell r="G502" t="e">
            <v>#N/A</v>
          </cell>
          <cell r="H502" t="e">
            <v>#N/A</v>
          </cell>
          <cell r="J502" t="e">
            <v>#N/A</v>
          </cell>
          <cell r="K502" t="str">
            <v>CG00499</v>
          </cell>
        </row>
        <row r="503">
          <cell r="A503" t="str">
            <v>CG00500</v>
          </cell>
          <cell r="B503" t="e">
            <v>#N/A</v>
          </cell>
          <cell r="C503" t="e">
            <v>#N/A</v>
          </cell>
          <cell r="D503" t="str">
            <v>CG</v>
          </cell>
          <cell r="E503" t="e">
            <v>#N/A</v>
          </cell>
          <cell r="F503" t="e">
            <v>#N/A</v>
          </cell>
          <cell r="G503" t="e">
            <v>#N/A</v>
          </cell>
          <cell r="H503" t="e">
            <v>#N/A</v>
          </cell>
          <cell r="J503" t="e">
            <v>#N/A</v>
          </cell>
          <cell r="K503" t="str">
            <v>CG00500</v>
          </cell>
        </row>
        <row r="504">
          <cell r="A504" t="str">
            <v>CG00501</v>
          </cell>
          <cell r="B504" t="e">
            <v>#N/A</v>
          </cell>
          <cell r="C504" t="e">
            <v>#N/A</v>
          </cell>
          <cell r="D504" t="str">
            <v>CG</v>
          </cell>
          <cell r="E504" t="e">
            <v>#N/A</v>
          </cell>
          <cell r="F504" t="e">
            <v>#N/A</v>
          </cell>
          <cell r="G504" t="e">
            <v>#N/A</v>
          </cell>
          <cell r="H504" t="e">
            <v>#N/A</v>
          </cell>
          <cell r="J504" t="e">
            <v>#N/A</v>
          </cell>
          <cell r="K504" t="str">
            <v>CG00501</v>
          </cell>
        </row>
        <row r="505">
          <cell r="A505" t="str">
            <v>CG00502</v>
          </cell>
          <cell r="B505" t="e">
            <v>#N/A</v>
          </cell>
          <cell r="C505" t="e">
            <v>#N/A</v>
          </cell>
          <cell r="D505" t="str">
            <v>CG</v>
          </cell>
          <cell r="E505" t="e">
            <v>#N/A</v>
          </cell>
          <cell r="F505" t="e">
            <v>#N/A</v>
          </cell>
          <cell r="G505" t="e">
            <v>#N/A</v>
          </cell>
          <cell r="H505" t="e">
            <v>#N/A</v>
          </cell>
          <cell r="J505" t="e">
            <v>#N/A</v>
          </cell>
          <cell r="K505" t="str">
            <v>CG00502</v>
          </cell>
        </row>
        <row r="506">
          <cell r="A506" t="str">
            <v>CG00503</v>
          </cell>
          <cell r="B506" t="e">
            <v>#N/A</v>
          </cell>
          <cell r="C506" t="e">
            <v>#N/A</v>
          </cell>
          <cell r="D506" t="str">
            <v>CG</v>
          </cell>
          <cell r="E506" t="e">
            <v>#N/A</v>
          </cell>
          <cell r="F506" t="e">
            <v>#N/A</v>
          </cell>
          <cell r="G506" t="e">
            <v>#N/A</v>
          </cell>
          <cell r="H506" t="e">
            <v>#N/A</v>
          </cell>
          <cell r="J506" t="e">
            <v>#N/A</v>
          </cell>
          <cell r="K506" t="str">
            <v>CG00503</v>
          </cell>
        </row>
        <row r="507">
          <cell r="A507" t="str">
            <v>CG00504</v>
          </cell>
          <cell r="B507" t="e">
            <v>#N/A</v>
          </cell>
          <cell r="C507" t="e">
            <v>#N/A</v>
          </cell>
          <cell r="D507" t="str">
            <v>CG</v>
          </cell>
          <cell r="E507" t="e">
            <v>#N/A</v>
          </cell>
          <cell r="F507" t="e">
            <v>#N/A</v>
          </cell>
          <cell r="G507" t="e">
            <v>#N/A</v>
          </cell>
          <cell r="H507" t="e">
            <v>#N/A</v>
          </cell>
          <cell r="J507" t="e">
            <v>#N/A</v>
          </cell>
          <cell r="K507" t="str">
            <v>CG00504</v>
          </cell>
        </row>
        <row r="508">
          <cell r="A508" t="str">
            <v>CG00505</v>
          </cell>
          <cell r="B508" t="e">
            <v>#N/A</v>
          </cell>
          <cell r="C508" t="e">
            <v>#N/A</v>
          </cell>
          <cell r="D508" t="str">
            <v>CG</v>
          </cell>
          <cell r="E508" t="e">
            <v>#N/A</v>
          </cell>
          <cell r="F508" t="e">
            <v>#N/A</v>
          </cell>
          <cell r="G508" t="e">
            <v>#N/A</v>
          </cell>
          <cell r="H508" t="e">
            <v>#N/A</v>
          </cell>
          <cell r="J508" t="e">
            <v>#N/A</v>
          </cell>
          <cell r="K508" t="str">
            <v>CG00505</v>
          </cell>
        </row>
        <row r="509">
          <cell r="A509" t="str">
            <v>CG00506</v>
          </cell>
          <cell r="B509" t="e">
            <v>#N/A</v>
          </cell>
          <cell r="C509" t="e">
            <v>#N/A</v>
          </cell>
          <cell r="D509" t="str">
            <v>CG</v>
          </cell>
          <cell r="E509" t="e">
            <v>#N/A</v>
          </cell>
          <cell r="F509" t="e">
            <v>#N/A</v>
          </cell>
          <cell r="G509" t="e">
            <v>#N/A</v>
          </cell>
          <cell r="H509" t="e">
            <v>#N/A</v>
          </cell>
          <cell r="J509" t="e">
            <v>#N/A</v>
          </cell>
          <cell r="K509" t="str">
            <v>CG00506</v>
          </cell>
        </row>
        <row r="510">
          <cell r="A510" t="str">
            <v>CG00507</v>
          </cell>
          <cell r="B510" t="e">
            <v>#N/A</v>
          </cell>
          <cell r="C510" t="e">
            <v>#N/A</v>
          </cell>
          <cell r="D510" t="str">
            <v>CG</v>
          </cell>
          <cell r="E510" t="e">
            <v>#N/A</v>
          </cell>
          <cell r="F510" t="e">
            <v>#N/A</v>
          </cell>
          <cell r="G510" t="e">
            <v>#N/A</v>
          </cell>
          <cell r="H510" t="e">
            <v>#N/A</v>
          </cell>
          <cell r="J510" t="e">
            <v>#N/A</v>
          </cell>
          <cell r="K510" t="str">
            <v>CG00507</v>
          </cell>
        </row>
        <row r="511">
          <cell r="A511" t="str">
            <v>CG00508</v>
          </cell>
          <cell r="B511" t="e">
            <v>#N/A</v>
          </cell>
          <cell r="C511" t="e">
            <v>#N/A</v>
          </cell>
          <cell r="D511" t="str">
            <v>CG</v>
          </cell>
          <cell r="E511" t="e">
            <v>#N/A</v>
          </cell>
          <cell r="F511" t="e">
            <v>#N/A</v>
          </cell>
          <cell r="G511" t="e">
            <v>#N/A</v>
          </cell>
          <cell r="H511" t="e">
            <v>#N/A</v>
          </cell>
          <cell r="J511" t="e">
            <v>#N/A</v>
          </cell>
          <cell r="K511" t="str">
            <v>CG00508</v>
          </cell>
        </row>
        <row r="512">
          <cell r="A512" t="str">
            <v>CG00509</v>
          </cell>
          <cell r="B512" t="e">
            <v>#N/A</v>
          </cell>
          <cell r="C512" t="e">
            <v>#N/A</v>
          </cell>
          <cell r="D512" t="str">
            <v>CG</v>
          </cell>
          <cell r="E512" t="e">
            <v>#N/A</v>
          </cell>
          <cell r="F512" t="e">
            <v>#N/A</v>
          </cell>
          <cell r="G512" t="e">
            <v>#N/A</v>
          </cell>
          <cell r="H512" t="e">
            <v>#N/A</v>
          </cell>
          <cell r="J512" t="e">
            <v>#N/A</v>
          </cell>
          <cell r="K512" t="str">
            <v>CG00509</v>
          </cell>
        </row>
        <row r="513">
          <cell r="A513" t="str">
            <v>CG00510</v>
          </cell>
          <cell r="B513" t="e">
            <v>#N/A</v>
          </cell>
          <cell r="C513" t="e">
            <v>#N/A</v>
          </cell>
          <cell r="D513" t="str">
            <v>CG</v>
          </cell>
          <cell r="E513" t="e">
            <v>#N/A</v>
          </cell>
          <cell r="F513" t="e">
            <v>#N/A</v>
          </cell>
          <cell r="G513" t="e">
            <v>#N/A</v>
          </cell>
          <cell r="H513" t="e">
            <v>#N/A</v>
          </cell>
          <cell r="J513" t="e">
            <v>#N/A</v>
          </cell>
          <cell r="K513" t="str">
            <v>CG00510</v>
          </cell>
        </row>
        <row r="514">
          <cell r="A514" t="str">
            <v>CG00511</v>
          </cell>
          <cell r="B514" t="e">
            <v>#N/A</v>
          </cell>
          <cell r="C514" t="e">
            <v>#N/A</v>
          </cell>
          <cell r="D514" t="str">
            <v>CG</v>
          </cell>
          <cell r="E514" t="e">
            <v>#N/A</v>
          </cell>
          <cell r="F514" t="e">
            <v>#N/A</v>
          </cell>
          <cell r="G514" t="e">
            <v>#N/A</v>
          </cell>
          <cell r="H514" t="e">
            <v>#N/A</v>
          </cell>
          <cell r="J514" t="e">
            <v>#N/A</v>
          </cell>
          <cell r="K514" t="str">
            <v>CG00511</v>
          </cell>
        </row>
        <row r="515">
          <cell r="A515" t="str">
            <v>CG00512</v>
          </cell>
          <cell r="B515" t="e">
            <v>#N/A</v>
          </cell>
          <cell r="C515" t="e">
            <v>#N/A</v>
          </cell>
          <cell r="D515" t="str">
            <v>CG</v>
          </cell>
          <cell r="E515" t="e">
            <v>#N/A</v>
          </cell>
          <cell r="F515" t="e">
            <v>#N/A</v>
          </cell>
          <cell r="G515" t="e">
            <v>#N/A</v>
          </cell>
          <cell r="H515" t="e">
            <v>#N/A</v>
          </cell>
          <cell r="J515" t="e">
            <v>#N/A</v>
          </cell>
          <cell r="K515" t="str">
            <v>CG00512</v>
          </cell>
        </row>
        <row r="516">
          <cell r="A516" t="str">
            <v>CG00513</v>
          </cell>
          <cell r="B516" t="e">
            <v>#N/A</v>
          </cell>
          <cell r="C516" t="e">
            <v>#N/A</v>
          </cell>
          <cell r="D516" t="str">
            <v>CG</v>
          </cell>
          <cell r="E516" t="e">
            <v>#N/A</v>
          </cell>
          <cell r="F516" t="e">
            <v>#N/A</v>
          </cell>
          <cell r="G516" t="e">
            <v>#N/A</v>
          </cell>
          <cell r="H516" t="e">
            <v>#N/A</v>
          </cell>
          <cell r="J516" t="e">
            <v>#N/A</v>
          </cell>
          <cell r="K516" t="str">
            <v>CG00513</v>
          </cell>
        </row>
        <row r="517">
          <cell r="A517" t="str">
            <v>CG00514</v>
          </cell>
          <cell r="B517" t="e">
            <v>#N/A</v>
          </cell>
          <cell r="C517" t="e">
            <v>#N/A</v>
          </cell>
          <cell r="D517" t="str">
            <v>CG</v>
          </cell>
          <cell r="E517" t="e">
            <v>#N/A</v>
          </cell>
          <cell r="F517" t="e">
            <v>#N/A</v>
          </cell>
          <cell r="G517" t="e">
            <v>#N/A</v>
          </cell>
          <cell r="H517" t="e">
            <v>#N/A</v>
          </cell>
          <cell r="J517" t="e">
            <v>#N/A</v>
          </cell>
          <cell r="K517" t="str">
            <v>CG00514</v>
          </cell>
        </row>
        <row r="518">
          <cell r="A518" t="str">
            <v>CG00515</v>
          </cell>
          <cell r="B518" t="e">
            <v>#N/A</v>
          </cell>
          <cell r="C518" t="e">
            <v>#N/A</v>
          </cell>
          <cell r="D518" t="str">
            <v>CG</v>
          </cell>
          <cell r="E518" t="e">
            <v>#N/A</v>
          </cell>
          <cell r="F518" t="e">
            <v>#N/A</v>
          </cell>
          <cell r="G518" t="e">
            <v>#N/A</v>
          </cell>
          <cell r="H518" t="e">
            <v>#N/A</v>
          </cell>
          <cell r="J518" t="e">
            <v>#N/A</v>
          </cell>
          <cell r="K518" t="str">
            <v>CG00515</v>
          </cell>
        </row>
        <row r="519">
          <cell r="A519" t="str">
            <v>CG00516</v>
          </cell>
          <cell r="B519" t="e">
            <v>#N/A</v>
          </cell>
          <cell r="C519" t="e">
            <v>#N/A</v>
          </cell>
          <cell r="D519" t="str">
            <v>CG</v>
          </cell>
          <cell r="E519" t="e">
            <v>#N/A</v>
          </cell>
          <cell r="F519" t="e">
            <v>#N/A</v>
          </cell>
          <cell r="G519" t="e">
            <v>#N/A</v>
          </cell>
          <cell r="H519" t="e">
            <v>#N/A</v>
          </cell>
          <cell r="J519" t="e">
            <v>#N/A</v>
          </cell>
          <cell r="K519" t="str">
            <v>CG00516</v>
          </cell>
        </row>
        <row r="520">
          <cell r="A520" t="str">
            <v>CG00517</v>
          </cell>
          <cell r="B520" t="e">
            <v>#N/A</v>
          </cell>
          <cell r="C520" t="e">
            <v>#N/A</v>
          </cell>
          <cell r="D520" t="str">
            <v>CG</v>
          </cell>
          <cell r="E520" t="e">
            <v>#N/A</v>
          </cell>
          <cell r="F520" t="e">
            <v>#N/A</v>
          </cell>
          <cell r="G520" t="e">
            <v>#N/A</v>
          </cell>
          <cell r="H520" t="e">
            <v>#N/A</v>
          </cell>
          <cell r="J520" t="e">
            <v>#N/A</v>
          </cell>
          <cell r="K520" t="str">
            <v>CG00517</v>
          </cell>
        </row>
        <row r="521">
          <cell r="A521" t="str">
            <v>CG00518</v>
          </cell>
          <cell r="B521" t="e">
            <v>#N/A</v>
          </cell>
          <cell r="C521" t="e">
            <v>#N/A</v>
          </cell>
          <cell r="D521" t="str">
            <v>CG</v>
          </cell>
          <cell r="E521" t="e">
            <v>#N/A</v>
          </cell>
          <cell r="F521" t="e">
            <v>#N/A</v>
          </cell>
          <cell r="G521" t="e">
            <v>#N/A</v>
          </cell>
          <cell r="H521" t="e">
            <v>#N/A</v>
          </cell>
          <cell r="J521" t="e">
            <v>#N/A</v>
          </cell>
          <cell r="K521" t="str">
            <v>CG00518</v>
          </cell>
        </row>
        <row r="522">
          <cell r="A522" t="str">
            <v>CG00519</v>
          </cell>
          <cell r="B522" t="e">
            <v>#N/A</v>
          </cell>
          <cell r="C522" t="e">
            <v>#N/A</v>
          </cell>
          <cell r="D522" t="str">
            <v>CG</v>
          </cell>
          <cell r="E522" t="e">
            <v>#N/A</v>
          </cell>
          <cell r="F522" t="e">
            <v>#N/A</v>
          </cell>
          <cell r="G522" t="e">
            <v>#N/A</v>
          </cell>
          <cell r="H522" t="e">
            <v>#N/A</v>
          </cell>
          <cell r="J522" t="e">
            <v>#N/A</v>
          </cell>
          <cell r="K522" t="str">
            <v>CG00519</v>
          </cell>
        </row>
        <row r="523">
          <cell r="A523" t="str">
            <v>CG00520</v>
          </cell>
          <cell r="B523" t="e">
            <v>#N/A</v>
          </cell>
          <cell r="C523" t="e">
            <v>#N/A</v>
          </cell>
          <cell r="D523" t="str">
            <v>CG</v>
          </cell>
          <cell r="E523" t="e">
            <v>#N/A</v>
          </cell>
          <cell r="F523" t="e">
            <v>#N/A</v>
          </cell>
          <cell r="G523" t="e">
            <v>#N/A</v>
          </cell>
          <cell r="H523" t="e">
            <v>#N/A</v>
          </cell>
          <cell r="J523" t="e">
            <v>#N/A</v>
          </cell>
          <cell r="K523" t="str">
            <v>CG00520</v>
          </cell>
        </row>
        <row r="524">
          <cell r="A524" t="str">
            <v>CG00521</v>
          </cell>
          <cell r="B524" t="e">
            <v>#N/A</v>
          </cell>
          <cell r="C524" t="e">
            <v>#N/A</v>
          </cell>
          <cell r="D524" t="str">
            <v>CG</v>
          </cell>
          <cell r="E524" t="e">
            <v>#N/A</v>
          </cell>
          <cell r="F524" t="e">
            <v>#N/A</v>
          </cell>
          <cell r="G524" t="e">
            <v>#N/A</v>
          </cell>
          <cell r="H524" t="e">
            <v>#N/A</v>
          </cell>
          <cell r="J524" t="e">
            <v>#N/A</v>
          </cell>
          <cell r="K524" t="str">
            <v>CG00521</v>
          </cell>
        </row>
        <row r="525">
          <cell r="A525" t="str">
            <v>CG00522</v>
          </cell>
          <cell r="B525" t="e">
            <v>#N/A</v>
          </cell>
          <cell r="C525" t="e">
            <v>#N/A</v>
          </cell>
          <cell r="D525" t="str">
            <v>CG</v>
          </cell>
          <cell r="E525" t="e">
            <v>#N/A</v>
          </cell>
          <cell r="F525" t="e">
            <v>#N/A</v>
          </cell>
          <cell r="G525" t="e">
            <v>#N/A</v>
          </cell>
          <cell r="H525" t="e">
            <v>#N/A</v>
          </cell>
          <cell r="J525" t="e">
            <v>#N/A</v>
          </cell>
          <cell r="K525" t="str">
            <v>CG00522</v>
          </cell>
        </row>
        <row r="526">
          <cell r="A526" t="str">
            <v>CG00523</v>
          </cell>
          <cell r="B526" t="e">
            <v>#N/A</v>
          </cell>
          <cell r="C526" t="e">
            <v>#N/A</v>
          </cell>
          <cell r="D526" t="str">
            <v>CG</v>
          </cell>
          <cell r="E526" t="e">
            <v>#N/A</v>
          </cell>
          <cell r="F526" t="e">
            <v>#N/A</v>
          </cell>
          <cell r="G526" t="e">
            <v>#N/A</v>
          </cell>
          <cell r="H526" t="e">
            <v>#N/A</v>
          </cell>
          <cell r="J526" t="e">
            <v>#N/A</v>
          </cell>
          <cell r="K526" t="str">
            <v>CG00523</v>
          </cell>
        </row>
        <row r="527">
          <cell r="A527" t="str">
            <v>CG00524</v>
          </cell>
          <cell r="B527" t="e">
            <v>#N/A</v>
          </cell>
          <cell r="C527" t="e">
            <v>#N/A</v>
          </cell>
          <cell r="D527" t="str">
            <v>CG</v>
          </cell>
          <cell r="E527" t="e">
            <v>#N/A</v>
          </cell>
          <cell r="F527" t="e">
            <v>#N/A</v>
          </cell>
          <cell r="G527" t="e">
            <v>#N/A</v>
          </cell>
          <cell r="H527" t="e">
            <v>#N/A</v>
          </cell>
          <cell r="J527" t="e">
            <v>#N/A</v>
          </cell>
          <cell r="K527" t="str">
            <v>CG00524</v>
          </cell>
        </row>
        <row r="528">
          <cell r="A528" t="str">
            <v>CG00525</v>
          </cell>
          <cell r="B528" t="e">
            <v>#N/A</v>
          </cell>
          <cell r="C528" t="e">
            <v>#N/A</v>
          </cell>
          <cell r="D528" t="str">
            <v>CG</v>
          </cell>
          <cell r="E528" t="e">
            <v>#N/A</v>
          </cell>
          <cell r="F528" t="e">
            <v>#N/A</v>
          </cell>
          <cell r="G528" t="e">
            <v>#N/A</v>
          </cell>
          <cell r="H528" t="e">
            <v>#N/A</v>
          </cell>
          <cell r="J528" t="e">
            <v>#N/A</v>
          </cell>
          <cell r="K528" t="str">
            <v>CG00525</v>
          </cell>
        </row>
        <row r="529">
          <cell r="A529" t="str">
            <v>CG00526</v>
          </cell>
          <cell r="B529" t="e">
            <v>#N/A</v>
          </cell>
          <cell r="C529" t="e">
            <v>#N/A</v>
          </cell>
          <cell r="D529" t="str">
            <v>CG</v>
          </cell>
          <cell r="E529" t="e">
            <v>#N/A</v>
          </cell>
          <cell r="F529" t="e">
            <v>#N/A</v>
          </cell>
          <cell r="G529" t="e">
            <v>#N/A</v>
          </cell>
          <cell r="H529" t="e">
            <v>#N/A</v>
          </cell>
          <cell r="J529" t="e">
            <v>#N/A</v>
          </cell>
          <cell r="K529" t="str">
            <v>CG00526</v>
          </cell>
        </row>
        <row r="530">
          <cell r="A530" t="str">
            <v>CG00527</v>
          </cell>
          <cell r="B530" t="e">
            <v>#N/A</v>
          </cell>
          <cell r="C530" t="e">
            <v>#N/A</v>
          </cell>
          <cell r="D530" t="str">
            <v>CG</v>
          </cell>
          <cell r="E530" t="e">
            <v>#N/A</v>
          </cell>
          <cell r="F530" t="e">
            <v>#N/A</v>
          </cell>
          <cell r="G530" t="e">
            <v>#N/A</v>
          </cell>
          <cell r="H530" t="e">
            <v>#N/A</v>
          </cell>
          <cell r="J530" t="e">
            <v>#N/A</v>
          </cell>
          <cell r="K530" t="str">
            <v>CG00527</v>
          </cell>
        </row>
        <row r="531">
          <cell r="A531" t="str">
            <v>CG00528</v>
          </cell>
          <cell r="B531" t="e">
            <v>#N/A</v>
          </cell>
          <cell r="C531" t="e">
            <v>#N/A</v>
          </cell>
          <cell r="D531" t="str">
            <v>CG</v>
          </cell>
          <cell r="E531" t="e">
            <v>#N/A</v>
          </cell>
          <cell r="F531" t="e">
            <v>#N/A</v>
          </cell>
          <cell r="G531" t="e">
            <v>#N/A</v>
          </cell>
          <cell r="H531" t="e">
            <v>#N/A</v>
          </cell>
          <cell r="J531" t="e">
            <v>#N/A</v>
          </cell>
          <cell r="K531" t="str">
            <v>CG00528</v>
          </cell>
        </row>
        <row r="532">
          <cell r="A532" t="str">
            <v>CG00529</v>
          </cell>
          <cell r="B532" t="e">
            <v>#N/A</v>
          </cell>
          <cell r="C532" t="e">
            <v>#N/A</v>
          </cell>
          <cell r="D532" t="str">
            <v>CG</v>
          </cell>
          <cell r="E532" t="e">
            <v>#N/A</v>
          </cell>
          <cell r="F532" t="e">
            <v>#N/A</v>
          </cell>
          <cell r="G532" t="e">
            <v>#N/A</v>
          </cell>
          <cell r="H532" t="e">
            <v>#N/A</v>
          </cell>
          <cell r="J532" t="e">
            <v>#N/A</v>
          </cell>
          <cell r="K532" t="str">
            <v>CG00529</v>
          </cell>
        </row>
        <row r="533">
          <cell r="A533" t="str">
            <v>CG00530</v>
          </cell>
          <cell r="B533" t="e">
            <v>#N/A</v>
          </cell>
          <cell r="C533" t="e">
            <v>#N/A</v>
          </cell>
          <cell r="D533" t="str">
            <v>CG</v>
          </cell>
          <cell r="E533" t="e">
            <v>#N/A</v>
          </cell>
          <cell r="F533" t="e">
            <v>#N/A</v>
          </cell>
          <cell r="G533" t="e">
            <v>#N/A</v>
          </cell>
          <cell r="H533" t="e">
            <v>#N/A</v>
          </cell>
          <cell r="J533" t="e">
            <v>#N/A</v>
          </cell>
          <cell r="K533" t="str">
            <v>CG00530</v>
          </cell>
        </row>
        <row r="534">
          <cell r="A534" t="str">
            <v>CG00531</v>
          </cell>
          <cell r="B534" t="e">
            <v>#N/A</v>
          </cell>
          <cell r="C534" t="e">
            <v>#N/A</v>
          </cell>
          <cell r="D534" t="str">
            <v>CG</v>
          </cell>
          <cell r="E534" t="e">
            <v>#N/A</v>
          </cell>
          <cell r="F534" t="e">
            <v>#N/A</v>
          </cell>
          <cell r="G534" t="e">
            <v>#N/A</v>
          </cell>
          <cell r="H534" t="e">
            <v>#N/A</v>
          </cell>
          <cell r="J534" t="e">
            <v>#N/A</v>
          </cell>
          <cell r="K534" t="str">
            <v>CG00531</v>
          </cell>
        </row>
        <row r="535">
          <cell r="A535" t="str">
            <v>CG00532</v>
          </cell>
          <cell r="B535" t="e">
            <v>#N/A</v>
          </cell>
          <cell r="C535" t="e">
            <v>#N/A</v>
          </cell>
          <cell r="D535" t="str">
            <v>CG</v>
          </cell>
          <cell r="E535" t="e">
            <v>#N/A</v>
          </cell>
          <cell r="F535" t="e">
            <v>#N/A</v>
          </cell>
          <cell r="G535" t="e">
            <v>#N/A</v>
          </cell>
          <cell r="H535" t="e">
            <v>#N/A</v>
          </cell>
          <cell r="J535" t="e">
            <v>#N/A</v>
          </cell>
          <cell r="K535" t="str">
            <v>CG00532</v>
          </cell>
        </row>
        <row r="536">
          <cell r="A536" t="str">
            <v>CG00533</v>
          </cell>
          <cell r="B536" t="e">
            <v>#N/A</v>
          </cell>
          <cell r="C536" t="e">
            <v>#N/A</v>
          </cell>
          <cell r="D536" t="str">
            <v>CG</v>
          </cell>
          <cell r="E536" t="e">
            <v>#N/A</v>
          </cell>
          <cell r="F536" t="e">
            <v>#N/A</v>
          </cell>
          <cell r="G536" t="e">
            <v>#N/A</v>
          </cell>
          <cell r="H536" t="e">
            <v>#N/A</v>
          </cell>
          <cell r="J536" t="e">
            <v>#N/A</v>
          </cell>
          <cell r="K536" t="str">
            <v>CG00533</v>
          </cell>
        </row>
        <row r="537">
          <cell r="A537" t="str">
            <v>CG00534</v>
          </cell>
          <cell r="B537" t="e">
            <v>#N/A</v>
          </cell>
          <cell r="C537" t="e">
            <v>#N/A</v>
          </cell>
          <cell r="D537" t="str">
            <v>CG</v>
          </cell>
          <cell r="E537" t="e">
            <v>#N/A</v>
          </cell>
          <cell r="F537" t="e">
            <v>#N/A</v>
          </cell>
          <cell r="G537" t="e">
            <v>#N/A</v>
          </cell>
          <cell r="H537" t="e">
            <v>#N/A</v>
          </cell>
          <cell r="J537" t="e">
            <v>#N/A</v>
          </cell>
          <cell r="K537" t="str">
            <v>CG00534</v>
          </cell>
        </row>
        <row r="538">
          <cell r="A538" t="str">
            <v>CG00535</v>
          </cell>
          <cell r="B538" t="e">
            <v>#N/A</v>
          </cell>
          <cell r="C538" t="e">
            <v>#N/A</v>
          </cell>
          <cell r="D538" t="str">
            <v>CG</v>
          </cell>
          <cell r="E538" t="e">
            <v>#N/A</v>
          </cell>
          <cell r="F538" t="e">
            <v>#N/A</v>
          </cell>
          <cell r="G538" t="e">
            <v>#N/A</v>
          </cell>
          <cell r="H538" t="e">
            <v>#N/A</v>
          </cell>
          <cell r="J538" t="e">
            <v>#N/A</v>
          </cell>
          <cell r="K538" t="str">
            <v>CG00535</v>
          </cell>
        </row>
        <row r="539">
          <cell r="A539" t="str">
            <v>CG00536</v>
          </cell>
          <cell r="B539" t="e">
            <v>#N/A</v>
          </cell>
          <cell r="C539" t="e">
            <v>#N/A</v>
          </cell>
          <cell r="D539" t="str">
            <v>CG</v>
          </cell>
          <cell r="E539" t="e">
            <v>#N/A</v>
          </cell>
          <cell r="F539" t="e">
            <v>#N/A</v>
          </cell>
          <cell r="G539" t="e">
            <v>#N/A</v>
          </cell>
          <cell r="H539" t="e">
            <v>#N/A</v>
          </cell>
          <cell r="J539" t="e">
            <v>#N/A</v>
          </cell>
          <cell r="K539" t="str">
            <v>CG00536</v>
          </cell>
        </row>
        <row r="540">
          <cell r="A540" t="str">
            <v>CG00537</v>
          </cell>
          <cell r="B540" t="e">
            <v>#N/A</v>
          </cell>
          <cell r="C540" t="e">
            <v>#N/A</v>
          </cell>
          <cell r="D540" t="str">
            <v>CG</v>
          </cell>
          <cell r="E540" t="e">
            <v>#N/A</v>
          </cell>
          <cell r="F540" t="e">
            <v>#N/A</v>
          </cell>
          <cell r="G540" t="e">
            <v>#N/A</v>
          </cell>
          <cell r="H540" t="e">
            <v>#N/A</v>
          </cell>
          <cell r="J540" t="e">
            <v>#N/A</v>
          </cell>
          <cell r="K540" t="str">
            <v>CG00537</v>
          </cell>
        </row>
        <row r="541">
          <cell r="A541" t="str">
            <v>CG00538</v>
          </cell>
          <cell r="B541" t="e">
            <v>#N/A</v>
          </cell>
          <cell r="C541" t="e">
            <v>#N/A</v>
          </cell>
          <cell r="D541" t="str">
            <v>CG</v>
          </cell>
          <cell r="E541" t="e">
            <v>#N/A</v>
          </cell>
          <cell r="F541" t="e">
            <v>#N/A</v>
          </cell>
          <cell r="G541" t="e">
            <v>#N/A</v>
          </cell>
          <cell r="H541" t="e">
            <v>#N/A</v>
          </cell>
          <cell r="J541" t="e">
            <v>#N/A</v>
          </cell>
          <cell r="K541" t="str">
            <v>CG00538</v>
          </cell>
        </row>
        <row r="542">
          <cell r="A542" t="str">
            <v>CG00539</v>
          </cell>
          <cell r="B542" t="e">
            <v>#N/A</v>
          </cell>
          <cell r="C542" t="e">
            <v>#N/A</v>
          </cell>
          <cell r="D542" t="str">
            <v>CG</v>
          </cell>
          <cell r="E542" t="e">
            <v>#N/A</v>
          </cell>
          <cell r="F542" t="e">
            <v>#N/A</v>
          </cell>
          <cell r="G542" t="e">
            <v>#N/A</v>
          </cell>
          <cell r="H542" t="e">
            <v>#N/A</v>
          </cell>
          <cell r="J542" t="e">
            <v>#N/A</v>
          </cell>
          <cell r="K542" t="str">
            <v>CG00539</v>
          </cell>
        </row>
        <row r="543">
          <cell r="A543" t="str">
            <v>CG00540</v>
          </cell>
          <cell r="B543" t="e">
            <v>#N/A</v>
          </cell>
          <cell r="C543" t="e">
            <v>#N/A</v>
          </cell>
          <cell r="D543" t="str">
            <v>CG</v>
          </cell>
          <cell r="E543" t="e">
            <v>#N/A</v>
          </cell>
          <cell r="F543" t="e">
            <v>#N/A</v>
          </cell>
          <cell r="G543" t="e">
            <v>#N/A</v>
          </cell>
          <cell r="H543" t="e">
            <v>#N/A</v>
          </cell>
          <cell r="J543" t="e">
            <v>#N/A</v>
          </cell>
          <cell r="K543" t="str">
            <v>CG00540</v>
          </cell>
        </row>
        <row r="544">
          <cell r="A544" t="str">
            <v>CG00541</v>
          </cell>
          <cell r="B544" t="e">
            <v>#N/A</v>
          </cell>
          <cell r="C544" t="e">
            <v>#N/A</v>
          </cell>
          <cell r="D544" t="str">
            <v>CG</v>
          </cell>
          <cell r="E544" t="e">
            <v>#N/A</v>
          </cell>
          <cell r="F544" t="e">
            <v>#N/A</v>
          </cell>
          <cell r="G544" t="e">
            <v>#N/A</v>
          </cell>
          <cell r="H544" t="e">
            <v>#N/A</v>
          </cell>
          <cell r="J544" t="e">
            <v>#N/A</v>
          </cell>
          <cell r="K544" t="str">
            <v>CG00541</v>
          </cell>
        </row>
        <row r="545">
          <cell r="A545" t="str">
            <v>CG00542</v>
          </cell>
          <cell r="B545" t="e">
            <v>#N/A</v>
          </cell>
          <cell r="C545" t="e">
            <v>#N/A</v>
          </cell>
          <cell r="D545" t="str">
            <v>CG</v>
          </cell>
          <cell r="E545" t="e">
            <v>#N/A</v>
          </cell>
          <cell r="F545" t="e">
            <v>#N/A</v>
          </cell>
          <cell r="G545" t="e">
            <v>#N/A</v>
          </cell>
          <cell r="H545" t="e">
            <v>#N/A</v>
          </cell>
          <cell r="J545" t="e">
            <v>#N/A</v>
          </cell>
          <cell r="K545" t="str">
            <v>CG00542</v>
          </cell>
        </row>
        <row r="546">
          <cell r="A546" t="str">
            <v>CG00543</v>
          </cell>
          <cell r="B546" t="e">
            <v>#N/A</v>
          </cell>
          <cell r="C546" t="e">
            <v>#N/A</v>
          </cell>
          <cell r="D546" t="str">
            <v>CG</v>
          </cell>
          <cell r="E546" t="e">
            <v>#N/A</v>
          </cell>
          <cell r="F546" t="e">
            <v>#N/A</v>
          </cell>
          <cell r="G546" t="e">
            <v>#N/A</v>
          </cell>
          <cell r="H546" t="e">
            <v>#N/A</v>
          </cell>
          <cell r="J546" t="e">
            <v>#N/A</v>
          </cell>
          <cell r="K546" t="str">
            <v>CG00543</v>
          </cell>
        </row>
        <row r="547">
          <cell r="A547" t="str">
            <v>CG00544</v>
          </cell>
          <cell r="B547" t="e">
            <v>#N/A</v>
          </cell>
          <cell r="C547" t="e">
            <v>#N/A</v>
          </cell>
          <cell r="D547" t="str">
            <v>CG</v>
          </cell>
          <cell r="E547" t="e">
            <v>#N/A</v>
          </cell>
          <cell r="F547" t="e">
            <v>#N/A</v>
          </cell>
          <cell r="G547" t="e">
            <v>#N/A</v>
          </cell>
          <cell r="H547" t="e">
            <v>#N/A</v>
          </cell>
          <cell r="J547" t="e">
            <v>#N/A</v>
          </cell>
          <cell r="K547" t="str">
            <v>CG00544</v>
          </cell>
        </row>
        <row r="548">
          <cell r="A548" t="str">
            <v>CG00545</v>
          </cell>
          <cell r="B548" t="e">
            <v>#N/A</v>
          </cell>
          <cell r="C548" t="e">
            <v>#N/A</v>
          </cell>
          <cell r="D548" t="str">
            <v>CG</v>
          </cell>
          <cell r="E548" t="e">
            <v>#N/A</v>
          </cell>
          <cell r="F548" t="e">
            <v>#N/A</v>
          </cell>
          <cell r="G548" t="e">
            <v>#N/A</v>
          </cell>
          <cell r="H548" t="e">
            <v>#N/A</v>
          </cell>
          <cell r="J548" t="e">
            <v>#N/A</v>
          </cell>
          <cell r="K548" t="str">
            <v>CG00545</v>
          </cell>
        </row>
        <row r="549">
          <cell r="A549" t="str">
            <v>CG00546</v>
          </cell>
          <cell r="B549" t="e">
            <v>#N/A</v>
          </cell>
          <cell r="C549" t="e">
            <v>#N/A</v>
          </cell>
          <cell r="D549" t="str">
            <v>CG</v>
          </cell>
          <cell r="E549" t="e">
            <v>#N/A</v>
          </cell>
          <cell r="F549" t="e">
            <v>#N/A</v>
          </cell>
          <cell r="G549" t="e">
            <v>#N/A</v>
          </cell>
          <cell r="H549" t="e">
            <v>#N/A</v>
          </cell>
          <cell r="J549" t="e">
            <v>#N/A</v>
          </cell>
          <cell r="K549" t="str">
            <v>CG00546</v>
          </cell>
        </row>
        <row r="550">
          <cell r="A550" t="str">
            <v>CG00547</v>
          </cell>
          <cell r="B550" t="e">
            <v>#N/A</v>
          </cell>
          <cell r="C550" t="e">
            <v>#N/A</v>
          </cell>
          <cell r="D550" t="str">
            <v>CG</v>
          </cell>
          <cell r="E550" t="e">
            <v>#N/A</v>
          </cell>
          <cell r="F550" t="e">
            <v>#N/A</v>
          </cell>
          <cell r="G550" t="e">
            <v>#N/A</v>
          </cell>
          <cell r="H550" t="e">
            <v>#N/A</v>
          </cell>
          <cell r="J550" t="e">
            <v>#N/A</v>
          </cell>
          <cell r="K550" t="str">
            <v>CG00547</v>
          </cell>
        </row>
        <row r="551">
          <cell r="A551" t="str">
            <v>CG00548</v>
          </cell>
          <cell r="B551" t="e">
            <v>#N/A</v>
          </cell>
          <cell r="C551" t="e">
            <v>#N/A</v>
          </cell>
          <cell r="D551" t="str">
            <v>CG</v>
          </cell>
          <cell r="E551" t="e">
            <v>#N/A</v>
          </cell>
          <cell r="F551" t="e">
            <v>#N/A</v>
          </cell>
          <cell r="G551" t="e">
            <v>#N/A</v>
          </cell>
          <cell r="H551" t="e">
            <v>#N/A</v>
          </cell>
          <cell r="J551" t="e">
            <v>#N/A</v>
          </cell>
          <cell r="K551" t="str">
            <v>CG00548</v>
          </cell>
        </row>
        <row r="552">
          <cell r="A552" t="str">
            <v>CG00549</v>
          </cell>
          <cell r="B552" t="e">
            <v>#N/A</v>
          </cell>
          <cell r="C552" t="e">
            <v>#N/A</v>
          </cell>
          <cell r="D552" t="str">
            <v>CG</v>
          </cell>
          <cell r="E552" t="e">
            <v>#N/A</v>
          </cell>
          <cell r="F552" t="e">
            <v>#N/A</v>
          </cell>
          <cell r="G552" t="e">
            <v>#N/A</v>
          </cell>
          <cell r="H552" t="e">
            <v>#N/A</v>
          </cell>
          <cell r="J552" t="e">
            <v>#N/A</v>
          </cell>
          <cell r="K552" t="str">
            <v>CG00549</v>
          </cell>
        </row>
        <row r="553">
          <cell r="A553" t="str">
            <v>CG00550</v>
          </cell>
          <cell r="B553" t="e">
            <v>#N/A</v>
          </cell>
          <cell r="C553" t="e">
            <v>#N/A</v>
          </cell>
          <cell r="D553" t="str">
            <v>CG</v>
          </cell>
          <cell r="E553" t="e">
            <v>#N/A</v>
          </cell>
          <cell r="F553" t="e">
            <v>#N/A</v>
          </cell>
          <cell r="G553" t="e">
            <v>#N/A</v>
          </cell>
          <cell r="H553" t="e">
            <v>#N/A</v>
          </cell>
          <cell r="J553" t="e">
            <v>#N/A</v>
          </cell>
          <cell r="K553" t="str">
            <v>CG00550</v>
          </cell>
        </row>
        <row r="554">
          <cell r="A554" t="str">
            <v>CG00551</v>
          </cell>
          <cell r="B554" t="e">
            <v>#N/A</v>
          </cell>
          <cell r="C554" t="e">
            <v>#N/A</v>
          </cell>
          <cell r="D554" t="str">
            <v>CG</v>
          </cell>
          <cell r="E554" t="e">
            <v>#N/A</v>
          </cell>
          <cell r="F554" t="e">
            <v>#N/A</v>
          </cell>
          <cell r="G554" t="e">
            <v>#N/A</v>
          </cell>
          <cell r="H554" t="e">
            <v>#N/A</v>
          </cell>
          <cell r="J554" t="e">
            <v>#N/A</v>
          </cell>
          <cell r="K554" t="str">
            <v>CG00551</v>
          </cell>
        </row>
        <row r="555">
          <cell r="A555" t="str">
            <v>CG00552</v>
          </cell>
          <cell r="B555" t="e">
            <v>#N/A</v>
          </cell>
          <cell r="C555" t="e">
            <v>#N/A</v>
          </cell>
          <cell r="D555" t="str">
            <v>CG</v>
          </cell>
          <cell r="E555" t="e">
            <v>#N/A</v>
          </cell>
          <cell r="F555" t="e">
            <v>#N/A</v>
          </cell>
          <cell r="G555" t="e">
            <v>#N/A</v>
          </cell>
          <cell r="H555" t="e">
            <v>#N/A</v>
          </cell>
          <cell r="J555" t="e">
            <v>#N/A</v>
          </cell>
          <cell r="K555" t="str">
            <v>CG00552</v>
          </cell>
        </row>
        <row r="556">
          <cell r="A556" t="str">
            <v>CG00553</v>
          </cell>
          <cell r="B556" t="e">
            <v>#N/A</v>
          </cell>
          <cell r="C556" t="e">
            <v>#N/A</v>
          </cell>
          <cell r="D556" t="str">
            <v>CG</v>
          </cell>
          <cell r="E556" t="e">
            <v>#N/A</v>
          </cell>
          <cell r="F556" t="e">
            <v>#N/A</v>
          </cell>
          <cell r="G556" t="e">
            <v>#N/A</v>
          </cell>
          <cell r="H556" t="e">
            <v>#N/A</v>
          </cell>
          <cell r="J556" t="e">
            <v>#N/A</v>
          </cell>
          <cell r="K556" t="str">
            <v>CG00553</v>
          </cell>
        </row>
        <row r="557">
          <cell r="A557" t="str">
            <v>CG00554</v>
          </cell>
          <cell r="B557" t="e">
            <v>#N/A</v>
          </cell>
          <cell r="C557" t="e">
            <v>#N/A</v>
          </cell>
          <cell r="D557" t="str">
            <v>CG</v>
          </cell>
          <cell r="E557" t="e">
            <v>#N/A</v>
          </cell>
          <cell r="F557" t="e">
            <v>#N/A</v>
          </cell>
          <cell r="G557" t="e">
            <v>#N/A</v>
          </cell>
          <cell r="H557" t="e">
            <v>#N/A</v>
          </cell>
          <cell r="J557" t="e">
            <v>#N/A</v>
          </cell>
          <cell r="K557" t="str">
            <v>CG00554</v>
          </cell>
        </row>
        <row r="558">
          <cell r="A558" t="str">
            <v>CG00555</v>
          </cell>
          <cell r="B558" t="e">
            <v>#N/A</v>
          </cell>
          <cell r="C558" t="e">
            <v>#N/A</v>
          </cell>
          <cell r="D558" t="str">
            <v>CG</v>
          </cell>
          <cell r="E558" t="e">
            <v>#N/A</v>
          </cell>
          <cell r="F558" t="e">
            <v>#N/A</v>
          </cell>
          <cell r="G558" t="e">
            <v>#N/A</v>
          </cell>
          <cell r="H558" t="e">
            <v>#N/A</v>
          </cell>
          <cell r="J558" t="e">
            <v>#N/A</v>
          </cell>
          <cell r="K558" t="str">
            <v>CG00555</v>
          </cell>
        </row>
        <row r="559">
          <cell r="A559" t="str">
            <v>CG00556</v>
          </cell>
          <cell r="B559" t="e">
            <v>#N/A</v>
          </cell>
          <cell r="C559" t="e">
            <v>#N/A</v>
          </cell>
          <cell r="D559" t="str">
            <v>CG</v>
          </cell>
          <cell r="E559" t="e">
            <v>#N/A</v>
          </cell>
          <cell r="F559" t="e">
            <v>#N/A</v>
          </cell>
          <cell r="G559" t="e">
            <v>#N/A</v>
          </cell>
          <cell r="H559" t="e">
            <v>#N/A</v>
          </cell>
          <cell r="J559" t="e">
            <v>#N/A</v>
          </cell>
          <cell r="K559" t="str">
            <v>CG00556</v>
          </cell>
        </row>
        <row r="560">
          <cell r="A560" t="str">
            <v>CG00557</v>
          </cell>
          <cell r="B560" t="e">
            <v>#N/A</v>
          </cell>
          <cell r="C560" t="e">
            <v>#N/A</v>
          </cell>
          <cell r="D560" t="str">
            <v>CG</v>
          </cell>
          <cell r="E560" t="e">
            <v>#N/A</v>
          </cell>
          <cell r="F560" t="e">
            <v>#N/A</v>
          </cell>
          <cell r="G560" t="e">
            <v>#N/A</v>
          </cell>
          <cell r="H560" t="e">
            <v>#N/A</v>
          </cell>
          <cell r="J560" t="e">
            <v>#N/A</v>
          </cell>
          <cell r="K560" t="str">
            <v>CG00557</v>
          </cell>
        </row>
        <row r="561">
          <cell r="A561" t="str">
            <v>CG00558</v>
          </cell>
          <cell r="B561" t="e">
            <v>#N/A</v>
          </cell>
          <cell r="C561" t="e">
            <v>#N/A</v>
          </cell>
          <cell r="D561" t="str">
            <v>CG</v>
          </cell>
          <cell r="E561" t="e">
            <v>#N/A</v>
          </cell>
          <cell r="F561" t="e">
            <v>#N/A</v>
          </cell>
          <cell r="G561" t="e">
            <v>#N/A</v>
          </cell>
          <cell r="H561" t="e">
            <v>#N/A</v>
          </cell>
          <cell r="J561" t="e">
            <v>#N/A</v>
          </cell>
          <cell r="K561" t="str">
            <v>CG00558</v>
          </cell>
        </row>
        <row r="562">
          <cell r="A562" t="str">
            <v>CG00559</v>
          </cell>
          <cell r="B562" t="e">
            <v>#N/A</v>
          </cell>
          <cell r="C562" t="e">
            <v>#N/A</v>
          </cell>
          <cell r="D562" t="str">
            <v>CG</v>
          </cell>
          <cell r="E562" t="e">
            <v>#N/A</v>
          </cell>
          <cell r="F562" t="e">
            <v>#N/A</v>
          </cell>
          <cell r="G562" t="e">
            <v>#N/A</v>
          </cell>
          <cell r="H562" t="e">
            <v>#N/A</v>
          </cell>
          <cell r="J562" t="e">
            <v>#N/A</v>
          </cell>
          <cell r="K562" t="str">
            <v>CG00559</v>
          </cell>
        </row>
        <row r="563">
          <cell r="A563" t="str">
            <v>CG00560</v>
          </cell>
          <cell r="B563" t="e">
            <v>#N/A</v>
          </cell>
          <cell r="C563" t="e">
            <v>#N/A</v>
          </cell>
          <cell r="D563" t="str">
            <v>CG</v>
          </cell>
          <cell r="E563" t="e">
            <v>#N/A</v>
          </cell>
          <cell r="F563" t="e">
            <v>#N/A</v>
          </cell>
          <cell r="G563" t="e">
            <v>#N/A</v>
          </cell>
          <cell r="H563" t="e">
            <v>#N/A</v>
          </cell>
          <cell r="J563" t="e">
            <v>#N/A</v>
          </cell>
          <cell r="K563" t="str">
            <v>CG00560</v>
          </cell>
        </row>
        <row r="564">
          <cell r="A564" t="str">
            <v>CG00561</v>
          </cell>
          <cell r="B564" t="e">
            <v>#N/A</v>
          </cell>
          <cell r="C564" t="e">
            <v>#N/A</v>
          </cell>
          <cell r="D564" t="str">
            <v>CG</v>
          </cell>
          <cell r="E564" t="e">
            <v>#N/A</v>
          </cell>
          <cell r="F564" t="e">
            <v>#N/A</v>
          </cell>
          <cell r="G564" t="e">
            <v>#N/A</v>
          </cell>
          <cell r="H564" t="e">
            <v>#N/A</v>
          </cell>
          <cell r="J564" t="e">
            <v>#N/A</v>
          </cell>
          <cell r="K564" t="str">
            <v>CG00561</v>
          </cell>
        </row>
        <row r="565">
          <cell r="A565" t="str">
            <v>CG00562</v>
          </cell>
          <cell r="B565" t="e">
            <v>#N/A</v>
          </cell>
          <cell r="C565" t="e">
            <v>#N/A</v>
          </cell>
          <cell r="D565" t="str">
            <v>CG</v>
          </cell>
          <cell r="E565" t="e">
            <v>#N/A</v>
          </cell>
          <cell r="F565" t="e">
            <v>#N/A</v>
          </cell>
          <cell r="G565" t="e">
            <v>#N/A</v>
          </cell>
          <cell r="H565" t="e">
            <v>#N/A</v>
          </cell>
          <cell r="J565" t="e">
            <v>#N/A</v>
          </cell>
          <cell r="K565" t="str">
            <v>CG00562</v>
          </cell>
        </row>
        <row r="566">
          <cell r="A566" t="str">
            <v>CG00563</v>
          </cell>
          <cell r="B566" t="e">
            <v>#N/A</v>
          </cell>
          <cell r="C566" t="e">
            <v>#N/A</v>
          </cell>
          <cell r="D566" t="str">
            <v>CG</v>
          </cell>
          <cell r="E566" t="e">
            <v>#N/A</v>
          </cell>
          <cell r="F566" t="e">
            <v>#N/A</v>
          </cell>
          <cell r="G566" t="e">
            <v>#N/A</v>
          </cell>
          <cell r="H566" t="e">
            <v>#N/A</v>
          </cell>
          <cell r="J566" t="e">
            <v>#N/A</v>
          </cell>
          <cell r="K566" t="str">
            <v>CG00563</v>
          </cell>
        </row>
        <row r="567">
          <cell r="A567" t="str">
            <v>CG00564</v>
          </cell>
          <cell r="B567" t="e">
            <v>#N/A</v>
          </cell>
          <cell r="C567" t="e">
            <v>#N/A</v>
          </cell>
          <cell r="D567" t="str">
            <v>CG</v>
          </cell>
          <cell r="E567" t="e">
            <v>#N/A</v>
          </cell>
          <cell r="F567" t="e">
            <v>#N/A</v>
          </cell>
          <cell r="G567" t="e">
            <v>#N/A</v>
          </cell>
          <cell r="H567" t="e">
            <v>#N/A</v>
          </cell>
          <cell r="J567" t="e">
            <v>#N/A</v>
          </cell>
          <cell r="K567" t="str">
            <v>CG00564</v>
          </cell>
        </row>
        <row r="568">
          <cell r="A568" t="str">
            <v>CG00565</v>
          </cell>
          <cell r="B568" t="e">
            <v>#N/A</v>
          </cell>
          <cell r="C568" t="e">
            <v>#N/A</v>
          </cell>
          <cell r="D568" t="str">
            <v>CG</v>
          </cell>
          <cell r="E568" t="e">
            <v>#N/A</v>
          </cell>
          <cell r="F568" t="e">
            <v>#N/A</v>
          </cell>
          <cell r="G568" t="e">
            <v>#N/A</v>
          </cell>
          <cell r="H568" t="e">
            <v>#N/A</v>
          </cell>
          <cell r="J568" t="e">
            <v>#N/A</v>
          </cell>
          <cell r="K568" t="str">
            <v>CG00565</v>
          </cell>
        </row>
        <row r="569">
          <cell r="A569" t="str">
            <v>CG00566</v>
          </cell>
          <cell r="B569" t="e">
            <v>#N/A</v>
          </cell>
          <cell r="C569" t="e">
            <v>#N/A</v>
          </cell>
          <cell r="D569" t="str">
            <v>CG</v>
          </cell>
          <cell r="E569" t="e">
            <v>#N/A</v>
          </cell>
          <cell r="F569" t="e">
            <v>#N/A</v>
          </cell>
          <cell r="G569" t="e">
            <v>#N/A</v>
          </cell>
          <cell r="H569" t="e">
            <v>#N/A</v>
          </cell>
          <cell r="J569" t="e">
            <v>#N/A</v>
          </cell>
          <cell r="K569" t="str">
            <v>CG00566</v>
          </cell>
        </row>
        <row r="570">
          <cell r="A570" t="str">
            <v>CG00567</v>
          </cell>
          <cell r="B570" t="e">
            <v>#N/A</v>
          </cell>
          <cell r="C570" t="e">
            <v>#N/A</v>
          </cell>
          <cell r="D570" t="str">
            <v>CG</v>
          </cell>
          <cell r="E570" t="e">
            <v>#N/A</v>
          </cell>
          <cell r="F570" t="e">
            <v>#N/A</v>
          </cell>
          <cell r="G570" t="e">
            <v>#N/A</v>
          </cell>
          <cell r="H570" t="e">
            <v>#N/A</v>
          </cell>
          <cell r="J570" t="e">
            <v>#N/A</v>
          </cell>
          <cell r="K570" t="str">
            <v>CG00567</v>
          </cell>
        </row>
        <row r="571">
          <cell r="A571" t="str">
            <v>CG00568</v>
          </cell>
          <cell r="B571" t="e">
            <v>#N/A</v>
          </cell>
          <cell r="C571" t="e">
            <v>#N/A</v>
          </cell>
          <cell r="D571" t="str">
            <v>CG</v>
          </cell>
          <cell r="E571" t="e">
            <v>#N/A</v>
          </cell>
          <cell r="F571" t="e">
            <v>#N/A</v>
          </cell>
          <cell r="G571" t="e">
            <v>#N/A</v>
          </cell>
          <cell r="H571" t="e">
            <v>#N/A</v>
          </cell>
          <cell r="J571" t="e">
            <v>#N/A</v>
          </cell>
          <cell r="K571" t="str">
            <v>CG00568</v>
          </cell>
        </row>
        <row r="572">
          <cell r="A572" t="str">
            <v>CG00569</v>
          </cell>
          <cell r="B572" t="e">
            <v>#N/A</v>
          </cell>
          <cell r="C572" t="e">
            <v>#N/A</v>
          </cell>
          <cell r="D572" t="str">
            <v>CG</v>
          </cell>
          <cell r="E572" t="e">
            <v>#N/A</v>
          </cell>
          <cell r="F572" t="e">
            <v>#N/A</v>
          </cell>
          <cell r="G572" t="e">
            <v>#N/A</v>
          </cell>
          <cell r="H572" t="e">
            <v>#N/A</v>
          </cell>
          <cell r="J572" t="e">
            <v>#N/A</v>
          </cell>
          <cell r="K572" t="str">
            <v>CG00569</v>
          </cell>
        </row>
        <row r="573">
          <cell r="A573" t="str">
            <v>CG00570</v>
          </cell>
          <cell r="B573" t="e">
            <v>#N/A</v>
          </cell>
          <cell r="C573" t="e">
            <v>#N/A</v>
          </cell>
          <cell r="D573" t="str">
            <v>CG</v>
          </cell>
          <cell r="E573" t="e">
            <v>#N/A</v>
          </cell>
          <cell r="F573" t="e">
            <v>#N/A</v>
          </cell>
          <cell r="G573" t="e">
            <v>#N/A</v>
          </cell>
          <cell r="H573" t="e">
            <v>#N/A</v>
          </cell>
          <cell r="J573" t="e">
            <v>#N/A</v>
          </cell>
          <cell r="K573" t="str">
            <v>CG00570</v>
          </cell>
        </row>
        <row r="574">
          <cell r="A574" t="str">
            <v>CG00571</v>
          </cell>
          <cell r="B574" t="e">
            <v>#N/A</v>
          </cell>
          <cell r="C574" t="e">
            <v>#N/A</v>
          </cell>
          <cell r="D574" t="str">
            <v>CG</v>
          </cell>
          <cell r="E574" t="e">
            <v>#N/A</v>
          </cell>
          <cell r="F574" t="e">
            <v>#N/A</v>
          </cell>
          <cell r="G574" t="e">
            <v>#N/A</v>
          </cell>
          <cell r="H574" t="e">
            <v>#N/A</v>
          </cell>
          <cell r="J574" t="e">
            <v>#N/A</v>
          </cell>
          <cell r="K574" t="str">
            <v>CG00571</v>
          </cell>
        </row>
        <row r="575">
          <cell r="A575" t="str">
            <v>CG00572</v>
          </cell>
          <cell r="B575" t="e">
            <v>#N/A</v>
          </cell>
          <cell r="C575" t="e">
            <v>#N/A</v>
          </cell>
          <cell r="D575" t="str">
            <v>CG</v>
          </cell>
          <cell r="E575" t="e">
            <v>#N/A</v>
          </cell>
          <cell r="F575" t="e">
            <v>#N/A</v>
          </cell>
          <cell r="G575" t="e">
            <v>#N/A</v>
          </cell>
          <cell r="H575" t="e">
            <v>#N/A</v>
          </cell>
          <cell r="J575" t="e">
            <v>#N/A</v>
          </cell>
          <cell r="K575" t="str">
            <v>CG00572</v>
          </cell>
        </row>
        <row r="576">
          <cell r="A576" t="str">
            <v>CG00573</v>
          </cell>
          <cell r="B576" t="e">
            <v>#N/A</v>
          </cell>
          <cell r="C576" t="e">
            <v>#N/A</v>
          </cell>
          <cell r="D576" t="str">
            <v>CG</v>
          </cell>
          <cell r="E576" t="e">
            <v>#N/A</v>
          </cell>
          <cell r="F576" t="e">
            <v>#N/A</v>
          </cell>
          <cell r="G576" t="e">
            <v>#N/A</v>
          </cell>
          <cell r="H576" t="e">
            <v>#N/A</v>
          </cell>
          <cell r="J576" t="e">
            <v>#N/A</v>
          </cell>
          <cell r="K576" t="str">
            <v>CG00573</v>
          </cell>
        </row>
        <row r="577">
          <cell r="A577" t="str">
            <v>CG00574</v>
          </cell>
          <cell r="B577" t="e">
            <v>#N/A</v>
          </cell>
          <cell r="C577" t="e">
            <v>#N/A</v>
          </cell>
          <cell r="D577" t="str">
            <v>CG</v>
          </cell>
          <cell r="E577" t="e">
            <v>#N/A</v>
          </cell>
          <cell r="F577" t="e">
            <v>#N/A</v>
          </cell>
          <cell r="G577" t="e">
            <v>#N/A</v>
          </cell>
          <cell r="H577" t="e">
            <v>#N/A</v>
          </cell>
          <cell r="J577" t="e">
            <v>#N/A</v>
          </cell>
          <cell r="K577" t="str">
            <v>CG00574</v>
          </cell>
        </row>
        <row r="578">
          <cell r="A578" t="str">
            <v>CG00575</v>
          </cell>
          <cell r="B578" t="e">
            <v>#N/A</v>
          </cell>
          <cell r="C578" t="e">
            <v>#N/A</v>
          </cell>
          <cell r="D578" t="str">
            <v>CG</v>
          </cell>
          <cell r="E578" t="e">
            <v>#N/A</v>
          </cell>
          <cell r="F578" t="e">
            <v>#N/A</v>
          </cell>
          <cell r="G578" t="e">
            <v>#N/A</v>
          </cell>
          <cell r="H578" t="e">
            <v>#N/A</v>
          </cell>
          <cell r="J578" t="e">
            <v>#N/A</v>
          </cell>
          <cell r="K578" t="str">
            <v>CG00575</v>
          </cell>
        </row>
        <row r="579">
          <cell r="A579" t="str">
            <v>CG00576</v>
          </cell>
          <cell r="B579" t="e">
            <v>#N/A</v>
          </cell>
          <cell r="C579" t="e">
            <v>#N/A</v>
          </cell>
          <cell r="D579" t="str">
            <v>CG</v>
          </cell>
          <cell r="E579" t="e">
            <v>#N/A</v>
          </cell>
          <cell r="F579" t="e">
            <v>#N/A</v>
          </cell>
          <cell r="G579" t="e">
            <v>#N/A</v>
          </cell>
          <cell r="H579" t="e">
            <v>#N/A</v>
          </cell>
          <cell r="J579" t="e">
            <v>#N/A</v>
          </cell>
          <cell r="K579" t="str">
            <v>CG00576</v>
          </cell>
        </row>
        <row r="580">
          <cell r="A580" t="str">
            <v>CG00577</v>
          </cell>
          <cell r="B580" t="e">
            <v>#N/A</v>
          </cell>
          <cell r="C580" t="e">
            <v>#N/A</v>
          </cell>
          <cell r="D580" t="str">
            <v>CG</v>
          </cell>
          <cell r="E580" t="e">
            <v>#N/A</v>
          </cell>
          <cell r="F580" t="e">
            <v>#N/A</v>
          </cell>
          <cell r="G580" t="e">
            <v>#N/A</v>
          </cell>
          <cell r="H580" t="e">
            <v>#N/A</v>
          </cell>
          <cell r="J580" t="e">
            <v>#N/A</v>
          </cell>
          <cell r="K580" t="str">
            <v>CG00577</v>
          </cell>
        </row>
        <row r="581">
          <cell r="A581" t="str">
            <v>CG00578</v>
          </cell>
          <cell r="B581" t="e">
            <v>#N/A</v>
          </cell>
          <cell r="C581" t="e">
            <v>#N/A</v>
          </cell>
          <cell r="D581" t="str">
            <v>CG</v>
          </cell>
          <cell r="E581" t="e">
            <v>#N/A</v>
          </cell>
          <cell r="F581" t="e">
            <v>#N/A</v>
          </cell>
          <cell r="G581" t="e">
            <v>#N/A</v>
          </cell>
          <cell r="H581" t="e">
            <v>#N/A</v>
          </cell>
          <cell r="J581" t="e">
            <v>#N/A</v>
          </cell>
          <cell r="K581" t="str">
            <v>CG00578</v>
          </cell>
        </row>
        <row r="582">
          <cell r="A582" t="str">
            <v>CG00579</v>
          </cell>
          <cell r="B582" t="e">
            <v>#N/A</v>
          </cell>
          <cell r="C582" t="e">
            <v>#N/A</v>
          </cell>
          <cell r="D582" t="str">
            <v>CG</v>
          </cell>
          <cell r="E582" t="e">
            <v>#N/A</v>
          </cell>
          <cell r="F582" t="e">
            <v>#N/A</v>
          </cell>
          <cell r="G582" t="e">
            <v>#N/A</v>
          </cell>
          <cell r="H582" t="e">
            <v>#N/A</v>
          </cell>
          <cell r="J582" t="e">
            <v>#N/A</v>
          </cell>
          <cell r="K582" t="str">
            <v>CG00579</v>
          </cell>
        </row>
        <row r="583">
          <cell r="A583" t="str">
            <v>CG00580</v>
          </cell>
          <cell r="B583" t="e">
            <v>#N/A</v>
          </cell>
          <cell r="C583" t="e">
            <v>#N/A</v>
          </cell>
          <cell r="D583" t="str">
            <v>CG</v>
          </cell>
          <cell r="E583" t="e">
            <v>#N/A</v>
          </cell>
          <cell r="F583" t="e">
            <v>#N/A</v>
          </cell>
          <cell r="G583" t="e">
            <v>#N/A</v>
          </cell>
          <cell r="H583" t="e">
            <v>#N/A</v>
          </cell>
          <cell r="J583" t="e">
            <v>#N/A</v>
          </cell>
          <cell r="K583" t="str">
            <v>CG00580</v>
          </cell>
        </row>
        <row r="584">
          <cell r="A584" t="str">
            <v>CG00581</v>
          </cell>
          <cell r="B584" t="e">
            <v>#N/A</v>
          </cell>
          <cell r="C584" t="e">
            <v>#N/A</v>
          </cell>
          <cell r="D584" t="str">
            <v>CG</v>
          </cell>
          <cell r="E584" t="e">
            <v>#N/A</v>
          </cell>
          <cell r="F584" t="e">
            <v>#N/A</v>
          </cell>
          <cell r="G584" t="e">
            <v>#N/A</v>
          </cell>
          <cell r="H584" t="e">
            <v>#N/A</v>
          </cell>
          <cell r="J584" t="e">
            <v>#N/A</v>
          </cell>
          <cell r="K584" t="str">
            <v>CG00581</v>
          </cell>
        </row>
        <row r="585">
          <cell r="A585" t="str">
            <v>CG00582</v>
          </cell>
          <cell r="B585" t="e">
            <v>#N/A</v>
          </cell>
          <cell r="C585" t="e">
            <v>#N/A</v>
          </cell>
          <cell r="D585" t="str">
            <v>CG</v>
          </cell>
          <cell r="E585" t="e">
            <v>#N/A</v>
          </cell>
          <cell r="F585" t="e">
            <v>#N/A</v>
          </cell>
          <cell r="G585" t="e">
            <v>#N/A</v>
          </cell>
          <cell r="H585" t="e">
            <v>#N/A</v>
          </cell>
          <cell r="J585" t="e">
            <v>#N/A</v>
          </cell>
          <cell r="K585" t="str">
            <v>CG00582</v>
          </cell>
        </row>
        <row r="586">
          <cell r="A586" t="str">
            <v>CG00583</v>
          </cell>
          <cell r="B586" t="e">
            <v>#N/A</v>
          </cell>
          <cell r="C586" t="e">
            <v>#N/A</v>
          </cell>
          <cell r="D586" t="str">
            <v>CG</v>
          </cell>
          <cell r="E586" t="e">
            <v>#N/A</v>
          </cell>
          <cell r="F586" t="e">
            <v>#N/A</v>
          </cell>
          <cell r="G586" t="e">
            <v>#N/A</v>
          </cell>
          <cell r="H586" t="e">
            <v>#N/A</v>
          </cell>
          <cell r="J586" t="e">
            <v>#N/A</v>
          </cell>
          <cell r="K586" t="str">
            <v>CG00583</v>
          </cell>
        </row>
        <row r="587">
          <cell r="A587" t="str">
            <v>CG00584</v>
          </cell>
          <cell r="B587" t="e">
            <v>#N/A</v>
          </cell>
          <cell r="C587" t="e">
            <v>#N/A</v>
          </cell>
          <cell r="D587" t="str">
            <v>CG</v>
          </cell>
          <cell r="E587" t="e">
            <v>#N/A</v>
          </cell>
          <cell r="F587" t="e">
            <v>#N/A</v>
          </cell>
          <cell r="G587" t="e">
            <v>#N/A</v>
          </cell>
          <cell r="H587" t="e">
            <v>#N/A</v>
          </cell>
          <cell r="J587" t="e">
            <v>#N/A</v>
          </cell>
          <cell r="K587" t="str">
            <v>CG00584</v>
          </cell>
        </row>
        <row r="588">
          <cell r="A588" t="str">
            <v>CG00585</v>
          </cell>
          <cell r="B588" t="e">
            <v>#N/A</v>
          </cell>
          <cell r="C588" t="e">
            <v>#N/A</v>
          </cell>
          <cell r="D588" t="str">
            <v>CG</v>
          </cell>
          <cell r="E588" t="e">
            <v>#N/A</v>
          </cell>
          <cell r="F588" t="e">
            <v>#N/A</v>
          </cell>
          <cell r="G588" t="e">
            <v>#N/A</v>
          </cell>
          <cell r="H588" t="e">
            <v>#N/A</v>
          </cell>
          <cell r="J588" t="e">
            <v>#N/A</v>
          </cell>
          <cell r="K588" t="str">
            <v>CG00585</v>
          </cell>
        </row>
        <row r="589">
          <cell r="A589" t="str">
            <v>CG00586</v>
          </cell>
          <cell r="B589" t="e">
            <v>#N/A</v>
          </cell>
          <cell r="C589" t="e">
            <v>#N/A</v>
          </cell>
          <cell r="D589" t="str">
            <v>CG</v>
          </cell>
          <cell r="E589" t="e">
            <v>#N/A</v>
          </cell>
          <cell r="F589" t="e">
            <v>#N/A</v>
          </cell>
          <cell r="G589" t="e">
            <v>#N/A</v>
          </cell>
          <cell r="H589" t="e">
            <v>#N/A</v>
          </cell>
          <cell r="J589" t="e">
            <v>#N/A</v>
          </cell>
          <cell r="K589" t="str">
            <v>CG00586</v>
          </cell>
        </row>
        <row r="590">
          <cell r="A590" t="str">
            <v>CG00587</v>
          </cell>
          <cell r="B590" t="e">
            <v>#N/A</v>
          </cell>
          <cell r="C590" t="e">
            <v>#N/A</v>
          </cell>
          <cell r="D590" t="str">
            <v>CG</v>
          </cell>
          <cell r="E590" t="e">
            <v>#N/A</v>
          </cell>
          <cell r="F590" t="e">
            <v>#N/A</v>
          </cell>
          <cell r="G590" t="e">
            <v>#N/A</v>
          </cell>
          <cell r="H590" t="e">
            <v>#N/A</v>
          </cell>
          <cell r="J590" t="e">
            <v>#N/A</v>
          </cell>
          <cell r="K590" t="str">
            <v>CG00587</v>
          </cell>
        </row>
        <row r="591">
          <cell r="A591" t="str">
            <v>CG00588</v>
          </cell>
          <cell r="B591" t="e">
            <v>#N/A</v>
          </cell>
          <cell r="C591" t="e">
            <v>#N/A</v>
          </cell>
          <cell r="D591" t="str">
            <v>CG</v>
          </cell>
          <cell r="E591" t="e">
            <v>#N/A</v>
          </cell>
          <cell r="F591" t="e">
            <v>#N/A</v>
          </cell>
          <cell r="G591" t="e">
            <v>#N/A</v>
          </cell>
          <cell r="H591" t="e">
            <v>#N/A</v>
          </cell>
          <cell r="J591" t="e">
            <v>#N/A</v>
          </cell>
          <cell r="K591" t="str">
            <v>CG00588</v>
          </cell>
        </row>
        <row r="592">
          <cell r="A592" t="str">
            <v>CG00589</v>
          </cell>
          <cell r="B592" t="e">
            <v>#N/A</v>
          </cell>
          <cell r="C592" t="e">
            <v>#N/A</v>
          </cell>
          <cell r="D592" t="str">
            <v>CG</v>
          </cell>
          <cell r="E592" t="e">
            <v>#N/A</v>
          </cell>
          <cell r="F592" t="e">
            <v>#N/A</v>
          </cell>
          <cell r="G592" t="e">
            <v>#N/A</v>
          </cell>
          <cell r="H592" t="e">
            <v>#N/A</v>
          </cell>
          <cell r="J592" t="e">
            <v>#N/A</v>
          </cell>
          <cell r="K592" t="str">
            <v>CG00589</v>
          </cell>
        </row>
        <row r="593">
          <cell r="A593" t="str">
            <v>CG00590</v>
          </cell>
          <cell r="B593" t="e">
            <v>#N/A</v>
          </cell>
          <cell r="C593" t="e">
            <v>#N/A</v>
          </cell>
          <cell r="D593" t="str">
            <v>CG</v>
          </cell>
          <cell r="E593" t="e">
            <v>#N/A</v>
          </cell>
          <cell r="F593" t="e">
            <v>#N/A</v>
          </cell>
          <cell r="G593" t="e">
            <v>#N/A</v>
          </cell>
          <cell r="H593" t="e">
            <v>#N/A</v>
          </cell>
          <cell r="J593" t="e">
            <v>#N/A</v>
          </cell>
          <cell r="K593" t="str">
            <v>CG00590</v>
          </cell>
        </row>
        <row r="594">
          <cell r="A594" t="str">
            <v>CG00591</v>
          </cell>
          <cell r="B594" t="e">
            <v>#N/A</v>
          </cell>
          <cell r="C594" t="e">
            <v>#N/A</v>
          </cell>
          <cell r="D594" t="str">
            <v>CG</v>
          </cell>
          <cell r="E594" t="e">
            <v>#N/A</v>
          </cell>
          <cell r="F594" t="e">
            <v>#N/A</v>
          </cell>
          <cell r="G594" t="e">
            <v>#N/A</v>
          </cell>
          <cell r="H594" t="e">
            <v>#N/A</v>
          </cell>
          <cell r="J594" t="e">
            <v>#N/A</v>
          </cell>
          <cell r="K594" t="str">
            <v>CG00591</v>
          </cell>
        </row>
        <row r="595">
          <cell r="A595" t="str">
            <v>CG00592</v>
          </cell>
          <cell r="B595" t="e">
            <v>#N/A</v>
          </cell>
          <cell r="C595" t="e">
            <v>#N/A</v>
          </cell>
          <cell r="D595" t="str">
            <v>CG</v>
          </cell>
          <cell r="E595" t="e">
            <v>#N/A</v>
          </cell>
          <cell r="F595" t="e">
            <v>#N/A</v>
          </cell>
          <cell r="G595" t="e">
            <v>#N/A</v>
          </cell>
          <cell r="H595" t="e">
            <v>#N/A</v>
          </cell>
          <cell r="J595" t="e">
            <v>#N/A</v>
          </cell>
          <cell r="K595" t="str">
            <v>CG00592</v>
          </cell>
        </row>
        <row r="596">
          <cell r="A596" t="str">
            <v>CG00593</v>
          </cell>
          <cell r="B596" t="e">
            <v>#N/A</v>
          </cell>
          <cell r="C596" t="e">
            <v>#N/A</v>
          </cell>
          <cell r="D596" t="str">
            <v>CG</v>
          </cell>
          <cell r="E596" t="e">
            <v>#N/A</v>
          </cell>
          <cell r="F596" t="e">
            <v>#N/A</v>
          </cell>
          <cell r="G596" t="e">
            <v>#N/A</v>
          </cell>
          <cell r="H596" t="e">
            <v>#N/A</v>
          </cell>
          <cell r="J596" t="e">
            <v>#N/A</v>
          </cell>
          <cell r="K596" t="str">
            <v>CG00593</v>
          </cell>
        </row>
        <row r="597">
          <cell r="A597" t="str">
            <v>CG00594</v>
          </cell>
          <cell r="B597" t="e">
            <v>#N/A</v>
          </cell>
          <cell r="C597" t="e">
            <v>#N/A</v>
          </cell>
          <cell r="D597" t="str">
            <v>CG</v>
          </cell>
          <cell r="E597" t="e">
            <v>#N/A</v>
          </cell>
          <cell r="F597" t="e">
            <v>#N/A</v>
          </cell>
          <cell r="G597" t="e">
            <v>#N/A</v>
          </cell>
          <cell r="H597" t="e">
            <v>#N/A</v>
          </cell>
          <cell r="J597" t="e">
            <v>#N/A</v>
          </cell>
          <cell r="K597" t="str">
            <v>CG00594</v>
          </cell>
        </row>
        <row r="598">
          <cell r="A598" t="str">
            <v>CG00595</v>
          </cell>
          <cell r="B598" t="e">
            <v>#N/A</v>
          </cell>
          <cell r="C598" t="e">
            <v>#N/A</v>
          </cell>
          <cell r="D598" t="str">
            <v>CG</v>
          </cell>
          <cell r="E598" t="e">
            <v>#N/A</v>
          </cell>
          <cell r="F598" t="e">
            <v>#N/A</v>
          </cell>
          <cell r="G598" t="e">
            <v>#N/A</v>
          </cell>
          <cell r="H598" t="e">
            <v>#N/A</v>
          </cell>
          <cell r="J598" t="e">
            <v>#N/A</v>
          </cell>
          <cell r="K598" t="str">
            <v>CG00595</v>
          </cell>
        </row>
        <row r="599">
          <cell r="A599" t="str">
            <v>CG00596</v>
          </cell>
          <cell r="B599" t="e">
            <v>#N/A</v>
          </cell>
          <cell r="C599" t="e">
            <v>#N/A</v>
          </cell>
          <cell r="D599" t="str">
            <v>CG</v>
          </cell>
          <cell r="E599" t="e">
            <v>#N/A</v>
          </cell>
          <cell r="F599" t="e">
            <v>#N/A</v>
          </cell>
          <cell r="G599" t="e">
            <v>#N/A</v>
          </cell>
          <cell r="H599" t="e">
            <v>#N/A</v>
          </cell>
          <cell r="J599" t="e">
            <v>#N/A</v>
          </cell>
          <cell r="K599" t="str">
            <v>CG00596</v>
          </cell>
        </row>
        <row r="600">
          <cell r="A600" t="str">
            <v>CG00597</v>
          </cell>
          <cell r="B600" t="e">
            <v>#N/A</v>
          </cell>
          <cell r="C600" t="e">
            <v>#N/A</v>
          </cell>
          <cell r="D600" t="str">
            <v>CG</v>
          </cell>
          <cell r="E600" t="e">
            <v>#N/A</v>
          </cell>
          <cell r="F600" t="e">
            <v>#N/A</v>
          </cell>
          <cell r="G600" t="e">
            <v>#N/A</v>
          </cell>
          <cell r="H600" t="e">
            <v>#N/A</v>
          </cell>
          <cell r="J600" t="e">
            <v>#N/A</v>
          </cell>
          <cell r="K600" t="str">
            <v>CG00597</v>
          </cell>
        </row>
        <row r="601">
          <cell r="A601" t="str">
            <v>CG00598</v>
          </cell>
          <cell r="B601" t="e">
            <v>#N/A</v>
          </cell>
          <cell r="C601" t="e">
            <v>#N/A</v>
          </cell>
          <cell r="D601" t="str">
            <v>CG</v>
          </cell>
          <cell r="E601" t="e">
            <v>#N/A</v>
          </cell>
          <cell r="F601" t="e">
            <v>#N/A</v>
          </cell>
          <cell r="G601" t="e">
            <v>#N/A</v>
          </cell>
          <cell r="H601" t="e">
            <v>#N/A</v>
          </cell>
          <cell r="J601" t="e">
            <v>#N/A</v>
          </cell>
          <cell r="K601" t="str">
            <v>CG00598</v>
          </cell>
        </row>
        <row r="602">
          <cell r="A602" t="str">
            <v>CG00599</v>
          </cell>
          <cell r="B602" t="e">
            <v>#N/A</v>
          </cell>
          <cell r="C602" t="e">
            <v>#N/A</v>
          </cell>
          <cell r="D602" t="str">
            <v>CG</v>
          </cell>
          <cell r="E602" t="e">
            <v>#N/A</v>
          </cell>
          <cell r="F602" t="e">
            <v>#N/A</v>
          </cell>
          <cell r="G602" t="e">
            <v>#N/A</v>
          </cell>
          <cell r="H602" t="e">
            <v>#N/A</v>
          </cell>
          <cell r="J602" t="e">
            <v>#N/A</v>
          </cell>
          <cell r="K602" t="str">
            <v>CG00599</v>
          </cell>
        </row>
        <row r="603">
          <cell r="A603" t="str">
            <v>CG00600</v>
          </cell>
          <cell r="B603" t="e">
            <v>#N/A</v>
          </cell>
          <cell r="C603" t="e">
            <v>#N/A</v>
          </cell>
          <cell r="D603" t="str">
            <v>CG</v>
          </cell>
          <cell r="E603" t="e">
            <v>#N/A</v>
          </cell>
          <cell r="F603" t="e">
            <v>#N/A</v>
          </cell>
          <cell r="G603" t="e">
            <v>#N/A</v>
          </cell>
          <cell r="H603" t="e">
            <v>#N/A</v>
          </cell>
          <cell r="J603" t="e">
            <v>#N/A</v>
          </cell>
          <cell r="K603" t="str">
            <v>CG00600</v>
          </cell>
        </row>
        <row r="604">
          <cell r="A604" t="str">
            <v>CG00601</v>
          </cell>
          <cell r="B604" t="e">
            <v>#N/A</v>
          </cell>
          <cell r="C604" t="e">
            <v>#N/A</v>
          </cell>
          <cell r="D604" t="str">
            <v>CG</v>
          </cell>
          <cell r="E604" t="e">
            <v>#N/A</v>
          </cell>
          <cell r="F604" t="e">
            <v>#N/A</v>
          </cell>
          <cell r="G604" t="e">
            <v>#N/A</v>
          </cell>
          <cell r="H604" t="e">
            <v>#N/A</v>
          </cell>
          <cell r="J604" t="e">
            <v>#N/A</v>
          </cell>
          <cell r="K604" t="str">
            <v>CG00601</v>
          </cell>
        </row>
        <row r="605">
          <cell r="A605" t="str">
            <v>CG00602</v>
          </cell>
          <cell r="B605" t="e">
            <v>#N/A</v>
          </cell>
          <cell r="C605" t="e">
            <v>#N/A</v>
          </cell>
          <cell r="D605" t="str">
            <v>CG</v>
          </cell>
          <cell r="E605" t="e">
            <v>#N/A</v>
          </cell>
          <cell r="F605" t="e">
            <v>#N/A</v>
          </cell>
          <cell r="G605" t="e">
            <v>#N/A</v>
          </cell>
          <cell r="H605" t="e">
            <v>#N/A</v>
          </cell>
          <cell r="J605" t="e">
            <v>#N/A</v>
          </cell>
          <cell r="K605" t="str">
            <v>CG00602</v>
          </cell>
        </row>
        <row r="606">
          <cell r="A606" t="str">
            <v>CG00603</v>
          </cell>
          <cell r="B606" t="e">
            <v>#N/A</v>
          </cell>
          <cell r="C606" t="e">
            <v>#N/A</v>
          </cell>
          <cell r="D606" t="str">
            <v>CG</v>
          </cell>
          <cell r="E606" t="e">
            <v>#N/A</v>
          </cell>
          <cell r="F606" t="e">
            <v>#N/A</v>
          </cell>
          <cell r="G606" t="e">
            <v>#N/A</v>
          </cell>
          <cell r="H606" t="e">
            <v>#N/A</v>
          </cell>
          <cell r="J606" t="e">
            <v>#N/A</v>
          </cell>
          <cell r="K606" t="str">
            <v>CG00603</v>
          </cell>
        </row>
        <row r="607">
          <cell r="A607" t="str">
            <v>CG00604</v>
          </cell>
          <cell r="B607" t="e">
            <v>#N/A</v>
          </cell>
          <cell r="C607" t="e">
            <v>#N/A</v>
          </cell>
          <cell r="D607" t="str">
            <v>CG</v>
          </cell>
          <cell r="E607" t="e">
            <v>#N/A</v>
          </cell>
          <cell r="F607" t="e">
            <v>#N/A</v>
          </cell>
          <cell r="G607" t="e">
            <v>#N/A</v>
          </cell>
          <cell r="H607" t="e">
            <v>#N/A</v>
          </cell>
          <cell r="J607" t="e">
            <v>#N/A</v>
          </cell>
          <cell r="K607" t="str">
            <v>CG00604</v>
          </cell>
        </row>
        <row r="608">
          <cell r="A608" t="str">
            <v>CG00605</v>
          </cell>
          <cell r="B608" t="e">
            <v>#N/A</v>
          </cell>
          <cell r="C608" t="e">
            <v>#N/A</v>
          </cell>
          <cell r="D608" t="str">
            <v>CG</v>
          </cell>
          <cell r="E608" t="e">
            <v>#N/A</v>
          </cell>
          <cell r="F608" t="e">
            <v>#N/A</v>
          </cell>
          <cell r="G608" t="e">
            <v>#N/A</v>
          </cell>
          <cell r="H608" t="e">
            <v>#N/A</v>
          </cell>
          <cell r="J608" t="e">
            <v>#N/A</v>
          </cell>
          <cell r="K608" t="str">
            <v>CG00605</v>
          </cell>
        </row>
        <row r="609">
          <cell r="A609" t="str">
            <v>CG00606</v>
          </cell>
          <cell r="B609" t="e">
            <v>#N/A</v>
          </cell>
          <cell r="C609" t="e">
            <v>#N/A</v>
          </cell>
          <cell r="D609" t="str">
            <v>CG</v>
          </cell>
          <cell r="E609" t="e">
            <v>#N/A</v>
          </cell>
          <cell r="F609" t="e">
            <v>#N/A</v>
          </cell>
          <cell r="G609" t="e">
            <v>#N/A</v>
          </cell>
          <cell r="H609" t="e">
            <v>#N/A</v>
          </cell>
          <cell r="J609" t="e">
            <v>#N/A</v>
          </cell>
          <cell r="K609" t="str">
            <v>CG00606</v>
          </cell>
        </row>
        <row r="610">
          <cell r="A610" t="str">
            <v>CG00607</v>
          </cell>
          <cell r="B610" t="e">
            <v>#N/A</v>
          </cell>
          <cell r="C610" t="e">
            <v>#N/A</v>
          </cell>
          <cell r="D610" t="str">
            <v>CG</v>
          </cell>
          <cell r="E610" t="e">
            <v>#N/A</v>
          </cell>
          <cell r="F610" t="e">
            <v>#N/A</v>
          </cell>
          <cell r="G610" t="e">
            <v>#N/A</v>
          </cell>
          <cell r="H610" t="e">
            <v>#N/A</v>
          </cell>
          <cell r="J610" t="e">
            <v>#N/A</v>
          </cell>
          <cell r="K610" t="str">
            <v>CG00607</v>
          </cell>
        </row>
        <row r="611">
          <cell r="A611" t="str">
            <v>CG00608</v>
          </cell>
          <cell r="B611" t="e">
            <v>#N/A</v>
          </cell>
          <cell r="C611" t="e">
            <v>#N/A</v>
          </cell>
          <cell r="D611" t="str">
            <v>CG</v>
          </cell>
          <cell r="E611" t="e">
            <v>#N/A</v>
          </cell>
          <cell r="F611" t="e">
            <v>#N/A</v>
          </cell>
          <cell r="G611" t="e">
            <v>#N/A</v>
          </cell>
          <cell r="H611" t="e">
            <v>#N/A</v>
          </cell>
          <cell r="J611" t="e">
            <v>#N/A</v>
          </cell>
          <cell r="K611" t="str">
            <v>CG00608</v>
          </cell>
        </row>
        <row r="612">
          <cell r="A612" t="str">
            <v>CG00609</v>
          </cell>
          <cell r="B612" t="e">
            <v>#N/A</v>
          </cell>
          <cell r="C612" t="e">
            <v>#N/A</v>
          </cell>
          <cell r="D612" t="str">
            <v>CG</v>
          </cell>
          <cell r="E612" t="e">
            <v>#N/A</v>
          </cell>
          <cell r="F612" t="e">
            <v>#N/A</v>
          </cell>
          <cell r="G612" t="e">
            <v>#N/A</v>
          </cell>
          <cell r="H612" t="e">
            <v>#N/A</v>
          </cell>
          <cell r="J612" t="e">
            <v>#N/A</v>
          </cell>
          <cell r="K612" t="str">
            <v>CG00609</v>
          </cell>
        </row>
        <row r="613">
          <cell r="A613" t="str">
            <v>CG00610</v>
          </cell>
          <cell r="B613" t="e">
            <v>#N/A</v>
          </cell>
          <cell r="C613" t="e">
            <v>#N/A</v>
          </cell>
          <cell r="D613" t="str">
            <v>CG</v>
          </cell>
          <cell r="E613" t="e">
            <v>#N/A</v>
          </cell>
          <cell r="F613" t="e">
            <v>#N/A</v>
          </cell>
          <cell r="G613" t="e">
            <v>#N/A</v>
          </cell>
          <cell r="H613" t="e">
            <v>#N/A</v>
          </cell>
          <cell r="J613" t="e">
            <v>#N/A</v>
          </cell>
          <cell r="K613" t="str">
            <v>CG00610</v>
          </cell>
        </row>
        <row r="614">
          <cell r="A614" t="str">
            <v>CG00611</v>
          </cell>
          <cell r="B614" t="e">
            <v>#N/A</v>
          </cell>
          <cell r="C614" t="e">
            <v>#N/A</v>
          </cell>
          <cell r="D614" t="str">
            <v>CG</v>
          </cell>
          <cell r="E614" t="e">
            <v>#N/A</v>
          </cell>
          <cell r="F614" t="e">
            <v>#N/A</v>
          </cell>
          <cell r="G614" t="e">
            <v>#N/A</v>
          </cell>
          <cell r="H614" t="e">
            <v>#N/A</v>
          </cell>
          <cell r="J614" t="e">
            <v>#N/A</v>
          </cell>
          <cell r="K614" t="str">
            <v>CG00611</v>
          </cell>
        </row>
        <row r="615">
          <cell r="A615" t="str">
            <v>CG00612</v>
          </cell>
          <cell r="B615" t="e">
            <v>#N/A</v>
          </cell>
          <cell r="C615" t="e">
            <v>#N/A</v>
          </cell>
          <cell r="D615" t="str">
            <v>CG</v>
          </cell>
          <cell r="E615" t="e">
            <v>#N/A</v>
          </cell>
          <cell r="F615" t="e">
            <v>#N/A</v>
          </cell>
          <cell r="G615" t="e">
            <v>#N/A</v>
          </cell>
          <cell r="H615" t="e">
            <v>#N/A</v>
          </cell>
          <cell r="J615" t="e">
            <v>#N/A</v>
          </cell>
          <cell r="K615" t="str">
            <v>CG00612</v>
          </cell>
        </row>
        <row r="616">
          <cell r="A616" t="str">
            <v>CG00613</v>
          </cell>
          <cell r="B616" t="e">
            <v>#N/A</v>
          </cell>
          <cell r="C616" t="e">
            <v>#N/A</v>
          </cell>
          <cell r="D616" t="str">
            <v>CG</v>
          </cell>
          <cell r="E616" t="e">
            <v>#N/A</v>
          </cell>
          <cell r="F616" t="e">
            <v>#N/A</v>
          </cell>
          <cell r="G616" t="e">
            <v>#N/A</v>
          </cell>
          <cell r="H616" t="e">
            <v>#N/A</v>
          </cell>
          <cell r="J616" t="e">
            <v>#N/A</v>
          </cell>
          <cell r="K616" t="str">
            <v>CG00613</v>
          </cell>
        </row>
        <row r="617">
          <cell r="A617" t="str">
            <v>CG00614</v>
          </cell>
          <cell r="B617" t="e">
            <v>#N/A</v>
          </cell>
          <cell r="C617" t="e">
            <v>#N/A</v>
          </cell>
          <cell r="D617" t="str">
            <v>CG</v>
          </cell>
          <cell r="E617" t="e">
            <v>#N/A</v>
          </cell>
          <cell r="F617" t="e">
            <v>#N/A</v>
          </cell>
          <cell r="G617" t="e">
            <v>#N/A</v>
          </cell>
          <cell r="H617" t="e">
            <v>#N/A</v>
          </cell>
          <cell r="J617" t="e">
            <v>#N/A</v>
          </cell>
          <cell r="K617" t="str">
            <v>CG00614</v>
          </cell>
        </row>
        <row r="618">
          <cell r="A618" t="str">
            <v>CG00615</v>
          </cell>
          <cell r="B618" t="e">
            <v>#N/A</v>
          </cell>
          <cell r="C618" t="e">
            <v>#N/A</v>
          </cell>
          <cell r="D618" t="str">
            <v>CG</v>
          </cell>
          <cell r="E618" t="e">
            <v>#N/A</v>
          </cell>
          <cell r="F618" t="e">
            <v>#N/A</v>
          </cell>
          <cell r="G618" t="e">
            <v>#N/A</v>
          </cell>
          <cell r="H618" t="e">
            <v>#N/A</v>
          </cell>
          <cell r="J618" t="e">
            <v>#N/A</v>
          </cell>
          <cell r="K618" t="str">
            <v>CG00615</v>
          </cell>
        </row>
        <row r="619">
          <cell r="A619" t="str">
            <v>CG00616</v>
          </cell>
          <cell r="B619" t="e">
            <v>#N/A</v>
          </cell>
          <cell r="C619" t="e">
            <v>#N/A</v>
          </cell>
          <cell r="D619" t="str">
            <v>CG</v>
          </cell>
          <cell r="E619" t="e">
            <v>#N/A</v>
          </cell>
          <cell r="F619" t="e">
            <v>#N/A</v>
          </cell>
          <cell r="G619" t="e">
            <v>#N/A</v>
          </cell>
          <cell r="H619" t="e">
            <v>#N/A</v>
          </cell>
          <cell r="J619" t="e">
            <v>#N/A</v>
          </cell>
          <cell r="K619" t="str">
            <v>CG00616</v>
          </cell>
        </row>
        <row r="620">
          <cell r="A620" t="str">
            <v>CG00617</v>
          </cell>
          <cell r="B620" t="e">
            <v>#N/A</v>
          </cell>
          <cell r="C620" t="e">
            <v>#N/A</v>
          </cell>
          <cell r="D620" t="str">
            <v>CG</v>
          </cell>
          <cell r="E620" t="e">
            <v>#N/A</v>
          </cell>
          <cell r="F620" t="e">
            <v>#N/A</v>
          </cell>
          <cell r="G620" t="e">
            <v>#N/A</v>
          </cell>
          <cell r="H620" t="e">
            <v>#N/A</v>
          </cell>
          <cell r="J620" t="e">
            <v>#N/A</v>
          </cell>
          <cell r="K620" t="str">
            <v>CG00617</v>
          </cell>
        </row>
        <row r="621">
          <cell r="A621" t="str">
            <v>CG00618</v>
          </cell>
          <cell r="B621" t="e">
            <v>#N/A</v>
          </cell>
          <cell r="C621" t="e">
            <v>#N/A</v>
          </cell>
          <cell r="D621" t="str">
            <v>CG</v>
          </cell>
          <cell r="E621" t="e">
            <v>#N/A</v>
          </cell>
          <cell r="F621" t="e">
            <v>#N/A</v>
          </cell>
          <cell r="G621" t="e">
            <v>#N/A</v>
          </cell>
          <cell r="H621" t="e">
            <v>#N/A</v>
          </cell>
          <cell r="J621" t="e">
            <v>#N/A</v>
          </cell>
          <cell r="K621" t="str">
            <v>CG00618</v>
          </cell>
        </row>
        <row r="622">
          <cell r="A622" t="str">
            <v>CG00619</v>
          </cell>
          <cell r="B622" t="e">
            <v>#N/A</v>
          </cell>
          <cell r="C622" t="e">
            <v>#N/A</v>
          </cell>
          <cell r="D622" t="str">
            <v>CG</v>
          </cell>
          <cell r="E622" t="e">
            <v>#N/A</v>
          </cell>
          <cell r="F622" t="e">
            <v>#N/A</v>
          </cell>
          <cell r="G622" t="e">
            <v>#N/A</v>
          </cell>
          <cell r="H622" t="e">
            <v>#N/A</v>
          </cell>
          <cell r="J622" t="e">
            <v>#N/A</v>
          </cell>
          <cell r="K622" t="str">
            <v>CG00619</v>
          </cell>
        </row>
        <row r="623">
          <cell r="A623" t="str">
            <v>CG00620</v>
          </cell>
          <cell r="B623" t="e">
            <v>#N/A</v>
          </cell>
          <cell r="C623" t="e">
            <v>#N/A</v>
          </cell>
          <cell r="D623" t="str">
            <v>CG</v>
          </cell>
          <cell r="E623" t="e">
            <v>#N/A</v>
          </cell>
          <cell r="F623" t="e">
            <v>#N/A</v>
          </cell>
          <cell r="G623" t="e">
            <v>#N/A</v>
          </cell>
          <cell r="H623" t="e">
            <v>#N/A</v>
          </cell>
          <cell r="J623" t="e">
            <v>#N/A</v>
          </cell>
          <cell r="K623" t="str">
            <v>CG00620</v>
          </cell>
        </row>
        <row r="624">
          <cell r="A624" t="str">
            <v>CG00621</v>
          </cell>
          <cell r="B624" t="e">
            <v>#N/A</v>
          </cell>
          <cell r="C624" t="e">
            <v>#N/A</v>
          </cell>
          <cell r="D624" t="str">
            <v>CG</v>
          </cell>
          <cell r="E624" t="e">
            <v>#N/A</v>
          </cell>
          <cell r="F624" t="e">
            <v>#N/A</v>
          </cell>
          <cell r="G624" t="e">
            <v>#N/A</v>
          </cell>
          <cell r="H624" t="e">
            <v>#N/A</v>
          </cell>
          <cell r="J624" t="e">
            <v>#N/A</v>
          </cell>
          <cell r="K624" t="str">
            <v>CG00621</v>
          </cell>
        </row>
        <row r="625">
          <cell r="A625" t="str">
            <v>CG00622</v>
          </cell>
          <cell r="B625" t="e">
            <v>#N/A</v>
          </cell>
          <cell r="C625" t="e">
            <v>#N/A</v>
          </cell>
          <cell r="D625" t="str">
            <v>CG</v>
          </cell>
          <cell r="E625" t="e">
            <v>#N/A</v>
          </cell>
          <cell r="F625" t="e">
            <v>#N/A</v>
          </cell>
          <cell r="G625" t="e">
            <v>#N/A</v>
          </cell>
          <cell r="H625" t="e">
            <v>#N/A</v>
          </cell>
          <cell r="J625" t="e">
            <v>#N/A</v>
          </cell>
          <cell r="K625" t="str">
            <v>CG00622</v>
          </cell>
        </row>
        <row r="626">
          <cell r="A626" t="str">
            <v>CG00623</v>
          </cell>
          <cell r="B626" t="e">
            <v>#N/A</v>
          </cell>
          <cell r="C626" t="e">
            <v>#N/A</v>
          </cell>
          <cell r="D626" t="str">
            <v>CG</v>
          </cell>
          <cell r="E626" t="e">
            <v>#N/A</v>
          </cell>
          <cell r="F626" t="e">
            <v>#N/A</v>
          </cell>
          <cell r="G626" t="e">
            <v>#N/A</v>
          </cell>
          <cell r="H626" t="e">
            <v>#N/A</v>
          </cell>
          <cell r="J626" t="e">
            <v>#N/A</v>
          </cell>
          <cell r="K626" t="str">
            <v>CG00623</v>
          </cell>
        </row>
        <row r="627">
          <cell r="A627" t="str">
            <v>CG00624</v>
          </cell>
          <cell r="B627" t="e">
            <v>#N/A</v>
          </cell>
          <cell r="C627" t="e">
            <v>#N/A</v>
          </cell>
          <cell r="D627" t="str">
            <v>CG</v>
          </cell>
          <cell r="E627" t="e">
            <v>#N/A</v>
          </cell>
          <cell r="F627" t="e">
            <v>#N/A</v>
          </cell>
          <cell r="G627" t="e">
            <v>#N/A</v>
          </cell>
          <cell r="H627" t="e">
            <v>#N/A</v>
          </cell>
          <cell r="J627" t="e">
            <v>#N/A</v>
          </cell>
          <cell r="K627" t="str">
            <v>CG00624</v>
          </cell>
        </row>
        <row r="628">
          <cell r="A628" t="str">
            <v>CG00625</v>
          </cell>
          <cell r="B628" t="e">
            <v>#N/A</v>
          </cell>
          <cell r="C628" t="e">
            <v>#N/A</v>
          </cell>
          <cell r="D628" t="str">
            <v>CG</v>
          </cell>
          <cell r="E628" t="e">
            <v>#N/A</v>
          </cell>
          <cell r="F628" t="e">
            <v>#N/A</v>
          </cell>
          <cell r="G628" t="e">
            <v>#N/A</v>
          </cell>
          <cell r="H628" t="e">
            <v>#N/A</v>
          </cell>
          <cell r="J628" t="e">
            <v>#N/A</v>
          </cell>
          <cell r="K628" t="str">
            <v>CG00625</v>
          </cell>
        </row>
        <row r="629">
          <cell r="A629" t="str">
            <v>CG00626</v>
          </cell>
          <cell r="B629" t="e">
            <v>#N/A</v>
          </cell>
          <cell r="C629" t="e">
            <v>#N/A</v>
          </cell>
          <cell r="D629" t="str">
            <v>CG</v>
          </cell>
          <cell r="E629" t="e">
            <v>#N/A</v>
          </cell>
          <cell r="F629" t="e">
            <v>#N/A</v>
          </cell>
          <cell r="G629" t="e">
            <v>#N/A</v>
          </cell>
          <cell r="H629" t="e">
            <v>#N/A</v>
          </cell>
          <cell r="J629" t="e">
            <v>#N/A</v>
          </cell>
          <cell r="K629" t="str">
            <v>CG00626</v>
          </cell>
        </row>
        <row r="630">
          <cell r="A630" t="str">
            <v>CG00627</v>
          </cell>
          <cell r="B630" t="e">
            <v>#N/A</v>
          </cell>
          <cell r="C630" t="e">
            <v>#N/A</v>
          </cell>
          <cell r="D630" t="str">
            <v>CG</v>
          </cell>
          <cell r="E630" t="e">
            <v>#N/A</v>
          </cell>
          <cell r="F630" t="e">
            <v>#N/A</v>
          </cell>
          <cell r="G630" t="e">
            <v>#N/A</v>
          </cell>
          <cell r="H630" t="e">
            <v>#N/A</v>
          </cell>
          <cell r="J630" t="e">
            <v>#N/A</v>
          </cell>
          <cell r="K630" t="str">
            <v>CG00627</v>
          </cell>
        </row>
        <row r="631">
          <cell r="A631" t="str">
            <v>CG00628</v>
          </cell>
          <cell r="B631" t="e">
            <v>#N/A</v>
          </cell>
          <cell r="C631" t="e">
            <v>#N/A</v>
          </cell>
          <cell r="D631" t="str">
            <v>CG</v>
          </cell>
          <cell r="E631" t="e">
            <v>#N/A</v>
          </cell>
          <cell r="F631" t="e">
            <v>#N/A</v>
          </cell>
          <cell r="G631" t="e">
            <v>#N/A</v>
          </cell>
          <cell r="H631" t="e">
            <v>#N/A</v>
          </cell>
          <cell r="J631" t="e">
            <v>#N/A</v>
          </cell>
          <cell r="K631" t="str">
            <v>CG00628</v>
          </cell>
        </row>
        <row r="632">
          <cell r="A632" t="str">
            <v>CG00629</v>
          </cell>
          <cell r="B632" t="e">
            <v>#N/A</v>
          </cell>
          <cell r="C632" t="e">
            <v>#N/A</v>
          </cell>
          <cell r="D632" t="str">
            <v>CG</v>
          </cell>
          <cell r="E632" t="e">
            <v>#N/A</v>
          </cell>
          <cell r="F632" t="e">
            <v>#N/A</v>
          </cell>
          <cell r="G632" t="e">
            <v>#N/A</v>
          </cell>
          <cell r="H632" t="e">
            <v>#N/A</v>
          </cell>
          <cell r="J632" t="e">
            <v>#N/A</v>
          </cell>
          <cell r="K632" t="str">
            <v>CG00629</v>
          </cell>
        </row>
        <row r="633">
          <cell r="A633" t="str">
            <v>CG00630</v>
          </cell>
          <cell r="B633" t="e">
            <v>#N/A</v>
          </cell>
          <cell r="C633" t="e">
            <v>#N/A</v>
          </cell>
          <cell r="D633" t="str">
            <v>CG</v>
          </cell>
          <cell r="E633" t="e">
            <v>#N/A</v>
          </cell>
          <cell r="F633" t="e">
            <v>#N/A</v>
          </cell>
          <cell r="G633" t="e">
            <v>#N/A</v>
          </cell>
          <cell r="H633" t="e">
            <v>#N/A</v>
          </cell>
          <cell r="J633" t="e">
            <v>#N/A</v>
          </cell>
          <cell r="K633" t="str">
            <v>CG00630</v>
          </cell>
        </row>
        <row r="634">
          <cell r="A634" t="str">
            <v>CG00631</v>
          </cell>
          <cell r="B634" t="e">
            <v>#N/A</v>
          </cell>
          <cell r="C634" t="e">
            <v>#N/A</v>
          </cell>
          <cell r="D634" t="str">
            <v>CG</v>
          </cell>
          <cell r="E634" t="e">
            <v>#N/A</v>
          </cell>
          <cell r="F634" t="e">
            <v>#N/A</v>
          </cell>
          <cell r="G634" t="e">
            <v>#N/A</v>
          </cell>
          <cell r="H634" t="e">
            <v>#N/A</v>
          </cell>
          <cell r="J634" t="e">
            <v>#N/A</v>
          </cell>
          <cell r="K634" t="str">
            <v>CG00631</v>
          </cell>
        </row>
        <row r="635">
          <cell r="A635" t="str">
            <v>CG00632</v>
          </cell>
          <cell r="B635" t="e">
            <v>#N/A</v>
          </cell>
          <cell r="C635" t="e">
            <v>#N/A</v>
          </cell>
          <cell r="D635" t="str">
            <v>CG</v>
          </cell>
          <cell r="E635" t="e">
            <v>#N/A</v>
          </cell>
          <cell r="F635" t="e">
            <v>#N/A</v>
          </cell>
          <cell r="G635" t="e">
            <v>#N/A</v>
          </cell>
          <cell r="H635" t="e">
            <v>#N/A</v>
          </cell>
          <cell r="J635" t="e">
            <v>#N/A</v>
          </cell>
          <cell r="K635" t="str">
            <v>CG00632</v>
          </cell>
        </row>
        <row r="636">
          <cell r="A636" t="str">
            <v>CG00633</v>
          </cell>
          <cell r="B636" t="e">
            <v>#N/A</v>
          </cell>
          <cell r="C636" t="e">
            <v>#N/A</v>
          </cell>
          <cell r="D636" t="str">
            <v>CG</v>
          </cell>
          <cell r="E636" t="e">
            <v>#N/A</v>
          </cell>
          <cell r="F636" t="e">
            <v>#N/A</v>
          </cell>
          <cell r="G636" t="e">
            <v>#N/A</v>
          </cell>
          <cell r="H636" t="e">
            <v>#N/A</v>
          </cell>
          <cell r="J636" t="e">
            <v>#N/A</v>
          </cell>
          <cell r="K636" t="str">
            <v>CG00633</v>
          </cell>
        </row>
        <row r="638">
          <cell r="J638" t="str">
            <v/>
          </cell>
          <cell r="K638">
            <v>0</v>
          </cell>
        </row>
        <row r="639">
          <cell r="J639" t="str">
            <v/>
          </cell>
          <cell r="K639">
            <v>0</v>
          </cell>
        </row>
        <row r="640">
          <cell r="J640" t="str">
            <v/>
          </cell>
          <cell r="K640">
            <v>0</v>
          </cell>
        </row>
        <row r="641">
          <cell r="J641" t="str">
            <v/>
          </cell>
          <cell r="K641">
            <v>0</v>
          </cell>
        </row>
        <row r="642">
          <cell r="J642" t="str">
            <v/>
          </cell>
          <cell r="K642">
            <v>0</v>
          </cell>
        </row>
        <row r="643">
          <cell r="J643" t="str">
            <v/>
          </cell>
          <cell r="K643">
            <v>0</v>
          </cell>
        </row>
        <row r="644">
          <cell r="J644" t="str">
            <v/>
          </cell>
          <cell r="K644">
            <v>0</v>
          </cell>
        </row>
        <row r="645">
          <cell r="J645" t="str">
            <v/>
          </cell>
          <cell r="K645">
            <v>0</v>
          </cell>
        </row>
        <row r="646">
          <cell r="J646" t="str">
            <v/>
          </cell>
          <cell r="K646">
            <v>0</v>
          </cell>
        </row>
        <row r="647">
          <cell r="J647" t="str">
            <v/>
          </cell>
          <cell r="K647">
            <v>0</v>
          </cell>
        </row>
        <row r="648">
          <cell r="J648" t="str">
            <v/>
          </cell>
          <cell r="K648">
            <v>0</v>
          </cell>
        </row>
        <row r="649">
          <cell r="J649" t="str">
            <v/>
          </cell>
          <cell r="K649">
            <v>0</v>
          </cell>
        </row>
        <row r="650">
          <cell r="J650" t="str">
            <v/>
          </cell>
          <cell r="K650">
            <v>0</v>
          </cell>
        </row>
        <row r="651">
          <cell r="J651" t="str">
            <v/>
          </cell>
          <cell r="K651">
            <v>0</v>
          </cell>
        </row>
        <row r="652">
          <cell r="J652" t="str">
            <v/>
          </cell>
          <cell r="K652">
            <v>0</v>
          </cell>
        </row>
        <row r="653">
          <cell r="J653" t="str">
            <v/>
          </cell>
          <cell r="K653">
            <v>0</v>
          </cell>
        </row>
        <row r="654">
          <cell r="J654" t="str">
            <v/>
          </cell>
          <cell r="K654">
            <v>0</v>
          </cell>
        </row>
        <row r="655">
          <cell r="J655" t="str">
            <v/>
          </cell>
          <cell r="K655">
            <v>0</v>
          </cell>
        </row>
        <row r="656">
          <cell r="J656" t="str">
            <v/>
          </cell>
          <cell r="K656">
            <v>0</v>
          </cell>
        </row>
        <row r="657">
          <cell r="J657" t="str">
            <v/>
          </cell>
          <cell r="K657">
            <v>0</v>
          </cell>
        </row>
        <row r="658">
          <cell r="J658" t="str">
            <v/>
          </cell>
          <cell r="K658">
            <v>0</v>
          </cell>
        </row>
        <row r="659">
          <cell r="J659" t="str">
            <v/>
          </cell>
          <cell r="K659">
            <v>0</v>
          </cell>
        </row>
        <row r="660">
          <cell r="J660" t="str">
            <v/>
          </cell>
          <cell r="K660">
            <v>0</v>
          </cell>
        </row>
        <row r="661">
          <cell r="J661" t="str">
            <v/>
          </cell>
          <cell r="K661">
            <v>0</v>
          </cell>
        </row>
        <row r="662">
          <cell r="J662" t="str">
            <v/>
          </cell>
          <cell r="K662">
            <v>0</v>
          </cell>
        </row>
        <row r="663">
          <cell r="J663" t="str">
            <v/>
          </cell>
          <cell r="K663">
            <v>0</v>
          </cell>
        </row>
        <row r="664">
          <cell r="J664" t="str">
            <v/>
          </cell>
          <cell r="K664">
            <v>0</v>
          </cell>
        </row>
        <row r="665">
          <cell r="J665" t="str">
            <v/>
          </cell>
          <cell r="K665">
            <v>0</v>
          </cell>
        </row>
        <row r="666">
          <cell r="J666" t="str">
            <v/>
          </cell>
          <cell r="K666">
            <v>0</v>
          </cell>
        </row>
        <row r="667">
          <cell r="J667" t="str">
            <v/>
          </cell>
          <cell r="K667">
            <v>0</v>
          </cell>
        </row>
        <row r="668">
          <cell r="J668" t="str">
            <v/>
          </cell>
          <cell r="K668">
            <v>0</v>
          </cell>
        </row>
        <row r="669">
          <cell r="J669" t="str">
            <v/>
          </cell>
          <cell r="K669">
            <v>0</v>
          </cell>
        </row>
        <row r="670">
          <cell r="J670" t="str">
            <v/>
          </cell>
          <cell r="K670">
            <v>0</v>
          </cell>
        </row>
        <row r="671">
          <cell r="J671" t="str">
            <v/>
          </cell>
          <cell r="K671">
            <v>0</v>
          </cell>
        </row>
        <row r="672">
          <cell r="J672" t="str">
            <v/>
          </cell>
          <cell r="K672">
            <v>0</v>
          </cell>
        </row>
        <row r="673">
          <cell r="J673" t="str">
            <v/>
          </cell>
          <cell r="K673">
            <v>0</v>
          </cell>
        </row>
        <row r="674">
          <cell r="J674" t="str">
            <v/>
          </cell>
          <cell r="K674">
            <v>0</v>
          </cell>
        </row>
        <row r="675">
          <cell r="J675" t="str">
            <v/>
          </cell>
          <cell r="K675">
            <v>0</v>
          </cell>
        </row>
        <row r="676">
          <cell r="J676" t="str">
            <v/>
          </cell>
          <cell r="K676">
            <v>0</v>
          </cell>
        </row>
        <row r="677">
          <cell r="J677" t="str">
            <v/>
          </cell>
          <cell r="K677">
            <v>0</v>
          </cell>
        </row>
        <row r="678">
          <cell r="J678" t="str">
            <v/>
          </cell>
          <cell r="K678">
            <v>0</v>
          </cell>
        </row>
        <row r="679">
          <cell r="J679" t="str">
            <v/>
          </cell>
          <cell r="K679">
            <v>0</v>
          </cell>
        </row>
        <row r="680">
          <cell r="J680" t="str">
            <v/>
          </cell>
          <cell r="K680">
            <v>0</v>
          </cell>
        </row>
        <row r="681">
          <cell r="J681" t="str">
            <v/>
          </cell>
          <cell r="K681">
            <v>0</v>
          </cell>
        </row>
        <row r="682">
          <cell r="J682" t="str">
            <v/>
          </cell>
          <cell r="K682">
            <v>0</v>
          </cell>
        </row>
        <row r="683">
          <cell r="J683" t="str">
            <v/>
          </cell>
          <cell r="K683">
            <v>0</v>
          </cell>
        </row>
        <row r="684">
          <cell r="J684" t="str">
            <v/>
          </cell>
          <cell r="K684">
            <v>0</v>
          </cell>
        </row>
        <row r="685">
          <cell r="J685" t="str">
            <v/>
          </cell>
          <cell r="K685">
            <v>0</v>
          </cell>
        </row>
        <row r="686">
          <cell r="J686" t="str">
            <v/>
          </cell>
          <cell r="K686">
            <v>0</v>
          </cell>
        </row>
        <row r="687">
          <cell r="J687" t="str">
            <v/>
          </cell>
          <cell r="K687">
            <v>0</v>
          </cell>
        </row>
        <row r="688">
          <cell r="J688" t="str">
            <v/>
          </cell>
          <cell r="K688">
            <v>0</v>
          </cell>
        </row>
        <row r="689">
          <cell r="J689" t="str">
            <v/>
          </cell>
          <cell r="K689">
            <v>0</v>
          </cell>
        </row>
        <row r="690">
          <cell r="J690" t="str">
            <v/>
          </cell>
          <cell r="K690">
            <v>0</v>
          </cell>
        </row>
        <row r="691">
          <cell r="J691" t="str">
            <v/>
          </cell>
          <cell r="K691">
            <v>0</v>
          </cell>
        </row>
        <row r="692">
          <cell r="J692" t="str">
            <v/>
          </cell>
          <cell r="K692">
            <v>0</v>
          </cell>
        </row>
        <row r="693">
          <cell r="J693" t="str">
            <v/>
          </cell>
          <cell r="K693">
            <v>0</v>
          </cell>
        </row>
        <row r="694">
          <cell r="J694" t="str">
            <v/>
          </cell>
          <cell r="K694">
            <v>0</v>
          </cell>
        </row>
        <row r="695">
          <cell r="J695" t="str">
            <v/>
          </cell>
          <cell r="K695">
            <v>0</v>
          </cell>
        </row>
        <row r="696">
          <cell r="J696" t="str">
            <v/>
          </cell>
          <cell r="K696">
            <v>0</v>
          </cell>
        </row>
        <row r="697">
          <cell r="J697" t="str">
            <v/>
          </cell>
          <cell r="K697">
            <v>0</v>
          </cell>
        </row>
        <row r="698">
          <cell r="J698" t="str">
            <v/>
          </cell>
          <cell r="K698">
            <v>0</v>
          </cell>
        </row>
        <row r="699">
          <cell r="J699" t="str">
            <v/>
          </cell>
          <cell r="K699">
            <v>0</v>
          </cell>
        </row>
        <row r="700">
          <cell r="J700" t="str">
            <v/>
          </cell>
          <cell r="K700">
            <v>0</v>
          </cell>
        </row>
        <row r="701">
          <cell r="J701" t="str">
            <v/>
          </cell>
          <cell r="K701">
            <v>0</v>
          </cell>
        </row>
        <row r="702">
          <cell r="J702" t="str">
            <v/>
          </cell>
          <cell r="K702">
            <v>0</v>
          </cell>
        </row>
        <row r="703">
          <cell r="J703" t="str">
            <v/>
          </cell>
          <cell r="K703">
            <v>0</v>
          </cell>
        </row>
        <row r="704">
          <cell r="J704" t="str">
            <v/>
          </cell>
          <cell r="K704">
            <v>0</v>
          </cell>
        </row>
        <row r="705">
          <cell r="J705" t="str">
            <v/>
          </cell>
          <cell r="K705">
            <v>0</v>
          </cell>
        </row>
        <row r="706">
          <cell r="J706" t="str">
            <v/>
          </cell>
          <cell r="K706">
            <v>0</v>
          </cell>
        </row>
        <row r="707">
          <cell r="J707" t="str">
            <v/>
          </cell>
          <cell r="K707">
            <v>0</v>
          </cell>
        </row>
        <row r="708">
          <cell r="J708" t="str">
            <v/>
          </cell>
          <cell r="K708">
            <v>0</v>
          </cell>
        </row>
        <row r="709">
          <cell r="J709" t="str">
            <v/>
          </cell>
          <cell r="K709">
            <v>0</v>
          </cell>
        </row>
        <row r="710">
          <cell r="J710" t="str">
            <v/>
          </cell>
          <cell r="K710">
            <v>0</v>
          </cell>
        </row>
        <row r="711">
          <cell r="J711" t="str">
            <v/>
          </cell>
          <cell r="K711">
            <v>0</v>
          </cell>
        </row>
        <row r="712">
          <cell r="J712" t="str">
            <v/>
          </cell>
          <cell r="K712">
            <v>0</v>
          </cell>
        </row>
        <row r="713">
          <cell r="J713" t="str">
            <v/>
          </cell>
          <cell r="K713">
            <v>0</v>
          </cell>
        </row>
        <row r="714">
          <cell r="J714" t="str">
            <v/>
          </cell>
          <cell r="K714">
            <v>0</v>
          </cell>
        </row>
        <row r="715">
          <cell r="J715" t="str">
            <v/>
          </cell>
          <cell r="K715">
            <v>0</v>
          </cell>
        </row>
        <row r="716">
          <cell r="J716" t="str">
            <v/>
          </cell>
          <cell r="K716">
            <v>0</v>
          </cell>
        </row>
        <row r="717">
          <cell r="J717" t="str">
            <v/>
          </cell>
          <cell r="K717">
            <v>0</v>
          </cell>
        </row>
        <row r="718">
          <cell r="J718" t="str">
            <v/>
          </cell>
          <cell r="K718">
            <v>0</v>
          </cell>
        </row>
        <row r="719">
          <cell r="J719" t="str">
            <v/>
          </cell>
          <cell r="K719">
            <v>0</v>
          </cell>
        </row>
        <row r="720">
          <cell r="J720" t="str">
            <v/>
          </cell>
          <cell r="K720">
            <v>0</v>
          </cell>
        </row>
        <row r="721">
          <cell r="J721" t="str">
            <v/>
          </cell>
          <cell r="K721">
            <v>0</v>
          </cell>
        </row>
        <row r="722">
          <cell r="J722" t="str">
            <v/>
          </cell>
          <cell r="K722">
            <v>0</v>
          </cell>
        </row>
        <row r="723">
          <cell r="J723" t="str">
            <v/>
          </cell>
          <cell r="K723">
            <v>0</v>
          </cell>
        </row>
        <row r="724">
          <cell r="J724" t="str">
            <v/>
          </cell>
          <cell r="K724">
            <v>0</v>
          </cell>
        </row>
        <row r="725">
          <cell r="J725" t="str">
            <v/>
          </cell>
          <cell r="K725">
            <v>0</v>
          </cell>
        </row>
        <row r="726">
          <cell r="J726" t="str">
            <v/>
          </cell>
          <cell r="K726">
            <v>0</v>
          </cell>
        </row>
        <row r="727">
          <cell r="J727" t="str">
            <v/>
          </cell>
          <cell r="K727">
            <v>0</v>
          </cell>
        </row>
        <row r="728">
          <cell r="J728" t="str">
            <v/>
          </cell>
          <cell r="K728">
            <v>0</v>
          </cell>
        </row>
        <row r="729">
          <cell r="J729" t="str">
            <v/>
          </cell>
          <cell r="K729">
            <v>0</v>
          </cell>
        </row>
        <row r="730">
          <cell r="J730" t="str">
            <v/>
          </cell>
          <cell r="K730">
            <v>0</v>
          </cell>
        </row>
        <row r="731">
          <cell r="J731" t="str">
            <v/>
          </cell>
          <cell r="K731">
            <v>0</v>
          </cell>
        </row>
        <row r="732">
          <cell r="J732" t="str">
            <v/>
          </cell>
          <cell r="K732">
            <v>0</v>
          </cell>
        </row>
        <row r="733">
          <cell r="J733" t="str">
            <v/>
          </cell>
          <cell r="K733">
            <v>0</v>
          </cell>
        </row>
        <row r="734">
          <cell r="J734" t="str">
            <v/>
          </cell>
          <cell r="K734">
            <v>0</v>
          </cell>
        </row>
        <row r="735">
          <cell r="J735" t="str">
            <v/>
          </cell>
          <cell r="K735">
            <v>0</v>
          </cell>
        </row>
        <row r="736">
          <cell r="J736" t="str">
            <v/>
          </cell>
          <cell r="K736">
            <v>0</v>
          </cell>
        </row>
        <row r="737">
          <cell r="J737" t="str">
            <v/>
          </cell>
          <cell r="K737">
            <v>0</v>
          </cell>
        </row>
        <row r="738">
          <cell r="J738" t="str">
            <v/>
          </cell>
          <cell r="K738">
            <v>0</v>
          </cell>
        </row>
        <row r="739">
          <cell r="J739" t="str">
            <v/>
          </cell>
          <cell r="K739">
            <v>0</v>
          </cell>
        </row>
        <row r="740">
          <cell r="J740" t="str">
            <v/>
          </cell>
          <cell r="K740">
            <v>0</v>
          </cell>
        </row>
        <row r="741">
          <cell r="J741" t="str">
            <v/>
          </cell>
          <cell r="K741">
            <v>0</v>
          </cell>
        </row>
        <row r="742">
          <cell r="J742" t="str">
            <v/>
          </cell>
          <cell r="K742">
            <v>0</v>
          </cell>
        </row>
        <row r="743">
          <cell r="J743" t="str">
            <v/>
          </cell>
          <cell r="K743">
            <v>0</v>
          </cell>
        </row>
        <row r="744">
          <cell r="J744" t="str">
            <v/>
          </cell>
          <cell r="K744">
            <v>0</v>
          </cell>
        </row>
        <row r="745">
          <cell r="J745" t="str">
            <v/>
          </cell>
          <cell r="K745">
            <v>0</v>
          </cell>
        </row>
        <row r="746">
          <cell r="J746" t="str">
            <v/>
          </cell>
          <cell r="K746">
            <v>0</v>
          </cell>
        </row>
        <row r="747">
          <cell r="J747" t="str">
            <v/>
          </cell>
          <cell r="K747">
            <v>0</v>
          </cell>
        </row>
        <row r="748">
          <cell r="J748" t="str">
            <v/>
          </cell>
          <cell r="K748">
            <v>0</v>
          </cell>
        </row>
        <row r="749">
          <cell r="J749" t="str">
            <v/>
          </cell>
          <cell r="K749">
            <v>0</v>
          </cell>
        </row>
        <row r="750">
          <cell r="J750" t="str">
            <v/>
          </cell>
          <cell r="K750">
            <v>0</v>
          </cell>
        </row>
        <row r="751">
          <cell r="J751" t="str">
            <v/>
          </cell>
          <cell r="K751">
            <v>0</v>
          </cell>
        </row>
        <row r="752">
          <cell r="J752" t="str">
            <v/>
          </cell>
          <cell r="K752">
            <v>0</v>
          </cell>
        </row>
        <row r="753">
          <cell r="J753" t="str">
            <v/>
          </cell>
          <cell r="K753">
            <v>0</v>
          </cell>
        </row>
        <row r="754">
          <cell r="J754" t="str">
            <v/>
          </cell>
          <cell r="K754">
            <v>0</v>
          </cell>
        </row>
        <row r="755">
          <cell r="J755" t="str">
            <v/>
          </cell>
          <cell r="K755">
            <v>0</v>
          </cell>
        </row>
        <row r="756">
          <cell r="J756" t="str">
            <v/>
          </cell>
          <cell r="K756">
            <v>0</v>
          </cell>
        </row>
        <row r="757">
          <cell r="J757" t="str">
            <v/>
          </cell>
          <cell r="K757">
            <v>0</v>
          </cell>
        </row>
        <row r="758">
          <cell r="J758" t="str">
            <v/>
          </cell>
          <cell r="K758">
            <v>0</v>
          </cell>
        </row>
        <row r="759">
          <cell r="J759" t="str">
            <v/>
          </cell>
          <cell r="K759">
            <v>0</v>
          </cell>
        </row>
        <row r="760">
          <cell r="J760" t="str">
            <v/>
          </cell>
          <cell r="K760">
            <v>0</v>
          </cell>
        </row>
        <row r="761">
          <cell r="J761" t="str">
            <v/>
          </cell>
          <cell r="K761">
            <v>0</v>
          </cell>
        </row>
        <row r="762">
          <cell r="J762" t="str">
            <v/>
          </cell>
          <cell r="K762">
            <v>0</v>
          </cell>
        </row>
        <row r="763">
          <cell r="J763" t="str">
            <v/>
          </cell>
          <cell r="K763">
            <v>0</v>
          </cell>
        </row>
        <row r="764">
          <cell r="J764" t="str">
            <v/>
          </cell>
          <cell r="K764">
            <v>0</v>
          </cell>
        </row>
        <row r="765">
          <cell r="J765" t="str">
            <v/>
          </cell>
          <cell r="K765">
            <v>0</v>
          </cell>
        </row>
        <row r="766">
          <cell r="J766" t="str">
            <v/>
          </cell>
          <cell r="K766">
            <v>0</v>
          </cell>
        </row>
        <row r="767">
          <cell r="J767" t="str">
            <v/>
          </cell>
          <cell r="K767">
            <v>0</v>
          </cell>
        </row>
        <row r="768">
          <cell r="J768" t="str">
            <v/>
          </cell>
          <cell r="K768">
            <v>0</v>
          </cell>
        </row>
        <row r="769">
          <cell r="J769" t="str">
            <v/>
          </cell>
          <cell r="K769">
            <v>0</v>
          </cell>
        </row>
        <row r="770">
          <cell r="J770" t="str">
            <v/>
          </cell>
          <cell r="K770">
            <v>0</v>
          </cell>
        </row>
        <row r="771">
          <cell r="J771" t="str">
            <v/>
          </cell>
          <cell r="K771">
            <v>0</v>
          </cell>
        </row>
        <row r="772">
          <cell r="J772" t="str">
            <v/>
          </cell>
          <cell r="K772">
            <v>0</v>
          </cell>
        </row>
        <row r="773">
          <cell r="J773" t="str">
            <v/>
          </cell>
          <cell r="K773">
            <v>0</v>
          </cell>
        </row>
        <row r="774">
          <cell r="J774" t="str">
            <v/>
          </cell>
          <cell r="K774">
            <v>0</v>
          </cell>
        </row>
        <row r="775">
          <cell r="J775" t="str">
            <v/>
          </cell>
          <cell r="K775">
            <v>0</v>
          </cell>
        </row>
        <row r="776">
          <cell r="J776" t="str">
            <v/>
          </cell>
          <cell r="K776">
            <v>0</v>
          </cell>
        </row>
        <row r="777">
          <cell r="J777" t="str">
            <v/>
          </cell>
          <cell r="K777">
            <v>0</v>
          </cell>
        </row>
        <row r="778">
          <cell r="J778" t="str">
            <v/>
          </cell>
          <cell r="K778">
            <v>0</v>
          </cell>
        </row>
        <row r="779">
          <cell r="J779" t="str">
            <v/>
          </cell>
          <cell r="K779">
            <v>0</v>
          </cell>
        </row>
        <row r="780">
          <cell r="J780" t="str">
            <v/>
          </cell>
          <cell r="K780">
            <v>0</v>
          </cell>
        </row>
        <row r="781">
          <cell r="J781" t="str">
            <v/>
          </cell>
          <cell r="K781">
            <v>0</v>
          </cell>
        </row>
        <row r="782">
          <cell r="J782" t="str">
            <v/>
          </cell>
          <cell r="K782">
            <v>0</v>
          </cell>
        </row>
        <row r="783">
          <cell r="J783" t="str">
            <v/>
          </cell>
          <cell r="K783">
            <v>0</v>
          </cell>
        </row>
        <row r="784">
          <cell r="J784" t="str">
            <v/>
          </cell>
          <cell r="K784">
            <v>0</v>
          </cell>
        </row>
        <row r="785">
          <cell r="J785" t="str">
            <v/>
          </cell>
          <cell r="K785">
            <v>0</v>
          </cell>
        </row>
        <row r="786">
          <cell r="J786" t="str">
            <v/>
          </cell>
          <cell r="K786">
            <v>0</v>
          </cell>
        </row>
        <row r="787">
          <cell r="J787" t="str">
            <v/>
          </cell>
          <cell r="K787">
            <v>0</v>
          </cell>
        </row>
        <row r="788">
          <cell r="J788" t="str">
            <v/>
          </cell>
          <cell r="K788">
            <v>0</v>
          </cell>
        </row>
        <row r="789">
          <cell r="J789" t="str">
            <v/>
          </cell>
          <cell r="K789">
            <v>0</v>
          </cell>
        </row>
        <row r="790">
          <cell r="J790" t="str">
            <v/>
          </cell>
          <cell r="K790">
            <v>0</v>
          </cell>
        </row>
        <row r="791">
          <cell r="J791" t="str">
            <v/>
          </cell>
          <cell r="K791">
            <v>0</v>
          </cell>
        </row>
        <row r="792">
          <cell r="J792" t="str">
            <v/>
          </cell>
          <cell r="K792">
            <v>0</v>
          </cell>
        </row>
        <row r="793">
          <cell r="J793" t="str">
            <v/>
          </cell>
          <cell r="K793">
            <v>0</v>
          </cell>
        </row>
        <row r="794">
          <cell r="J794" t="str">
            <v/>
          </cell>
          <cell r="K794">
            <v>0</v>
          </cell>
        </row>
        <row r="795">
          <cell r="J795" t="str">
            <v/>
          </cell>
          <cell r="K795">
            <v>0</v>
          </cell>
        </row>
        <row r="796">
          <cell r="J796" t="str">
            <v/>
          </cell>
          <cell r="K796">
            <v>0</v>
          </cell>
        </row>
        <row r="797">
          <cell r="J797" t="str">
            <v/>
          </cell>
          <cell r="K797">
            <v>0</v>
          </cell>
        </row>
        <row r="798">
          <cell r="J798" t="str">
            <v/>
          </cell>
          <cell r="K798">
            <v>0</v>
          </cell>
        </row>
        <row r="799">
          <cell r="J799" t="str">
            <v/>
          </cell>
          <cell r="K799">
            <v>0</v>
          </cell>
        </row>
        <row r="800">
          <cell r="J800" t="str">
            <v/>
          </cell>
          <cell r="K800">
            <v>0</v>
          </cell>
        </row>
        <row r="801">
          <cell r="J801" t="str">
            <v/>
          </cell>
          <cell r="K801">
            <v>0</v>
          </cell>
        </row>
        <row r="802">
          <cell r="J802" t="str">
            <v/>
          </cell>
          <cell r="K802">
            <v>0</v>
          </cell>
        </row>
        <row r="803">
          <cell r="J803" t="str">
            <v/>
          </cell>
          <cell r="K803">
            <v>0</v>
          </cell>
        </row>
        <row r="804">
          <cell r="J804" t="str">
            <v/>
          </cell>
          <cell r="K804">
            <v>0</v>
          </cell>
        </row>
        <row r="805">
          <cell r="J805" t="str">
            <v/>
          </cell>
          <cell r="K805">
            <v>0</v>
          </cell>
        </row>
        <row r="806">
          <cell r="J806" t="str">
            <v/>
          </cell>
          <cell r="K806">
            <v>0</v>
          </cell>
        </row>
        <row r="807">
          <cell r="J807" t="str">
            <v/>
          </cell>
          <cell r="K807">
            <v>0</v>
          </cell>
        </row>
        <row r="808">
          <cell r="J808" t="str">
            <v/>
          </cell>
          <cell r="K808">
            <v>0</v>
          </cell>
        </row>
        <row r="809">
          <cell r="J809" t="str">
            <v/>
          </cell>
          <cell r="K809">
            <v>0</v>
          </cell>
        </row>
        <row r="810">
          <cell r="J810" t="str">
            <v/>
          </cell>
          <cell r="K810">
            <v>0</v>
          </cell>
        </row>
        <row r="811">
          <cell r="J811" t="str">
            <v/>
          </cell>
          <cell r="K811">
            <v>0</v>
          </cell>
        </row>
        <row r="812">
          <cell r="J812" t="str">
            <v/>
          </cell>
          <cell r="K812">
            <v>0</v>
          </cell>
        </row>
        <row r="813">
          <cell r="J813" t="str">
            <v/>
          </cell>
          <cell r="K813">
            <v>0</v>
          </cell>
        </row>
        <row r="814">
          <cell r="J814" t="str">
            <v/>
          </cell>
          <cell r="K814">
            <v>0</v>
          </cell>
        </row>
        <row r="815">
          <cell r="J815" t="str">
            <v/>
          </cell>
          <cell r="K815">
            <v>0</v>
          </cell>
        </row>
        <row r="816">
          <cell r="J816" t="str">
            <v/>
          </cell>
          <cell r="K816">
            <v>0</v>
          </cell>
        </row>
        <row r="817">
          <cell r="J817" t="str">
            <v/>
          </cell>
          <cell r="K817">
            <v>0</v>
          </cell>
        </row>
        <row r="818">
          <cell r="J818" t="str">
            <v/>
          </cell>
          <cell r="K818">
            <v>0</v>
          </cell>
        </row>
        <row r="819">
          <cell r="J819" t="str">
            <v/>
          </cell>
          <cell r="K819">
            <v>0</v>
          </cell>
        </row>
        <row r="820">
          <cell r="J820" t="str">
            <v/>
          </cell>
          <cell r="K820">
            <v>0</v>
          </cell>
        </row>
        <row r="821">
          <cell r="J821" t="str">
            <v/>
          </cell>
          <cell r="K821">
            <v>0</v>
          </cell>
        </row>
        <row r="822">
          <cell r="J822" t="str">
            <v/>
          </cell>
          <cell r="K822">
            <v>0</v>
          </cell>
        </row>
        <row r="823">
          <cell r="J823" t="str">
            <v/>
          </cell>
          <cell r="K823">
            <v>0</v>
          </cell>
        </row>
        <row r="824">
          <cell r="J824" t="str">
            <v/>
          </cell>
          <cell r="K824">
            <v>0</v>
          </cell>
        </row>
        <row r="825">
          <cell r="J825" t="str">
            <v/>
          </cell>
          <cell r="K825">
            <v>0</v>
          </cell>
        </row>
        <row r="826">
          <cell r="J826" t="str">
            <v/>
          </cell>
          <cell r="K826">
            <v>0</v>
          </cell>
        </row>
        <row r="827">
          <cell r="J827" t="str">
            <v/>
          </cell>
          <cell r="K827">
            <v>0</v>
          </cell>
        </row>
        <row r="828">
          <cell r="J828" t="str">
            <v/>
          </cell>
          <cell r="K828">
            <v>0</v>
          </cell>
        </row>
        <row r="829">
          <cell r="J829" t="str">
            <v/>
          </cell>
          <cell r="K829">
            <v>0</v>
          </cell>
        </row>
        <row r="830">
          <cell r="J830" t="str">
            <v/>
          </cell>
          <cell r="K830">
            <v>0</v>
          </cell>
        </row>
        <row r="831">
          <cell r="J831" t="str">
            <v/>
          </cell>
          <cell r="K831">
            <v>0</v>
          </cell>
        </row>
        <row r="832">
          <cell r="J832" t="str">
            <v/>
          </cell>
          <cell r="K832">
            <v>0</v>
          </cell>
        </row>
        <row r="833">
          <cell r="J833" t="str">
            <v/>
          </cell>
          <cell r="K833">
            <v>0</v>
          </cell>
        </row>
        <row r="834">
          <cell r="J834" t="str">
            <v/>
          </cell>
          <cell r="K834">
            <v>0</v>
          </cell>
        </row>
        <row r="835">
          <cell r="J835" t="str">
            <v/>
          </cell>
          <cell r="K835">
            <v>0</v>
          </cell>
        </row>
        <row r="836">
          <cell r="J836" t="str">
            <v/>
          </cell>
          <cell r="K836">
            <v>0</v>
          </cell>
        </row>
        <row r="837">
          <cell r="J837" t="str">
            <v/>
          </cell>
          <cell r="K837">
            <v>0</v>
          </cell>
        </row>
        <row r="838">
          <cell r="J838" t="str">
            <v/>
          </cell>
          <cell r="K838">
            <v>0</v>
          </cell>
        </row>
        <row r="839">
          <cell r="J839" t="str">
            <v/>
          </cell>
          <cell r="K839">
            <v>0</v>
          </cell>
        </row>
        <row r="840">
          <cell r="J840" t="str">
            <v/>
          </cell>
          <cell r="K840">
            <v>0</v>
          </cell>
        </row>
        <row r="841">
          <cell r="J841" t="str">
            <v/>
          </cell>
          <cell r="K841">
            <v>0</v>
          </cell>
        </row>
        <row r="842">
          <cell r="J842" t="str">
            <v/>
          </cell>
          <cell r="K842">
            <v>0</v>
          </cell>
        </row>
        <row r="843">
          <cell r="J843" t="str">
            <v/>
          </cell>
          <cell r="K843">
            <v>0</v>
          </cell>
        </row>
        <row r="844">
          <cell r="J844" t="str">
            <v/>
          </cell>
          <cell r="K844">
            <v>0</v>
          </cell>
        </row>
        <row r="845">
          <cell r="J845" t="str">
            <v/>
          </cell>
          <cell r="K845">
            <v>0</v>
          </cell>
        </row>
        <row r="846">
          <cell r="J846" t="str">
            <v/>
          </cell>
          <cell r="K846">
            <v>0</v>
          </cell>
        </row>
        <row r="847">
          <cell r="J847" t="str">
            <v/>
          </cell>
          <cell r="K847">
            <v>0</v>
          </cell>
        </row>
        <row r="848">
          <cell r="J848" t="str">
            <v/>
          </cell>
          <cell r="K848">
            <v>0</v>
          </cell>
        </row>
        <row r="849">
          <cell r="J849" t="str">
            <v/>
          </cell>
          <cell r="K849">
            <v>0</v>
          </cell>
        </row>
        <row r="850">
          <cell r="J850" t="str">
            <v/>
          </cell>
          <cell r="K850">
            <v>0</v>
          </cell>
        </row>
        <row r="851">
          <cell r="J851" t="str">
            <v/>
          </cell>
          <cell r="K851">
            <v>0</v>
          </cell>
        </row>
        <row r="852">
          <cell r="J852" t="str">
            <v/>
          </cell>
          <cell r="K852">
            <v>0</v>
          </cell>
        </row>
        <row r="853">
          <cell r="J853" t="str">
            <v/>
          </cell>
          <cell r="K853">
            <v>0</v>
          </cell>
        </row>
        <row r="854">
          <cell r="J854" t="str">
            <v/>
          </cell>
          <cell r="K854">
            <v>0</v>
          </cell>
        </row>
        <row r="855">
          <cell r="J855" t="str">
            <v/>
          </cell>
          <cell r="K855">
            <v>0</v>
          </cell>
        </row>
        <row r="856">
          <cell r="J856" t="str">
            <v/>
          </cell>
          <cell r="K856">
            <v>0</v>
          </cell>
        </row>
        <row r="857">
          <cell r="J857" t="str">
            <v/>
          </cell>
          <cell r="K857">
            <v>0</v>
          </cell>
        </row>
        <row r="858">
          <cell r="J858" t="str">
            <v/>
          </cell>
          <cell r="K858">
            <v>0</v>
          </cell>
        </row>
        <row r="859">
          <cell r="J859" t="str">
            <v/>
          </cell>
          <cell r="K859">
            <v>0</v>
          </cell>
        </row>
        <row r="860">
          <cell r="J860" t="str">
            <v/>
          </cell>
          <cell r="K860">
            <v>0</v>
          </cell>
        </row>
        <row r="861">
          <cell r="J861" t="str">
            <v/>
          </cell>
          <cell r="K861">
            <v>0</v>
          </cell>
        </row>
        <row r="862">
          <cell r="J862" t="str">
            <v/>
          </cell>
          <cell r="K862">
            <v>0</v>
          </cell>
        </row>
        <row r="863">
          <cell r="J863" t="str">
            <v/>
          </cell>
          <cell r="K863">
            <v>0</v>
          </cell>
        </row>
        <row r="864">
          <cell r="J864" t="str">
            <v/>
          </cell>
          <cell r="K864">
            <v>0</v>
          </cell>
        </row>
        <row r="865">
          <cell r="J865" t="str">
            <v/>
          </cell>
          <cell r="K865">
            <v>0</v>
          </cell>
        </row>
        <row r="866">
          <cell r="J866" t="str">
            <v/>
          </cell>
          <cell r="K866">
            <v>0</v>
          </cell>
        </row>
        <row r="867">
          <cell r="J867" t="str">
            <v/>
          </cell>
          <cell r="K867">
            <v>0</v>
          </cell>
        </row>
        <row r="868">
          <cell r="J868" t="str">
            <v/>
          </cell>
          <cell r="K868">
            <v>0</v>
          </cell>
        </row>
        <row r="869">
          <cell r="J869" t="str">
            <v/>
          </cell>
          <cell r="K869">
            <v>0</v>
          </cell>
        </row>
        <row r="870">
          <cell r="J870" t="str">
            <v/>
          </cell>
          <cell r="K870">
            <v>0</v>
          </cell>
        </row>
        <row r="871">
          <cell r="J871" t="str">
            <v/>
          </cell>
          <cell r="K871">
            <v>0</v>
          </cell>
        </row>
        <row r="872">
          <cell r="J872" t="str">
            <v/>
          </cell>
          <cell r="K872">
            <v>0</v>
          </cell>
        </row>
        <row r="873">
          <cell r="J873" t="str">
            <v/>
          </cell>
          <cell r="K873">
            <v>0</v>
          </cell>
        </row>
        <row r="874">
          <cell r="J874" t="str">
            <v/>
          </cell>
          <cell r="K874">
            <v>0</v>
          </cell>
        </row>
        <row r="875">
          <cell r="J875" t="str">
            <v/>
          </cell>
          <cell r="K875">
            <v>0</v>
          </cell>
        </row>
        <row r="876">
          <cell r="J876" t="str">
            <v/>
          </cell>
          <cell r="K876">
            <v>0</v>
          </cell>
        </row>
        <row r="877">
          <cell r="J877" t="str">
            <v/>
          </cell>
          <cell r="K877">
            <v>0</v>
          </cell>
        </row>
        <row r="878">
          <cell r="J878" t="str">
            <v/>
          </cell>
          <cell r="K878">
            <v>0</v>
          </cell>
        </row>
        <row r="879">
          <cell r="J879" t="str">
            <v/>
          </cell>
          <cell r="K879">
            <v>0</v>
          </cell>
        </row>
        <row r="880">
          <cell r="J880" t="str">
            <v/>
          </cell>
          <cell r="K880">
            <v>0</v>
          </cell>
        </row>
        <row r="881">
          <cell r="J881" t="str">
            <v/>
          </cell>
          <cell r="K881">
            <v>0</v>
          </cell>
        </row>
        <row r="882">
          <cell r="J882" t="str">
            <v/>
          </cell>
          <cell r="K882">
            <v>0</v>
          </cell>
        </row>
        <row r="883">
          <cell r="J883" t="str">
            <v/>
          </cell>
          <cell r="K883">
            <v>0</v>
          </cell>
        </row>
        <row r="884">
          <cell r="J884" t="str">
            <v/>
          </cell>
          <cell r="K884">
            <v>0</v>
          </cell>
        </row>
        <row r="885">
          <cell r="J885" t="str">
            <v/>
          </cell>
          <cell r="K885">
            <v>0</v>
          </cell>
        </row>
        <row r="886">
          <cell r="J886" t="str">
            <v/>
          </cell>
          <cell r="K886">
            <v>0</v>
          </cell>
        </row>
        <row r="887">
          <cell r="J887" t="str">
            <v/>
          </cell>
          <cell r="K887">
            <v>0</v>
          </cell>
        </row>
        <row r="888">
          <cell r="J888" t="str">
            <v/>
          </cell>
          <cell r="K888">
            <v>0</v>
          </cell>
        </row>
        <row r="889">
          <cell r="J889" t="str">
            <v/>
          </cell>
          <cell r="K889">
            <v>0</v>
          </cell>
        </row>
        <row r="890">
          <cell r="J890" t="str">
            <v/>
          </cell>
          <cell r="K890">
            <v>0</v>
          </cell>
        </row>
        <row r="891">
          <cell r="J891" t="str">
            <v/>
          </cell>
          <cell r="K891">
            <v>0</v>
          </cell>
        </row>
        <row r="892">
          <cell r="J892" t="str">
            <v/>
          </cell>
          <cell r="K892">
            <v>0</v>
          </cell>
        </row>
        <row r="893">
          <cell r="J893" t="str">
            <v/>
          </cell>
          <cell r="K893">
            <v>0</v>
          </cell>
        </row>
        <row r="894">
          <cell r="J894" t="str">
            <v/>
          </cell>
          <cell r="K894">
            <v>0</v>
          </cell>
        </row>
        <row r="895">
          <cell r="J895" t="str">
            <v/>
          </cell>
          <cell r="K895">
            <v>0</v>
          </cell>
        </row>
        <row r="896">
          <cell r="J896" t="str">
            <v/>
          </cell>
          <cell r="K896">
            <v>0</v>
          </cell>
        </row>
        <row r="897">
          <cell r="J897" t="str">
            <v/>
          </cell>
          <cell r="K897">
            <v>0</v>
          </cell>
        </row>
        <row r="898">
          <cell r="J898" t="str">
            <v/>
          </cell>
          <cell r="K898">
            <v>0</v>
          </cell>
        </row>
        <row r="899">
          <cell r="J899" t="str">
            <v/>
          </cell>
          <cell r="K899">
            <v>0</v>
          </cell>
        </row>
        <row r="900">
          <cell r="J900" t="str">
            <v/>
          </cell>
          <cell r="K900">
            <v>0</v>
          </cell>
        </row>
        <row r="901">
          <cell r="J901" t="str">
            <v/>
          </cell>
          <cell r="K901">
            <v>0</v>
          </cell>
        </row>
        <row r="902">
          <cell r="J902" t="str">
            <v/>
          </cell>
          <cell r="K902">
            <v>0</v>
          </cell>
        </row>
        <row r="903">
          <cell r="J903" t="str">
            <v/>
          </cell>
          <cell r="K903">
            <v>0</v>
          </cell>
        </row>
        <row r="904">
          <cell r="J904" t="str">
            <v/>
          </cell>
          <cell r="K904">
            <v>0</v>
          </cell>
        </row>
        <row r="905">
          <cell r="J905" t="str">
            <v/>
          </cell>
          <cell r="K905">
            <v>0</v>
          </cell>
        </row>
        <row r="906">
          <cell r="J906" t="str">
            <v/>
          </cell>
          <cell r="K906">
            <v>0</v>
          </cell>
        </row>
        <row r="907">
          <cell r="J907" t="str">
            <v/>
          </cell>
          <cell r="K907">
            <v>0</v>
          </cell>
        </row>
        <row r="908">
          <cell r="J908" t="str">
            <v/>
          </cell>
          <cell r="K908">
            <v>0</v>
          </cell>
        </row>
        <row r="909">
          <cell r="J909" t="str">
            <v/>
          </cell>
          <cell r="K909">
            <v>0</v>
          </cell>
        </row>
        <row r="910">
          <cell r="J910" t="str">
            <v/>
          </cell>
          <cell r="K910">
            <v>0</v>
          </cell>
        </row>
        <row r="911">
          <cell r="J911" t="str">
            <v/>
          </cell>
          <cell r="K911">
            <v>0</v>
          </cell>
        </row>
        <row r="912">
          <cell r="J912" t="str">
            <v/>
          </cell>
          <cell r="K912">
            <v>0</v>
          </cell>
        </row>
        <row r="913">
          <cell r="J913" t="str">
            <v/>
          </cell>
          <cell r="K913">
            <v>0</v>
          </cell>
        </row>
        <row r="914">
          <cell r="J914" t="str">
            <v/>
          </cell>
          <cell r="K914">
            <v>0</v>
          </cell>
        </row>
        <row r="915">
          <cell r="J915" t="str">
            <v/>
          </cell>
          <cell r="K915">
            <v>0</v>
          </cell>
        </row>
        <row r="916">
          <cell r="J916" t="str">
            <v/>
          </cell>
          <cell r="K916">
            <v>0</v>
          </cell>
        </row>
        <row r="917">
          <cell r="J917" t="str">
            <v/>
          </cell>
          <cell r="K917">
            <v>0</v>
          </cell>
        </row>
        <row r="918">
          <cell r="J918" t="str">
            <v/>
          </cell>
          <cell r="K918">
            <v>0</v>
          </cell>
        </row>
        <row r="919">
          <cell r="J919" t="str">
            <v/>
          </cell>
          <cell r="K919">
            <v>0</v>
          </cell>
        </row>
        <row r="920">
          <cell r="J920" t="str">
            <v/>
          </cell>
          <cell r="K920">
            <v>0</v>
          </cell>
        </row>
        <row r="921">
          <cell r="J921" t="str">
            <v/>
          </cell>
          <cell r="K921">
            <v>0</v>
          </cell>
        </row>
        <row r="922">
          <cell r="J922" t="str">
            <v/>
          </cell>
          <cell r="K922">
            <v>0</v>
          </cell>
        </row>
        <row r="923">
          <cell r="J923" t="str">
            <v/>
          </cell>
          <cell r="K923">
            <v>0</v>
          </cell>
        </row>
        <row r="924">
          <cell r="J924" t="str">
            <v/>
          </cell>
          <cell r="K924">
            <v>0</v>
          </cell>
        </row>
        <row r="925">
          <cell r="J925" t="str">
            <v/>
          </cell>
          <cell r="K925">
            <v>0</v>
          </cell>
        </row>
        <row r="926">
          <cell r="J926" t="str">
            <v/>
          </cell>
          <cell r="K926">
            <v>0</v>
          </cell>
        </row>
        <row r="927">
          <cell r="J927" t="str">
            <v/>
          </cell>
          <cell r="K927">
            <v>0</v>
          </cell>
        </row>
        <row r="928">
          <cell r="J928" t="str">
            <v/>
          </cell>
          <cell r="K928">
            <v>0</v>
          </cell>
        </row>
        <row r="929">
          <cell r="J929" t="str">
            <v/>
          </cell>
          <cell r="K929">
            <v>0</v>
          </cell>
        </row>
        <row r="930">
          <cell r="J930" t="str">
            <v/>
          </cell>
          <cell r="K930">
            <v>0</v>
          </cell>
        </row>
        <row r="931">
          <cell r="J931" t="str">
            <v/>
          </cell>
          <cell r="K931">
            <v>0</v>
          </cell>
        </row>
        <row r="932">
          <cell r="J932" t="str">
            <v/>
          </cell>
          <cell r="K932">
            <v>0</v>
          </cell>
        </row>
        <row r="933">
          <cell r="J933" t="str">
            <v/>
          </cell>
          <cell r="K933">
            <v>0</v>
          </cell>
        </row>
        <row r="934">
          <cell r="J934" t="str">
            <v/>
          </cell>
          <cell r="K934">
            <v>0</v>
          </cell>
        </row>
        <row r="935">
          <cell r="J935" t="str">
            <v/>
          </cell>
          <cell r="K935">
            <v>0</v>
          </cell>
        </row>
        <row r="936">
          <cell r="J936" t="str">
            <v/>
          </cell>
          <cell r="K936">
            <v>0</v>
          </cell>
        </row>
        <row r="937">
          <cell r="J937" t="str">
            <v/>
          </cell>
          <cell r="K937">
            <v>0</v>
          </cell>
        </row>
        <row r="938">
          <cell r="J938" t="str">
            <v/>
          </cell>
          <cell r="K938">
            <v>0</v>
          </cell>
        </row>
        <row r="939">
          <cell r="J939" t="str">
            <v/>
          </cell>
          <cell r="K939">
            <v>0</v>
          </cell>
        </row>
        <row r="940">
          <cell r="J940" t="str">
            <v/>
          </cell>
          <cell r="K940">
            <v>0</v>
          </cell>
        </row>
        <row r="941">
          <cell r="J941" t="str">
            <v/>
          </cell>
          <cell r="K941">
            <v>0</v>
          </cell>
        </row>
        <row r="942">
          <cell r="J942" t="str">
            <v/>
          </cell>
          <cell r="K942">
            <v>0</v>
          </cell>
        </row>
        <row r="943">
          <cell r="J943" t="str">
            <v/>
          </cell>
          <cell r="K943">
            <v>0</v>
          </cell>
        </row>
        <row r="944">
          <cell r="J944" t="str">
            <v/>
          </cell>
          <cell r="K944">
            <v>0</v>
          </cell>
        </row>
        <row r="945">
          <cell r="J945" t="str">
            <v/>
          </cell>
          <cell r="K945">
            <v>0</v>
          </cell>
        </row>
        <row r="946">
          <cell r="J946" t="str">
            <v/>
          </cell>
          <cell r="K946">
            <v>0</v>
          </cell>
        </row>
        <row r="947">
          <cell r="J947" t="str">
            <v/>
          </cell>
          <cell r="K947">
            <v>0</v>
          </cell>
        </row>
        <row r="948">
          <cell r="J948" t="str">
            <v/>
          </cell>
          <cell r="K948">
            <v>0</v>
          </cell>
        </row>
        <row r="949">
          <cell r="J949" t="str">
            <v/>
          </cell>
          <cell r="K949">
            <v>0</v>
          </cell>
        </row>
        <row r="950">
          <cell r="J950" t="str">
            <v/>
          </cell>
          <cell r="K950">
            <v>0</v>
          </cell>
        </row>
        <row r="951">
          <cell r="J951" t="str">
            <v/>
          </cell>
          <cell r="K951">
            <v>0</v>
          </cell>
        </row>
        <row r="952">
          <cell r="J952" t="str">
            <v/>
          </cell>
          <cell r="K952">
            <v>0</v>
          </cell>
        </row>
        <row r="953">
          <cell r="J953" t="str">
            <v/>
          </cell>
          <cell r="K953">
            <v>0</v>
          </cell>
        </row>
        <row r="954">
          <cell r="J954" t="str">
            <v/>
          </cell>
          <cell r="K954">
            <v>0</v>
          </cell>
        </row>
        <row r="955">
          <cell r="J955" t="str">
            <v/>
          </cell>
          <cell r="K955">
            <v>0</v>
          </cell>
        </row>
        <row r="956">
          <cell r="J956" t="str">
            <v/>
          </cell>
          <cell r="K956">
            <v>0</v>
          </cell>
        </row>
        <row r="957">
          <cell r="J957" t="str">
            <v/>
          </cell>
          <cell r="K957">
            <v>0</v>
          </cell>
        </row>
        <row r="958">
          <cell r="J958" t="str">
            <v/>
          </cell>
          <cell r="K958">
            <v>0</v>
          </cell>
        </row>
        <row r="959">
          <cell r="J959" t="str">
            <v/>
          </cell>
          <cell r="K959">
            <v>0</v>
          </cell>
        </row>
        <row r="960">
          <cell r="J960" t="str">
            <v/>
          </cell>
          <cell r="K960">
            <v>0</v>
          </cell>
        </row>
        <row r="961">
          <cell r="J961" t="str">
            <v/>
          </cell>
          <cell r="K961">
            <v>0</v>
          </cell>
        </row>
        <row r="962">
          <cell r="J962" t="str">
            <v/>
          </cell>
          <cell r="K962">
            <v>0</v>
          </cell>
        </row>
        <row r="963">
          <cell r="J963" t="str">
            <v/>
          </cell>
          <cell r="K963">
            <v>0</v>
          </cell>
        </row>
        <row r="964">
          <cell r="J964" t="str">
            <v/>
          </cell>
          <cell r="K964">
            <v>0</v>
          </cell>
        </row>
        <row r="965">
          <cell r="J965" t="str">
            <v/>
          </cell>
          <cell r="K965">
            <v>0</v>
          </cell>
        </row>
        <row r="966">
          <cell r="J966" t="str">
            <v/>
          </cell>
          <cell r="K966">
            <v>0</v>
          </cell>
        </row>
        <row r="967">
          <cell r="J967" t="str">
            <v/>
          </cell>
          <cell r="K967">
            <v>0</v>
          </cell>
        </row>
        <row r="968">
          <cell r="J968" t="str">
            <v/>
          </cell>
          <cell r="K968">
            <v>0</v>
          </cell>
        </row>
        <row r="969">
          <cell r="J969" t="str">
            <v/>
          </cell>
          <cell r="K969">
            <v>0</v>
          </cell>
        </row>
        <row r="970">
          <cell r="J970" t="str">
            <v/>
          </cell>
          <cell r="K970">
            <v>0</v>
          </cell>
        </row>
        <row r="971">
          <cell r="J971" t="str">
            <v/>
          </cell>
          <cell r="K971">
            <v>0</v>
          </cell>
        </row>
        <row r="972">
          <cell r="J972" t="str">
            <v/>
          </cell>
          <cell r="K972">
            <v>0</v>
          </cell>
        </row>
        <row r="973">
          <cell r="J973" t="str">
            <v/>
          </cell>
          <cell r="K973">
            <v>0</v>
          </cell>
        </row>
        <row r="974">
          <cell r="J974" t="str">
            <v/>
          </cell>
          <cell r="K974">
            <v>0</v>
          </cell>
        </row>
        <row r="975">
          <cell r="J975" t="str">
            <v/>
          </cell>
          <cell r="K975">
            <v>0</v>
          </cell>
        </row>
        <row r="976">
          <cell r="J976" t="str">
            <v/>
          </cell>
          <cell r="K976">
            <v>0</v>
          </cell>
        </row>
        <row r="977">
          <cell r="J977" t="str">
            <v/>
          </cell>
          <cell r="K977">
            <v>0</v>
          </cell>
        </row>
        <row r="978">
          <cell r="J978" t="str">
            <v/>
          </cell>
          <cell r="K978">
            <v>0</v>
          </cell>
        </row>
        <row r="979">
          <cell r="J979" t="str">
            <v/>
          </cell>
          <cell r="K979">
            <v>0</v>
          </cell>
        </row>
        <row r="980">
          <cell r="J980" t="str">
            <v/>
          </cell>
          <cell r="K980">
            <v>0</v>
          </cell>
        </row>
        <row r="981">
          <cell r="J981" t="str">
            <v/>
          </cell>
          <cell r="K981">
            <v>0</v>
          </cell>
        </row>
        <row r="982">
          <cell r="J982" t="str">
            <v/>
          </cell>
          <cell r="K982">
            <v>0</v>
          </cell>
        </row>
        <row r="983">
          <cell r="J983" t="str">
            <v/>
          </cell>
          <cell r="K983">
            <v>0</v>
          </cell>
        </row>
        <row r="984">
          <cell r="J984" t="str">
            <v/>
          </cell>
          <cell r="K984">
            <v>0</v>
          </cell>
        </row>
        <row r="985">
          <cell r="J985" t="str">
            <v/>
          </cell>
          <cell r="K985">
            <v>0</v>
          </cell>
        </row>
        <row r="986">
          <cell r="J986" t="str">
            <v/>
          </cell>
          <cell r="K986">
            <v>0</v>
          </cell>
        </row>
        <row r="987">
          <cell r="J987" t="str">
            <v/>
          </cell>
          <cell r="K987">
            <v>0</v>
          </cell>
        </row>
        <row r="988">
          <cell r="J988" t="str">
            <v/>
          </cell>
          <cell r="K988">
            <v>0</v>
          </cell>
        </row>
        <row r="989">
          <cell r="J989" t="str">
            <v/>
          </cell>
          <cell r="K989">
            <v>0</v>
          </cell>
        </row>
        <row r="990">
          <cell r="J990" t="str">
            <v/>
          </cell>
          <cell r="K990">
            <v>0</v>
          </cell>
        </row>
        <row r="991">
          <cell r="J991" t="str">
            <v/>
          </cell>
          <cell r="K991">
            <v>0</v>
          </cell>
        </row>
        <row r="992">
          <cell r="J992" t="str">
            <v/>
          </cell>
          <cell r="K992">
            <v>0</v>
          </cell>
        </row>
        <row r="993">
          <cell r="J993" t="str">
            <v/>
          </cell>
          <cell r="K993">
            <v>0</v>
          </cell>
        </row>
        <row r="994">
          <cell r="J994" t="str">
            <v/>
          </cell>
          <cell r="K994">
            <v>0</v>
          </cell>
        </row>
        <row r="995">
          <cell r="J995" t="str">
            <v/>
          </cell>
          <cell r="K995">
            <v>0</v>
          </cell>
        </row>
        <row r="996">
          <cell r="J996" t="str">
            <v/>
          </cell>
          <cell r="K996">
            <v>0</v>
          </cell>
        </row>
        <row r="997">
          <cell r="J997" t="str">
            <v/>
          </cell>
          <cell r="K997">
            <v>0</v>
          </cell>
        </row>
        <row r="998">
          <cell r="J998" t="str">
            <v/>
          </cell>
          <cell r="K998">
            <v>0</v>
          </cell>
        </row>
        <row r="999">
          <cell r="J999" t="str">
            <v/>
          </cell>
          <cell r="K999">
            <v>0</v>
          </cell>
        </row>
        <row r="1000">
          <cell r="J1000" t="str">
            <v/>
          </cell>
          <cell r="K1000">
            <v>0</v>
          </cell>
        </row>
        <row r="1001">
          <cell r="J1001" t="str">
            <v/>
          </cell>
          <cell r="K1001">
            <v>0</v>
          </cell>
        </row>
        <row r="1002">
          <cell r="J1002" t="str">
            <v/>
          </cell>
          <cell r="K1002">
            <v>0</v>
          </cell>
        </row>
        <row r="1003">
          <cell r="J1003" t="str">
            <v/>
          </cell>
          <cell r="K1003">
            <v>0</v>
          </cell>
        </row>
        <row r="1004">
          <cell r="J1004" t="str">
            <v/>
          </cell>
          <cell r="K1004">
            <v>0</v>
          </cell>
        </row>
        <row r="1005">
          <cell r="J1005" t="str">
            <v/>
          </cell>
          <cell r="K1005">
            <v>0</v>
          </cell>
        </row>
        <row r="1006">
          <cell r="J1006" t="str">
            <v/>
          </cell>
          <cell r="K1006">
            <v>0</v>
          </cell>
        </row>
        <row r="1007">
          <cell r="J1007" t="str">
            <v/>
          </cell>
          <cell r="K1007">
            <v>0</v>
          </cell>
        </row>
        <row r="1008">
          <cell r="J1008" t="str">
            <v/>
          </cell>
          <cell r="K1008">
            <v>0</v>
          </cell>
        </row>
        <row r="1009">
          <cell r="J1009" t="str">
            <v/>
          </cell>
          <cell r="K1009">
            <v>0</v>
          </cell>
        </row>
        <row r="1010">
          <cell r="J1010" t="str">
            <v/>
          </cell>
          <cell r="K1010">
            <v>0</v>
          </cell>
        </row>
        <row r="1011">
          <cell r="J1011" t="str">
            <v/>
          </cell>
          <cell r="K1011">
            <v>0</v>
          </cell>
        </row>
        <row r="1012">
          <cell r="J1012" t="str">
            <v/>
          </cell>
          <cell r="K1012">
            <v>0</v>
          </cell>
        </row>
        <row r="1013">
          <cell r="J1013" t="str">
            <v/>
          </cell>
          <cell r="K1013">
            <v>0</v>
          </cell>
        </row>
        <row r="1014">
          <cell r="J1014" t="str">
            <v/>
          </cell>
          <cell r="K1014">
            <v>0</v>
          </cell>
        </row>
        <row r="1015">
          <cell r="J1015" t="str">
            <v/>
          </cell>
          <cell r="K1015">
            <v>0</v>
          </cell>
        </row>
        <row r="1016">
          <cell r="J1016" t="str">
            <v/>
          </cell>
          <cell r="K1016">
            <v>0</v>
          </cell>
        </row>
        <row r="1017">
          <cell r="J1017" t="str">
            <v/>
          </cell>
          <cell r="K1017">
            <v>0</v>
          </cell>
        </row>
        <row r="1018">
          <cell r="J1018" t="str">
            <v/>
          </cell>
          <cell r="K1018">
            <v>0</v>
          </cell>
        </row>
        <row r="1019">
          <cell r="J1019" t="str">
            <v/>
          </cell>
          <cell r="K1019">
            <v>0</v>
          </cell>
        </row>
        <row r="1020">
          <cell r="J1020" t="str">
            <v/>
          </cell>
          <cell r="K1020">
            <v>0</v>
          </cell>
        </row>
        <row r="1021">
          <cell r="J1021" t="str">
            <v/>
          </cell>
          <cell r="K1021">
            <v>0</v>
          </cell>
        </row>
        <row r="1022">
          <cell r="J1022" t="str">
            <v/>
          </cell>
          <cell r="K1022">
            <v>0</v>
          </cell>
        </row>
        <row r="1023">
          <cell r="J1023" t="str">
            <v/>
          </cell>
          <cell r="K1023">
            <v>0</v>
          </cell>
        </row>
        <row r="1024">
          <cell r="J1024" t="str">
            <v/>
          </cell>
          <cell r="K1024">
            <v>0</v>
          </cell>
        </row>
        <row r="1025">
          <cell r="J1025" t="str">
            <v/>
          </cell>
          <cell r="K1025">
            <v>0</v>
          </cell>
        </row>
        <row r="1026">
          <cell r="J1026" t="str">
            <v/>
          </cell>
          <cell r="K1026">
            <v>0</v>
          </cell>
        </row>
        <row r="1027">
          <cell r="J1027" t="str">
            <v/>
          </cell>
          <cell r="K1027">
            <v>0</v>
          </cell>
        </row>
        <row r="1028">
          <cell r="J1028" t="str">
            <v/>
          </cell>
          <cell r="K1028">
            <v>0</v>
          </cell>
        </row>
        <row r="1029">
          <cell r="J1029" t="str">
            <v/>
          </cell>
          <cell r="K1029">
            <v>0</v>
          </cell>
        </row>
        <row r="1030">
          <cell r="J1030" t="str">
            <v/>
          </cell>
          <cell r="K1030">
            <v>0</v>
          </cell>
        </row>
        <row r="1031">
          <cell r="J1031" t="str">
            <v/>
          </cell>
          <cell r="K1031">
            <v>0</v>
          </cell>
        </row>
        <row r="1032">
          <cell r="J1032" t="str">
            <v/>
          </cell>
          <cell r="K1032">
            <v>0</v>
          </cell>
        </row>
        <row r="1033">
          <cell r="J1033" t="str">
            <v/>
          </cell>
          <cell r="K1033">
            <v>0</v>
          </cell>
        </row>
        <row r="1034">
          <cell r="J1034" t="str">
            <v/>
          </cell>
          <cell r="K1034">
            <v>0</v>
          </cell>
        </row>
        <row r="1035">
          <cell r="J1035" t="str">
            <v/>
          </cell>
          <cell r="K1035">
            <v>0</v>
          </cell>
        </row>
        <row r="1036">
          <cell r="J1036" t="str">
            <v/>
          </cell>
          <cell r="K1036">
            <v>0</v>
          </cell>
        </row>
        <row r="1037">
          <cell r="J1037" t="str">
            <v/>
          </cell>
          <cell r="K1037">
            <v>0</v>
          </cell>
        </row>
        <row r="1038">
          <cell r="J1038" t="str">
            <v/>
          </cell>
          <cell r="K1038">
            <v>0</v>
          </cell>
        </row>
        <row r="1039">
          <cell r="J1039" t="str">
            <v/>
          </cell>
          <cell r="K1039">
            <v>0</v>
          </cell>
        </row>
        <row r="1040">
          <cell r="J1040" t="str">
            <v/>
          </cell>
          <cell r="K1040">
            <v>0</v>
          </cell>
        </row>
        <row r="1041">
          <cell r="J1041" t="str">
            <v/>
          </cell>
          <cell r="K1041">
            <v>0</v>
          </cell>
        </row>
        <row r="1042">
          <cell r="J1042" t="str">
            <v/>
          </cell>
          <cell r="K1042">
            <v>0</v>
          </cell>
        </row>
        <row r="1043">
          <cell r="J1043" t="str">
            <v/>
          </cell>
          <cell r="K1043">
            <v>0</v>
          </cell>
        </row>
        <row r="1044">
          <cell r="J1044" t="str">
            <v/>
          </cell>
          <cell r="K1044">
            <v>0</v>
          </cell>
        </row>
        <row r="1045">
          <cell r="J1045" t="str">
            <v/>
          </cell>
          <cell r="K1045">
            <v>0</v>
          </cell>
        </row>
        <row r="1046">
          <cell r="J1046" t="str">
            <v/>
          </cell>
          <cell r="K1046">
            <v>0</v>
          </cell>
        </row>
        <row r="1047">
          <cell r="J1047" t="str">
            <v/>
          </cell>
          <cell r="K1047">
            <v>0</v>
          </cell>
        </row>
        <row r="1048">
          <cell r="J1048" t="str">
            <v/>
          </cell>
          <cell r="K1048">
            <v>0</v>
          </cell>
        </row>
        <row r="1049">
          <cell r="J1049" t="str">
            <v/>
          </cell>
          <cell r="K1049">
            <v>0</v>
          </cell>
        </row>
        <row r="1050">
          <cell r="J1050" t="str">
            <v/>
          </cell>
          <cell r="K1050">
            <v>0</v>
          </cell>
        </row>
        <row r="1051">
          <cell r="J1051" t="str">
            <v/>
          </cell>
          <cell r="K1051">
            <v>0</v>
          </cell>
        </row>
        <row r="1052">
          <cell r="J1052" t="str">
            <v/>
          </cell>
          <cell r="K1052">
            <v>0</v>
          </cell>
        </row>
        <row r="1053">
          <cell r="J1053" t="str">
            <v/>
          </cell>
          <cell r="K1053">
            <v>0</v>
          </cell>
        </row>
        <row r="1054">
          <cell r="J1054" t="str">
            <v/>
          </cell>
          <cell r="K1054">
            <v>0</v>
          </cell>
        </row>
        <row r="1055">
          <cell r="J1055" t="str">
            <v/>
          </cell>
          <cell r="K1055">
            <v>0</v>
          </cell>
        </row>
        <row r="1056">
          <cell r="J1056" t="str">
            <v/>
          </cell>
          <cell r="K1056">
            <v>0</v>
          </cell>
        </row>
        <row r="1057">
          <cell r="J1057" t="str">
            <v/>
          </cell>
          <cell r="K1057">
            <v>0</v>
          </cell>
        </row>
        <row r="1058">
          <cell r="J1058" t="str">
            <v/>
          </cell>
          <cell r="K1058">
            <v>0</v>
          </cell>
        </row>
        <row r="1059">
          <cell r="J1059" t="str">
            <v/>
          </cell>
          <cell r="K1059">
            <v>0</v>
          </cell>
        </row>
        <row r="1060">
          <cell r="J1060" t="str">
            <v/>
          </cell>
          <cell r="K1060">
            <v>0</v>
          </cell>
        </row>
        <row r="1061">
          <cell r="J1061" t="str">
            <v/>
          </cell>
          <cell r="K1061">
            <v>0</v>
          </cell>
        </row>
        <row r="1062">
          <cell r="J1062" t="str">
            <v/>
          </cell>
          <cell r="K1062">
            <v>0</v>
          </cell>
        </row>
        <row r="1063">
          <cell r="J1063" t="str">
            <v/>
          </cell>
          <cell r="K1063">
            <v>0</v>
          </cell>
        </row>
        <row r="1064">
          <cell r="J1064" t="str">
            <v/>
          </cell>
          <cell r="K1064">
            <v>0</v>
          </cell>
        </row>
        <row r="1065">
          <cell r="J1065" t="str">
            <v/>
          </cell>
          <cell r="K1065">
            <v>0</v>
          </cell>
        </row>
        <row r="1066">
          <cell r="J1066" t="str">
            <v/>
          </cell>
          <cell r="K1066">
            <v>0</v>
          </cell>
        </row>
        <row r="1067">
          <cell r="J1067" t="str">
            <v/>
          </cell>
          <cell r="K1067">
            <v>0</v>
          </cell>
        </row>
        <row r="1068">
          <cell r="J1068" t="str">
            <v/>
          </cell>
          <cell r="K1068">
            <v>0</v>
          </cell>
        </row>
        <row r="1069">
          <cell r="J1069" t="str">
            <v/>
          </cell>
          <cell r="K1069">
            <v>0</v>
          </cell>
        </row>
        <row r="1070">
          <cell r="J1070" t="str">
            <v/>
          </cell>
          <cell r="K1070">
            <v>0</v>
          </cell>
        </row>
        <row r="1071">
          <cell r="J1071" t="str">
            <v/>
          </cell>
          <cell r="K1071">
            <v>0</v>
          </cell>
        </row>
        <row r="1072">
          <cell r="J1072" t="str">
            <v/>
          </cell>
          <cell r="K1072">
            <v>0</v>
          </cell>
        </row>
        <row r="1073">
          <cell r="J1073" t="str">
            <v/>
          </cell>
          <cell r="K1073">
            <v>0</v>
          </cell>
        </row>
        <row r="1074">
          <cell r="J1074" t="str">
            <v/>
          </cell>
          <cell r="K1074">
            <v>0</v>
          </cell>
        </row>
        <row r="1075">
          <cell r="J1075" t="str">
            <v/>
          </cell>
          <cell r="K1075">
            <v>0</v>
          </cell>
        </row>
        <row r="1076">
          <cell r="J1076" t="str">
            <v/>
          </cell>
          <cell r="K1076">
            <v>0</v>
          </cell>
        </row>
        <row r="1077">
          <cell r="J1077" t="str">
            <v/>
          </cell>
          <cell r="K1077">
            <v>0</v>
          </cell>
        </row>
        <row r="1078">
          <cell r="J1078" t="str">
            <v/>
          </cell>
          <cell r="K1078">
            <v>0</v>
          </cell>
        </row>
        <row r="1079">
          <cell r="J1079" t="str">
            <v/>
          </cell>
          <cell r="K1079">
            <v>0</v>
          </cell>
        </row>
        <row r="1080">
          <cell r="J1080" t="str">
            <v/>
          </cell>
          <cell r="K1080">
            <v>0</v>
          </cell>
        </row>
        <row r="1081">
          <cell r="J1081" t="str">
            <v/>
          </cell>
          <cell r="K1081">
            <v>0</v>
          </cell>
        </row>
        <row r="1082">
          <cell r="J1082" t="str">
            <v/>
          </cell>
          <cell r="K1082">
            <v>0</v>
          </cell>
        </row>
        <row r="1083">
          <cell r="J1083" t="str">
            <v/>
          </cell>
          <cell r="K1083">
            <v>0</v>
          </cell>
        </row>
        <row r="1084">
          <cell r="J1084" t="str">
            <v/>
          </cell>
          <cell r="K1084">
            <v>0</v>
          </cell>
        </row>
        <row r="1085">
          <cell r="J1085" t="str">
            <v/>
          </cell>
          <cell r="K1085">
            <v>0</v>
          </cell>
        </row>
        <row r="1086">
          <cell r="J1086" t="str">
            <v/>
          </cell>
          <cell r="K1086">
            <v>0</v>
          </cell>
        </row>
        <row r="1087">
          <cell r="J1087" t="str">
            <v/>
          </cell>
          <cell r="K1087">
            <v>0</v>
          </cell>
        </row>
        <row r="1088">
          <cell r="J1088" t="str">
            <v/>
          </cell>
          <cell r="K1088">
            <v>0</v>
          </cell>
        </row>
        <row r="1089">
          <cell r="J1089" t="str">
            <v/>
          </cell>
          <cell r="K1089">
            <v>0</v>
          </cell>
        </row>
        <row r="1090">
          <cell r="J1090" t="str">
            <v/>
          </cell>
          <cell r="K1090">
            <v>0</v>
          </cell>
        </row>
        <row r="1091">
          <cell r="J1091" t="str">
            <v/>
          </cell>
          <cell r="K1091">
            <v>0</v>
          </cell>
        </row>
        <row r="1092">
          <cell r="J1092" t="str">
            <v/>
          </cell>
          <cell r="K1092">
            <v>0</v>
          </cell>
        </row>
        <row r="1093">
          <cell r="J1093" t="str">
            <v/>
          </cell>
          <cell r="K1093">
            <v>0</v>
          </cell>
        </row>
        <row r="1094">
          <cell r="J1094" t="str">
            <v/>
          </cell>
          <cell r="K1094">
            <v>0</v>
          </cell>
        </row>
        <row r="1095">
          <cell r="J1095" t="str">
            <v/>
          </cell>
          <cell r="K1095">
            <v>0</v>
          </cell>
        </row>
        <row r="1096">
          <cell r="J1096" t="str">
            <v/>
          </cell>
          <cell r="K1096">
            <v>0</v>
          </cell>
        </row>
        <row r="1097">
          <cell r="J1097" t="str">
            <v/>
          </cell>
          <cell r="K1097">
            <v>0</v>
          </cell>
        </row>
        <row r="1098">
          <cell r="J1098" t="str">
            <v/>
          </cell>
          <cell r="K1098">
            <v>0</v>
          </cell>
        </row>
        <row r="1099">
          <cell r="J1099" t="str">
            <v/>
          </cell>
          <cell r="K1099">
            <v>0</v>
          </cell>
        </row>
        <row r="1100">
          <cell r="J1100" t="str">
            <v/>
          </cell>
          <cell r="K1100">
            <v>0</v>
          </cell>
        </row>
        <row r="1101">
          <cell r="J1101" t="str">
            <v/>
          </cell>
          <cell r="K1101">
            <v>0</v>
          </cell>
        </row>
        <row r="1102">
          <cell r="J1102" t="str">
            <v/>
          </cell>
          <cell r="K1102">
            <v>0</v>
          </cell>
        </row>
        <row r="1103">
          <cell r="J1103" t="str">
            <v/>
          </cell>
          <cell r="K1103">
            <v>0</v>
          </cell>
        </row>
        <row r="1104">
          <cell r="J1104" t="str">
            <v/>
          </cell>
          <cell r="K1104">
            <v>0</v>
          </cell>
        </row>
        <row r="1105">
          <cell r="J1105" t="str">
            <v/>
          </cell>
          <cell r="K1105">
            <v>0</v>
          </cell>
        </row>
        <row r="1106">
          <cell r="J1106" t="str">
            <v/>
          </cell>
          <cell r="K1106">
            <v>0</v>
          </cell>
        </row>
        <row r="1107">
          <cell r="J1107" t="str">
            <v/>
          </cell>
          <cell r="K1107">
            <v>0</v>
          </cell>
        </row>
        <row r="1108">
          <cell r="J1108" t="str">
            <v/>
          </cell>
          <cell r="K1108">
            <v>0</v>
          </cell>
        </row>
        <row r="1109">
          <cell r="J1109" t="str">
            <v/>
          </cell>
          <cell r="K1109">
            <v>0</v>
          </cell>
        </row>
        <row r="1110">
          <cell r="J1110" t="str">
            <v/>
          </cell>
          <cell r="K1110">
            <v>0</v>
          </cell>
        </row>
        <row r="1111">
          <cell r="J1111" t="str">
            <v/>
          </cell>
          <cell r="K1111">
            <v>0</v>
          </cell>
        </row>
        <row r="1112">
          <cell r="J1112" t="str">
            <v/>
          </cell>
          <cell r="K1112">
            <v>0</v>
          </cell>
        </row>
        <row r="1113">
          <cell r="J1113" t="str">
            <v/>
          </cell>
          <cell r="K1113">
            <v>0</v>
          </cell>
        </row>
        <row r="1114">
          <cell r="J1114" t="str">
            <v/>
          </cell>
          <cell r="K1114">
            <v>0</v>
          </cell>
        </row>
        <row r="1115">
          <cell r="J1115" t="str">
            <v/>
          </cell>
          <cell r="K1115">
            <v>0</v>
          </cell>
        </row>
        <row r="1116">
          <cell r="J1116" t="str">
            <v/>
          </cell>
          <cell r="K1116">
            <v>0</v>
          </cell>
        </row>
        <row r="1117">
          <cell r="J1117" t="str">
            <v/>
          </cell>
          <cell r="K1117">
            <v>0</v>
          </cell>
        </row>
        <row r="1118">
          <cell r="J1118" t="str">
            <v/>
          </cell>
          <cell r="K1118">
            <v>0</v>
          </cell>
        </row>
        <row r="1119">
          <cell r="J1119" t="str">
            <v/>
          </cell>
          <cell r="K1119">
            <v>0</v>
          </cell>
        </row>
        <row r="1120">
          <cell r="J1120" t="str">
            <v/>
          </cell>
          <cell r="K1120">
            <v>0</v>
          </cell>
        </row>
        <row r="1121">
          <cell r="J1121" t="str">
            <v/>
          </cell>
          <cell r="K1121">
            <v>0</v>
          </cell>
        </row>
        <row r="1122">
          <cell r="J1122" t="str">
            <v/>
          </cell>
          <cell r="K1122">
            <v>0</v>
          </cell>
        </row>
        <row r="1123">
          <cell r="J1123" t="str">
            <v/>
          </cell>
          <cell r="K1123">
            <v>0</v>
          </cell>
        </row>
        <row r="1124">
          <cell r="J1124" t="str">
            <v/>
          </cell>
          <cell r="K1124">
            <v>0</v>
          </cell>
        </row>
        <row r="1125">
          <cell r="J1125" t="str">
            <v/>
          </cell>
          <cell r="K1125">
            <v>0</v>
          </cell>
        </row>
        <row r="1126">
          <cell r="J1126" t="str">
            <v/>
          </cell>
          <cell r="K1126">
            <v>0</v>
          </cell>
        </row>
        <row r="1127">
          <cell r="J1127" t="str">
            <v/>
          </cell>
          <cell r="K1127">
            <v>0</v>
          </cell>
        </row>
        <row r="1128">
          <cell r="J1128" t="str">
            <v/>
          </cell>
          <cell r="K1128">
            <v>0</v>
          </cell>
        </row>
        <row r="1129">
          <cell r="J1129" t="str">
            <v/>
          </cell>
          <cell r="K1129">
            <v>0</v>
          </cell>
        </row>
        <row r="1130">
          <cell r="J1130" t="str">
            <v/>
          </cell>
          <cell r="K1130">
            <v>0</v>
          </cell>
        </row>
        <row r="1131">
          <cell r="J1131" t="str">
            <v/>
          </cell>
          <cell r="K1131">
            <v>0</v>
          </cell>
        </row>
        <row r="1132">
          <cell r="J1132" t="str">
            <v/>
          </cell>
          <cell r="K1132">
            <v>0</v>
          </cell>
        </row>
        <row r="1133">
          <cell r="J1133" t="str">
            <v/>
          </cell>
          <cell r="K1133">
            <v>0</v>
          </cell>
        </row>
        <row r="1134">
          <cell r="J1134" t="str">
            <v/>
          </cell>
          <cell r="K1134">
            <v>0</v>
          </cell>
        </row>
        <row r="1135">
          <cell r="J1135" t="str">
            <v/>
          </cell>
          <cell r="K1135">
            <v>0</v>
          </cell>
        </row>
        <row r="1136">
          <cell r="J1136" t="str">
            <v/>
          </cell>
          <cell r="K1136">
            <v>0</v>
          </cell>
        </row>
        <row r="1137">
          <cell r="J1137" t="str">
            <v/>
          </cell>
          <cell r="K1137">
            <v>0</v>
          </cell>
        </row>
        <row r="1138">
          <cell r="J1138" t="str">
            <v/>
          </cell>
          <cell r="K1138">
            <v>0</v>
          </cell>
        </row>
        <row r="1139">
          <cell r="J1139" t="str">
            <v/>
          </cell>
          <cell r="K1139">
            <v>0</v>
          </cell>
        </row>
        <row r="1140">
          <cell r="J1140" t="str">
            <v/>
          </cell>
          <cell r="K1140">
            <v>0</v>
          </cell>
        </row>
        <row r="1141">
          <cell r="J1141" t="str">
            <v/>
          </cell>
          <cell r="K1141">
            <v>0</v>
          </cell>
        </row>
        <row r="1142">
          <cell r="J1142" t="str">
            <v/>
          </cell>
          <cell r="K1142">
            <v>0</v>
          </cell>
        </row>
        <row r="1143">
          <cell r="J1143" t="str">
            <v/>
          </cell>
          <cell r="K1143">
            <v>0</v>
          </cell>
        </row>
        <row r="1144">
          <cell r="J1144" t="str">
            <v/>
          </cell>
          <cell r="K1144">
            <v>0</v>
          </cell>
        </row>
        <row r="1145">
          <cell r="J1145" t="str">
            <v/>
          </cell>
          <cell r="K1145">
            <v>0</v>
          </cell>
        </row>
        <row r="1146">
          <cell r="J1146" t="str">
            <v/>
          </cell>
          <cell r="K1146">
            <v>0</v>
          </cell>
        </row>
        <row r="1147">
          <cell r="J1147" t="str">
            <v/>
          </cell>
          <cell r="K1147">
            <v>0</v>
          </cell>
        </row>
        <row r="1148">
          <cell r="J1148" t="str">
            <v/>
          </cell>
          <cell r="K1148">
            <v>0</v>
          </cell>
        </row>
        <row r="1149">
          <cell r="J1149" t="str">
            <v/>
          </cell>
          <cell r="K1149">
            <v>0</v>
          </cell>
        </row>
        <row r="1150">
          <cell r="J1150" t="str">
            <v/>
          </cell>
          <cell r="K1150">
            <v>0</v>
          </cell>
        </row>
        <row r="1151">
          <cell r="J1151" t="str">
            <v/>
          </cell>
          <cell r="K1151">
            <v>0</v>
          </cell>
        </row>
        <row r="1152">
          <cell r="J1152" t="str">
            <v/>
          </cell>
          <cell r="K1152">
            <v>0</v>
          </cell>
        </row>
        <row r="1153">
          <cell r="J1153" t="str">
            <v/>
          </cell>
          <cell r="K1153">
            <v>0</v>
          </cell>
        </row>
        <row r="1154">
          <cell r="J1154" t="str">
            <v/>
          </cell>
          <cell r="K1154">
            <v>0</v>
          </cell>
        </row>
        <row r="1155">
          <cell r="J1155" t="str">
            <v/>
          </cell>
          <cell r="K1155">
            <v>0</v>
          </cell>
        </row>
        <row r="1156">
          <cell r="J1156" t="str">
            <v/>
          </cell>
          <cell r="K1156">
            <v>0</v>
          </cell>
        </row>
        <row r="1157">
          <cell r="J1157" t="str">
            <v/>
          </cell>
          <cell r="K1157">
            <v>0</v>
          </cell>
        </row>
        <row r="1158">
          <cell r="J1158" t="str">
            <v/>
          </cell>
          <cell r="K1158">
            <v>0</v>
          </cell>
        </row>
        <row r="1159">
          <cell r="J1159" t="str">
            <v/>
          </cell>
          <cell r="K1159">
            <v>0</v>
          </cell>
        </row>
        <row r="1160">
          <cell r="J1160" t="str">
            <v/>
          </cell>
          <cell r="K1160">
            <v>0</v>
          </cell>
        </row>
        <row r="1161">
          <cell r="J1161" t="str">
            <v/>
          </cell>
          <cell r="K1161">
            <v>0</v>
          </cell>
        </row>
        <row r="1162">
          <cell r="J1162" t="str">
            <v/>
          </cell>
          <cell r="K1162">
            <v>0</v>
          </cell>
        </row>
        <row r="1163">
          <cell r="J1163" t="str">
            <v/>
          </cell>
          <cell r="K1163">
            <v>0</v>
          </cell>
        </row>
        <row r="1164">
          <cell r="J1164" t="str">
            <v/>
          </cell>
          <cell r="K1164">
            <v>0</v>
          </cell>
        </row>
        <row r="1165">
          <cell r="J1165" t="str">
            <v/>
          </cell>
          <cell r="K1165">
            <v>0</v>
          </cell>
        </row>
        <row r="1166">
          <cell r="J1166" t="str">
            <v/>
          </cell>
          <cell r="K1166">
            <v>0</v>
          </cell>
        </row>
        <row r="1167">
          <cell r="J1167" t="str">
            <v/>
          </cell>
          <cell r="K1167">
            <v>0</v>
          </cell>
        </row>
        <row r="1168">
          <cell r="J1168" t="str">
            <v/>
          </cell>
          <cell r="K1168">
            <v>0</v>
          </cell>
        </row>
        <row r="1169">
          <cell r="J1169" t="str">
            <v/>
          </cell>
          <cell r="K1169">
            <v>0</v>
          </cell>
        </row>
        <row r="1170">
          <cell r="J1170" t="str">
            <v/>
          </cell>
          <cell r="K1170">
            <v>0</v>
          </cell>
        </row>
        <row r="1171">
          <cell r="J1171" t="str">
            <v/>
          </cell>
          <cell r="K1171">
            <v>0</v>
          </cell>
        </row>
        <row r="1172">
          <cell r="J1172" t="str">
            <v/>
          </cell>
          <cell r="K1172">
            <v>0</v>
          </cell>
        </row>
        <row r="1173">
          <cell r="J1173" t="str">
            <v/>
          </cell>
          <cell r="K1173">
            <v>0</v>
          </cell>
        </row>
        <row r="1174">
          <cell r="J1174" t="str">
            <v/>
          </cell>
          <cell r="K1174">
            <v>0</v>
          </cell>
        </row>
        <row r="1175">
          <cell r="J1175" t="str">
            <v/>
          </cell>
          <cell r="K1175">
            <v>0</v>
          </cell>
        </row>
        <row r="1176">
          <cell r="J1176" t="str">
            <v/>
          </cell>
          <cell r="K1176">
            <v>0</v>
          </cell>
        </row>
        <row r="1177">
          <cell r="J1177" t="str">
            <v/>
          </cell>
          <cell r="K1177">
            <v>0</v>
          </cell>
        </row>
        <row r="1178">
          <cell r="J1178" t="str">
            <v/>
          </cell>
          <cell r="K1178">
            <v>0</v>
          </cell>
        </row>
        <row r="1179">
          <cell r="J1179" t="str">
            <v/>
          </cell>
          <cell r="K1179">
            <v>0</v>
          </cell>
        </row>
        <row r="1180">
          <cell r="J1180" t="str">
            <v/>
          </cell>
          <cell r="K1180">
            <v>0</v>
          </cell>
        </row>
        <row r="1181">
          <cell r="J1181" t="str">
            <v/>
          </cell>
          <cell r="K1181">
            <v>0</v>
          </cell>
        </row>
        <row r="1182">
          <cell r="J1182" t="str">
            <v/>
          </cell>
          <cell r="K1182">
            <v>0</v>
          </cell>
        </row>
        <row r="1183">
          <cell r="J1183" t="str">
            <v/>
          </cell>
          <cell r="K1183">
            <v>0</v>
          </cell>
        </row>
        <row r="1184">
          <cell r="J1184" t="str">
            <v/>
          </cell>
          <cell r="K1184">
            <v>0</v>
          </cell>
        </row>
        <row r="1185">
          <cell r="J1185" t="str">
            <v/>
          </cell>
          <cell r="K1185">
            <v>0</v>
          </cell>
        </row>
        <row r="1186">
          <cell r="J1186" t="str">
            <v/>
          </cell>
          <cell r="K1186">
            <v>0</v>
          </cell>
        </row>
        <row r="1187">
          <cell r="J1187" t="str">
            <v/>
          </cell>
          <cell r="K1187">
            <v>0</v>
          </cell>
        </row>
        <row r="1188">
          <cell r="J1188" t="str">
            <v/>
          </cell>
          <cell r="K1188">
            <v>0</v>
          </cell>
        </row>
        <row r="1189">
          <cell r="J1189" t="str">
            <v/>
          </cell>
          <cell r="K1189">
            <v>0</v>
          </cell>
        </row>
        <row r="1190">
          <cell r="J1190" t="str">
            <v/>
          </cell>
          <cell r="K1190">
            <v>0</v>
          </cell>
        </row>
        <row r="1191">
          <cell r="J1191" t="str">
            <v/>
          </cell>
          <cell r="K1191">
            <v>0</v>
          </cell>
        </row>
        <row r="1192">
          <cell r="J1192" t="str">
            <v/>
          </cell>
          <cell r="K1192">
            <v>0</v>
          </cell>
        </row>
        <row r="1193">
          <cell r="J1193" t="str">
            <v/>
          </cell>
          <cell r="K1193">
            <v>0</v>
          </cell>
        </row>
        <row r="1194">
          <cell r="J1194" t="str">
            <v/>
          </cell>
          <cell r="K1194">
            <v>0</v>
          </cell>
        </row>
        <row r="1195">
          <cell r="J1195" t="str">
            <v/>
          </cell>
          <cell r="K1195">
            <v>0</v>
          </cell>
        </row>
        <row r="1196">
          <cell r="J1196" t="str">
            <v/>
          </cell>
          <cell r="K1196">
            <v>0</v>
          </cell>
        </row>
        <row r="1197">
          <cell r="J1197" t="str">
            <v/>
          </cell>
          <cell r="K1197">
            <v>0</v>
          </cell>
        </row>
        <row r="1198">
          <cell r="J1198" t="str">
            <v/>
          </cell>
          <cell r="K1198">
            <v>0</v>
          </cell>
        </row>
        <row r="1199">
          <cell r="J1199" t="str">
            <v/>
          </cell>
          <cell r="K1199">
            <v>0</v>
          </cell>
        </row>
        <row r="1200">
          <cell r="J1200" t="str">
            <v/>
          </cell>
          <cell r="K1200">
            <v>0</v>
          </cell>
        </row>
        <row r="1201">
          <cell r="J1201" t="str">
            <v/>
          </cell>
          <cell r="K1201">
            <v>0</v>
          </cell>
        </row>
        <row r="1202">
          <cell r="J1202" t="str">
            <v/>
          </cell>
          <cell r="K1202">
            <v>0</v>
          </cell>
        </row>
        <row r="1203">
          <cell r="J1203" t="str">
            <v/>
          </cell>
          <cell r="K1203">
            <v>0</v>
          </cell>
        </row>
        <row r="1204">
          <cell r="J1204" t="str">
            <v/>
          </cell>
          <cell r="K1204">
            <v>0</v>
          </cell>
        </row>
        <row r="1205">
          <cell r="J1205" t="str">
            <v/>
          </cell>
          <cell r="K1205">
            <v>0</v>
          </cell>
        </row>
        <row r="1206">
          <cell r="J1206" t="str">
            <v/>
          </cell>
          <cell r="K1206">
            <v>0</v>
          </cell>
        </row>
        <row r="1207">
          <cell r="J1207" t="str">
            <v/>
          </cell>
          <cell r="K1207">
            <v>0</v>
          </cell>
        </row>
        <row r="1208">
          <cell r="J1208" t="str">
            <v/>
          </cell>
          <cell r="K1208">
            <v>0</v>
          </cell>
        </row>
        <row r="1209">
          <cell r="J1209" t="str">
            <v/>
          </cell>
          <cell r="K1209">
            <v>0</v>
          </cell>
        </row>
        <row r="1210">
          <cell r="J1210" t="str">
            <v/>
          </cell>
          <cell r="K1210">
            <v>0</v>
          </cell>
        </row>
        <row r="1211">
          <cell r="J1211" t="str">
            <v/>
          </cell>
          <cell r="K1211">
            <v>0</v>
          </cell>
        </row>
        <row r="1212">
          <cell r="J1212" t="str">
            <v/>
          </cell>
          <cell r="K1212">
            <v>0</v>
          </cell>
        </row>
        <row r="1213">
          <cell r="J1213" t="str">
            <v/>
          </cell>
          <cell r="K1213">
            <v>0</v>
          </cell>
        </row>
        <row r="1214">
          <cell r="J1214" t="str">
            <v/>
          </cell>
          <cell r="K1214">
            <v>0</v>
          </cell>
        </row>
        <row r="1215">
          <cell r="J1215" t="str">
            <v/>
          </cell>
          <cell r="K1215">
            <v>0</v>
          </cell>
        </row>
        <row r="1216">
          <cell r="J1216" t="str">
            <v/>
          </cell>
          <cell r="K1216">
            <v>0</v>
          </cell>
        </row>
        <row r="1217">
          <cell r="J1217" t="str">
            <v/>
          </cell>
          <cell r="K1217">
            <v>0</v>
          </cell>
        </row>
        <row r="1218">
          <cell r="J1218" t="str">
            <v/>
          </cell>
          <cell r="K1218">
            <v>0</v>
          </cell>
        </row>
        <row r="1219">
          <cell r="J1219" t="str">
            <v/>
          </cell>
          <cell r="K1219">
            <v>0</v>
          </cell>
        </row>
        <row r="1220">
          <cell r="J1220" t="str">
            <v/>
          </cell>
          <cell r="K1220">
            <v>0</v>
          </cell>
        </row>
        <row r="1221">
          <cell r="J1221" t="str">
            <v/>
          </cell>
          <cell r="K1221">
            <v>0</v>
          </cell>
        </row>
        <row r="1222">
          <cell r="J1222" t="str">
            <v/>
          </cell>
          <cell r="K1222">
            <v>0</v>
          </cell>
        </row>
        <row r="1223">
          <cell r="J1223" t="str">
            <v/>
          </cell>
          <cell r="K1223">
            <v>0</v>
          </cell>
        </row>
        <row r="1224">
          <cell r="J1224" t="str">
            <v/>
          </cell>
          <cell r="K1224">
            <v>0</v>
          </cell>
        </row>
        <row r="1225">
          <cell r="J1225" t="str">
            <v/>
          </cell>
          <cell r="K1225">
            <v>0</v>
          </cell>
        </row>
        <row r="1226">
          <cell r="J1226" t="str">
            <v/>
          </cell>
          <cell r="K1226">
            <v>0</v>
          </cell>
        </row>
        <row r="1227">
          <cell r="J1227" t="str">
            <v/>
          </cell>
          <cell r="K1227">
            <v>0</v>
          </cell>
        </row>
        <row r="1228">
          <cell r="J1228" t="str">
            <v/>
          </cell>
          <cell r="K1228">
            <v>0</v>
          </cell>
        </row>
        <row r="1229">
          <cell r="J1229" t="str">
            <v/>
          </cell>
          <cell r="K1229">
            <v>0</v>
          </cell>
        </row>
        <row r="1230">
          <cell r="J1230" t="str">
            <v/>
          </cell>
          <cell r="K1230">
            <v>0</v>
          </cell>
        </row>
        <row r="1231">
          <cell r="J1231" t="str">
            <v/>
          </cell>
          <cell r="K1231">
            <v>0</v>
          </cell>
        </row>
        <row r="1232">
          <cell r="J1232" t="str">
            <v/>
          </cell>
          <cell r="K1232">
            <v>0</v>
          </cell>
        </row>
        <row r="1233">
          <cell r="J1233" t="str">
            <v/>
          </cell>
          <cell r="K1233">
            <v>0</v>
          </cell>
        </row>
        <row r="1234">
          <cell r="J1234" t="str">
            <v/>
          </cell>
          <cell r="K1234">
            <v>0</v>
          </cell>
        </row>
        <row r="1235">
          <cell r="J1235" t="str">
            <v/>
          </cell>
          <cell r="K1235">
            <v>0</v>
          </cell>
        </row>
        <row r="1236">
          <cell r="J1236" t="str">
            <v/>
          </cell>
          <cell r="K1236">
            <v>0</v>
          </cell>
        </row>
        <row r="1237">
          <cell r="J1237" t="str">
            <v/>
          </cell>
          <cell r="K1237">
            <v>0</v>
          </cell>
        </row>
        <row r="1238">
          <cell r="J1238" t="str">
            <v/>
          </cell>
          <cell r="K1238">
            <v>0</v>
          </cell>
        </row>
        <row r="1239">
          <cell r="J1239" t="str">
            <v/>
          </cell>
          <cell r="K1239">
            <v>0</v>
          </cell>
        </row>
        <row r="1240">
          <cell r="J1240" t="str">
            <v/>
          </cell>
          <cell r="K1240">
            <v>0</v>
          </cell>
        </row>
        <row r="1241">
          <cell r="J1241" t="str">
            <v/>
          </cell>
          <cell r="K1241">
            <v>0</v>
          </cell>
        </row>
        <row r="1242">
          <cell r="J1242" t="str">
            <v/>
          </cell>
          <cell r="K1242">
            <v>0</v>
          </cell>
        </row>
        <row r="1243">
          <cell r="J1243" t="str">
            <v/>
          </cell>
          <cell r="K1243">
            <v>0</v>
          </cell>
        </row>
        <row r="1244">
          <cell r="J1244" t="str">
            <v/>
          </cell>
          <cell r="K1244">
            <v>0</v>
          </cell>
        </row>
        <row r="1245">
          <cell r="J1245" t="str">
            <v/>
          </cell>
          <cell r="K1245">
            <v>0</v>
          </cell>
        </row>
        <row r="1246">
          <cell r="J1246" t="str">
            <v/>
          </cell>
          <cell r="K1246">
            <v>0</v>
          </cell>
        </row>
        <row r="1247">
          <cell r="J1247" t="str">
            <v/>
          </cell>
          <cell r="K1247">
            <v>0</v>
          </cell>
        </row>
        <row r="1248">
          <cell r="J1248" t="str">
            <v/>
          </cell>
          <cell r="K1248">
            <v>0</v>
          </cell>
        </row>
        <row r="1249">
          <cell r="J1249" t="str">
            <v/>
          </cell>
          <cell r="K1249">
            <v>0</v>
          </cell>
        </row>
        <row r="1250">
          <cell r="J1250" t="str">
            <v/>
          </cell>
          <cell r="K1250">
            <v>0</v>
          </cell>
        </row>
        <row r="1251">
          <cell r="J1251" t="str">
            <v/>
          </cell>
          <cell r="K1251">
            <v>0</v>
          </cell>
        </row>
        <row r="1252">
          <cell r="J1252" t="str">
            <v/>
          </cell>
          <cell r="K1252">
            <v>0</v>
          </cell>
        </row>
        <row r="1253">
          <cell r="J1253" t="str">
            <v/>
          </cell>
          <cell r="K1253">
            <v>0</v>
          </cell>
        </row>
        <row r="1254">
          <cell r="J1254" t="str">
            <v/>
          </cell>
          <cell r="K1254">
            <v>0</v>
          </cell>
        </row>
        <row r="1255">
          <cell r="J1255" t="str">
            <v/>
          </cell>
          <cell r="K1255">
            <v>0</v>
          </cell>
        </row>
        <row r="1256">
          <cell r="J1256" t="str">
            <v/>
          </cell>
          <cell r="K1256">
            <v>0</v>
          </cell>
        </row>
        <row r="1257">
          <cell r="J1257" t="str">
            <v/>
          </cell>
          <cell r="K1257">
            <v>0</v>
          </cell>
        </row>
        <row r="1258">
          <cell r="J1258" t="str">
            <v/>
          </cell>
          <cell r="K1258">
            <v>0</v>
          </cell>
        </row>
        <row r="1259">
          <cell r="J1259" t="str">
            <v/>
          </cell>
          <cell r="K1259">
            <v>0</v>
          </cell>
        </row>
        <row r="1260">
          <cell r="J1260" t="str">
            <v/>
          </cell>
          <cell r="K1260">
            <v>0</v>
          </cell>
        </row>
        <row r="1261">
          <cell r="J1261" t="str">
            <v/>
          </cell>
          <cell r="K1261">
            <v>0</v>
          </cell>
        </row>
        <row r="1262">
          <cell r="J1262" t="str">
            <v/>
          </cell>
          <cell r="K1262">
            <v>0</v>
          </cell>
        </row>
        <row r="1263">
          <cell r="J1263" t="str">
            <v/>
          </cell>
          <cell r="K1263">
            <v>0</v>
          </cell>
        </row>
        <row r="1264">
          <cell r="J1264" t="str">
            <v/>
          </cell>
          <cell r="K1264">
            <v>0</v>
          </cell>
        </row>
        <row r="1265">
          <cell r="J1265" t="str">
            <v/>
          </cell>
          <cell r="K1265">
            <v>0</v>
          </cell>
        </row>
        <row r="1266">
          <cell r="J1266" t="str">
            <v/>
          </cell>
          <cell r="K1266">
            <v>0</v>
          </cell>
        </row>
        <row r="1267">
          <cell r="J1267" t="str">
            <v/>
          </cell>
          <cell r="K1267">
            <v>0</v>
          </cell>
        </row>
        <row r="1268">
          <cell r="J1268" t="str">
            <v/>
          </cell>
          <cell r="K1268">
            <v>0</v>
          </cell>
        </row>
        <row r="1269">
          <cell r="J1269" t="str">
            <v/>
          </cell>
          <cell r="K1269">
            <v>0</v>
          </cell>
        </row>
        <row r="1270">
          <cell r="J1270" t="str">
            <v/>
          </cell>
          <cell r="K1270">
            <v>0</v>
          </cell>
        </row>
        <row r="1271">
          <cell r="J1271" t="str">
            <v/>
          </cell>
          <cell r="K1271">
            <v>0</v>
          </cell>
        </row>
        <row r="1272">
          <cell r="J1272" t="str">
            <v/>
          </cell>
          <cell r="K1272">
            <v>0</v>
          </cell>
        </row>
        <row r="1273">
          <cell r="J1273" t="str">
            <v/>
          </cell>
          <cell r="K1273">
            <v>0</v>
          </cell>
        </row>
        <row r="1274">
          <cell r="J1274" t="str">
            <v/>
          </cell>
          <cell r="K1274">
            <v>0</v>
          </cell>
        </row>
        <row r="1275">
          <cell r="J1275" t="str">
            <v/>
          </cell>
          <cell r="K1275">
            <v>0</v>
          </cell>
        </row>
        <row r="1276">
          <cell r="J1276" t="str">
            <v/>
          </cell>
          <cell r="K1276">
            <v>0</v>
          </cell>
        </row>
        <row r="1277">
          <cell r="J1277" t="str">
            <v/>
          </cell>
          <cell r="K1277">
            <v>0</v>
          </cell>
        </row>
        <row r="1278">
          <cell r="J1278" t="str">
            <v/>
          </cell>
          <cell r="K1278">
            <v>0</v>
          </cell>
        </row>
        <row r="1279">
          <cell r="J1279" t="str">
            <v/>
          </cell>
          <cell r="K1279">
            <v>0</v>
          </cell>
        </row>
        <row r="1280">
          <cell r="J1280" t="str">
            <v/>
          </cell>
          <cell r="K1280">
            <v>0</v>
          </cell>
        </row>
        <row r="1281">
          <cell r="J1281" t="str">
            <v/>
          </cell>
          <cell r="K1281">
            <v>0</v>
          </cell>
        </row>
        <row r="1282">
          <cell r="J1282" t="str">
            <v/>
          </cell>
          <cell r="K1282">
            <v>0</v>
          </cell>
        </row>
        <row r="1283">
          <cell r="J1283" t="str">
            <v/>
          </cell>
          <cell r="K1283">
            <v>0</v>
          </cell>
        </row>
        <row r="1284">
          <cell r="J1284" t="str">
            <v/>
          </cell>
          <cell r="K1284">
            <v>0</v>
          </cell>
        </row>
        <row r="1285">
          <cell r="J1285" t="str">
            <v/>
          </cell>
          <cell r="K1285">
            <v>0</v>
          </cell>
        </row>
        <row r="1286">
          <cell r="J1286" t="str">
            <v/>
          </cell>
          <cell r="K1286">
            <v>0</v>
          </cell>
        </row>
        <row r="1287">
          <cell r="J1287" t="str">
            <v/>
          </cell>
          <cell r="K1287">
            <v>0</v>
          </cell>
        </row>
        <row r="1288">
          <cell r="J1288" t="str">
            <v/>
          </cell>
          <cell r="K1288">
            <v>0</v>
          </cell>
        </row>
        <row r="1289">
          <cell r="J1289" t="str">
            <v/>
          </cell>
          <cell r="K1289">
            <v>0</v>
          </cell>
        </row>
        <row r="1290">
          <cell r="J1290" t="str">
            <v/>
          </cell>
          <cell r="K1290">
            <v>0</v>
          </cell>
        </row>
        <row r="1291">
          <cell r="J1291" t="str">
            <v/>
          </cell>
          <cell r="K1291">
            <v>0</v>
          </cell>
        </row>
        <row r="1292">
          <cell r="J1292" t="str">
            <v/>
          </cell>
          <cell r="K1292">
            <v>0</v>
          </cell>
        </row>
        <row r="1293">
          <cell r="J1293" t="str">
            <v/>
          </cell>
          <cell r="K1293">
            <v>0</v>
          </cell>
        </row>
        <row r="1294">
          <cell r="J1294" t="str">
            <v/>
          </cell>
          <cell r="K1294">
            <v>0</v>
          </cell>
        </row>
        <row r="1295">
          <cell r="J1295" t="str">
            <v/>
          </cell>
          <cell r="K1295">
            <v>0</v>
          </cell>
        </row>
        <row r="1296">
          <cell r="J1296" t="str">
            <v/>
          </cell>
          <cell r="K1296">
            <v>0</v>
          </cell>
        </row>
        <row r="1297">
          <cell r="J1297" t="str">
            <v/>
          </cell>
          <cell r="K1297">
            <v>0</v>
          </cell>
        </row>
        <row r="1298">
          <cell r="J1298" t="str">
            <v/>
          </cell>
          <cell r="K1298">
            <v>0</v>
          </cell>
        </row>
        <row r="1299">
          <cell r="J1299" t="str">
            <v/>
          </cell>
          <cell r="K1299">
            <v>0</v>
          </cell>
        </row>
        <row r="1300">
          <cell r="J1300" t="str">
            <v/>
          </cell>
          <cell r="K1300">
            <v>0</v>
          </cell>
        </row>
        <row r="1301">
          <cell r="J1301" t="str">
            <v/>
          </cell>
          <cell r="K1301">
            <v>0</v>
          </cell>
        </row>
        <row r="1302">
          <cell r="J1302" t="str">
            <v/>
          </cell>
          <cell r="K1302">
            <v>0</v>
          </cell>
        </row>
        <row r="1303">
          <cell r="J1303" t="str">
            <v/>
          </cell>
          <cell r="K1303">
            <v>0</v>
          </cell>
        </row>
        <row r="1304">
          <cell r="J1304" t="str">
            <v/>
          </cell>
          <cell r="K1304">
            <v>0</v>
          </cell>
        </row>
        <row r="1305">
          <cell r="J1305" t="str">
            <v/>
          </cell>
          <cell r="K1305">
            <v>0</v>
          </cell>
        </row>
        <row r="1306">
          <cell r="J1306" t="str">
            <v/>
          </cell>
          <cell r="K1306">
            <v>0</v>
          </cell>
        </row>
        <row r="1307">
          <cell r="J1307" t="str">
            <v/>
          </cell>
          <cell r="K1307">
            <v>0</v>
          </cell>
        </row>
        <row r="1308">
          <cell r="J1308" t="str">
            <v/>
          </cell>
          <cell r="K1308">
            <v>0</v>
          </cell>
        </row>
        <row r="1309">
          <cell r="J1309" t="str">
            <v/>
          </cell>
          <cell r="K1309">
            <v>0</v>
          </cell>
        </row>
        <row r="1310">
          <cell r="J1310" t="str">
            <v/>
          </cell>
          <cell r="K1310">
            <v>0</v>
          </cell>
        </row>
        <row r="1311">
          <cell r="J1311" t="str">
            <v/>
          </cell>
          <cell r="K1311">
            <v>0</v>
          </cell>
        </row>
        <row r="1312">
          <cell r="J1312" t="str">
            <v/>
          </cell>
          <cell r="K1312">
            <v>0</v>
          </cell>
        </row>
        <row r="1313">
          <cell r="J1313" t="str">
            <v/>
          </cell>
          <cell r="K1313">
            <v>0</v>
          </cell>
        </row>
        <row r="1314">
          <cell r="J1314" t="str">
            <v/>
          </cell>
          <cell r="K1314">
            <v>0</v>
          </cell>
        </row>
        <row r="1315">
          <cell r="J1315" t="str">
            <v/>
          </cell>
          <cell r="K1315">
            <v>0</v>
          </cell>
        </row>
        <row r="1316">
          <cell r="J1316" t="str">
            <v/>
          </cell>
          <cell r="K1316">
            <v>0</v>
          </cell>
        </row>
        <row r="1317">
          <cell r="J1317" t="str">
            <v/>
          </cell>
          <cell r="K1317">
            <v>0</v>
          </cell>
        </row>
        <row r="1318">
          <cell r="J1318" t="str">
            <v/>
          </cell>
          <cell r="K1318">
            <v>0</v>
          </cell>
        </row>
        <row r="1319">
          <cell r="J1319" t="str">
            <v/>
          </cell>
          <cell r="K1319">
            <v>0</v>
          </cell>
        </row>
        <row r="1320">
          <cell r="J1320" t="str">
            <v/>
          </cell>
          <cell r="K1320">
            <v>0</v>
          </cell>
        </row>
        <row r="1321">
          <cell r="J1321" t="str">
            <v/>
          </cell>
          <cell r="K1321">
            <v>0</v>
          </cell>
        </row>
        <row r="1322">
          <cell r="J1322" t="str">
            <v/>
          </cell>
          <cell r="K1322">
            <v>0</v>
          </cell>
        </row>
        <row r="1323">
          <cell r="J1323" t="str">
            <v/>
          </cell>
          <cell r="K1323">
            <v>0</v>
          </cell>
        </row>
        <row r="1324">
          <cell r="J1324" t="str">
            <v/>
          </cell>
          <cell r="K1324">
            <v>0</v>
          </cell>
        </row>
        <row r="1325">
          <cell r="J1325" t="str">
            <v/>
          </cell>
          <cell r="K1325">
            <v>0</v>
          </cell>
        </row>
        <row r="1326">
          <cell r="J1326" t="str">
            <v/>
          </cell>
          <cell r="K1326">
            <v>0</v>
          </cell>
        </row>
        <row r="1327">
          <cell r="J1327" t="str">
            <v/>
          </cell>
          <cell r="K1327">
            <v>0</v>
          </cell>
        </row>
        <row r="1328">
          <cell r="J1328" t="str">
            <v/>
          </cell>
          <cell r="K1328">
            <v>0</v>
          </cell>
        </row>
        <row r="1329">
          <cell r="J1329" t="str">
            <v/>
          </cell>
          <cell r="K1329">
            <v>0</v>
          </cell>
        </row>
        <row r="1330">
          <cell r="J1330" t="str">
            <v/>
          </cell>
          <cell r="K1330">
            <v>0</v>
          </cell>
        </row>
        <row r="1331">
          <cell r="J1331" t="str">
            <v/>
          </cell>
          <cell r="K1331">
            <v>0</v>
          </cell>
        </row>
        <row r="1332">
          <cell r="J1332" t="str">
            <v/>
          </cell>
          <cell r="K1332">
            <v>0</v>
          </cell>
        </row>
        <row r="1333">
          <cell r="J1333" t="str">
            <v/>
          </cell>
          <cell r="K1333">
            <v>0</v>
          </cell>
        </row>
        <row r="1334">
          <cell r="J1334" t="str">
            <v/>
          </cell>
          <cell r="K1334">
            <v>0</v>
          </cell>
        </row>
        <row r="1335">
          <cell r="J1335" t="str">
            <v/>
          </cell>
          <cell r="K1335">
            <v>0</v>
          </cell>
        </row>
        <row r="1336">
          <cell r="J1336" t="str">
            <v/>
          </cell>
          <cell r="K1336">
            <v>0</v>
          </cell>
        </row>
        <row r="1337">
          <cell r="J1337" t="str">
            <v/>
          </cell>
          <cell r="K1337">
            <v>0</v>
          </cell>
        </row>
        <row r="1338">
          <cell r="J1338" t="str">
            <v/>
          </cell>
          <cell r="K1338">
            <v>0</v>
          </cell>
        </row>
        <row r="1339">
          <cell r="J1339" t="str">
            <v/>
          </cell>
          <cell r="K1339">
            <v>0</v>
          </cell>
        </row>
        <row r="1340">
          <cell r="J1340" t="str">
            <v/>
          </cell>
          <cell r="K1340">
            <v>0</v>
          </cell>
        </row>
        <row r="1341">
          <cell r="J1341" t="str">
            <v/>
          </cell>
          <cell r="K1341">
            <v>0</v>
          </cell>
        </row>
        <row r="1342">
          <cell r="J1342" t="str">
            <v/>
          </cell>
          <cell r="K1342">
            <v>0</v>
          </cell>
        </row>
        <row r="1343">
          <cell r="J1343" t="str">
            <v/>
          </cell>
          <cell r="K1343">
            <v>0</v>
          </cell>
        </row>
        <row r="1344">
          <cell r="J1344" t="str">
            <v/>
          </cell>
          <cell r="K1344">
            <v>0</v>
          </cell>
        </row>
        <row r="1345">
          <cell r="J1345" t="str">
            <v/>
          </cell>
          <cell r="K1345">
            <v>0</v>
          </cell>
        </row>
        <row r="1346">
          <cell r="J1346" t="str">
            <v/>
          </cell>
          <cell r="K1346">
            <v>0</v>
          </cell>
        </row>
        <row r="1347">
          <cell r="J1347" t="str">
            <v/>
          </cell>
          <cell r="K1347">
            <v>0</v>
          </cell>
        </row>
        <row r="1348">
          <cell r="J1348" t="str">
            <v/>
          </cell>
          <cell r="K1348">
            <v>0</v>
          </cell>
        </row>
        <row r="1349">
          <cell r="J1349" t="str">
            <v/>
          </cell>
          <cell r="K1349">
            <v>0</v>
          </cell>
        </row>
        <row r="1350">
          <cell r="J1350" t="str">
            <v/>
          </cell>
          <cell r="K1350">
            <v>0</v>
          </cell>
        </row>
        <row r="1351">
          <cell r="J1351" t="str">
            <v/>
          </cell>
          <cell r="K1351">
            <v>0</v>
          </cell>
        </row>
        <row r="1352">
          <cell r="J1352" t="str">
            <v/>
          </cell>
          <cell r="K1352">
            <v>0</v>
          </cell>
        </row>
        <row r="1353">
          <cell r="J1353" t="str">
            <v/>
          </cell>
          <cell r="K1353">
            <v>0</v>
          </cell>
        </row>
        <row r="1354">
          <cell r="J1354" t="str">
            <v/>
          </cell>
          <cell r="K1354">
            <v>0</v>
          </cell>
        </row>
        <row r="1355">
          <cell r="J1355" t="str">
            <v/>
          </cell>
          <cell r="K1355">
            <v>0</v>
          </cell>
        </row>
        <row r="1356">
          <cell r="J1356" t="str">
            <v/>
          </cell>
          <cell r="K1356">
            <v>0</v>
          </cell>
        </row>
        <row r="1357">
          <cell r="J1357" t="str">
            <v/>
          </cell>
          <cell r="K1357">
            <v>0</v>
          </cell>
        </row>
        <row r="1358">
          <cell r="J1358" t="str">
            <v/>
          </cell>
          <cell r="K1358">
            <v>0</v>
          </cell>
        </row>
        <row r="1359">
          <cell r="J1359" t="str">
            <v/>
          </cell>
          <cell r="K1359">
            <v>0</v>
          </cell>
        </row>
        <row r="1360">
          <cell r="J1360" t="str">
            <v/>
          </cell>
          <cell r="K1360">
            <v>0</v>
          </cell>
        </row>
        <row r="1361">
          <cell r="J1361" t="str">
            <v/>
          </cell>
          <cell r="K1361">
            <v>0</v>
          </cell>
        </row>
        <row r="1362">
          <cell r="J1362" t="str">
            <v/>
          </cell>
          <cell r="K1362">
            <v>0</v>
          </cell>
        </row>
        <row r="1363">
          <cell r="J1363" t="str">
            <v/>
          </cell>
          <cell r="K1363">
            <v>0</v>
          </cell>
        </row>
        <row r="1364">
          <cell r="J1364" t="str">
            <v/>
          </cell>
          <cell r="K1364">
            <v>0</v>
          </cell>
        </row>
        <row r="1365">
          <cell r="J1365" t="str">
            <v/>
          </cell>
          <cell r="K1365">
            <v>0</v>
          </cell>
        </row>
        <row r="1366">
          <cell r="J1366" t="str">
            <v/>
          </cell>
          <cell r="K1366">
            <v>0</v>
          </cell>
        </row>
        <row r="1367">
          <cell r="J1367" t="str">
            <v/>
          </cell>
          <cell r="K1367">
            <v>0</v>
          </cell>
        </row>
        <row r="1368">
          <cell r="J1368" t="str">
            <v/>
          </cell>
          <cell r="K1368">
            <v>0</v>
          </cell>
        </row>
        <row r="1369">
          <cell r="J1369" t="str">
            <v/>
          </cell>
          <cell r="K1369">
            <v>0</v>
          </cell>
        </row>
        <row r="1370">
          <cell r="J1370" t="str">
            <v/>
          </cell>
          <cell r="K1370">
            <v>0</v>
          </cell>
        </row>
        <row r="1371">
          <cell r="J1371" t="str">
            <v/>
          </cell>
          <cell r="K1371">
            <v>0</v>
          </cell>
        </row>
        <row r="1372">
          <cell r="J1372" t="str">
            <v/>
          </cell>
          <cell r="K1372">
            <v>0</v>
          </cell>
        </row>
        <row r="1373">
          <cell r="J1373" t="str">
            <v/>
          </cell>
          <cell r="K1373">
            <v>0</v>
          </cell>
        </row>
        <row r="1374">
          <cell r="J1374" t="str">
            <v/>
          </cell>
          <cell r="K1374">
            <v>0</v>
          </cell>
        </row>
        <row r="1375">
          <cell r="J1375" t="str">
            <v/>
          </cell>
          <cell r="K1375">
            <v>0</v>
          </cell>
        </row>
        <row r="1376">
          <cell r="J1376" t="str">
            <v/>
          </cell>
          <cell r="K1376">
            <v>0</v>
          </cell>
        </row>
        <row r="1377">
          <cell r="J1377" t="str">
            <v/>
          </cell>
          <cell r="K1377">
            <v>0</v>
          </cell>
        </row>
        <row r="1378">
          <cell r="J1378" t="str">
            <v/>
          </cell>
          <cell r="K1378">
            <v>0</v>
          </cell>
        </row>
        <row r="1379">
          <cell r="J1379" t="str">
            <v/>
          </cell>
          <cell r="K1379">
            <v>0</v>
          </cell>
        </row>
        <row r="1380">
          <cell r="J1380" t="str">
            <v/>
          </cell>
          <cell r="K1380">
            <v>0</v>
          </cell>
        </row>
        <row r="1381">
          <cell r="J1381" t="str">
            <v/>
          </cell>
          <cell r="K1381">
            <v>0</v>
          </cell>
        </row>
        <row r="1382">
          <cell r="J1382" t="str">
            <v/>
          </cell>
          <cell r="K1382">
            <v>0</v>
          </cell>
        </row>
        <row r="1383">
          <cell r="J1383" t="str">
            <v/>
          </cell>
          <cell r="K1383">
            <v>0</v>
          </cell>
        </row>
        <row r="1384">
          <cell r="J1384" t="str">
            <v/>
          </cell>
          <cell r="K1384">
            <v>0</v>
          </cell>
        </row>
        <row r="1385">
          <cell r="J1385" t="str">
            <v/>
          </cell>
          <cell r="K1385">
            <v>0</v>
          </cell>
        </row>
        <row r="1386">
          <cell r="J1386" t="str">
            <v/>
          </cell>
          <cell r="K1386">
            <v>0</v>
          </cell>
        </row>
        <row r="1387">
          <cell r="J1387" t="str">
            <v/>
          </cell>
          <cell r="K1387">
            <v>0</v>
          </cell>
        </row>
        <row r="1388">
          <cell r="J1388" t="str">
            <v/>
          </cell>
          <cell r="K1388">
            <v>0</v>
          </cell>
        </row>
        <row r="1389">
          <cell r="J1389" t="str">
            <v/>
          </cell>
          <cell r="K1389">
            <v>0</v>
          </cell>
        </row>
        <row r="1390">
          <cell r="J1390" t="str">
            <v/>
          </cell>
          <cell r="K1390">
            <v>0</v>
          </cell>
        </row>
        <row r="1391">
          <cell r="J1391" t="str">
            <v/>
          </cell>
          <cell r="K1391">
            <v>0</v>
          </cell>
        </row>
        <row r="1392">
          <cell r="J1392" t="str">
            <v/>
          </cell>
          <cell r="K1392">
            <v>0</v>
          </cell>
        </row>
        <row r="1393">
          <cell r="J1393" t="str">
            <v/>
          </cell>
          <cell r="K1393">
            <v>0</v>
          </cell>
        </row>
        <row r="1394">
          <cell r="J1394" t="str">
            <v/>
          </cell>
          <cell r="K1394">
            <v>0</v>
          </cell>
        </row>
        <row r="1395">
          <cell r="J1395" t="str">
            <v/>
          </cell>
          <cell r="K1395">
            <v>0</v>
          </cell>
        </row>
        <row r="1396">
          <cell r="J1396" t="str">
            <v/>
          </cell>
          <cell r="K1396">
            <v>0</v>
          </cell>
        </row>
        <row r="1397">
          <cell r="J1397" t="str">
            <v/>
          </cell>
          <cell r="K1397">
            <v>0</v>
          </cell>
        </row>
        <row r="1398">
          <cell r="J1398" t="str">
            <v/>
          </cell>
          <cell r="K1398">
            <v>0</v>
          </cell>
        </row>
        <row r="1399">
          <cell r="J1399" t="str">
            <v/>
          </cell>
          <cell r="K1399">
            <v>0</v>
          </cell>
        </row>
        <row r="1400">
          <cell r="J1400" t="str">
            <v/>
          </cell>
          <cell r="K1400">
            <v>0</v>
          </cell>
        </row>
        <row r="1401">
          <cell r="J1401" t="str">
            <v/>
          </cell>
          <cell r="K1401">
            <v>0</v>
          </cell>
        </row>
        <row r="1402">
          <cell r="J1402" t="str">
            <v/>
          </cell>
          <cell r="K1402">
            <v>0</v>
          </cell>
        </row>
        <row r="1403">
          <cell r="J1403" t="str">
            <v/>
          </cell>
          <cell r="K1403">
            <v>0</v>
          </cell>
        </row>
        <row r="1404">
          <cell r="J1404" t="str">
            <v/>
          </cell>
          <cell r="K1404">
            <v>0</v>
          </cell>
        </row>
        <row r="1405">
          <cell r="J1405" t="str">
            <v/>
          </cell>
          <cell r="K1405">
            <v>0</v>
          </cell>
        </row>
        <row r="1406">
          <cell r="J1406" t="str">
            <v/>
          </cell>
          <cell r="K1406">
            <v>0</v>
          </cell>
        </row>
        <row r="1407">
          <cell r="J1407" t="str">
            <v/>
          </cell>
          <cell r="K1407">
            <v>0</v>
          </cell>
        </row>
        <row r="1408">
          <cell r="J1408" t="str">
            <v/>
          </cell>
          <cell r="K1408">
            <v>0</v>
          </cell>
        </row>
        <row r="1409">
          <cell r="J1409" t="str">
            <v/>
          </cell>
          <cell r="K1409">
            <v>0</v>
          </cell>
        </row>
        <row r="1410">
          <cell r="J1410" t="str">
            <v/>
          </cell>
          <cell r="K1410">
            <v>0</v>
          </cell>
        </row>
        <row r="1411">
          <cell r="J1411" t="str">
            <v/>
          </cell>
          <cell r="K1411">
            <v>0</v>
          </cell>
        </row>
        <row r="1412">
          <cell r="J1412" t="str">
            <v/>
          </cell>
          <cell r="K1412">
            <v>0</v>
          </cell>
        </row>
        <row r="1413">
          <cell r="J1413" t="str">
            <v/>
          </cell>
          <cell r="K1413">
            <v>0</v>
          </cell>
        </row>
        <row r="1414">
          <cell r="J1414" t="str">
            <v/>
          </cell>
          <cell r="K1414">
            <v>0</v>
          </cell>
        </row>
        <row r="1415">
          <cell r="J1415" t="str">
            <v/>
          </cell>
          <cell r="K1415">
            <v>0</v>
          </cell>
        </row>
        <row r="1416">
          <cell r="J1416" t="str">
            <v/>
          </cell>
          <cell r="K1416">
            <v>0</v>
          </cell>
        </row>
        <row r="1417">
          <cell r="J1417" t="str">
            <v/>
          </cell>
          <cell r="K1417">
            <v>0</v>
          </cell>
        </row>
        <row r="1418">
          <cell r="J1418" t="str">
            <v/>
          </cell>
          <cell r="K1418">
            <v>0</v>
          </cell>
        </row>
        <row r="1419">
          <cell r="J1419" t="str">
            <v/>
          </cell>
          <cell r="K1419">
            <v>0</v>
          </cell>
        </row>
        <row r="1420">
          <cell r="J1420" t="str">
            <v/>
          </cell>
          <cell r="K1420">
            <v>0</v>
          </cell>
        </row>
        <row r="1421">
          <cell r="J1421" t="str">
            <v/>
          </cell>
          <cell r="K1421">
            <v>0</v>
          </cell>
        </row>
        <row r="1422">
          <cell r="J1422" t="str">
            <v/>
          </cell>
          <cell r="K1422">
            <v>0</v>
          </cell>
        </row>
        <row r="1423">
          <cell r="J1423" t="str">
            <v/>
          </cell>
          <cell r="K1423">
            <v>0</v>
          </cell>
        </row>
        <row r="1424">
          <cell r="J1424" t="str">
            <v/>
          </cell>
          <cell r="K1424">
            <v>0</v>
          </cell>
        </row>
        <row r="1425">
          <cell r="J1425" t="str">
            <v/>
          </cell>
          <cell r="K1425">
            <v>0</v>
          </cell>
        </row>
        <row r="1426">
          <cell r="J1426" t="str">
            <v/>
          </cell>
          <cell r="K1426">
            <v>0</v>
          </cell>
        </row>
        <row r="1427">
          <cell r="J1427" t="str">
            <v/>
          </cell>
          <cell r="K1427">
            <v>0</v>
          </cell>
        </row>
        <row r="1428">
          <cell r="J1428" t="str">
            <v/>
          </cell>
          <cell r="K1428">
            <v>0</v>
          </cell>
        </row>
        <row r="1429">
          <cell r="J1429" t="str">
            <v/>
          </cell>
          <cell r="K1429">
            <v>0</v>
          </cell>
        </row>
        <row r="1430">
          <cell r="J1430" t="str">
            <v/>
          </cell>
          <cell r="K1430">
            <v>0</v>
          </cell>
        </row>
        <row r="1431">
          <cell r="J1431" t="str">
            <v/>
          </cell>
          <cell r="K1431">
            <v>0</v>
          </cell>
        </row>
        <row r="1432">
          <cell r="J1432" t="str">
            <v/>
          </cell>
          <cell r="K1432">
            <v>0</v>
          </cell>
        </row>
        <row r="1433">
          <cell r="J1433" t="str">
            <v/>
          </cell>
          <cell r="K1433">
            <v>0</v>
          </cell>
        </row>
        <row r="1434">
          <cell r="J1434" t="str">
            <v/>
          </cell>
          <cell r="K1434">
            <v>0</v>
          </cell>
        </row>
        <row r="1435">
          <cell r="J1435" t="str">
            <v/>
          </cell>
          <cell r="K1435">
            <v>0</v>
          </cell>
        </row>
        <row r="1436">
          <cell r="J1436" t="str">
            <v/>
          </cell>
          <cell r="K1436">
            <v>0</v>
          </cell>
        </row>
        <row r="1437">
          <cell r="J1437" t="str">
            <v/>
          </cell>
          <cell r="K1437">
            <v>0</v>
          </cell>
        </row>
        <row r="1438">
          <cell r="J1438" t="str">
            <v/>
          </cell>
          <cell r="K1438">
            <v>0</v>
          </cell>
        </row>
        <row r="1439">
          <cell r="J1439" t="str">
            <v/>
          </cell>
          <cell r="K1439">
            <v>0</v>
          </cell>
        </row>
        <row r="1440">
          <cell r="J1440" t="str">
            <v/>
          </cell>
          <cell r="K1440">
            <v>0</v>
          </cell>
        </row>
        <row r="1441">
          <cell r="J1441" t="str">
            <v/>
          </cell>
          <cell r="K1441">
            <v>0</v>
          </cell>
        </row>
        <row r="1442">
          <cell r="J1442" t="str">
            <v/>
          </cell>
          <cell r="K1442">
            <v>0</v>
          </cell>
        </row>
        <row r="1443">
          <cell r="J1443" t="str">
            <v/>
          </cell>
          <cell r="K1443">
            <v>0</v>
          </cell>
        </row>
        <row r="1444">
          <cell r="J1444" t="str">
            <v/>
          </cell>
          <cell r="K1444">
            <v>0</v>
          </cell>
        </row>
        <row r="1445">
          <cell r="J1445" t="str">
            <v/>
          </cell>
          <cell r="K1445">
            <v>0</v>
          </cell>
        </row>
        <row r="1446">
          <cell r="J1446" t="str">
            <v/>
          </cell>
          <cell r="K1446">
            <v>0</v>
          </cell>
        </row>
        <row r="1447">
          <cell r="J1447" t="str">
            <v/>
          </cell>
          <cell r="K1447">
            <v>0</v>
          </cell>
        </row>
        <row r="1448">
          <cell r="J1448" t="str">
            <v/>
          </cell>
          <cell r="K1448">
            <v>0</v>
          </cell>
        </row>
        <row r="1449">
          <cell r="J1449" t="str">
            <v/>
          </cell>
          <cell r="K1449">
            <v>0</v>
          </cell>
        </row>
        <row r="1450">
          <cell r="J1450" t="str">
            <v/>
          </cell>
          <cell r="K1450">
            <v>0</v>
          </cell>
        </row>
        <row r="1451">
          <cell r="J1451" t="str">
            <v/>
          </cell>
          <cell r="K1451">
            <v>0</v>
          </cell>
        </row>
        <row r="1452">
          <cell r="J1452" t="str">
            <v/>
          </cell>
          <cell r="K1452">
            <v>0</v>
          </cell>
        </row>
        <row r="1453">
          <cell r="J1453" t="str">
            <v/>
          </cell>
          <cell r="K1453">
            <v>0</v>
          </cell>
        </row>
        <row r="1454">
          <cell r="J1454" t="str">
            <v/>
          </cell>
          <cell r="K1454">
            <v>0</v>
          </cell>
        </row>
        <row r="1455">
          <cell r="J1455" t="str">
            <v/>
          </cell>
          <cell r="K1455">
            <v>0</v>
          </cell>
        </row>
        <row r="1456">
          <cell r="J1456" t="str">
            <v/>
          </cell>
          <cell r="K1456">
            <v>0</v>
          </cell>
        </row>
        <row r="1457">
          <cell r="J1457" t="str">
            <v/>
          </cell>
          <cell r="K1457">
            <v>0</v>
          </cell>
        </row>
        <row r="1458">
          <cell r="J1458" t="str">
            <v/>
          </cell>
          <cell r="K1458">
            <v>0</v>
          </cell>
        </row>
        <row r="1459">
          <cell r="J1459" t="str">
            <v/>
          </cell>
          <cell r="K1459">
            <v>0</v>
          </cell>
        </row>
        <row r="1460">
          <cell r="J1460" t="str">
            <v/>
          </cell>
          <cell r="K1460">
            <v>0</v>
          </cell>
        </row>
        <row r="1461">
          <cell r="J1461" t="str">
            <v/>
          </cell>
          <cell r="K1461">
            <v>0</v>
          </cell>
        </row>
        <row r="1462">
          <cell r="J1462" t="str">
            <v/>
          </cell>
          <cell r="K1462">
            <v>0</v>
          </cell>
        </row>
        <row r="1463">
          <cell r="J1463" t="str">
            <v/>
          </cell>
          <cell r="K1463">
            <v>0</v>
          </cell>
        </row>
        <row r="1464">
          <cell r="J1464" t="str">
            <v/>
          </cell>
          <cell r="K1464">
            <v>0</v>
          </cell>
        </row>
        <row r="1465">
          <cell r="J1465" t="str">
            <v/>
          </cell>
          <cell r="K1465">
            <v>0</v>
          </cell>
        </row>
        <row r="1466">
          <cell r="J1466" t="str">
            <v/>
          </cell>
          <cell r="K1466">
            <v>0</v>
          </cell>
        </row>
        <row r="1467">
          <cell r="J1467" t="str">
            <v/>
          </cell>
          <cell r="K1467">
            <v>0</v>
          </cell>
        </row>
        <row r="1468">
          <cell r="J1468" t="str">
            <v/>
          </cell>
          <cell r="K1468">
            <v>0</v>
          </cell>
        </row>
        <row r="1469">
          <cell r="J1469" t="str">
            <v/>
          </cell>
          <cell r="K1469">
            <v>0</v>
          </cell>
        </row>
        <row r="1470">
          <cell r="J1470" t="str">
            <v/>
          </cell>
          <cell r="K1470">
            <v>0</v>
          </cell>
        </row>
        <row r="1471">
          <cell r="J1471" t="str">
            <v/>
          </cell>
          <cell r="K1471">
            <v>0</v>
          </cell>
        </row>
        <row r="1472">
          <cell r="J1472" t="str">
            <v/>
          </cell>
          <cell r="K1472">
            <v>0</v>
          </cell>
        </row>
        <row r="1473">
          <cell r="J1473" t="str">
            <v/>
          </cell>
          <cell r="K1473">
            <v>0</v>
          </cell>
        </row>
        <row r="1474">
          <cell r="J1474" t="str">
            <v/>
          </cell>
          <cell r="K1474">
            <v>0</v>
          </cell>
        </row>
        <row r="1475">
          <cell r="J1475" t="str">
            <v/>
          </cell>
          <cell r="K1475">
            <v>0</v>
          </cell>
        </row>
        <row r="1476">
          <cell r="J1476" t="str">
            <v/>
          </cell>
          <cell r="K1476">
            <v>0</v>
          </cell>
        </row>
        <row r="1477">
          <cell r="J1477" t="str">
            <v/>
          </cell>
          <cell r="K1477">
            <v>0</v>
          </cell>
        </row>
        <row r="1478">
          <cell r="J1478" t="str">
            <v/>
          </cell>
          <cell r="K1478">
            <v>0</v>
          </cell>
        </row>
        <row r="1479">
          <cell r="J1479" t="str">
            <v/>
          </cell>
          <cell r="K1479">
            <v>0</v>
          </cell>
        </row>
        <row r="1480">
          <cell r="J1480" t="str">
            <v/>
          </cell>
          <cell r="K1480">
            <v>0</v>
          </cell>
        </row>
        <row r="1481">
          <cell r="J1481" t="str">
            <v/>
          </cell>
          <cell r="K1481">
            <v>0</v>
          </cell>
        </row>
        <row r="1482">
          <cell r="J1482" t="str">
            <v/>
          </cell>
          <cell r="K1482">
            <v>0</v>
          </cell>
        </row>
        <row r="1483">
          <cell r="J1483" t="str">
            <v/>
          </cell>
          <cell r="K1483">
            <v>0</v>
          </cell>
        </row>
        <row r="1484">
          <cell r="J1484" t="str">
            <v/>
          </cell>
          <cell r="K1484">
            <v>0</v>
          </cell>
        </row>
        <row r="1485">
          <cell r="J1485" t="str">
            <v/>
          </cell>
          <cell r="K1485">
            <v>0</v>
          </cell>
        </row>
        <row r="1486">
          <cell r="J1486" t="str">
            <v/>
          </cell>
          <cell r="K1486">
            <v>0</v>
          </cell>
        </row>
        <row r="1487">
          <cell r="J1487" t="str">
            <v/>
          </cell>
          <cell r="K1487">
            <v>0</v>
          </cell>
        </row>
        <row r="1488">
          <cell r="J1488" t="str">
            <v/>
          </cell>
          <cell r="K1488">
            <v>0</v>
          </cell>
        </row>
        <row r="1489">
          <cell r="J1489" t="str">
            <v/>
          </cell>
          <cell r="K1489">
            <v>0</v>
          </cell>
        </row>
        <row r="1490">
          <cell r="J1490" t="str">
            <v/>
          </cell>
          <cell r="K1490">
            <v>0</v>
          </cell>
        </row>
        <row r="1491">
          <cell r="J1491" t="str">
            <v/>
          </cell>
          <cell r="K1491">
            <v>0</v>
          </cell>
        </row>
        <row r="1492">
          <cell r="J1492" t="str">
            <v/>
          </cell>
          <cell r="K1492">
            <v>0</v>
          </cell>
        </row>
        <row r="1493">
          <cell r="J1493" t="str">
            <v/>
          </cell>
          <cell r="K1493">
            <v>0</v>
          </cell>
        </row>
        <row r="1494">
          <cell r="J1494" t="str">
            <v/>
          </cell>
          <cell r="K1494">
            <v>0</v>
          </cell>
        </row>
        <row r="1495">
          <cell r="J1495" t="str">
            <v/>
          </cell>
          <cell r="K1495">
            <v>0</v>
          </cell>
        </row>
        <row r="1496">
          <cell r="J1496" t="str">
            <v/>
          </cell>
          <cell r="K1496">
            <v>0</v>
          </cell>
        </row>
        <row r="1497">
          <cell r="J1497" t="str">
            <v/>
          </cell>
          <cell r="K1497">
            <v>0</v>
          </cell>
        </row>
        <row r="1498">
          <cell r="J1498" t="str">
            <v/>
          </cell>
          <cell r="K1498">
            <v>0</v>
          </cell>
        </row>
        <row r="1499">
          <cell r="J1499" t="str">
            <v/>
          </cell>
          <cell r="K1499">
            <v>0</v>
          </cell>
        </row>
        <row r="1500">
          <cell r="J1500" t="str">
            <v/>
          </cell>
          <cell r="K1500">
            <v>0</v>
          </cell>
        </row>
        <row r="1501">
          <cell r="J1501" t="str">
            <v/>
          </cell>
          <cell r="K1501">
            <v>0</v>
          </cell>
        </row>
        <row r="1502">
          <cell r="J1502" t="str">
            <v/>
          </cell>
          <cell r="K1502">
            <v>0</v>
          </cell>
        </row>
        <row r="1503">
          <cell r="J1503" t="str">
            <v/>
          </cell>
          <cell r="K1503">
            <v>0</v>
          </cell>
        </row>
        <row r="1504">
          <cell r="J1504" t="str">
            <v/>
          </cell>
          <cell r="K1504">
            <v>0</v>
          </cell>
        </row>
        <row r="1505">
          <cell r="J1505" t="str">
            <v/>
          </cell>
          <cell r="K1505">
            <v>0</v>
          </cell>
        </row>
        <row r="1506">
          <cell r="J1506" t="str">
            <v/>
          </cell>
          <cell r="K1506">
            <v>0</v>
          </cell>
        </row>
        <row r="1507">
          <cell r="J1507" t="str">
            <v/>
          </cell>
          <cell r="K1507">
            <v>0</v>
          </cell>
        </row>
        <row r="1508">
          <cell r="J1508" t="str">
            <v/>
          </cell>
          <cell r="K1508">
            <v>0</v>
          </cell>
        </row>
        <row r="1509">
          <cell r="J1509" t="str">
            <v/>
          </cell>
          <cell r="K1509">
            <v>0</v>
          </cell>
        </row>
        <row r="1510">
          <cell r="J1510" t="str">
            <v/>
          </cell>
          <cell r="K1510">
            <v>0</v>
          </cell>
        </row>
        <row r="1511">
          <cell r="J1511" t="str">
            <v/>
          </cell>
          <cell r="K1511">
            <v>0</v>
          </cell>
        </row>
        <row r="1512">
          <cell r="J1512" t="str">
            <v/>
          </cell>
          <cell r="K1512">
            <v>0</v>
          </cell>
        </row>
        <row r="1513">
          <cell r="J1513" t="str">
            <v/>
          </cell>
          <cell r="K1513">
            <v>0</v>
          </cell>
        </row>
        <row r="1514">
          <cell r="J1514" t="str">
            <v/>
          </cell>
          <cell r="K1514">
            <v>0</v>
          </cell>
        </row>
        <row r="1515">
          <cell r="J1515" t="str">
            <v/>
          </cell>
          <cell r="K1515">
            <v>0</v>
          </cell>
        </row>
        <row r="1516">
          <cell r="J1516" t="str">
            <v/>
          </cell>
          <cell r="K1516">
            <v>0</v>
          </cell>
        </row>
        <row r="1517">
          <cell r="J1517" t="str">
            <v/>
          </cell>
          <cell r="K1517">
            <v>0</v>
          </cell>
        </row>
        <row r="1518">
          <cell r="J1518" t="str">
            <v/>
          </cell>
          <cell r="K1518">
            <v>0</v>
          </cell>
        </row>
        <row r="1519">
          <cell r="J1519" t="str">
            <v/>
          </cell>
          <cell r="K1519">
            <v>0</v>
          </cell>
        </row>
        <row r="1520">
          <cell r="J1520" t="str">
            <v/>
          </cell>
          <cell r="K1520">
            <v>0</v>
          </cell>
        </row>
        <row r="1521">
          <cell r="J1521" t="str">
            <v/>
          </cell>
          <cell r="K1521">
            <v>0</v>
          </cell>
        </row>
        <row r="1522">
          <cell r="J1522" t="str">
            <v/>
          </cell>
          <cell r="K1522">
            <v>0</v>
          </cell>
        </row>
        <row r="1523">
          <cell r="J1523" t="str">
            <v/>
          </cell>
          <cell r="K1523">
            <v>0</v>
          </cell>
        </row>
        <row r="1524">
          <cell r="J1524" t="str">
            <v/>
          </cell>
          <cell r="K1524">
            <v>0</v>
          </cell>
        </row>
        <row r="1525">
          <cell r="J1525" t="str">
            <v/>
          </cell>
          <cell r="K1525">
            <v>0</v>
          </cell>
        </row>
        <row r="1526">
          <cell r="J1526" t="str">
            <v/>
          </cell>
          <cell r="K1526">
            <v>0</v>
          </cell>
        </row>
        <row r="1527">
          <cell r="J1527" t="str">
            <v/>
          </cell>
          <cell r="K1527">
            <v>0</v>
          </cell>
        </row>
        <row r="1528">
          <cell r="J1528" t="str">
            <v/>
          </cell>
          <cell r="K1528">
            <v>0</v>
          </cell>
        </row>
        <row r="1529">
          <cell r="J1529" t="str">
            <v/>
          </cell>
          <cell r="K1529">
            <v>0</v>
          </cell>
        </row>
        <row r="1530">
          <cell r="J1530" t="str">
            <v/>
          </cell>
          <cell r="K1530">
            <v>0</v>
          </cell>
        </row>
        <row r="1531">
          <cell r="J1531" t="str">
            <v/>
          </cell>
          <cell r="K1531">
            <v>0</v>
          </cell>
        </row>
        <row r="1532">
          <cell r="J1532" t="str">
            <v/>
          </cell>
          <cell r="K1532">
            <v>0</v>
          </cell>
        </row>
        <row r="1533">
          <cell r="J1533" t="str">
            <v/>
          </cell>
          <cell r="K1533">
            <v>0</v>
          </cell>
        </row>
        <row r="1534">
          <cell r="J1534" t="str">
            <v/>
          </cell>
          <cell r="K1534">
            <v>0</v>
          </cell>
        </row>
        <row r="1535">
          <cell r="J1535" t="str">
            <v/>
          </cell>
          <cell r="K1535">
            <v>0</v>
          </cell>
        </row>
        <row r="1536">
          <cell r="J1536" t="str">
            <v/>
          </cell>
          <cell r="K1536">
            <v>0</v>
          </cell>
        </row>
        <row r="1537">
          <cell r="J1537" t="str">
            <v/>
          </cell>
          <cell r="K1537">
            <v>0</v>
          </cell>
        </row>
        <row r="1538">
          <cell r="J1538" t="str">
            <v/>
          </cell>
          <cell r="K1538">
            <v>0</v>
          </cell>
        </row>
        <row r="1539">
          <cell r="J1539" t="str">
            <v/>
          </cell>
          <cell r="K1539">
            <v>0</v>
          </cell>
        </row>
        <row r="1540">
          <cell r="J1540" t="str">
            <v/>
          </cell>
          <cell r="K1540">
            <v>0</v>
          </cell>
        </row>
        <row r="1541">
          <cell r="J1541" t="str">
            <v/>
          </cell>
          <cell r="K1541">
            <v>0</v>
          </cell>
        </row>
        <row r="1542">
          <cell r="J1542" t="str">
            <v/>
          </cell>
          <cell r="K1542">
            <v>0</v>
          </cell>
        </row>
        <row r="1543">
          <cell r="J1543" t="str">
            <v/>
          </cell>
          <cell r="K1543">
            <v>0</v>
          </cell>
        </row>
        <row r="1544">
          <cell r="J1544" t="str">
            <v/>
          </cell>
          <cell r="K1544">
            <v>0</v>
          </cell>
        </row>
        <row r="1545">
          <cell r="J1545" t="str">
            <v/>
          </cell>
          <cell r="K1545">
            <v>0</v>
          </cell>
        </row>
        <row r="1546">
          <cell r="J1546" t="str">
            <v/>
          </cell>
          <cell r="K1546">
            <v>0</v>
          </cell>
        </row>
        <row r="1547">
          <cell r="J1547" t="str">
            <v/>
          </cell>
          <cell r="K1547">
            <v>0</v>
          </cell>
        </row>
        <row r="1548">
          <cell r="J1548" t="str">
            <v/>
          </cell>
          <cell r="K1548">
            <v>0</v>
          </cell>
        </row>
        <row r="1549">
          <cell r="J1549" t="str">
            <v/>
          </cell>
          <cell r="K1549">
            <v>0</v>
          </cell>
        </row>
        <row r="1550">
          <cell r="J1550" t="str">
            <v/>
          </cell>
          <cell r="K1550">
            <v>0</v>
          </cell>
        </row>
        <row r="1551">
          <cell r="J1551" t="str">
            <v/>
          </cell>
          <cell r="K1551">
            <v>0</v>
          </cell>
        </row>
        <row r="1552">
          <cell r="J1552" t="str">
            <v/>
          </cell>
          <cell r="K1552">
            <v>0</v>
          </cell>
        </row>
        <row r="1553">
          <cell r="J1553" t="str">
            <v/>
          </cell>
          <cell r="K1553">
            <v>0</v>
          </cell>
        </row>
        <row r="1554">
          <cell r="J1554" t="str">
            <v/>
          </cell>
          <cell r="K1554">
            <v>0</v>
          </cell>
        </row>
        <row r="1555">
          <cell r="J1555" t="str">
            <v/>
          </cell>
          <cell r="K1555">
            <v>0</v>
          </cell>
        </row>
        <row r="1556">
          <cell r="J1556" t="str">
            <v/>
          </cell>
          <cell r="K1556">
            <v>0</v>
          </cell>
        </row>
        <row r="1557">
          <cell r="J1557" t="str">
            <v/>
          </cell>
          <cell r="K1557">
            <v>0</v>
          </cell>
        </row>
        <row r="1558">
          <cell r="J1558" t="str">
            <v/>
          </cell>
          <cell r="K1558">
            <v>0</v>
          </cell>
        </row>
        <row r="1559">
          <cell r="J1559" t="str">
            <v/>
          </cell>
          <cell r="K1559">
            <v>0</v>
          </cell>
        </row>
        <row r="1560">
          <cell r="J1560" t="str">
            <v/>
          </cell>
          <cell r="K1560">
            <v>0</v>
          </cell>
        </row>
        <row r="1561">
          <cell r="J1561" t="str">
            <v/>
          </cell>
          <cell r="K1561">
            <v>0</v>
          </cell>
        </row>
        <row r="1562">
          <cell r="J1562" t="str">
            <v/>
          </cell>
          <cell r="K1562">
            <v>0</v>
          </cell>
        </row>
        <row r="1563">
          <cell r="J1563" t="str">
            <v/>
          </cell>
          <cell r="K1563">
            <v>0</v>
          </cell>
        </row>
        <row r="1564">
          <cell r="J1564" t="str">
            <v/>
          </cell>
          <cell r="K1564">
            <v>0</v>
          </cell>
        </row>
        <row r="1565">
          <cell r="J1565" t="str">
            <v/>
          </cell>
          <cell r="K1565">
            <v>0</v>
          </cell>
        </row>
        <row r="1566">
          <cell r="J1566" t="str">
            <v/>
          </cell>
          <cell r="K1566">
            <v>0</v>
          </cell>
        </row>
        <row r="1567">
          <cell r="J1567" t="str">
            <v/>
          </cell>
          <cell r="K1567">
            <v>0</v>
          </cell>
        </row>
        <row r="1568">
          <cell r="J1568" t="str">
            <v/>
          </cell>
          <cell r="K1568">
            <v>0</v>
          </cell>
        </row>
        <row r="1569">
          <cell r="J1569" t="str">
            <v/>
          </cell>
          <cell r="K1569">
            <v>0</v>
          </cell>
        </row>
        <row r="1570">
          <cell r="J1570" t="str">
            <v/>
          </cell>
          <cell r="K1570">
            <v>0</v>
          </cell>
        </row>
        <row r="1571">
          <cell r="J1571" t="str">
            <v/>
          </cell>
          <cell r="K1571">
            <v>0</v>
          </cell>
        </row>
        <row r="1572">
          <cell r="J1572" t="str">
            <v/>
          </cell>
          <cell r="K1572">
            <v>0</v>
          </cell>
        </row>
        <row r="1573">
          <cell r="J1573" t="str">
            <v/>
          </cell>
          <cell r="K1573">
            <v>0</v>
          </cell>
        </row>
        <row r="1574">
          <cell r="J1574" t="str">
            <v/>
          </cell>
          <cell r="K1574">
            <v>0</v>
          </cell>
        </row>
        <row r="1575">
          <cell r="J1575" t="str">
            <v/>
          </cell>
          <cell r="K1575">
            <v>0</v>
          </cell>
        </row>
        <row r="1576">
          <cell r="J1576" t="str">
            <v/>
          </cell>
          <cell r="K1576">
            <v>0</v>
          </cell>
        </row>
        <row r="1577">
          <cell r="J1577" t="str">
            <v/>
          </cell>
          <cell r="K1577">
            <v>0</v>
          </cell>
        </row>
        <row r="1578">
          <cell r="J1578" t="str">
            <v/>
          </cell>
          <cell r="K1578">
            <v>0</v>
          </cell>
        </row>
        <row r="1579">
          <cell r="J1579" t="str">
            <v/>
          </cell>
          <cell r="K1579">
            <v>0</v>
          </cell>
        </row>
        <row r="1580">
          <cell r="J1580" t="str">
            <v/>
          </cell>
          <cell r="K1580">
            <v>0</v>
          </cell>
        </row>
        <row r="1581">
          <cell r="J1581" t="str">
            <v/>
          </cell>
          <cell r="K1581">
            <v>0</v>
          </cell>
        </row>
        <row r="1582">
          <cell r="J1582" t="str">
            <v/>
          </cell>
          <cell r="K1582">
            <v>0</v>
          </cell>
        </row>
        <row r="1583">
          <cell r="J1583" t="str">
            <v/>
          </cell>
          <cell r="K1583">
            <v>0</v>
          </cell>
        </row>
        <row r="1584">
          <cell r="J1584" t="str">
            <v/>
          </cell>
          <cell r="K1584">
            <v>0</v>
          </cell>
        </row>
        <row r="1585">
          <cell r="J1585" t="str">
            <v/>
          </cell>
          <cell r="K1585">
            <v>0</v>
          </cell>
        </row>
        <row r="1586">
          <cell r="J1586" t="str">
            <v/>
          </cell>
          <cell r="K1586">
            <v>0</v>
          </cell>
        </row>
        <row r="1587">
          <cell r="J1587" t="str">
            <v/>
          </cell>
          <cell r="K1587">
            <v>0</v>
          </cell>
        </row>
        <row r="1588">
          <cell r="J1588" t="str">
            <v/>
          </cell>
          <cell r="K1588">
            <v>0</v>
          </cell>
        </row>
        <row r="1589">
          <cell r="J1589" t="str">
            <v/>
          </cell>
          <cell r="K1589">
            <v>0</v>
          </cell>
        </row>
        <row r="1590">
          <cell r="J1590" t="str">
            <v/>
          </cell>
          <cell r="K1590">
            <v>0</v>
          </cell>
        </row>
        <row r="1591">
          <cell r="J1591" t="str">
            <v/>
          </cell>
          <cell r="K1591">
            <v>0</v>
          </cell>
        </row>
        <row r="1592">
          <cell r="J1592" t="str">
            <v/>
          </cell>
          <cell r="K1592">
            <v>0</v>
          </cell>
        </row>
        <row r="1593">
          <cell r="J1593" t="str">
            <v/>
          </cell>
          <cell r="K1593">
            <v>0</v>
          </cell>
        </row>
        <row r="1594">
          <cell r="J1594" t="str">
            <v/>
          </cell>
          <cell r="K1594">
            <v>0</v>
          </cell>
        </row>
        <row r="1595">
          <cell r="J1595" t="str">
            <v/>
          </cell>
          <cell r="K1595">
            <v>0</v>
          </cell>
        </row>
        <row r="1596">
          <cell r="J1596" t="str">
            <v/>
          </cell>
          <cell r="K1596">
            <v>0</v>
          </cell>
        </row>
        <row r="1597">
          <cell r="J1597" t="str">
            <v/>
          </cell>
          <cell r="K1597">
            <v>0</v>
          </cell>
        </row>
        <row r="1598">
          <cell r="J1598" t="str">
            <v/>
          </cell>
          <cell r="K1598">
            <v>0</v>
          </cell>
        </row>
        <row r="1599">
          <cell r="J1599" t="str">
            <v/>
          </cell>
          <cell r="K1599">
            <v>0</v>
          </cell>
        </row>
        <row r="1600">
          <cell r="J1600" t="str">
            <v/>
          </cell>
          <cell r="K1600">
            <v>0</v>
          </cell>
        </row>
        <row r="1601">
          <cell r="J1601" t="str">
            <v/>
          </cell>
          <cell r="K1601">
            <v>0</v>
          </cell>
        </row>
        <row r="1602">
          <cell r="J1602" t="str">
            <v/>
          </cell>
          <cell r="K1602">
            <v>0</v>
          </cell>
        </row>
        <row r="1603">
          <cell r="J1603" t="str">
            <v/>
          </cell>
          <cell r="K1603">
            <v>0</v>
          </cell>
        </row>
        <row r="1604">
          <cell r="J1604" t="str">
            <v/>
          </cell>
          <cell r="K1604">
            <v>0</v>
          </cell>
        </row>
        <row r="1605">
          <cell r="J1605" t="str">
            <v/>
          </cell>
          <cell r="K1605">
            <v>0</v>
          </cell>
        </row>
        <row r="1606">
          <cell r="J1606" t="str">
            <v/>
          </cell>
          <cell r="K1606">
            <v>0</v>
          </cell>
        </row>
        <row r="1607">
          <cell r="J1607" t="str">
            <v/>
          </cell>
          <cell r="K1607">
            <v>0</v>
          </cell>
        </row>
        <row r="1608">
          <cell r="J1608" t="str">
            <v/>
          </cell>
          <cell r="K1608">
            <v>0</v>
          </cell>
        </row>
        <row r="1609">
          <cell r="J1609" t="str">
            <v/>
          </cell>
          <cell r="K1609">
            <v>0</v>
          </cell>
        </row>
        <row r="1610">
          <cell r="J1610" t="str">
            <v/>
          </cell>
          <cell r="K1610">
            <v>0</v>
          </cell>
        </row>
        <row r="1611">
          <cell r="J1611" t="str">
            <v/>
          </cell>
          <cell r="K1611">
            <v>0</v>
          </cell>
        </row>
        <row r="1612">
          <cell r="J1612" t="str">
            <v/>
          </cell>
          <cell r="K1612">
            <v>0</v>
          </cell>
        </row>
        <row r="1613">
          <cell r="J1613" t="str">
            <v/>
          </cell>
          <cell r="K1613">
            <v>0</v>
          </cell>
        </row>
        <row r="1614">
          <cell r="J1614" t="str">
            <v/>
          </cell>
          <cell r="K1614">
            <v>0</v>
          </cell>
        </row>
        <row r="1615">
          <cell r="J1615" t="str">
            <v/>
          </cell>
          <cell r="K1615">
            <v>0</v>
          </cell>
        </row>
        <row r="1616">
          <cell r="J1616" t="str">
            <v/>
          </cell>
          <cell r="K1616">
            <v>0</v>
          </cell>
        </row>
        <row r="1617">
          <cell r="J1617" t="str">
            <v/>
          </cell>
          <cell r="K1617">
            <v>0</v>
          </cell>
        </row>
        <row r="1618">
          <cell r="J1618" t="str">
            <v/>
          </cell>
          <cell r="K1618">
            <v>0</v>
          </cell>
        </row>
        <row r="1619">
          <cell r="J1619" t="str">
            <v/>
          </cell>
          <cell r="K1619">
            <v>0</v>
          </cell>
        </row>
        <row r="1620">
          <cell r="J1620" t="str">
            <v/>
          </cell>
          <cell r="K1620">
            <v>0</v>
          </cell>
        </row>
        <row r="1621">
          <cell r="J1621" t="str">
            <v/>
          </cell>
          <cell r="K1621">
            <v>0</v>
          </cell>
        </row>
        <row r="1622">
          <cell r="J1622" t="str">
            <v/>
          </cell>
          <cell r="K1622">
            <v>0</v>
          </cell>
        </row>
        <row r="1623">
          <cell r="J1623" t="str">
            <v/>
          </cell>
          <cell r="K1623">
            <v>0</v>
          </cell>
        </row>
        <row r="1624">
          <cell r="J1624" t="str">
            <v/>
          </cell>
          <cell r="K1624">
            <v>0</v>
          </cell>
        </row>
        <row r="1625">
          <cell r="J1625" t="str">
            <v/>
          </cell>
          <cell r="K1625">
            <v>0</v>
          </cell>
        </row>
        <row r="1626">
          <cell r="J1626" t="str">
            <v/>
          </cell>
          <cell r="K1626">
            <v>0</v>
          </cell>
        </row>
        <row r="1627">
          <cell r="J1627" t="str">
            <v/>
          </cell>
          <cell r="K1627">
            <v>0</v>
          </cell>
        </row>
        <row r="1628">
          <cell r="J1628" t="str">
            <v/>
          </cell>
          <cell r="K1628">
            <v>0</v>
          </cell>
        </row>
        <row r="1629">
          <cell r="J1629" t="str">
            <v/>
          </cell>
          <cell r="K1629">
            <v>0</v>
          </cell>
        </row>
        <row r="1630">
          <cell r="J1630" t="str">
            <v/>
          </cell>
          <cell r="K1630">
            <v>0</v>
          </cell>
        </row>
        <row r="1631">
          <cell r="J1631" t="str">
            <v/>
          </cell>
          <cell r="K1631">
            <v>0</v>
          </cell>
        </row>
        <row r="1632">
          <cell r="J1632" t="str">
            <v/>
          </cell>
          <cell r="K1632">
            <v>0</v>
          </cell>
        </row>
        <row r="1633">
          <cell r="J1633" t="str">
            <v/>
          </cell>
          <cell r="K1633">
            <v>0</v>
          </cell>
        </row>
        <row r="1634">
          <cell r="J1634" t="str">
            <v/>
          </cell>
          <cell r="K1634">
            <v>0</v>
          </cell>
        </row>
        <row r="1635">
          <cell r="J1635" t="str">
            <v/>
          </cell>
          <cell r="K1635">
            <v>0</v>
          </cell>
        </row>
        <row r="1636">
          <cell r="J1636" t="str">
            <v/>
          </cell>
          <cell r="K1636">
            <v>0</v>
          </cell>
        </row>
        <row r="1637">
          <cell r="J1637" t="str">
            <v/>
          </cell>
          <cell r="K1637">
            <v>0</v>
          </cell>
        </row>
        <row r="1638">
          <cell r="J1638" t="str">
            <v/>
          </cell>
          <cell r="K1638">
            <v>0</v>
          </cell>
        </row>
        <row r="1639">
          <cell r="J1639" t="str">
            <v/>
          </cell>
          <cell r="K1639">
            <v>0</v>
          </cell>
        </row>
        <row r="1640">
          <cell r="J1640" t="str">
            <v/>
          </cell>
          <cell r="K1640">
            <v>0</v>
          </cell>
        </row>
        <row r="1641">
          <cell r="J1641" t="str">
            <v/>
          </cell>
          <cell r="K1641">
            <v>0</v>
          </cell>
        </row>
        <row r="1642">
          <cell r="J1642" t="str">
            <v/>
          </cell>
          <cell r="K1642">
            <v>0</v>
          </cell>
        </row>
        <row r="1643">
          <cell r="J1643" t="str">
            <v/>
          </cell>
          <cell r="K1643">
            <v>0</v>
          </cell>
        </row>
        <row r="1644">
          <cell r="J1644" t="str">
            <v/>
          </cell>
          <cell r="K1644">
            <v>0</v>
          </cell>
        </row>
        <row r="1645">
          <cell r="J1645" t="str">
            <v/>
          </cell>
          <cell r="K1645">
            <v>0</v>
          </cell>
        </row>
        <row r="1646">
          <cell r="J1646" t="str">
            <v/>
          </cell>
          <cell r="K1646">
            <v>0</v>
          </cell>
        </row>
        <row r="1647">
          <cell r="J1647" t="str">
            <v/>
          </cell>
          <cell r="K1647">
            <v>0</v>
          </cell>
        </row>
        <row r="1648">
          <cell r="J1648" t="str">
            <v/>
          </cell>
          <cell r="K1648">
            <v>0</v>
          </cell>
        </row>
        <row r="1649">
          <cell r="J1649" t="str">
            <v/>
          </cell>
          <cell r="K1649">
            <v>0</v>
          </cell>
        </row>
        <row r="1650">
          <cell r="J1650" t="str">
            <v/>
          </cell>
          <cell r="K1650">
            <v>0</v>
          </cell>
        </row>
        <row r="1651">
          <cell r="J1651" t="str">
            <v/>
          </cell>
          <cell r="K1651">
            <v>0</v>
          </cell>
        </row>
        <row r="1652">
          <cell r="J1652" t="str">
            <v/>
          </cell>
          <cell r="K1652">
            <v>0</v>
          </cell>
        </row>
        <row r="1653">
          <cell r="J1653" t="str">
            <v/>
          </cell>
          <cell r="K1653">
            <v>0</v>
          </cell>
        </row>
        <row r="1654">
          <cell r="J1654" t="str">
            <v/>
          </cell>
          <cell r="K1654">
            <v>0</v>
          </cell>
        </row>
        <row r="1655">
          <cell r="J1655" t="str">
            <v/>
          </cell>
          <cell r="K1655">
            <v>0</v>
          </cell>
        </row>
        <row r="1656">
          <cell r="J1656" t="str">
            <v/>
          </cell>
          <cell r="K1656">
            <v>0</v>
          </cell>
        </row>
        <row r="1657">
          <cell r="J1657" t="str">
            <v/>
          </cell>
          <cell r="K1657">
            <v>0</v>
          </cell>
        </row>
        <row r="1658">
          <cell r="J1658" t="str">
            <v/>
          </cell>
          <cell r="K1658">
            <v>0</v>
          </cell>
        </row>
        <row r="1659">
          <cell r="J1659" t="str">
            <v/>
          </cell>
          <cell r="K1659">
            <v>0</v>
          </cell>
        </row>
        <row r="1660">
          <cell r="J1660" t="str">
            <v/>
          </cell>
          <cell r="K1660">
            <v>0</v>
          </cell>
        </row>
        <row r="1661">
          <cell r="J1661" t="str">
            <v/>
          </cell>
          <cell r="K1661">
            <v>0</v>
          </cell>
        </row>
        <row r="1662">
          <cell r="J1662" t="str">
            <v/>
          </cell>
          <cell r="K1662">
            <v>0</v>
          </cell>
        </row>
        <row r="1663">
          <cell r="J1663" t="str">
            <v/>
          </cell>
          <cell r="K1663">
            <v>0</v>
          </cell>
        </row>
        <row r="1664">
          <cell r="J1664" t="str">
            <v/>
          </cell>
          <cell r="K1664">
            <v>0</v>
          </cell>
        </row>
        <row r="1665">
          <cell r="J1665" t="str">
            <v/>
          </cell>
          <cell r="K1665">
            <v>0</v>
          </cell>
        </row>
        <row r="1666">
          <cell r="J1666" t="str">
            <v/>
          </cell>
          <cell r="K1666">
            <v>0</v>
          </cell>
        </row>
        <row r="1667">
          <cell r="J1667" t="str">
            <v/>
          </cell>
          <cell r="K1667">
            <v>0</v>
          </cell>
        </row>
        <row r="1668">
          <cell r="J1668" t="str">
            <v/>
          </cell>
          <cell r="K1668">
            <v>0</v>
          </cell>
        </row>
        <row r="1669">
          <cell r="J1669" t="str">
            <v/>
          </cell>
          <cell r="K1669">
            <v>0</v>
          </cell>
        </row>
        <row r="1670">
          <cell r="J1670" t="str">
            <v/>
          </cell>
          <cell r="K1670">
            <v>0</v>
          </cell>
        </row>
        <row r="1671">
          <cell r="J1671" t="str">
            <v/>
          </cell>
          <cell r="K1671">
            <v>0</v>
          </cell>
        </row>
        <row r="1672">
          <cell r="J1672" t="str">
            <v/>
          </cell>
          <cell r="K1672">
            <v>0</v>
          </cell>
        </row>
        <row r="1673">
          <cell r="J1673" t="str">
            <v/>
          </cell>
          <cell r="K1673">
            <v>0</v>
          </cell>
        </row>
        <row r="1674">
          <cell r="J1674" t="str">
            <v/>
          </cell>
          <cell r="K1674">
            <v>0</v>
          </cell>
        </row>
        <row r="1675">
          <cell r="J1675" t="str">
            <v/>
          </cell>
          <cell r="K1675">
            <v>0</v>
          </cell>
        </row>
        <row r="1676">
          <cell r="J1676" t="str">
            <v/>
          </cell>
          <cell r="K1676">
            <v>0</v>
          </cell>
        </row>
        <row r="1677">
          <cell r="J1677" t="str">
            <v/>
          </cell>
          <cell r="K1677">
            <v>0</v>
          </cell>
        </row>
        <row r="1678">
          <cell r="J1678" t="str">
            <v/>
          </cell>
          <cell r="K1678">
            <v>0</v>
          </cell>
        </row>
        <row r="1679">
          <cell r="J1679" t="str">
            <v/>
          </cell>
          <cell r="K1679">
            <v>0</v>
          </cell>
        </row>
        <row r="1680">
          <cell r="J1680" t="str">
            <v/>
          </cell>
          <cell r="K1680">
            <v>0</v>
          </cell>
        </row>
        <row r="1681">
          <cell r="J1681" t="str">
            <v/>
          </cell>
          <cell r="K1681">
            <v>0</v>
          </cell>
        </row>
        <row r="1682">
          <cell r="J1682" t="str">
            <v/>
          </cell>
          <cell r="K1682">
            <v>0</v>
          </cell>
        </row>
        <row r="1683">
          <cell r="J1683" t="str">
            <v/>
          </cell>
          <cell r="K1683">
            <v>0</v>
          </cell>
        </row>
        <row r="1684">
          <cell r="J1684" t="str">
            <v/>
          </cell>
          <cell r="K1684">
            <v>0</v>
          </cell>
        </row>
        <row r="1685">
          <cell r="J1685" t="str">
            <v/>
          </cell>
          <cell r="K1685">
            <v>0</v>
          </cell>
        </row>
        <row r="1686">
          <cell r="J1686" t="str">
            <v/>
          </cell>
          <cell r="K1686">
            <v>0</v>
          </cell>
        </row>
        <row r="1687">
          <cell r="J1687" t="str">
            <v/>
          </cell>
          <cell r="K1687">
            <v>0</v>
          </cell>
        </row>
        <row r="1688">
          <cell r="J1688" t="str">
            <v/>
          </cell>
          <cell r="K1688">
            <v>0</v>
          </cell>
        </row>
        <row r="1689">
          <cell r="J1689" t="str">
            <v/>
          </cell>
          <cell r="K1689">
            <v>0</v>
          </cell>
        </row>
        <row r="1690">
          <cell r="J1690" t="str">
            <v/>
          </cell>
          <cell r="K1690">
            <v>0</v>
          </cell>
        </row>
        <row r="1691">
          <cell r="J1691" t="str">
            <v/>
          </cell>
          <cell r="K1691">
            <v>0</v>
          </cell>
        </row>
        <row r="1692">
          <cell r="J1692" t="str">
            <v/>
          </cell>
          <cell r="K1692">
            <v>0</v>
          </cell>
        </row>
        <row r="1693">
          <cell r="J1693" t="str">
            <v/>
          </cell>
          <cell r="K1693">
            <v>0</v>
          </cell>
        </row>
        <row r="1694">
          <cell r="J1694" t="str">
            <v/>
          </cell>
          <cell r="K1694">
            <v>0</v>
          </cell>
        </row>
        <row r="1695">
          <cell r="J1695" t="str">
            <v/>
          </cell>
          <cell r="K1695">
            <v>0</v>
          </cell>
        </row>
        <row r="1696">
          <cell r="J1696" t="str">
            <v/>
          </cell>
          <cell r="K1696">
            <v>0</v>
          </cell>
        </row>
        <row r="1697">
          <cell r="J1697" t="str">
            <v/>
          </cell>
          <cell r="K1697">
            <v>0</v>
          </cell>
        </row>
        <row r="1698">
          <cell r="J1698" t="str">
            <v/>
          </cell>
          <cell r="K1698">
            <v>0</v>
          </cell>
        </row>
        <row r="1699">
          <cell r="J1699" t="str">
            <v/>
          </cell>
          <cell r="K1699">
            <v>0</v>
          </cell>
        </row>
        <row r="1700">
          <cell r="J1700" t="str">
            <v/>
          </cell>
          <cell r="K1700">
            <v>0</v>
          </cell>
        </row>
        <row r="1701">
          <cell r="J1701" t="str">
            <v/>
          </cell>
          <cell r="K1701">
            <v>0</v>
          </cell>
        </row>
        <row r="1702">
          <cell r="J1702" t="str">
            <v/>
          </cell>
          <cell r="K1702">
            <v>0</v>
          </cell>
        </row>
        <row r="1703">
          <cell r="J1703" t="str">
            <v/>
          </cell>
          <cell r="K1703">
            <v>0</v>
          </cell>
        </row>
        <row r="1704">
          <cell r="J1704" t="str">
            <v/>
          </cell>
          <cell r="K1704">
            <v>0</v>
          </cell>
        </row>
        <row r="1705">
          <cell r="J1705" t="str">
            <v/>
          </cell>
          <cell r="K1705">
            <v>0</v>
          </cell>
        </row>
        <row r="1706">
          <cell r="J1706" t="str">
            <v/>
          </cell>
          <cell r="K1706">
            <v>0</v>
          </cell>
        </row>
        <row r="1707">
          <cell r="J1707" t="str">
            <v/>
          </cell>
          <cell r="K1707">
            <v>0</v>
          </cell>
        </row>
        <row r="1708">
          <cell r="J1708" t="str">
            <v/>
          </cell>
          <cell r="K1708">
            <v>0</v>
          </cell>
        </row>
        <row r="1709">
          <cell r="J1709" t="str">
            <v/>
          </cell>
          <cell r="K1709">
            <v>0</v>
          </cell>
        </row>
        <row r="1710">
          <cell r="J1710" t="str">
            <v/>
          </cell>
          <cell r="K1710">
            <v>0</v>
          </cell>
        </row>
        <row r="1711">
          <cell r="J1711" t="str">
            <v/>
          </cell>
          <cell r="K1711">
            <v>0</v>
          </cell>
        </row>
        <row r="1712">
          <cell r="J1712" t="str">
            <v/>
          </cell>
          <cell r="K1712">
            <v>0</v>
          </cell>
        </row>
        <row r="1713">
          <cell r="J1713" t="str">
            <v/>
          </cell>
          <cell r="K1713">
            <v>0</v>
          </cell>
        </row>
        <row r="1714">
          <cell r="J1714" t="str">
            <v/>
          </cell>
          <cell r="K1714">
            <v>0</v>
          </cell>
        </row>
        <row r="1715">
          <cell r="J1715" t="str">
            <v/>
          </cell>
          <cell r="K1715">
            <v>0</v>
          </cell>
        </row>
        <row r="1716">
          <cell r="J1716" t="str">
            <v/>
          </cell>
          <cell r="K1716">
            <v>0</v>
          </cell>
        </row>
        <row r="1717">
          <cell r="J1717" t="str">
            <v/>
          </cell>
          <cell r="K1717">
            <v>0</v>
          </cell>
        </row>
        <row r="1718">
          <cell r="J1718" t="str">
            <v/>
          </cell>
          <cell r="K1718">
            <v>0</v>
          </cell>
        </row>
        <row r="1719">
          <cell r="J1719" t="str">
            <v/>
          </cell>
          <cell r="K1719">
            <v>0</v>
          </cell>
        </row>
        <row r="1720">
          <cell r="J1720" t="str">
            <v/>
          </cell>
          <cell r="K1720">
            <v>0</v>
          </cell>
        </row>
        <row r="1721">
          <cell r="J1721" t="str">
            <v/>
          </cell>
          <cell r="K1721">
            <v>0</v>
          </cell>
        </row>
        <row r="1722">
          <cell r="J1722" t="str">
            <v/>
          </cell>
          <cell r="K1722">
            <v>0</v>
          </cell>
        </row>
        <row r="1723">
          <cell r="J1723" t="str">
            <v/>
          </cell>
          <cell r="K1723">
            <v>0</v>
          </cell>
        </row>
        <row r="1724">
          <cell r="J1724" t="str">
            <v/>
          </cell>
          <cell r="K1724">
            <v>0</v>
          </cell>
        </row>
        <row r="1725">
          <cell r="J1725" t="str">
            <v/>
          </cell>
          <cell r="K1725">
            <v>0</v>
          </cell>
        </row>
        <row r="1726">
          <cell r="J1726" t="str">
            <v/>
          </cell>
          <cell r="K1726">
            <v>0</v>
          </cell>
        </row>
        <row r="1727">
          <cell r="J1727" t="str">
            <v/>
          </cell>
          <cell r="K1727">
            <v>0</v>
          </cell>
        </row>
        <row r="1728">
          <cell r="J1728" t="str">
            <v/>
          </cell>
          <cell r="K1728">
            <v>0</v>
          </cell>
        </row>
        <row r="1729">
          <cell r="J1729" t="str">
            <v/>
          </cell>
          <cell r="K1729">
            <v>0</v>
          </cell>
        </row>
        <row r="1730">
          <cell r="J1730" t="str">
            <v/>
          </cell>
          <cell r="K1730">
            <v>0</v>
          </cell>
        </row>
        <row r="1731">
          <cell r="J1731" t="str">
            <v/>
          </cell>
          <cell r="K1731">
            <v>0</v>
          </cell>
        </row>
        <row r="1732">
          <cell r="J1732" t="str">
            <v/>
          </cell>
          <cell r="K1732">
            <v>0</v>
          </cell>
        </row>
        <row r="1733">
          <cell r="J1733" t="str">
            <v/>
          </cell>
          <cell r="K1733">
            <v>0</v>
          </cell>
        </row>
        <row r="1734">
          <cell r="J1734" t="str">
            <v/>
          </cell>
          <cell r="K1734">
            <v>0</v>
          </cell>
        </row>
        <row r="1735">
          <cell r="J1735" t="str">
            <v/>
          </cell>
          <cell r="K1735">
            <v>0</v>
          </cell>
        </row>
        <row r="1736">
          <cell r="J1736" t="str">
            <v/>
          </cell>
          <cell r="K1736">
            <v>0</v>
          </cell>
        </row>
        <row r="1737">
          <cell r="J1737" t="str">
            <v/>
          </cell>
          <cell r="K1737">
            <v>0</v>
          </cell>
        </row>
        <row r="1738">
          <cell r="J1738" t="str">
            <v/>
          </cell>
          <cell r="K1738">
            <v>0</v>
          </cell>
        </row>
        <row r="1739">
          <cell r="J1739" t="str">
            <v/>
          </cell>
          <cell r="K1739">
            <v>0</v>
          </cell>
        </row>
        <row r="1740">
          <cell r="J1740" t="str">
            <v/>
          </cell>
          <cell r="K1740">
            <v>0</v>
          </cell>
        </row>
        <row r="1741">
          <cell r="J1741" t="str">
            <v/>
          </cell>
          <cell r="K1741">
            <v>0</v>
          </cell>
        </row>
        <row r="1742">
          <cell r="J1742" t="str">
            <v/>
          </cell>
          <cell r="K1742">
            <v>0</v>
          </cell>
        </row>
        <row r="1743">
          <cell r="J1743" t="str">
            <v/>
          </cell>
          <cell r="K1743">
            <v>0</v>
          </cell>
        </row>
        <row r="1744">
          <cell r="J1744" t="str">
            <v/>
          </cell>
          <cell r="K1744">
            <v>0</v>
          </cell>
        </row>
        <row r="1745">
          <cell r="J1745" t="str">
            <v/>
          </cell>
          <cell r="K1745">
            <v>0</v>
          </cell>
        </row>
        <row r="1746">
          <cell r="J1746" t="str">
            <v/>
          </cell>
          <cell r="K1746">
            <v>0</v>
          </cell>
        </row>
        <row r="1747">
          <cell r="J1747" t="str">
            <v/>
          </cell>
          <cell r="K1747">
            <v>0</v>
          </cell>
        </row>
        <row r="1748">
          <cell r="J1748" t="str">
            <v/>
          </cell>
          <cell r="K1748">
            <v>0</v>
          </cell>
        </row>
        <row r="1749">
          <cell r="J1749" t="str">
            <v/>
          </cell>
          <cell r="K1749">
            <v>0</v>
          </cell>
        </row>
        <row r="1750">
          <cell r="J1750" t="str">
            <v/>
          </cell>
          <cell r="K1750">
            <v>0</v>
          </cell>
        </row>
        <row r="1751">
          <cell r="J1751" t="str">
            <v/>
          </cell>
          <cell r="K1751">
            <v>0</v>
          </cell>
        </row>
        <row r="1752">
          <cell r="J1752" t="str">
            <v/>
          </cell>
          <cell r="K1752">
            <v>0</v>
          </cell>
        </row>
        <row r="1753">
          <cell r="J1753" t="str">
            <v/>
          </cell>
          <cell r="K1753">
            <v>0</v>
          </cell>
        </row>
        <row r="1754">
          <cell r="J1754" t="str">
            <v/>
          </cell>
          <cell r="K1754">
            <v>0</v>
          </cell>
        </row>
        <row r="1755">
          <cell r="J1755" t="str">
            <v/>
          </cell>
          <cell r="K1755">
            <v>0</v>
          </cell>
        </row>
        <row r="1756">
          <cell r="J1756" t="str">
            <v/>
          </cell>
          <cell r="K1756">
            <v>0</v>
          </cell>
        </row>
        <row r="1757">
          <cell r="J1757" t="str">
            <v/>
          </cell>
          <cell r="K1757">
            <v>0</v>
          </cell>
        </row>
        <row r="1758">
          <cell r="J1758" t="str">
            <v/>
          </cell>
          <cell r="K1758">
            <v>0</v>
          </cell>
        </row>
        <row r="1759">
          <cell r="J1759" t="str">
            <v/>
          </cell>
          <cell r="K1759">
            <v>0</v>
          </cell>
        </row>
        <row r="1760">
          <cell r="J1760" t="str">
            <v/>
          </cell>
          <cell r="K1760">
            <v>0</v>
          </cell>
        </row>
        <row r="1761">
          <cell r="J1761" t="str">
            <v/>
          </cell>
          <cell r="K1761">
            <v>0</v>
          </cell>
        </row>
        <row r="1762">
          <cell r="J1762" t="str">
            <v/>
          </cell>
          <cell r="K1762">
            <v>0</v>
          </cell>
        </row>
        <row r="1763">
          <cell r="J1763" t="str">
            <v/>
          </cell>
          <cell r="K1763">
            <v>0</v>
          </cell>
        </row>
        <row r="1764">
          <cell r="J1764" t="str">
            <v/>
          </cell>
          <cell r="K1764">
            <v>0</v>
          </cell>
        </row>
        <row r="1765">
          <cell r="J1765" t="str">
            <v/>
          </cell>
          <cell r="K1765">
            <v>0</v>
          </cell>
        </row>
        <row r="1766">
          <cell r="J1766" t="str">
            <v/>
          </cell>
          <cell r="K1766">
            <v>0</v>
          </cell>
        </row>
        <row r="1767">
          <cell r="J1767" t="str">
            <v/>
          </cell>
          <cell r="K1767">
            <v>0</v>
          </cell>
        </row>
        <row r="1768">
          <cell r="J1768" t="str">
            <v/>
          </cell>
          <cell r="K1768">
            <v>0</v>
          </cell>
        </row>
        <row r="1769">
          <cell r="J1769" t="str">
            <v/>
          </cell>
          <cell r="K1769">
            <v>0</v>
          </cell>
        </row>
        <row r="1770">
          <cell r="J1770" t="str">
            <v/>
          </cell>
          <cell r="K1770">
            <v>0</v>
          </cell>
        </row>
        <row r="1771">
          <cell r="J1771" t="str">
            <v/>
          </cell>
          <cell r="K1771">
            <v>0</v>
          </cell>
        </row>
        <row r="1772">
          <cell r="J1772" t="str">
            <v/>
          </cell>
          <cell r="K1772">
            <v>0</v>
          </cell>
        </row>
        <row r="1773">
          <cell r="J1773" t="str">
            <v/>
          </cell>
          <cell r="K1773">
            <v>0</v>
          </cell>
        </row>
        <row r="1774">
          <cell r="J1774" t="str">
            <v/>
          </cell>
          <cell r="K1774">
            <v>0</v>
          </cell>
        </row>
        <row r="1775">
          <cell r="J1775" t="str">
            <v/>
          </cell>
          <cell r="K1775">
            <v>0</v>
          </cell>
        </row>
        <row r="1776">
          <cell r="J1776" t="str">
            <v/>
          </cell>
          <cell r="K1776">
            <v>0</v>
          </cell>
        </row>
        <row r="1777">
          <cell r="J1777" t="str">
            <v/>
          </cell>
          <cell r="K1777">
            <v>0</v>
          </cell>
        </row>
        <row r="1778">
          <cell r="J1778" t="str">
            <v/>
          </cell>
          <cell r="K1778">
            <v>0</v>
          </cell>
        </row>
        <row r="1779">
          <cell r="J1779" t="str">
            <v/>
          </cell>
          <cell r="K1779">
            <v>0</v>
          </cell>
        </row>
        <row r="1780">
          <cell r="J1780" t="str">
            <v/>
          </cell>
          <cell r="K1780">
            <v>0</v>
          </cell>
        </row>
        <row r="1781">
          <cell r="J1781" t="str">
            <v/>
          </cell>
          <cell r="K1781">
            <v>0</v>
          </cell>
        </row>
        <row r="1782">
          <cell r="J1782" t="str">
            <v/>
          </cell>
          <cell r="K1782">
            <v>0</v>
          </cell>
        </row>
        <row r="1783">
          <cell r="J1783" t="str">
            <v/>
          </cell>
          <cell r="K1783">
            <v>0</v>
          </cell>
        </row>
        <row r="1784">
          <cell r="J1784" t="str">
            <v/>
          </cell>
          <cell r="K1784">
            <v>0</v>
          </cell>
        </row>
        <row r="1785">
          <cell r="J1785" t="str">
            <v/>
          </cell>
          <cell r="K1785">
            <v>0</v>
          </cell>
        </row>
        <row r="1786">
          <cell r="J1786" t="str">
            <v/>
          </cell>
          <cell r="K1786">
            <v>0</v>
          </cell>
        </row>
        <row r="1787">
          <cell r="J1787" t="str">
            <v/>
          </cell>
          <cell r="K1787">
            <v>0</v>
          </cell>
        </row>
        <row r="1788">
          <cell r="J1788" t="str">
            <v/>
          </cell>
          <cell r="K1788">
            <v>0</v>
          </cell>
        </row>
        <row r="1789">
          <cell r="J1789" t="str">
            <v/>
          </cell>
          <cell r="K1789">
            <v>0</v>
          </cell>
        </row>
        <row r="1790">
          <cell r="J1790" t="str">
            <v/>
          </cell>
          <cell r="K1790">
            <v>0</v>
          </cell>
        </row>
        <row r="1791">
          <cell r="J1791" t="str">
            <v/>
          </cell>
          <cell r="K1791">
            <v>0</v>
          </cell>
        </row>
        <row r="1792">
          <cell r="J1792" t="str">
            <v/>
          </cell>
          <cell r="K1792">
            <v>0</v>
          </cell>
        </row>
        <row r="1793">
          <cell r="J1793" t="str">
            <v/>
          </cell>
          <cell r="K1793">
            <v>0</v>
          </cell>
        </row>
        <row r="1794">
          <cell r="J1794" t="str">
            <v/>
          </cell>
          <cell r="K1794">
            <v>0</v>
          </cell>
        </row>
        <row r="1795">
          <cell r="J1795" t="str">
            <v/>
          </cell>
          <cell r="K1795">
            <v>0</v>
          </cell>
        </row>
        <row r="1796">
          <cell r="J1796" t="str">
            <v/>
          </cell>
          <cell r="K1796">
            <v>0</v>
          </cell>
        </row>
        <row r="1797">
          <cell r="J1797" t="str">
            <v/>
          </cell>
          <cell r="K1797">
            <v>0</v>
          </cell>
        </row>
        <row r="1798">
          <cell r="J1798" t="str">
            <v/>
          </cell>
          <cell r="K1798">
            <v>0</v>
          </cell>
        </row>
        <row r="1799">
          <cell r="J1799" t="str">
            <v/>
          </cell>
          <cell r="K1799">
            <v>0</v>
          </cell>
        </row>
        <row r="1800">
          <cell r="J1800" t="str">
            <v/>
          </cell>
          <cell r="K1800">
            <v>0</v>
          </cell>
        </row>
        <row r="1801">
          <cell r="J1801" t="str">
            <v/>
          </cell>
          <cell r="K1801">
            <v>0</v>
          </cell>
        </row>
        <row r="1802">
          <cell r="J1802" t="str">
            <v/>
          </cell>
          <cell r="K1802">
            <v>0</v>
          </cell>
        </row>
        <row r="1803">
          <cell r="J1803" t="str">
            <v/>
          </cell>
          <cell r="K1803">
            <v>0</v>
          </cell>
        </row>
        <row r="1804">
          <cell r="J1804" t="str">
            <v/>
          </cell>
          <cell r="K1804">
            <v>0</v>
          </cell>
        </row>
        <row r="1805">
          <cell r="J1805" t="str">
            <v/>
          </cell>
          <cell r="K1805">
            <v>0</v>
          </cell>
        </row>
        <row r="1806">
          <cell r="J1806" t="str">
            <v/>
          </cell>
          <cell r="K1806">
            <v>0</v>
          </cell>
        </row>
        <row r="1807">
          <cell r="J1807" t="str">
            <v/>
          </cell>
          <cell r="K1807">
            <v>0</v>
          </cell>
        </row>
        <row r="1808">
          <cell r="J1808" t="str">
            <v/>
          </cell>
          <cell r="K1808">
            <v>0</v>
          </cell>
        </row>
        <row r="1809">
          <cell r="J1809" t="str">
            <v/>
          </cell>
          <cell r="K1809">
            <v>0</v>
          </cell>
        </row>
        <row r="1810">
          <cell r="J1810" t="str">
            <v/>
          </cell>
          <cell r="K1810">
            <v>0</v>
          </cell>
        </row>
        <row r="1811">
          <cell r="J1811" t="str">
            <v/>
          </cell>
          <cell r="K1811">
            <v>0</v>
          </cell>
        </row>
        <row r="1812">
          <cell r="J1812" t="str">
            <v/>
          </cell>
          <cell r="K1812">
            <v>0</v>
          </cell>
        </row>
        <row r="1813">
          <cell r="J1813" t="str">
            <v/>
          </cell>
          <cell r="K1813">
            <v>0</v>
          </cell>
        </row>
        <row r="1814">
          <cell r="J1814" t="str">
            <v/>
          </cell>
          <cell r="K1814">
            <v>0</v>
          </cell>
        </row>
        <row r="1815">
          <cell r="J1815" t="str">
            <v/>
          </cell>
          <cell r="K1815">
            <v>0</v>
          </cell>
        </row>
        <row r="1816">
          <cell r="J1816" t="str">
            <v/>
          </cell>
          <cell r="K1816">
            <v>0</v>
          </cell>
        </row>
        <row r="1817">
          <cell r="J1817" t="str">
            <v/>
          </cell>
          <cell r="K1817">
            <v>0</v>
          </cell>
        </row>
        <row r="1818">
          <cell r="J1818" t="str">
            <v/>
          </cell>
          <cell r="K1818">
            <v>0</v>
          </cell>
        </row>
        <row r="1819">
          <cell r="J1819" t="str">
            <v/>
          </cell>
          <cell r="K1819">
            <v>0</v>
          </cell>
        </row>
        <row r="1820">
          <cell r="J1820" t="str">
            <v/>
          </cell>
          <cell r="K1820">
            <v>0</v>
          </cell>
        </row>
        <row r="1821">
          <cell r="J1821" t="str">
            <v/>
          </cell>
          <cell r="K1821">
            <v>0</v>
          </cell>
        </row>
        <row r="1822">
          <cell r="J1822" t="str">
            <v/>
          </cell>
          <cell r="K1822">
            <v>0</v>
          </cell>
        </row>
        <row r="1823">
          <cell r="J1823" t="str">
            <v/>
          </cell>
          <cell r="K1823">
            <v>0</v>
          </cell>
        </row>
        <row r="1824">
          <cell r="J1824" t="str">
            <v/>
          </cell>
          <cell r="K1824">
            <v>0</v>
          </cell>
        </row>
        <row r="1825">
          <cell r="J1825" t="str">
            <v/>
          </cell>
          <cell r="K1825">
            <v>0</v>
          </cell>
        </row>
        <row r="1826">
          <cell r="J1826" t="str">
            <v/>
          </cell>
          <cell r="K1826">
            <v>0</v>
          </cell>
        </row>
        <row r="1827">
          <cell r="J1827" t="str">
            <v/>
          </cell>
          <cell r="K1827">
            <v>0</v>
          </cell>
        </row>
        <row r="1828">
          <cell r="J1828" t="str">
            <v/>
          </cell>
          <cell r="K1828">
            <v>0</v>
          </cell>
        </row>
        <row r="1829">
          <cell r="J1829" t="str">
            <v/>
          </cell>
          <cell r="K1829">
            <v>0</v>
          </cell>
        </row>
        <row r="1830">
          <cell r="J1830" t="str">
            <v/>
          </cell>
          <cell r="K1830">
            <v>0</v>
          </cell>
        </row>
        <row r="1831">
          <cell r="J1831" t="str">
            <v/>
          </cell>
          <cell r="K1831">
            <v>0</v>
          </cell>
        </row>
        <row r="1832">
          <cell r="J1832" t="str">
            <v/>
          </cell>
          <cell r="K1832">
            <v>0</v>
          </cell>
        </row>
        <row r="1833">
          <cell r="J1833" t="str">
            <v/>
          </cell>
          <cell r="K1833">
            <v>0</v>
          </cell>
        </row>
        <row r="1834">
          <cell r="J1834" t="str">
            <v/>
          </cell>
          <cell r="K1834">
            <v>0</v>
          </cell>
        </row>
        <row r="1835">
          <cell r="J1835" t="str">
            <v/>
          </cell>
          <cell r="K1835">
            <v>0</v>
          </cell>
        </row>
        <row r="1836">
          <cell r="J1836" t="str">
            <v/>
          </cell>
          <cell r="K1836">
            <v>0</v>
          </cell>
        </row>
        <row r="1837">
          <cell r="J1837" t="str">
            <v/>
          </cell>
          <cell r="K1837">
            <v>0</v>
          </cell>
        </row>
        <row r="1838">
          <cell r="J1838" t="str">
            <v/>
          </cell>
          <cell r="K1838">
            <v>0</v>
          </cell>
        </row>
        <row r="1839">
          <cell r="J1839" t="str">
            <v/>
          </cell>
          <cell r="K1839">
            <v>0</v>
          </cell>
        </row>
        <row r="1840">
          <cell r="J1840" t="str">
            <v/>
          </cell>
          <cell r="K1840">
            <v>0</v>
          </cell>
        </row>
        <row r="1841">
          <cell r="J1841" t="str">
            <v/>
          </cell>
          <cell r="K1841">
            <v>0</v>
          </cell>
        </row>
        <row r="1842">
          <cell r="J1842" t="str">
            <v/>
          </cell>
          <cell r="K1842">
            <v>0</v>
          </cell>
        </row>
        <row r="1843">
          <cell r="J1843" t="str">
            <v/>
          </cell>
          <cell r="K1843">
            <v>0</v>
          </cell>
        </row>
        <row r="1844">
          <cell r="J1844" t="str">
            <v/>
          </cell>
          <cell r="K1844">
            <v>0</v>
          </cell>
        </row>
        <row r="1845">
          <cell r="J1845" t="str">
            <v/>
          </cell>
          <cell r="K1845">
            <v>0</v>
          </cell>
        </row>
        <row r="1846">
          <cell r="J1846" t="str">
            <v/>
          </cell>
          <cell r="K1846">
            <v>0</v>
          </cell>
        </row>
        <row r="1847">
          <cell r="J1847" t="str">
            <v/>
          </cell>
          <cell r="K1847">
            <v>0</v>
          </cell>
        </row>
        <row r="1848">
          <cell r="J1848" t="str">
            <v/>
          </cell>
          <cell r="K1848">
            <v>0</v>
          </cell>
        </row>
        <row r="1849">
          <cell r="J1849" t="str">
            <v/>
          </cell>
          <cell r="K1849">
            <v>0</v>
          </cell>
        </row>
        <row r="1850">
          <cell r="J1850" t="str">
            <v/>
          </cell>
          <cell r="K1850">
            <v>0</v>
          </cell>
        </row>
        <row r="1851">
          <cell r="J1851" t="str">
            <v/>
          </cell>
          <cell r="K1851">
            <v>0</v>
          </cell>
        </row>
        <row r="1852">
          <cell r="J1852" t="str">
            <v/>
          </cell>
          <cell r="K1852">
            <v>0</v>
          </cell>
        </row>
        <row r="1853">
          <cell r="J1853" t="str">
            <v/>
          </cell>
          <cell r="K1853">
            <v>0</v>
          </cell>
        </row>
        <row r="1854">
          <cell r="J1854" t="str">
            <v/>
          </cell>
          <cell r="K1854">
            <v>0</v>
          </cell>
        </row>
        <row r="1855">
          <cell r="J1855" t="str">
            <v/>
          </cell>
          <cell r="K1855">
            <v>0</v>
          </cell>
        </row>
        <row r="1856">
          <cell r="J1856" t="str">
            <v/>
          </cell>
          <cell r="K1856">
            <v>0</v>
          </cell>
        </row>
        <row r="1857">
          <cell r="J1857" t="str">
            <v/>
          </cell>
          <cell r="K1857">
            <v>0</v>
          </cell>
        </row>
        <row r="1858">
          <cell r="J1858" t="str">
            <v/>
          </cell>
          <cell r="K1858">
            <v>0</v>
          </cell>
        </row>
        <row r="1859">
          <cell r="J1859" t="str">
            <v/>
          </cell>
          <cell r="K1859">
            <v>0</v>
          </cell>
        </row>
        <row r="1860">
          <cell r="J1860" t="str">
            <v/>
          </cell>
          <cell r="K1860">
            <v>0</v>
          </cell>
        </row>
        <row r="1861">
          <cell r="J1861" t="str">
            <v/>
          </cell>
          <cell r="K1861">
            <v>0</v>
          </cell>
        </row>
        <row r="1862">
          <cell r="J1862" t="str">
            <v/>
          </cell>
          <cell r="K1862">
            <v>0</v>
          </cell>
        </row>
        <row r="1863">
          <cell r="J1863" t="str">
            <v/>
          </cell>
          <cell r="K1863">
            <v>0</v>
          </cell>
        </row>
        <row r="1864">
          <cell r="J1864" t="str">
            <v/>
          </cell>
          <cell r="K1864">
            <v>0</v>
          </cell>
        </row>
        <row r="1865">
          <cell r="J1865" t="str">
            <v/>
          </cell>
          <cell r="K1865">
            <v>0</v>
          </cell>
        </row>
        <row r="1866">
          <cell r="J1866" t="str">
            <v/>
          </cell>
          <cell r="K1866">
            <v>0</v>
          </cell>
        </row>
        <row r="1867">
          <cell r="J1867" t="str">
            <v/>
          </cell>
          <cell r="K1867">
            <v>0</v>
          </cell>
        </row>
        <row r="1868">
          <cell r="J1868" t="str">
            <v/>
          </cell>
          <cell r="K1868">
            <v>0</v>
          </cell>
        </row>
        <row r="1869">
          <cell r="J1869" t="str">
            <v/>
          </cell>
          <cell r="K1869">
            <v>0</v>
          </cell>
        </row>
        <row r="1870">
          <cell r="J1870" t="str">
            <v/>
          </cell>
          <cell r="K1870">
            <v>0</v>
          </cell>
        </row>
        <row r="1871">
          <cell r="J1871" t="str">
            <v/>
          </cell>
          <cell r="K1871">
            <v>0</v>
          </cell>
        </row>
        <row r="1872">
          <cell r="J1872" t="str">
            <v/>
          </cell>
          <cell r="K1872">
            <v>0</v>
          </cell>
        </row>
        <row r="1873">
          <cell r="J1873" t="str">
            <v/>
          </cell>
          <cell r="K1873">
            <v>0</v>
          </cell>
        </row>
        <row r="1874">
          <cell r="J1874" t="str">
            <v/>
          </cell>
          <cell r="K1874">
            <v>0</v>
          </cell>
        </row>
        <row r="1875">
          <cell r="J1875" t="str">
            <v/>
          </cell>
          <cell r="K1875">
            <v>0</v>
          </cell>
        </row>
        <row r="1876">
          <cell r="J1876" t="str">
            <v/>
          </cell>
          <cell r="K1876">
            <v>0</v>
          </cell>
        </row>
        <row r="1877">
          <cell r="J1877" t="str">
            <v/>
          </cell>
          <cell r="K1877">
            <v>0</v>
          </cell>
        </row>
        <row r="1878">
          <cell r="J1878" t="str">
            <v/>
          </cell>
          <cell r="K1878">
            <v>0</v>
          </cell>
        </row>
        <row r="1879">
          <cell r="J1879" t="str">
            <v/>
          </cell>
          <cell r="K1879">
            <v>0</v>
          </cell>
        </row>
        <row r="1880">
          <cell r="J1880" t="str">
            <v/>
          </cell>
          <cell r="K1880">
            <v>0</v>
          </cell>
        </row>
        <row r="1881">
          <cell r="J1881" t="str">
            <v/>
          </cell>
          <cell r="K1881">
            <v>0</v>
          </cell>
        </row>
        <row r="1882">
          <cell r="J1882" t="str">
            <v/>
          </cell>
          <cell r="K1882">
            <v>0</v>
          </cell>
        </row>
        <row r="1883">
          <cell r="J1883" t="str">
            <v/>
          </cell>
          <cell r="K1883">
            <v>0</v>
          </cell>
        </row>
        <row r="1884">
          <cell r="J1884" t="str">
            <v/>
          </cell>
          <cell r="K1884">
            <v>0</v>
          </cell>
        </row>
        <row r="1885">
          <cell r="J1885" t="str">
            <v/>
          </cell>
          <cell r="K1885">
            <v>0</v>
          </cell>
        </row>
        <row r="1886">
          <cell r="J1886" t="str">
            <v/>
          </cell>
          <cell r="K1886">
            <v>0</v>
          </cell>
        </row>
        <row r="1887">
          <cell r="J1887" t="str">
            <v/>
          </cell>
          <cell r="K1887">
            <v>0</v>
          </cell>
        </row>
        <row r="1888">
          <cell r="J1888" t="str">
            <v/>
          </cell>
          <cell r="K1888">
            <v>0</v>
          </cell>
        </row>
        <row r="1889">
          <cell r="J1889" t="str">
            <v/>
          </cell>
          <cell r="K1889">
            <v>0</v>
          </cell>
        </row>
        <row r="1890">
          <cell r="J1890" t="str">
            <v/>
          </cell>
          <cell r="K1890">
            <v>0</v>
          </cell>
        </row>
        <row r="1891">
          <cell r="J1891" t="str">
            <v/>
          </cell>
          <cell r="K1891">
            <v>0</v>
          </cell>
        </row>
        <row r="1892">
          <cell r="J1892" t="str">
            <v/>
          </cell>
          <cell r="K1892">
            <v>0</v>
          </cell>
        </row>
        <row r="1893">
          <cell r="J1893" t="str">
            <v/>
          </cell>
          <cell r="K1893">
            <v>0</v>
          </cell>
        </row>
        <row r="1894">
          <cell r="J1894" t="str">
            <v/>
          </cell>
          <cell r="K1894">
            <v>0</v>
          </cell>
        </row>
        <row r="1895">
          <cell r="J1895" t="str">
            <v/>
          </cell>
          <cell r="K1895">
            <v>0</v>
          </cell>
        </row>
        <row r="1896">
          <cell r="J1896" t="str">
            <v/>
          </cell>
          <cell r="K1896">
            <v>0</v>
          </cell>
        </row>
        <row r="1897">
          <cell r="J1897" t="str">
            <v/>
          </cell>
          <cell r="K1897">
            <v>0</v>
          </cell>
        </row>
        <row r="1898">
          <cell r="J1898" t="str">
            <v/>
          </cell>
          <cell r="K1898">
            <v>0</v>
          </cell>
        </row>
        <row r="1899">
          <cell r="J1899" t="str">
            <v/>
          </cell>
          <cell r="K1899">
            <v>0</v>
          </cell>
        </row>
        <row r="1900">
          <cell r="J1900" t="str">
            <v/>
          </cell>
          <cell r="K1900">
            <v>0</v>
          </cell>
        </row>
        <row r="1901">
          <cell r="J1901" t="str">
            <v/>
          </cell>
          <cell r="K1901">
            <v>0</v>
          </cell>
        </row>
        <row r="1902">
          <cell r="J1902" t="str">
            <v/>
          </cell>
          <cell r="K1902">
            <v>0</v>
          </cell>
        </row>
        <row r="1903">
          <cell r="J1903" t="str">
            <v/>
          </cell>
          <cell r="K1903">
            <v>0</v>
          </cell>
        </row>
        <row r="1904">
          <cell r="J1904" t="str">
            <v/>
          </cell>
          <cell r="K1904">
            <v>0</v>
          </cell>
        </row>
        <row r="1905">
          <cell r="J1905" t="str">
            <v/>
          </cell>
          <cell r="K1905">
            <v>0</v>
          </cell>
        </row>
        <row r="1906">
          <cell r="J1906" t="str">
            <v/>
          </cell>
          <cell r="K1906">
            <v>0</v>
          </cell>
        </row>
        <row r="1907">
          <cell r="J1907" t="str">
            <v/>
          </cell>
          <cell r="K1907">
            <v>0</v>
          </cell>
        </row>
        <row r="1908">
          <cell r="J1908" t="str">
            <v/>
          </cell>
          <cell r="K1908">
            <v>0</v>
          </cell>
        </row>
        <row r="1909">
          <cell r="J1909" t="str">
            <v/>
          </cell>
          <cell r="K1909">
            <v>0</v>
          </cell>
        </row>
        <row r="1910">
          <cell r="J1910" t="str">
            <v/>
          </cell>
          <cell r="K1910">
            <v>0</v>
          </cell>
        </row>
        <row r="1911">
          <cell r="J1911" t="str">
            <v/>
          </cell>
          <cell r="K1911">
            <v>0</v>
          </cell>
        </row>
        <row r="1912">
          <cell r="J1912" t="str">
            <v/>
          </cell>
          <cell r="K1912">
            <v>0</v>
          </cell>
        </row>
        <row r="1913">
          <cell r="J1913" t="str">
            <v/>
          </cell>
          <cell r="K1913">
            <v>0</v>
          </cell>
        </row>
        <row r="1914">
          <cell r="J1914" t="str">
            <v/>
          </cell>
          <cell r="K1914">
            <v>0</v>
          </cell>
        </row>
        <row r="1915">
          <cell r="J1915" t="str">
            <v/>
          </cell>
          <cell r="K1915">
            <v>0</v>
          </cell>
        </row>
        <row r="1916">
          <cell r="J1916" t="str">
            <v/>
          </cell>
          <cell r="K1916">
            <v>0</v>
          </cell>
        </row>
        <row r="1917">
          <cell r="J1917" t="str">
            <v/>
          </cell>
          <cell r="K1917">
            <v>0</v>
          </cell>
        </row>
        <row r="1918">
          <cell r="J1918" t="str">
            <v/>
          </cell>
          <cell r="K1918">
            <v>0</v>
          </cell>
        </row>
        <row r="1919">
          <cell r="J1919" t="str">
            <v/>
          </cell>
          <cell r="K1919">
            <v>0</v>
          </cell>
        </row>
        <row r="1920">
          <cell r="J1920" t="str">
            <v/>
          </cell>
          <cell r="K1920">
            <v>0</v>
          </cell>
        </row>
        <row r="1921">
          <cell r="J1921" t="str">
            <v/>
          </cell>
          <cell r="K1921">
            <v>0</v>
          </cell>
        </row>
        <row r="1922">
          <cell r="J1922" t="str">
            <v/>
          </cell>
          <cell r="K1922">
            <v>0</v>
          </cell>
        </row>
        <row r="1923">
          <cell r="J1923" t="str">
            <v/>
          </cell>
          <cell r="K1923">
            <v>0</v>
          </cell>
        </row>
        <row r="1924">
          <cell r="J1924" t="str">
            <v/>
          </cell>
          <cell r="K1924">
            <v>0</v>
          </cell>
        </row>
        <row r="1925">
          <cell r="J1925" t="str">
            <v/>
          </cell>
          <cell r="K1925">
            <v>0</v>
          </cell>
        </row>
        <row r="1926">
          <cell r="J1926" t="str">
            <v/>
          </cell>
          <cell r="K1926">
            <v>0</v>
          </cell>
        </row>
        <row r="1927">
          <cell r="J1927" t="str">
            <v/>
          </cell>
          <cell r="K1927">
            <v>0</v>
          </cell>
        </row>
        <row r="1928">
          <cell r="J1928" t="str">
            <v/>
          </cell>
          <cell r="K1928">
            <v>0</v>
          </cell>
        </row>
        <row r="1929">
          <cell r="J1929" t="str">
            <v/>
          </cell>
          <cell r="K1929">
            <v>0</v>
          </cell>
        </row>
        <row r="1930">
          <cell r="J1930" t="str">
            <v/>
          </cell>
          <cell r="K1930">
            <v>0</v>
          </cell>
        </row>
        <row r="1931">
          <cell r="J1931" t="str">
            <v/>
          </cell>
          <cell r="K1931">
            <v>0</v>
          </cell>
        </row>
        <row r="1932">
          <cell r="J1932" t="str">
            <v/>
          </cell>
          <cell r="K1932">
            <v>0</v>
          </cell>
        </row>
        <row r="1933">
          <cell r="J1933" t="str">
            <v/>
          </cell>
          <cell r="K1933">
            <v>0</v>
          </cell>
        </row>
        <row r="1934">
          <cell r="J1934" t="str">
            <v/>
          </cell>
          <cell r="K1934">
            <v>0</v>
          </cell>
        </row>
        <row r="1935">
          <cell r="J1935" t="str">
            <v/>
          </cell>
          <cell r="K1935">
            <v>0</v>
          </cell>
        </row>
        <row r="1936">
          <cell r="J1936" t="str">
            <v/>
          </cell>
          <cell r="K1936">
            <v>0</v>
          </cell>
        </row>
        <row r="1937">
          <cell r="J1937" t="str">
            <v/>
          </cell>
          <cell r="K1937">
            <v>0</v>
          </cell>
        </row>
        <row r="1938">
          <cell r="J1938" t="str">
            <v/>
          </cell>
          <cell r="K1938">
            <v>0</v>
          </cell>
        </row>
        <row r="1939">
          <cell r="J1939" t="str">
            <v/>
          </cell>
          <cell r="K1939">
            <v>0</v>
          </cell>
        </row>
        <row r="1940">
          <cell r="J1940" t="str">
            <v/>
          </cell>
          <cell r="K1940">
            <v>0</v>
          </cell>
        </row>
        <row r="1941">
          <cell r="J1941" t="str">
            <v/>
          </cell>
          <cell r="K1941">
            <v>0</v>
          </cell>
        </row>
        <row r="1942">
          <cell r="J1942" t="str">
            <v/>
          </cell>
          <cell r="K1942">
            <v>0</v>
          </cell>
        </row>
        <row r="1943">
          <cell r="J1943" t="str">
            <v/>
          </cell>
          <cell r="K1943">
            <v>0</v>
          </cell>
        </row>
        <row r="1944">
          <cell r="J1944" t="str">
            <v/>
          </cell>
          <cell r="K1944">
            <v>0</v>
          </cell>
        </row>
        <row r="1945">
          <cell r="J1945" t="str">
            <v/>
          </cell>
          <cell r="K1945">
            <v>0</v>
          </cell>
        </row>
        <row r="1946">
          <cell r="J1946" t="str">
            <v/>
          </cell>
          <cell r="K1946">
            <v>0</v>
          </cell>
        </row>
        <row r="1947">
          <cell r="J1947" t="str">
            <v/>
          </cell>
          <cell r="K1947">
            <v>0</v>
          </cell>
        </row>
        <row r="1948">
          <cell r="J1948" t="str">
            <v/>
          </cell>
          <cell r="K1948">
            <v>0</v>
          </cell>
        </row>
        <row r="1949">
          <cell r="J1949" t="str">
            <v/>
          </cell>
          <cell r="K1949">
            <v>0</v>
          </cell>
        </row>
        <row r="1950">
          <cell r="J1950" t="str">
            <v/>
          </cell>
          <cell r="K1950">
            <v>0</v>
          </cell>
        </row>
        <row r="1951">
          <cell r="J1951" t="str">
            <v/>
          </cell>
          <cell r="K1951">
            <v>0</v>
          </cell>
        </row>
        <row r="1952">
          <cell r="J1952" t="str">
            <v/>
          </cell>
          <cell r="K1952">
            <v>0</v>
          </cell>
        </row>
        <row r="1953">
          <cell r="J1953" t="str">
            <v/>
          </cell>
          <cell r="K1953">
            <v>0</v>
          </cell>
        </row>
        <row r="1954">
          <cell r="J1954" t="str">
            <v/>
          </cell>
          <cell r="K1954">
            <v>0</v>
          </cell>
        </row>
        <row r="1955">
          <cell r="J1955" t="str">
            <v/>
          </cell>
          <cell r="K1955">
            <v>0</v>
          </cell>
        </row>
        <row r="1956">
          <cell r="J1956" t="str">
            <v/>
          </cell>
          <cell r="K1956">
            <v>0</v>
          </cell>
        </row>
        <row r="1957">
          <cell r="J1957" t="str">
            <v/>
          </cell>
          <cell r="K1957">
            <v>0</v>
          </cell>
        </row>
        <row r="1958">
          <cell r="J1958" t="str">
            <v/>
          </cell>
          <cell r="K1958">
            <v>0</v>
          </cell>
        </row>
        <row r="1959">
          <cell r="J1959" t="str">
            <v/>
          </cell>
          <cell r="K1959">
            <v>0</v>
          </cell>
        </row>
        <row r="1960">
          <cell r="J1960" t="str">
            <v/>
          </cell>
          <cell r="K1960">
            <v>0</v>
          </cell>
        </row>
        <row r="1961">
          <cell r="J1961" t="str">
            <v/>
          </cell>
          <cell r="K1961">
            <v>0</v>
          </cell>
        </row>
        <row r="1962">
          <cell r="J1962" t="str">
            <v/>
          </cell>
          <cell r="K1962">
            <v>0</v>
          </cell>
        </row>
        <row r="1963">
          <cell r="J1963" t="str">
            <v/>
          </cell>
          <cell r="K1963">
            <v>0</v>
          </cell>
        </row>
        <row r="1964">
          <cell r="J1964" t="str">
            <v/>
          </cell>
          <cell r="K1964">
            <v>0</v>
          </cell>
        </row>
        <row r="1965">
          <cell r="J1965" t="str">
            <v/>
          </cell>
          <cell r="K1965">
            <v>0</v>
          </cell>
        </row>
        <row r="1966">
          <cell r="J1966" t="str">
            <v/>
          </cell>
          <cell r="K1966">
            <v>0</v>
          </cell>
        </row>
        <row r="1967">
          <cell r="J1967" t="str">
            <v/>
          </cell>
          <cell r="K1967">
            <v>0</v>
          </cell>
        </row>
        <row r="1968">
          <cell r="J1968" t="str">
            <v/>
          </cell>
          <cell r="K1968">
            <v>0</v>
          </cell>
        </row>
        <row r="1969">
          <cell r="J1969" t="str">
            <v/>
          </cell>
          <cell r="K1969">
            <v>0</v>
          </cell>
        </row>
        <row r="1970">
          <cell r="J1970" t="str">
            <v/>
          </cell>
          <cell r="K1970">
            <v>0</v>
          </cell>
        </row>
        <row r="1971">
          <cell r="J1971" t="str">
            <v/>
          </cell>
          <cell r="K1971">
            <v>0</v>
          </cell>
        </row>
        <row r="1972">
          <cell r="J1972" t="str">
            <v/>
          </cell>
          <cell r="K1972">
            <v>0</v>
          </cell>
        </row>
        <row r="1973">
          <cell r="J1973" t="str">
            <v/>
          </cell>
          <cell r="K1973">
            <v>0</v>
          </cell>
        </row>
        <row r="1974">
          <cell r="J1974" t="str">
            <v/>
          </cell>
          <cell r="K1974">
            <v>0</v>
          </cell>
        </row>
        <row r="1975">
          <cell r="J1975" t="str">
            <v/>
          </cell>
          <cell r="K1975">
            <v>0</v>
          </cell>
        </row>
        <row r="1976">
          <cell r="J1976" t="str">
            <v/>
          </cell>
          <cell r="K1976">
            <v>0</v>
          </cell>
        </row>
        <row r="1977">
          <cell r="J1977" t="str">
            <v/>
          </cell>
          <cell r="K1977">
            <v>0</v>
          </cell>
        </row>
        <row r="1978">
          <cell r="J1978" t="str">
            <v/>
          </cell>
          <cell r="K1978">
            <v>0</v>
          </cell>
        </row>
        <row r="1979">
          <cell r="J1979" t="str">
            <v/>
          </cell>
          <cell r="K1979">
            <v>0</v>
          </cell>
        </row>
        <row r="1980">
          <cell r="J1980" t="str">
            <v/>
          </cell>
          <cell r="K1980">
            <v>0</v>
          </cell>
        </row>
        <row r="1981">
          <cell r="J1981" t="str">
            <v/>
          </cell>
          <cell r="K1981">
            <v>0</v>
          </cell>
        </row>
        <row r="1982">
          <cell r="J1982" t="str">
            <v/>
          </cell>
          <cell r="K1982">
            <v>0</v>
          </cell>
        </row>
        <row r="1983">
          <cell r="J1983" t="str">
            <v/>
          </cell>
          <cell r="K1983">
            <v>0</v>
          </cell>
        </row>
        <row r="1984">
          <cell r="J1984" t="str">
            <v/>
          </cell>
          <cell r="K1984">
            <v>0</v>
          </cell>
        </row>
        <row r="1985">
          <cell r="J1985" t="str">
            <v/>
          </cell>
          <cell r="K1985">
            <v>0</v>
          </cell>
        </row>
        <row r="1986">
          <cell r="J1986" t="str">
            <v/>
          </cell>
          <cell r="K1986">
            <v>0</v>
          </cell>
        </row>
        <row r="1987">
          <cell r="J1987" t="str">
            <v/>
          </cell>
          <cell r="K1987">
            <v>0</v>
          </cell>
        </row>
        <row r="1988">
          <cell r="J1988" t="str">
            <v/>
          </cell>
          <cell r="K1988">
            <v>0</v>
          </cell>
        </row>
        <row r="1989">
          <cell r="J1989" t="str">
            <v/>
          </cell>
          <cell r="K1989">
            <v>0</v>
          </cell>
        </row>
        <row r="1990">
          <cell r="J1990" t="str">
            <v/>
          </cell>
          <cell r="K1990">
            <v>0</v>
          </cell>
        </row>
        <row r="1991">
          <cell r="J1991" t="str">
            <v/>
          </cell>
          <cell r="K1991">
            <v>0</v>
          </cell>
        </row>
        <row r="1992">
          <cell r="J1992" t="str">
            <v/>
          </cell>
          <cell r="K1992">
            <v>0</v>
          </cell>
        </row>
        <row r="1993">
          <cell r="J1993" t="str">
            <v/>
          </cell>
          <cell r="K1993">
            <v>0</v>
          </cell>
        </row>
        <row r="1994">
          <cell r="J1994" t="str">
            <v/>
          </cell>
          <cell r="K1994">
            <v>0</v>
          </cell>
        </row>
        <row r="1995">
          <cell r="J1995" t="str">
            <v/>
          </cell>
          <cell r="K1995">
            <v>0</v>
          </cell>
        </row>
        <row r="1996">
          <cell r="J1996" t="str">
            <v/>
          </cell>
          <cell r="K1996">
            <v>0</v>
          </cell>
        </row>
        <row r="1997">
          <cell r="J1997" t="str">
            <v/>
          </cell>
          <cell r="K1997">
            <v>0</v>
          </cell>
        </row>
        <row r="1998">
          <cell r="J1998" t="str">
            <v/>
          </cell>
          <cell r="K1998">
            <v>0</v>
          </cell>
        </row>
        <row r="1999">
          <cell r="J1999" t="str">
            <v/>
          </cell>
          <cell r="K1999">
            <v>0</v>
          </cell>
        </row>
        <row r="2000">
          <cell r="J2000" t="str">
            <v/>
          </cell>
          <cell r="K2000">
            <v>0</v>
          </cell>
        </row>
        <row r="2001">
          <cell r="J2001" t="str">
            <v/>
          </cell>
          <cell r="K2001">
            <v>0</v>
          </cell>
        </row>
        <row r="2002">
          <cell r="J2002" t="str">
            <v/>
          </cell>
          <cell r="K2002">
            <v>0</v>
          </cell>
        </row>
        <row r="2003">
          <cell r="J2003" t="str">
            <v/>
          </cell>
          <cell r="K2003">
            <v>0</v>
          </cell>
        </row>
        <row r="2004">
          <cell r="J2004" t="str">
            <v/>
          </cell>
          <cell r="K2004">
            <v>0</v>
          </cell>
        </row>
        <row r="2005">
          <cell r="J2005" t="str">
            <v/>
          </cell>
          <cell r="K2005">
            <v>0</v>
          </cell>
        </row>
        <row r="2006">
          <cell r="J2006" t="str">
            <v/>
          </cell>
          <cell r="K2006">
            <v>0</v>
          </cell>
        </row>
        <row r="2007">
          <cell r="J2007" t="str">
            <v/>
          </cell>
          <cell r="K2007">
            <v>0</v>
          </cell>
        </row>
        <row r="2008">
          <cell r="J2008" t="str">
            <v/>
          </cell>
          <cell r="K2008">
            <v>0</v>
          </cell>
        </row>
        <row r="2009">
          <cell r="J2009" t="str">
            <v/>
          </cell>
          <cell r="K2009">
            <v>0</v>
          </cell>
        </row>
        <row r="2010">
          <cell r="J2010" t="str">
            <v/>
          </cell>
          <cell r="K2010">
            <v>0</v>
          </cell>
        </row>
        <row r="2011">
          <cell r="J2011" t="str">
            <v/>
          </cell>
          <cell r="K2011">
            <v>0</v>
          </cell>
        </row>
        <row r="2012">
          <cell r="J2012" t="str">
            <v/>
          </cell>
          <cell r="K2012">
            <v>0</v>
          </cell>
        </row>
        <row r="2013">
          <cell r="J2013" t="str">
            <v/>
          </cell>
          <cell r="K2013">
            <v>0</v>
          </cell>
        </row>
        <row r="2014">
          <cell r="J2014" t="str">
            <v/>
          </cell>
          <cell r="K2014">
            <v>0</v>
          </cell>
        </row>
        <row r="2015">
          <cell r="J2015" t="str">
            <v/>
          </cell>
          <cell r="K2015">
            <v>0</v>
          </cell>
        </row>
        <row r="2016">
          <cell r="J2016" t="str">
            <v/>
          </cell>
          <cell r="K2016">
            <v>0</v>
          </cell>
        </row>
        <row r="2017">
          <cell r="J2017" t="str">
            <v/>
          </cell>
          <cell r="K2017">
            <v>0</v>
          </cell>
        </row>
        <row r="2018">
          <cell r="J2018" t="str">
            <v/>
          </cell>
          <cell r="K2018">
            <v>0</v>
          </cell>
        </row>
        <row r="2019">
          <cell r="J2019" t="str">
            <v/>
          </cell>
          <cell r="K2019">
            <v>0</v>
          </cell>
        </row>
        <row r="2020">
          <cell r="J2020" t="str">
            <v/>
          </cell>
          <cell r="K2020">
            <v>0</v>
          </cell>
        </row>
        <row r="2021">
          <cell r="J2021" t="str">
            <v/>
          </cell>
          <cell r="K2021">
            <v>0</v>
          </cell>
        </row>
        <row r="2022">
          <cell r="J2022" t="str">
            <v/>
          </cell>
          <cell r="K2022">
            <v>0</v>
          </cell>
        </row>
        <row r="2023">
          <cell r="J2023" t="str">
            <v/>
          </cell>
          <cell r="K2023">
            <v>0</v>
          </cell>
        </row>
        <row r="2024">
          <cell r="J2024" t="str">
            <v/>
          </cell>
          <cell r="K2024">
            <v>0</v>
          </cell>
        </row>
        <row r="2025">
          <cell r="J2025" t="str">
            <v/>
          </cell>
          <cell r="K2025">
            <v>0</v>
          </cell>
        </row>
        <row r="2026">
          <cell r="J2026" t="str">
            <v/>
          </cell>
          <cell r="K2026">
            <v>0</v>
          </cell>
        </row>
        <row r="2027">
          <cell r="J2027" t="str">
            <v/>
          </cell>
          <cell r="K2027">
            <v>0</v>
          </cell>
        </row>
        <row r="2028">
          <cell r="J2028" t="str">
            <v/>
          </cell>
          <cell r="K2028">
            <v>0</v>
          </cell>
        </row>
        <row r="2029">
          <cell r="J2029" t="str">
            <v/>
          </cell>
          <cell r="K2029">
            <v>0</v>
          </cell>
        </row>
        <row r="2030">
          <cell r="J2030" t="str">
            <v/>
          </cell>
          <cell r="K2030">
            <v>0</v>
          </cell>
        </row>
        <row r="2031">
          <cell r="J2031" t="str">
            <v/>
          </cell>
          <cell r="K2031">
            <v>0</v>
          </cell>
        </row>
        <row r="2032">
          <cell r="J2032" t="str">
            <v/>
          </cell>
          <cell r="K2032">
            <v>0</v>
          </cell>
        </row>
        <row r="2033">
          <cell r="J2033" t="str">
            <v/>
          </cell>
          <cell r="K2033">
            <v>0</v>
          </cell>
        </row>
        <row r="2034">
          <cell r="J2034" t="str">
            <v/>
          </cell>
          <cell r="K2034">
            <v>0</v>
          </cell>
        </row>
        <row r="2035">
          <cell r="J2035" t="str">
            <v/>
          </cell>
          <cell r="K2035">
            <v>0</v>
          </cell>
        </row>
        <row r="2036">
          <cell r="J2036" t="str">
            <v/>
          </cell>
          <cell r="K2036">
            <v>0</v>
          </cell>
        </row>
        <row r="2037">
          <cell r="J2037" t="str">
            <v/>
          </cell>
          <cell r="K2037">
            <v>0</v>
          </cell>
        </row>
        <row r="2038">
          <cell r="J2038" t="str">
            <v/>
          </cell>
          <cell r="K2038">
            <v>0</v>
          </cell>
        </row>
        <row r="2039">
          <cell r="J2039" t="str">
            <v/>
          </cell>
          <cell r="K2039">
            <v>0</v>
          </cell>
        </row>
        <row r="2040">
          <cell r="J2040" t="str">
            <v/>
          </cell>
          <cell r="K2040">
            <v>0</v>
          </cell>
        </row>
        <row r="2041">
          <cell r="J2041" t="str">
            <v/>
          </cell>
          <cell r="K2041">
            <v>0</v>
          </cell>
        </row>
        <row r="2042">
          <cell r="J2042" t="str">
            <v/>
          </cell>
          <cell r="K2042">
            <v>0</v>
          </cell>
        </row>
        <row r="2043">
          <cell r="J2043" t="str">
            <v/>
          </cell>
          <cell r="K2043">
            <v>0</v>
          </cell>
        </row>
        <row r="2044">
          <cell r="J2044" t="str">
            <v/>
          </cell>
          <cell r="K2044">
            <v>0</v>
          </cell>
        </row>
        <row r="2045">
          <cell r="J2045" t="str">
            <v/>
          </cell>
          <cell r="K2045">
            <v>0</v>
          </cell>
        </row>
        <row r="2046">
          <cell r="J2046" t="str">
            <v/>
          </cell>
          <cell r="K2046">
            <v>0</v>
          </cell>
        </row>
        <row r="2047">
          <cell r="J2047" t="str">
            <v/>
          </cell>
          <cell r="K2047">
            <v>0</v>
          </cell>
        </row>
        <row r="2048">
          <cell r="J2048" t="str">
            <v/>
          </cell>
          <cell r="K2048">
            <v>0</v>
          </cell>
        </row>
        <row r="2049">
          <cell r="J2049" t="str">
            <v/>
          </cell>
          <cell r="K2049">
            <v>0</v>
          </cell>
        </row>
        <row r="2050">
          <cell r="J2050" t="str">
            <v/>
          </cell>
          <cell r="K2050">
            <v>0</v>
          </cell>
        </row>
        <row r="2051">
          <cell r="J2051" t="str">
            <v/>
          </cell>
          <cell r="K2051">
            <v>0</v>
          </cell>
        </row>
        <row r="2052">
          <cell r="J2052" t="str">
            <v/>
          </cell>
          <cell r="K2052">
            <v>0</v>
          </cell>
        </row>
        <row r="2053">
          <cell r="J2053" t="str">
            <v/>
          </cell>
          <cell r="K2053">
            <v>0</v>
          </cell>
        </row>
        <row r="2054">
          <cell r="J2054" t="str">
            <v/>
          </cell>
          <cell r="K2054">
            <v>0</v>
          </cell>
        </row>
        <row r="2055">
          <cell r="J2055" t="str">
            <v/>
          </cell>
          <cell r="K2055">
            <v>0</v>
          </cell>
        </row>
        <row r="2056">
          <cell r="J2056" t="str">
            <v/>
          </cell>
          <cell r="K2056">
            <v>0</v>
          </cell>
        </row>
        <row r="2057">
          <cell r="J2057" t="str">
            <v/>
          </cell>
          <cell r="K2057">
            <v>0</v>
          </cell>
        </row>
        <row r="2058">
          <cell r="J2058" t="str">
            <v/>
          </cell>
          <cell r="K2058">
            <v>0</v>
          </cell>
        </row>
        <row r="2059">
          <cell r="J2059" t="str">
            <v/>
          </cell>
          <cell r="K2059">
            <v>0</v>
          </cell>
        </row>
        <row r="2060">
          <cell r="J2060" t="str">
            <v/>
          </cell>
          <cell r="K2060">
            <v>0</v>
          </cell>
        </row>
        <row r="2061">
          <cell r="J2061" t="str">
            <v/>
          </cell>
          <cell r="K2061">
            <v>0</v>
          </cell>
        </row>
        <row r="2062">
          <cell r="J2062" t="str">
            <v/>
          </cell>
          <cell r="K2062">
            <v>0</v>
          </cell>
        </row>
        <row r="2063">
          <cell r="J2063" t="str">
            <v/>
          </cell>
          <cell r="K2063">
            <v>0</v>
          </cell>
        </row>
        <row r="2064">
          <cell r="J2064" t="str">
            <v/>
          </cell>
          <cell r="K2064">
            <v>0</v>
          </cell>
        </row>
        <row r="2065">
          <cell r="J2065" t="str">
            <v/>
          </cell>
          <cell r="K2065">
            <v>0</v>
          </cell>
        </row>
        <row r="2066">
          <cell r="J2066" t="str">
            <v/>
          </cell>
          <cell r="K2066">
            <v>0</v>
          </cell>
        </row>
        <row r="2067">
          <cell r="J2067" t="str">
            <v/>
          </cell>
          <cell r="K2067">
            <v>0</v>
          </cell>
        </row>
        <row r="2068">
          <cell r="J2068" t="str">
            <v/>
          </cell>
          <cell r="K2068">
            <v>0</v>
          </cell>
        </row>
        <row r="2069">
          <cell r="J2069" t="str">
            <v/>
          </cell>
          <cell r="K2069">
            <v>0</v>
          </cell>
        </row>
        <row r="2070">
          <cell r="J2070" t="str">
            <v/>
          </cell>
          <cell r="K2070">
            <v>0</v>
          </cell>
        </row>
        <row r="2071">
          <cell r="J2071" t="str">
            <v/>
          </cell>
          <cell r="K2071">
            <v>0</v>
          </cell>
        </row>
        <row r="2072">
          <cell r="J2072" t="str">
            <v/>
          </cell>
          <cell r="K2072">
            <v>0</v>
          </cell>
        </row>
        <row r="2073">
          <cell r="J2073" t="str">
            <v/>
          </cell>
          <cell r="K2073">
            <v>0</v>
          </cell>
        </row>
        <row r="2074">
          <cell r="J2074" t="str">
            <v/>
          </cell>
          <cell r="K2074">
            <v>0</v>
          </cell>
        </row>
        <row r="2075">
          <cell r="J2075" t="str">
            <v/>
          </cell>
          <cell r="K2075">
            <v>0</v>
          </cell>
        </row>
        <row r="2076">
          <cell r="J2076" t="str">
            <v/>
          </cell>
          <cell r="K2076">
            <v>0</v>
          </cell>
        </row>
        <row r="2077">
          <cell r="J2077" t="str">
            <v/>
          </cell>
          <cell r="K2077">
            <v>0</v>
          </cell>
        </row>
        <row r="2078">
          <cell r="J2078" t="str">
            <v/>
          </cell>
          <cell r="K2078">
            <v>0</v>
          </cell>
        </row>
        <row r="2079">
          <cell r="J2079" t="str">
            <v/>
          </cell>
          <cell r="K2079">
            <v>0</v>
          </cell>
        </row>
        <row r="2080">
          <cell r="J2080" t="str">
            <v/>
          </cell>
          <cell r="K2080">
            <v>0</v>
          </cell>
        </row>
        <row r="2081">
          <cell r="J2081" t="str">
            <v/>
          </cell>
          <cell r="K2081">
            <v>0</v>
          </cell>
        </row>
        <row r="2082">
          <cell r="J2082" t="str">
            <v/>
          </cell>
          <cell r="K2082">
            <v>0</v>
          </cell>
        </row>
        <row r="2083">
          <cell r="J2083" t="str">
            <v/>
          </cell>
          <cell r="K2083">
            <v>0</v>
          </cell>
        </row>
        <row r="2084">
          <cell r="J2084" t="str">
            <v/>
          </cell>
          <cell r="K2084">
            <v>0</v>
          </cell>
        </row>
        <row r="2085">
          <cell r="J2085" t="str">
            <v/>
          </cell>
          <cell r="K2085">
            <v>0</v>
          </cell>
        </row>
        <row r="2086">
          <cell r="J2086" t="str">
            <v/>
          </cell>
          <cell r="K2086">
            <v>0</v>
          </cell>
        </row>
        <row r="2087">
          <cell r="J2087" t="str">
            <v/>
          </cell>
          <cell r="K2087">
            <v>0</v>
          </cell>
        </row>
        <row r="2088">
          <cell r="J2088" t="str">
            <v/>
          </cell>
          <cell r="K2088">
            <v>0</v>
          </cell>
        </row>
        <row r="2089">
          <cell r="J2089" t="str">
            <v/>
          </cell>
          <cell r="K2089">
            <v>0</v>
          </cell>
        </row>
        <row r="2090">
          <cell r="J2090" t="str">
            <v/>
          </cell>
          <cell r="K2090">
            <v>0</v>
          </cell>
        </row>
        <row r="2091">
          <cell r="J2091" t="str">
            <v/>
          </cell>
          <cell r="K2091">
            <v>0</v>
          </cell>
        </row>
        <row r="2092">
          <cell r="J2092" t="str">
            <v/>
          </cell>
          <cell r="K2092">
            <v>0</v>
          </cell>
        </row>
        <row r="2093">
          <cell r="J2093" t="str">
            <v/>
          </cell>
          <cell r="K2093">
            <v>0</v>
          </cell>
        </row>
        <row r="2094">
          <cell r="J2094" t="str">
            <v/>
          </cell>
          <cell r="K2094">
            <v>0</v>
          </cell>
        </row>
        <row r="2095">
          <cell r="J2095" t="str">
            <v/>
          </cell>
          <cell r="K2095">
            <v>0</v>
          </cell>
        </row>
        <row r="2096">
          <cell r="J2096" t="str">
            <v/>
          </cell>
          <cell r="K2096">
            <v>0</v>
          </cell>
        </row>
        <row r="2097">
          <cell r="J2097" t="str">
            <v/>
          </cell>
          <cell r="K2097">
            <v>0</v>
          </cell>
        </row>
        <row r="2098">
          <cell r="J2098" t="str">
            <v/>
          </cell>
          <cell r="K2098">
            <v>0</v>
          </cell>
        </row>
        <row r="2099">
          <cell r="J2099" t="str">
            <v/>
          </cell>
          <cell r="K2099">
            <v>0</v>
          </cell>
        </row>
        <row r="2100">
          <cell r="J2100" t="str">
            <v/>
          </cell>
          <cell r="K2100">
            <v>0</v>
          </cell>
        </row>
        <row r="2101">
          <cell r="J2101" t="str">
            <v/>
          </cell>
          <cell r="K2101">
            <v>0</v>
          </cell>
        </row>
        <row r="2102">
          <cell r="J2102" t="str">
            <v/>
          </cell>
          <cell r="K2102">
            <v>0</v>
          </cell>
        </row>
        <row r="2103">
          <cell r="J2103" t="str">
            <v/>
          </cell>
          <cell r="K2103">
            <v>0</v>
          </cell>
        </row>
        <row r="2104">
          <cell r="J2104" t="str">
            <v/>
          </cell>
          <cell r="K2104">
            <v>0</v>
          </cell>
        </row>
        <row r="2105">
          <cell r="J2105" t="str">
            <v/>
          </cell>
          <cell r="K2105">
            <v>0</v>
          </cell>
        </row>
        <row r="2106">
          <cell r="J2106" t="str">
            <v/>
          </cell>
          <cell r="K2106">
            <v>0</v>
          </cell>
        </row>
        <row r="2107">
          <cell r="J2107" t="str">
            <v/>
          </cell>
          <cell r="K2107">
            <v>0</v>
          </cell>
        </row>
        <row r="2108">
          <cell r="J2108" t="str">
            <v/>
          </cell>
          <cell r="K2108">
            <v>0</v>
          </cell>
        </row>
        <row r="2109">
          <cell r="J2109" t="str">
            <v/>
          </cell>
          <cell r="K2109">
            <v>0</v>
          </cell>
        </row>
        <row r="2110">
          <cell r="J2110" t="str">
            <v/>
          </cell>
          <cell r="K2110">
            <v>0</v>
          </cell>
        </row>
        <row r="2111">
          <cell r="J2111" t="str">
            <v/>
          </cell>
          <cell r="K2111">
            <v>0</v>
          </cell>
        </row>
        <row r="2112">
          <cell r="J2112" t="str">
            <v/>
          </cell>
          <cell r="K2112">
            <v>0</v>
          </cell>
        </row>
        <row r="2113">
          <cell r="J2113" t="str">
            <v/>
          </cell>
          <cell r="K2113">
            <v>0</v>
          </cell>
        </row>
        <row r="2114">
          <cell r="J2114" t="str">
            <v/>
          </cell>
          <cell r="K2114">
            <v>0</v>
          </cell>
        </row>
        <row r="2115">
          <cell r="J2115" t="str">
            <v/>
          </cell>
          <cell r="K2115">
            <v>0</v>
          </cell>
        </row>
        <row r="2116">
          <cell r="J2116" t="str">
            <v/>
          </cell>
          <cell r="K2116">
            <v>0</v>
          </cell>
        </row>
        <row r="2117">
          <cell r="J2117" t="str">
            <v/>
          </cell>
          <cell r="K2117">
            <v>0</v>
          </cell>
        </row>
        <row r="2118">
          <cell r="J2118" t="str">
            <v/>
          </cell>
          <cell r="K2118">
            <v>0</v>
          </cell>
        </row>
        <row r="2119">
          <cell r="J2119" t="str">
            <v/>
          </cell>
          <cell r="K2119">
            <v>0</v>
          </cell>
        </row>
        <row r="2120">
          <cell r="J2120" t="str">
            <v/>
          </cell>
          <cell r="K2120">
            <v>0</v>
          </cell>
        </row>
        <row r="2121">
          <cell r="J2121" t="str">
            <v/>
          </cell>
          <cell r="K2121">
            <v>0</v>
          </cell>
        </row>
        <row r="2122">
          <cell r="J2122" t="str">
            <v/>
          </cell>
          <cell r="K2122">
            <v>0</v>
          </cell>
        </row>
        <row r="2123">
          <cell r="J2123" t="str">
            <v/>
          </cell>
          <cell r="K2123">
            <v>0</v>
          </cell>
        </row>
        <row r="2124">
          <cell r="J2124" t="str">
            <v/>
          </cell>
          <cell r="K2124">
            <v>0</v>
          </cell>
        </row>
        <row r="2125">
          <cell r="J2125" t="str">
            <v/>
          </cell>
          <cell r="K2125">
            <v>0</v>
          </cell>
        </row>
        <row r="2126">
          <cell r="J2126" t="str">
            <v/>
          </cell>
          <cell r="K2126">
            <v>0</v>
          </cell>
        </row>
        <row r="2127">
          <cell r="J2127" t="str">
            <v/>
          </cell>
          <cell r="K2127">
            <v>0</v>
          </cell>
        </row>
        <row r="2128">
          <cell r="J2128" t="str">
            <v/>
          </cell>
          <cell r="K2128">
            <v>0</v>
          </cell>
        </row>
        <row r="2129">
          <cell r="J2129" t="str">
            <v/>
          </cell>
          <cell r="K2129">
            <v>0</v>
          </cell>
        </row>
        <row r="2130">
          <cell r="J2130" t="str">
            <v/>
          </cell>
          <cell r="K2130">
            <v>0</v>
          </cell>
        </row>
        <row r="2131">
          <cell r="J2131" t="str">
            <v/>
          </cell>
          <cell r="K2131">
            <v>0</v>
          </cell>
        </row>
        <row r="2132">
          <cell r="J2132" t="str">
            <v/>
          </cell>
          <cell r="K2132">
            <v>0</v>
          </cell>
        </row>
        <row r="2133">
          <cell r="J2133" t="str">
            <v/>
          </cell>
          <cell r="K2133">
            <v>0</v>
          </cell>
        </row>
        <row r="2134">
          <cell r="J2134" t="str">
            <v/>
          </cell>
          <cell r="K2134">
            <v>0</v>
          </cell>
        </row>
        <row r="2135">
          <cell r="J2135" t="str">
            <v/>
          </cell>
          <cell r="K2135">
            <v>0</v>
          </cell>
        </row>
        <row r="2136">
          <cell r="J2136" t="str">
            <v/>
          </cell>
          <cell r="K2136">
            <v>0</v>
          </cell>
        </row>
        <row r="2137">
          <cell r="J2137" t="str">
            <v/>
          </cell>
          <cell r="K2137">
            <v>0</v>
          </cell>
        </row>
        <row r="2138">
          <cell r="J2138" t="str">
            <v/>
          </cell>
          <cell r="K2138">
            <v>0</v>
          </cell>
        </row>
        <row r="2139">
          <cell r="J2139" t="str">
            <v/>
          </cell>
          <cell r="K2139">
            <v>0</v>
          </cell>
        </row>
        <row r="2140">
          <cell r="J2140" t="str">
            <v/>
          </cell>
          <cell r="K2140">
            <v>0</v>
          </cell>
        </row>
        <row r="2141">
          <cell r="J2141" t="str">
            <v/>
          </cell>
          <cell r="K2141">
            <v>0</v>
          </cell>
        </row>
        <row r="2142">
          <cell r="J2142" t="str">
            <v/>
          </cell>
          <cell r="K2142">
            <v>0</v>
          </cell>
        </row>
        <row r="2143">
          <cell r="J2143" t="str">
            <v/>
          </cell>
          <cell r="K2143">
            <v>0</v>
          </cell>
        </row>
        <row r="2144">
          <cell r="J2144" t="str">
            <v/>
          </cell>
          <cell r="K2144">
            <v>0</v>
          </cell>
        </row>
        <row r="2145">
          <cell r="J2145" t="str">
            <v/>
          </cell>
          <cell r="K2145">
            <v>0</v>
          </cell>
        </row>
        <row r="2146">
          <cell r="J2146" t="str">
            <v/>
          </cell>
          <cell r="K2146">
            <v>0</v>
          </cell>
        </row>
        <row r="2147">
          <cell r="J2147" t="str">
            <v/>
          </cell>
          <cell r="K2147">
            <v>0</v>
          </cell>
        </row>
        <row r="2148">
          <cell r="J2148" t="str">
            <v/>
          </cell>
          <cell r="K2148">
            <v>0</v>
          </cell>
        </row>
        <row r="2149">
          <cell r="J2149" t="str">
            <v/>
          </cell>
          <cell r="K2149">
            <v>0</v>
          </cell>
        </row>
        <row r="2150">
          <cell r="J2150" t="str">
            <v/>
          </cell>
          <cell r="K2150">
            <v>0</v>
          </cell>
        </row>
        <row r="2151">
          <cell r="J2151" t="str">
            <v/>
          </cell>
          <cell r="K2151">
            <v>0</v>
          </cell>
        </row>
        <row r="2152">
          <cell r="J2152" t="str">
            <v/>
          </cell>
          <cell r="K2152">
            <v>0</v>
          </cell>
        </row>
        <row r="2153">
          <cell r="J2153" t="str">
            <v/>
          </cell>
          <cell r="K2153">
            <v>0</v>
          </cell>
        </row>
        <row r="2154">
          <cell r="J2154" t="str">
            <v/>
          </cell>
          <cell r="K2154">
            <v>0</v>
          </cell>
        </row>
        <row r="2155">
          <cell r="J2155" t="str">
            <v/>
          </cell>
          <cell r="K2155">
            <v>0</v>
          </cell>
        </row>
        <row r="2156">
          <cell r="J2156" t="str">
            <v/>
          </cell>
          <cell r="K2156">
            <v>0</v>
          </cell>
        </row>
        <row r="2157">
          <cell r="J2157" t="str">
            <v/>
          </cell>
          <cell r="K2157">
            <v>0</v>
          </cell>
        </row>
        <row r="2158">
          <cell r="J2158" t="str">
            <v/>
          </cell>
          <cell r="K2158">
            <v>0</v>
          </cell>
        </row>
        <row r="2159">
          <cell r="J2159" t="str">
            <v/>
          </cell>
          <cell r="K2159">
            <v>0</v>
          </cell>
        </row>
        <row r="2160">
          <cell r="J2160" t="str">
            <v/>
          </cell>
          <cell r="K2160">
            <v>0</v>
          </cell>
        </row>
        <row r="2161">
          <cell r="J2161" t="str">
            <v/>
          </cell>
          <cell r="K2161">
            <v>0</v>
          </cell>
        </row>
        <row r="2162">
          <cell r="J2162" t="str">
            <v/>
          </cell>
          <cell r="K2162">
            <v>0</v>
          </cell>
        </row>
        <row r="2163">
          <cell r="J2163" t="str">
            <v/>
          </cell>
          <cell r="K2163">
            <v>0</v>
          </cell>
        </row>
        <row r="2164">
          <cell r="J2164" t="str">
            <v/>
          </cell>
          <cell r="K2164">
            <v>0</v>
          </cell>
        </row>
        <row r="2165">
          <cell r="J2165" t="str">
            <v/>
          </cell>
          <cell r="K2165">
            <v>0</v>
          </cell>
        </row>
        <row r="2166">
          <cell r="J2166" t="str">
            <v/>
          </cell>
          <cell r="K2166">
            <v>0</v>
          </cell>
        </row>
        <row r="2167">
          <cell r="J2167" t="str">
            <v/>
          </cell>
          <cell r="K2167">
            <v>0</v>
          </cell>
        </row>
        <row r="2168">
          <cell r="J2168" t="str">
            <v/>
          </cell>
          <cell r="K2168">
            <v>0</v>
          </cell>
        </row>
        <row r="2169">
          <cell r="J2169" t="str">
            <v/>
          </cell>
          <cell r="K2169">
            <v>0</v>
          </cell>
        </row>
        <row r="2170">
          <cell r="J2170" t="str">
            <v/>
          </cell>
          <cell r="K2170">
            <v>0</v>
          </cell>
        </row>
        <row r="2171">
          <cell r="J2171" t="str">
            <v/>
          </cell>
          <cell r="K2171">
            <v>0</v>
          </cell>
        </row>
        <row r="2172">
          <cell r="J2172" t="str">
            <v/>
          </cell>
          <cell r="K2172">
            <v>0</v>
          </cell>
        </row>
        <row r="2173">
          <cell r="J2173" t="str">
            <v/>
          </cell>
          <cell r="K2173">
            <v>0</v>
          </cell>
        </row>
        <row r="2174">
          <cell r="J2174" t="str">
            <v/>
          </cell>
          <cell r="K2174">
            <v>0</v>
          </cell>
        </row>
        <row r="2175">
          <cell r="J2175" t="str">
            <v/>
          </cell>
          <cell r="K2175">
            <v>0</v>
          </cell>
        </row>
        <row r="2176">
          <cell r="J2176" t="str">
            <v/>
          </cell>
          <cell r="K2176">
            <v>0</v>
          </cell>
        </row>
        <row r="2177">
          <cell r="J2177" t="str">
            <v/>
          </cell>
          <cell r="K2177">
            <v>0</v>
          </cell>
        </row>
        <row r="2178">
          <cell r="J2178" t="str">
            <v/>
          </cell>
          <cell r="K2178">
            <v>0</v>
          </cell>
        </row>
        <row r="2179">
          <cell r="J2179" t="str">
            <v/>
          </cell>
          <cell r="K2179">
            <v>0</v>
          </cell>
        </row>
        <row r="2180">
          <cell r="J2180" t="str">
            <v/>
          </cell>
          <cell r="K2180">
            <v>0</v>
          </cell>
        </row>
        <row r="2181">
          <cell r="J2181" t="str">
            <v/>
          </cell>
          <cell r="K2181">
            <v>0</v>
          </cell>
        </row>
        <row r="2182">
          <cell r="J2182" t="str">
            <v/>
          </cell>
          <cell r="K2182">
            <v>0</v>
          </cell>
        </row>
        <row r="2183">
          <cell r="J2183" t="str">
            <v/>
          </cell>
          <cell r="K2183">
            <v>0</v>
          </cell>
        </row>
        <row r="2184">
          <cell r="J2184" t="str">
            <v/>
          </cell>
          <cell r="K2184">
            <v>0</v>
          </cell>
        </row>
        <row r="2185">
          <cell r="J2185" t="str">
            <v/>
          </cell>
          <cell r="K2185">
            <v>0</v>
          </cell>
        </row>
        <row r="2186">
          <cell r="J2186" t="str">
            <v/>
          </cell>
          <cell r="K2186">
            <v>0</v>
          </cell>
        </row>
        <row r="2187">
          <cell r="J2187" t="str">
            <v/>
          </cell>
          <cell r="K2187">
            <v>0</v>
          </cell>
        </row>
        <row r="2188">
          <cell r="J2188" t="str">
            <v/>
          </cell>
          <cell r="K2188">
            <v>0</v>
          </cell>
        </row>
        <row r="2189">
          <cell r="J2189" t="str">
            <v/>
          </cell>
          <cell r="K2189">
            <v>0</v>
          </cell>
        </row>
        <row r="2190">
          <cell r="J2190" t="str">
            <v/>
          </cell>
          <cell r="K2190">
            <v>0</v>
          </cell>
        </row>
        <row r="2191">
          <cell r="J2191" t="str">
            <v/>
          </cell>
          <cell r="K2191">
            <v>0</v>
          </cell>
        </row>
        <row r="2192">
          <cell r="J2192" t="str">
            <v/>
          </cell>
          <cell r="K2192">
            <v>0</v>
          </cell>
        </row>
        <row r="2193">
          <cell r="J2193" t="str">
            <v/>
          </cell>
          <cell r="K2193">
            <v>0</v>
          </cell>
        </row>
        <row r="2194">
          <cell r="J2194" t="str">
            <v/>
          </cell>
          <cell r="K2194">
            <v>0</v>
          </cell>
        </row>
        <row r="2195">
          <cell r="J2195" t="str">
            <v/>
          </cell>
          <cell r="K2195">
            <v>0</v>
          </cell>
        </row>
        <row r="2196">
          <cell r="J2196" t="str">
            <v/>
          </cell>
          <cell r="K2196">
            <v>0</v>
          </cell>
        </row>
        <row r="2197">
          <cell r="J2197" t="str">
            <v/>
          </cell>
          <cell r="K2197">
            <v>0</v>
          </cell>
        </row>
        <row r="2198">
          <cell r="J2198" t="str">
            <v/>
          </cell>
          <cell r="K2198">
            <v>0</v>
          </cell>
        </row>
        <row r="2199">
          <cell r="J2199" t="str">
            <v/>
          </cell>
          <cell r="K2199">
            <v>0</v>
          </cell>
        </row>
        <row r="2200">
          <cell r="J2200" t="str">
            <v/>
          </cell>
          <cell r="K2200">
            <v>0</v>
          </cell>
        </row>
        <row r="2201">
          <cell r="J2201" t="str">
            <v/>
          </cell>
          <cell r="K2201">
            <v>0</v>
          </cell>
        </row>
        <row r="2202">
          <cell r="J2202" t="str">
            <v/>
          </cell>
          <cell r="K2202">
            <v>0</v>
          </cell>
        </row>
        <row r="2203">
          <cell r="J2203" t="str">
            <v/>
          </cell>
          <cell r="K2203">
            <v>0</v>
          </cell>
        </row>
        <row r="2204">
          <cell r="J2204" t="str">
            <v/>
          </cell>
          <cell r="K2204">
            <v>0</v>
          </cell>
        </row>
        <row r="2205">
          <cell r="J2205" t="str">
            <v/>
          </cell>
          <cell r="K2205">
            <v>0</v>
          </cell>
        </row>
        <row r="2206">
          <cell r="J2206" t="str">
            <v/>
          </cell>
          <cell r="K2206">
            <v>0</v>
          </cell>
        </row>
        <row r="2207">
          <cell r="J2207" t="str">
            <v/>
          </cell>
          <cell r="K2207">
            <v>0</v>
          </cell>
        </row>
        <row r="2208">
          <cell r="J2208" t="str">
            <v/>
          </cell>
          <cell r="K2208">
            <v>0</v>
          </cell>
        </row>
        <row r="2209">
          <cell r="J2209" t="str">
            <v/>
          </cell>
          <cell r="K2209">
            <v>0</v>
          </cell>
        </row>
        <row r="2210">
          <cell r="J2210" t="str">
            <v/>
          </cell>
          <cell r="K2210">
            <v>0</v>
          </cell>
        </row>
        <row r="2211">
          <cell r="J2211" t="str">
            <v/>
          </cell>
          <cell r="K2211">
            <v>0</v>
          </cell>
        </row>
        <row r="2212">
          <cell r="J2212" t="str">
            <v/>
          </cell>
          <cell r="K2212">
            <v>0</v>
          </cell>
        </row>
        <row r="2213">
          <cell r="J2213" t="str">
            <v/>
          </cell>
          <cell r="K2213">
            <v>0</v>
          </cell>
        </row>
        <row r="2214">
          <cell r="J2214" t="str">
            <v/>
          </cell>
          <cell r="K2214">
            <v>0</v>
          </cell>
        </row>
        <row r="2215">
          <cell r="J2215" t="str">
            <v/>
          </cell>
          <cell r="K2215">
            <v>0</v>
          </cell>
        </row>
        <row r="2216">
          <cell r="J2216" t="str">
            <v/>
          </cell>
          <cell r="K2216">
            <v>0</v>
          </cell>
        </row>
        <row r="2217">
          <cell r="J2217" t="str">
            <v/>
          </cell>
          <cell r="K2217">
            <v>0</v>
          </cell>
        </row>
        <row r="2218">
          <cell r="J2218" t="str">
            <v/>
          </cell>
          <cell r="K2218">
            <v>0</v>
          </cell>
        </row>
        <row r="2219">
          <cell r="J2219" t="str">
            <v/>
          </cell>
          <cell r="K2219">
            <v>0</v>
          </cell>
        </row>
        <row r="2220">
          <cell r="J2220" t="str">
            <v/>
          </cell>
          <cell r="K2220">
            <v>0</v>
          </cell>
        </row>
        <row r="2221">
          <cell r="J2221" t="str">
            <v/>
          </cell>
          <cell r="K2221">
            <v>0</v>
          </cell>
        </row>
        <row r="2222">
          <cell r="J2222" t="str">
            <v/>
          </cell>
          <cell r="K2222">
            <v>0</v>
          </cell>
        </row>
        <row r="2223">
          <cell r="J2223" t="str">
            <v/>
          </cell>
          <cell r="K2223">
            <v>0</v>
          </cell>
        </row>
        <row r="2224">
          <cell r="J2224" t="str">
            <v/>
          </cell>
          <cell r="K2224">
            <v>0</v>
          </cell>
        </row>
        <row r="2225">
          <cell r="J2225" t="str">
            <v/>
          </cell>
          <cell r="K2225">
            <v>0</v>
          </cell>
        </row>
        <row r="2226">
          <cell r="J2226" t="str">
            <v/>
          </cell>
          <cell r="K2226">
            <v>0</v>
          </cell>
        </row>
        <row r="2227">
          <cell r="J2227" t="str">
            <v/>
          </cell>
          <cell r="K2227">
            <v>0</v>
          </cell>
        </row>
        <row r="2228">
          <cell r="J2228" t="str">
            <v/>
          </cell>
          <cell r="K2228">
            <v>0</v>
          </cell>
        </row>
        <row r="2229">
          <cell r="J2229" t="str">
            <v/>
          </cell>
          <cell r="K2229">
            <v>0</v>
          </cell>
        </row>
        <row r="2230">
          <cell r="J2230" t="str">
            <v/>
          </cell>
          <cell r="K2230">
            <v>0</v>
          </cell>
        </row>
        <row r="2231">
          <cell r="J2231" t="str">
            <v/>
          </cell>
          <cell r="K2231">
            <v>0</v>
          </cell>
        </row>
        <row r="2232">
          <cell r="J2232" t="str">
            <v/>
          </cell>
          <cell r="K2232">
            <v>0</v>
          </cell>
        </row>
        <row r="2233">
          <cell r="J2233" t="str">
            <v/>
          </cell>
          <cell r="K2233">
            <v>0</v>
          </cell>
        </row>
        <row r="2234">
          <cell r="J2234" t="str">
            <v/>
          </cell>
          <cell r="K2234">
            <v>0</v>
          </cell>
        </row>
        <row r="2235">
          <cell r="J2235" t="str">
            <v/>
          </cell>
          <cell r="K2235">
            <v>0</v>
          </cell>
        </row>
        <row r="2236">
          <cell r="J2236" t="str">
            <v/>
          </cell>
          <cell r="K2236">
            <v>0</v>
          </cell>
        </row>
        <row r="2237">
          <cell r="J2237" t="str">
            <v/>
          </cell>
          <cell r="K2237">
            <v>0</v>
          </cell>
        </row>
        <row r="2238">
          <cell r="J2238" t="str">
            <v/>
          </cell>
          <cell r="K2238">
            <v>0</v>
          </cell>
        </row>
        <row r="2239">
          <cell r="J2239" t="str">
            <v/>
          </cell>
          <cell r="K2239">
            <v>0</v>
          </cell>
        </row>
        <row r="2240">
          <cell r="J2240" t="str">
            <v/>
          </cell>
          <cell r="K2240">
            <v>0</v>
          </cell>
        </row>
        <row r="2241">
          <cell r="J2241" t="str">
            <v/>
          </cell>
          <cell r="K2241">
            <v>0</v>
          </cell>
        </row>
        <row r="2242">
          <cell r="J2242" t="str">
            <v/>
          </cell>
          <cell r="K2242">
            <v>0</v>
          </cell>
        </row>
        <row r="2243">
          <cell r="J2243" t="str">
            <v/>
          </cell>
          <cell r="K2243">
            <v>0</v>
          </cell>
        </row>
        <row r="2244">
          <cell r="J2244" t="str">
            <v/>
          </cell>
          <cell r="K2244">
            <v>0</v>
          </cell>
        </row>
        <row r="2245">
          <cell r="J2245" t="str">
            <v/>
          </cell>
          <cell r="K2245">
            <v>0</v>
          </cell>
        </row>
        <row r="2246">
          <cell r="J2246" t="str">
            <v/>
          </cell>
          <cell r="K2246">
            <v>0</v>
          </cell>
        </row>
        <row r="2247">
          <cell r="J2247" t="str">
            <v/>
          </cell>
          <cell r="K2247">
            <v>0</v>
          </cell>
        </row>
        <row r="2248">
          <cell r="J2248" t="str">
            <v/>
          </cell>
          <cell r="K2248">
            <v>0</v>
          </cell>
        </row>
        <row r="2249">
          <cell r="J2249" t="str">
            <v/>
          </cell>
          <cell r="K2249">
            <v>0</v>
          </cell>
        </row>
        <row r="2250">
          <cell r="J2250" t="str">
            <v/>
          </cell>
          <cell r="K2250">
            <v>0</v>
          </cell>
        </row>
        <row r="2251">
          <cell r="J2251" t="str">
            <v/>
          </cell>
          <cell r="K2251">
            <v>0</v>
          </cell>
        </row>
        <row r="2252">
          <cell r="J2252" t="str">
            <v/>
          </cell>
          <cell r="K2252">
            <v>0</v>
          </cell>
        </row>
        <row r="2253">
          <cell r="J2253" t="str">
            <v/>
          </cell>
          <cell r="K2253">
            <v>0</v>
          </cell>
        </row>
        <row r="2254">
          <cell r="J2254" t="str">
            <v/>
          </cell>
          <cell r="K2254">
            <v>0</v>
          </cell>
        </row>
        <row r="2255">
          <cell r="J2255" t="str">
            <v/>
          </cell>
          <cell r="K2255">
            <v>0</v>
          </cell>
        </row>
        <row r="2256">
          <cell r="J2256" t="str">
            <v/>
          </cell>
          <cell r="K2256">
            <v>0</v>
          </cell>
        </row>
        <row r="2257">
          <cell r="J2257" t="str">
            <v/>
          </cell>
          <cell r="K2257">
            <v>0</v>
          </cell>
        </row>
        <row r="2258">
          <cell r="J2258" t="str">
            <v/>
          </cell>
          <cell r="K2258">
            <v>0</v>
          </cell>
        </row>
        <row r="2259">
          <cell r="J2259" t="str">
            <v/>
          </cell>
          <cell r="K2259">
            <v>0</v>
          </cell>
        </row>
        <row r="2260">
          <cell r="J2260" t="str">
            <v/>
          </cell>
          <cell r="K2260">
            <v>0</v>
          </cell>
        </row>
        <row r="2261">
          <cell r="J2261" t="str">
            <v/>
          </cell>
          <cell r="K2261">
            <v>0</v>
          </cell>
        </row>
        <row r="2262">
          <cell r="J2262" t="str">
            <v/>
          </cell>
          <cell r="K2262">
            <v>0</v>
          </cell>
        </row>
        <row r="2263">
          <cell r="J2263" t="str">
            <v/>
          </cell>
          <cell r="K2263">
            <v>0</v>
          </cell>
        </row>
        <row r="2264">
          <cell r="J2264" t="str">
            <v/>
          </cell>
          <cell r="K2264">
            <v>0</v>
          </cell>
        </row>
        <row r="2265">
          <cell r="J2265" t="str">
            <v/>
          </cell>
          <cell r="K2265">
            <v>0</v>
          </cell>
        </row>
        <row r="2266">
          <cell r="J2266" t="str">
            <v/>
          </cell>
          <cell r="K2266">
            <v>0</v>
          </cell>
        </row>
        <row r="2267">
          <cell r="J2267" t="str">
            <v/>
          </cell>
          <cell r="K2267">
            <v>0</v>
          </cell>
        </row>
        <row r="2268">
          <cell r="J2268" t="str">
            <v/>
          </cell>
          <cell r="K2268">
            <v>0</v>
          </cell>
        </row>
        <row r="2269">
          <cell r="J2269" t="str">
            <v/>
          </cell>
          <cell r="K2269">
            <v>0</v>
          </cell>
        </row>
        <row r="2270">
          <cell r="J2270" t="str">
            <v/>
          </cell>
          <cell r="K2270">
            <v>0</v>
          </cell>
        </row>
        <row r="2271">
          <cell r="J2271" t="str">
            <v/>
          </cell>
          <cell r="K2271">
            <v>0</v>
          </cell>
        </row>
        <row r="2272">
          <cell r="J2272" t="str">
            <v/>
          </cell>
          <cell r="K2272">
            <v>0</v>
          </cell>
        </row>
        <row r="2273">
          <cell r="J2273" t="str">
            <v/>
          </cell>
          <cell r="K2273">
            <v>0</v>
          </cell>
        </row>
        <row r="2274">
          <cell r="J2274" t="str">
            <v/>
          </cell>
          <cell r="K2274">
            <v>0</v>
          </cell>
        </row>
        <row r="2275">
          <cell r="J2275" t="str">
            <v/>
          </cell>
          <cell r="K2275">
            <v>0</v>
          </cell>
        </row>
        <row r="2276">
          <cell r="J2276" t="str">
            <v/>
          </cell>
          <cell r="K2276">
            <v>0</v>
          </cell>
        </row>
        <row r="2277">
          <cell r="J2277" t="str">
            <v/>
          </cell>
          <cell r="K2277">
            <v>0</v>
          </cell>
        </row>
        <row r="2278">
          <cell r="J2278" t="str">
            <v/>
          </cell>
          <cell r="K2278">
            <v>0</v>
          </cell>
        </row>
        <row r="2279">
          <cell r="J2279" t="str">
            <v/>
          </cell>
          <cell r="K2279">
            <v>0</v>
          </cell>
        </row>
        <row r="2280">
          <cell r="J2280" t="str">
            <v/>
          </cell>
          <cell r="K2280">
            <v>0</v>
          </cell>
        </row>
        <row r="2281">
          <cell r="J2281" t="str">
            <v/>
          </cell>
          <cell r="K2281">
            <v>0</v>
          </cell>
        </row>
        <row r="2282">
          <cell r="J2282" t="str">
            <v/>
          </cell>
          <cell r="K2282">
            <v>0</v>
          </cell>
        </row>
        <row r="2283">
          <cell r="J2283" t="str">
            <v/>
          </cell>
          <cell r="K2283">
            <v>0</v>
          </cell>
        </row>
        <row r="2284">
          <cell r="J2284" t="str">
            <v/>
          </cell>
          <cell r="K2284">
            <v>0</v>
          </cell>
        </row>
        <row r="2285">
          <cell r="J2285" t="str">
            <v/>
          </cell>
          <cell r="K2285">
            <v>0</v>
          </cell>
        </row>
        <row r="2286">
          <cell r="J2286" t="str">
            <v/>
          </cell>
          <cell r="K2286">
            <v>0</v>
          </cell>
        </row>
        <row r="2287">
          <cell r="J2287" t="str">
            <v/>
          </cell>
          <cell r="K2287">
            <v>0</v>
          </cell>
        </row>
        <row r="2288">
          <cell r="J2288" t="str">
            <v/>
          </cell>
          <cell r="K2288">
            <v>0</v>
          </cell>
        </row>
        <row r="2289">
          <cell r="J2289" t="str">
            <v/>
          </cell>
          <cell r="K2289">
            <v>0</v>
          </cell>
        </row>
        <row r="2290">
          <cell r="J2290" t="str">
            <v/>
          </cell>
          <cell r="K2290">
            <v>0</v>
          </cell>
        </row>
        <row r="2291">
          <cell r="J2291" t="str">
            <v/>
          </cell>
          <cell r="K2291">
            <v>0</v>
          </cell>
        </row>
        <row r="2292">
          <cell r="J2292" t="str">
            <v/>
          </cell>
          <cell r="K2292">
            <v>0</v>
          </cell>
        </row>
        <row r="2293">
          <cell r="J2293" t="str">
            <v/>
          </cell>
          <cell r="K2293">
            <v>0</v>
          </cell>
        </row>
        <row r="2294">
          <cell r="J2294" t="str">
            <v/>
          </cell>
          <cell r="K2294">
            <v>0</v>
          </cell>
        </row>
        <row r="2295">
          <cell r="J2295" t="str">
            <v/>
          </cell>
          <cell r="K2295">
            <v>0</v>
          </cell>
        </row>
        <row r="2296">
          <cell r="J2296" t="str">
            <v/>
          </cell>
          <cell r="K2296">
            <v>0</v>
          </cell>
        </row>
        <row r="2297">
          <cell r="J2297" t="str">
            <v/>
          </cell>
          <cell r="K2297">
            <v>0</v>
          </cell>
        </row>
        <row r="2298">
          <cell r="J2298" t="str">
            <v/>
          </cell>
          <cell r="K2298">
            <v>0</v>
          </cell>
        </row>
        <row r="2299">
          <cell r="J2299" t="str">
            <v/>
          </cell>
          <cell r="K2299">
            <v>0</v>
          </cell>
        </row>
        <row r="2300">
          <cell r="J2300" t="str">
            <v/>
          </cell>
          <cell r="K2300">
            <v>0</v>
          </cell>
        </row>
        <row r="2301">
          <cell r="J2301" t="str">
            <v/>
          </cell>
          <cell r="K2301">
            <v>0</v>
          </cell>
        </row>
        <row r="2302">
          <cell r="J2302" t="str">
            <v/>
          </cell>
          <cell r="K2302">
            <v>0</v>
          </cell>
        </row>
        <row r="2303">
          <cell r="J2303" t="str">
            <v/>
          </cell>
          <cell r="K2303">
            <v>0</v>
          </cell>
        </row>
        <row r="2304">
          <cell r="J2304" t="str">
            <v/>
          </cell>
          <cell r="K2304">
            <v>0</v>
          </cell>
        </row>
        <row r="2305">
          <cell r="J2305" t="str">
            <v/>
          </cell>
          <cell r="K2305">
            <v>0</v>
          </cell>
        </row>
        <row r="2306">
          <cell r="J2306" t="str">
            <v/>
          </cell>
          <cell r="K2306">
            <v>0</v>
          </cell>
        </row>
        <row r="2307">
          <cell r="J2307" t="str">
            <v/>
          </cell>
          <cell r="K2307">
            <v>0</v>
          </cell>
        </row>
        <row r="2308">
          <cell r="J2308" t="str">
            <v/>
          </cell>
          <cell r="K2308">
            <v>0</v>
          </cell>
        </row>
        <row r="2309">
          <cell r="J2309" t="str">
            <v/>
          </cell>
          <cell r="K2309">
            <v>0</v>
          </cell>
        </row>
        <row r="2310">
          <cell r="J2310" t="str">
            <v/>
          </cell>
          <cell r="K2310">
            <v>0</v>
          </cell>
        </row>
        <row r="2311">
          <cell r="J2311" t="str">
            <v/>
          </cell>
          <cell r="K2311">
            <v>0</v>
          </cell>
        </row>
        <row r="2312">
          <cell r="J2312" t="str">
            <v/>
          </cell>
          <cell r="K2312">
            <v>0</v>
          </cell>
        </row>
        <row r="2313">
          <cell r="J2313" t="str">
            <v/>
          </cell>
          <cell r="K2313">
            <v>0</v>
          </cell>
        </row>
        <row r="2314">
          <cell r="J2314" t="str">
            <v/>
          </cell>
          <cell r="K2314">
            <v>0</v>
          </cell>
        </row>
        <row r="2315">
          <cell r="J2315" t="str">
            <v/>
          </cell>
          <cell r="K2315">
            <v>0</v>
          </cell>
        </row>
        <row r="2316">
          <cell r="J2316" t="str">
            <v/>
          </cell>
          <cell r="K2316">
            <v>0</v>
          </cell>
        </row>
        <row r="2317">
          <cell r="J2317" t="str">
            <v/>
          </cell>
          <cell r="K2317">
            <v>0</v>
          </cell>
        </row>
        <row r="2318">
          <cell r="J2318" t="str">
            <v/>
          </cell>
          <cell r="K2318">
            <v>0</v>
          </cell>
        </row>
        <row r="2319">
          <cell r="J2319" t="str">
            <v/>
          </cell>
          <cell r="K2319">
            <v>0</v>
          </cell>
        </row>
        <row r="2320">
          <cell r="J2320" t="str">
            <v/>
          </cell>
          <cell r="K2320">
            <v>0</v>
          </cell>
        </row>
        <row r="2321">
          <cell r="J2321" t="str">
            <v/>
          </cell>
          <cell r="K2321">
            <v>0</v>
          </cell>
        </row>
        <row r="2322">
          <cell r="J2322" t="str">
            <v/>
          </cell>
          <cell r="K2322">
            <v>0</v>
          </cell>
        </row>
        <row r="2323">
          <cell r="J2323" t="str">
            <v/>
          </cell>
          <cell r="K2323">
            <v>0</v>
          </cell>
        </row>
        <row r="2324">
          <cell r="J2324" t="str">
            <v/>
          </cell>
          <cell r="K2324">
            <v>0</v>
          </cell>
        </row>
        <row r="2325">
          <cell r="J2325" t="str">
            <v/>
          </cell>
          <cell r="K2325">
            <v>0</v>
          </cell>
        </row>
        <row r="2326">
          <cell r="J2326" t="str">
            <v/>
          </cell>
          <cell r="K2326">
            <v>0</v>
          </cell>
        </row>
        <row r="2327">
          <cell r="J2327" t="str">
            <v/>
          </cell>
          <cell r="K2327">
            <v>0</v>
          </cell>
        </row>
        <row r="2328">
          <cell r="J2328" t="str">
            <v/>
          </cell>
          <cell r="K2328">
            <v>0</v>
          </cell>
        </row>
        <row r="2329">
          <cell r="J2329" t="str">
            <v/>
          </cell>
          <cell r="K2329">
            <v>0</v>
          </cell>
        </row>
        <row r="2330">
          <cell r="J2330" t="str">
            <v/>
          </cell>
          <cell r="K2330">
            <v>0</v>
          </cell>
        </row>
        <row r="2331">
          <cell r="J2331" t="str">
            <v/>
          </cell>
          <cell r="K2331">
            <v>0</v>
          </cell>
        </row>
        <row r="2332">
          <cell r="J2332" t="str">
            <v/>
          </cell>
          <cell r="K2332">
            <v>0</v>
          </cell>
        </row>
        <row r="2333">
          <cell r="J2333" t="str">
            <v/>
          </cell>
          <cell r="K2333">
            <v>0</v>
          </cell>
        </row>
        <row r="2334">
          <cell r="J2334" t="str">
            <v/>
          </cell>
          <cell r="K2334">
            <v>0</v>
          </cell>
        </row>
        <row r="2335">
          <cell r="J2335" t="str">
            <v/>
          </cell>
          <cell r="K2335">
            <v>0</v>
          </cell>
        </row>
        <row r="2336">
          <cell r="J2336" t="str">
            <v/>
          </cell>
          <cell r="K2336">
            <v>0</v>
          </cell>
        </row>
        <row r="2337">
          <cell r="J2337" t="str">
            <v/>
          </cell>
          <cell r="K2337">
            <v>0</v>
          </cell>
        </row>
        <row r="2338">
          <cell r="J2338" t="str">
            <v/>
          </cell>
          <cell r="K2338">
            <v>0</v>
          </cell>
        </row>
        <row r="2339">
          <cell r="J2339" t="str">
            <v/>
          </cell>
          <cell r="K2339">
            <v>0</v>
          </cell>
        </row>
        <row r="2340">
          <cell r="J2340" t="str">
            <v/>
          </cell>
          <cell r="K2340">
            <v>0</v>
          </cell>
        </row>
        <row r="2341">
          <cell r="J2341" t="str">
            <v/>
          </cell>
          <cell r="K2341">
            <v>0</v>
          </cell>
        </row>
        <row r="2342">
          <cell r="J2342" t="str">
            <v/>
          </cell>
          <cell r="K2342">
            <v>0</v>
          </cell>
        </row>
        <row r="2343">
          <cell r="J2343" t="str">
            <v/>
          </cell>
          <cell r="K2343">
            <v>0</v>
          </cell>
        </row>
        <row r="2344">
          <cell r="J2344" t="str">
            <v/>
          </cell>
          <cell r="K2344">
            <v>0</v>
          </cell>
        </row>
        <row r="2345">
          <cell r="J2345" t="str">
            <v/>
          </cell>
          <cell r="K2345">
            <v>0</v>
          </cell>
        </row>
        <row r="2346">
          <cell r="J2346" t="str">
            <v/>
          </cell>
          <cell r="K2346">
            <v>0</v>
          </cell>
        </row>
        <row r="2347">
          <cell r="J2347" t="str">
            <v/>
          </cell>
          <cell r="K2347">
            <v>0</v>
          </cell>
        </row>
        <row r="2348">
          <cell r="J2348" t="str">
            <v/>
          </cell>
          <cell r="K2348">
            <v>0</v>
          </cell>
        </row>
        <row r="2349">
          <cell r="J2349" t="str">
            <v/>
          </cell>
          <cell r="K2349">
            <v>0</v>
          </cell>
        </row>
        <row r="2350">
          <cell r="J2350" t="str">
            <v/>
          </cell>
          <cell r="K2350">
            <v>0</v>
          </cell>
        </row>
        <row r="2351">
          <cell r="J2351" t="str">
            <v/>
          </cell>
          <cell r="K2351">
            <v>0</v>
          </cell>
        </row>
        <row r="2352">
          <cell r="J2352" t="str">
            <v/>
          </cell>
          <cell r="K2352">
            <v>0</v>
          </cell>
        </row>
        <row r="2353">
          <cell r="J2353" t="str">
            <v/>
          </cell>
          <cell r="K2353">
            <v>0</v>
          </cell>
        </row>
        <row r="2354">
          <cell r="J2354" t="str">
            <v/>
          </cell>
          <cell r="K2354">
            <v>0</v>
          </cell>
        </row>
        <row r="2355">
          <cell r="J2355" t="str">
            <v/>
          </cell>
          <cell r="K2355">
            <v>0</v>
          </cell>
        </row>
        <row r="2356">
          <cell r="J2356" t="str">
            <v/>
          </cell>
          <cell r="K2356">
            <v>0</v>
          </cell>
        </row>
        <row r="2357">
          <cell r="J2357" t="str">
            <v/>
          </cell>
          <cell r="K2357">
            <v>0</v>
          </cell>
        </row>
        <row r="2358">
          <cell r="J2358" t="str">
            <v/>
          </cell>
          <cell r="K2358">
            <v>0</v>
          </cell>
        </row>
        <row r="2359">
          <cell r="J2359" t="str">
            <v/>
          </cell>
          <cell r="K2359">
            <v>0</v>
          </cell>
        </row>
        <row r="2360">
          <cell r="J2360" t="str">
            <v/>
          </cell>
          <cell r="K2360">
            <v>0</v>
          </cell>
        </row>
        <row r="2361">
          <cell r="J2361" t="str">
            <v/>
          </cell>
          <cell r="K2361">
            <v>0</v>
          </cell>
        </row>
        <row r="2362">
          <cell r="J2362" t="str">
            <v/>
          </cell>
          <cell r="K2362">
            <v>0</v>
          </cell>
        </row>
        <row r="2363">
          <cell r="J2363" t="str">
            <v/>
          </cell>
          <cell r="K2363">
            <v>0</v>
          </cell>
        </row>
        <row r="2364">
          <cell r="J2364" t="str">
            <v/>
          </cell>
          <cell r="K2364">
            <v>0</v>
          </cell>
        </row>
        <row r="2365">
          <cell r="J2365" t="str">
            <v/>
          </cell>
          <cell r="K2365">
            <v>0</v>
          </cell>
        </row>
        <row r="2366">
          <cell r="J2366" t="str">
            <v/>
          </cell>
          <cell r="K2366">
            <v>0</v>
          </cell>
        </row>
        <row r="2367">
          <cell r="J2367" t="str">
            <v/>
          </cell>
          <cell r="K2367">
            <v>0</v>
          </cell>
        </row>
        <row r="2368">
          <cell r="J2368" t="str">
            <v/>
          </cell>
          <cell r="K2368">
            <v>0</v>
          </cell>
        </row>
        <row r="2369">
          <cell r="J2369" t="str">
            <v/>
          </cell>
          <cell r="K2369">
            <v>0</v>
          </cell>
        </row>
        <row r="2370">
          <cell r="J2370" t="str">
            <v/>
          </cell>
          <cell r="K2370">
            <v>0</v>
          </cell>
        </row>
        <row r="2371">
          <cell r="J2371" t="str">
            <v/>
          </cell>
          <cell r="K2371">
            <v>0</v>
          </cell>
        </row>
        <row r="2372">
          <cell r="J2372" t="str">
            <v/>
          </cell>
          <cell r="K2372">
            <v>0</v>
          </cell>
        </row>
        <row r="2373">
          <cell r="J2373" t="str">
            <v/>
          </cell>
          <cell r="K2373">
            <v>0</v>
          </cell>
        </row>
        <row r="2374">
          <cell r="J2374" t="str">
            <v/>
          </cell>
          <cell r="K2374">
            <v>0</v>
          </cell>
        </row>
        <row r="2375">
          <cell r="J2375" t="str">
            <v/>
          </cell>
          <cell r="K2375">
            <v>0</v>
          </cell>
        </row>
        <row r="2376">
          <cell r="J2376" t="str">
            <v/>
          </cell>
          <cell r="K2376">
            <v>0</v>
          </cell>
        </row>
        <row r="2377">
          <cell r="J2377" t="str">
            <v/>
          </cell>
          <cell r="K2377">
            <v>0</v>
          </cell>
        </row>
        <row r="2378">
          <cell r="J2378" t="str">
            <v/>
          </cell>
          <cell r="K2378">
            <v>0</v>
          </cell>
        </row>
        <row r="2379">
          <cell r="J2379" t="str">
            <v/>
          </cell>
          <cell r="K2379">
            <v>0</v>
          </cell>
        </row>
        <row r="2380">
          <cell r="J2380" t="str">
            <v/>
          </cell>
          <cell r="K2380">
            <v>0</v>
          </cell>
        </row>
        <row r="2381">
          <cell r="J2381" t="str">
            <v/>
          </cell>
          <cell r="K2381">
            <v>0</v>
          </cell>
        </row>
        <row r="2382">
          <cell r="J2382" t="str">
            <v/>
          </cell>
          <cell r="K2382">
            <v>0</v>
          </cell>
        </row>
        <row r="2383">
          <cell r="J2383" t="str">
            <v/>
          </cell>
          <cell r="K2383">
            <v>0</v>
          </cell>
        </row>
        <row r="2384">
          <cell r="J2384" t="str">
            <v/>
          </cell>
          <cell r="K2384">
            <v>0</v>
          </cell>
        </row>
        <row r="2385">
          <cell r="J2385" t="str">
            <v/>
          </cell>
          <cell r="K2385">
            <v>0</v>
          </cell>
        </row>
        <row r="2386">
          <cell r="J2386" t="str">
            <v/>
          </cell>
          <cell r="K2386">
            <v>0</v>
          </cell>
        </row>
        <row r="2387">
          <cell r="J2387" t="str">
            <v/>
          </cell>
          <cell r="K2387">
            <v>0</v>
          </cell>
        </row>
        <row r="2388">
          <cell r="J2388" t="str">
            <v/>
          </cell>
          <cell r="K2388">
            <v>0</v>
          </cell>
        </row>
        <row r="2389">
          <cell r="J2389" t="str">
            <v/>
          </cell>
          <cell r="K2389">
            <v>0</v>
          </cell>
        </row>
        <row r="2390">
          <cell r="J2390" t="str">
            <v/>
          </cell>
          <cell r="K2390">
            <v>0</v>
          </cell>
        </row>
        <row r="2391">
          <cell r="J2391" t="str">
            <v/>
          </cell>
          <cell r="K2391">
            <v>0</v>
          </cell>
        </row>
        <row r="2392">
          <cell r="J2392" t="str">
            <v/>
          </cell>
          <cell r="K2392">
            <v>0</v>
          </cell>
        </row>
        <row r="2393">
          <cell r="J2393" t="str">
            <v/>
          </cell>
          <cell r="K2393">
            <v>0</v>
          </cell>
        </row>
        <row r="2394">
          <cell r="J2394" t="str">
            <v/>
          </cell>
          <cell r="K2394">
            <v>0</v>
          </cell>
        </row>
        <row r="2395">
          <cell r="J2395" t="str">
            <v/>
          </cell>
          <cell r="K2395">
            <v>0</v>
          </cell>
        </row>
        <row r="2396">
          <cell r="J2396" t="str">
            <v/>
          </cell>
          <cell r="K2396">
            <v>0</v>
          </cell>
        </row>
        <row r="2397">
          <cell r="J2397" t="str">
            <v/>
          </cell>
          <cell r="K2397">
            <v>0</v>
          </cell>
        </row>
        <row r="2398">
          <cell r="J2398" t="str">
            <v/>
          </cell>
          <cell r="K2398">
            <v>0</v>
          </cell>
        </row>
        <row r="2399">
          <cell r="J2399" t="str">
            <v/>
          </cell>
          <cell r="K2399">
            <v>0</v>
          </cell>
        </row>
        <row r="2400">
          <cell r="J2400" t="str">
            <v/>
          </cell>
          <cell r="K2400">
            <v>0</v>
          </cell>
        </row>
        <row r="2401">
          <cell r="J2401" t="str">
            <v/>
          </cell>
          <cell r="K2401">
            <v>0</v>
          </cell>
        </row>
        <row r="2402">
          <cell r="J2402" t="str">
            <v/>
          </cell>
          <cell r="K2402">
            <v>0</v>
          </cell>
        </row>
        <row r="2403">
          <cell r="J2403" t="str">
            <v/>
          </cell>
          <cell r="K2403">
            <v>0</v>
          </cell>
        </row>
        <row r="2404">
          <cell r="J2404" t="str">
            <v/>
          </cell>
          <cell r="K2404">
            <v>0</v>
          </cell>
        </row>
        <row r="2405">
          <cell r="J2405" t="str">
            <v/>
          </cell>
          <cell r="K2405">
            <v>0</v>
          </cell>
        </row>
        <row r="2406">
          <cell r="J2406" t="str">
            <v/>
          </cell>
          <cell r="K2406">
            <v>0</v>
          </cell>
        </row>
        <row r="2407">
          <cell r="J2407" t="str">
            <v/>
          </cell>
          <cell r="K2407">
            <v>0</v>
          </cell>
        </row>
        <row r="2408">
          <cell r="J2408" t="str">
            <v/>
          </cell>
          <cell r="K2408">
            <v>0</v>
          </cell>
        </row>
        <row r="2409">
          <cell r="J2409" t="str">
            <v/>
          </cell>
          <cell r="K2409">
            <v>0</v>
          </cell>
        </row>
        <row r="2410">
          <cell r="J2410" t="str">
            <v/>
          </cell>
          <cell r="K2410">
            <v>0</v>
          </cell>
        </row>
        <row r="2411">
          <cell r="J2411" t="str">
            <v/>
          </cell>
          <cell r="K2411">
            <v>0</v>
          </cell>
        </row>
        <row r="2412">
          <cell r="J2412" t="str">
            <v/>
          </cell>
          <cell r="K2412">
            <v>0</v>
          </cell>
        </row>
        <row r="2413">
          <cell r="J2413" t="str">
            <v/>
          </cell>
          <cell r="K2413">
            <v>0</v>
          </cell>
        </row>
        <row r="2414">
          <cell r="J2414" t="str">
            <v/>
          </cell>
          <cell r="K2414">
            <v>0</v>
          </cell>
        </row>
        <row r="2415">
          <cell r="J2415" t="str">
            <v/>
          </cell>
          <cell r="K2415">
            <v>0</v>
          </cell>
        </row>
        <row r="2416">
          <cell r="J2416" t="str">
            <v/>
          </cell>
          <cell r="K2416">
            <v>0</v>
          </cell>
        </row>
        <row r="2417">
          <cell r="J2417" t="str">
            <v/>
          </cell>
          <cell r="K2417">
            <v>0</v>
          </cell>
        </row>
        <row r="2418">
          <cell r="J2418" t="str">
            <v/>
          </cell>
          <cell r="K2418">
            <v>0</v>
          </cell>
        </row>
        <row r="2419">
          <cell r="J2419" t="str">
            <v/>
          </cell>
          <cell r="K2419">
            <v>0</v>
          </cell>
        </row>
        <row r="2420">
          <cell r="J2420" t="str">
            <v/>
          </cell>
          <cell r="K2420">
            <v>0</v>
          </cell>
        </row>
        <row r="2421">
          <cell r="J2421" t="str">
            <v/>
          </cell>
          <cell r="K2421">
            <v>0</v>
          </cell>
        </row>
        <row r="2422">
          <cell r="J2422" t="str">
            <v/>
          </cell>
          <cell r="K2422">
            <v>0</v>
          </cell>
        </row>
        <row r="2423">
          <cell r="J2423" t="str">
            <v/>
          </cell>
          <cell r="K2423">
            <v>0</v>
          </cell>
        </row>
        <row r="2424">
          <cell r="J2424" t="str">
            <v/>
          </cell>
          <cell r="K2424">
            <v>0</v>
          </cell>
        </row>
        <row r="2425">
          <cell r="J2425" t="str">
            <v/>
          </cell>
          <cell r="K2425">
            <v>0</v>
          </cell>
        </row>
        <row r="2426">
          <cell r="J2426" t="str">
            <v/>
          </cell>
          <cell r="K2426">
            <v>0</v>
          </cell>
        </row>
        <row r="2427">
          <cell r="J2427" t="str">
            <v/>
          </cell>
          <cell r="K2427">
            <v>0</v>
          </cell>
        </row>
        <row r="2428">
          <cell r="J2428" t="str">
            <v/>
          </cell>
          <cell r="K2428">
            <v>0</v>
          </cell>
        </row>
        <row r="2429">
          <cell r="J2429" t="str">
            <v/>
          </cell>
          <cell r="K2429">
            <v>0</v>
          </cell>
        </row>
        <row r="2430">
          <cell r="J2430" t="str">
            <v/>
          </cell>
          <cell r="K2430">
            <v>0</v>
          </cell>
        </row>
        <row r="2431">
          <cell r="J2431" t="str">
            <v/>
          </cell>
          <cell r="K2431">
            <v>0</v>
          </cell>
        </row>
        <row r="2432">
          <cell r="J2432" t="str">
            <v/>
          </cell>
          <cell r="K2432">
            <v>0</v>
          </cell>
        </row>
        <row r="2433">
          <cell r="J2433" t="str">
            <v/>
          </cell>
          <cell r="K2433">
            <v>0</v>
          </cell>
        </row>
        <row r="2434">
          <cell r="J2434" t="str">
            <v/>
          </cell>
          <cell r="K2434">
            <v>0</v>
          </cell>
        </row>
        <row r="2435">
          <cell r="J2435" t="str">
            <v/>
          </cell>
          <cell r="K2435">
            <v>0</v>
          </cell>
        </row>
        <row r="2436">
          <cell r="J2436" t="str">
            <v/>
          </cell>
          <cell r="K2436">
            <v>0</v>
          </cell>
        </row>
        <row r="2437">
          <cell r="J2437" t="str">
            <v/>
          </cell>
          <cell r="K2437">
            <v>0</v>
          </cell>
        </row>
        <row r="2438">
          <cell r="J2438" t="str">
            <v/>
          </cell>
          <cell r="K2438">
            <v>0</v>
          </cell>
        </row>
        <row r="2439">
          <cell r="J2439" t="str">
            <v/>
          </cell>
          <cell r="K2439">
            <v>0</v>
          </cell>
        </row>
        <row r="2440">
          <cell r="J2440" t="str">
            <v/>
          </cell>
          <cell r="K2440">
            <v>0</v>
          </cell>
        </row>
        <row r="2441">
          <cell r="J2441" t="str">
            <v/>
          </cell>
          <cell r="K2441">
            <v>0</v>
          </cell>
        </row>
        <row r="2442">
          <cell r="J2442" t="str">
            <v/>
          </cell>
          <cell r="K2442">
            <v>0</v>
          </cell>
        </row>
        <row r="2443">
          <cell r="J2443" t="str">
            <v/>
          </cell>
          <cell r="K2443">
            <v>0</v>
          </cell>
        </row>
        <row r="2444">
          <cell r="J2444" t="str">
            <v/>
          </cell>
          <cell r="K2444">
            <v>0</v>
          </cell>
        </row>
        <row r="2445">
          <cell r="J2445" t="str">
            <v/>
          </cell>
          <cell r="K2445">
            <v>0</v>
          </cell>
        </row>
        <row r="2446">
          <cell r="J2446" t="str">
            <v/>
          </cell>
          <cell r="K2446">
            <v>0</v>
          </cell>
        </row>
        <row r="2447">
          <cell r="J2447" t="str">
            <v/>
          </cell>
          <cell r="K2447">
            <v>0</v>
          </cell>
        </row>
        <row r="2448">
          <cell r="J2448" t="str">
            <v/>
          </cell>
          <cell r="K2448">
            <v>0</v>
          </cell>
        </row>
        <row r="2449">
          <cell r="J2449" t="str">
            <v/>
          </cell>
          <cell r="K2449">
            <v>0</v>
          </cell>
        </row>
        <row r="2450">
          <cell r="J2450" t="str">
            <v/>
          </cell>
          <cell r="K2450">
            <v>0</v>
          </cell>
        </row>
        <row r="2451">
          <cell r="J2451" t="str">
            <v/>
          </cell>
          <cell r="K2451">
            <v>0</v>
          </cell>
        </row>
        <row r="2452">
          <cell r="J2452" t="str">
            <v/>
          </cell>
          <cell r="K2452">
            <v>0</v>
          </cell>
        </row>
        <row r="2453">
          <cell r="J2453" t="str">
            <v/>
          </cell>
          <cell r="K2453">
            <v>0</v>
          </cell>
        </row>
        <row r="2454">
          <cell r="J2454" t="str">
            <v/>
          </cell>
          <cell r="K2454">
            <v>0</v>
          </cell>
        </row>
        <row r="2455">
          <cell r="J2455" t="str">
            <v/>
          </cell>
          <cell r="K2455">
            <v>0</v>
          </cell>
        </row>
        <row r="2456">
          <cell r="J2456" t="str">
            <v/>
          </cell>
          <cell r="K2456">
            <v>0</v>
          </cell>
        </row>
        <row r="2457">
          <cell r="J2457" t="str">
            <v/>
          </cell>
          <cell r="K2457">
            <v>0</v>
          </cell>
        </row>
        <row r="2458">
          <cell r="J2458" t="str">
            <v/>
          </cell>
          <cell r="K2458">
            <v>0</v>
          </cell>
        </row>
        <row r="2459">
          <cell r="J2459" t="str">
            <v/>
          </cell>
          <cell r="K2459">
            <v>0</v>
          </cell>
        </row>
        <row r="2460">
          <cell r="J2460" t="str">
            <v/>
          </cell>
          <cell r="K2460">
            <v>0</v>
          </cell>
        </row>
        <row r="2461">
          <cell r="J2461" t="str">
            <v/>
          </cell>
          <cell r="K2461">
            <v>0</v>
          </cell>
        </row>
        <row r="2462">
          <cell r="J2462" t="str">
            <v/>
          </cell>
          <cell r="K2462">
            <v>0</v>
          </cell>
        </row>
        <row r="2463">
          <cell r="J2463" t="str">
            <v/>
          </cell>
          <cell r="K2463">
            <v>0</v>
          </cell>
        </row>
        <row r="2464">
          <cell r="J2464" t="str">
            <v/>
          </cell>
          <cell r="K2464">
            <v>0</v>
          </cell>
        </row>
        <row r="2465">
          <cell r="J2465" t="str">
            <v/>
          </cell>
          <cell r="K2465">
            <v>0</v>
          </cell>
        </row>
        <row r="2466">
          <cell r="J2466" t="str">
            <v/>
          </cell>
          <cell r="K2466">
            <v>0</v>
          </cell>
        </row>
        <row r="2467">
          <cell r="J2467" t="str">
            <v/>
          </cell>
          <cell r="K2467">
            <v>0</v>
          </cell>
        </row>
        <row r="2468">
          <cell r="J2468" t="str">
            <v/>
          </cell>
          <cell r="K2468">
            <v>0</v>
          </cell>
        </row>
        <row r="2469">
          <cell r="J2469" t="str">
            <v/>
          </cell>
          <cell r="K2469">
            <v>0</v>
          </cell>
        </row>
        <row r="2470">
          <cell r="J2470" t="str">
            <v/>
          </cell>
          <cell r="K2470">
            <v>0</v>
          </cell>
        </row>
        <row r="2471">
          <cell r="J2471" t="str">
            <v/>
          </cell>
          <cell r="K2471">
            <v>0</v>
          </cell>
        </row>
        <row r="2472">
          <cell r="J2472" t="str">
            <v/>
          </cell>
          <cell r="K2472">
            <v>0</v>
          </cell>
        </row>
        <row r="2473">
          <cell r="J2473" t="str">
            <v/>
          </cell>
          <cell r="K2473">
            <v>0</v>
          </cell>
        </row>
        <row r="2474">
          <cell r="J2474" t="str">
            <v/>
          </cell>
          <cell r="K2474">
            <v>0</v>
          </cell>
        </row>
        <row r="2475">
          <cell r="J2475" t="str">
            <v/>
          </cell>
          <cell r="K2475">
            <v>0</v>
          </cell>
        </row>
        <row r="2476">
          <cell r="J2476" t="str">
            <v/>
          </cell>
          <cell r="K2476">
            <v>0</v>
          </cell>
        </row>
        <row r="2477">
          <cell r="J2477" t="str">
            <v/>
          </cell>
          <cell r="K2477">
            <v>0</v>
          </cell>
        </row>
        <row r="2478">
          <cell r="J2478" t="str">
            <v/>
          </cell>
          <cell r="K2478">
            <v>0</v>
          </cell>
        </row>
        <row r="2479">
          <cell r="J2479" t="str">
            <v/>
          </cell>
          <cell r="K2479">
            <v>0</v>
          </cell>
        </row>
        <row r="2480">
          <cell r="J2480" t="str">
            <v/>
          </cell>
          <cell r="K2480">
            <v>0</v>
          </cell>
        </row>
        <row r="2481">
          <cell r="J2481" t="str">
            <v/>
          </cell>
          <cell r="K2481">
            <v>0</v>
          </cell>
        </row>
        <row r="2482">
          <cell r="J2482" t="str">
            <v/>
          </cell>
          <cell r="K2482">
            <v>0</v>
          </cell>
        </row>
        <row r="2483">
          <cell r="J2483" t="str">
            <v/>
          </cell>
          <cell r="K2483">
            <v>0</v>
          </cell>
        </row>
        <row r="2484">
          <cell r="J2484" t="str">
            <v/>
          </cell>
          <cell r="K2484">
            <v>0</v>
          </cell>
        </row>
        <row r="2485">
          <cell r="J2485" t="str">
            <v/>
          </cell>
          <cell r="K2485">
            <v>0</v>
          </cell>
        </row>
        <row r="2486">
          <cell r="J2486" t="str">
            <v/>
          </cell>
          <cell r="K2486">
            <v>0</v>
          </cell>
        </row>
        <row r="2487">
          <cell r="J2487" t="str">
            <v/>
          </cell>
          <cell r="K2487">
            <v>0</v>
          </cell>
        </row>
        <row r="2488">
          <cell r="J2488" t="str">
            <v/>
          </cell>
          <cell r="K2488">
            <v>0</v>
          </cell>
        </row>
        <row r="2489">
          <cell r="J2489" t="str">
            <v/>
          </cell>
          <cell r="K2489">
            <v>0</v>
          </cell>
        </row>
        <row r="2490">
          <cell r="J2490" t="str">
            <v/>
          </cell>
          <cell r="K2490">
            <v>0</v>
          </cell>
        </row>
        <row r="2491">
          <cell r="J2491" t="str">
            <v/>
          </cell>
          <cell r="K2491">
            <v>0</v>
          </cell>
        </row>
        <row r="2492">
          <cell r="J2492" t="str">
            <v/>
          </cell>
          <cell r="K2492">
            <v>0</v>
          </cell>
        </row>
        <row r="2493">
          <cell r="J2493" t="str">
            <v/>
          </cell>
          <cell r="K2493">
            <v>0</v>
          </cell>
        </row>
        <row r="2494">
          <cell r="J2494" t="str">
            <v/>
          </cell>
          <cell r="K2494">
            <v>0</v>
          </cell>
        </row>
        <row r="2495">
          <cell r="J2495" t="str">
            <v/>
          </cell>
          <cell r="K2495">
            <v>0</v>
          </cell>
        </row>
        <row r="2496">
          <cell r="J2496" t="str">
            <v/>
          </cell>
          <cell r="K2496">
            <v>0</v>
          </cell>
        </row>
        <row r="2497">
          <cell r="J2497" t="str">
            <v/>
          </cell>
          <cell r="K2497">
            <v>0</v>
          </cell>
        </row>
        <row r="2498">
          <cell r="J2498" t="str">
            <v/>
          </cell>
          <cell r="K2498">
            <v>0</v>
          </cell>
        </row>
        <row r="2499">
          <cell r="J2499" t="str">
            <v/>
          </cell>
          <cell r="K2499">
            <v>0</v>
          </cell>
        </row>
        <row r="2500">
          <cell r="J2500" t="str">
            <v/>
          </cell>
          <cell r="K2500">
            <v>0</v>
          </cell>
        </row>
        <row r="2501">
          <cell r="J2501" t="str">
            <v/>
          </cell>
          <cell r="K2501">
            <v>0</v>
          </cell>
        </row>
        <row r="2502">
          <cell r="J2502" t="str">
            <v/>
          </cell>
          <cell r="K2502">
            <v>0</v>
          </cell>
        </row>
        <row r="2503">
          <cell r="J2503" t="str">
            <v/>
          </cell>
          <cell r="K2503">
            <v>0</v>
          </cell>
        </row>
        <row r="2504">
          <cell r="J2504" t="str">
            <v/>
          </cell>
          <cell r="K2504">
            <v>0</v>
          </cell>
        </row>
        <row r="2505">
          <cell r="J2505" t="str">
            <v/>
          </cell>
          <cell r="K2505">
            <v>0</v>
          </cell>
        </row>
        <row r="2506">
          <cell r="J2506" t="str">
            <v/>
          </cell>
          <cell r="K2506">
            <v>0</v>
          </cell>
        </row>
        <row r="2507">
          <cell r="J2507" t="str">
            <v/>
          </cell>
          <cell r="K2507">
            <v>0</v>
          </cell>
        </row>
        <row r="2508">
          <cell r="J2508" t="str">
            <v/>
          </cell>
          <cell r="K2508">
            <v>0</v>
          </cell>
        </row>
        <row r="2509">
          <cell r="J2509" t="str">
            <v/>
          </cell>
          <cell r="K2509">
            <v>0</v>
          </cell>
        </row>
        <row r="2510">
          <cell r="J2510" t="str">
            <v/>
          </cell>
          <cell r="K2510">
            <v>0</v>
          </cell>
        </row>
        <row r="2511">
          <cell r="J2511" t="str">
            <v/>
          </cell>
          <cell r="K2511">
            <v>0</v>
          </cell>
        </row>
        <row r="2512">
          <cell r="J2512" t="str">
            <v/>
          </cell>
          <cell r="K2512">
            <v>0</v>
          </cell>
        </row>
        <row r="2513">
          <cell r="J2513" t="str">
            <v/>
          </cell>
          <cell r="K2513">
            <v>0</v>
          </cell>
        </row>
        <row r="2514">
          <cell r="J2514" t="str">
            <v/>
          </cell>
          <cell r="K2514">
            <v>0</v>
          </cell>
        </row>
        <row r="2515">
          <cell r="J2515" t="str">
            <v/>
          </cell>
          <cell r="K2515">
            <v>0</v>
          </cell>
        </row>
        <row r="2516">
          <cell r="J2516" t="str">
            <v/>
          </cell>
          <cell r="K2516">
            <v>0</v>
          </cell>
        </row>
        <row r="2517">
          <cell r="J2517" t="str">
            <v/>
          </cell>
          <cell r="K2517">
            <v>0</v>
          </cell>
        </row>
        <row r="2518">
          <cell r="J2518" t="str">
            <v/>
          </cell>
          <cell r="K2518">
            <v>0</v>
          </cell>
        </row>
        <row r="2519">
          <cell r="J2519" t="str">
            <v/>
          </cell>
          <cell r="K2519">
            <v>0</v>
          </cell>
        </row>
        <row r="2520">
          <cell r="J2520" t="str">
            <v/>
          </cell>
          <cell r="K2520">
            <v>0</v>
          </cell>
        </row>
        <row r="2521">
          <cell r="J2521" t="str">
            <v/>
          </cell>
          <cell r="K2521">
            <v>0</v>
          </cell>
        </row>
        <row r="2522">
          <cell r="J2522" t="str">
            <v/>
          </cell>
          <cell r="K2522">
            <v>0</v>
          </cell>
        </row>
        <row r="2523">
          <cell r="J2523" t="str">
            <v/>
          </cell>
          <cell r="K2523">
            <v>0</v>
          </cell>
        </row>
        <row r="2524">
          <cell r="J2524" t="str">
            <v/>
          </cell>
          <cell r="K2524">
            <v>0</v>
          </cell>
        </row>
        <row r="2525">
          <cell r="J2525" t="str">
            <v/>
          </cell>
          <cell r="K2525">
            <v>0</v>
          </cell>
        </row>
        <row r="2526">
          <cell r="J2526" t="str">
            <v/>
          </cell>
          <cell r="K2526">
            <v>0</v>
          </cell>
        </row>
        <row r="2527">
          <cell r="J2527" t="str">
            <v/>
          </cell>
          <cell r="K2527">
            <v>0</v>
          </cell>
        </row>
        <row r="2528">
          <cell r="J2528" t="str">
            <v/>
          </cell>
          <cell r="K2528">
            <v>0</v>
          </cell>
        </row>
        <row r="2529">
          <cell r="J2529" t="str">
            <v/>
          </cell>
          <cell r="K2529">
            <v>0</v>
          </cell>
        </row>
        <row r="2530">
          <cell r="J2530" t="str">
            <v/>
          </cell>
          <cell r="K2530">
            <v>0</v>
          </cell>
        </row>
        <row r="2531">
          <cell r="J2531" t="str">
            <v/>
          </cell>
          <cell r="K2531">
            <v>0</v>
          </cell>
        </row>
        <row r="2532">
          <cell r="J2532" t="str">
            <v/>
          </cell>
          <cell r="K2532">
            <v>0</v>
          </cell>
        </row>
        <row r="2533">
          <cell r="J2533" t="str">
            <v/>
          </cell>
          <cell r="K2533">
            <v>0</v>
          </cell>
        </row>
        <row r="2534">
          <cell r="J2534" t="str">
            <v/>
          </cell>
          <cell r="K2534">
            <v>0</v>
          </cell>
        </row>
        <row r="2535">
          <cell r="J2535" t="str">
            <v/>
          </cell>
          <cell r="K2535">
            <v>0</v>
          </cell>
        </row>
        <row r="2536">
          <cell r="J2536" t="str">
            <v/>
          </cell>
          <cell r="K2536">
            <v>0</v>
          </cell>
        </row>
        <row r="2537">
          <cell r="J2537" t="str">
            <v/>
          </cell>
          <cell r="K2537">
            <v>0</v>
          </cell>
        </row>
        <row r="2538">
          <cell r="J2538" t="str">
            <v/>
          </cell>
          <cell r="K2538">
            <v>0</v>
          </cell>
        </row>
        <row r="2539">
          <cell r="J2539" t="str">
            <v/>
          </cell>
          <cell r="K2539">
            <v>0</v>
          </cell>
        </row>
        <row r="2540">
          <cell r="J2540" t="str">
            <v/>
          </cell>
          <cell r="K2540">
            <v>0</v>
          </cell>
        </row>
        <row r="2541">
          <cell r="J2541" t="str">
            <v/>
          </cell>
          <cell r="K2541">
            <v>0</v>
          </cell>
        </row>
        <row r="2542">
          <cell r="J2542" t="str">
            <v/>
          </cell>
          <cell r="K2542">
            <v>0</v>
          </cell>
        </row>
        <row r="2543">
          <cell r="J2543" t="str">
            <v/>
          </cell>
          <cell r="K2543">
            <v>0</v>
          </cell>
        </row>
        <row r="2544">
          <cell r="J2544" t="str">
            <v/>
          </cell>
          <cell r="K2544">
            <v>0</v>
          </cell>
        </row>
        <row r="2545">
          <cell r="J2545" t="str">
            <v/>
          </cell>
          <cell r="K2545">
            <v>0</v>
          </cell>
        </row>
        <row r="2546">
          <cell r="J2546" t="str">
            <v/>
          </cell>
          <cell r="K2546">
            <v>0</v>
          </cell>
        </row>
        <row r="2547">
          <cell r="J2547" t="str">
            <v/>
          </cell>
          <cell r="K2547">
            <v>0</v>
          </cell>
        </row>
        <row r="2548">
          <cell r="J2548" t="str">
            <v/>
          </cell>
          <cell r="K2548">
            <v>0</v>
          </cell>
        </row>
        <row r="2549">
          <cell r="J2549" t="str">
            <v/>
          </cell>
          <cell r="K2549">
            <v>0</v>
          </cell>
        </row>
        <row r="2550">
          <cell r="J2550" t="str">
            <v/>
          </cell>
          <cell r="K2550">
            <v>0</v>
          </cell>
        </row>
        <row r="2551">
          <cell r="J2551" t="str">
            <v/>
          </cell>
          <cell r="K2551">
            <v>0</v>
          </cell>
        </row>
        <row r="2552">
          <cell r="J2552" t="str">
            <v/>
          </cell>
          <cell r="K2552">
            <v>0</v>
          </cell>
        </row>
        <row r="2553">
          <cell r="J2553" t="str">
            <v/>
          </cell>
          <cell r="K2553">
            <v>0</v>
          </cell>
        </row>
        <row r="2554">
          <cell r="J2554" t="str">
            <v/>
          </cell>
          <cell r="K2554">
            <v>0</v>
          </cell>
        </row>
        <row r="2555">
          <cell r="J2555" t="str">
            <v/>
          </cell>
          <cell r="K2555">
            <v>0</v>
          </cell>
        </row>
        <row r="2556">
          <cell r="J2556" t="str">
            <v/>
          </cell>
          <cell r="K2556">
            <v>0</v>
          </cell>
        </row>
        <row r="2557">
          <cell r="J2557" t="str">
            <v/>
          </cell>
          <cell r="K2557">
            <v>0</v>
          </cell>
        </row>
        <row r="2558">
          <cell r="J2558" t="str">
            <v/>
          </cell>
          <cell r="K2558">
            <v>0</v>
          </cell>
        </row>
        <row r="2559">
          <cell r="J2559" t="str">
            <v/>
          </cell>
          <cell r="K2559">
            <v>0</v>
          </cell>
        </row>
        <row r="2560">
          <cell r="J2560" t="str">
            <v/>
          </cell>
          <cell r="K2560">
            <v>0</v>
          </cell>
        </row>
        <row r="2561">
          <cell r="J2561" t="str">
            <v/>
          </cell>
          <cell r="K2561">
            <v>0</v>
          </cell>
        </row>
        <row r="2562">
          <cell r="J2562" t="str">
            <v/>
          </cell>
          <cell r="K2562">
            <v>0</v>
          </cell>
        </row>
        <row r="2563">
          <cell r="J2563" t="str">
            <v/>
          </cell>
          <cell r="K2563">
            <v>0</v>
          </cell>
        </row>
        <row r="2564">
          <cell r="J2564" t="str">
            <v/>
          </cell>
          <cell r="K2564">
            <v>0</v>
          </cell>
        </row>
        <row r="2565">
          <cell r="J2565" t="str">
            <v/>
          </cell>
          <cell r="K2565">
            <v>0</v>
          </cell>
        </row>
        <row r="2566">
          <cell r="J2566" t="str">
            <v/>
          </cell>
          <cell r="K2566">
            <v>0</v>
          </cell>
        </row>
        <row r="2567">
          <cell r="J2567" t="str">
            <v/>
          </cell>
          <cell r="K2567">
            <v>0</v>
          </cell>
        </row>
        <row r="2568">
          <cell r="J2568" t="str">
            <v/>
          </cell>
          <cell r="K2568">
            <v>0</v>
          </cell>
        </row>
        <row r="2569">
          <cell r="J2569" t="str">
            <v/>
          </cell>
          <cell r="K2569">
            <v>0</v>
          </cell>
        </row>
        <row r="2570">
          <cell r="J2570" t="str">
            <v/>
          </cell>
          <cell r="K2570">
            <v>0</v>
          </cell>
        </row>
        <row r="2571">
          <cell r="J2571" t="str">
            <v/>
          </cell>
          <cell r="K2571">
            <v>0</v>
          </cell>
        </row>
        <row r="2572">
          <cell r="J2572" t="str">
            <v/>
          </cell>
          <cell r="K2572">
            <v>0</v>
          </cell>
        </row>
        <row r="2573">
          <cell r="J2573" t="str">
            <v/>
          </cell>
          <cell r="K2573">
            <v>0</v>
          </cell>
        </row>
        <row r="2574">
          <cell r="J2574" t="str">
            <v/>
          </cell>
          <cell r="K2574">
            <v>0</v>
          </cell>
        </row>
        <row r="2575">
          <cell r="J2575" t="str">
            <v/>
          </cell>
          <cell r="K2575">
            <v>0</v>
          </cell>
        </row>
        <row r="2576">
          <cell r="J2576" t="str">
            <v/>
          </cell>
          <cell r="K2576">
            <v>0</v>
          </cell>
        </row>
        <row r="2577">
          <cell r="J2577" t="str">
            <v/>
          </cell>
          <cell r="K2577">
            <v>0</v>
          </cell>
        </row>
        <row r="2578">
          <cell r="J2578" t="str">
            <v/>
          </cell>
          <cell r="K2578">
            <v>0</v>
          </cell>
        </row>
        <row r="2579">
          <cell r="J2579" t="str">
            <v/>
          </cell>
          <cell r="K2579">
            <v>0</v>
          </cell>
        </row>
        <row r="2580">
          <cell r="J2580" t="str">
            <v/>
          </cell>
          <cell r="K2580">
            <v>0</v>
          </cell>
        </row>
        <row r="2581">
          <cell r="J2581" t="str">
            <v/>
          </cell>
          <cell r="K2581">
            <v>0</v>
          </cell>
        </row>
        <row r="2582">
          <cell r="J2582" t="str">
            <v/>
          </cell>
          <cell r="K2582">
            <v>0</v>
          </cell>
        </row>
        <row r="2583">
          <cell r="J2583" t="str">
            <v/>
          </cell>
          <cell r="K2583">
            <v>0</v>
          </cell>
        </row>
        <row r="2584">
          <cell r="J2584" t="str">
            <v/>
          </cell>
          <cell r="K2584">
            <v>0</v>
          </cell>
        </row>
        <row r="2585">
          <cell r="J2585" t="str">
            <v/>
          </cell>
          <cell r="K2585">
            <v>0</v>
          </cell>
        </row>
        <row r="2586">
          <cell r="J2586" t="str">
            <v/>
          </cell>
          <cell r="K2586">
            <v>0</v>
          </cell>
        </row>
        <row r="2587">
          <cell r="J2587" t="str">
            <v/>
          </cell>
          <cell r="K2587">
            <v>0</v>
          </cell>
        </row>
        <row r="2588">
          <cell r="J2588" t="str">
            <v/>
          </cell>
          <cell r="K2588">
            <v>0</v>
          </cell>
        </row>
        <row r="2589">
          <cell r="J2589" t="str">
            <v/>
          </cell>
          <cell r="K2589">
            <v>0</v>
          </cell>
        </row>
        <row r="2590">
          <cell r="J2590" t="str">
            <v/>
          </cell>
          <cell r="K2590">
            <v>0</v>
          </cell>
        </row>
        <row r="2591">
          <cell r="J2591" t="str">
            <v/>
          </cell>
          <cell r="K2591">
            <v>0</v>
          </cell>
        </row>
        <row r="2592">
          <cell r="J2592" t="str">
            <v/>
          </cell>
          <cell r="K2592">
            <v>0</v>
          </cell>
        </row>
        <row r="2593">
          <cell r="J2593" t="str">
            <v/>
          </cell>
          <cell r="K2593">
            <v>0</v>
          </cell>
        </row>
        <row r="2594">
          <cell r="J2594" t="str">
            <v/>
          </cell>
          <cell r="K2594">
            <v>0</v>
          </cell>
        </row>
        <row r="2595">
          <cell r="J2595" t="str">
            <v/>
          </cell>
          <cell r="K2595">
            <v>0</v>
          </cell>
        </row>
        <row r="2596">
          <cell r="J2596" t="str">
            <v/>
          </cell>
          <cell r="K2596">
            <v>0</v>
          </cell>
        </row>
        <row r="2597">
          <cell r="J2597" t="str">
            <v/>
          </cell>
          <cell r="K2597">
            <v>0</v>
          </cell>
        </row>
        <row r="2598">
          <cell r="J2598" t="str">
            <v/>
          </cell>
          <cell r="K2598">
            <v>0</v>
          </cell>
        </row>
        <row r="2599">
          <cell r="J2599" t="str">
            <v/>
          </cell>
          <cell r="K2599">
            <v>0</v>
          </cell>
        </row>
        <row r="2600">
          <cell r="J2600" t="str">
            <v/>
          </cell>
          <cell r="K2600">
            <v>0</v>
          </cell>
        </row>
        <row r="2601">
          <cell r="J2601" t="str">
            <v/>
          </cell>
          <cell r="K2601">
            <v>0</v>
          </cell>
        </row>
        <row r="2602">
          <cell r="J2602" t="str">
            <v/>
          </cell>
          <cell r="K2602">
            <v>0</v>
          </cell>
        </row>
        <row r="2603">
          <cell r="J2603" t="str">
            <v/>
          </cell>
          <cell r="K2603">
            <v>0</v>
          </cell>
        </row>
        <row r="2604">
          <cell r="J2604" t="str">
            <v/>
          </cell>
          <cell r="K2604">
            <v>0</v>
          </cell>
        </row>
        <row r="2605">
          <cell r="J2605" t="str">
            <v/>
          </cell>
          <cell r="K2605">
            <v>0</v>
          </cell>
        </row>
        <row r="2606">
          <cell r="J2606" t="str">
            <v/>
          </cell>
          <cell r="K2606">
            <v>0</v>
          </cell>
        </row>
        <row r="2607">
          <cell r="J2607" t="str">
            <v/>
          </cell>
          <cell r="K2607">
            <v>0</v>
          </cell>
        </row>
        <row r="2608">
          <cell r="J2608" t="str">
            <v/>
          </cell>
          <cell r="K2608">
            <v>0</v>
          </cell>
        </row>
        <row r="2609">
          <cell r="J2609" t="str">
            <v/>
          </cell>
          <cell r="K2609">
            <v>0</v>
          </cell>
        </row>
        <row r="2610">
          <cell r="J2610" t="str">
            <v/>
          </cell>
          <cell r="K2610">
            <v>0</v>
          </cell>
        </row>
        <row r="2611">
          <cell r="J2611" t="str">
            <v/>
          </cell>
          <cell r="K2611">
            <v>0</v>
          </cell>
        </row>
        <row r="2612">
          <cell r="J2612" t="str">
            <v/>
          </cell>
          <cell r="K2612">
            <v>0</v>
          </cell>
        </row>
        <row r="2613">
          <cell r="J2613" t="str">
            <v/>
          </cell>
          <cell r="K2613">
            <v>0</v>
          </cell>
        </row>
        <row r="2614">
          <cell r="J2614" t="str">
            <v/>
          </cell>
          <cell r="K2614">
            <v>0</v>
          </cell>
        </row>
        <row r="2615">
          <cell r="J2615" t="str">
            <v/>
          </cell>
          <cell r="K2615">
            <v>0</v>
          </cell>
        </row>
        <row r="2616">
          <cell r="J2616" t="str">
            <v/>
          </cell>
          <cell r="K2616">
            <v>0</v>
          </cell>
        </row>
        <row r="2617">
          <cell r="J2617" t="str">
            <v/>
          </cell>
          <cell r="K2617">
            <v>0</v>
          </cell>
        </row>
        <row r="2618">
          <cell r="J2618" t="str">
            <v/>
          </cell>
          <cell r="K2618">
            <v>0</v>
          </cell>
        </row>
        <row r="2619">
          <cell r="J2619" t="str">
            <v/>
          </cell>
          <cell r="K2619">
            <v>0</v>
          </cell>
        </row>
        <row r="2620">
          <cell r="J2620" t="str">
            <v/>
          </cell>
          <cell r="K2620">
            <v>0</v>
          </cell>
        </row>
        <row r="2621">
          <cell r="J2621" t="str">
            <v/>
          </cell>
          <cell r="K2621">
            <v>0</v>
          </cell>
        </row>
        <row r="2622">
          <cell r="J2622" t="str">
            <v/>
          </cell>
          <cell r="K2622">
            <v>0</v>
          </cell>
        </row>
        <row r="2623">
          <cell r="J2623" t="str">
            <v/>
          </cell>
          <cell r="K2623">
            <v>0</v>
          </cell>
        </row>
        <row r="2624">
          <cell r="J2624" t="str">
            <v/>
          </cell>
          <cell r="K2624">
            <v>0</v>
          </cell>
        </row>
        <row r="2625">
          <cell r="J2625" t="str">
            <v/>
          </cell>
          <cell r="K2625">
            <v>0</v>
          </cell>
        </row>
        <row r="2626">
          <cell r="J2626" t="str">
            <v/>
          </cell>
          <cell r="K2626">
            <v>0</v>
          </cell>
        </row>
        <row r="2627">
          <cell r="J2627" t="str">
            <v/>
          </cell>
          <cell r="K2627">
            <v>0</v>
          </cell>
        </row>
        <row r="2628">
          <cell r="J2628" t="str">
            <v/>
          </cell>
          <cell r="K2628">
            <v>0</v>
          </cell>
        </row>
        <row r="2629">
          <cell r="J2629" t="str">
            <v/>
          </cell>
          <cell r="K2629">
            <v>0</v>
          </cell>
        </row>
        <row r="2630">
          <cell r="J2630" t="str">
            <v/>
          </cell>
          <cell r="K2630">
            <v>0</v>
          </cell>
        </row>
        <row r="2631">
          <cell r="J2631" t="str">
            <v/>
          </cell>
          <cell r="K2631">
            <v>0</v>
          </cell>
        </row>
        <row r="2632">
          <cell r="J2632" t="str">
            <v/>
          </cell>
          <cell r="K2632">
            <v>0</v>
          </cell>
        </row>
        <row r="2633">
          <cell r="J2633" t="str">
            <v/>
          </cell>
          <cell r="K2633">
            <v>0</v>
          </cell>
        </row>
        <row r="2634">
          <cell r="J2634" t="str">
            <v/>
          </cell>
          <cell r="K2634">
            <v>0</v>
          </cell>
        </row>
        <row r="2635">
          <cell r="J2635" t="str">
            <v/>
          </cell>
          <cell r="K2635">
            <v>0</v>
          </cell>
        </row>
        <row r="2636">
          <cell r="J2636" t="str">
            <v/>
          </cell>
          <cell r="K2636">
            <v>0</v>
          </cell>
        </row>
        <row r="2637">
          <cell r="J2637" t="str">
            <v/>
          </cell>
          <cell r="K2637">
            <v>0</v>
          </cell>
        </row>
        <row r="2638">
          <cell r="J2638" t="str">
            <v/>
          </cell>
          <cell r="K2638">
            <v>0</v>
          </cell>
        </row>
        <row r="2639">
          <cell r="J2639" t="str">
            <v/>
          </cell>
          <cell r="K2639">
            <v>0</v>
          </cell>
        </row>
        <row r="2640">
          <cell r="J2640" t="str">
            <v/>
          </cell>
          <cell r="K2640">
            <v>0</v>
          </cell>
        </row>
        <row r="2641">
          <cell r="J2641" t="str">
            <v/>
          </cell>
          <cell r="K2641">
            <v>0</v>
          </cell>
        </row>
        <row r="2642">
          <cell r="J2642" t="str">
            <v/>
          </cell>
          <cell r="K2642">
            <v>0</v>
          </cell>
        </row>
        <row r="2643">
          <cell r="J2643" t="str">
            <v/>
          </cell>
          <cell r="K2643">
            <v>0</v>
          </cell>
        </row>
        <row r="2644">
          <cell r="J2644" t="str">
            <v/>
          </cell>
          <cell r="K2644">
            <v>0</v>
          </cell>
        </row>
        <row r="2645">
          <cell r="J2645" t="str">
            <v/>
          </cell>
          <cell r="K2645">
            <v>0</v>
          </cell>
        </row>
        <row r="2646">
          <cell r="J2646" t="str">
            <v/>
          </cell>
          <cell r="K2646">
            <v>0</v>
          </cell>
        </row>
        <row r="2647">
          <cell r="J2647" t="str">
            <v/>
          </cell>
          <cell r="K2647">
            <v>0</v>
          </cell>
        </row>
        <row r="2648">
          <cell r="J2648" t="str">
            <v/>
          </cell>
          <cell r="K2648">
            <v>0</v>
          </cell>
        </row>
        <row r="2649">
          <cell r="J2649" t="str">
            <v/>
          </cell>
          <cell r="K2649">
            <v>0</v>
          </cell>
        </row>
        <row r="2650">
          <cell r="J2650" t="str">
            <v/>
          </cell>
          <cell r="K2650">
            <v>0</v>
          </cell>
        </row>
        <row r="2651">
          <cell r="J2651" t="str">
            <v/>
          </cell>
          <cell r="K2651">
            <v>0</v>
          </cell>
        </row>
        <row r="2652">
          <cell r="J2652" t="str">
            <v/>
          </cell>
          <cell r="K2652">
            <v>0</v>
          </cell>
        </row>
        <row r="2653">
          <cell r="J2653" t="str">
            <v/>
          </cell>
          <cell r="K2653">
            <v>0</v>
          </cell>
        </row>
        <row r="2654">
          <cell r="J2654" t="str">
            <v/>
          </cell>
          <cell r="K2654">
            <v>0</v>
          </cell>
        </row>
        <row r="2655">
          <cell r="J2655" t="str">
            <v/>
          </cell>
          <cell r="K2655">
            <v>0</v>
          </cell>
        </row>
        <row r="2656">
          <cell r="J2656" t="str">
            <v/>
          </cell>
          <cell r="K2656">
            <v>0</v>
          </cell>
        </row>
        <row r="2657">
          <cell r="J2657" t="str">
            <v/>
          </cell>
          <cell r="K2657">
            <v>0</v>
          </cell>
        </row>
        <row r="2658">
          <cell r="J2658" t="str">
            <v/>
          </cell>
          <cell r="K2658">
            <v>0</v>
          </cell>
        </row>
        <row r="2659">
          <cell r="J2659" t="str">
            <v/>
          </cell>
          <cell r="K2659">
            <v>0</v>
          </cell>
        </row>
        <row r="2660">
          <cell r="J2660" t="str">
            <v/>
          </cell>
          <cell r="K2660">
            <v>0</v>
          </cell>
        </row>
        <row r="2661">
          <cell r="J2661" t="str">
            <v/>
          </cell>
          <cell r="K2661">
            <v>0</v>
          </cell>
        </row>
        <row r="2662">
          <cell r="J2662" t="str">
            <v/>
          </cell>
          <cell r="K2662">
            <v>0</v>
          </cell>
        </row>
        <row r="2663">
          <cell r="J2663" t="str">
            <v/>
          </cell>
          <cell r="K2663">
            <v>0</v>
          </cell>
        </row>
        <row r="2664">
          <cell r="J2664" t="str">
            <v/>
          </cell>
          <cell r="K2664">
            <v>0</v>
          </cell>
        </row>
        <row r="2665">
          <cell r="J2665" t="str">
            <v/>
          </cell>
          <cell r="K2665">
            <v>0</v>
          </cell>
        </row>
        <row r="2666">
          <cell r="J2666" t="str">
            <v/>
          </cell>
          <cell r="K2666">
            <v>0</v>
          </cell>
        </row>
        <row r="2667">
          <cell r="J2667" t="str">
            <v/>
          </cell>
          <cell r="K2667">
            <v>0</v>
          </cell>
        </row>
        <row r="2668">
          <cell r="J2668" t="str">
            <v/>
          </cell>
          <cell r="K2668">
            <v>0</v>
          </cell>
        </row>
        <row r="2669">
          <cell r="J2669" t="str">
            <v/>
          </cell>
          <cell r="K2669">
            <v>0</v>
          </cell>
        </row>
        <row r="2670">
          <cell r="J2670" t="str">
            <v/>
          </cell>
          <cell r="K2670">
            <v>0</v>
          </cell>
        </row>
        <row r="2671">
          <cell r="J2671" t="str">
            <v/>
          </cell>
          <cell r="K2671">
            <v>0</v>
          </cell>
        </row>
        <row r="2672">
          <cell r="J2672" t="str">
            <v/>
          </cell>
          <cell r="K2672">
            <v>0</v>
          </cell>
        </row>
        <row r="2673">
          <cell r="J2673" t="str">
            <v/>
          </cell>
          <cell r="K2673">
            <v>0</v>
          </cell>
        </row>
        <row r="2674">
          <cell r="J2674" t="str">
            <v/>
          </cell>
          <cell r="K2674">
            <v>0</v>
          </cell>
        </row>
        <row r="2675">
          <cell r="J2675" t="str">
            <v/>
          </cell>
          <cell r="K2675">
            <v>0</v>
          </cell>
        </row>
        <row r="2676">
          <cell r="J2676" t="str">
            <v/>
          </cell>
          <cell r="K2676">
            <v>0</v>
          </cell>
        </row>
        <row r="2677">
          <cell r="J2677" t="str">
            <v/>
          </cell>
          <cell r="K2677">
            <v>0</v>
          </cell>
        </row>
        <row r="2678">
          <cell r="J2678" t="str">
            <v/>
          </cell>
          <cell r="K2678">
            <v>0</v>
          </cell>
        </row>
        <row r="2679">
          <cell r="J2679" t="str">
            <v/>
          </cell>
          <cell r="K2679">
            <v>0</v>
          </cell>
        </row>
        <row r="2680">
          <cell r="J2680" t="str">
            <v/>
          </cell>
          <cell r="K2680">
            <v>0</v>
          </cell>
        </row>
        <row r="2681">
          <cell r="J2681" t="str">
            <v/>
          </cell>
          <cell r="K2681">
            <v>0</v>
          </cell>
        </row>
        <row r="2682">
          <cell r="J2682" t="str">
            <v/>
          </cell>
          <cell r="K2682">
            <v>0</v>
          </cell>
        </row>
        <row r="2683">
          <cell r="J2683" t="str">
            <v/>
          </cell>
          <cell r="K2683">
            <v>0</v>
          </cell>
        </row>
        <row r="2684">
          <cell r="J2684" t="str">
            <v/>
          </cell>
          <cell r="K2684">
            <v>0</v>
          </cell>
        </row>
        <row r="2685">
          <cell r="J2685" t="str">
            <v/>
          </cell>
          <cell r="K2685">
            <v>0</v>
          </cell>
        </row>
        <row r="2686">
          <cell r="J2686" t="str">
            <v/>
          </cell>
          <cell r="K2686">
            <v>0</v>
          </cell>
        </row>
        <row r="2687">
          <cell r="J2687" t="str">
            <v/>
          </cell>
          <cell r="K2687">
            <v>0</v>
          </cell>
        </row>
        <row r="2688">
          <cell r="J2688" t="str">
            <v/>
          </cell>
          <cell r="K2688">
            <v>0</v>
          </cell>
        </row>
        <row r="2689">
          <cell r="J2689" t="str">
            <v/>
          </cell>
          <cell r="K2689">
            <v>0</v>
          </cell>
        </row>
        <row r="2690">
          <cell r="J2690" t="str">
            <v/>
          </cell>
          <cell r="K2690">
            <v>0</v>
          </cell>
        </row>
        <row r="2691">
          <cell r="J2691" t="str">
            <v/>
          </cell>
          <cell r="K2691">
            <v>0</v>
          </cell>
        </row>
        <row r="2692">
          <cell r="J2692" t="str">
            <v/>
          </cell>
          <cell r="K2692">
            <v>0</v>
          </cell>
        </row>
        <row r="2693">
          <cell r="J2693" t="str">
            <v/>
          </cell>
          <cell r="K2693">
            <v>0</v>
          </cell>
        </row>
        <row r="2694">
          <cell r="J2694" t="str">
            <v/>
          </cell>
          <cell r="K2694">
            <v>0</v>
          </cell>
        </row>
        <row r="2695">
          <cell r="J2695" t="str">
            <v/>
          </cell>
          <cell r="K2695">
            <v>0</v>
          </cell>
        </row>
        <row r="2696">
          <cell r="J2696" t="str">
            <v/>
          </cell>
          <cell r="K2696">
            <v>0</v>
          </cell>
        </row>
        <row r="2697">
          <cell r="J2697" t="str">
            <v/>
          </cell>
          <cell r="K2697">
            <v>0</v>
          </cell>
        </row>
        <row r="2698">
          <cell r="J2698" t="str">
            <v/>
          </cell>
          <cell r="K2698">
            <v>0</v>
          </cell>
        </row>
        <row r="2699">
          <cell r="J2699" t="str">
            <v/>
          </cell>
          <cell r="K2699">
            <v>0</v>
          </cell>
        </row>
        <row r="2700">
          <cell r="J2700" t="str">
            <v/>
          </cell>
          <cell r="K2700">
            <v>0</v>
          </cell>
        </row>
        <row r="2701">
          <cell r="J2701" t="str">
            <v/>
          </cell>
          <cell r="K2701">
            <v>0</v>
          </cell>
        </row>
        <row r="2702">
          <cell r="J2702" t="str">
            <v/>
          </cell>
          <cell r="K2702">
            <v>0</v>
          </cell>
        </row>
        <row r="2703">
          <cell r="J2703" t="str">
            <v/>
          </cell>
          <cell r="K2703">
            <v>0</v>
          </cell>
        </row>
        <row r="2704">
          <cell r="J2704" t="str">
            <v/>
          </cell>
          <cell r="K2704">
            <v>0</v>
          </cell>
        </row>
        <row r="2705">
          <cell r="J2705" t="str">
            <v/>
          </cell>
          <cell r="K2705">
            <v>0</v>
          </cell>
        </row>
        <row r="2706">
          <cell r="J2706" t="str">
            <v/>
          </cell>
          <cell r="K2706">
            <v>0</v>
          </cell>
        </row>
        <row r="2707">
          <cell r="J2707" t="str">
            <v/>
          </cell>
          <cell r="K2707">
            <v>0</v>
          </cell>
        </row>
        <row r="2708">
          <cell r="J2708" t="str">
            <v/>
          </cell>
          <cell r="K2708">
            <v>0</v>
          </cell>
        </row>
        <row r="2709">
          <cell r="J2709" t="str">
            <v/>
          </cell>
          <cell r="K2709">
            <v>0</v>
          </cell>
        </row>
        <row r="2710">
          <cell r="J2710" t="str">
            <v/>
          </cell>
          <cell r="K2710">
            <v>0</v>
          </cell>
        </row>
        <row r="2711">
          <cell r="J2711" t="str">
            <v/>
          </cell>
          <cell r="K2711">
            <v>0</v>
          </cell>
        </row>
        <row r="2712">
          <cell r="J2712" t="str">
            <v/>
          </cell>
          <cell r="K2712">
            <v>0</v>
          </cell>
        </row>
        <row r="2713">
          <cell r="J2713" t="str">
            <v/>
          </cell>
          <cell r="K2713">
            <v>0</v>
          </cell>
        </row>
        <row r="2714">
          <cell r="J2714" t="str">
            <v/>
          </cell>
          <cell r="K2714">
            <v>0</v>
          </cell>
        </row>
        <row r="2715">
          <cell r="J2715" t="str">
            <v/>
          </cell>
          <cell r="K2715">
            <v>0</v>
          </cell>
        </row>
        <row r="2716">
          <cell r="J2716" t="str">
            <v/>
          </cell>
          <cell r="K2716">
            <v>0</v>
          </cell>
        </row>
        <row r="2717">
          <cell r="J2717" t="str">
            <v/>
          </cell>
          <cell r="K2717">
            <v>0</v>
          </cell>
        </row>
        <row r="2718">
          <cell r="J2718" t="str">
            <v/>
          </cell>
          <cell r="K2718">
            <v>0</v>
          </cell>
        </row>
        <row r="2719">
          <cell r="J2719" t="str">
            <v/>
          </cell>
          <cell r="K2719">
            <v>0</v>
          </cell>
        </row>
        <row r="2720">
          <cell r="J2720" t="str">
            <v/>
          </cell>
          <cell r="K2720">
            <v>0</v>
          </cell>
        </row>
        <row r="2721">
          <cell r="J2721" t="str">
            <v/>
          </cell>
          <cell r="K2721">
            <v>0</v>
          </cell>
        </row>
        <row r="2722">
          <cell r="J2722" t="str">
            <v/>
          </cell>
          <cell r="K2722">
            <v>0</v>
          </cell>
        </row>
        <row r="2723">
          <cell r="J2723" t="str">
            <v/>
          </cell>
          <cell r="K2723">
            <v>0</v>
          </cell>
        </row>
        <row r="2724">
          <cell r="J2724" t="str">
            <v/>
          </cell>
          <cell r="K2724">
            <v>0</v>
          </cell>
        </row>
        <row r="2725">
          <cell r="J2725" t="str">
            <v/>
          </cell>
          <cell r="K2725">
            <v>0</v>
          </cell>
        </row>
        <row r="2726">
          <cell r="J2726" t="str">
            <v/>
          </cell>
          <cell r="K2726">
            <v>0</v>
          </cell>
        </row>
        <row r="2727">
          <cell r="J2727" t="str">
            <v/>
          </cell>
          <cell r="K2727">
            <v>0</v>
          </cell>
        </row>
        <row r="2728">
          <cell r="J2728" t="str">
            <v/>
          </cell>
          <cell r="K2728">
            <v>0</v>
          </cell>
        </row>
        <row r="2729">
          <cell r="J2729" t="str">
            <v/>
          </cell>
          <cell r="K2729">
            <v>0</v>
          </cell>
        </row>
        <row r="2730">
          <cell r="J2730" t="str">
            <v/>
          </cell>
          <cell r="K2730">
            <v>0</v>
          </cell>
        </row>
        <row r="2731">
          <cell r="J2731" t="str">
            <v/>
          </cell>
          <cell r="K2731">
            <v>0</v>
          </cell>
        </row>
        <row r="2732">
          <cell r="J2732" t="str">
            <v/>
          </cell>
          <cell r="K2732">
            <v>0</v>
          </cell>
        </row>
        <row r="2733">
          <cell r="J2733" t="str">
            <v/>
          </cell>
          <cell r="K2733">
            <v>0</v>
          </cell>
        </row>
        <row r="2734">
          <cell r="J2734" t="str">
            <v/>
          </cell>
          <cell r="K2734">
            <v>0</v>
          </cell>
        </row>
        <row r="2735">
          <cell r="J2735" t="str">
            <v/>
          </cell>
          <cell r="K2735">
            <v>0</v>
          </cell>
        </row>
        <row r="2736">
          <cell r="J2736" t="str">
            <v/>
          </cell>
          <cell r="K2736">
            <v>0</v>
          </cell>
        </row>
        <row r="2737">
          <cell r="J2737" t="str">
            <v/>
          </cell>
          <cell r="K2737">
            <v>0</v>
          </cell>
        </row>
        <row r="2738">
          <cell r="J2738" t="str">
            <v/>
          </cell>
          <cell r="K2738">
            <v>0</v>
          </cell>
        </row>
        <row r="2739">
          <cell r="J2739" t="str">
            <v/>
          </cell>
          <cell r="K2739">
            <v>0</v>
          </cell>
        </row>
        <row r="2740">
          <cell r="J2740" t="str">
            <v/>
          </cell>
          <cell r="K2740">
            <v>0</v>
          </cell>
        </row>
        <row r="2741">
          <cell r="J2741" t="str">
            <v/>
          </cell>
          <cell r="K2741">
            <v>0</v>
          </cell>
        </row>
        <row r="2742">
          <cell r="J2742" t="str">
            <v/>
          </cell>
          <cell r="K2742">
            <v>0</v>
          </cell>
        </row>
        <row r="2743">
          <cell r="J2743" t="str">
            <v/>
          </cell>
          <cell r="K2743">
            <v>0</v>
          </cell>
        </row>
        <row r="2744">
          <cell r="J2744" t="str">
            <v/>
          </cell>
          <cell r="K2744">
            <v>0</v>
          </cell>
        </row>
        <row r="2745">
          <cell r="J2745" t="str">
            <v/>
          </cell>
          <cell r="K2745">
            <v>0</v>
          </cell>
        </row>
        <row r="2746">
          <cell r="J2746" t="str">
            <v/>
          </cell>
          <cell r="K2746">
            <v>0</v>
          </cell>
        </row>
        <row r="2747">
          <cell r="J2747" t="str">
            <v/>
          </cell>
          <cell r="K2747">
            <v>0</v>
          </cell>
        </row>
        <row r="2748">
          <cell r="J2748" t="str">
            <v/>
          </cell>
          <cell r="K2748">
            <v>0</v>
          </cell>
        </row>
        <row r="2749">
          <cell r="J2749" t="str">
            <v/>
          </cell>
          <cell r="K2749">
            <v>0</v>
          </cell>
        </row>
        <row r="2750">
          <cell r="J2750" t="str">
            <v/>
          </cell>
          <cell r="K2750">
            <v>0</v>
          </cell>
        </row>
        <row r="2751">
          <cell r="J2751" t="str">
            <v/>
          </cell>
          <cell r="K2751">
            <v>0</v>
          </cell>
        </row>
        <row r="2752">
          <cell r="J2752" t="str">
            <v/>
          </cell>
          <cell r="K2752">
            <v>0</v>
          </cell>
        </row>
        <row r="2753">
          <cell r="J2753" t="str">
            <v/>
          </cell>
          <cell r="K2753">
            <v>0</v>
          </cell>
        </row>
        <row r="2754">
          <cell r="J2754" t="str">
            <v/>
          </cell>
          <cell r="K2754">
            <v>0</v>
          </cell>
        </row>
        <row r="2755">
          <cell r="J2755" t="str">
            <v/>
          </cell>
          <cell r="K2755">
            <v>0</v>
          </cell>
        </row>
        <row r="2756">
          <cell r="J2756" t="str">
            <v/>
          </cell>
          <cell r="K2756">
            <v>0</v>
          </cell>
        </row>
        <row r="2757">
          <cell r="J2757" t="str">
            <v/>
          </cell>
          <cell r="K2757">
            <v>0</v>
          </cell>
        </row>
        <row r="2758">
          <cell r="J2758" t="str">
            <v/>
          </cell>
          <cell r="K2758">
            <v>0</v>
          </cell>
        </row>
        <row r="2759">
          <cell r="J2759" t="str">
            <v/>
          </cell>
          <cell r="K2759">
            <v>0</v>
          </cell>
        </row>
        <row r="2760">
          <cell r="J2760" t="str">
            <v/>
          </cell>
          <cell r="K2760">
            <v>0</v>
          </cell>
        </row>
        <row r="2761">
          <cell r="J2761" t="str">
            <v/>
          </cell>
          <cell r="K2761">
            <v>0</v>
          </cell>
        </row>
        <row r="2762">
          <cell r="J2762" t="str">
            <v/>
          </cell>
          <cell r="K2762">
            <v>0</v>
          </cell>
        </row>
        <row r="2763">
          <cell r="J2763" t="str">
            <v/>
          </cell>
          <cell r="K2763">
            <v>0</v>
          </cell>
        </row>
        <row r="2764">
          <cell r="J2764" t="str">
            <v/>
          </cell>
          <cell r="K2764">
            <v>0</v>
          </cell>
        </row>
        <row r="2765">
          <cell r="J2765" t="str">
            <v/>
          </cell>
          <cell r="K2765">
            <v>0</v>
          </cell>
        </row>
        <row r="2766">
          <cell r="J2766" t="str">
            <v/>
          </cell>
          <cell r="K2766">
            <v>0</v>
          </cell>
        </row>
        <row r="2767">
          <cell r="J2767" t="str">
            <v/>
          </cell>
          <cell r="K2767">
            <v>0</v>
          </cell>
        </row>
        <row r="2768">
          <cell r="J2768" t="str">
            <v/>
          </cell>
          <cell r="K2768">
            <v>0</v>
          </cell>
        </row>
        <row r="2769">
          <cell r="J2769" t="str">
            <v/>
          </cell>
          <cell r="K2769">
            <v>0</v>
          </cell>
        </row>
        <row r="2770">
          <cell r="J2770" t="str">
            <v/>
          </cell>
          <cell r="K2770">
            <v>0</v>
          </cell>
        </row>
        <row r="2771">
          <cell r="J2771" t="str">
            <v/>
          </cell>
          <cell r="K2771">
            <v>0</v>
          </cell>
        </row>
        <row r="2772">
          <cell r="J2772" t="str">
            <v/>
          </cell>
          <cell r="K2772">
            <v>0</v>
          </cell>
        </row>
        <row r="2773">
          <cell r="J2773" t="str">
            <v/>
          </cell>
          <cell r="K2773">
            <v>0</v>
          </cell>
        </row>
        <row r="2774">
          <cell r="J2774" t="str">
            <v/>
          </cell>
          <cell r="K2774">
            <v>0</v>
          </cell>
        </row>
        <row r="2775">
          <cell r="J2775" t="str">
            <v/>
          </cell>
          <cell r="K2775">
            <v>0</v>
          </cell>
        </row>
        <row r="2776">
          <cell r="J2776" t="str">
            <v/>
          </cell>
          <cell r="K2776">
            <v>0</v>
          </cell>
        </row>
        <row r="2777">
          <cell r="J2777" t="str">
            <v/>
          </cell>
          <cell r="K2777">
            <v>0</v>
          </cell>
        </row>
        <row r="2778">
          <cell r="J2778" t="str">
            <v/>
          </cell>
          <cell r="K2778">
            <v>0</v>
          </cell>
        </row>
        <row r="2779">
          <cell r="J2779" t="str">
            <v/>
          </cell>
          <cell r="K2779">
            <v>0</v>
          </cell>
        </row>
        <row r="2780">
          <cell r="J2780" t="str">
            <v/>
          </cell>
          <cell r="K2780">
            <v>0</v>
          </cell>
        </row>
        <row r="2781">
          <cell r="J2781" t="str">
            <v/>
          </cell>
          <cell r="K2781">
            <v>0</v>
          </cell>
        </row>
        <row r="2782">
          <cell r="J2782" t="str">
            <v/>
          </cell>
          <cell r="K2782">
            <v>0</v>
          </cell>
        </row>
        <row r="2783">
          <cell r="J2783" t="str">
            <v/>
          </cell>
          <cell r="K2783">
            <v>0</v>
          </cell>
        </row>
        <row r="2784">
          <cell r="J2784" t="str">
            <v/>
          </cell>
          <cell r="K2784">
            <v>0</v>
          </cell>
        </row>
        <row r="2785">
          <cell r="J2785" t="str">
            <v/>
          </cell>
          <cell r="K2785">
            <v>0</v>
          </cell>
        </row>
        <row r="2786">
          <cell r="J2786" t="str">
            <v/>
          </cell>
          <cell r="K2786">
            <v>0</v>
          </cell>
        </row>
        <row r="2787">
          <cell r="J2787" t="str">
            <v/>
          </cell>
          <cell r="K2787">
            <v>0</v>
          </cell>
        </row>
        <row r="2788">
          <cell r="J2788" t="str">
            <v/>
          </cell>
          <cell r="K2788">
            <v>0</v>
          </cell>
        </row>
        <row r="2789">
          <cell r="J2789" t="str">
            <v/>
          </cell>
          <cell r="K2789">
            <v>0</v>
          </cell>
        </row>
        <row r="2790">
          <cell r="J2790" t="str">
            <v/>
          </cell>
          <cell r="K2790">
            <v>0</v>
          </cell>
        </row>
        <row r="2791">
          <cell r="J2791" t="str">
            <v/>
          </cell>
          <cell r="K2791">
            <v>0</v>
          </cell>
        </row>
        <row r="2792">
          <cell r="J2792" t="str">
            <v/>
          </cell>
          <cell r="K2792">
            <v>0</v>
          </cell>
        </row>
        <row r="2793">
          <cell r="J2793" t="str">
            <v/>
          </cell>
          <cell r="K2793">
            <v>0</v>
          </cell>
        </row>
        <row r="2794">
          <cell r="J2794" t="str">
            <v/>
          </cell>
          <cell r="K2794">
            <v>0</v>
          </cell>
        </row>
        <row r="2795">
          <cell r="J2795" t="str">
            <v/>
          </cell>
          <cell r="K2795">
            <v>0</v>
          </cell>
        </row>
        <row r="2796">
          <cell r="J2796" t="str">
            <v/>
          </cell>
          <cell r="K2796">
            <v>0</v>
          </cell>
        </row>
        <row r="2797">
          <cell r="J2797" t="str">
            <v/>
          </cell>
          <cell r="K2797">
            <v>0</v>
          </cell>
        </row>
        <row r="2798">
          <cell r="J2798" t="str">
            <v/>
          </cell>
          <cell r="K2798">
            <v>0</v>
          </cell>
        </row>
        <row r="2799">
          <cell r="J2799" t="str">
            <v/>
          </cell>
          <cell r="K2799">
            <v>0</v>
          </cell>
        </row>
        <row r="2800">
          <cell r="J2800" t="str">
            <v/>
          </cell>
          <cell r="K2800">
            <v>0</v>
          </cell>
        </row>
        <row r="2801">
          <cell r="J2801" t="str">
            <v/>
          </cell>
          <cell r="K2801">
            <v>0</v>
          </cell>
        </row>
        <row r="2802">
          <cell r="J2802" t="str">
            <v/>
          </cell>
          <cell r="K2802">
            <v>0</v>
          </cell>
        </row>
        <row r="2803">
          <cell r="J2803" t="str">
            <v/>
          </cell>
          <cell r="K2803">
            <v>0</v>
          </cell>
        </row>
        <row r="2804">
          <cell r="J2804" t="str">
            <v/>
          </cell>
          <cell r="K2804">
            <v>0</v>
          </cell>
        </row>
        <row r="2805">
          <cell r="J2805" t="str">
            <v/>
          </cell>
          <cell r="K2805">
            <v>0</v>
          </cell>
        </row>
        <row r="2806">
          <cell r="J2806" t="str">
            <v/>
          </cell>
          <cell r="K2806">
            <v>0</v>
          </cell>
        </row>
        <row r="2807">
          <cell r="J2807" t="str">
            <v/>
          </cell>
          <cell r="K2807">
            <v>0</v>
          </cell>
        </row>
        <row r="2808">
          <cell r="J2808" t="str">
            <v/>
          </cell>
          <cell r="K2808">
            <v>0</v>
          </cell>
        </row>
        <row r="2809">
          <cell r="J2809" t="str">
            <v/>
          </cell>
          <cell r="K2809">
            <v>0</v>
          </cell>
        </row>
        <row r="2810">
          <cell r="J2810" t="str">
            <v/>
          </cell>
          <cell r="K2810">
            <v>0</v>
          </cell>
        </row>
        <row r="2811">
          <cell r="J2811" t="str">
            <v/>
          </cell>
          <cell r="K2811">
            <v>0</v>
          </cell>
        </row>
        <row r="2812">
          <cell r="J2812" t="str">
            <v/>
          </cell>
          <cell r="K2812">
            <v>0</v>
          </cell>
        </row>
        <row r="2813">
          <cell r="J2813" t="str">
            <v/>
          </cell>
          <cell r="K2813">
            <v>0</v>
          </cell>
        </row>
        <row r="2814">
          <cell r="J2814" t="str">
            <v/>
          </cell>
          <cell r="K2814">
            <v>0</v>
          </cell>
        </row>
        <row r="2815">
          <cell r="J2815" t="str">
            <v/>
          </cell>
          <cell r="K2815">
            <v>0</v>
          </cell>
        </row>
        <row r="2816">
          <cell r="J2816" t="str">
            <v/>
          </cell>
          <cell r="K2816">
            <v>0</v>
          </cell>
        </row>
        <row r="2817">
          <cell r="J2817" t="str">
            <v/>
          </cell>
          <cell r="K2817">
            <v>0</v>
          </cell>
        </row>
        <row r="2818">
          <cell r="J2818" t="str">
            <v/>
          </cell>
          <cell r="K2818">
            <v>0</v>
          </cell>
        </row>
        <row r="2819">
          <cell r="J2819" t="str">
            <v/>
          </cell>
          <cell r="K2819">
            <v>0</v>
          </cell>
        </row>
        <row r="2820">
          <cell r="J2820" t="str">
            <v/>
          </cell>
          <cell r="K2820">
            <v>0</v>
          </cell>
        </row>
        <row r="2821">
          <cell r="J2821" t="str">
            <v/>
          </cell>
          <cell r="K2821">
            <v>0</v>
          </cell>
        </row>
        <row r="2822">
          <cell r="J2822" t="str">
            <v/>
          </cell>
          <cell r="K2822">
            <v>0</v>
          </cell>
        </row>
        <row r="2823">
          <cell r="J2823" t="str">
            <v/>
          </cell>
          <cell r="K2823">
            <v>0</v>
          </cell>
        </row>
        <row r="2824">
          <cell r="J2824" t="str">
            <v/>
          </cell>
          <cell r="K2824">
            <v>0</v>
          </cell>
        </row>
        <row r="2825">
          <cell r="J2825" t="str">
            <v/>
          </cell>
          <cell r="K2825">
            <v>0</v>
          </cell>
        </row>
        <row r="2826">
          <cell r="J2826" t="str">
            <v/>
          </cell>
          <cell r="K2826">
            <v>0</v>
          </cell>
        </row>
        <row r="2827">
          <cell r="J2827" t="str">
            <v/>
          </cell>
          <cell r="K2827">
            <v>0</v>
          </cell>
        </row>
        <row r="2828">
          <cell r="J2828" t="str">
            <v/>
          </cell>
          <cell r="K2828">
            <v>0</v>
          </cell>
        </row>
        <row r="2829">
          <cell r="J2829" t="str">
            <v/>
          </cell>
          <cell r="K2829">
            <v>0</v>
          </cell>
        </row>
        <row r="2830">
          <cell r="J2830" t="str">
            <v/>
          </cell>
          <cell r="K2830">
            <v>0</v>
          </cell>
        </row>
        <row r="2831">
          <cell r="J2831" t="str">
            <v/>
          </cell>
          <cell r="K2831">
            <v>0</v>
          </cell>
        </row>
        <row r="2832">
          <cell r="J2832" t="str">
            <v/>
          </cell>
          <cell r="K2832">
            <v>0</v>
          </cell>
        </row>
        <row r="2833">
          <cell r="J2833" t="str">
            <v/>
          </cell>
          <cell r="K2833">
            <v>0</v>
          </cell>
        </row>
        <row r="2834">
          <cell r="J2834" t="str">
            <v/>
          </cell>
          <cell r="K2834">
            <v>0</v>
          </cell>
        </row>
        <row r="2835">
          <cell r="J2835" t="str">
            <v/>
          </cell>
          <cell r="K2835">
            <v>0</v>
          </cell>
        </row>
        <row r="2836">
          <cell r="J2836" t="str">
            <v/>
          </cell>
          <cell r="K2836">
            <v>0</v>
          </cell>
        </row>
        <row r="2837">
          <cell r="J2837" t="str">
            <v/>
          </cell>
          <cell r="K2837">
            <v>0</v>
          </cell>
        </row>
        <row r="2838">
          <cell r="J2838" t="str">
            <v/>
          </cell>
          <cell r="K2838">
            <v>0</v>
          </cell>
        </row>
        <row r="2839">
          <cell r="J2839" t="str">
            <v/>
          </cell>
          <cell r="K2839">
            <v>0</v>
          </cell>
        </row>
        <row r="2840">
          <cell r="J2840" t="str">
            <v/>
          </cell>
          <cell r="K2840">
            <v>0</v>
          </cell>
        </row>
        <row r="2841">
          <cell r="J2841" t="str">
            <v/>
          </cell>
          <cell r="K2841">
            <v>0</v>
          </cell>
        </row>
        <row r="2842">
          <cell r="J2842" t="str">
            <v/>
          </cell>
          <cell r="K2842">
            <v>0</v>
          </cell>
        </row>
        <row r="2843">
          <cell r="J2843" t="str">
            <v/>
          </cell>
          <cell r="K2843">
            <v>0</v>
          </cell>
        </row>
        <row r="2844">
          <cell r="J2844" t="str">
            <v/>
          </cell>
          <cell r="K2844">
            <v>0</v>
          </cell>
        </row>
        <row r="2845">
          <cell r="J2845" t="str">
            <v/>
          </cell>
          <cell r="K2845">
            <v>0</v>
          </cell>
        </row>
        <row r="2846">
          <cell r="J2846" t="str">
            <v/>
          </cell>
          <cell r="K2846">
            <v>0</v>
          </cell>
        </row>
        <row r="2847">
          <cell r="J2847" t="str">
            <v/>
          </cell>
          <cell r="K2847">
            <v>0</v>
          </cell>
        </row>
        <row r="2848">
          <cell r="J2848" t="str">
            <v/>
          </cell>
          <cell r="K2848">
            <v>0</v>
          </cell>
        </row>
        <row r="2849">
          <cell r="J2849" t="str">
            <v/>
          </cell>
          <cell r="K2849">
            <v>0</v>
          </cell>
        </row>
        <row r="2850">
          <cell r="J2850" t="str">
            <v/>
          </cell>
          <cell r="K2850">
            <v>0</v>
          </cell>
        </row>
        <row r="2851">
          <cell r="J2851" t="str">
            <v/>
          </cell>
          <cell r="K2851">
            <v>0</v>
          </cell>
        </row>
        <row r="2852">
          <cell r="J2852" t="str">
            <v/>
          </cell>
          <cell r="K2852">
            <v>0</v>
          </cell>
        </row>
        <row r="2853">
          <cell r="J2853" t="str">
            <v/>
          </cell>
          <cell r="K2853">
            <v>0</v>
          </cell>
        </row>
        <row r="2854">
          <cell r="J2854" t="str">
            <v/>
          </cell>
          <cell r="K2854">
            <v>0</v>
          </cell>
        </row>
        <row r="2855">
          <cell r="J2855" t="str">
            <v/>
          </cell>
          <cell r="K2855">
            <v>0</v>
          </cell>
        </row>
        <row r="2856">
          <cell r="J2856" t="str">
            <v/>
          </cell>
          <cell r="K2856">
            <v>0</v>
          </cell>
        </row>
        <row r="2857">
          <cell r="J2857" t="str">
            <v/>
          </cell>
          <cell r="K2857">
            <v>0</v>
          </cell>
        </row>
        <row r="2858">
          <cell r="J2858" t="str">
            <v/>
          </cell>
          <cell r="K2858">
            <v>0</v>
          </cell>
        </row>
        <row r="2859">
          <cell r="J2859" t="str">
            <v/>
          </cell>
          <cell r="K2859">
            <v>0</v>
          </cell>
        </row>
        <row r="2860">
          <cell r="J2860" t="str">
            <v/>
          </cell>
          <cell r="K2860">
            <v>0</v>
          </cell>
        </row>
        <row r="2861">
          <cell r="J2861" t="str">
            <v/>
          </cell>
          <cell r="K2861">
            <v>0</v>
          </cell>
        </row>
        <row r="2862">
          <cell r="J2862" t="str">
            <v/>
          </cell>
          <cell r="K2862">
            <v>0</v>
          </cell>
        </row>
        <row r="2863">
          <cell r="J2863" t="str">
            <v/>
          </cell>
          <cell r="K2863">
            <v>0</v>
          </cell>
        </row>
        <row r="2864">
          <cell r="J2864" t="str">
            <v/>
          </cell>
          <cell r="K2864">
            <v>0</v>
          </cell>
        </row>
        <row r="2865">
          <cell r="J2865" t="str">
            <v/>
          </cell>
          <cell r="K2865">
            <v>0</v>
          </cell>
        </row>
        <row r="2866">
          <cell r="J2866" t="str">
            <v/>
          </cell>
          <cell r="K2866">
            <v>0</v>
          </cell>
        </row>
        <row r="2867">
          <cell r="J2867" t="str">
            <v/>
          </cell>
          <cell r="K2867">
            <v>0</v>
          </cell>
        </row>
        <row r="2868">
          <cell r="J2868" t="str">
            <v/>
          </cell>
          <cell r="K2868">
            <v>0</v>
          </cell>
        </row>
        <row r="2869">
          <cell r="J2869" t="str">
            <v/>
          </cell>
          <cell r="K2869">
            <v>0</v>
          </cell>
        </row>
        <row r="2870">
          <cell r="J2870" t="str">
            <v/>
          </cell>
          <cell r="K2870">
            <v>0</v>
          </cell>
        </row>
        <row r="2871">
          <cell r="J2871" t="str">
            <v/>
          </cell>
          <cell r="K2871">
            <v>0</v>
          </cell>
        </row>
        <row r="2872">
          <cell r="J2872" t="str">
            <v/>
          </cell>
          <cell r="K2872">
            <v>0</v>
          </cell>
        </row>
        <row r="2873">
          <cell r="J2873" t="str">
            <v/>
          </cell>
          <cell r="K2873">
            <v>0</v>
          </cell>
        </row>
        <row r="2874">
          <cell r="J2874" t="str">
            <v/>
          </cell>
          <cell r="K2874">
            <v>0</v>
          </cell>
        </row>
        <row r="2875">
          <cell r="J2875" t="str">
            <v/>
          </cell>
          <cell r="K2875">
            <v>0</v>
          </cell>
        </row>
        <row r="2876">
          <cell r="J2876" t="str">
            <v/>
          </cell>
          <cell r="K2876">
            <v>0</v>
          </cell>
        </row>
        <row r="2877">
          <cell r="J2877" t="str">
            <v/>
          </cell>
          <cell r="K2877">
            <v>0</v>
          </cell>
        </row>
        <row r="2878">
          <cell r="J2878" t="str">
            <v/>
          </cell>
          <cell r="K2878">
            <v>0</v>
          </cell>
        </row>
        <row r="2879">
          <cell r="J2879" t="str">
            <v/>
          </cell>
          <cell r="K2879">
            <v>0</v>
          </cell>
        </row>
        <row r="2880">
          <cell r="J2880" t="str">
            <v/>
          </cell>
          <cell r="K2880">
            <v>0</v>
          </cell>
        </row>
        <row r="2881">
          <cell r="J2881" t="str">
            <v/>
          </cell>
          <cell r="K2881">
            <v>0</v>
          </cell>
        </row>
        <row r="2882">
          <cell r="J2882" t="str">
            <v/>
          </cell>
          <cell r="K2882">
            <v>0</v>
          </cell>
        </row>
        <row r="2883">
          <cell r="J2883" t="str">
            <v/>
          </cell>
          <cell r="K2883">
            <v>0</v>
          </cell>
        </row>
        <row r="2884">
          <cell r="J2884" t="str">
            <v/>
          </cell>
          <cell r="K2884">
            <v>0</v>
          </cell>
        </row>
        <row r="2885">
          <cell r="J2885" t="str">
            <v/>
          </cell>
          <cell r="K2885">
            <v>0</v>
          </cell>
        </row>
        <row r="2886">
          <cell r="J2886" t="str">
            <v/>
          </cell>
          <cell r="K2886">
            <v>0</v>
          </cell>
        </row>
        <row r="2887">
          <cell r="J2887" t="str">
            <v/>
          </cell>
          <cell r="K2887">
            <v>0</v>
          </cell>
        </row>
        <row r="2888">
          <cell r="J2888" t="str">
            <v/>
          </cell>
          <cell r="K2888">
            <v>0</v>
          </cell>
        </row>
        <row r="2889">
          <cell r="J2889" t="str">
            <v/>
          </cell>
          <cell r="K2889">
            <v>0</v>
          </cell>
        </row>
        <row r="2890">
          <cell r="J2890" t="str">
            <v/>
          </cell>
          <cell r="K2890">
            <v>0</v>
          </cell>
        </row>
        <row r="2891">
          <cell r="J2891" t="str">
            <v/>
          </cell>
          <cell r="K2891">
            <v>0</v>
          </cell>
        </row>
        <row r="2892">
          <cell r="J2892" t="str">
            <v/>
          </cell>
          <cell r="K2892">
            <v>0</v>
          </cell>
        </row>
        <row r="2893">
          <cell r="J2893" t="str">
            <v/>
          </cell>
          <cell r="K2893">
            <v>0</v>
          </cell>
        </row>
        <row r="2894">
          <cell r="J2894" t="str">
            <v/>
          </cell>
          <cell r="K2894">
            <v>0</v>
          </cell>
        </row>
        <row r="2895">
          <cell r="J2895" t="str">
            <v/>
          </cell>
          <cell r="K2895">
            <v>0</v>
          </cell>
        </row>
        <row r="2896">
          <cell r="J2896" t="str">
            <v/>
          </cell>
          <cell r="K2896">
            <v>0</v>
          </cell>
        </row>
        <row r="2897">
          <cell r="J2897" t="str">
            <v/>
          </cell>
          <cell r="K2897">
            <v>0</v>
          </cell>
        </row>
        <row r="2898">
          <cell r="J2898" t="str">
            <v/>
          </cell>
          <cell r="K2898">
            <v>0</v>
          </cell>
        </row>
        <row r="2899">
          <cell r="J2899" t="str">
            <v/>
          </cell>
          <cell r="K2899">
            <v>0</v>
          </cell>
        </row>
        <row r="2900">
          <cell r="J2900" t="str">
            <v/>
          </cell>
          <cell r="K2900">
            <v>0</v>
          </cell>
        </row>
        <row r="2901">
          <cell r="J2901" t="str">
            <v/>
          </cell>
          <cell r="K2901">
            <v>0</v>
          </cell>
        </row>
        <row r="2902">
          <cell r="J2902" t="str">
            <v/>
          </cell>
          <cell r="K2902">
            <v>0</v>
          </cell>
        </row>
        <row r="2903">
          <cell r="J2903" t="str">
            <v/>
          </cell>
          <cell r="K2903">
            <v>0</v>
          </cell>
        </row>
        <row r="2904">
          <cell r="J2904" t="str">
            <v/>
          </cell>
          <cell r="K2904">
            <v>0</v>
          </cell>
        </row>
        <row r="2905">
          <cell r="J2905" t="str">
            <v/>
          </cell>
          <cell r="K2905">
            <v>0</v>
          </cell>
        </row>
        <row r="2906">
          <cell r="J2906" t="str">
            <v/>
          </cell>
          <cell r="K2906">
            <v>0</v>
          </cell>
        </row>
        <row r="2907">
          <cell r="J2907" t="str">
            <v/>
          </cell>
          <cell r="K2907">
            <v>0</v>
          </cell>
        </row>
        <row r="2908">
          <cell r="J2908" t="str">
            <v/>
          </cell>
          <cell r="K2908">
            <v>0</v>
          </cell>
        </row>
        <row r="2909">
          <cell r="J2909" t="str">
            <v/>
          </cell>
          <cell r="K2909">
            <v>0</v>
          </cell>
        </row>
        <row r="2910">
          <cell r="J2910" t="str">
            <v/>
          </cell>
          <cell r="K2910">
            <v>0</v>
          </cell>
        </row>
        <row r="2911">
          <cell r="J2911" t="str">
            <v/>
          </cell>
          <cell r="K2911">
            <v>0</v>
          </cell>
        </row>
        <row r="2912">
          <cell r="J2912" t="str">
            <v/>
          </cell>
          <cell r="K2912">
            <v>0</v>
          </cell>
        </row>
        <row r="2913">
          <cell r="J2913" t="str">
            <v/>
          </cell>
          <cell r="K2913">
            <v>0</v>
          </cell>
        </row>
        <row r="2914">
          <cell r="J2914" t="str">
            <v/>
          </cell>
          <cell r="K2914">
            <v>0</v>
          </cell>
        </row>
        <row r="2915">
          <cell r="J2915" t="str">
            <v/>
          </cell>
          <cell r="K2915">
            <v>0</v>
          </cell>
        </row>
        <row r="2916">
          <cell r="J2916" t="str">
            <v/>
          </cell>
          <cell r="K2916">
            <v>0</v>
          </cell>
        </row>
        <row r="2917">
          <cell r="J2917" t="str">
            <v/>
          </cell>
          <cell r="K2917">
            <v>0</v>
          </cell>
        </row>
        <row r="2918">
          <cell r="J2918" t="str">
            <v/>
          </cell>
          <cell r="K2918">
            <v>0</v>
          </cell>
        </row>
        <row r="2919">
          <cell r="J2919" t="str">
            <v/>
          </cell>
          <cell r="K2919">
            <v>0</v>
          </cell>
        </row>
        <row r="2920">
          <cell r="J2920" t="str">
            <v/>
          </cell>
          <cell r="K2920">
            <v>0</v>
          </cell>
        </row>
        <row r="2921">
          <cell r="J2921" t="str">
            <v/>
          </cell>
          <cell r="K2921">
            <v>0</v>
          </cell>
        </row>
        <row r="2922">
          <cell r="J2922" t="str">
            <v/>
          </cell>
          <cell r="K2922">
            <v>0</v>
          </cell>
        </row>
        <row r="2923">
          <cell r="J2923" t="str">
            <v/>
          </cell>
          <cell r="K2923">
            <v>0</v>
          </cell>
        </row>
        <row r="2924">
          <cell r="J2924" t="str">
            <v/>
          </cell>
          <cell r="K2924">
            <v>0</v>
          </cell>
        </row>
        <row r="2925">
          <cell r="J2925" t="str">
            <v/>
          </cell>
          <cell r="K2925">
            <v>0</v>
          </cell>
        </row>
        <row r="2926">
          <cell r="J2926" t="str">
            <v/>
          </cell>
          <cell r="K2926">
            <v>0</v>
          </cell>
        </row>
        <row r="2927">
          <cell r="J2927" t="str">
            <v/>
          </cell>
          <cell r="K2927">
            <v>0</v>
          </cell>
        </row>
        <row r="2928">
          <cell r="J2928" t="str">
            <v/>
          </cell>
          <cell r="K2928">
            <v>0</v>
          </cell>
        </row>
        <row r="2929">
          <cell r="J2929" t="str">
            <v/>
          </cell>
          <cell r="K2929">
            <v>0</v>
          </cell>
        </row>
        <row r="2930">
          <cell r="J2930" t="str">
            <v/>
          </cell>
          <cell r="K2930">
            <v>0</v>
          </cell>
        </row>
        <row r="2931">
          <cell r="J2931" t="str">
            <v/>
          </cell>
          <cell r="K2931">
            <v>0</v>
          </cell>
        </row>
        <row r="2932">
          <cell r="J2932" t="str">
            <v/>
          </cell>
          <cell r="K2932">
            <v>0</v>
          </cell>
        </row>
        <row r="2933">
          <cell r="J2933" t="str">
            <v/>
          </cell>
          <cell r="K2933">
            <v>0</v>
          </cell>
        </row>
        <row r="2934">
          <cell r="J2934" t="str">
            <v/>
          </cell>
          <cell r="K2934">
            <v>0</v>
          </cell>
        </row>
        <row r="2935">
          <cell r="J2935" t="str">
            <v/>
          </cell>
          <cell r="K2935">
            <v>0</v>
          </cell>
        </row>
        <row r="2936">
          <cell r="J2936" t="str">
            <v/>
          </cell>
          <cell r="K2936">
            <v>0</v>
          </cell>
        </row>
        <row r="2937">
          <cell r="J2937" t="str">
            <v/>
          </cell>
          <cell r="K2937">
            <v>0</v>
          </cell>
        </row>
        <row r="2938">
          <cell r="J2938" t="str">
            <v/>
          </cell>
          <cell r="K2938">
            <v>0</v>
          </cell>
        </row>
        <row r="2939">
          <cell r="J2939" t="str">
            <v/>
          </cell>
          <cell r="K2939">
            <v>0</v>
          </cell>
        </row>
        <row r="2940">
          <cell r="J2940" t="str">
            <v/>
          </cell>
          <cell r="K2940">
            <v>0</v>
          </cell>
        </row>
        <row r="2941">
          <cell r="J2941" t="str">
            <v/>
          </cell>
          <cell r="K2941">
            <v>0</v>
          </cell>
        </row>
        <row r="2942">
          <cell r="J2942" t="str">
            <v/>
          </cell>
          <cell r="K2942">
            <v>0</v>
          </cell>
        </row>
        <row r="2943">
          <cell r="J2943" t="str">
            <v/>
          </cell>
          <cell r="K2943">
            <v>0</v>
          </cell>
        </row>
        <row r="2944">
          <cell r="J2944" t="str">
            <v/>
          </cell>
          <cell r="K2944">
            <v>0</v>
          </cell>
        </row>
        <row r="2945">
          <cell r="J2945" t="str">
            <v/>
          </cell>
          <cell r="K2945">
            <v>0</v>
          </cell>
        </row>
        <row r="2946">
          <cell r="J2946" t="str">
            <v/>
          </cell>
          <cell r="K2946">
            <v>0</v>
          </cell>
        </row>
        <row r="2947">
          <cell r="J2947" t="str">
            <v/>
          </cell>
          <cell r="K2947">
            <v>0</v>
          </cell>
        </row>
        <row r="2948">
          <cell r="J2948" t="str">
            <v/>
          </cell>
          <cell r="K2948">
            <v>0</v>
          </cell>
        </row>
        <row r="2949">
          <cell r="J2949" t="str">
            <v/>
          </cell>
          <cell r="K2949">
            <v>0</v>
          </cell>
        </row>
        <row r="2950">
          <cell r="J2950" t="str">
            <v/>
          </cell>
          <cell r="K2950">
            <v>0</v>
          </cell>
        </row>
        <row r="2951">
          <cell r="J2951" t="str">
            <v/>
          </cell>
          <cell r="K2951">
            <v>0</v>
          </cell>
        </row>
        <row r="2952">
          <cell r="J2952" t="str">
            <v/>
          </cell>
          <cell r="K2952">
            <v>0</v>
          </cell>
        </row>
        <row r="2953">
          <cell r="J2953" t="str">
            <v/>
          </cell>
          <cell r="K2953">
            <v>0</v>
          </cell>
        </row>
        <row r="2954">
          <cell r="J2954" t="str">
            <v/>
          </cell>
          <cell r="K2954">
            <v>0</v>
          </cell>
        </row>
        <row r="2955">
          <cell r="J2955" t="str">
            <v/>
          </cell>
          <cell r="K2955">
            <v>0</v>
          </cell>
        </row>
        <row r="2956">
          <cell r="J2956" t="str">
            <v/>
          </cell>
          <cell r="K2956">
            <v>0</v>
          </cell>
        </row>
        <row r="2957">
          <cell r="J2957" t="str">
            <v/>
          </cell>
          <cell r="K2957">
            <v>0</v>
          </cell>
        </row>
        <row r="2958">
          <cell r="J2958" t="str">
            <v/>
          </cell>
          <cell r="K2958">
            <v>0</v>
          </cell>
        </row>
        <row r="2959">
          <cell r="J2959" t="str">
            <v/>
          </cell>
          <cell r="K2959">
            <v>0</v>
          </cell>
        </row>
        <row r="2960">
          <cell r="J2960" t="str">
            <v/>
          </cell>
          <cell r="K2960">
            <v>0</v>
          </cell>
        </row>
        <row r="2961">
          <cell r="J2961" t="str">
            <v/>
          </cell>
          <cell r="K2961">
            <v>0</v>
          </cell>
        </row>
        <row r="2962">
          <cell r="J2962" t="str">
            <v/>
          </cell>
          <cell r="K2962">
            <v>0</v>
          </cell>
        </row>
        <row r="2963">
          <cell r="J2963" t="str">
            <v/>
          </cell>
          <cell r="K2963">
            <v>0</v>
          </cell>
        </row>
        <row r="2964">
          <cell r="J2964" t="str">
            <v/>
          </cell>
          <cell r="K2964">
            <v>0</v>
          </cell>
        </row>
        <row r="2965">
          <cell r="J2965" t="str">
            <v/>
          </cell>
          <cell r="K2965">
            <v>0</v>
          </cell>
        </row>
        <row r="2966">
          <cell r="J2966" t="str">
            <v/>
          </cell>
          <cell r="K2966">
            <v>0</v>
          </cell>
        </row>
        <row r="2967">
          <cell r="J2967" t="str">
            <v/>
          </cell>
          <cell r="K2967">
            <v>0</v>
          </cell>
        </row>
        <row r="2968">
          <cell r="J2968" t="str">
            <v/>
          </cell>
          <cell r="K2968">
            <v>0</v>
          </cell>
        </row>
        <row r="2969">
          <cell r="J2969" t="str">
            <v/>
          </cell>
          <cell r="K2969">
            <v>0</v>
          </cell>
        </row>
        <row r="2970">
          <cell r="J2970" t="str">
            <v/>
          </cell>
          <cell r="K2970">
            <v>0</v>
          </cell>
        </row>
        <row r="2971">
          <cell r="J2971" t="str">
            <v/>
          </cell>
          <cell r="K2971">
            <v>0</v>
          </cell>
        </row>
        <row r="2972">
          <cell r="J2972" t="str">
            <v/>
          </cell>
          <cell r="K2972">
            <v>0</v>
          </cell>
        </row>
        <row r="2973">
          <cell r="J2973" t="str">
            <v/>
          </cell>
          <cell r="K2973">
            <v>0</v>
          </cell>
        </row>
        <row r="2974">
          <cell r="J2974" t="str">
            <v/>
          </cell>
          <cell r="K2974">
            <v>0</v>
          </cell>
        </row>
        <row r="2975">
          <cell r="J2975" t="str">
            <v/>
          </cell>
          <cell r="K2975">
            <v>0</v>
          </cell>
        </row>
        <row r="2976">
          <cell r="J2976" t="str">
            <v/>
          </cell>
          <cell r="K2976">
            <v>0</v>
          </cell>
        </row>
        <row r="2977">
          <cell r="J2977" t="str">
            <v/>
          </cell>
          <cell r="K2977">
            <v>0</v>
          </cell>
        </row>
        <row r="2978">
          <cell r="J2978" t="str">
            <v/>
          </cell>
          <cell r="K2978">
            <v>0</v>
          </cell>
        </row>
        <row r="2979">
          <cell r="J2979" t="str">
            <v/>
          </cell>
          <cell r="K2979">
            <v>0</v>
          </cell>
        </row>
        <row r="2980">
          <cell r="J2980" t="str">
            <v/>
          </cell>
          <cell r="K2980">
            <v>0</v>
          </cell>
        </row>
        <row r="2981">
          <cell r="J2981" t="str">
            <v/>
          </cell>
          <cell r="K2981">
            <v>0</v>
          </cell>
        </row>
        <row r="2982">
          <cell r="J2982" t="str">
            <v/>
          </cell>
          <cell r="K2982">
            <v>0</v>
          </cell>
        </row>
        <row r="2983">
          <cell r="J2983" t="str">
            <v/>
          </cell>
          <cell r="K2983">
            <v>0</v>
          </cell>
        </row>
        <row r="2984">
          <cell r="J2984" t="str">
            <v/>
          </cell>
          <cell r="K2984">
            <v>0</v>
          </cell>
        </row>
        <row r="2985">
          <cell r="J2985" t="str">
            <v/>
          </cell>
          <cell r="K2985">
            <v>0</v>
          </cell>
        </row>
        <row r="2986">
          <cell r="J2986" t="str">
            <v/>
          </cell>
          <cell r="K2986">
            <v>0</v>
          </cell>
        </row>
        <row r="2987">
          <cell r="J2987" t="str">
            <v/>
          </cell>
          <cell r="K2987">
            <v>0</v>
          </cell>
        </row>
        <row r="2988">
          <cell r="J2988" t="str">
            <v/>
          </cell>
          <cell r="K2988">
            <v>0</v>
          </cell>
        </row>
        <row r="2989">
          <cell r="J2989" t="str">
            <v/>
          </cell>
          <cell r="K2989">
            <v>0</v>
          </cell>
        </row>
        <row r="2990">
          <cell r="J2990" t="str">
            <v/>
          </cell>
          <cell r="K2990">
            <v>0</v>
          </cell>
        </row>
        <row r="2991">
          <cell r="J2991" t="str">
            <v/>
          </cell>
          <cell r="K2991">
            <v>0</v>
          </cell>
        </row>
        <row r="2992">
          <cell r="J2992" t="str">
            <v/>
          </cell>
          <cell r="K2992">
            <v>0</v>
          </cell>
        </row>
        <row r="2993">
          <cell r="J2993" t="str">
            <v/>
          </cell>
          <cell r="K2993">
            <v>0</v>
          </cell>
        </row>
        <row r="2994">
          <cell r="J2994" t="str">
            <v/>
          </cell>
          <cell r="K2994">
            <v>0</v>
          </cell>
        </row>
        <row r="2995">
          <cell r="J2995" t="str">
            <v/>
          </cell>
          <cell r="K2995">
            <v>0</v>
          </cell>
        </row>
        <row r="2996">
          <cell r="J2996" t="str">
            <v/>
          </cell>
          <cell r="K2996">
            <v>0</v>
          </cell>
        </row>
        <row r="2997">
          <cell r="J2997" t="str">
            <v/>
          </cell>
          <cell r="K2997">
            <v>0</v>
          </cell>
        </row>
        <row r="2998">
          <cell r="J2998" t="str">
            <v/>
          </cell>
          <cell r="K2998">
            <v>0</v>
          </cell>
        </row>
        <row r="2999">
          <cell r="J2999" t="str">
            <v/>
          </cell>
          <cell r="K2999">
            <v>0</v>
          </cell>
        </row>
        <row r="3000">
          <cell r="J3000" t="str">
            <v/>
          </cell>
          <cell r="K3000">
            <v>0</v>
          </cell>
        </row>
        <row r="3001">
          <cell r="J3001" t="str">
            <v/>
          </cell>
          <cell r="K3001">
            <v>0</v>
          </cell>
        </row>
        <row r="3002">
          <cell r="J3002" t="str">
            <v/>
          </cell>
          <cell r="K3002">
            <v>0</v>
          </cell>
        </row>
        <row r="3003">
          <cell r="J3003" t="str">
            <v/>
          </cell>
          <cell r="K3003">
            <v>0</v>
          </cell>
        </row>
        <row r="3004">
          <cell r="J3004" t="str">
            <v/>
          </cell>
          <cell r="K3004">
            <v>0</v>
          </cell>
        </row>
        <row r="3005">
          <cell r="J3005" t="str">
            <v/>
          </cell>
          <cell r="K3005">
            <v>0</v>
          </cell>
        </row>
        <row r="3006">
          <cell r="J3006" t="str">
            <v/>
          </cell>
          <cell r="K3006">
            <v>0</v>
          </cell>
        </row>
        <row r="3007">
          <cell r="J3007" t="str">
            <v/>
          </cell>
          <cell r="K3007">
            <v>0</v>
          </cell>
        </row>
        <row r="3008">
          <cell r="J3008" t="str">
            <v/>
          </cell>
          <cell r="K3008">
            <v>0</v>
          </cell>
        </row>
        <row r="3009">
          <cell r="J3009" t="str">
            <v/>
          </cell>
          <cell r="K3009">
            <v>0</v>
          </cell>
        </row>
        <row r="3010">
          <cell r="J3010" t="str">
            <v/>
          </cell>
          <cell r="K3010">
            <v>0</v>
          </cell>
        </row>
        <row r="3011">
          <cell r="J3011" t="str">
            <v/>
          </cell>
          <cell r="K3011">
            <v>0</v>
          </cell>
        </row>
        <row r="3012">
          <cell r="J3012" t="str">
            <v/>
          </cell>
          <cell r="K3012">
            <v>0</v>
          </cell>
        </row>
        <row r="3013">
          <cell r="J3013" t="str">
            <v/>
          </cell>
          <cell r="K3013">
            <v>0</v>
          </cell>
        </row>
        <row r="3014">
          <cell r="J3014" t="str">
            <v/>
          </cell>
          <cell r="K3014">
            <v>0</v>
          </cell>
        </row>
        <row r="3015">
          <cell r="J3015" t="str">
            <v/>
          </cell>
          <cell r="K3015">
            <v>0</v>
          </cell>
        </row>
        <row r="3016">
          <cell r="J3016" t="str">
            <v/>
          </cell>
          <cell r="K3016">
            <v>0</v>
          </cell>
        </row>
        <row r="3017">
          <cell r="J3017" t="str">
            <v/>
          </cell>
          <cell r="K3017">
            <v>0</v>
          </cell>
        </row>
        <row r="3018">
          <cell r="J3018" t="str">
            <v/>
          </cell>
          <cell r="K3018">
            <v>0</v>
          </cell>
        </row>
        <row r="3019">
          <cell r="J3019" t="str">
            <v/>
          </cell>
          <cell r="K3019">
            <v>0</v>
          </cell>
        </row>
        <row r="3020">
          <cell r="J3020" t="str">
            <v/>
          </cell>
          <cell r="K3020">
            <v>0</v>
          </cell>
        </row>
        <row r="3021">
          <cell r="J3021" t="str">
            <v/>
          </cell>
          <cell r="K3021">
            <v>0</v>
          </cell>
        </row>
        <row r="3022">
          <cell r="J3022" t="str">
            <v/>
          </cell>
          <cell r="K3022">
            <v>0</v>
          </cell>
        </row>
        <row r="3023">
          <cell r="J3023" t="str">
            <v/>
          </cell>
          <cell r="K3023">
            <v>0</v>
          </cell>
        </row>
        <row r="3024">
          <cell r="J3024" t="str">
            <v/>
          </cell>
          <cell r="K3024">
            <v>0</v>
          </cell>
        </row>
        <row r="3025">
          <cell r="J3025" t="str">
            <v/>
          </cell>
          <cell r="K3025">
            <v>0</v>
          </cell>
        </row>
        <row r="3026">
          <cell r="J3026" t="str">
            <v/>
          </cell>
          <cell r="K3026">
            <v>0</v>
          </cell>
        </row>
        <row r="3027">
          <cell r="J3027" t="str">
            <v/>
          </cell>
          <cell r="K3027">
            <v>0</v>
          </cell>
        </row>
        <row r="3028">
          <cell r="J3028" t="str">
            <v/>
          </cell>
          <cell r="K3028">
            <v>0</v>
          </cell>
        </row>
        <row r="3029">
          <cell r="J3029" t="str">
            <v/>
          </cell>
          <cell r="K3029">
            <v>0</v>
          </cell>
        </row>
        <row r="3030">
          <cell r="J3030" t="str">
            <v/>
          </cell>
          <cell r="K3030">
            <v>0</v>
          </cell>
        </row>
        <row r="3031">
          <cell r="J3031" t="str">
            <v/>
          </cell>
          <cell r="K3031">
            <v>0</v>
          </cell>
        </row>
        <row r="3032">
          <cell r="J3032" t="str">
            <v/>
          </cell>
          <cell r="K3032">
            <v>0</v>
          </cell>
        </row>
        <row r="3033">
          <cell r="J3033" t="str">
            <v/>
          </cell>
          <cell r="K3033">
            <v>0</v>
          </cell>
        </row>
        <row r="3034">
          <cell r="J3034" t="str">
            <v/>
          </cell>
          <cell r="K3034">
            <v>0</v>
          </cell>
        </row>
        <row r="3035">
          <cell r="J3035" t="str">
            <v/>
          </cell>
          <cell r="K3035">
            <v>0</v>
          </cell>
        </row>
        <row r="3036">
          <cell r="J3036" t="str">
            <v/>
          </cell>
          <cell r="K3036">
            <v>0</v>
          </cell>
        </row>
        <row r="3037">
          <cell r="J3037" t="str">
            <v/>
          </cell>
          <cell r="K3037">
            <v>0</v>
          </cell>
        </row>
        <row r="3038">
          <cell r="J3038" t="str">
            <v/>
          </cell>
          <cell r="K3038">
            <v>0</v>
          </cell>
        </row>
        <row r="3039">
          <cell r="J3039" t="str">
            <v/>
          </cell>
          <cell r="K3039">
            <v>0</v>
          </cell>
        </row>
        <row r="3040">
          <cell r="J3040" t="str">
            <v/>
          </cell>
          <cell r="K3040">
            <v>0</v>
          </cell>
        </row>
        <row r="3041">
          <cell r="J3041" t="str">
            <v/>
          </cell>
          <cell r="K3041">
            <v>0</v>
          </cell>
        </row>
        <row r="3042">
          <cell r="J3042" t="str">
            <v/>
          </cell>
          <cell r="K3042">
            <v>0</v>
          </cell>
        </row>
        <row r="3043">
          <cell r="J3043" t="str">
            <v/>
          </cell>
          <cell r="K3043">
            <v>0</v>
          </cell>
        </row>
        <row r="3044">
          <cell r="J3044" t="str">
            <v/>
          </cell>
          <cell r="K3044">
            <v>0</v>
          </cell>
        </row>
        <row r="3045">
          <cell r="J3045" t="str">
            <v/>
          </cell>
          <cell r="K3045">
            <v>0</v>
          </cell>
        </row>
        <row r="3046">
          <cell r="J3046" t="str">
            <v/>
          </cell>
          <cell r="K3046">
            <v>0</v>
          </cell>
        </row>
        <row r="3047">
          <cell r="J3047" t="str">
            <v/>
          </cell>
          <cell r="K3047">
            <v>0</v>
          </cell>
        </row>
        <row r="3048">
          <cell r="J3048" t="str">
            <v/>
          </cell>
          <cell r="K3048">
            <v>0</v>
          </cell>
        </row>
        <row r="3049">
          <cell r="J3049" t="str">
            <v/>
          </cell>
          <cell r="K3049">
            <v>0</v>
          </cell>
        </row>
        <row r="3050">
          <cell r="J3050" t="str">
            <v/>
          </cell>
          <cell r="K3050">
            <v>0</v>
          </cell>
        </row>
        <row r="3051">
          <cell r="J3051" t="str">
            <v/>
          </cell>
          <cell r="K3051">
            <v>0</v>
          </cell>
        </row>
        <row r="3052">
          <cell r="J3052" t="str">
            <v/>
          </cell>
          <cell r="K3052">
            <v>0</v>
          </cell>
        </row>
        <row r="3053">
          <cell r="J3053" t="str">
            <v/>
          </cell>
          <cell r="K3053">
            <v>0</v>
          </cell>
        </row>
        <row r="3054">
          <cell r="J3054" t="str">
            <v/>
          </cell>
          <cell r="K3054">
            <v>0</v>
          </cell>
        </row>
        <row r="3055">
          <cell r="J3055" t="str">
            <v/>
          </cell>
          <cell r="K3055">
            <v>0</v>
          </cell>
        </row>
        <row r="3056">
          <cell r="J3056" t="str">
            <v/>
          </cell>
          <cell r="K3056">
            <v>0</v>
          </cell>
        </row>
        <row r="3057">
          <cell r="J3057" t="str">
            <v/>
          </cell>
          <cell r="K3057">
            <v>0</v>
          </cell>
        </row>
        <row r="3058">
          <cell r="J3058" t="str">
            <v/>
          </cell>
          <cell r="K3058">
            <v>0</v>
          </cell>
        </row>
        <row r="3059">
          <cell r="J3059" t="str">
            <v/>
          </cell>
          <cell r="K3059">
            <v>0</v>
          </cell>
        </row>
        <row r="3060">
          <cell r="J3060" t="str">
            <v/>
          </cell>
          <cell r="K3060">
            <v>0</v>
          </cell>
        </row>
        <row r="3061">
          <cell r="J3061" t="str">
            <v/>
          </cell>
          <cell r="K3061">
            <v>0</v>
          </cell>
        </row>
        <row r="3062">
          <cell r="J3062" t="str">
            <v/>
          </cell>
          <cell r="K3062">
            <v>0</v>
          </cell>
        </row>
        <row r="3063">
          <cell r="J3063" t="str">
            <v/>
          </cell>
          <cell r="K3063">
            <v>0</v>
          </cell>
        </row>
        <row r="3064">
          <cell r="J3064" t="str">
            <v/>
          </cell>
          <cell r="K3064">
            <v>0</v>
          </cell>
        </row>
        <row r="3065">
          <cell r="J3065" t="str">
            <v/>
          </cell>
          <cell r="K3065">
            <v>0</v>
          </cell>
        </row>
        <row r="3066">
          <cell r="J3066" t="str">
            <v/>
          </cell>
          <cell r="K3066">
            <v>0</v>
          </cell>
        </row>
        <row r="3067">
          <cell r="J3067" t="str">
            <v/>
          </cell>
          <cell r="K3067">
            <v>0</v>
          </cell>
        </row>
        <row r="3068">
          <cell r="J3068" t="str">
            <v/>
          </cell>
          <cell r="K3068">
            <v>0</v>
          </cell>
        </row>
        <row r="3069">
          <cell r="J3069" t="str">
            <v/>
          </cell>
          <cell r="K3069">
            <v>0</v>
          </cell>
        </row>
        <row r="3070">
          <cell r="J3070" t="str">
            <v/>
          </cell>
          <cell r="K3070">
            <v>0</v>
          </cell>
        </row>
        <row r="3071">
          <cell r="J3071" t="str">
            <v/>
          </cell>
          <cell r="K3071">
            <v>0</v>
          </cell>
        </row>
        <row r="3072">
          <cell r="J3072" t="str">
            <v/>
          </cell>
          <cell r="K3072">
            <v>0</v>
          </cell>
        </row>
        <row r="3073">
          <cell r="J3073" t="str">
            <v/>
          </cell>
          <cell r="K3073">
            <v>0</v>
          </cell>
        </row>
        <row r="3074">
          <cell r="J3074" t="str">
            <v/>
          </cell>
          <cell r="K3074">
            <v>0</v>
          </cell>
        </row>
        <row r="3075">
          <cell r="J3075" t="str">
            <v/>
          </cell>
          <cell r="K3075">
            <v>0</v>
          </cell>
        </row>
        <row r="3076">
          <cell r="J3076" t="str">
            <v/>
          </cell>
          <cell r="K3076">
            <v>0</v>
          </cell>
        </row>
        <row r="3077">
          <cell r="J3077" t="str">
            <v/>
          </cell>
          <cell r="K3077">
            <v>0</v>
          </cell>
        </row>
        <row r="3078">
          <cell r="J3078" t="str">
            <v/>
          </cell>
          <cell r="K3078">
            <v>0</v>
          </cell>
        </row>
        <row r="3079">
          <cell r="J3079" t="str">
            <v/>
          </cell>
          <cell r="K3079">
            <v>0</v>
          </cell>
        </row>
        <row r="3080">
          <cell r="J3080" t="str">
            <v/>
          </cell>
          <cell r="K3080">
            <v>0</v>
          </cell>
        </row>
        <row r="3081">
          <cell r="J3081" t="str">
            <v/>
          </cell>
          <cell r="K3081">
            <v>0</v>
          </cell>
        </row>
        <row r="3082">
          <cell r="J3082" t="str">
            <v/>
          </cell>
          <cell r="K3082">
            <v>0</v>
          </cell>
        </row>
        <row r="3083">
          <cell r="J3083" t="str">
            <v/>
          </cell>
          <cell r="K3083">
            <v>0</v>
          </cell>
        </row>
        <row r="3084">
          <cell r="J3084" t="str">
            <v/>
          </cell>
          <cell r="K3084">
            <v>0</v>
          </cell>
        </row>
        <row r="3085">
          <cell r="J3085" t="str">
            <v/>
          </cell>
          <cell r="K3085">
            <v>0</v>
          </cell>
        </row>
        <row r="3086">
          <cell r="J3086" t="str">
            <v/>
          </cell>
          <cell r="K3086">
            <v>0</v>
          </cell>
        </row>
        <row r="3087">
          <cell r="J3087" t="str">
            <v/>
          </cell>
          <cell r="K3087">
            <v>0</v>
          </cell>
        </row>
        <row r="3088">
          <cell r="J3088" t="str">
            <v/>
          </cell>
          <cell r="K3088">
            <v>0</v>
          </cell>
        </row>
        <row r="3089">
          <cell r="J3089" t="str">
            <v/>
          </cell>
          <cell r="K3089">
            <v>0</v>
          </cell>
        </row>
        <row r="3090">
          <cell r="J3090" t="str">
            <v/>
          </cell>
          <cell r="K3090">
            <v>0</v>
          </cell>
        </row>
        <row r="3091">
          <cell r="J3091" t="str">
            <v/>
          </cell>
          <cell r="K3091">
            <v>0</v>
          </cell>
        </row>
        <row r="3092">
          <cell r="J3092" t="str">
            <v/>
          </cell>
          <cell r="K3092">
            <v>0</v>
          </cell>
        </row>
        <row r="3093">
          <cell r="J3093" t="str">
            <v/>
          </cell>
          <cell r="K3093">
            <v>0</v>
          </cell>
        </row>
        <row r="3094">
          <cell r="J3094" t="str">
            <v/>
          </cell>
          <cell r="K3094">
            <v>0</v>
          </cell>
        </row>
        <row r="3095">
          <cell r="J3095" t="str">
            <v/>
          </cell>
          <cell r="K3095">
            <v>0</v>
          </cell>
        </row>
        <row r="3096">
          <cell r="J3096" t="str">
            <v/>
          </cell>
          <cell r="K3096">
            <v>0</v>
          </cell>
        </row>
        <row r="3097">
          <cell r="J3097" t="str">
            <v/>
          </cell>
          <cell r="K3097">
            <v>0</v>
          </cell>
        </row>
        <row r="3098">
          <cell r="J3098" t="str">
            <v/>
          </cell>
          <cell r="K3098">
            <v>0</v>
          </cell>
        </row>
        <row r="3099">
          <cell r="J3099" t="str">
            <v/>
          </cell>
          <cell r="K3099">
            <v>0</v>
          </cell>
        </row>
        <row r="3100">
          <cell r="J3100" t="str">
            <v/>
          </cell>
          <cell r="K3100">
            <v>0</v>
          </cell>
        </row>
        <row r="3101">
          <cell r="J3101" t="str">
            <v/>
          </cell>
          <cell r="K3101">
            <v>0</v>
          </cell>
        </row>
        <row r="3102">
          <cell r="J3102" t="str">
            <v/>
          </cell>
          <cell r="K3102">
            <v>0</v>
          </cell>
        </row>
        <row r="3103">
          <cell r="J3103" t="str">
            <v/>
          </cell>
          <cell r="K3103">
            <v>0</v>
          </cell>
        </row>
        <row r="3104">
          <cell r="J3104" t="str">
            <v/>
          </cell>
          <cell r="K3104">
            <v>0</v>
          </cell>
        </row>
        <row r="3105">
          <cell r="J3105" t="str">
            <v/>
          </cell>
          <cell r="K3105">
            <v>0</v>
          </cell>
        </row>
        <row r="3106">
          <cell r="J3106" t="str">
            <v/>
          </cell>
          <cell r="K3106">
            <v>0</v>
          </cell>
        </row>
        <row r="3107">
          <cell r="J3107" t="str">
            <v/>
          </cell>
          <cell r="K3107">
            <v>0</v>
          </cell>
        </row>
        <row r="3108">
          <cell r="J3108" t="str">
            <v/>
          </cell>
          <cell r="K3108">
            <v>0</v>
          </cell>
        </row>
        <row r="3109">
          <cell r="J3109" t="str">
            <v/>
          </cell>
          <cell r="K3109">
            <v>0</v>
          </cell>
        </row>
        <row r="3110">
          <cell r="J3110" t="str">
            <v/>
          </cell>
          <cell r="K3110">
            <v>0</v>
          </cell>
        </row>
        <row r="3111">
          <cell r="J3111" t="str">
            <v/>
          </cell>
          <cell r="K3111">
            <v>0</v>
          </cell>
        </row>
        <row r="3112">
          <cell r="J3112" t="str">
            <v/>
          </cell>
          <cell r="K3112">
            <v>0</v>
          </cell>
        </row>
        <row r="3113">
          <cell r="J3113" t="str">
            <v/>
          </cell>
          <cell r="K3113">
            <v>0</v>
          </cell>
        </row>
        <row r="3114">
          <cell r="J3114" t="str">
            <v/>
          </cell>
          <cell r="K3114">
            <v>0</v>
          </cell>
        </row>
        <row r="3115">
          <cell r="J3115" t="str">
            <v/>
          </cell>
          <cell r="K3115">
            <v>0</v>
          </cell>
        </row>
        <row r="3116">
          <cell r="J3116" t="str">
            <v/>
          </cell>
          <cell r="K3116">
            <v>0</v>
          </cell>
        </row>
        <row r="3117">
          <cell r="J3117" t="str">
            <v/>
          </cell>
          <cell r="K3117">
            <v>0</v>
          </cell>
        </row>
        <row r="3118">
          <cell r="J3118" t="str">
            <v/>
          </cell>
          <cell r="K3118">
            <v>0</v>
          </cell>
        </row>
        <row r="3119">
          <cell r="J3119" t="str">
            <v/>
          </cell>
          <cell r="K3119">
            <v>0</v>
          </cell>
        </row>
        <row r="3120">
          <cell r="J3120" t="str">
            <v/>
          </cell>
          <cell r="K3120">
            <v>0</v>
          </cell>
        </row>
        <row r="3121">
          <cell r="J3121" t="str">
            <v/>
          </cell>
          <cell r="K3121">
            <v>0</v>
          </cell>
        </row>
        <row r="3122">
          <cell r="J3122" t="str">
            <v/>
          </cell>
          <cell r="K3122">
            <v>0</v>
          </cell>
        </row>
        <row r="3123">
          <cell r="J3123" t="str">
            <v/>
          </cell>
          <cell r="K3123">
            <v>0</v>
          </cell>
        </row>
        <row r="3124">
          <cell r="J3124" t="str">
            <v/>
          </cell>
          <cell r="K3124">
            <v>0</v>
          </cell>
        </row>
        <row r="3125">
          <cell r="J3125" t="str">
            <v/>
          </cell>
          <cell r="K3125">
            <v>0</v>
          </cell>
        </row>
        <row r="3126">
          <cell r="J3126" t="str">
            <v/>
          </cell>
          <cell r="K3126">
            <v>0</v>
          </cell>
        </row>
        <row r="3127">
          <cell r="J3127" t="str">
            <v/>
          </cell>
          <cell r="K3127">
            <v>0</v>
          </cell>
        </row>
        <row r="3128">
          <cell r="J3128" t="str">
            <v/>
          </cell>
          <cell r="K3128">
            <v>0</v>
          </cell>
        </row>
        <row r="3129">
          <cell r="J3129" t="str">
            <v/>
          </cell>
          <cell r="K3129">
            <v>0</v>
          </cell>
        </row>
        <row r="3130">
          <cell r="J3130" t="str">
            <v/>
          </cell>
          <cell r="K3130">
            <v>0</v>
          </cell>
        </row>
        <row r="3131">
          <cell r="J3131" t="str">
            <v/>
          </cell>
          <cell r="K3131">
            <v>0</v>
          </cell>
        </row>
        <row r="3132">
          <cell r="J3132" t="str">
            <v/>
          </cell>
          <cell r="K3132">
            <v>0</v>
          </cell>
        </row>
        <row r="3133">
          <cell r="J3133" t="str">
            <v/>
          </cell>
          <cell r="K3133">
            <v>0</v>
          </cell>
        </row>
        <row r="3134">
          <cell r="J3134" t="str">
            <v/>
          </cell>
          <cell r="K3134">
            <v>0</v>
          </cell>
        </row>
        <row r="3135">
          <cell r="J3135" t="str">
            <v/>
          </cell>
          <cell r="K3135">
            <v>0</v>
          </cell>
        </row>
        <row r="3136">
          <cell r="J3136" t="str">
            <v/>
          </cell>
          <cell r="K3136">
            <v>0</v>
          </cell>
        </row>
        <row r="3137">
          <cell r="J3137" t="str">
            <v/>
          </cell>
          <cell r="K3137">
            <v>0</v>
          </cell>
        </row>
        <row r="3138">
          <cell r="J3138" t="str">
            <v/>
          </cell>
          <cell r="K3138">
            <v>0</v>
          </cell>
        </row>
        <row r="3139">
          <cell r="J3139" t="str">
            <v/>
          </cell>
          <cell r="K3139">
            <v>0</v>
          </cell>
        </row>
        <row r="3140">
          <cell r="J3140" t="str">
            <v/>
          </cell>
          <cell r="K3140">
            <v>0</v>
          </cell>
        </row>
        <row r="3141">
          <cell r="J3141" t="str">
            <v/>
          </cell>
          <cell r="K3141">
            <v>0</v>
          </cell>
        </row>
        <row r="3142">
          <cell r="J3142" t="str">
            <v/>
          </cell>
          <cell r="K3142">
            <v>0</v>
          </cell>
        </row>
        <row r="3143">
          <cell r="J3143" t="str">
            <v/>
          </cell>
          <cell r="K3143">
            <v>0</v>
          </cell>
        </row>
        <row r="3144">
          <cell r="J3144" t="str">
            <v/>
          </cell>
          <cell r="K3144">
            <v>0</v>
          </cell>
        </row>
        <row r="3145">
          <cell r="J3145" t="str">
            <v/>
          </cell>
          <cell r="K3145">
            <v>0</v>
          </cell>
        </row>
        <row r="3146">
          <cell r="J3146" t="str">
            <v/>
          </cell>
          <cell r="K3146">
            <v>0</v>
          </cell>
        </row>
        <row r="3147">
          <cell r="J3147" t="str">
            <v/>
          </cell>
          <cell r="K3147">
            <v>0</v>
          </cell>
        </row>
        <row r="3148">
          <cell r="J3148" t="str">
            <v/>
          </cell>
          <cell r="K3148">
            <v>0</v>
          </cell>
        </row>
        <row r="3149">
          <cell r="J3149" t="str">
            <v/>
          </cell>
          <cell r="K3149">
            <v>0</v>
          </cell>
        </row>
        <row r="3150">
          <cell r="J3150" t="str">
            <v/>
          </cell>
          <cell r="K3150">
            <v>0</v>
          </cell>
        </row>
        <row r="3151">
          <cell r="J3151" t="str">
            <v/>
          </cell>
          <cell r="K3151">
            <v>0</v>
          </cell>
        </row>
        <row r="3152">
          <cell r="J3152" t="str">
            <v/>
          </cell>
          <cell r="K3152">
            <v>0</v>
          </cell>
        </row>
        <row r="3153">
          <cell r="J3153" t="str">
            <v/>
          </cell>
          <cell r="K3153">
            <v>0</v>
          </cell>
        </row>
        <row r="3154">
          <cell r="J3154" t="str">
            <v/>
          </cell>
          <cell r="K3154">
            <v>0</v>
          </cell>
        </row>
        <row r="3155">
          <cell r="J3155" t="str">
            <v/>
          </cell>
          <cell r="K3155">
            <v>0</v>
          </cell>
        </row>
        <row r="3156">
          <cell r="J3156" t="str">
            <v/>
          </cell>
          <cell r="K3156">
            <v>0</v>
          </cell>
        </row>
        <row r="3157">
          <cell r="J3157" t="str">
            <v/>
          </cell>
          <cell r="K3157">
            <v>0</v>
          </cell>
        </row>
        <row r="3158">
          <cell r="J3158" t="str">
            <v/>
          </cell>
          <cell r="K3158">
            <v>0</v>
          </cell>
        </row>
        <row r="3159">
          <cell r="J3159" t="str">
            <v/>
          </cell>
          <cell r="K3159">
            <v>0</v>
          </cell>
        </row>
        <row r="3160">
          <cell r="J3160" t="str">
            <v/>
          </cell>
          <cell r="K3160">
            <v>0</v>
          </cell>
        </row>
        <row r="3161">
          <cell r="J3161" t="str">
            <v/>
          </cell>
          <cell r="K3161">
            <v>0</v>
          </cell>
        </row>
        <row r="3162">
          <cell r="J3162" t="str">
            <v/>
          </cell>
          <cell r="K3162">
            <v>0</v>
          </cell>
        </row>
        <row r="3163">
          <cell r="J3163" t="str">
            <v/>
          </cell>
          <cell r="K3163">
            <v>0</v>
          </cell>
        </row>
        <row r="3164">
          <cell r="J3164" t="str">
            <v/>
          </cell>
          <cell r="K3164">
            <v>0</v>
          </cell>
        </row>
        <row r="3165">
          <cell r="J3165" t="str">
            <v/>
          </cell>
          <cell r="K3165">
            <v>0</v>
          </cell>
        </row>
        <row r="3166">
          <cell r="J3166" t="str">
            <v/>
          </cell>
          <cell r="K3166">
            <v>0</v>
          </cell>
        </row>
        <row r="3167">
          <cell r="J3167" t="str">
            <v/>
          </cell>
          <cell r="K3167">
            <v>0</v>
          </cell>
        </row>
        <row r="3168">
          <cell r="J3168" t="str">
            <v/>
          </cell>
          <cell r="K3168">
            <v>0</v>
          </cell>
        </row>
        <row r="3169">
          <cell r="J3169" t="str">
            <v/>
          </cell>
          <cell r="K3169">
            <v>0</v>
          </cell>
        </row>
        <row r="3170">
          <cell r="J3170" t="str">
            <v/>
          </cell>
          <cell r="K3170">
            <v>0</v>
          </cell>
        </row>
        <row r="3171">
          <cell r="J3171" t="str">
            <v/>
          </cell>
          <cell r="K3171">
            <v>0</v>
          </cell>
        </row>
        <row r="3172">
          <cell r="J3172" t="str">
            <v/>
          </cell>
          <cell r="K3172">
            <v>0</v>
          </cell>
        </row>
        <row r="3173">
          <cell r="J3173" t="str">
            <v/>
          </cell>
          <cell r="K3173">
            <v>0</v>
          </cell>
        </row>
        <row r="3174">
          <cell r="J3174" t="str">
            <v/>
          </cell>
          <cell r="K3174">
            <v>0</v>
          </cell>
        </row>
        <row r="3175">
          <cell r="J3175" t="str">
            <v/>
          </cell>
          <cell r="K3175">
            <v>0</v>
          </cell>
        </row>
        <row r="3176">
          <cell r="J3176" t="str">
            <v/>
          </cell>
          <cell r="K3176">
            <v>0</v>
          </cell>
        </row>
        <row r="3177">
          <cell r="J3177" t="str">
            <v/>
          </cell>
          <cell r="K3177">
            <v>0</v>
          </cell>
        </row>
        <row r="3178">
          <cell r="J3178" t="str">
            <v/>
          </cell>
          <cell r="K3178">
            <v>0</v>
          </cell>
        </row>
        <row r="3179">
          <cell r="J3179" t="str">
            <v/>
          </cell>
          <cell r="K3179">
            <v>0</v>
          </cell>
        </row>
        <row r="3180">
          <cell r="J3180" t="str">
            <v/>
          </cell>
          <cell r="K3180">
            <v>0</v>
          </cell>
        </row>
        <row r="3181">
          <cell r="J3181" t="str">
            <v/>
          </cell>
          <cell r="K3181">
            <v>0</v>
          </cell>
        </row>
        <row r="3182">
          <cell r="J3182" t="str">
            <v/>
          </cell>
          <cell r="K3182">
            <v>0</v>
          </cell>
        </row>
        <row r="3183">
          <cell r="J3183" t="str">
            <v/>
          </cell>
          <cell r="K3183">
            <v>0</v>
          </cell>
        </row>
        <row r="3184">
          <cell r="J3184" t="str">
            <v/>
          </cell>
          <cell r="K3184">
            <v>0</v>
          </cell>
        </row>
        <row r="3185">
          <cell r="J3185" t="str">
            <v/>
          </cell>
          <cell r="K3185">
            <v>0</v>
          </cell>
        </row>
        <row r="3186">
          <cell r="J3186" t="str">
            <v/>
          </cell>
          <cell r="K3186">
            <v>0</v>
          </cell>
        </row>
        <row r="3187">
          <cell r="J3187" t="str">
            <v/>
          </cell>
          <cell r="K3187">
            <v>0</v>
          </cell>
        </row>
        <row r="3188">
          <cell r="J3188" t="str">
            <v/>
          </cell>
          <cell r="K3188">
            <v>0</v>
          </cell>
        </row>
        <row r="3189">
          <cell r="J3189" t="str">
            <v/>
          </cell>
          <cell r="K3189">
            <v>0</v>
          </cell>
        </row>
        <row r="3190">
          <cell r="J3190" t="str">
            <v/>
          </cell>
          <cell r="K3190">
            <v>0</v>
          </cell>
        </row>
        <row r="3191">
          <cell r="J3191" t="str">
            <v/>
          </cell>
          <cell r="K3191">
            <v>0</v>
          </cell>
        </row>
        <row r="3192">
          <cell r="J3192" t="str">
            <v/>
          </cell>
          <cell r="K3192">
            <v>0</v>
          </cell>
        </row>
        <row r="3193">
          <cell r="J3193" t="str">
            <v/>
          </cell>
          <cell r="K3193">
            <v>0</v>
          </cell>
        </row>
        <row r="3194">
          <cell r="J3194" t="str">
            <v/>
          </cell>
          <cell r="K3194">
            <v>0</v>
          </cell>
        </row>
        <row r="3195">
          <cell r="J3195" t="str">
            <v/>
          </cell>
          <cell r="K3195">
            <v>0</v>
          </cell>
        </row>
        <row r="3196">
          <cell r="J3196" t="str">
            <v/>
          </cell>
          <cell r="K3196">
            <v>0</v>
          </cell>
        </row>
        <row r="3197">
          <cell r="J3197" t="str">
            <v/>
          </cell>
          <cell r="K3197">
            <v>0</v>
          </cell>
        </row>
        <row r="3198">
          <cell r="J3198" t="str">
            <v/>
          </cell>
          <cell r="K3198">
            <v>0</v>
          </cell>
        </row>
        <row r="3199">
          <cell r="J3199" t="str">
            <v/>
          </cell>
          <cell r="K3199">
            <v>0</v>
          </cell>
        </row>
        <row r="3200">
          <cell r="J3200" t="str">
            <v/>
          </cell>
          <cell r="K3200">
            <v>0</v>
          </cell>
        </row>
        <row r="3201">
          <cell r="J3201" t="str">
            <v/>
          </cell>
          <cell r="K3201">
            <v>0</v>
          </cell>
        </row>
        <row r="3202">
          <cell r="J3202" t="str">
            <v/>
          </cell>
          <cell r="K3202">
            <v>0</v>
          </cell>
        </row>
        <row r="3203">
          <cell r="J3203" t="str">
            <v/>
          </cell>
          <cell r="K3203">
            <v>0</v>
          </cell>
        </row>
        <row r="3204">
          <cell r="J3204" t="str">
            <v/>
          </cell>
          <cell r="K3204">
            <v>0</v>
          </cell>
        </row>
        <row r="3205">
          <cell r="J3205" t="str">
            <v/>
          </cell>
          <cell r="K3205">
            <v>0</v>
          </cell>
        </row>
        <row r="3206">
          <cell r="J3206" t="str">
            <v/>
          </cell>
          <cell r="K3206">
            <v>0</v>
          </cell>
        </row>
        <row r="3207">
          <cell r="J3207" t="str">
            <v/>
          </cell>
          <cell r="K3207">
            <v>0</v>
          </cell>
        </row>
        <row r="3208">
          <cell r="J3208" t="str">
            <v/>
          </cell>
          <cell r="K3208">
            <v>0</v>
          </cell>
        </row>
        <row r="3209">
          <cell r="J3209" t="str">
            <v/>
          </cell>
          <cell r="K3209">
            <v>0</v>
          </cell>
        </row>
        <row r="3210">
          <cell r="J3210" t="str">
            <v/>
          </cell>
          <cell r="K3210">
            <v>0</v>
          </cell>
        </row>
        <row r="3211">
          <cell r="J3211" t="str">
            <v/>
          </cell>
          <cell r="K3211">
            <v>0</v>
          </cell>
        </row>
        <row r="3212">
          <cell r="J3212" t="str">
            <v/>
          </cell>
          <cell r="K3212">
            <v>0</v>
          </cell>
        </row>
        <row r="3213">
          <cell r="J3213" t="str">
            <v/>
          </cell>
          <cell r="K3213">
            <v>0</v>
          </cell>
        </row>
        <row r="3214">
          <cell r="J3214" t="str">
            <v/>
          </cell>
          <cell r="K3214">
            <v>0</v>
          </cell>
        </row>
        <row r="3215">
          <cell r="J3215" t="str">
            <v/>
          </cell>
          <cell r="K3215">
            <v>0</v>
          </cell>
        </row>
        <row r="3216">
          <cell r="J3216" t="str">
            <v/>
          </cell>
          <cell r="K3216">
            <v>0</v>
          </cell>
        </row>
        <row r="3217">
          <cell r="J3217" t="str">
            <v/>
          </cell>
          <cell r="K3217">
            <v>0</v>
          </cell>
        </row>
        <row r="3218">
          <cell r="J3218" t="str">
            <v/>
          </cell>
          <cell r="K3218">
            <v>0</v>
          </cell>
        </row>
        <row r="3219">
          <cell r="J3219" t="str">
            <v/>
          </cell>
          <cell r="K3219">
            <v>0</v>
          </cell>
        </row>
        <row r="3220">
          <cell r="J3220" t="str">
            <v/>
          </cell>
          <cell r="K3220">
            <v>0</v>
          </cell>
        </row>
        <row r="3221">
          <cell r="J3221" t="str">
            <v/>
          </cell>
          <cell r="K3221">
            <v>0</v>
          </cell>
        </row>
        <row r="3222">
          <cell r="J3222" t="str">
            <v/>
          </cell>
          <cell r="K3222">
            <v>0</v>
          </cell>
        </row>
        <row r="3223">
          <cell r="J3223" t="str">
            <v/>
          </cell>
          <cell r="K3223">
            <v>0</v>
          </cell>
        </row>
        <row r="3224">
          <cell r="J3224" t="str">
            <v/>
          </cell>
          <cell r="K3224">
            <v>0</v>
          </cell>
        </row>
        <row r="3225">
          <cell r="J3225" t="str">
            <v/>
          </cell>
          <cell r="K3225">
            <v>0</v>
          </cell>
        </row>
        <row r="3226">
          <cell r="J3226" t="str">
            <v/>
          </cell>
          <cell r="K3226">
            <v>0</v>
          </cell>
        </row>
        <row r="3227">
          <cell r="J3227" t="str">
            <v/>
          </cell>
          <cell r="K3227">
            <v>0</v>
          </cell>
        </row>
        <row r="3228">
          <cell r="J3228" t="str">
            <v/>
          </cell>
          <cell r="K3228">
            <v>0</v>
          </cell>
        </row>
        <row r="3229">
          <cell r="J3229" t="str">
            <v/>
          </cell>
          <cell r="K3229">
            <v>0</v>
          </cell>
        </row>
        <row r="3230">
          <cell r="J3230" t="str">
            <v/>
          </cell>
          <cell r="K3230">
            <v>0</v>
          </cell>
        </row>
        <row r="3231">
          <cell r="J3231" t="str">
            <v/>
          </cell>
          <cell r="K3231">
            <v>0</v>
          </cell>
        </row>
        <row r="3232">
          <cell r="J3232" t="str">
            <v/>
          </cell>
          <cell r="K3232">
            <v>0</v>
          </cell>
        </row>
        <row r="3233">
          <cell r="J3233" t="str">
            <v/>
          </cell>
          <cell r="K3233">
            <v>0</v>
          </cell>
        </row>
        <row r="3234">
          <cell r="J3234" t="str">
            <v/>
          </cell>
          <cell r="K3234">
            <v>0</v>
          </cell>
        </row>
        <row r="3235">
          <cell r="J3235" t="str">
            <v/>
          </cell>
          <cell r="K3235">
            <v>0</v>
          </cell>
        </row>
        <row r="3236">
          <cell r="J3236" t="str">
            <v/>
          </cell>
          <cell r="K3236">
            <v>0</v>
          </cell>
        </row>
        <row r="3237">
          <cell r="J3237" t="str">
            <v/>
          </cell>
          <cell r="K3237">
            <v>0</v>
          </cell>
        </row>
        <row r="3238">
          <cell r="J3238" t="str">
            <v/>
          </cell>
          <cell r="K3238">
            <v>0</v>
          </cell>
        </row>
        <row r="3239">
          <cell r="J3239" t="str">
            <v/>
          </cell>
          <cell r="K3239">
            <v>0</v>
          </cell>
        </row>
        <row r="3240">
          <cell r="J3240" t="str">
            <v/>
          </cell>
          <cell r="K3240">
            <v>0</v>
          </cell>
        </row>
        <row r="3241">
          <cell r="J3241" t="str">
            <v/>
          </cell>
          <cell r="K3241">
            <v>0</v>
          </cell>
        </row>
        <row r="3242">
          <cell r="J3242" t="str">
            <v/>
          </cell>
          <cell r="K3242">
            <v>0</v>
          </cell>
        </row>
        <row r="3243">
          <cell r="J3243" t="str">
            <v/>
          </cell>
          <cell r="K3243">
            <v>0</v>
          </cell>
        </row>
        <row r="3244">
          <cell r="J3244" t="str">
            <v/>
          </cell>
          <cell r="K3244">
            <v>0</v>
          </cell>
        </row>
        <row r="3245">
          <cell r="J3245" t="str">
            <v/>
          </cell>
          <cell r="K3245">
            <v>0</v>
          </cell>
        </row>
        <row r="3246">
          <cell r="J3246" t="str">
            <v/>
          </cell>
          <cell r="K3246">
            <v>0</v>
          </cell>
        </row>
        <row r="3247">
          <cell r="J3247" t="str">
            <v/>
          </cell>
          <cell r="K3247">
            <v>0</v>
          </cell>
        </row>
        <row r="3248">
          <cell r="J3248" t="str">
            <v/>
          </cell>
          <cell r="K3248">
            <v>0</v>
          </cell>
        </row>
        <row r="3249">
          <cell r="J3249" t="str">
            <v/>
          </cell>
          <cell r="K3249">
            <v>0</v>
          </cell>
        </row>
        <row r="3250">
          <cell r="J3250" t="str">
            <v/>
          </cell>
          <cell r="K3250">
            <v>0</v>
          </cell>
        </row>
        <row r="3251">
          <cell r="J3251" t="str">
            <v/>
          </cell>
          <cell r="K3251">
            <v>0</v>
          </cell>
        </row>
        <row r="3252">
          <cell r="J3252" t="str">
            <v/>
          </cell>
          <cell r="K3252">
            <v>0</v>
          </cell>
        </row>
        <row r="3253">
          <cell r="J3253" t="str">
            <v/>
          </cell>
          <cell r="K3253">
            <v>0</v>
          </cell>
        </row>
        <row r="3254">
          <cell r="J3254" t="str">
            <v/>
          </cell>
          <cell r="K3254">
            <v>0</v>
          </cell>
        </row>
        <row r="3255">
          <cell r="J3255" t="str">
            <v/>
          </cell>
          <cell r="K3255">
            <v>0</v>
          </cell>
        </row>
        <row r="3256">
          <cell r="J3256" t="str">
            <v/>
          </cell>
          <cell r="K3256">
            <v>0</v>
          </cell>
        </row>
        <row r="3257">
          <cell r="J3257" t="str">
            <v/>
          </cell>
          <cell r="K3257">
            <v>0</v>
          </cell>
        </row>
        <row r="3258">
          <cell r="J3258" t="str">
            <v/>
          </cell>
          <cell r="K3258">
            <v>0</v>
          </cell>
        </row>
        <row r="3259">
          <cell r="J3259" t="str">
            <v/>
          </cell>
          <cell r="K3259">
            <v>0</v>
          </cell>
        </row>
        <row r="3260">
          <cell r="J3260" t="str">
            <v/>
          </cell>
          <cell r="K3260">
            <v>0</v>
          </cell>
        </row>
        <row r="3261">
          <cell r="J3261" t="str">
            <v/>
          </cell>
          <cell r="K3261">
            <v>0</v>
          </cell>
        </row>
        <row r="3262">
          <cell r="J3262" t="str">
            <v/>
          </cell>
          <cell r="K3262">
            <v>0</v>
          </cell>
        </row>
        <row r="3263">
          <cell r="J3263" t="str">
            <v/>
          </cell>
          <cell r="K3263">
            <v>0</v>
          </cell>
        </row>
        <row r="3264">
          <cell r="J3264" t="str">
            <v/>
          </cell>
          <cell r="K3264">
            <v>0</v>
          </cell>
        </row>
        <row r="3265">
          <cell r="J3265" t="str">
            <v/>
          </cell>
          <cell r="K3265">
            <v>0</v>
          </cell>
        </row>
        <row r="3266">
          <cell r="J3266" t="str">
            <v/>
          </cell>
          <cell r="K3266">
            <v>0</v>
          </cell>
        </row>
        <row r="3267">
          <cell r="J3267" t="str">
            <v/>
          </cell>
          <cell r="K3267">
            <v>0</v>
          </cell>
        </row>
        <row r="3268">
          <cell r="J3268" t="str">
            <v/>
          </cell>
          <cell r="K3268">
            <v>0</v>
          </cell>
        </row>
        <row r="3269">
          <cell r="J3269" t="str">
            <v/>
          </cell>
          <cell r="K3269">
            <v>0</v>
          </cell>
        </row>
        <row r="3270">
          <cell r="J3270" t="str">
            <v/>
          </cell>
          <cell r="K3270">
            <v>0</v>
          </cell>
        </row>
        <row r="3271">
          <cell r="J3271" t="str">
            <v/>
          </cell>
          <cell r="K3271">
            <v>0</v>
          </cell>
        </row>
        <row r="3272">
          <cell r="J3272" t="str">
            <v/>
          </cell>
          <cell r="K3272">
            <v>0</v>
          </cell>
        </row>
        <row r="3273">
          <cell r="J3273" t="str">
            <v/>
          </cell>
          <cell r="K3273">
            <v>0</v>
          </cell>
        </row>
        <row r="3274">
          <cell r="J3274" t="str">
            <v/>
          </cell>
          <cell r="K3274">
            <v>0</v>
          </cell>
        </row>
        <row r="3275">
          <cell r="J3275" t="str">
            <v/>
          </cell>
          <cell r="K3275">
            <v>0</v>
          </cell>
        </row>
        <row r="3276">
          <cell r="J3276" t="str">
            <v/>
          </cell>
          <cell r="K3276">
            <v>0</v>
          </cell>
        </row>
        <row r="3277">
          <cell r="J3277" t="str">
            <v/>
          </cell>
          <cell r="K3277">
            <v>0</v>
          </cell>
        </row>
        <row r="3278">
          <cell r="J3278" t="str">
            <v/>
          </cell>
          <cell r="K3278">
            <v>0</v>
          </cell>
        </row>
        <row r="3279">
          <cell r="J3279" t="str">
            <v/>
          </cell>
          <cell r="K3279">
            <v>0</v>
          </cell>
        </row>
        <row r="3280">
          <cell r="J3280" t="str">
            <v/>
          </cell>
          <cell r="K3280">
            <v>0</v>
          </cell>
        </row>
        <row r="3281">
          <cell r="J3281" t="str">
            <v/>
          </cell>
          <cell r="K3281">
            <v>0</v>
          </cell>
        </row>
        <row r="3282">
          <cell r="J3282" t="str">
            <v/>
          </cell>
          <cell r="K3282">
            <v>0</v>
          </cell>
        </row>
        <row r="3283">
          <cell r="J3283" t="str">
            <v/>
          </cell>
          <cell r="K3283">
            <v>0</v>
          </cell>
        </row>
        <row r="3284">
          <cell r="J3284" t="str">
            <v/>
          </cell>
          <cell r="K3284">
            <v>0</v>
          </cell>
        </row>
        <row r="3285">
          <cell r="J3285" t="str">
            <v/>
          </cell>
          <cell r="K3285">
            <v>0</v>
          </cell>
        </row>
        <row r="3286">
          <cell r="J3286" t="str">
            <v/>
          </cell>
          <cell r="K3286">
            <v>0</v>
          </cell>
        </row>
        <row r="3287">
          <cell r="J3287" t="str">
            <v/>
          </cell>
          <cell r="K3287">
            <v>0</v>
          </cell>
        </row>
        <row r="3288">
          <cell r="J3288" t="str">
            <v/>
          </cell>
          <cell r="K3288">
            <v>0</v>
          </cell>
        </row>
        <row r="3289">
          <cell r="J3289" t="str">
            <v/>
          </cell>
          <cell r="K3289">
            <v>0</v>
          </cell>
        </row>
        <row r="3290">
          <cell r="J3290" t="str">
            <v/>
          </cell>
          <cell r="K3290">
            <v>0</v>
          </cell>
        </row>
        <row r="3291">
          <cell r="J3291" t="str">
            <v/>
          </cell>
          <cell r="K3291">
            <v>0</v>
          </cell>
        </row>
        <row r="3292">
          <cell r="J3292" t="str">
            <v/>
          </cell>
          <cell r="K3292">
            <v>0</v>
          </cell>
        </row>
        <row r="3293">
          <cell r="J3293" t="str">
            <v/>
          </cell>
          <cell r="K3293">
            <v>0</v>
          </cell>
        </row>
        <row r="3294">
          <cell r="J3294" t="str">
            <v/>
          </cell>
          <cell r="K3294">
            <v>0</v>
          </cell>
        </row>
        <row r="3295">
          <cell r="J3295" t="str">
            <v/>
          </cell>
          <cell r="K3295">
            <v>0</v>
          </cell>
        </row>
        <row r="3296">
          <cell r="J3296" t="str">
            <v/>
          </cell>
          <cell r="K3296">
            <v>0</v>
          </cell>
        </row>
        <row r="3297">
          <cell r="J3297" t="str">
            <v/>
          </cell>
          <cell r="K3297">
            <v>0</v>
          </cell>
        </row>
        <row r="3298">
          <cell r="J3298" t="str">
            <v/>
          </cell>
          <cell r="K3298">
            <v>0</v>
          </cell>
        </row>
        <row r="3299">
          <cell r="J3299" t="str">
            <v/>
          </cell>
          <cell r="K3299">
            <v>0</v>
          </cell>
        </row>
        <row r="3300">
          <cell r="J3300" t="str">
            <v/>
          </cell>
          <cell r="K3300">
            <v>0</v>
          </cell>
        </row>
        <row r="3301">
          <cell r="J3301" t="str">
            <v/>
          </cell>
          <cell r="K3301">
            <v>0</v>
          </cell>
        </row>
        <row r="3302">
          <cell r="J3302" t="str">
            <v/>
          </cell>
          <cell r="K3302">
            <v>0</v>
          </cell>
        </row>
        <row r="3303">
          <cell r="J3303" t="str">
            <v/>
          </cell>
          <cell r="K3303">
            <v>0</v>
          </cell>
        </row>
        <row r="3304">
          <cell r="J3304" t="str">
            <v/>
          </cell>
          <cell r="K3304">
            <v>0</v>
          </cell>
        </row>
        <row r="3305">
          <cell r="J3305" t="str">
            <v/>
          </cell>
          <cell r="K3305">
            <v>0</v>
          </cell>
        </row>
        <row r="3306">
          <cell r="J3306" t="str">
            <v/>
          </cell>
          <cell r="K3306">
            <v>0</v>
          </cell>
        </row>
        <row r="3307">
          <cell r="J3307" t="str">
            <v/>
          </cell>
          <cell r="K3307">
            <v>0</v>
          </cell>
        </row>
        <row r="3308">
          <cell r="J3308" t="str">
            <v/>
          </cell>
          <cell r="K3308">
            <v>0</v>
          </cell>
        </row>
        <row r="3309">
          <cell r="J3309" t="str">
            <v/>
          </cell>
          <cell r="K3309">
            <v>0</v>
          </cell>
        </row>
        <row r="3310">
          <cell r="J3310" t="str">
            <v/>
          </cell>
          <cell r="K3310">
            <v>0</v>
          </cell>
        </row>
        <row r="3311">
          <cell r="J3311" t="str">
            <v/>
          </cell>
          <cell r="K3311">
            <v>0</v>
          </cell>
        </row>
        <row r="3312">
          <cell r="J3312" t="str">
            <v/>
          </cell>
          <cell r="K3312">
            <v>0</v>
          </cell>
        </row>
        <row r="3313">
          <cell r="J3313" t="str">
            <v/>
          </cell>
          <cell r="K3313">
            <v>0</v>
          </cell>
        </row>
        <row r="3314">
          <cell r="J3314" t="str">
            <v/>
          </cell>
          <cell r="K3314">
            <v>0</v>
          </cell>
        </row>
        <row r="3315">
          <cell r="J3315" t="str">
            <v/>
          </cell>
          <cell r="K3315">
            <v>0</v>
          </cell>
        </row>
        <row r="3316">
          <cell r="J3316" t="str">
            <v/>
          </cell>
          <cell r="K3316">
            <v>0</v>
          </cell>
        </row>
        <row r="3317">
          <cell r="J3317" t="str">
            <v/>
          </cell>
          <cell r="K3317">
            <v>0</v>
          </cell>
        </row>
        <row r="3318">
          <cell r="J3318" t="str">
            <v/>
          </cell>
          <cell r="K3318">
            <v>0</v>
          </cell>
        </row>
        <row r="3319">
          <cell r="J3319" t="str">
            <v/>
          </cell>
          <cell r="K3319">
            <v>0</v>
          </cell>
        </row>
        <row r="3320">
          <cell r="J3320" t="str">
            <v/>
          </cell>
          <cell r="K3320">
            <v>0</v>
          </cell>
        </row>
        <row r="3321">
          <cell r="J3321" t="str">
            <v/>
          </cell>
          <cell r="K3321">
            <v>0</v>
          </cell>
        </row>
        <row r="3322">
          <cell r="J3322" t="str">
            <v/>
          </cell>
          <cell r="K3322">
            <v>0</v>
          </cell>
        </row>
        <row r="3323">
          <cell r="J3323" t="str">
            <v/>
          </cell>
          <cell r="K3323">
            <v>0</v>
          </cell>
        </row>
        <row r="3324">
          <cell r="J3324" t="str">
            <v/>
          </cell>
          <cell r="K3324">
            <v>0</v>
          </cell>
        </row>
        <row r="3325">
          <cell r="J3325" t="str">
            <v/>
          </cell>
          <cell r="K3325">
            <v>0</v>
          </cell>
        </row>
        <row r="3326">
          <cell r="J3326" t="str">
            <v/>
          </cell>
          <cell r="K3326">
            <v>0</v>
          </cell>
        </row>
        <row r="3327">
          <cell r="J3327" t="str">
            <v/>
          </cell>
          <cell r="K3327">
            <v>0</v>
          </cell>
        </row>
        <row r="3328">
          <cell r="J3328" t="str">
            <v/>
          </cell>
          <cell r="K3328">
            <v>0</v>
          </cell>
        </row>
        <row r="3329">
          <cell r="J3329" t="str">
            <v/>
          </cell>
          <cell r="K3329">
            <v>0</v>
          </cell>
        </row>
        <row r="3330">
          <cell r="J3330" t="str">
            <v/>
          </cell>
          <cell r="K3330">
            <v>0</v>
          </cell>
        </row>
        <row r="3331">
          <cell r="J3331" t="str">
            <v/>
          </cell>
          <cell r="K3331">
            <v>0</v>
          </cell>
        </row>
        <row r="3332">
          <cell r="J3332" t="str">
            <v/>
          </cell>
          <cell r="K3332">
            <v>0</v>
          </cell>
        </row>
        <row r="3333">
          <cell r="J3333" t="str">
            <v/>
          </cell>
          <cell r="K3333">
            <v>0</v>
          </cell>
        </row>
        <row r="3334">
          <cell r="J3334" t="str">
            <v/>
          </cell>
          <cell r="K3334">
            <v>0</v>
          </cell>
        </row>
        <row r="3335">
          <cell r="J3335" t="str">
            <v/>
          </cell>
          <cell r="K3335">
            <v>0</v>
          </cell>
        </row>
        <row r="3336">
          <cell r="J3336" t="str">
            <v/>
          </cell>
          <cell r="K3336">
            <v>0</v>
          </cell>
        </row>
        <row r="3337">
          <cell r="J3337" t="str">
            <v/>
          </cell>
          <cell r="K3337">
            <v>0</v>
          </cell>
        </row>
        <row r="3338">
          <cell r="J3338" t="str">
            <v/>
          </cell>
          <cell r="K3338">
            <v>0</v>
          </cell>
        </row>
        <row r="3339">
          <cell r="J3339" t="str">
            <v/>
          </cell>
          <cell r="K3339">
            <v>0</v>
          </cell>
        </row>
        <row r="3340">
          <cell r="J3340" t="str">
            <v/>
          </cell>
          <cell r="K3340">
            <v>0</v>
          </cell>
        </row>
        <row r="3341">
          <cell r="J3341" t="str">
            <v/>
          </cell>
          <cell r="K3341">
            <v>0</v>
          </cell>
        </row>
        <row r="3342">
          <cell r="J3342" t="str">
            <v/>
          </cell>
          <cell r="K3342">
            <v>0</v>
          </cell>
        </row>
        <row r="3343">
          <cell r="J3343" t="str">
            <v/>
          </cell>
          <cell r="K3343">
            <v>0</v>
          </cell>
        </row>
        <row r="3344">
          <cell r="J3344" t="str">
            <v/>
          </cell>
          <cell r="K3344">
            <v>0</v>
          </cell>
        </row>
        <row r="3345">
          <cell r="J3345" t="str">
            <v/>
          </cell>
          <cell r="K3345">
            <v>0</v>
          </cell>
        </row>
        <row r="3346">
          <cell r="J3346" t="str">
            <v/>
          </cell>
          <cell r="K3346">
            <v>0</v>
          </cell>
        </row>
        <row r="3347">
          <cell r="J3347" t="str">
            <v/>
          </cell>
          <cell r="K3347">
            <v>0</v>
          </cell>
        </row>
        <row r="3348">
          <cell r="J3348" t="str">
            <v/>
          </cell>
          <cell r="K3348">
            <v>0</v>
          </cell>
        </row>
        <row r="3349">
          <cell r="J3349" t="str">
            <v/>
          </cell>
          <cell r="K3349">
            <v>0</v>
          </cell>
        </row>
        <row r="3350">
          <cell r="J3350" t="str">
            <v/>
          </cell>
          <cell r="K3350">
            <v>0</v>
          </cell>
        </row>
        <row r="3351">
          <cell r="J3351" t="str">
            <v/>
          </cell>
          <cell r="K3351">
            <v>0</v>
          </cell>
        </row>
        <row r="3352">
          <cell r="J3352" t="str">
            <v/>
          </cell>
          <cell r="K3352">
            <v>0</v>
          </cell>
        </row>
        <row r="3353">
          <cell r="J3353" t="str">
            <v/>
          </cell>
          <cell r="K3353">
            <v>0</v>
          </cell>
        </row>
        <row r="3354">
          <cell r="J3354" t="str">
            <v/>
          </cell>
          <cell r="K3354">
            <v>0</v>
          </cell>
        </row>
        <row r="3355">
          <cell r="J3355" t="str">
            <v/>
          </cell>
          <cell r="K3355">
            <v>0</v>
          </cell>
        </row>
        <row r="3356">
          <cell r="J3356" t="str">
            <v/>
          </cell>
          <cell r="K3356">
            <v>0</v>
          </cell>
        </row>
        <row r="3357">
          <cell r="J3357" t="str">
            <v/>
          </cell>
          <cell r="K3357">
            <v>0</v>
          </cell>
        </row>
        <row r="3358">
          <cell r="J3358" t="str">
            <v/>
          </cell>
          <cell r="K3358">
            <v>0</v>
          </cell>
        </row>
        <row r="3359">
          <cell r="J3359" t="str">
            <v/>
          </cell>
          <cell r="K3359">
            <v>0</v>
          </cell>
        </row>
        <row r="3360">
          <cell r="J3360" t="str">
            <v/>
          </cell>
          <cell r="K3360">
            <v>0</v>
          </cell>
        </row>
        <row r="3361">
          <cell r="J3361" t="str">
            <v/>
          </cell>
          <cell r="K3361">
            <v>0</v>
          </cell>
        </row>
        <row r="3362">
          <cell r="J3362" t="str">
            <v/>
          </cell>
          <cell r="K3362">
            <v>0</v>
          </cell>
        </row>
        <row r="3363">
          <cell r="J3363" t="str">
            <v/>
          </cell>
          <cell r="K3363">
            <v>0</v>
          </cell>
        </row>
        <row r="3364">
          <cell r="J3364" t="str">
            <v/>
          </cell>
          <cell r="K3364">
            <v>0</v>
          </cell>
        </row>
        <row r="3365">
          <cell r="J3365" t="str">
            <v/>
          </cell>
          <cell r="K3365">
            <v>0</v>
          </cell>
        </row>
        <row r="3366">
          <cell r="J3366" t="str">
            <v/>
          </cell>
          <cell r="K3366">
            <v>0</v>
          </cell>
        </row>
        <row r="3367">
          <cell r="J3367" t="str">
            <v/>
          </cell>
          <cell r="K3367">
            <v>0</v>
          </cell>
        </row>
        <row r="3368">
          <cell r="J3368" t="str">
            <v/>
          </cell>
          <cell r="K3368">
            <v>0</v>
          </cell>
        </row>
        <row r="3369">
          <cell r="J3369" t="str">
            <v/>
          </cell>
          <cell r="K3369">
            <v>0</v>
          </cell>
        </row>
        <row r="3370">
          <cell r="J3370" t="str">
            <v/>
          </cell>
          <cell r="K3370">
            <v>0</v>
          </cell>
        </row>
        <row r="3371">
          <cell r="J3371" t="str">
            <v/>
          </cell>
          <cell r="K3371">
            <v>0</v>
          </cell>
        </row>
        <row r="3372">
          <cell r="J3372" t="str">
            <v/>
          </cell>
          <cell r="K3372">
            <v>0</v>
          </cell>
        </row>
        <row r="3373">
          <cell r="J3373" t="str">
            <v/>
          </cell>
          <cell r="K3373">
            <v>0</v>
          </cell>
        </row>
        <row r="3374">
          <cell r="J3374" t="str">
            <v/>
          </cell>
          <cell r="K3374">
            <v>0</v>
          </cell>
        </row>
        <row r="3375">
          <cell r="J3375" t="str">
            <v/>
          </cell>
          <cell r="K3375">
            <v>0</v>
          </cell>
        </row>
        <row r="3376">
          <cell r="J3376" t="str">
            <v/>
          </cell>
          <cell r="K3376">
            <v>0</v>
          </cell>
        </row>
        <row r="3377">
          <cell r="J3377" t="str">
            <v/>
          </cell>
          <cell r="K3377">
            <v>0</v>
          </cell>
        </row>
        <row r="3378">
          <cell r="J3378" t="str">
            <v/>
          </cell>
          <cell r="K3378">
            <v>0</v>
          </cell>
        </row>
        <row r="3379">
          <cell r="J3379" t="str">
            <v/>
          </cell>
          <cell r="K3379">
            <v>0</v>
          </cell>
        </row>
        <row r="3380">
          <cell r="J3380" t="str">
            <v/>
          </cell>
          <cell r="K3380">
            <v>0</v>
          </cell>
        </row>
        <row r="3381">
          <cell r="J3381" t="str">
            <v/>
          </cell>
          <cell r="K3381">
            <v>0</v>
          </cell>
        </row>
        <row r="3382">
          <cell r="J3382" t="str">
            <v/>
          </cell>
          <cell r="K3382">
            <v>0</v>
          </cell>
        </row>
        <row r="3383">
          <cell r="J3383" t="str">
            <v/>
          </cell>
          <cell r="K3383">
            <v>0</v>
          </cell>
        </row>
        <row r="3384">
          <cell r="J3384" t="str">
            <v/>
          </cell>
          <cell r="K3384">
            <v>0</v>
          </cell>
        </row>
        <row r="3385">
          <cell r="J3385" t="str">
            <v/>
          </cell>
          <cell r="K3385">
            <v>0</v>
          </cell>
        </row>
        <row r="3386">
          <cell r="J3386" t="str">
            <v/>
          </cell>
          <cell r="K3386">
            <v>0</v>
          </cell>
        </row>
        <row r="3387">
          <cell r="J3387" t="str">
            <v/>
          </cell>
          <cell r="K3387">
            <v>0</v>
          </cell>
        </row>
        <row r="3388">
          <cell r="J3388" t="str">
            <v/>
          </cell>
          <cell r="K3388">
            <v>0</v>
          </cell>
        </row>
        <row r="3389">
          <cell r="J3389" t="str">
            <v/>
          </cell>
          <cell r="K3389">
            <v>0</v>
          </cell>
        </row>
        <row r="3390">
          <cell r="J3390" t="str">
            <v/>
          </cell>
          <cell r="K3390">
            <v>0</v>
          </cell>
        </row>
        <row r="3391">
          <cell r="J3391" t="str">
            <v/>
          </cell>
          <cell r="K3391">
            <v>0</v>
          </cell>
        </row>
        <row r="3392">
          <cell r="J3392" t="str">
            <v/>
          </cell>
          <cell r="K3392">
            <v>0</v>
          </cell>
        </row>
        <row r="3393">
          <cell r="J3393" t="str">
            <v/>
          </cell>
          <cell r="K3393">
            <v>0</v>
          </cell>
        </row>
        <row r="3394">
          <cell r="J3394" t="str">
            <v/>
          </cell>
          <cell r="K3394">
            <v>0</v>
          </cell>
        </row>
        <row r="3395">
          <cell r="J3395" t="str">
            <v/>
          </cell>
          <cell r="K3395">
            <v>0</v>
          </cell>
        </row>
        <row r="3396">
          <cell r="J3396" t="str">
            <v/>
          </cell>
          <cell r="K3396">
            <v>0</v>
          </cell>
        </row>
        <row r="3397">
          <cell r="J3397" t="str">
            <v/>
          </cell>
          <cell r="K3397">
            <v>0</v>
          </cell>
        </row>
        <row r="3398">
          <cell r="J3398" t="str">
            <v/>
          </cell>
          <cell r="K3398">
            <v>0</v>
          </cell>
        </row>
        <row r="3399">
          <cell r="J3399" t="str">
            <v/>
          </cell>
          <cell r="K3399">
            <v>0</v>
          </cell>
        </row>
        <row r="3400">
          <cell r="J3400" t="str">
            <v/>
          </cell>
          <cell r="K3400">
            <v>0</v>
          </cell>
        </row>
        <row r="3401">
          <cell r="J3401" t="str">
            <v/>
          </cell>
          <cell r="K3401">
            <v>0</v>
          </cell>
        </row>
        <row r="3402">
          <cell r="J3402" t="str">
            <v/>
          </cell>
          <cell r="K3402">
            <v>0</v>
          </cell>
        </row>
        <row r="3403">
          <cell r="J3403" t="str">
            <v/>
          </cell>
          <cell r="K3403">
            <v>0</v>
          </cell>
        </row>
        <row r="3404">
          <cell r="J3404" t="str">
            <v/>
          </cell>
          <cell r="K3404">
            <v>0</v>
          </cell>
        </row>
        <row r="3405">
          <cell r="J3405" t="str">
            <v/>
          </cell>
          <cell r="K3405">
            <v>0</v>
          </cell>
        </row>
        <row r="3406">
          <cell r="J3406" t="str">
            <v/>
          </cell>
          <cell r="K3406">
            <v>0</v>
          </cell>
        </row>
        <row r="3407">
          <cell r="J3407" t="str">
            <v/>
          </cell>
          <cell r="K3407">
            <v>0</v>
          </cell>
        </row>
        <row r="3408">
          <cell r="J3408" t="str">
            <v/>
          </cell>
          <cell r="K3408">
            <v>0</v>
          </cell>
        </row>
        <row r="3409">
          <cell r="J3409" t="str">
            <v/>
          </cell>
          <cell r="K3409">
            <v>0</v>
          </cell>
        </row>
        <row r="3410">
          <cell r="J3410" t="str">
            <v/>
          </cell>
          <cell r="K3410">
            <v>0</v>
          </cell>
        </row>
        <row r="3411">
          <cell r="J3411" t="str">
            <v/>
          </cell>
          <cell r="K3411">
            <v>0</v>
          </cell>
        </row>
        <row r="3412">
          <cell r="J3412" t="str">
            <v/>
          </cell>
          <cell r="K3412">
            <v>0</v>
          </cell>
        </row>
        <row r="3413">
          <cell r="J3413" t="str">
            <v/>
          </cell>
          <cell r="K3413">
            <v>0</v>
          </cell>
        </row>
        <row r="3414">
          <cell r="J3414" t="str">
            <v/>
          </cell>
          <cell r="K3414">
            <v>0</v>
          </cell>
        </row>
        <row r="3415">
          <cell r="J3415" t="str">
            <v/>
          </cell>
          <cell r="K3415">
            <v>0</v>
          </cell>
        </row>
        <row r="3416">
          <cell r="J3416" t="str">
            <v/>
          </cell>
          <cell r="K3416">
            <v>0</v>
          </cell>
        </row>
        <row r="3417">
          <cell r="J3417" t="str">
            <v/>
          </cell>
          <cell r="K3417">
            <v>0</v>
          </cell>
        </row>
        <row r="3418">
          <cell r="J3418" t="str">
            <v/>
          </cell>
          <cell r="K3418">
            <v>0</v>
          </cell>
        </row>
        <row r="3419">
          <cell r="J3419" t="str">
            <v/>
          </cell>
          <cell r="K3419">
            <v>0</v>
          </cell>
        </row>
        <row r="3420">
          <cell r="J3420" t="str">
            <v/>
          </cell>
          <cell r="K3420">
            <v>0</v>
          </cell>
        </row>
        <row r="3421">
          <cell r="J3421" t="str">
            <v/>
          </cell>
          <cell r="K3421">
            <v>0</v>
          </cell>
        </row>
        <row r="3422">
          <cell r="J3422" t="str">
            <v/>
          </cell>
          <cell r="K3422">
            <v>0</v>
          </cell>
        </row>
        <row r="3423">
          <cell r="J3423" t="str">
            <v/>
          </cell>
          <cell r="K3423">
            <v>0</v>
          </cell>
        </row>
        <row r="3424">
          <cell r="J3424" t="str">
            <v/>
          </cell>
          <cell r="K3424">
            <v>0</v>
          </cell>
        </row>
        <row r="3425">
          <cell r="J3425" t="str">
            <v/>
          </cell>
          <cell r="K3425">
            <v>0</v>
          </cell>
        </row>
        <row r="3426">
          <cell r="J3426" t="str">
            <v/>
          </cell>
          <cell r="K3426">
            <v>0</v>
          </cell>
        </row>
        <row r="3427">
          <cell r="J3427" t="str">
            <v/>
          </cell>
          <cell r="K3427">
            <v>0</v>
          </cell>
        </row>
        <row r="3428">
          <cell r="J3428" t="str">
            <v/>
          </cell>
          <cell r="K3428">
            <v>0</v>
          </cell>
        </row>
        <row r="3429">
          <cell r="J3429" t="str">
            <v/>
          </cell>
          <cell r="K3429">
            <v>0</v>
          </cell>
        </row>
        <row r="3430">
          <cell r="J3430" t="str">
            <v/>
          </cell>
          <cell r="K3430">
            <v>0</v>
          </cell>
        </row>
        <row r="3431">
          <cell r="J3431" t="str">
            <v/>
          </cell>
          <cell r="K3431">
            <v>0</v>
          </cell>
        </row>
        <row r="3432">
          <cell r="J3432" t="str">
            <v/>
          </cell>
          <cell r="K3432">
            <v>0</v>
          </cell>
        </row>
        <row r="3433">
          <cell r="J3433" t="str">
            <v/>
          </cell>
          <cell r="K3433">
            <v>0</v>
          </cell>
        </row>
        <row r="3434">
          <cell r="J3434" t="str">
            <v/>
          </cell>
          <cell r="K3434">
            <v>0</v>
          </cell>
        </row>
        <row r="3435">
          <cell r="J3435" t="str">
            <v/>
          </cell>
          <cell r="K3435">
            <v>0</v>
          </cell>
        </row>
        <row r="3436">
          <cell r="J3436" t="str">
            <v/>
          </cell>
          <cell r="K3436">
            <v>0</v>
          </cell>
        </row>
        <row r="3437">
          <cell r="J3437" t="str">
            <v/>
          </cell>
          <cell r="K3437">
            <v>0</v>
          </cell>
        </row>
        <row r="3438">
          <cell r="J3438" t="str">
            <v/>
          </cell>
          <cell r="K3438">
            <v>0</v>
          </cell>
        </row>
        <row r="3439">
          <cell r="J3439" t="str">
            <v/>
          </cell>
          <cell r="K3439">
            <v>0</v>
          </cell>
        </row>
        <row r="3440">
          <cell r="J3440" t="str">
            <v/>
          </cell>
          <cell r="K3440">
            <v>0</v>
          </cell>
        </row>
        <row r="3441">
          <cell r="J3441" t="str">
            <v/>
          </cell>
          <cell r="K3441">
            <v>0</v>
          </cell>
        </row>
        <row r="3442">
          <cell r="J3442" t="str">
            <v/>
          </cell>
          <cell r="K3442">
            <v>0</v>
          </cell>
        </row>
        <row r="3443">
          <cell r="J3443" t="str">
            <v/>
          </cell>
          <cell r="K3443">
            <v>0</v>
          </cell>
        </row>
        <row r="3444">
          <cell r="J3444" t="str">
            <v/>
          </cell>
          <cell r="K3444">
            <v>0</v>
          </cell>
        </row>
        <row r="3445">
          <cell r="J3445" t="str">
            <v/>
          </cell>
          <cell r="K3445">
            <v>0</v>
          </cell>
        </row>
        <row r="3446">
          <cell r="J3446" t="str">
            <v/>
          </cell>
          <cell r="K3446">
            <v>0</v>
          </cell>
        </row>
        <row r="3447">
          <cell r="J3447" t="str">
            <v/>
          </cell>
          <cell r="K3447">
            <v>0</v>
          </cell>
        </row>
        <row r="3448">
          <cell r="J3448" t="str">
            <v/>
          </cell>
          <cell r="K3448">
            <v>0</v>
          </cell>
        </row>
        <row r="3449">
          <cell r="J3449" t="str">
            <v/>
          </cell>
          <cell r="K3449">
            <v>0</v>
          </cell>
        </row>
        <row r="3450">
          <cell r="J3450" t="str">
            <v/>
          </cell>
          <cell r="K3450">
            <v>0</v>
          </cell>
        </row>
        <row r="3451">
          <cell r="J3451" t="str">
            <v/>
          </cell>
          <cell r="K3451">
            <v>0</v>
          </cell>
        </row>
        <row r="3452">
          <cell r="J3452" t="str">
            <v/>
          </cell>
          <cell r="K3452">
            <v>0</v>
          </cell>
        </row>
        <row r="3453">
          <cell r="J3453" t="str">
            <v/>
          </cell>
          <cell r="K3453">
            <v>0</v>
          </cell>
        </row>
        <row r="3454">
          <cell r="J3454" t="str">
            <v/>
          </cell>
          <cell r="K3454">
            <v>0</v>
          </cell>
        </row>
        <row r="3455">
          <cell r="J3455" t="str">
            <v/>
          </cell>
          <cell r="K3455">
            <v>0</v>
          </cell>
        </row>
        <row r="3456">
          <cell r="J3456" t="str">
            <v/>
          </cell>
          <cell r="K3456">
            <v>0</v>
          </cell>
        </row>
        <row r="3457">
          <cell r="J3457" t="str">
            <v/>
          </cell>
          <cell r="K3457">
            <v>0</v>
          </cell>
        </row>
        <row r="3458">
          <cell r="J3458" t="str">
            <v/>
          </cell>
          <cell r="K3458">
            <v>0</v>
          </cell>
        </row>
        <row r="3459">
          <cell r="J3459" t="str">
            <v/>
          </cell>
          <cell r="K3459">
            <v>0</v>
          </cell>
        </row>
        <row r="3460">
          <cell r="J3460" t="str">
            <v/>
          </cell>
          <cell r="K3460">
            <v>0</v>
          </cell>
        </row>
        <row r="3461">
          <cell r="J3461" t="str">
            <v/>
          </cell>
          <cell r="K3461">
            <v>0</v>
          </cell>
        </row>
        <row r="3462">
          <cell r="J3462" t="str">
            <v/>
          </cell>
          <cell r="K3462">
            <v>0</v>
          </cell>
        </row>
        <row r="3463">
          <cell r="J3463" t="str">
            <v/>
          </cell>
          <cell r="K3463">
            <v>0</v>
          </cell>
        </row>
        <row r="3464">
          <cell r="J3464" t="str">
            <v/>
          </cell>
          <cell r="K3464">
            <v>0</v>
          </cell>
        </row>
        <row r="3465">
          <cell r="J3465" t="str">
            <v/>
          </cell>
          <cell r="K3465">
            <v>0</v>
          </cell>
        </row>
        <row r="3466">
          <cell r="J3466" t="str">
            <v/>
          </cell>
          <cell r="K3466">
            <v>0</v>
          </cell>
        </row>
        <row r="3467">
          <cell r="J3467" t="str">
            <v/>
          </cell>
          <cell r="K3467">
            <v>0</v>
          </cell>
        </row>
        <row r="3468">
          <cell r="J3468" t="str">
            <v/>
          </cell>
          <cell r="K3468">
            <v>0</v>
          </cell>
        </row>
        <row r="3469">
          <cell r="J3469" t="str">
            <v/>
          </cell>
          <cell r="K3469">
            <v>0</v>
          </cell>
        </row>
        <row r="3470">
          <cell r="J3470" t="str">
            <v/>
          </cell>
          <cell r="K3470">
            <v>0</v>
          </cell>
        </row>
        <row r="3471">
          <cell r="J3471" t="str">
            <v/>
          </cell>
          <cell r="K3471">
            <v>0</v>
          </cell>
        </row>
        <row r="3472">
          <cell r="J3472" t="str">
            <v/>
          </cell>
          <cell r="K3472">
            <v>0</v>
          </cell>
        </row>
        <row r="3473">
          <cell r="J3473" t="str">
            <v/>
          </cell>
          <cell r="K3473">
            <v>0</v>
          </cell>
        </row>
        <row r="3474">
          <cell r="J3474" t="str">
            <v/>
          </cell>
          <cell r="K3474">
            <v>0</v>
          </cell>
        </row>
        <row r="3475">
          <cell r="J3475" t="str">
            <v/>
          </cell>
          <cell r="K3475">
            <v>0</v>
          </cell>
        </row>
        <row r="3476">
          <cell r="J3476" t="str">
            <v/>
          </cell>
          <cell r="K3476">
            <v>0</v>
          </cell>
        </row>
        <row r="3477">
          <cell r="J3477" t="str">
            <v/>
          </cell>
          <cell r="K3477">
            <v>0</v>
          </cell>
        </row>
        <row r="3478">
          <cell r="J3478" t="str">
            <v/>
          </cell>
          <cell r="K3478">
            <v>0</v>
          </cell>
        </row>
        <row r="3479">
          <cell r="J3479" t="str">
            <v/>
          </cell>
          <cell r="K3479">
            <v>0</v>
          </cell>
        </row>
        <row r="3480">
          <cell r="J3480" t="str">
            <v/>
          </cell>
          <cell r="K3480">
            <v>0</v>
          </cell>
        </row>
        <row r="3481">
          <cell r="J3481" t="str">
            <v/>
          </cell>
          <cell r="K3481">
            <v>0</v>
          </cell>
        </row>
        <row r="3482">
          <cell r="J3482" t="str">
            <v/>
          </cell>
          <cell r="K3482">
            <v>0</v>
          </cell>
        </row>
        <row r="3483">
          <cell r="J3483" t="str">
            <v/>
          </cell>
          <cell r="K3483">
            <v>0</v>
          </cell>
        </row>
        <row r="3484">
          <cell r="J3484" t="str">
            <v/>
          </cell>
          <cell r="K3484">
            <v>0</v>
          </cell>
        </row>
        <row r="3485">
          <cell r="J3485" t="str">
            <v/>
          </cell>
          <cell r="K3485">
            <v>0</v>
          </cell>
        </row>
        <row r="3486">
          <cell r="J3486" t="str">
            <v/>
          </cell>
          <cell r="K3486">
            <v>0</v>
          </cell>
        </row>
        <row r="3487">
          <cell r="J3487" t="str">
            <v/>
          </cell>
          <cell r="K3487">
            <v>0</v>
          </cell>
        </row>
        <row r="3488">
          <cell r="J3488" t="str">
            <v/>
          </cell>
          <cell r="K3488">
            <v>0</v>
          </cell>
        </row>
        <row r="3489">
          <cell r="J3489" t="str">
            <v/>
          </cell>
          <cell r="K3489">
            <v>0</v>
          </cell>
        </row>
        <row r="3490">
          <cell r="J3490" t="str">
            <v/>
          </cell>
          <cell r="K3490">
            <v>0</v>
          </cell>
        </row>
        <row r="3491">
          <cell r="J3491" t="str">
            <v/>
          </cell>
          <cell r="K3491">
            <v>0</v>
          </cell>
        </row>
        <row r="3492">
          <cell r="J3492" t="str">
            <v/>
          </cell>
          <cell r="K3492">
            <v>0</v>
          </cell>
        </row>
        <row r="3493">
          <cell r="J3493" t="str">
            <v/>
          </cell>
          <cell r="K3493">
            <v>0</v>
          </cell>
        </row>
        <row r="3494">
          <cell r="J3494" t="str">
            <v/>
          </cell>
          <cell r="K3494">
            <v>0</v>
          </cell>
        </row>
        <row r="3495">
          <cell r="J3495" t="str">
            <v/>
          </cell>
          <cell r="K3495">
            <v>0</v>
          </cell>
        </row>
        <row r="3496">
          <cell r="J3496" t="str">
            <v/>
          </cell>
          <cell r="K3496">
            <v>0</v>
          </cell>
        </row>
        <row r="3497">
          <cell r="J3497" t="str">
            <v/>
          </cell>
          <cell r="K3497">
            <v>0</v>
          </cell>
        </row>
        <row r="3498">
          <cell r="J3498" t="str">
            <v/>
          </cell>
          <cell r="K3498">
            <v>0</v>
          </cell>
        </row>
        <row r="3499">
          <cell r="J3499" t="str">
            <v/>
          </cell>
          <cell r="K3499">
            <v>0</v>
          </cell>
        </row>
        <row r="3500">
          <cell r="J3500" t="str">
            <v/>
          </cell>
          <cell r="K3500">
            <v>0</v>
          </cell>
        </row>
        <row r="3501">
          <cell r="J3501" t="str">
            <v/>
          </cell>
          <cell r="K3501">
            <v>0</v>
          </cell>
        </row>
        <row r="3502">
          <cell r="J3502" t="str">
            <v/>
          </cell>
          <cell r="K3502">
            <v>0</v>
          </cell>
        </row>
        <row r="3503">
          <cell r="J3503" t="str">
            <v/>
          </cell>
          <cell r="K3503">
            <v>0</v>
          </cell>
        </row>
        <row r="3504">
          <cell r="J3504" t="str">
            <v/>
          </cell>
          <cell r="K3504">
            <v>0</v>
          </cell>
        </row>
        <row r="3505">
          <cell r="J3505" t="str">
            <v/>
          </cell>
          <cell r="K3505">
            <v>0</v>
          </cell>
        </row>
        <row r="3506">
          <cell r="J3506" t="str">
            <v/>
          </cell>
          <cell r="K3506">
            <v>0</v>
          </cell>
        </row>
        <row r="3507">
          <cell r="J3507" t="str">
            <v/>
          </cell>
          <cell r="K3507">
            <v>0</v>
          </cell>
        </row>
        <row r="3508">
          <cell r="J3508" t="str">
            <v/>
          </cell>
          <cell r="K3508">
            <v>0</v>
          </cell>
        </row>
        <row r="3509">
          <cell r="J3509" t="str">
            <v/>
          </cell>
          <cell r="K3509">
            <v>0</v>
          </cell>
        </row>
        <row r="3510">
          <cell r="J3510" t="str">
            <v/>
          </cell>
          <cell r="K3510">
            <v>0</v>
          </cell>
        </row>
        <row r="3511">
          <cell r="J3511" t="str">
            <v/>
          </cell>
          <cell r="K3511">
            <v>0</v>
          </cell>
        </row>
        <row r="3512">
          <cell r="J3512" t="str">
            <v/>
          </cell>
          <cell r="K3512">
            <v>0</v>
          </cell>
        </row>
        <row r="3513">
          <cell r="J3513" t="str">
            <v/>
          </cell>
          <cell r="K3513">
            <v>0</v>
          </cell>
        </row>
        <row r="3514">
          <cell r="J3514" t="str">
            <v/>
          </cell>
          <cell r="K3514">
            <v>0</v>
          </cell>
        </row>
        <row r="3515">
          <cell r="J3515" t="str">
            <v/>
          </cell>
          <cell r="K3515">
            <v>0</v>
          </cell>
        </row>
        <row r="3516">
          <cell r="J3516" t="str">
            <v/>
          </cell>
          <cell r="K3516">
            <v>0</v>
          </cell>
        </row>
        <row r="3517">
          <cell r="J3517" t="str">
            <v/>
          </cell>
          <cell r="K3517">
            <v>0</v>
          </cell>
        </row>
        <row r="3518">
          <cell r="J3518" t="str">
            <v/>
          </cell>
          <cell r="K3518">
            <v>0</v>
          </cell>
        </row>
        <row r="3519">
          <cell r="J3519" t="str">
            <v/>
          </cell>
          <cell r="K3519">
            <v>0</v>
          </cell>
        </row>
        <row r="3520">
          <cell r="J3520" t="str">
            <v/>
          </cell>
          <cell r="K3520">
            <v>0</v>
          </cell>
        </row>
        <row r="3521">
          <cell r="J3521" t="str">
            <v/>
          </cell>
          <cell r="K3521">
            <v>0</v>
          </cell>
        </row>
        <row r="3522">
          <cell r="J3522" t="str">
            <v/>
          </cell>
          <cell r="K3522">
            <v>0</v>
          </cell>
        </row>
        <row r="3523">
          <cell r="J3523" t="str">
            <v/>
          </cell>
          <cell r="K3523">
            <v>0</v>
          </cell>
        </row>
        <row r="3524">
          <cell r="J3524" t="str">
            <v/>
          </cell>
          <cell r="K3524">
            <v>0</v>
          </cell>
        </row>
        <row r="3525">
          <cell r="J3525" t="str">
            <v/>
          </cell>
          <cell r="K3525">
            <v>0</v>
          </cell>
        </row>
        <row r="3526">
          <cell r="J3526" t="str">
            <v/>
          </cell>
          <cell r="K3526">
            <v>0</v>
          </cell>
        </row>
        <row r="3527">
          <cell r="J3527" t="str">
            <v/>
          </cell>
          <cell r="K3527">
            <v>0</v>
          </cell>
        </row>
        <row r="3528">
          <cell r="J3528" t="str">
            <v/>
          </cell>
          <cell r="K3528">
            <v>0</v>
          </cell>
        </row>
        <row r="3529">
          <cell r="J3529" t="str">
            <v/>
          </cell>
          <cell r="K3529">
            <v>0</v>
          </cell>
        </row>
        <row r="3530">
          <cell r="J3530" t="str">
            <v/>
          </cell>
          <cell r="K3530">
            <v>0</v>
          </cell>
        </row>
        <row r="3531">
          <cell r="J3531" t="str">
            <v/>
          </cell>
          <cell r="K3531">
            <v>0</v>
          </cell>
        </row>
        <row r="3532">
          <cell r="J3532" t="str">
            <v/>
          </cell>
          <cell r="K3532">
            <v>0</v>
          </cell>
        </row>
        <row r="3533">
          <cell r="J3533" t="str">
            <v/>
          </cell>
          <cell r="K3533">
            <v>0</v>
          </cell>
        </row>
        <row r="3534">
          <cell r="J3534" t="str">
            <v/>
          </cell>
          <cell r="K3534">
            <v>0</v>
          </cell>
        </row>
        <row r="3535">
          <cell r="J3535" t="str">
            <v/>
          </cell>
          <cell r="K3535">
            <v>0</v>
          </cell>
        </row>
        <row r="3536">
          <cell r="J3536" t="str">
            <v/>
          </cell>
          <cell r="K3536">
            <v>0</v>
          </cell>
        </row>
        <row r="3537">
          <cell r="J3537" t="str">
            <v/>
          </cell>
          <cell r="K3537">
            <v>0</v>
          </cell>
        </row>
        <row r="3538">
          <cell r="J3538" t="str">
            <v/>
          </cell>
          <cell r="K3538">
            <v>0</v>
          </cell>
        </row>
        <row r="3539">
          <cell r="J3539" t="str">
            <v/>
          </cell>
          <cell r="K3539">
            <v>0</v>
          </cell>
        </row>
        <row r="3540">
          <cell r="J3540" t="str">
            <v/>
          </cell>
          <cell r="K3540">
            <v>0</v>
          </cell>
        </row>
        <row r="3541">
          <cell r="J3541" t="str">
            <v/>
          </cell>
          <cell r="K3541">
            <v>0</v>
          </cell>
        </row>
        <row r="3542">
          <cell r="J3542" t="str">
            <v/>
          </cell>
          <cell r="K3542">
            <v>0</v>
          </cell>
        </row>
        <row r="3543">
          <cell r="J3543" t="str">
            <v/>
          </cell>
          <cell r="K3543">
            <v>0</v>
          </cell>
        </row>
        <row r="3544">
          <cell r="J3544" t="str">
            <v/>
          </cell>
          <cell r="K3544">
            <v>0</v>
          </cell>
        </row>
        <row r="3545">
          <cell r="J3545" t="str">
            <v/>
          </cell>
          <cell r="K3545">
            <v>0</v>
          </cell>
        </row>
        <row r="3546">
          <cell r="J3546" t="str">
            <v/>
          </cell>
          <cell r="K3546">
            <v>0</v>
          </cell>
        </row>
        <row r="3547">
          <cell r="J3547" t="str">
            <v/>
          </cell>
          <cell r="K3547">
            <v>0</v>
          </cell>
        </row>
        <row r="3548">
          <cell r="J3548" t="str">
            <v/>
          </cell>
          <cell r="K3548">
            <v>0</v>
          </cell>
        </row>
        <row r="3549">
          <cell r="J3549" t="str">
            <v/>
          </cell>
          <cell r="K3549">
            <v>0</v>
          </cell>
        </row>
        <row r="3550">
          <cell r="J3550" t="str">
            <v/>
          </cell>
          <cell r="K3550">
            <v>0</v>
          </cell>
        </row>
        <row r="3551">
          <cell r="J3551" t="str">
            <v/>
          </cell>
          <cell r="K3551">
            <v>0</v>
          </cell>
        </row>
        <row r="3552">
          <cell r="J3552" t="str">
            <v/>
          </cell>
          <cell r="K3552">
            <v>0</v>
          </cell>
        </row>
        <row r="3553">
          <cell r="J3553" t="str">
            <v/>
          </cell>
          <cell r="K3553">
            <v>0</v>
          </cell>
        </row>
        <row r="3554">
          <cell r="J3554" t="str">
            <v/>
          </cell>
          <cell r="K3554">
            <v>0</v>
          </cell>
        </row>
        <row r="3555">
          <cell r="J3555" t="str">
            <v/>
          </cell>
          <cell r="K3555">
            <v>0</v>
          </cell>
        </row>
        <row r="3556">
          <cell r="J3556" t="str">
            <v/>
          </cell>
          <cell r="K3556">
            <v>0</v>
          </cell>
        </row>
        <row r="3557">
          <cell r="J3557" t="str">
            <v/>
          </cell>
          <cell r="K3557">
            <v>0</v>
          </cell>
        </row>
        <row r="3558">
          <cell r="J3558" t="str">
            <v/>
          </cell>
          <cell r="K3558">
            <v>0</v>
          </cell>
        </row>
        <row r="3559">
          <cell r="J3559" t="str">
            <v/>
          </cell>
          <cell r="K3559">
            <v>0</v>
          </cell>
        </row>
        <row r="3560">
          <cell r="J3560" t="str">
            <v/>
          </cell>
          <cell r="K3560">
            <v>0</v>
          </cell>
        </row>
        <row r="3561">
          <cell r="J3561" t="str">
            <v/>
          </cell>
          <cell r="K3561">
            <v>0</v>
          </cell>
        </row>
        <row r="3562">
          <cell r="J3562" t="str">
            <v/>
          </cell>
          <cell r="K3562">
            <v>0</v>
          </cell>
        </row>
        <row r="3563">
          <cell r="J3563" t="str">
            <v/>
          </cell>
          <cell r="K3563">
            <v>0</v>
          </cell>
        </row>
        <row r="3564">
          <cell r="J3564" t="str">
            <v/>
          </cell>
          <cell r="K3564">
            <v>0</v>
          </cell>
        </row>
        <row r="3565">
          <cell r="J3565" t="str">
            <v/>
          </cell>
          <cell r="K3565">
            <v>0</v>
          </cell>
        </row>
        <row r="3566">
          <cell r="J3566" t="str">
            <v/>
          </cell>
          <cell r="K3566">
            <v>0</v>
          </cell>
        </row>
        <row r="3567">
          <cell r="J3567" t="str">
            <v/>
          </cell>
          <cell r="K3567">
            <v>0</v>
          </cell>
        </row>
        <row r="3568">
          <cell r="J3568" t="str">
            <v/>
          </cell>
          <cell r="K3568">
            <v>0</v>
          </cell>
        </row>
        <row r="3569">
          <cell r="J3569" t="str">
            <v/>
          </cell>
          <cell r="K3569">
            <v>0</v>
          </cell>
        </row>
        <row r="3570">
          <cell r="J3570" t="str">
            <v/>
          </cell>
          <cell r="K3570">
            <v>0</v>
          </cell>
        </row>
        <row r="3571">
          <cell r="J3571" t="str">
            <v/>
          </cell>
          <cell r="K3571">
            <v>0</v>
          </cell>
        </row>
        <row r="3572">
          <cell r="J3572" t="str">
            <v/>
          </cell>
          <cell r="K3572">
            <v>0</v>
          </cell>
        </row>
        <row r="3573">
          <cell r="J3573" t="str">
            <v/>
          </cell>
          <cell r="K3573">
            <v>0</v>
          </cell>
        </row>
        <row r="3574">
          <cell r="J3574" t="str">
            <v/>
          </cell>
          <cell r="K3574">
            <v>0</v>
          </cell>
        </row>
        <row r="3575">
          <cell r="J3575" t="str">
            <v/>
          </cell>
          <cell r="K3575">
            <v>0</v>
          </cell>
        </row>
        <row r="3576">
          <cell r="J3576" t="str">
            <v/>
          </cell>
          <cell r="K3576">
            <v>0</v>
          </cell>
        </row>
        <row r="3577">
          <cell r="J3577" t="str">
            <v/>
          </cell>
          <cell r="K3577">
            <v>0</v>
          </cell>
        </row>
        <row r="3578">
          <cell r="J3578" t="str">
            <v/>
          </cell>
          <cell r="K3578">
            <v>0</v>
          </cell>
        </row>
        <row r="3579">
          <cell r="J3579" t="str">
            <v/>
          </cell>
          <cell r="K3579">
            <v>0</v>
          </cell>
        </row>
        <row r="3580">
          <cell r="J3580" t="str">
            <v/>
          </cell>
          <cell r="K3580">
            <v>0</v>
          </cell>
        </row>
        <row r="3581">
          <cell r="J3581" t="str">
            <v/>
          </cell>
          <cell r="K3581">
            <v>0</v>
          </cell>
        </row>
        <row r="3582">
          <cell r="J3582" t="str">
            <v/>
          </cell>
          <cell r="K3582">
            <v>0</v>
          </cell>
        </row>
        <row r="3583">
          <cell r="J3583" t="str">
            <v/>
          </cell>
          <cell r="K3583">
            <v>0</v>
          </cell>
        </row>
        <row r="3584">
          <cell r="J3584" t="str">
            <v/>
          </cell>
          <cell r="K3584">
            <v>0</v>
          </cell>
        </row>
        <row r="3585">
          <cell r="J3585" t="str">
            <v/>
          </cell>
          <cell r="K3585">
            <v>0</v>
          </cell>
        </row>
        <row r="3586">
          <cell r="J3586" t="str">
            <v/>
          </cell>
          <cell r="K3586">
            <v>0</v>
          </cell>
        </row>
        <row r="3587">
          <cell r="J3587" t="str">
            <v/>
          </cell>
          <cell r="K3587">
            <v>0</v>
          </cell>
        </row>
        <row r="3588">
          <cell r="J3588" t="str">
            <v/>
          </cell>
          <cell r="K3588">
            <v>0</v>
          </cell>
        </row>
        <row r="3589">
          <cell r="J3589" t="str">
            <v/>
          </cell>
          <cell r="K3589">
            <v>0</v>
          </cell>
        </row>
        <row r="3590">
          <cell r="J3590" t="str">
            <v/>
          </cell>
          <cell r="K3590">
            <v>0</v>
          </cell>
        </row>
        <row r="3591">
          <cell r="J3591" t="str">
            <v/>
          </cell>
          <cell r="K3591">
            <v>0</v>
          </cell>
        </row>
        <row r="3592">
          <cell r="J3592" t="str">
            <v/>
          </cell>
          <cell r="K3592">
            <v>0</v>
          </cell>
        </row>
        <row r="3593">
          <cell r="J3593" t="str">
            <v/>
          </cell>
          <cell r="K3593">
            <v>0</v>
          </cell>
        </row>
        <row r="3594">
          <cell r="J3594" t="str">
            <v/>
          </cell>
          <cell r="K3594">
            <v>0</v>
          </cell>
        </row>
        <row r="3595">
          <cell r="J3595" t="str">
            <v/>
          </cell>
          <cell r="K3595">
            <v>0</v>
          </cell>
        </row>
        <row r="3596">
          <cell r="J3596" t="str">
            <v/>
          </cell>
          <cell r="K3596">
            <v>0</v>
          </cell>
        </row>
        <row r="3597">
          <cell r="J3597" t="str">
            <v/>
          </cell>
          <cell r="K3597">
            <v>0</v>
          </cell>
        </row>
        <row r="3598">
          <cell r="J3598" t="str">
            <v/>
          </cell>
          <cell r="K3598">
            <v>0</v>
          </cell>
        </row>
        <row r="3599">
          <cell r="J3599" t="str">
            <v/>
          </cell>
          <cell r="K3599">
            <v>0</v>
          </cell>
        </row>
        <row r="3600">
          <cell r="J3600" t="str">
            <v/>
          </cell>
          <cell r="K3600">
            <v>0</v>
          </cell>
        </row>
        <row r="3601">
          <cell r="J3601" t="str">
            <v/>
          </cell>
          <cell r="K3601">
            <v>0</v>
          </cell>
        </row>
        <row r="3602">
          <cell r="J3602" t="str">
            <v/>
          </cell>
          <cell r="K3602">
            <v>0</v>
          </cell>
        </row>
        <row r="3603">
          <cell r="J3603" t="str">
            <v/>
          </cell>
          <cell r="K3603">
            <v>0</v>
          </cell>
        </row>
        <row r="3604">
          <cell r="J3604" t="str">
            <v/>
          </cell>
          <cell r="K3604">
            <v>0</v>
          </cell>
        </row>
        <row r="3605">
          <cell r="J3605" t="str">
            <v/>
          </cell>
          <cell r="K3605">
            <v>0</v>
          </cell>
        </row>
        <row r="3606">
          <cell r="J3606" t="str">
            <v/>
          </cell>
          <cell r="K3606">
            <v>0</v>
          </cell>
        </row>
        <row r="3607">
          <cell r="J3607" t="str">
            <v/>
          </cell>
          <cell r="K3607">
            <v>0</v>
          </cell>
        </row>
        <row r="3608">
          <cell r="J3608" t="str">
            <v/>
          </cell>
          <cell r="K3608">
            <v>0</v>
          </cell>
        </row>
        <row r="3609">
          <cell r="J3609" t="str">
            <v/>
          </cell>
          <cell r="K3609">
            <v>0</v>
          </cell>
        </row>
        <row r="3610">
          <cell r="J3610" t="str">
            <v/>
          </cell>
          <cell r="K3610">
            <v>0</v>
          </cell>
        </row>
        <row r="3611">
          <cell r="J3611" t="str">
            <v/>
          </cell>
          <cell r="K3611">
            <v>0</v>
          </cell>
        </row>
        <row r="3612">
          <cell r="J3612" t="str">
            <v/>
          </cell>
          <cell r="K3612">
            <v>0</v>
          </cell>
        </row>
        <row r="3613">
          <cell r="J3613" t="str">
            <v/>
          </cell>
          <cell r="K3613">
            <v>0</v>
          </cell>
        </row>
        <row r="3614">
          <cell r="J3614" t="str">
            <v/>
          </cell>
          <cell r="K3614">
            <v>0</v>
          </cell>
        </row>
        <row r="3615">
          <cell r="J3615" t="str">
            <v/>
          </cell>
          <cell r="K3615">
            <v>0</v>
          </cell>
        </row>
        <row r="3616">
          <cell r="J3616" t="str">
            <v/>
          </cell>
          <cell r="K3616">
            <v>0</v>
          </cell>
        </row>
        <row r="3617">
          <cell r="J3617" t="str">
            <v/>
          </cell>
          <cell r="K3617">
            <v>0</v>
          </cell>
        </row>
        <row r="3618">
          <cell r="J3618" t="str">
            <v/>
          </cell>
          <cell r="K3618">
            <v>0</v>
          </cell>
        </row>
        <row r="3619">
          <cell r="J3619" t="str">
            <v/>
          </cell>
          <cell r="K3619">
            <v>0</v>
          </cell>
        </row>
        <row r="3620">
          <cell r="J3620" t="str">
            <v/>
          </cell>
          <cell r="K3620">
            <v>0</v>
          </cell>
        </row>
        <row r="3621">
          <cell r="J3621" t="str">
            <v/>
          </cell>
          <cell r="K3621">
            <v>0</v>
          </cell>
        </row>
        <row r="3622">
          <cell r="J3622" t="str">
            <v/>
          </cell>
          <cell r="K3622">
            <v>0</v>
          </cell>
        </row>
        <row r="3623">
          <cell r="J3623" t="str">
            <v/>
          </cell>
          <cell r="K3623">
            <v>0</v>
          </cell>
        </row>
        <row r="3624">
          <cell r="J3624" t="str">
            <v/>
          </cell>
          <cell r="K3624">
            <v>0</v>
          </cell>
        </row>
        <row r="3625">
          <cell r="J3625" t="str">
            <v/>
          </cell>
          <cell r="K3625">
            <v>0</v>
          </cell>
        </row>
        <row r="3626">
          <cell r="J3626" t="str">
            <v/>
          </cell>
          <cell r="K3626">
            <v>0</v>
          </cell>
        </row>
        <row r="3627">
          <cell r="J3627" t="str">
            <v/>
          </cell>
          <cell r="K3627">
            <v>0</v>
          </cell>
        </row>
        <row r="3628">
          <cell r="J3628" t="str">
            <v/>
          </cell>
          <cell r="K3628">
            <v>0</v>
          </cell>
        </row>
        <row r="3629">
          <cell r="J3629" t="str">
            <v/>
          </cell>
          <cell r="K3629">
            <v>0</v>
          </cell>
        </row>
        <row r="3630">
          <cell r="J3630" t="str">
            <v/>
          </cell>
          <cell r="K3630">
            <v>0</v>
          </cell>
        </row>
        <row r="3631">
          <cell r="J3631" t="str">
            <v/>
          </cell>
          <cell r="K3631">
            <v>0</v>
          </cell>
        </row>
        <row r="3632">
          <cell r="J3632" t="str">
            <v/>
          </cell>
          <cell r="K3632">
            <v>0</v>
          </cell>
        </row>
        <row r="3633">
          <cell r="J3633" t="str">
            <v/>
          </cell>
          <cell r="K3633">
            <v>0</v>
          </cell>
        </row>
        <row r="3634">
          <cell r="J3634" t="str">
            <v/>
          </cell>
          <cell r="K3634">
            <v>0</v>
          </cell>
        </row>
        <row r="3635">
          <cell r="J3635" t="str">
            <v/>
          </cell>
          <cell r="K3635">
            <v>0</v>
          </cell>
        </row>
        <row r="3636">
          <cell r="J3636" t="str">
            <v/>
          </cell>
          <cell r="K3636">
            <v>0</v>
          </cell>
        </row>
        <row r="3637">
          <cell r="J3637" t="str">
            <v/>
          </cell>
          <cell r="K3637">
            <v>0</v>
          </cell>
        </row>
        <row r="3638">
          <cell r="J3638" t="str">
            <v/>
          </cell>
          <cell r="K3638">
            <v>0</v>
          </cell>
        </row>
        <row r="3639">
          <cell r="J3639" t="str">
            <v/>
          </cell>
          <cell r="K3639">
            <v>0</v>
          </cell>
        </row>
        <row r="3640">
          <cell r="J3640" t="str">
            <v/>
          </cell>
          <cell r="K3640">
            <v>0</v>
          </cell>
        </row>
        <row r="3641">
          <cell r="J3641" t="str">
            <v/>
          </cell>
          <cell r="K3641">
            <v>0</v>
          </cell>
        </row>
        <row r="3642">
          <cell r="J3642" t="str">
            <v/>
          </cell>
          <cell r="K3642">
            <v>0</v>
          </cell>
        </row>
        <row r="3643">
          <cell r="J3643" t="str">
            <v/>
          </cell>
          <cell r="K3643">
            <v>0</v>
          </cell>
        </row>
        <row r="3644">
          <cell r="J3644" t="str">
            <v/>
          </cell>
          <cell r="K3644">
            <v>0</v>
          </cell>
        </row>
        <row r="3645">
          <cell r="J3645" t="str">
            <v/>
          </cell>
          <cell r="K3645">
            <v>0</v>
          </cell>
        </row>
        <row r="3646">
          <cell r="J3646" t="str">
            <v/>
          </cell>
          <cell r="K3646">
            <v>0</v>
          </cell>
        </row>
        <row r="3647">
          <cell r="J3647" t="str">
            <v/>
          </cell>
          <cell r="K3647">
            <v>0</v>
          </cell>
        </row>
        <row r="3648">
          <cell r="J3648" t="str">
            <v/>
          </cell>
          <cell r="K3648">
            <v>0</v>
          </cell>
        </row>
        <row r="3649">
          <cell r="J3649" t="str">
            <v/>
          </cell>
          <cell r="K3649">
            <v>0</v>
          </cell>
        </row>
        <row r="3650">
          <cell r="J3650" t="str">
            <v/>
          </cell>
          <cell r="K3650">
            <v>0</v>
          </cell>
        </row>
        <row r="3651">
          <cell r="J3651" t="str">
            <v/>
          </cell>
          <cell r="K3651">
            <v>0</v>
          </cell>
        </row>
        <row r="3652">
          <cell r="J3652" t="str">
            <v/>
          </cell>
          <cell r="K3652">
            <v>0</v>
          </cell>
        </row>
        <row r="3653">
          <cell r="J3653" t="str">
            <v/>
          </cell>
          <cell r="K3653">
            <v>0</v>
          </cell>
        </row>
        <row r="3654">
          <cell r="J3654" t="str">
            <v/>
          </cell>
          <cell r="K3654">
            <v>0</v>
          </cell>
        </row>
        <row r="3655">
          <cell r="J3655" t="str">
            <v/>
          </cell>
          <cell r="K3655">
            <v>0</v>
          </cell>
        </row>
        <row r="3656">
          <cell r="J3656" t="str">
            <v/>
          </cell>
          <cell r="K3656">
            <v>0</v>
          </cell>
        </row>
        <row r="3657">
          <cell r="J3657" t="str">
            <v/>
          </cell>
          <cell r="K3657">
            <v>0</v>
          </cell>
        </row>
        <row r="3658">
          <cell r="J3658" t="str">
            <v/>
          </cell>
          <cell r="K3658">
            <v>0</v>
          </cell>
        </row>
        <row r="3659">
          <cell r="J3659" t="str">
            <v/>
          </cell>
          <cell r="K3659">
            <v>0</v>
          </cell>
        </row>
        <row r="3660">
          <cell r="J3660" t="str">
            <v/>
          </cell>
          <cell r="K3660">
            <v>0</v>
          </cell>
        </row>
        <row r="3661">
          <cell r="J3661" t="str">
            <v/>
          </cell>
          <cell r="K3661">
            <v>0</v>
          </cell>
        </row>
        <row r="3662">
          <cell r="J3662" t="str">
            <v/>
          </cell>
          <cell r="K3662">
            <v>0</v>
          </cell>
        </row>
        <row r="3663">
          <cell r="J3663" t="str">
            <v/>
          </cell>
          <cell r="K3663">
            <v>0</v>
          </cell>
        </row>
        <row r="3664">
          <cell r="J3664" t="str">
            <v/>
          </cell>
          <cell r="K3664">
            <v>0</v>
          </cell>
        </row>
        <row r="3665">
          <cell r="J3665" t="str">
            <v/>
          </cell>
          <cell r="K3665">
            <v>0</v>
          </cell>
        </row>
        <row r="3666">
          <cell r="J3666" t="str">
            <v/>
          </cell>
          <cell r="K3666">
            <v>0</v>
          </cell>
        </row>
        <row r="3667">
          <cell r="J3667" t="str">
            <v/>
          </cell>
          <cell r="K3667">
            <v>0</v>
          </cell>
        </row>
        <row r="3668">
          <cell r="J3668" t="str">
            <v/>
          </cell>
          <cell r="K3668">
            <v>0</v>
          </cell>
        </row>
        <row r="3669">
          <cell r="J3669" t="str">
            <v/>
          </cell>
          <cell r="K3669">
            <v>0</v>
          </cell>
        </row>
        <row r="3670">
          <cell r="J3670" t="str">
            <v/>
          </cell>
          <cell r="K3670">
            <v>0</v>
          </cell>
        </row>
        <row r="3671">
          <cell r="J3671" t="str">
            <v/>
          </cell>
          <cell r="K3671">
            <v>0</v>
          </cell>
        </row>
        <row r="3672">
          <cell r="J3672" t="str">
            <v/>
          </cell>
          <cell r="K3672">
            <v>0</v>
          </cell>
        </row>
        <row r="3673">
          <cell r="J3673" t="str">
            <v/>
          </cell>
          <cell r="K3673">
            <v>0</v>
          </cell>
        </row>
        <row r="3674">
          <cell r="J3674" t="str">
            <v/>
          </cell>
          <cell r="K3674">
            <v>0</v>
          </cell>
        </row>
        <row r="3675">
          <cell r="J3675" t="str">
            <v/>
          </cell>
          <cell r="K3675">
            <v>0</v>
          </cell>
        </row>
        <row r="3676">
          <cell r="J3676" t="str">
            <v/>
          </cell>
          <cell r="K3676">
            <v>0</v>
          </cell>
        </row>
        <row r="3677">
          <cell r="J3677" t="str">
            <v/>
          </cell>
          <cell r="K3677">
            <v>0</v>
          </cell>
        </row>
        <row r="3678">
          <cell r="J3678" t="str">
            <v/>
          </cell>
          <cell r="K3678">
            <v>0</v>
          </cell>
        </row>
        <row r="3679">
          <cell r="J3679" t="str">
            <v/>
          </cell>
          <cell r="K3679">
            <v>0</v>
          </cell>
        </row>
        <row r="3680">
          <cell r="J3680" t="str">
            <v/>
          </cell>
          <cell r="K3680">
            <v>0</v>
          </cell>
        </row>
        <row r="3681">
          <cell r="J3681" t="str">
            <v/>
          </cell>
          <cell r="K3681">
            <v>0</v>
          </cell>
        </row>
        <row r="3682">
          <cell r="J3682" t="str">
            <v/>
          </cell>
          <cell r="K3682">
            <v>0</v>
          </cell>
        </row>
        <row r="3683">
          <cell r="J3683" t="str">
            <v/>
          </cell>
          <cell r="K3683">
            <v>0</v>
          </cell>
        </row>
        <row r="3684">
          <cell r="J3684" t="str">
            <v/>
          </cell>
          <cell r="K3684">
            <v>0</v>
          </cell>
        </row>
        <row r="3685">
          <cell r="J3685" t="str">
            <v/>
          </cell>
          <cell r="K3685">
            <v>0</v>
          </cell>
        </row>
        <row r="3686">
          <cell r="J3686" t="str">
            <v/>
          </cell>
          <cell r="K3686">
            <v>0</v>
          </cell>
        </row>
        <row r="3687">
          <cell r="J3687" t="str">
            <v/>
          </cell>
          <cell r="K3687">
            <v>0</v>
          </cell>
        </row>
        <row r="3688">
          <cell r="J3688" t="str">
            <v/>
          </cell>
          <cell r="K3688">
            <v>0</v>
          </cell>
        </row>
        <row r="3689">
          <cell r="J3689" t="str">
            <v/>
          </cell>
          <cell r="K3689">
            <v>0</v>
          </cell>
        </row>
        <row r="3690">
          <cell r="J3690" t="str">
            <v/>
          </cell>
          <cell r="K3690">
            <v>0</v>
          </cell>
        </row>
        <row r="3691">
          <cell r="J3691" t="str">
            <v/>
          </cell>
          <cell r="K3691">
            <v>0</v>
          </cell>
        </row>
        <row r="3692">
          <cell r="J3692" t="str">
            <v/>
          </cell>
          <cell r="K3692">
            <v>0</v>
          </cell>
        </row>
        <row r="3693">
          <cell r="J3693" t="str">
            <v/>
          </cell>
          <cell r="K3693">
            <v>0</v>
          </cell>
        </row>
        <row r="3694">
          <cell r="J3694" t="str">
            <v/>
          </cell>
          <cell r="K3694">
            <v>0</v>
          </cell>
        </row>
        <row r="3695">
          <cell r="J3695" t="str">
            <v/>
          </cell>
          <cell r="K3695">
            <v>0</v>
          </cell>
        </row>
        <row r="3696">
          <cell r="J3696" t="str">
            <v/>
          </cell>
          <cell r="K3696">
            <v>0</v>
          </cell>
        </row>
        <row r="3697">
          <cell r="J3697" t="str">
            <v/>
          </cell>
          <cell r="K3697">
            <v>0</v>
          </cell>
        </row>
        <row r="3698">
          <cell r="J3698" t="str">
            <v/>
          </cell>
          <cell r="K3698">
            <v>0</v>
          </cell>
        </row>
        <row r="3699">
          <cell r="J3699" t="str">
            <v/>
          </cell>
          <cell r="K3699">
            <v>0</v>
          </cell>
        </row>
        <row r="3700">
          <cell r="J3700" t="str">
            <v/>
          </cell>
          <cell r="K3700">
            <v>0</v>
          </cell>
        </row>
        <row r="3701">
          <cell r="J3701" t="str">
            <v/>
          </cell>
          <cell r="K3701">
            <v>0</v>
          </cell>
        </row>
        <row r="3702">
          <cell r="J3702" t="str">
            <v/>
          </cell>
          <cell r="K3702">
            <v>0</v>
          </cell>
        </row>
        <row r="3703">
          <cell r="J3703" t="str">
            <v/>
          </cell>
          <cell r="K3703">
            <v>0</v>
          </cell>
        </row>
        <row r="3704">
          <cell r="J3704" t="str">
            <v/>
          </cell>
          <cell r="K3704">
            <v>0</v>
          </cell>
        </row>
        <row r="3705">
          <cell r="J3705" t="str">
            <v/>
          </cell>
          <cell r="K3705">
            <v>0</v>
          </cell>
        </row>
        <row r="3706">
          <cell r="J3706" t="str">
            <v/>
          </cell>
          <cell r="K3706">
            <v>0</v>
          </cell>
        </row>
        <row r="3707">
          <cell r="J3707" t="str">
            <v/>
          </cell>
          <cell r="K3707">
            <v>0</v>
          </cell>
        </row>
        <row r="3708">
          <cell r="J3708" t="str">
            <v/>
          </cell>
          <cell r="K3708">
            <v>0</v>
          </cell>
        </row>
        <row r="3709">
          <cell r="J3709" t="str">
            <v/>
          </cell>
          <cell r="K3709">
            <v>0</v>
          </cell>
        </row>
        <row r="3710">
          <cell r="J3710" t="str">
            <v/>
          </cell>
          <cell r="K3710">
            <v>0</v>
          </cell>
        </row>
        <row r="3711">
          <cell r="J3711" t="str">
            <v/>
          </cell>
          <cell r="K3711">
            <v>0</v>
          </cell>
        </row>
        <row r="3712">
          <cell r="J3712" t="str">
            <v/>
          </cell>
          <cell r="K3712">
            <v>0</v>
          </cell>
        </row>
        <row r="3713">
          <cell r="J3713" t="str">
            <v/>
          </cell>
          <cell r="K3713">
            <v>0</v>
          </cell>
        </row>
        <row r="3714">
          <cell r="J3714" t="str">
            <v/>
          </cell>
          <cell r="K3714">
            <v>0</v>
          </cell>
        </row>
        <row r="3715">
          <cell r="J3715" t="str">
            <v/>
          </cell>
          <cell r="K3715">
            <v>0</v>
          </cell>
        </row>
        <row r="3716">
          <cell r="J3716" t="str">
            <v/>
          </cell>
          <cell r="K3716">
            <v>0</v>
          </cell>
        </row>
        <row r="3717">
          <cell r="J3717" t="str">
            <v/>
          </cell>
          <cell r="K3717">
            <v>0</v>
          </cell>
        </row>
        <row r="3718">
          <cell r="J3718" t="str">
            <v/>
          </cell>
          <cell r="K3718">
            <v>0</v>
          </cell>
        </row>
        <row r="3719">
          <cell r="J3719" t="str">
            <v/>
          </cell>
          <cell r="K3719">
            <v>0</v>
          </cell>
        </row>
        <row r="3720">
          <cell r="J3720" t="str">
            <v/>
          </cell>
          <cell r="K3720">
            <v>0</v>
          </cell>
        </row>
        <row r="3721">
          <cell r="J3721" t="str">
            <v/>
          </cell>
          <cell r="K3721">
            <v>0</v>
          </cell>
        </row>
        <row r="3722">
          <cell r="J3722" t="str">
            <v/>
          </cell>
          <cell r="K3722">
            <v>0</v>
          </cell>
        </row>
        <row r="3723">
          <cell r="J3723" t="str">
            <v/>
          </cell>
          <cell r="K3723">
            <v>0</v>
          </cell>
        </row>
        <row r="3724">
          <cell r="J3724" t="str">
            <v/>
          </cell>
          <cell r="K3724">
            <v>0</v>
          </cell>
        </row>
        <row r="3725">
          <cell r="J3725" t="str">
            <v/>
          </cell>
          <cell r="K3725">
            <v>0</v>
          </cell>
        </row>
        <row r="3726">
          <cell r="J3726" t="str">
            <v/>
          </cell>
          <cell r="K3726">
            <v>0</v>
          </cell>
        </row>
        <row r="3727">
          <cell r="J3727" t="str">
            <v/>
          </cell>
          <cell r="K3727">
            <v>0</v>
          </cell>
        </row>
        <row r="3728">
          <cell r="J3728" t="str">
            <v/>
          </cell>
          <cell r="K3728">
            <v>0</v>
          </cell>
        </row>
        <row r="3729">
          <cell r="J3729" t="str">
            <v/>
          </cell>
          <cell r="K3729">
            <v>0</v>
          </cell>
        </row>
        <row r="3730">
          <cell r="J3730" t="str">
            <v/>
          </cell>
          <cell r="K3730">
            <v>0</v>
          </cell>
        </row>
        <row r="3731">
          <cell r="J3731" t="str">
            <v/>
          </cell>
          <cell r="K3731">
            <v>0</v>
          </cell>
        </row>
        <row r="3732">
          <cell r="J3732" t="str">
            <v/>
          </cell>
          <cell r="K3732">
            <v>0</v>
          </cell>
        </row>
        <row r="3733">
          <cell r="J3733" t="str">
            <v/>
          </cell>
          <cell r="K3733">
            <v>0</v>
          </cell>
        </row>
        <row r="3734">
          <cell r="J3734" t="str">
            <v/>
          </cell>
          <cell r="K3734">
            <v>0</v>
          </cell>
        </row>
        <row r="3735">
          <cell r="J3735" t="str">
            <v/>
          </cell>
          <cell r="K3735">
            <v>0</v>
          </cell>
        </row>
        <row r="3736">
          <cell r="J3736" t="str">
            <v/>
          </cell>
          <cell r="K3736">
            <v>0</v>
          </cell>
        </row>
        <row r="3737">
          <cell r="J3737" t="str">
            <v/>
          </cell>
          <cell r="K3737">
            <v>0</v>
          </cell>
        </row>
        <row r="3738">
          <cell r="J3738" t="str">
            <v/>
          </cell>
          <cell r="K3738">
            <v>0</v>
          </cell>
        </row>
        <row r="3739">
          <cell r="J3739" t="str">
            <v/>
          </cell>
          <cell r="K3739">
            <v>0</v>
          </cell>
        </row>
        <row r="3740">
          <cell r="J3740" t="str">
            <v/>
          </cell>
          <cell r="K3740">
            <v>0</v>
          </cell>
        </row>
        <row r="3741">
          <cell r="J3741" t="str">
            <v/>
          </cell>
          <cell r="K3741">
            <v>0</v>
          </cell>
        </row>
        <row r="3742">
          <cell r="J3742" t="str">
            <v/>
          </cell>
          <cell r="K3742">
            <v>0</v>
          </cell>
        </row>
        <row r="3743">
          <cell r="J3743" t="str">
            <v/>
          </cell>
          <cell r="K3743">
            <v>0</v>
          </cell>
        </row>
        <row r="3744">
          <cell r="J3744" t="str">
            <v/>
          </cell>
          <cell r="K3744">
            <v>0</v>
          </cell>
        </row>
        <row r="3745">
          <cell r="J3745" t="str">
            <v/>
          </cell>
          <cell r="K3745">
            <v>0</v>
          </cell>
        </row>
        <row r="3746">
          <cell r="J3746" t="str">
            <v/>
          </cell>
          <cell r="K3746">
            <v>0</v>
          </cell>
        </row>
        <row r="3747">
          <cell r="J3747" t="str">
            <v/>
          </cell>
          <cell r="K3747">
            <v>0</v>
          </cell>
        </row>
        <row r="3748">
          <cell r="J3748" t="str">
            <v/>
          </cell>
          <cell r="K3748">
            <v>0</v>
          </cell>
        </row>
        <row r="3749">
          <cell r="J3749" t="str">
            <v/>
          </cell>
          <cell r="K3749">
            <v>0</v>
          </cell>
        </row>
        <row r="3750">
          <cell r="J3750" t="str">
            <v/>
          </cell>
          <cell r="K3750">
            <v>0</v>
          </cell>
        </row>
        <row r="3751">
          <cell r="J3751" t="str">
            <v/>
          </cell>
          <cell r="K3751">
            <v>0</v>
          </cell>
        </row>
        <row r="3752">
          <cell r="J3752" t="str">
            <v/>
          </cell>
          <cell r="K3752">
            <v>0</v>
          </cell>
        </row>
        <row r="3753">
          <cell r="J3753" t="str">
            <v/>
          </cell>
          <cell r="K3753">
            <v>0</v>
          </cell>
        </row>
        <row r="3754">
          <cell r="J3754" t="str">
            <v/>
          </cell>
          <cell r="K3754">
            <v>0</v>
          </cell>
        </row>
        <row r="3755">
          <cell r="J3755" t="str">
            <v/>
          </cell>
          <cell r="K3755">
            <v>0</v>
          </cell>
        </row>
        <row r="3756">
          <cell r="J3756" t="str">
            <v/>
          </cell>
          <cell r="K3756">
            <v>0</v>
          </cell>
        </row>
        <row r="3757">
          <cell r="J3757" t="str">
            <v/>
          </cell>
          <cell r="K3757">
            <v>0</v>
          </cell>
        </row>
        <row r="3758">
          <cell r="J3758" t="str">
            <v/>
          </cell>
          <cell r="K3758">
            <v>0</v>
          </cell>
        </row>
        <row r="3759">
          <cell r="J3759" t="str">
            <v/>
          </cell>
          <cell r="K3759">
            <v>0</v>
          </cell>
        </row>
        <row r="3760">
          <cell r="J3760" t="str">
            <v/>
          </cell>
          <cell r="K3760">
            <v>0</v>
          </cell>
        </row>
        <row r="3761">
          <cell r="J3761" t="str">
            <v/>
          </cell>
          <cell r="K3761">
            <v>0</v>
          </cell>
        </row>
        <row r="3762">
          <cell r="J3762" t="str">
            <v/>
          </cell>
          <cell r="K3762">
            <v>0</v>
          </cell>
        </row>
        <row r="3763">
          <cell r="J3763" t="str">
            <v/>
          </cell>
          <cell r="K3763">
            <v>0</v>
          </cell>
        </row>
        <row r="3764">
          <cell r="J3764" t="str">
            <v/>
          </cell>
          <cell r="K3764">
            <v>0</v>
          </cell>
        </row>
        <row r="3765">
          <cell r="J3765" t="str">
            <v/>
          </cell>
          <cell r="K3765">
            <v>0</v>
          </cell>
        </row>
        <row r="3766">
          <cell r="J3766" t="str">
            <v/>
          </cell>
          <cell r="K3766">
            <v>0</v>
          </cell>
        </row>
        <row r="3767">
          <cell r="J3767" t="str">
            <v/>
          </cell>
          <cell r="K3767">
            <v>0</v>
          </cell>
        </row>
        <row r="3768">
          <cell r="J3768" t="str">
            <v/>
          </cell>
          <cell r="K3768">
            <v>0</v>
          </cell>
        </row>
        <row r="3769">
          <cell r="J3769" t="str">
            <v/>
          </cell>
          <cell r="K3769">
            <v>0</v>
          </cell>
        </row>
        <row r="3770">
          <cell r="J3770" t="str">
            <v/>
          </cell>
          <cell r="K3770">
            <v>0</v>
          </cell>
        </row>
        <row r="3771">
          <cell r="J3771" t="str">
            <v/>
          </cell>
          <cell r="K3771">
            <v>0</v>
          </cell>
        </row>
        <row r="3772">
          <cell r="J3772" t="str">
            <v/>
          </cell>
          <cell r="K3772">
            <v>0</v>
          </cell>
        </row>
        <row r="3773">
          <cell r="J3773" t="str">
            <v/>
          </cell>
          <cell r="K3773">
            <v>0</v>
          </cell>
        </row>
        <row r="3774">
          <cell r="J3774" t="str">
            <v/>
          </cell>
          <cell r="K3774">
            <v>0</v>
          </cell>
        </row>
        <row r="3775">
          <cell r="J3775" t="str">
            <v/>
          </cell>
          <cell r="K3775">
            <v>0</v>
          </cell>
        </row>
        <row r="3776">
          <cell r="J3776" t="str">
            <v/>
          </cell>
          <cell r="K3776">
            <v>0</v>
          </cell>
        </row>
        <row r="3777">
          <cell r="J3777" t="str">
            <v/>
          </cell>
          <cell r="K3777">
            <v>0</v>
          </cell>
        </row>
        <row r="3778">
          <cell r="J3778" t="str">
            <v/>
          </cell>
          <cell r="K3778">
            <v>0</v>
          </cell>
        </row>
        <row r="3779">
          <cell r="J3779" t="str">
            <v/>
          </cell>
          <cell r="K3779">
            <v>0</v>
          </cell>
        </row>
        <row r="3780">
          <cell r="J3780" t="str">
            <v/>
          </cell>
          <cell r="K3780">
            <v>0</v>
          </cell>
        </row>
        <row r="3781">
          <cell r="J3781" t="str">
            <v/>
          </cell>
          <cell r="K3781">
            <v>0</v>
          </cell>
        </row>
        <row r="3782">
          <cell r="J3782" t="str">
            <v/>
          </cell>
          <cell r="K3782">
            <v>0</v>
          </cell>
        </row>
        <row r="3783">
          <cell r="J3783" t="str">
            <v/>
          </cell>
          <cell r="K3783">
            <v>0</v>
          </cell>
        </row>
        <row r="3784">
          <cell r="J3784" t="str">
            <v/>
          </cell>
          <cell r="K3784">
            <v>0</v>
          </cell>
        </row>
        <row r="3785">
          <cell r="J3785" t="str">
            <v/>
          </cell>
          <cell r="K3785">
            <v>0</v>
          </cell>
        </row>
        <row r="3786">
          <cell r="J3786" t="str">
            <v/>
          </cell>
          <cell r="K3786">
            <v>0</v>
          </cell>
        </row>
        <row r="3787">
          <cell r="J3787" t="str">
            <v/>
          </cell>
          <cell r="K3787">
            <v>0</v>
          </cell>
        </row>
        <row r="3788">
          <cell r="J3788" t="str">
            <v/>
          </cell>
          <cell r="K3788">
            <v>0</v>
          </cell>
        </row>
        <row r="3789">
          <cell r="J3789" t="str">
            <v/>
          </cell>
          <cell r="K3789">
            <v>0</v>
          </cell>
        </row>
        <row r="3790">
          <cell r="J3790" t="str">
            <v/>
          </cell>
          <cell r="K3790">
            <v>0</v>
          </cell>
        </row>
        <row r="3791">
          <cell r="J3791" t="str">
            <v/>
          </cell>
          <cell r="K3791">
            <v>0</v>
          </cell>
        </row>
        <row r="3792">
          <cell r="J3792" t="str">
            <v/>
          </cell>
          <cell r="K3792">
            <v>0</v>
          </cell>
        </row>
        <row r="3793">
          <cell r="J3793" t="str">
            <v/>
          </cell>
          <cell r="K3793">
            <v>0</v>
          </cell>
        </row>
        <row r="3794">
          <cell r="J3794" t="str">
            <v/>
          </cell>
          <cell r="K3794">
            <v>0</v>
          </cell>
        </row>
        <row r="3795">
          <cell r="J3795" t="str">
            <v/>
          </cell>
          <cell r="K3795">
            <v>0</v>
          </cell>
        </row>
        <row r="3796">
          <cell r="J3796" t="str">
            <v/>
          </cell>
          <cell r="K3796">
            <v>0</v>
          </cell>
        </row>
        <row r="3797">
          <cell r="J3797" t="str">
            <v/>
          </cell>
          <cell r="K3797">
            <v>0</v>
          </cell>
        </row>
        <row r="3798">
          <cell r="J3798" t="str">
            <v/>
          </cell>
          <cell r="K3798">
            <v>0</v>
          </cell>
        </row>
        <row r="3799">
          <cell r="J3799" t="str">
            <v/>
          </cell>
          <cell r="K3799">
            <v>0</v>
          </cell>
        </row>
        <row r="3800">
          <cell r="J3800" t="str">
            <v/>
          </cell>
          <cell r="K3800">
            <v>0</v>
          </cell>
        </row>
        <row r="3801">
          <cell r="J3801" t="str">
            <v/>
          </cell>
          <cell r="K3801">
            <v>0</v>
          </cell>
        </row>
        <row r="3802">
          <cell r="J3802" t="str">
            <v/>
          </cell>
          <cell r="K3802">
            <v>0</v>
          </cell>
        </row>
        <row r="3803">
          <cell r="J3803" t="str">
            <v/>
          </cell>
          <cell r="K3803">
            <v>0</v>
          </cell>
        </row>
        <row r="3804">
          <cell r="J3804" t="str">
            <v/>
          </cell>
          <cell r="K3804">
            <v>0</v>
          </cell>
        </row>
        <row r="3805">
          <cell r="J3805" t="str">
            <v/>
          </cell>
          <cell r="K3805">
            <v>0</v>
          </cell>
        </row>
        <row r="3806">
          <cell r="J3806" t="str">
            <v/>
          </cell>
          <cell r="K3806">
            <v>0</v>
          </cell>
        </row>
        <row r="3807">
          <cell r="J3807" t="str">
            <v/>
          </cell>
          <cell r="K3807">
            <v>0</v>
          </cell>
        </row>
        <row r="3808">
          <cell r="J3808" t="str">
            <v/>
          </cell>
          <cell r="K3808">
            <v>0</v>
          </cell>
        </row>
        <row r="3809">
          <cell r="J3809" t="str">
            <v/>
          </cell>
          <cell r="K3809">
            <v>0</v>
          </cell>
        </row>
        <row r="3810">
          <cell r="J3810" t="str">
            <v/>
          </cell>
          <cell r="K3810">
            <v>0</v>
          </cell>
        </row>
        <row r="3811">
          <cell r="J3811" t="str">
            <v/>
          </cell>
          <cell r="K3811">
            <v>0</v>
          </cell>
        </row>
        <row r="3812">
          <cell r="J3812" t="str">
            <v/>
          </cell>
          <cell r="K3812">
            <v>0</v>
          </cell>
        </row>
        <row r="3813">
          <cell r="J3813" t="str">
            <v/>
          </cell>
          <cell r="K3813">
            <v>0</v>
          </cell>
        </row>
        <row r="3814">
          <cell r="J3814" t="str">
            <v/>
          </cell>
          <cell r="K3814">
            <v>0</v>
          </cell>
        </row>
        <row r="3815">
          <cell r="J3815" t="str">
            <v/>
          </cell>
          <cell r="K3815">
            <v>0</v>
          </cell>
        </row>
        <row r="3816">
          <cell r="J3816" t="str">
            <v/>
          </cell>
          <cell r="K3816">
            <v>0</v>
          </cell>
        </row>
        <row r="3817">
          <cell r="J3817" t="str">
            <v/>
          </cell>
          <cell r="K3817">
            <v>0</v>
          </cell>
        </row>
        <row r="3818">
          <cell r="J3818" t="str">
            <v/>
          </cell>
          <cell r="K3818">
            <v>0</v>
          </cell>
        </row>
        <row r="3819">
          <cell r="J3819" t="str">
            <v/>
          </cell>
          <cell r="K3819">
            <v>0</v>
          </cell>
        </row>
        <row r="3820">
          <cell r="J3820" t="str">
            <v/>
          </cell>
          <cell r="K3820">
            <v>0</v>
          </cell>
        </row>
        <row r="3821">
          <cell r="J3821" t="str">
            <v/>
          </cell>
          <cell r="K3821">
            <v>0</v>
          </cell>
        </row>
        <row r="3822">
          <cell r="J3822" t="str">
            <v/>
          </cell>
          <cell r="K3822">
            <v>0</v>
          </cell>
        </row>
        <row r="3823">
          <cell r="J3823" t="str">
            <v/>
          </cell>
          <cell r="K3823">
            <v>0</v>
          </cell>
        </row>
        <row r="3824">
          <cell r="J3824" t="str">
            <v/>
          </cell>
          <cell r="K3824">
            <v>0</v>
          </cell>
        </row>
        <row r="3825">
          <cell r="J3825" t="str">
            <v/>
          </cell>
          <cell r="K3825">
            <v>0</v>
          </cell>
        </row>
        <row r="3826">
          <cell r="J3826" t="str">
            <v/>
          </cell>
          <cell r="K3826">
            <v>0</v>
          </cell>
        </row>
        <row r="3827">
          <cell r="J3827" t="str">
            <v/>
          </cell>
          <cell r="K3827">
            <v>0</v>
          </cell>
        </row>
        <row r="3828">
          <cell r="J3828" t="str">
            <v/>
          </cell>
          <cell r="K3828">
            <v>0</v>
          </cell>
        </row>
        <row r="3829">
          <cell r="J3829" t="str">
            <v/>
          </cell>
          <cell r="K3829">
            <v>0</v>
          </cell>
        </row>
        <row r="3830">
          <cell r="J3830" t="str">
            <v/>
          </cell>
          <cell r="K3830">
            <v>0</v>
          </cell>
        </row>
        <row r="3831">
          <cell r="J3831" t="str">
            <v/>
          </cell>
          <cell r="K3831">
            <v>0</v>
          </cell>
        </row>
        <row r="3832">
          <cell r="J3832" t="str">
            <v/>
          </cell>
          <cell r="K3832">
            <v>0</v>
          </cell>
        </row>
        <row r="3833">
          <cell r="J3833" t="str">
            <v/>
          </cell>
          <cell r="K3833">
            <v>0</v>
          </cell>
        </row>
        <row r="3834">
          <cell r="J3834" t="str">
            <v/>
          </cell>
          <cell r="K3834">
            <v>0</v>
          </cell>
        </row>
        <row r="3835">
          <cell r="J3835" t="str">
            <v/>
          </cell>
          <cell r="K3835">
            <v>0</v>
          </cell>
        </row>
        <row r="3836">
          <cell r="J3836" t="str">
            <v/>
          </cell>
          <cell r="K3836">
            <v>0</v>
          </cell>
        </row>
        <row r="3837">
          <cell r="J3837" t="str">
            <v/>
          </cell>
          <cell r="K3837">
            <v>0</v>
          </cell>
        </row>
        <row r="3838">
          <cell r="J3838" t="str">
            <v/>
          </cell>
          <cell r="K3838">
            <v>0</v>
          </cell>
        </row>
        <row r="3839">
          <cell r="J3839" t="str">
            <v/>
          </cell>
          <cell r="K3839">
            <v>0</v>
          </cell>
        </row>
        <row r="3840">
          <cell r="J3840" t="str">
            <v/>
          </cell>
          <cell r="K3840">
            <v>0</v>
          </cell>
        </row>
        <row r="3841">
          <cell r="J3841" t="str">
            <v/>
          </cell>
          <cell r="K3841">
            <v>0</v>
          </cell>
        </row>
        <row r="3842">
          <cell r="J3842" t="str">
            <v/>
          </cell>
          <cell r="K3842">
            <v>0</v>
          </cell>
        </row>
        <row r="3843">
          <cell r="J3843" t="str">
            <v/>
          </cell>
          <cell r="K3843">
            <v>0</v>
          </cell>
        </row>
        <row r="3844">
          <cell r="J3844" t="str">
            <v/>
          </cell>
          <cell r="K3844">
            <v>0</v>
          </cell>
        </row>
        <row r="3845">
          <cell r="J3845" t="str">
            <v/>
          </cell>
          <cell r="K3845">
            <v>0</v>
          </cell>
        </row>
        <row r="3846">
          <cell r="J3846" t="str">
            <v/>
          </cell>
          <cell r="K3846">
            <v>0</v>
          </cell>
        </row>
        <row r="3847">
          <cell r="J3847" t="str">
            <v/>
          </cell>
          <cell r="K3847">
            <v>0</v>
          </cell>
        </row>
        <row r="3848">
          <cell r="J3848" t="str">
            <v/>
          </cell>
          <cell r="K3848">
            <v>0</v>
          </cell>
        </row>
        <row r="3849">
          <cell r="J3849" t="str">
            <v/>
          </cell>
          <cell r="K3849">
            <v>0</v>
          </cell>
        </row>
        <row r="3850">
          <cell r="J3850" t="str">
            <v/>
          </cell>
          <cell r="K3850">
            <v>0</v>
          </cell>
        </row>
        <row r="3851">
          <cell r="J3851" t="str">
            <v/>
          </cell>
          <cell r="K3851">
            <v>0</v>
          </cell>
        </row>
        <row r="3852">
          <cell r="J3852" t="str">
            <v/>
          </cell>
          <cell r="K3852">
            <v>0</v>
          </cell>
        </row>
        <row r="3853">
          <cell r="J3853" t="str">
            <v/>
          </cell>
          <cell r="K3853">
            <v>0</v>
          </cell>
        </row>
        <row r="3854">
          <cell r="J3854" t="str">
            <v/>
          </cell>
          <cell r="K3854">
            <v>0</v>
          </cell>
        </row>
      </sheetData>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 val="PC.PT"/>
    </sheetNames>
    <sheetDataSet>
      <sheetData sheetId="0" refreshError="1"/>
      <sheetData sheetId="1">
        <row r="6">
          <cell r="Q6">
            <v>32350000</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KH."/>
      <sheetName val="HT"/>
      <sheetName val="pt"/>
      <sheetName val="Khach_hang"/>
      <sheetName val="23"/>
      <sheetName val="giaroi"/>
      <sheetName val="gia3"/>
      <sheetName val="cthuc"/>
      <sheetName val="sochu"/>
      <sheetName val="Hanghoa"/>
      <sheetName val="thu tien"/>
      <sheetName val="Sheet1"/>
    </sheetNames>
    <sheetDataSet>
      <sheetData sheetId="0">
        <row r="7">
          <cell r="BJ7">
            <v>50213601.999999993</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ng"/>
      <sheetName val="phu"/>
      <sheetName val="phu (2)"/>
      <sheetName val="gia3"/>
    </sheetNames>
    <sheetDataSet>
      <sheetData sheetId="0" refreshError="1"/>
      <sheetData sheetId="1" refreshError="1"/>
      <sheetData sheetId="2" refreshError="1"/>
      <sheetData sheetId="3" refreshError="1">
        <row r="7">
          <cell r="D7" t="str">
            <v>DKG&lt;-&gt;Kiến Thụy, Hải Phòng</v>
          </cell>
          <cell r="E7">
            <v>61</v>
          </cell>
          <cell r="F7">
            <v>250000</v>
          </cell>
          <cell r="G7">
            <v>2750000</v>
          </cell>
          <cell r="H7">
            <v>2100000</v>
          </cell>
          <cell r="I7">
            <v>1900000</v>
          </cell>
          <cell r="J7">
            <v>1850000</v>
          </cell>
          <cell r="K7">
            <v>1900000</v>
          </cell>
          <cell r="L7">
            <v>1850000</v>
          </cell>
          <cell r="M7">
            <v>2250000</v>
          </cell>
          <cell r="N7">
            <v>1850000</v>
          </cell>
          <cell r="O7">
            <v>0</v>
          </cell>
          <cell r="P7">
            <v>0</v>
          </cell>
          <cell r="Q7">
            <v>2250000</v>
          </cell>
          <cell r="R7">
            <v>1850000</v>
          </cell>
          <cell r="S7" t="str">
            <v>Kiến Thụy</v>
          </cell>
          <cell r="T7" t="str">
            <v>=</v>
          </cell>
          <cell r="U7" t="str">
            <v>chưa có chuyến từ T09/2022</v>
          </cell>
          <cell r="V7">
            <v>0</v>
          </cell>
        </row>
        <row r="8">
          <cell r="D8" t="str">
            <v>DKG&lt;-&gt;Kiến An, Hải Phòng</v>
          </cell>
          <cell r="E8">
            <v>65</v>
          </cell>
          <cell r="F8">
            <v>250000</v>
          </cell>
          <cell r="G8">
            <v>2750000</v>
          </cell>
          <cell r="H8">
            <v>2100000</v>
          </cell>
          <cell r="I8">
            <v>1900000</v>
          </cell>
          <cell r="J8">
            <v>1850000</v>
          </cell>
          <cell r="K8">
            <v>1900000</v>
          </cell>
          <cell r="L8">
            <v>1850000</v>
          </cell>
          <cell r="M8">
            <v>2250000</v>
          </cell>
          <cell r="N8">
            <v>1850000</v>
          </cell>
          <cell r="O8">
            <v>1800000</v>
          </cell>
          <cell r="P8">
            <v>0</v>
          </cell>
          <cell r="Q8">
            <v>2250000</v>
          </cell>
          <cell r="R8">
            <v>1850000</v>
          </cell>
          <cell r="S8" t="str">
            <v>Kiến An</v>
          </cell>
          <cell r="T8" t="str">
            <v>=</v>
          </cell>
          <cell r="U8">
            <v>1900000</v>
          </cell>
          <cell r="V8">
            <v>0</v>
          </cell>
        </row>
        <row r="9">
          <cell r="D9" t="str">
            <v>DKG&lt;-&gt;An Lão, Hải Phòng</v>
          </cell>
          <cell r="E9">
            <v>74</v>
          </cell>
          <cell r="F9">
            <v>250000</v>
          </cell>
          <cell r="G9">
            <v>2750000</v>
          </cell>
          <cell r="H9">
            <v>2100000</v>
          </cell>
          <cell r="I9">
            <v>2250000</v>
          </cell>
          <cell r="J9">
            <v>2150000</v>
          </cell>
          <cell r="K9">
            <v>2250000</v>
          </cell>
          <cell r="L9">
            <v>2150000</v>
          </cell>
          <cell r="M9">
            <v>2600000</v>
          </cell>
          <cell r="N9">
            <v>2150000</v>
          </cell>
          <cell r="O9">
            <v>0</v>
          </cell>
          <cell r="P9">
            <v>0</v>
          </cell>
          <cell r="Q9">
            <v>2600000</v>
          </cell>
          <cell r="R9">
            <v>2150000</v>
          </cell>
          <cell r="S9" t="str">
            <v>An Lão</v>
          </cell>
          <cell r="T9" t="str">
            <v>=</v>
          </cell>
          <cell r="U9">
            <v>2100000</v>
          </cell>
          <cell r="V9">
            <v>0</v>
          </cell>
        </row>
        <row r="10">
          <cell r="D10" t="str">
            <v>DKG&lt;-&gt;Tiên Lãng (chưa phí), Hải Phòng</v>
          </cell>
          <cell r="E10">
            <v>80</v>
          </cell>
          <cell r="F10">
            <v>250000</v>
          </cell>
          <cell r="G10">
            <v>2750000</v>
          </cell>
          <cell r="H10">
            <v>2300000</v>
          </cell>
          <cell r="I10">
            <v>2250000</v>
          </cell>
          <cell r="J10">
            <v>2150000</v>
          </cell>
          <cell r="K10">
            <v>2250000</v>
          </cell>
          <cell r="L10">
            <v>2150000</v>
          </cell>
          <cell r="M10">
            <v>2600000</v>
          </cell>
          <cell r="N10">
            <v>2150000</v>
          </cell>
          <cell r="O10">
            <v>0</v>
          </cell>
          <cell r="P10">
            <v>0</v>
          </cell>
          <cell r="Q10">
            <v>2600000</v>
          </cell>
          <cell r="R10">
            <v>2150000</v>
          </cell>
          <cell r="S10" t="str">
            <v>Tiên Lãng (chưa phí)</v>
          </cell>
          <cell r="T10" t="str">
            <v>=</v>
          </cell>
          <cell r="U10" t="str">
            <v>chưa có chuyến từ T09/2022</v>
          </cell>
          <cell r="V10">
            <v>0</v>
          </cell>
        </row>
        <row r="11">
          <cell r="D11" t="str">
            <v>DKG&lt;-&gt;Tiên Lãng (có phí), Hải Phòng</v>
          </cell>
          <cell r="E11">
            <v>100</v>
          </cell>
          <cell r="F11">
            <v>600000</v>
          </cell>
          <cell r="G11">
            <v>3050000</v>
          </cell>
          <cell r="H11">
            <v>2900000</v>
          </cell>
          <cell r="I11">
            <v>2950000</v>
          </cell>
          <cell r="J11">
            <v>2750000</v>
          </cell>
          <cell r="K11">
            <v>2950000</v>
          </cell>
          <cell r="L11">
            <v>2750000</v>
          </cell>
          <cell r="M11">
            <v>2900000</v>
          </cell>
          <cell r="N11">
            <v>2750000</v>
          </cell>
          <cell r="O11">
            <v>0</v>
          </cell>
          <cell r="P11">
            <v>0</v>
          </cell>
          <cell r="Q11">
            <v>2900000</v>
          </cell>
          <cell r="R11">
            <v>2750000</v>
          </cell>
          <cell r="S11" t="str">
            <v>Tiên Lãng (có phí)</v>
          </cell>
          <cell r="T11" t="str">
            <v>=</v>
          </cell>
          <cell r="U11" t="str">
            <v>chưa có chuyến từ T09/2022</v>
          </cell>
          <cell r="V11">
            <v>0</v>
          </cell>
        </row>
        <row r="12">
          <cell r="D12" t="str">
            <v>DKG&lt;-&gt;Vĩnh Bảo, Hải Phòng</v>
          </cell>
          <cell r="E12">
            <v>110</v>
          </cell>
          <cell r="F12">
            <v>600000</v>
          </cell>
          <cell r="G12">
            <v>3250000</v>
          </cell>
          <cell r="H12">
            <v>3100000</v>
          </cell>
          <cell r="I12">
            <v>3050000</v>
          </cell>
          <cell r="J12">
            <v>2850000</v>
          </cell>
          <cell r="K12">
            <v>3050000</v>
          </cell>
          <cell r="L12">
            <v>2850000</v>
          </cell>
          <cell r="M12">
            <v>3000000</v>
          </cell>
          <cell r="N12">
            <v>2850000</v>
          </cell>
          <cell r="O12">
            <v>0</v>
          </cell>
          <cell r="P12">
            <v>0</v>
          </cell>
          <cell r="Q12">
            <v>3000000</v>
          </cell>
          <cell r="R12">
            <v>2850000</v>
          </cell>
          <cell r="S12" t="str">
            <v>Vĩnh Bảo</v>
          </cell>
          <cell r="T12" t="str">
            <v>=</v>
          </cell>
          <cell r="U12">
            <v>3000000</v>
          </cell>
          <cell r="V12">
            <v>2800000</v>
          </cell>
        </row>
        <row r="13">
          <cell r="D13" t="str">
            <v>DKG&lt;-&gt;Tứ Kỳ, Hải Dương</v>
          </cell>
          <cell r="E13">
            <v>115</v>
          </cell>
          <cell r="F13">
            <v>650000</v>
          </cell>
          <cell r="G13">
            <v>3700000</v>
          </cell>
          <cell r="H13">
            <v>3600000</v>
          </cell>
          <cell r="I13">
            <v>3500000</v>
          </cell>
          <cell r="J13">
            <v>3300000</v>
          </cell>
          <cell r="K13">
            <v>3500000</v>
          </cell>
          <cell r="L13">
            <v>3300000</v>
          </cell>
          <cell r="M13">
            <v>3700000</v>
          </cell>
          <cell r="N13">
            <v>3300000</v>
          </cell>
          <cell r="O13">
            <v>0</v>
          </cell>
          <cell r="P13">
            <v>0</v>
          </cell>
          <cell r="Q13">
            <v>3700000</v>
          </cell>
          <cell r="R13">
            <v>3300000</v>
          </cell>
          <cell r="S13" t="str">
            <v>Tứ Kỳ</v>
          </cell>
          <cell r="T13" t="str">
            <v>=</v>
          </cell>
          <cell r="U13">
            <v>3300000</v>
          </cell>
          <cell r="V13">
            <v>0</v>
          </cell>
        </row>
        <row r="14">
          <cell r="D14" t="str">
            <v>DKG&lt;-&gt;Quỳnh Phụ, Thái Bình</v>
          </cell>
          <cell r="E14">
            <v>135</v>
          </cell>
          <cell r="F14">
            <v>700000</v>
          </cell>
          <cell r="G14">
            <v>3900000</v>
          </cell>
          <cell r="H14">
            <v>3600000</v>
          </cell>
          <cell r="I14">
            <v>3600000</v>
          </cell>
          <cell r="J14">
            <v>3400000</v>
          </cell>
          <cell r="K14">
            <v>3600000</v>
          </cell>
          <cell r="L14">
            <v>3400000</v>
          </cell>
          <cell r="M14">
            <v>3600000</v>
          </cell>
          <cell r="N14">
            <v>3400000</v>
          </cell>
          <cell r="O14">
            <v>0</v>
          </cell>
          <cell r="P14">
            <v>0</v>
          </cell>
          <cell r="Q14">
            <v>3600000</v>
          </cell>
          <cell r="R14">
            <v>3400000</v>
          </cell>
          <cell r="S14" t="str">
            <v>Quỳnh Phụ</v>
          </cell>
          <cell r="T14" t="str">
            <v>=</v>
          </cell>
          <cell r="U14" t="str">
            <v>chưa có chuyến từ T09/2022</v>
          </cell>
          <cell r="V14">
            <v>3400000</v>
          </cell>
        </row>
        <row r="15">
          <cell r="D15" t="str">
            <v>DKG&lt;-&gt;Quỳnh Côi, Thái Bình</v>
          </cell>
          <cell r="E15">
            <v>160</v>
          </cell>
          <cell r="F15">
            <v>700000</v>
          </cell>
          <cell r="G15">
            <v>4000000</v>
          </cell>
          <cell r="H15">
            <v>3700000</v>
          </cell>
          <cell r="I15">
            <v>3700000</v>
          </cell>
          <cell r="J15">
            <v>3500000</v>
          </cell>
          <cell r="K15">
            <v>3700000</v>
          </cell>
          <cell r="L15">
            <v>3500000</v>
          </cell>
          <cell r="M15">
            <v>3650000</v>
          </cell>
          <cell r="N15">
            <v>3450000</v>
          </cell>
          <cell r="O15">
            <v>0</v>
          </cell>
          <cell r="P15">
            <v>0</v>
          </cell>
          <cell r="Q15">
            <v>3650000</v>
          </cell>
          <cell r="R15">
            <v>3450000</v>
          </cell>
          <cell r="S15" t="str">
            <v>Quỳnh Côi</v>
          </cell>
          <cell r="T15" t="str">
            <v>=</v>
          </cell>
          <cell r="U15">
            <v>3400000</v>
          </cell>
          <cell r="V15">
            <v>3400000</v>
          </cell>
        </row>
        <row r="16">
          <cell r="D16" t="str">
            <v>DKG&lt;-&gt;Hưng Hà, Thái Bình</v>
          </cell>
          <cell r="E16">
            <v>200</v>
          </cell>
          <cell r="F16">
            <v>700000</v>
          </cell>
          <cell r="G16">
            <v>4100000</v>
          </cell>
          <cell r="H16">
            <v>3800000</v>
          </cell>
          <cell r="I16">
            <v>3700000</v>
          </cell>
          <cell r="J16">
            <v>3500000</v>
          </cell>
          <cell r="K16">
            <v>3700000</v>
          </cell>
          <cell r="L16">
            <v>3500000</v>
          </cell>
          <cell r="M16">
            <v>3700000</v>
          </cell>
          <cell r="N16">
            <v>3500000</v>
          </cell>
          <cell r="O16">
            <v>0</v>
          </cell>
          <cell r="P16">
            <v>0</v>
          </cell>
          <cell r="Q16">
            <v>3700000</v>
          </cell>
          <cell r="R16">
            <v>3500000</v>
          </cell>
          <cell r="S16" t="str">
            <v>Hưng Hà</v>
          </cell>
          <cell r="T16" t="str">
            <v>=</v>
          </cell>
          <cell r="U16" t="str">
            <v>chưa có chuyến từ T09/2022</v>
          </cell>
          <cell r="V16">
            <v>3700000</v>
          </cell>
        </row>
        <row r="17">
          <cell r="D17" t="str">
            <v>DKG&lt;-&gt;Đông Hưng (chưa phí), Thái Bình</v>
          </cell>
          <cell r="E17">
            <v>140</v>
          </cell>
          <cell r="F17">
            <v>700000</v>
          </cell>
          <cell r="G17">
            <v>3900000</v>
          </cell>
          <cell r="H17">
            <v>3600000</v>
          </cell>
          <cell r="I17">
            <v>3600000</v>
          </cell>
          <cell r="J17">
            <v>3400000</v>
          </cell>
          <cell r="K17">
            <v>3600000</v>
          </cell>
          <cell r="L17">
            <v>3400000</v>
          </cell>
          <cell r="M17">
            <v>3600000</v>
          </cell>
          <cell r="N17">
            <v>3400000</v>
          </cell>
          <cell r="O17">
            <v>0</v>
          </cell>
          <cell r="P17">
            <v>0</v>
          </cell>
          <cell r="Q17">
            <v>3600000</v>
          </cell>
          <cell r="R17">
            <v>3400000</v>
          </cell>
          <cell r="S17" t="str">
            <v>Đông Hưng (chưa phí)</v>
          </cell>
          <cell r="T17" t="str">
            <v>=</v>
          </cell>
          <cell r="U17" t="str">
            <v>chưa có chuyến từ T09/2022</v>
          </cell>
          <cell r="V17">
            <v>3500000</v>
          </cell>
        </row>
        <row r="18">
          <cell r="D18" t="str">
            <v>DKG&lt;-&gt;Đông Hưng (có phí), Thái Bình</v>
          </cell>
          <cell r="E18">
            <v>140</v>
          </cell>
          <cell r="F18">
            <v>950000</v>
          </cell>
          <cell r="G18">
            <v>4150000</v>
          </cell>
          <cell r="H18">
            <v>3850000</v>
          </cell>
          <cell r="I18">
            <v>3850000</v>
          </cell>
          <cell r="J18">
            <v>3750000</v>
          </cell>
          <cell r="K18">
            <v>3850000</v>
          </cell>
          <cell r="L18">
            <v>3750000</v>
          </cell>
          <cell r="M18">
            <v>3850000</v>
          </cell>
          <cell r="N18">
            <v>3750000</v>
          </cell>
          <cell r="O18">
            <v>0</v>
          </cell>
          <cell r="P18">
            <v>0</v>
          </cell>
          <cell r="Q18">
            <v>3850000</v>
          </cell>
          <cell r="R18">
            <v>3750000</v>
          </cell>
          <cell r="S18" t="str">
            <v>Đông Hưng (có phí)</v>
          </cell>
          <cell r="T18" t="str">
            <v>=</v>
          </cell>
          <cell r="U18" t="str">
            <v>chưa có chuyến từ T09/2022</v>
          </cell>
          <cell r="V18">
            <v>0</v>
          </cell>
        </row>
        <row r="19">
          <cell r="D19" t="str">
            <v>DKG&lt;-&gt;TP. Thái Bình</v>
          </cell>
          <cell r="E19">
            <v>175</v>
          </cell>
          <cell r="F19">
            <v>950000</v>
          </cell>
          <cell r="G19">
            <v>4400000</v>
          </cell>
          <cell r="H19">
            <v>3900000</v>
          </cell>
          <cell r="I19">
            <v>4100000</v>
          </cell>
          <cell r="J19">
            <v>4000000</v>
          </cell>
          <cell r="K19">
            <v>4100000</v>
          </cell>
          <cell r="L19">
            <v>4000000</v>
          </cell>
          <cell r="M19">
            <v>4100000</v>
          </cell>
          <cell r="N19">
            <v>4000000</v>
          </cell>
          <cell r="O19">
            <v>3240000</v>
          </cell>
          <cell r="P19">
            <v>0</v>
          </cell>
          <cell r="Q19">
            <v>4100000</v>
          </cell>
          <cell r="R19">
            <v>4000000</v>
          </cell>
          <cell r="S19" t="str">
            <v>TP. Thái Bình</v>
          </cell>
          <cell r="T19" t="str">
            <v>saiiii</v>
          </cell>
          <cell r="U19">
            <v>3800000</v>
          </cell>
          <cell r="V19">
            <v>3700000</v>
          </cell>
        </row>
        <row r="20">
          <cell r="D20" t="str">
            <v>DKG&lt;-&gt;Diêm Điền (Thái Thụy), Thái Bình</v>
          </cell>
          <cell r="E20">
            <v>210</v>
          </cell>
          <cell r="F20">
            <v>950000</v>
          </cell>
          <cell r="G20">
            <v>4450000</v>
          </cell>
          <cell r="H20">
            <v>3950000</v>
          </cell>
          <cell r="I20">
            <v>4050000</v>
          </cell>
          <cell r="J20">
            <v>3950000</v>
          </cell>
          <cell r="K20">
            <v>4050000</v>
          </cell>
          <cell r="L20">
            <v>3950000</v>
          </cell>
          <cell r="M20">
            <v>4050000</v>
          </cell>
          <cell r="N20">
            <v>3900000</v>
          </cell>
          <cell r="O20">
            <v>0</v>
          </cell>
          <cell r="P20">
            <v>0</v>
          </cell>
          <cell r="Q20">
            <v>4050000</v>
          </cell>
          <cell r="R20">
            <v>3900000</v>
          </cell>
          <cell r="S20" t="str">
            <v>Diêm Điền (Thái Thụy)</v>
          </cell>
          <cell r="T20" t="str">
            <v>=</v>
          </cell>
          <cell r="U20" t="str">
            <v>chưa có chuyến từ T09/2022</v>
          </cell>
          <cell r="V20">
            <v>0</v>
          </cell>
        </row>
        <row r="21">
          <cell r="D21" t="str">
            <v>DKG&lt;-&gt;Vũ Thư, Thái Bình</v>
          </cell>
          <cell r="E21">
            <v>185</v>
          </cell>
          <cell r="F21">
            <v>950000</v>
          </cell>
          <cell r="G21">
            <v>4400000</v>
          </cell>
          <cell r="H21">
            <v>3900000</v>
          </cell>
          <cell r="I21">
            <v>4100000</v>
          </cell>
          <cell r="J21">
            <v>4000000</v>
          </cell>
          <cell r="K21">
            <v>4100000</v>
          </cell>
          <cell r="L21">
            <v>4000000</v>
          </cell>
          <cell r="M21">
            <v>4150000</v>
          </cell>
          <cell r="N21">
            <v>4000000</v>
          </cell>
          <cell r="O21">
            <v>0</v>
          </cell>
          <cell r="P21">
            <v>0</v>
          </cell>
          <cell r="Q21">
            <v>4150000</v>
          </cell>
          <cell r="R21">
            <v>4000000</v>
          </cell>
          <cell r="S21" t="str">
            <v>Vũ Thư</v>
          </cell>
          <cell r="T21" t="str">
            <v>=</v>
          </cell>
          <cell r="U21" t="str">
            <v>chưa có chuyến từ T09/2022</v>
          </cell>
          <cell r="V21">
            <v>3700000</v>
          </cell>
        </row>
        <row r="22">
          <cell r="D22" t="str">
            <v>DKG&lt;-&gt;Kiến Xương (chưa phí), Thái Bình</v>
          </cell>
          <cell r="E22">
            <v>190</v>
          </cell>
          <cell r="F22">
            <v>950000</v>
          </cell>
          <cell r="G22">
            <v>4650000</v>
          </cell>
          <cell r="H22">
            <v>3650000</v>
          </cell>
          <cell r="I22">
            <v>4000000</v>
          </cell>
          <cell r="J22">
            <v>3900000</v>
          </cell>
          <cell r="K22">
            <v>4000000</v>
          </cell>
          <cell r="L22">
            <v>3900000</v>
          </cell>
          <cell r="M22">
            <v>4050000</v>
          </cell>
          <cell r="N22">
            <v>3900000</v>
          </cell>
          <cell r="O22">
            <v>0</v>
          </cell>
          <cell r="P22">
            <v>0</v>
          </cell>
          <cell r="Q22">
            <v>4050000</v>
          </cell>
          <cell r="R22">
            <v>3900000</v>
          </cell>
          <cell r="S22" t="str">
            <v>Kiến Xương (chưa phí)</v>
          </cell>
          <cell r="T22" t="str">
            <v>=</v>
          </cell>
          <cell r="U22" t="str">
            <v>chưa có chuyến từ T09/2022</v>
          </cell>
          <cell r="V22">
            <v>0</v>
          </cell>
        </row>
        <row r="23">
          <cell r="D23" t="str">
            <v>DKG&lt;-&gt;Kiến xương (có phí), Thái Bình</v>
          </cell>
          <cell r="E23">
            <v>200</v>
          </cell>
          <cell r="F23">
            <v>1350000</v>
          </cell>
          <cell r="G23">
            <v>4700000</v>
          </cell>
          <cell r="H23">
            <v>4100000</v>
          </cell>
          <cell r="I23">
            <v>4300000</v>
          </cell>
          <cell r="J23">
            <v>4250000</v>
          </cell>
          <cell r="K23">
            <v>4300000</v>
          </cell>
          <cell r="L23">
            <v>4250000</v>
          </cell>
          <cell r="M23">
            <v>4450000</v>
          </cell>
          <cell r="N23">
            <v>4250000</v>
          </cell>
          <cell r="O23">
            <v>0</v>
          </cell>
          <cell r="P23">
            <v>0</v>
          </cell>
          <cell r="Q23">
            <v>4450000</v>
          </cell>
          <cell r="R23">
            <v>4250000</v>
          </cell>
          <cell r="S23" t="str">
            <v>Kiến xương (có phí)</v>
          </cell>
          <cell r="T23" t="str">
            <v>=</v>
          </cell>
          <cell r="U23" t="str">
            <v>chưa có chuyến từ T09/2022</v>
          </cell>
          <cell r="V23">
            <v>0</v>
          </cell>
        </row>
        <row r="24">
          <cell r="D24" t="str">
            <v>DKG&lt;-&gt;Tiền Hải, Thái Bình</v>
          </cell>
          <cell r="E24">
            <v>220</v>
          </cell>
          <cell r="F24">
            <v>1350000</v>
          </cell>
          <cell r="G24">
            <v>5000000</v>
          </cell>
          <cell r="H24">
            <v>4400000</v>
          </cell>
          <cell r="I24">
            <v>4550000</v>
          </cell>
          <cell r="J24">
            <v>4500000</v>
          </cell>
          <cell r="K24">
            <v>4550000</v>
          </cell>
          <cell r="L24">
            <v>4500000</v>
          </cell>
          <cell r="M24">
            <v>4800000</v>
          </cell>
          <cell r="N24">
            <v>4450000</v>
          </cell>
          <cell r="O24">
            <v>0</v>
          </cell>
          <cell r="P24">
            <v>0</v>
          </cell>
          <cell r="Q24">
            <v>4800000</v>
          </cell>
          <cell r="R24">
            <v>4450000</v>
          </cell>
          <cell r="S24" t="str">
            <v>Tiền Hải</v>
          </cell>
          <cell r="T24" t="str">
            <v>=</v>
          </cell>
          <cell r="U24">
            <v>4400000</v>
          </cell>
          <cell r="V24">
            <v>0</v>
          </cell>
        </row>
        <row r="25">
          <cell r="D25" t="str">
            <v>DKG&lt;-&gt;TP. Nam Định</v>
          </cell>
          <cell r="E25">
            <v>215</v>
          </cell>
          <cell r="F25">
            <v>1000000</v>
          </cell>
          <cell r="G25">
            <v>4950000</v>
          </cell>
          <cell r="H25">
            <v>4850000</v>
          </cell>
          <cell r="I25">
            <v>4650000</v>
          </cell>
          <cell r="J25">
            <v>4600000</v>
          </cell>
          <cell r="K25">
            <v>4650000</v>
          </cell>
          <cell r="L25">
            <v>4600000</v>
          </cell>
          <cell r="M25">
            <v>4550000</v>
          </cell>
          <cell r="N25">
            <v>4550000</v>
          </cell>
          <cell r="O25">
            <v>0</v>
          </cell>
          <cell r="P25">
            <v>0</v>
          </cell>
          <cell r="Q25">
            <v>4550000</v>
          </cell>
          <cell r="R25">
            <v>4550000</v>
          </cell>
          <cell r="S25" t="str">
            <v>TP. Nam Định</v>
          </cell>
          <cell r="T25" t="str">
            <v>saiiii</v>
          </cell>
          <cell r="U25" t="str">
            <v>chưa có chuyến từ T09/2022</v>
          </cell>
          <cell r="V25">
            <v>0</v>
          </cell>
        </row>
        <row r="26">
          <cell r="D26" t="str">
            <v>DKG&lt;-&gt;Cổ Lễ, Nam Định</v>
          </cell>
          <cell r="E26">
            <v>240</v>
          </cell>
          <cell r="F26">
            <v>1000000</v>
          </cell>
          <cell r="G26">
            <v>5350000</v>
          </cell>
          <cell r="H26">
            <v>4850000</v>
          </cell>
          <cell r="I26">
            <v>4900000</v>
          </cell>
          <cell r="J26">
            <v>4800000</v>
          </cell>
          <cell r="K26">
            <v>4900000</v>
          </cell>
          <cell r="L26">
            <v>4800000</v>
          </cell>
          <cell r="M26">
            <v>4900000</v>
          </cell>
          <cell r="N26">
            <v>4800000</v>
          </cell>
          <cell r="O26">
            <v>0</v>
          </cell>
          <cell r="P26">
            <v>0</v>
          </cell>
          <cell r="Q26">
            <v>4900000</v>
          </cell>
          <cell r="R26">
            <v>4800000</v>
          </cell>
          <cell r="S26" t="str">
            <v>Cổ Lễ</v>
          </cell>
          <cell r="T26" t="str">
            <v>=</v>
          </cell>
          <cell r="U26">
            <v>4500000</v>
          </cell>
          <cell r="V26">
            <v>4500000</v>
          </cell>
        </row>
        <row r="27">
          <cell r="D27" t="str">
            <v>DKG&lt;-&gt;Hải Hậu, Nam Định</v>
          </cell>
          <cell r="E27">
            <v>300</v>
          </cell>
          <cell r="F27">
            <v>1000000</v>
          </cell>
          <cell r="G27">
            <v>5300000</v>
          </cell>
          <cell r="H27">
            <v>4800000</v>
          </cell>
          <cell r="I27">
            <v>4900000</v>
          </cell>
          <cell r="J27">
            <v>4900000</v>
          </cell>
          <cell r="K27">
            <v>4900000</v>
          </cell>
          <cell r="L27">
            <v>4900000</v>
          </cell>
          <cell r="M27">
            <v>4950000</v>
          </cell>
          <cell r="N27">
            <v>4850000</v>
          </cell>
          <cell r="O27">
            <v>4140000</v>
          </cell>
          <cell r="P27">
            <v>0</v>
          </cell>
          <cell r="Q27">
            <v>4950000</v>
          </cell>
          <cell r="R27">
            <v>4850000</v>
          </cell>
          <cell r="S27" t="str">
            <v>Hải Hậu</v>
          </cell>
          <cell r="T27" t="str">
            <v>=</v>
          </cell>
          <cell r="U27">
            <v>4600000</v>
          </cell>
          <cell r="V27">
            <v>4600000</v>
          </cell>
        </row>
        <row r="28">
          <cell r="D28" t="str">
            <v>DKG&lt;-&gt;Nghĩa Hưng, Nam Định</v>
          </cell>
          <cell r="E28">
            <v>292</v>
          </cell>
          <cell r="F28">
            <v>1000000</v>
          </cell>
          <cell r="G28">
            <v>5350000</v>
          </cell>
          <cell r="H28">
            <v>4850000</v>
          </cell>
          <cell r="I28">
            <v>4950000</v>
          </cell>
          <cell r="J28">
            <v>4950000</v>
          </cell>
          <cell r="K28">
            <v>4950000</v>
          </cell>
          <cell r="L28">
            <v>4950000</v>
          </cell>
          <cell r="M28">
            <v>5000000</v>
          </cell>
          <cell r="N28">
            <v>4900000</v>
          </cell>
          <cell r="O28">
            <v>0</v>
          </cell>
          <cell r="P28">
            <v>0</v>
          </cell>
          <cell r="Q28">
            <v>5000000</v>
          </cell>
          <cell r="R28">
            <v>4900000</v>
          </cell>
          <cell r="S28" t="str">
            <v>Nghĩa Hưng</v>
          </cell>
          <cell r="T28" t="str">
            <v>=</v>
          </cell>
          <cell r="U28" t="str">
            <v>chưa có chuyến từ T09/2022</v>
          </cell>
          <cell r="V28">
            <v>0</v>
          </cell>
        </row>
        <row r="29">
          <cell r="D29" t="str">
            <v>DKG&lt;-&gt;Xuân Trường, Nam Định</v>
          </cell>
          <cell r="E29">
            <v>270</v>
          </cell>
          <cell r="F29">
            <v>1000000</v>
          </cell>
          <cell r="G29">
            <v>5300000</v>
          </cell>
          <cell r="H29">
            <v>4800000</v>
          </cell>
          <cell r="I29">
            <v>4850000</v>
          </cell>
          <cell r="J29">
            <v>4850000</v>
          </cell>
          <cell r="K29">
            <v>4850000</v>
          </cell>
          <cell r="L29">
            <v>4850000</v>
          </cell>
          <cell r="M29">
            <v>4950000</v>
          </cell>
          <cell r="N29">
            <v>4850000</v>
          </cell>
          <cell r="O29">
            <v>4240000</v>
          </cell>
          <cell r="P29">
            <v>0</v>
          </cell>
          <cell r="Q29">
            <v>4950000</v>
          </cell>
          <cell r="R29">
            <v>4850000</v>
          </cell>
          <cell r="S29" t="str">
            <v>Xuân Trường</v>
          </cell>
          <cell r="T29" t="str">
            <v>=</v>
          </cell>
          <cell r="U29" t="str">
            <v>chưa có chuyến từ T09/2022</v>
          </cell>
          <cell r="V29">
            <v>0</v>
          </cell>
        </row>
        <row r="30">
          <cell r="D30" t="str">
            <v>DKG&lt;-&gt;Ý Yên, Nam Định</v>
          </cell>
          <cell r="E30">
            <v>270</v>
          </cell>
          <cell r="F30">
            <v>1000000</v>
          </cell>
          <cell r="G30">
            <v>5300000</v>
          </cell>
          <cell r="H30">
            <v>4800000</v>
          </cell>
          <cell r="I30">
            <v>4850000</v>
          </cell>
          <cell r="J30">
            <v>4850000</v>
          </cell>
          <cell r="K30">
            <v>4850000</v>
          </cell>
          <cell r="L30">
            <v>4850000</v>
          </cell>
          <cell r="M30">
            <v>4650000</v>
          </cell>
          <cell r="N30">
            <v>4650000</v>
          </cell>
          <cell r="O30">
            <v>0</v>
          </cell>
          <cell r="P30">
            <v>0</v>
          </cell>
          <cell r="Q30">
            <v>4650000</v>
          </cell>
          <cell r="R30">
            <v>4650000</v>
          </cell>
          <cell r="S30" t="str">
            <v>Ý Yên</v>
          </cell>
          <cell r="T30" t="str">
            <v>=</v>
          </cell>
          <cell r="U30">
            <v>4600000</v>
          </cell>
          <cell r="V30">
            <v>4600000</v>
          </cell>
        </row>
        <row r="31">
          <cell r="D31" t="str">
            <v>DKG&lt;-&gt;Bình Lục, Hà Nam</v>
          </cell>
          <cell r="E31">
            <v>250</v>
          </cell>
          <cell r="F31">
            <v>1100000</v>
          </cell>
          <cell r="G31">
            <v>5350000</v>
          </cell>
          <cell r="H31">
            <v>4850000</v>
          </cell>
          <cell r="I31">
            <v>4800000</v>
          </cell>
          <cell r="J31">
            <v>4800000</v>
          </cell>
          <cell r="K31">
            <v>4800000</v>
          </cell>
          <cell r="L31">
            <v>4800000</v>
          </cell>
          <cell r="M31">
            <v>5000000</v>
          </cell>
          <cell r="N31">
            <v>4800000</v>
          </cell>
          <cell r="O31">
            <v>0</v>
          </cell>
          <cell r="P31">
            <v>0</v>
          </cell>
          <cell r="Q31">
            <v>5000000</v>
          </cell>
          <cell r="R31">
            <v>4800000</v>
          </cell>
          <cell r="S31" t="str">
            <v>Bình Lục</v>
          </cell>
          <cell r="T31" t="str">
            <v>=</v>
          </cell>
          <cell r="U31" t="str">
            <v>chưa có chuyến từ T09/2022</v>
          </cell>
          <cell r="V31">
            <v>0</v>
          </cell>
        </row>
        <row r="32">
          <cell r="D32" t="str">
            <v>DKG&lt;-&gt;TP. Ninh Bình</v>
          </cell>
          <cell r="E32">
            <v>295</v>
          </cell>
          <cell r="F32">
            <v>1050000</v>
          </cell>
          <cell r="G32">
            <v>5450000</v>
          </cell>
          <cell r="H32">
            <v>5350000</v>
          </cell>
          <cell r="I32">
            <v>5150000</v>
          </cell>
          <cell r="J32">
            <v>5050000</v>
          </cell>
          <cell r="K32">
            <v>5150000</v>
          </cell>
          <cell r="L32">
            <v>5050000</v>
          </cell>
          <cell r="M32">
            <v>5000000</v>
          </cell>
          <cell r="N32">
            <v>4750000</v>
          </cell>
          <cell r="O32">
            <v>0</v>
          </cell>
          <cell r="P32">
            <v>0</v>
          </cell>
          <cell r="Q32">
            <v>5000000</v>
          </cell>
          <cell r="R32">
            <v>4750000</v>
          </cell>
          <cell r="S32" t="str">
            <v>TP. Ninh Bình</v>
          </cell>
          <cell r="T32" t="str">
            <v>saiiii</v>
          </cell>
          <cell r="U32">
            <v>4700000</v>
          </cell>
          <cell r="V32">
            <v>4700000</v>
          </cell>
        </row>
        <row r="33">
          <cell r="D33" t="str">
            <v>DKG&lt;-&gt;Nho Quan, Ninh Bình</v>
          </cell>
          <cell r="E33">
            <v>355</v>
          </cell>
          <cell r="F33">
            <v>1050000</v>
          </cell>
          <cell r="G33">
            <v>5950000</v>
          </cell>
          <cell r="H33">
            <v>5850000</v>
          </cell>
          <cell r="I33">
            <v>5450000</v>
          </cell>
          <cell r="J33">
            <v>5450000</v>
          </cell>
          <cell r="K33">
            <v>5450000</v>
          </cell>
          <cell r="L33">
            <v>5450000</v>
          </cell>
          <cell r="M33">
            <v>5700000</v>
          </cell>
          <cell r="N33">
            <v>5400000</v>
          </cell>
          <cell r="O33">
            <v>0</v>
          </cell>
          <cell r="P33">
            <v>0</v>
          </cell>
          <cell r="Q33">
            <v>5700000</v>
          </cell>
          <cell r="R33">
            <v>5400000</v>
          </cell>
          <cell r="S33" t="str">
            <v>Nho Quan</v>
          </cell>
          <cell r="T33" t="str">
            <v>=</v>
          </cell>
          <cell r="U33" t="str">
            <v>chưa có chuyến từ T09/2022</v>
          </cell>
          <cell r="V33">
            <v>0</v>
          </cell>
        </row>
        <row r="34">
          <cell r="D34" t="str">
            <v>DKG&lt;-&gt;Kim Sơn, Ninh Bình</v>
          </cell>
          <cell r="E34">
            <v>327</v>
          </cell>
          <cell r="F34">
            <v>1050000</v>
          </cell>
          <cell r="G34">
            <v>5900000</v>
          </cell>
          <cell r="H34">
            <v>5800000</v>
          </cell>
          <cell r="I34">
            <v>5450000</v>
          </cell>
          <cell r="J34">
            <v>5450000</v>
          </cell>
          <cell r="K34">
            <v>5450000</v>
          </cell>
          <cell r="L34">
            <v>5450000</v>
          </cell>
          <cell r="M34">
            <v>5750000</v>
          </cell>
          <cell r="N34">
            <v>5450000</v>
          </cell>
          <cell r="O34">
            <v>0</v>
          </cell>
          <cell r="P34">
            <v>0</v>
          </cell>
          <cell r="Q34">
            <v>5750000</v>
          </cell>
          <cell r="R34">
            <v>5450000</v>
          </cell>
          <cell r="S34" t="str">
            <v>Kim Sơn</v>
          </cell>
          <cell r="T34" t="str">
            <v>=</v>
          </cell>
          <cell r="U34">
            <v>5400000</v>
          </cell>
          <cell r="V34">
            <v>0</v>
          </cell>
        </row>
        <row r="35">
          <cell r="D35" t="str">
            <v>DKG&lt;-&gt;Khánh Phú, Ninh Bình</v>
          </cell>
          <cell r="E35">
            <v>280</v>
          </cell>
          <cell r="F35">
            <v>1050000</v>
          </cell>
          <cell r="G35">
            <v>0</v>
          </cell>
          <cell r="H35">
            <v>0</v>
          </cell>
          <cell r="I35">
            <v>0</v>
          </cell>
          <cell r="J35">
            <v>0</v>
          </cell>
          <cell r="K35">
            <v>0</v>
          </cell>
          <cell r="L35">
            <v>0</v>
          </cell>
          <cell r="M35">
            <v>0</v>
          </cell>
          <cell r="N35">
            <v>0</v>
          </cell>
          <cell r="O35">
            <v>4140000</v>
          </cell>
          <cell r="P35">
            <v>0</v>
          </cell>
          <cell r="Q35">
            <v>0</v>
          </cell>
          <cell r="R35">
            <v>0</v>
          </cell>
          <cell r="S35" t="str">
            <v>Khánh Phú</v>
          </cell>
          <cell r="T35" t="str">
            <v>=</v>
          </cell>
          <cell r="U35" t="str">
            <v>chưa có chuyến từ T09/2022</v>
          </cell>
          <cell r="V35">
            <v>0</v>
          </cell>
        </row>
        <row r="36">
          <cell r="D36" t="str">
            <v>DKG&lt;-&gt;Ninh Phong, Ninh Bình</v>
          </cell>
          <cell r="E36">
            <v>290</v>
          </cell>
          <cell r="F36">
            <v>1050000</v>
          </cell>
          <cell r="G36">
            <v>0</v>
          </cell>
          <cell r="H36">
            <v>0</v>
          </cell>
          <cell r="I36">
            <v>0</v>
          </cell>
          <cell r="J36">
            <v>0</v>
          </cell>
          <cell r="K36">
            <v>0</v>
          </cell>
          <cell r="L36">
            <v>0</v>
          </cell>
          <cell r="M36">
            <v>0</v>
          </cell>
          <cell r="N36">
            <v>0</v>
          </cell>
          <cell r="O36">
            <v>4140000</v>
          </cell>
          <cell r="P36">
            <v>0</v>
          </cell>
          <cell r="Q36">
            <v>0</v>
          </cell>
          <cell r="R36">
            <v>0</v>
          </cell>
          <cell r="S36" t="str">
            <v>Ninh Phong</v>
          </cell>
          <cell r="T36" t="str">
            <v>=</v>
          </cell>
          <cell r="U36" t="str">
            <v>chưa có chuyến từ T09/2022</v>
          </cell>
          <cell r="V36">
            <v>0</v>
          </cell>
        </row>
        <row r="37">
          <cell r="D37" t="str">
            <v>DKG&lt;-&gt;Yên Khánh, Ninh Bình</v>
          </cell>
          <cell r="E37">
            <v>295</v>
          </cell>
          <cell r="F37">
            <v>1050000</v>
          </cell>
          <cell r="G37">
            <v>0</v>
          </cell>
          <cell r="H37">
            <v>0</v>
          </cell>
          <cell r="I37">
            <v>0</v>
          </cell>
          <cell r="J37">
            <v>0</v>
          </cell>
          <cell r="K37">
            <v>0</v>
          </cell>
          <cell r="L37">
            <v>0</v>
          </cell>
          <cell r="M37">
            <v>0</v>
          </cell>
          <cell r="N37">
            <v>0</v>
          </cell>
          <cell r="O37">
            <v>4140000</v>
          </cell>
          <cell r="P37">
            <v>0</v>
          </cell>
          <cell r="Q37">
            <v>0</v>
          </cell>
          <cell r="R37">
            <v>0</v>
          </cell>
          <cell r="S37" t="str">
            <v>Yên Khánh</v>
          </cell>
          <cell r="T37" t="str">
            <v>=</v>
          </cell>
          <cell r="U37" t="str">
            <v>chưa có chuyến từ T09/2022</v>
          </cell>
          <cell r="V37">
            <v>0</v>
          </cell>
        </row>
        <row r="38">
          <cell r="D38" t="str">
            <v>DKG&lt;-&gt;Bỉm Sơn, Thanh Hóa</v>
          </cell>
          <cell r="E38">
            <v>326</v>
          </cell>
          <cell r="F38">
            <v>1400000</v>
          </cell>
          <cell r="G38">
            <v>6800000</v>
          </cell>
          <cell r="H38">
            <v>6700000</v>
          </cell>
          <cell r="I38">
            <v>6450000</v>
          </cell>
          <cell r="J38">
            <v>6450000</v>
          </cell>
          <cell r="K38">
            <v>6450000</v>
          </cell>
          <cell r="L38">
            <v>6450000</v>
          </cell>
          <cell r="M38">
            <v>6750000</v>
          </cell>
          <cell r="N38">
            <v>6450000</v>
          </cell>
          <cell r="O38">
            <v>0</v>
          </cell>
          <cell r="P38">
            <v>0</v>
          </cell>
          <cell r="Q38">
            <v>6750000</v>
          </cell>
          <cell r="R38">
            <v>6450000</v>
          </cell>
          <cell r="S38" t="str">
            <v>Bỉm Sơn</v>
          </cell>
          <cell r="T38" t="str">
            <v>=</v>
          </cell>
          <cell r="U38" t="str">
            <v>chưa có chuyến từ T09/2022</v>
          </cell>
          <cell r="V38">
            <v>0</v>
          </cell>
        </row>
        <row r="39">
          <cell r="D39" t="str">
            <v>DKG&lt;-&gt;Hoằng Hóa, Thanh Hóa</v>
          </cell>
          <cell r="E39">
            <v>410</v>
          </cell>
          <cell r="F39">
            <v>1400000</v>
          </cell>
          <cell r="G39">
            <v>7200000</v>
          </cell>
          <cell r="H39">
            <v>7100000</v>
          </cell>
          <cell r="I39">
            <v>6700000</v>
          </cell>
          <cell r="J39">
            <v>6700000</v>
          </cell>
          <cell r="K39">
            <v>6700000</v>
          </cell>
          <cell r="L39">
            <v>6700000</v>
          </cell>
          <cell r="M39">
            <v>6850000</v>
          </cell>
          <cell r="N39">
            <v>6700000</v>
          </cell>
          <cell r="O39">
            <v>0</v>
          </cell>
          <cell r="P39">
            <v>0</v>
          </cell>
          <cell r="Q39">
            <v>6850000</v>
          </cell>
          <cell r="R39">
            <v>6700000</v>
          </cell>
          <cell r="S39" t="str">
            <v>Hoằng Hóa</v>
          </cell>
          <cell r="T39" t="str">
            <v>=</v>
          </cell>
          <cell r="U39">
            <v>6500000</v>
          </cell>
          <cell r="V39">
            <v>0</v>
          </cell>
        </row>
        <row r="40">
          <cell r="D40" t="str">
            <v>DKG&lt;-&gt;Đông Sơn, Thanh Hóa</v>
          </cell>
          <cell r="E40">
            <v>440</v>
          </cell>
          <cell r="F40">
            <v>1400000</v>
          </cell>
          <cell r="G40">
            <v>7250000</v>
          </cell>
          <cell r="H40">
            <v>7150000</v>
          </cell>
          <cell r="I40">
            <v>6850000</v>
          </cell>
          <cell r="J40">
            <v>6850000</v>
          </cell>
          <cell r="K40">
            <v>6850000</v>
          </cell>
          <cell r="L40">
            <v>6850000</v>
          </cell>
          <cell r="M40">
            <v>7300000</v>
          </cell>
          <cell r="N40">
            <v>6800000</v>
          </cell>
          <cell r="O40">
            <v>0</v>
          </cell>
          <cell r="P40">
            <v>0</v>
          </cell>
          <cell r="Q40">
            <v>7300000</v>
          </cell>
          <cell r="R40">
            <v>6800000</v>
          </cell>
          <cell r="S40" t="str">
            <v>Đông Sơn</v>
          </cell>
          <cell r="T40" t="str">
            <v>=</v>
          </cell>
          <cell r="U40" t="str">
            <v>chưa có chuyến từ T09/2022</v>
          </cell>
          <cell r="V40">
            <v>0</v>
          </cell>
        </row>
        <row r="41">
          <cell r="D41" t="str">
            <v>DKG&lt;-&gt;TP. Thanh Hóa</v>
          </cell>
          <cell r="E41">
            <v>410</v>
          </cell>
          <cell r="F41">
            <v>1400000</v>
          </cell>
          <cell r="G41">
            <v>7200000</v>
          </cell>
          <cell r="H41">
            <v>7100000</v>
          </cell>
          <cell r="I41">
            <v>6700000</v>
          </cell>
          <cell r="J41">
            <v>6700000</v>
          </cell>
          <cell r="K41">
            <v>6700000</v>
          </cell>
          <cell r="L41">
            <v>6700000</v>
          </cell>
          <cell r="M41">
            <v>7100000</v>
          </cell>
          <cell r="N41">
            <v>6700000</v>
          </cell>
          <cell r="O41">
            <v>0</v>
          </cell>
          <cell r="P41">
            <v>0</v>
          </cell>
          <cell r="Q41">
            <v>7100000</v>
          </cell>
          <cell r="R41">
            <v>6700000</v>
          </cell>
          <cell r="S41" t="str">
            <v>TP. Thanh Hóa</v>
          </cell>
          <cell r="T41" t="str">
            <v>saiiii</v>
          </cell>
          <cell r="U41">
            <v>6600000</v>
          </cell>
          <cell r="V41">
            <v>0</v>
          </cell>
        </row>
        <row r="42">
          <cell r="D42" t="str">
            <v>DKG&lt;-&gt;Hà Trung, Thanh Hóa</v>
          </cell>
          <cell r="E42">
            <v>350</v>
          </cell>
          <cell r="F42">
            <v>1400000</v>
          </cell>
          <cell r="G42">
            <v>6950000</v>
          </cell>
          <cell r="H42">
            <v>6850000</v>
          </cell>
          <cell r="I42">
            <v>6450000</v>
          </cell>
          <cell r="J42">
            <v>6450000</v>
          </cell>
          <cell r="K42">
            <v>6450000</v>
          </cell>
          <cell r="L42">
            <v>6450000</v>
          </cell>
          <cell r="M42">
            <v>6700000</v>
          </cell>
          <cell r="N42">
            <v>6400000</v>
          </cell>
          <cell r="O42">
            <v>0</v>
          </cell>
          <cell r="P42">
            <v>0</v>
          </cell>
          <cell r="Q42">
            <v>6700000</v>
          </cell>
          <cell r="R42">
            <v>6400000</v>
          </cell>
          <cell r="S42" t="str">
            <v>Hà Trung</v>
          </cell>
          <cell r="T42" t="str">
            <v>=</v>
          </cell>
          <cell r="U42" t="str">
            <v>chưa có chuyến từ T09/2022</v>
          </cell>
          <cell r="V42">
            <v>6000000</v>
          </cell>
        </row>
        <row r="43">
          <cell r="D43" t="str">
            <v>DKG&lt;-&gt;Hậu Lộc, Thanh Hóa</v>
          </cell>
          <cell r="E43">
            <v>384</v>
          </cell>
          <cell r="F43">
            <v>1400000</v>
          </cell>
          <cell r="G43">
            <v>7150000</v>
          </cell>
          <cell r="H43">
            <v>7050000</v>
          </cell>
          <cell r="I43">
            <v>6600000</v>
          </cell>
          <cell r="J43">
            <v>6600000</v>
          </cell>
          <cell r="K43">
            <v>6600000</v>
          </cell>
          <cell r="L43">
            <v>6600000</v>
          </cell>
          <cell r="M43">
            <v>6850000</v>
          </cell>
          <cell r="N43">
            <v>6600000</v>
          </cell>
          <cell r="O43">
            <v>0</v>
          </cell>
          <cell r="P43">
            <v>0</v>
          </cell>
          <cell r="Q43">
            <v>6850000</v>
          </cell>
          <cell r="R43">
            <v>6600000</v>
          </cell>
          <cell r="S43" t="str">
            <v>Hậu Lộc</v>
          </cell>
          <cell r="T43" t="str">
            <v>=</v>
          </cell>
          <cell r="U43">
            <v>6500000</v>
          </cell>
          <cell r="V43">
            <v>6300000</v>
          </cell>
        </row>
        <row r="44">
          <cell r="D44" t="str">
            <v>DKG&lt;-&gt;Tĩnh Gia, Thanh Hóa</v>
          </cell>
          <cell r="E44">
            <v>490</v>
          </cell>
          <cell r="F44">
            <v>1400000</v>
          </cell>
          <cell r="G44">
            <v>7850000</v>
          </cell>
          <cell r="H44">
            <v>7750000</v>
          </cell>
          <cell r="I44">
            <v>7200000</v>
          </cell>
          <cell r="J44">
            <v>7150000</v>
          </cell>
          <cell r="K44">
            <v>7200000</v>
          </cell>
          <cell r="L44">
            <v>7150000</v>
          </cell>
          <cell r="M44">
            <v>7800000</v>
          </cell>
          <cell r="N44">
            <v>7100000</v>
          </cell>
          <cell r="O44">
            <v>6650000</v>
          </cell>
          <cell r="P44">
            <v>0</v>
          </cell>
          <cell r="Q44">
            <v>7800000</v>
          </cell>
          <cell r="R44">
            <v>7100000</v>
          </cell>
          <cell r="S44" t="str">
            <v>Tĩnh Gia</v>
          </cell>
          <cell r="T44" t="str">
            <v>=</v>
          </cell>
          <cell r="U44">
            <v>7000000</v>
          </cell>
          <cell r="V44">
            <v>6800000</v>
          </cell>
        </row>
        <row r="45">
          <cell r="D45" t="str">
            <v>DKG&lt;-&gt;Thọ Xuân, Thanh Hóa</v>
          </cell>
          <cell r="E45">
            <v>500</v>
          </cell>
          <cell r="F45">
            <v>1400000</v>
          </cell>
          <cell r="G45">
            <v>7950000</v>
          </cell>
          <cell r="H45">
            <v>7850000</v>
          </cell>
          <cell r="I45">
            <v>7250000</v>
          </cell>
          <cell r="J45">
            <v>7200000</v>
          </cell>
          <cell r="K45">
            <v>7250000</v>
          </cell>
          <cell r="L45">
            <v>7200000</v>
          </cell>
          <cell r="M45">
            <v>7900000</v>
          </cell>
          <cell r="N45">
            <v>7200000</v>
          </cell>
          <cell r="O45">
            <v>0</v>
          </cell>
          <cell r="P45" t="str">
            <v>Như Xuân</v>
          </cell>
          <cell r="Q45">
            <v>7900000</v>
          </cell>
          <cell r="R45">
            <v>7200000</v>
          </cell>
          <cell r="S45" t="str">
            <v>Thọ Xuân</v>
          </cell>
          <cell r="T45" t="str">
            <v>=</v>
          </cell>
          <cell r="U45">
            <v>6800000</v>
          </cell>
          <cell r="V45">
            <v>6600000</v>
          </cell>
        </row>
        <row r="46">
          <cell r="D46" t="str">
            <v>DKG&lt;-&gt;Triệu Sơn, Thanh Hóa</v>
          </cell>
          <cell r="E46">
            <v>470</v>
          </cell>
          <cell r="F46">
            <v>1400000</v>
          </cell>
          <cell r="G46">
            <v>7850000</v>
          </cell>
          <cell r="H46">
            <v>7750000</v>
          </cell>
          <cell r="I46">
            <v>7200000</v>
          </cell>
          <cell r="J46">
            <v>7150000</v>
          </cell>
          <cell r="K46">
            <v>7200000</v>
          </cell>
          <cell r="L46">
            <v>7150000</v>
          </cell>
          <cell r="M46">
            <v>7800000</v>
          </cell>
          <cell r="N46">
            <v>7100000</v>
          </cell>
          <cell r="O46">
            <v>6000000</v>
          </cell>
          <cell r="P46">
            <v>0</v>
          </cell>
          <cell r="Q46">
            <v>7800000</v>
          </cell>
          <cell r="R46">
            <v>7100000</v>
          </cell>
          <cell r="S46" t="str">
            <v>Triệu Sơn</v>
          </cell>
          <cell r="T46" t="str">
            <v>=</v>
          </cell>
          <cell r="U46">
            <v>6800000</v>
          </cell>
          <cell r="V46">
            <v>6600000</v>
          </cell>
          <cell r="W46" t="str">
            <v>Thạch Thành =66</v>
          </cell>
        </row>
        <row r="47">
          <cell r="D47" t="str">
            <v>DKG&lt;-&gt;Yên Định, Thanh Hóa</v>
          </cell>
          <cell r="E47">
            <v>425</v>
          </cell>
          <cell r="F47">
            <v>1400000</v>
          </cell>
          <cell r="G47">
            <v>7650000</v>
          </cell>
          <cell r="H47">
            <v>7550000</v>
          </cell>
          <cell r="I47">
            <v>7000000</v>
          </cell>
          <cell r="J47">
            <v>7000000</v>
          </cell>
          <cell r="K47">
            <v>7000000</v>
          </cell>
          <cell r="L47">
            <v>7000000</v>
          </cell>
          <cell r="M47">
            <v>7250000</v>
          </cell>
          <cell r="N47">
            <v>6950000</v>
          </cell>
          <cell r="O47">
            <v>0</v>
          </cell>
          <cell r="P47">
            <v>0</v>
          </cell>
          <cell r="Q47">
            <v>7250000</v>
          </cell>
          <cell r="R47">
            <v>6950000</v>
          </cell>
          <cell r="S47" t="str">
            <v>Yên Định</v>
          </cell>
          <cell r="T47" t="str">
            <v>=</v>
          </cell>
          <cell r="U47">
            <v>6800000</v>
          </cell>
          <cell r="V47">
            <v>6600000</v>
          </cell>
        </row>
        <row r="48">
          <cell r="D48" t="str">
            <v>DKG&lt;-&gt;Quảng Xương, Thanh Hóa</v>
          </cell>
          <cell r="E48">
            <v>445</v>
          </cell>
          <cell r="F48">
            <v>1400000</v>
          </cell>
          <cell r="G48">
            <v>7750000</v>
          </cell>
          <cell r="H48">
            <v>7650000</v>
          </cell>
          <cell r="I48">
            <v>7100000</v>
          </cell>
          <cell r="J48">
            <v>7100000</v>
          </cell>
          <cell r="K48">
            <v>7100000</v>
          </cell>
          <cell r="L48">
            <v>7100000</v>
          </cell>
          <cell r="M48">
            <v>7400000</v>
          </cell>
          <cell r="N48">
            <v>7100000</v>
          </cell>
          <cell r="O48">
            <v>0</v>
          </cell>
          <cell r="P48">
            <v>0</v>
          </cell>
          <cell r="Q48">
            <v>7400000</v>
          </cell>
          <cell r="R48">
            <v>7100000</v>
          </cell>
          <cell r="S48" t="str">
            <v>Quảng Xương</v>
          </cell>
          <cell r="T48" t="str">
            <v>=</v>
          </cell>
          <cell r="U48" t="str">
            <v>chưa có chuyến từ T09/2022</v>
          </cell>
          <cell r="V48">
            <v>0</v>
          </cell>
        </row>
        <row r="49">
          <cell r="D49" t="str">
            <v>DKG&lt;-&gt;Sầm Sơn, Thanh Hóa</v>
          </cell>
          <cell r="E49">
            <v>430</v>
          </cell>
          <cell r="F49">
            <v>1400000</v>
          </cell>
          <cell r="G49">
            <v>7650000</v>
          </cell>
          <cell r="H49">
            <v>7550000</v>
          </cell>
          <cell r="I49">
            <v>7000000</v>
          </cell>
          <cell r="J49">
            <v>7000000</v>
          </cell>
          <cell r="K49">
            <v>7000000</v>
          </cell>
          <cell r="L49">
            <v>7000000</v>
          </cell>
          <cell r="M49">
            <v>7250000</v>
          </cell>
          <cell r="N49">
            <v>6950000</v>
          </cell>
          <cell r="O49">
            <v>0</v>
          </cell>
          <cell r="P49">
            <v>0</v>
          </cell>
          <cell r="Q49">
            <v>7250000</v>
          </cell>
          <cell r="R49">
            <v>6950000</v>
          </cell>
          <cell r="S49" t="str">
            <v>Sầm Sơn</v>
          </cell>
          <cell r="T49" t="str">
            <v>=</v>
          </cell>
          <cell r="U49">
            <v>6800000</v>
          </cell>
          <cell r="V49">
            <v>0</v>
          </cell>
        </row>
        <row r="50">
          <cell r="D50" t="str">
            <v>DKG&lt;-&gt;Thiệu Hóa, Thanh Hóa</v>
          </cell>
          <cell r="E50">
            <v>450</v>
          </cell>
          <cell r="F50">
            <v>1400000</v>
          </cell>
          <cell r="G50">
            <v>7750000</v>
          </cell>
          <cell r="H50">
            <v>7650000</v>
          </cell>
          <cell r="I50">
            <v>7150000</v>
          </cell>
          <cell r="J50">
            <v>7100000</v>
          </cell>
          <cell r="K50">
            <v>7150000</v>
          </cell>
          <cell r="L50">
            <v>7100000</v>
          </cell>
          <cell r="M50">
            <v>7800000</v>
          </cell>
          <cell r="N50">
            <v>7100000</v>
          </cell>
          <cell r="O50">
            <v>0</v>
          </cell>
          <cell r="P50">
            <v>0</v>
          </cell>
          <cell r="Q50">
            <v>7800000</v>
          </cell>
          <cell r="R50">
            <v>7100000</v>
          </cell>
          <cell r="S50" t="str">
            <v>Thiệu Hóa</v>
          </cell>
          <cell r="T50" t="str">
            <v>=</v>
          </cell>
          <cell r="U50" t="str">
            <v>chưa có chuyến từ T09/2022</v>
          </cell>
          <cell r="V50">
            <v>0</v>
          </cell>
        </row>
        <row r="51">
          <cell r="D51" t="str">
            <v>DKG&lt;-&gt;Nông Cống, Thanh Hóa</v>
          </cell>
          <cell r="E51">
            <v>490</v>
          </cell>
          <cell r="F51">
            <v>1400000</v>
          </cell>
          <cell r="G51">
            <v>7850000</v>
          </cell>
          <cell r="H51">
            <v>7750000</v>
          </cell>
          <cell r="I51">
            <v>7600000</v>
          </cell>
          <cell r="J51">
            <v>7550000</v>
          </cell>
          <cell r="K51">
            <v>7600000</v>
          </cell>
          <cell r="L51">
            <v>7550000</v>
          </cell>
          <cell r="M51">
            <v>7800000</v>
          </cell>
          <cell r="N51">
            <v>7500000</v>
          </cell>
          <cell r="O51">
            <v>0</v>
          </cell>
          <cell r="P51" t="str">
            <v>Cẩm Thủy</v>
          </cell>
          <cell r="Q51">
            <v>7800000</v>
          </cell>
          <cell r="R51">
            <v>7500000</v>
          </cell>
          <cell r="S51" t="str">
            <v>Nông Cống</v>
          </cell>
          <cell r="T51" t="str">
            <v>=</v>
          </cell>
          <cell r="U51" t="str">
            <v>chưa có chuyến từ T09/2022</v>
          </cell>
          <cell r="V51">
            <v>6600000</v>
          </cell>
        </row>
        <row r="52">
          <cell r="D52" t="str">
            <v>DKG&lt;-&gt;Quỳnh Lưu, Nghệ An</v>
          </cell>
          <cell r="E52">
            <v>550</v>
          </cell>
          <cell r="F52">
            <v>1800000</v>
          </cell>
          <cell r="G52">
            <v>9650000</v>
          </cell>
          <cell r="H52">
            <v>8650000</v>
          </cell>
          <cell r="I52">
            <v>8700000</v>
          </cell>
          <cell r="J52">
            <v>8600000</v>
          </cell>
          <cell r="K52">
            <v>8700000</v>
          </cell>
          <cell r="L52">
            <v>8600000</v>
          </cell>
          <cell r="M52">
            <v>9200000</v>
          </cell>
          <cell r="N52">
            <v>8550000</v>
          </cell>
          <cell r="O52">
            <v>0</v>
          </cell>
          <cell r="P52">
            <v>0</v>
          </cell>
          <cell r="Q52">
            <v>9200000</v>
          </cell>
          <cell r="R52">
            <v>8550000</v>
          </cell>
          <cell r="S52" t="str">
            <v>Quỳnh Lưu</v>
          </cell>
          <cell r="T52" t="str">
            <v>=</v>
          </cell>
          <cell r="U52">
            <v>8200000</v>
          </cell>
          <cell r="V52">
            <v>8000000</v>
          </cell>
        </row>
        <row r="53">
          <cell r="D53" t="str">
            <v>DKG&lt;-&gt;Diễn Châu, Nghệ An</v>
          </cell>
          <cell r="E53">
            <v>612</v>
          </cell>
          <cell r="F53">
            <v>1800000</v>
          </cell>
          <cell r="G53">
            <v>10250000</v>
          </cell>
          <cell r="H53">
            <v>9750000</v>
          </cell>
          <cell r="I53">
            <v>9400000</v>
          </cell>
          <cell r="J53">
            <v>9300000</v>
          </cell>
          <cell r="K53">
            <v>9400000</v>
          </cell>
          <cell r="L53">
            <v>9300000</v>
          </cell>
          <cell r="M53">
            <v>10000000</v>
          </cell>
          <cell r="N53">
            <v>9250000</v>
          </cell>
          <cell r="O53">
            <v>0</v>
          </cell>
          <cell r="P53">
            <v>0</v>
          </cell>
          <cell r="Q53">
            <v>10000000</v>
          </cell>
          <cell r="R53">
            <v>9250000</v>
          </cell>
          <cell r="S53" t="str">
            <v>Diễn Châu</v>
          </cell>
          <cell r="T53" t="str">
            <v>=</v>
          </cell>
          <cell r="U53">
            <v>9200000</v>
          </cell>
          <cell r="V53">
            <v>9000000</v>
          </cell>
        </row>
        <row r="54">
          <cell r="D54" t="str">
            <v>DKG&lt;-&gt;Yên Thành, Nghệ An</v>
          </cell>
          <cell r="E54">
            <v>640</v>
          </cell>
          <cell r="F54">
            <v>1800000</v>
          </cell>
          <cell r="G54">
            <v>10550000</v>
          </cell>
          <cell r="H54">
            <v>10050000</v>
          </cell>
          <cell r="I54">
            <v>9400000</v>
          </cell>
          <cell r="J54">
            <v>9300000</v>
          </cell>
          <cell r="K54">
            <v>9400000</v>
          </cell>
          <cell r="L54">
            <v>9300000</v>
          </cell>
          <cell r="M54">
            <v>10000000</v>
          </cell>
          <cell r="N54">
            <v>9250000</v>
          </cell>
          <cell r="O54">
            <v>0</v>
          </cell>
          <cell r="P54">
            <v>0</v>
          </cell>
          <cell r="Q54">
            <v>10000000</v>
          </cell>
          <cell r="R54">
            <v>9250000</v>
          </cell>
          <cell r="S54" t="str">
            <v>Yên Thành</v>
          </cell>
          <cell r="T54" t="str">
            <v>=</v>
          </cell>
          <cell r="U54">
            <v>9200000</v>
          </cell>
          <cell r="V54">
            <v>9000000</v>
          </cell>
        </row>
        <row r="55">
          <cell r="D55" t="str">
            <v>DKG&lt;-&gt;Cầu Bến Thủy, Nghệ An</v>
          </cell>
          <cell r="E55">
            <v>700</v>
          </cell>
          <cell r="F55">
            <v>1800000</v>
          </cell>
          <cell r="G55">
            <v>11300000</v>
          </cell>
          <cell r="H55">
            <v>10500000</v>
          </cell>
          <cell r="I55">
            <v>10650000</v>
          </cell>
          <cell r="J55">
            <v>10550000</v>
          </cell>
          <cell r="K55">
            <v>10650000</v>
          </cell>
          <cell r="L55">
            <v>10550000</v>
          </cell>
          <cell r="M55">
            <v>11200000</v>
          </cell>
          <cell r="N55">
            <v>10500000</v>
          </cell>
          <cell r="O55">
            <v>0</v>
          </cell>
          <cell r="P55">
            <v>0</v>
          </cell>
          <cell r="Q55">
            <v>11200000</v>
          </cell>
          <cell r="R55">
            <v>10500000</v>
          </cell>
          <cell r="S55" t="str">
            <v>Cầu Bến Thủy</v>
          </cell>
          <cell r="T55" t="str">
            <v>=</v>
          </cell>
          <cell r="U55" t="str">
            <v>chưa có chuyến từ T09/2022</v>
          </cell>
          <cell r="V55">
            <v>0</v>
          </cell>
        </row>
        <row r="56">
          <cell r="D56" t="str">
            <v>DKG&lt;-&gt;Hưng Nguyên, Nghệ An</v>
          </cell>
          <cell r="E56">
            <v>690</v>
          </cell>
          <cell r="F56">
            <v>1800000</v>
          </cell>
          <cell r="G56">
            <v>11200000</v>
          </cell>
          <cell r="H56">
            <v>10400000</v>
          </cell>
          <cell r="I56">
            <v>10550000</v>
          </cell>
          <cell r="J56">
            <v>10450000</v>
          </cell>
          <cell r="K56">
            <v>10550000</v>
          </cell>
          <cell r="L56">
            <v>10450000</v>
          </cell>
          <cell r="M56">
            <v>11100000</v>
          </cell>
          <cell r="N56">
            <v>10400000</v>
          </cell>
          <cell r="O56">
            <v>0</v>
          </cell>
          <cell r="P56">
            <v>0</v>
          </cell>
          <cell r="Q56">
            <v>11100000</v>
          </cell>
          <cell r="R56">
            <v>10400000</v>
          </cell>
          <cell r="S56" t="str">
            <v>Hưng Nguyên</v>
          </cell>
          <cell r="T56" t="str">
            <v>=</v>
          </cell>
          <cell r="U56" t="str">
            <v>chưa có chuyến từ T09/2022</v>
          </cell>
          <cell r="V56">
            <v>0</v>
          </cell>
        </row>
        <row r="57">
          <cell r="D57" t="str">
            <v>DKG&lt;-&gt;Nam Đàn, Nghệ An</v>
          </cell>
          <cell r="E57">
            <v>720</v>
          </cell>
          <cell r="F57">
            <v>1800000</v>
          </cell>
          <cell r="G57">
            <v>11350000</v>
          </cell>
          <cell r="H57">
            <v>10550000</v>
          </cell>
          <cell r="I57">
            <v>10700000</v>
          </cell>
          <cell r="J57">
            <v>10600000</v>
          </cell>
          <cell r="K57">
            <v>10700000</v>
          </cell>
          <cell r="L57">
            <v>10600000</v>
          </cell>
          <cell r="M57">
            <v>11250000</v>
          </cell>
          <cell r="N57">
            <v>10550000</v>
          </cell>
          <cell r="O57">
            <v>0</v>
          </cell>
          <cell r="P57">
            <v>0</v>
          </cell>
          <cell r="Q57">
            <v>11250000</v>
          </cell>
          <cell r="R57">
            <v>10550000</v>
          </cell>
          <cell r="S57" t="str">
            <v>Nam Đàn</v>
          </cell>
          <cell r="T57" t="str">
            <v>=</v>
          </cell>
          <cell r="U57">
            <v>10500000</v>
          </cell>
          <cell r="V57">
            <v>0</v>
          </cell>
        </row>
        <row r="58">
          <cell r="D58" t="str">
            <v>DKG&lt;-&gt;Nghi Lộc, Nghệ An</v>
          </cell>
          <cell r="E58">
            <v>685</v>
          </cell>
          <cell r="F58">
            <v>1800000</v>
          </cell>
          <cell r="G58">
            <v>11200000</v>
          </cell>
          <cell r="H58">
            <v>10400000</v>
          </cell>
          <cell r="I58">
            <v>10550000</v>
          </cell>
          <cell r="J58">
            <v>10450000</v>
          </cell>
          <cell r="K58">
            <v>10550000</v>
          </cell>
          <cell r="L58">
            <v>10450000</v>
          </cell>
          <cell r="M58">
            <v>10500000</v>
          </cell>
          <cell r="N58">
            <v>10400000</v>
          </cell>
          <cell r="O58">
            <v>0</v>
          </cell>
          <cell r="P58">
            <v>0</v>
          </cell>
          <cell r="Q58">
            <v>10500000</v>
          </cell>
          <cell r="R58">
            <v>10400000</v>
          </cell>
          <cell r="S58" t="str">
            <v>Nghi Lộc</v>
          </cell>
          <cell r="T58" t="str">
            <v>=</v>
          </cell>
          <cell r="U58">
            <v>10000000</v>
          </cell>
          <cell r="V58">
            <v>10000000</v>
          </cell>
        </row>
        <row r="59">
          <cell r="D59" t="str">
            <v>DKG&lt;-&gt;Cửa Lò, Nghệ An</v>
          </cell>
          <cell r="E59">
            <v>665</v>
          </cell>
          <cell r="F59">
            <v>1800000</v>
          </cell>
          <cell r="G59">
            <v>11200000</v>
          </cell>
          <cell r="H59">
            <v>10400000</v>
          </cell>
          <cell r="I59">
            <v>10550000</v>
          </cell>
          <cell r="J59">
            <v>10450000</v>
          </cell>
          <cell r="K59">
            <v>10550000</v>
          </cell>
          <cell r="L59">
            <v>10450000</v>
          </cell>
          <cell r="M59">
            <v>11150000</v>
          </cell>
          <cell r="N59">
            <v>10450000</v>
          </cell>
          <cell r="O59">
            <v>0</v>
          </cell>
          <cell r="P59">
            <v>0</v>
          </cell>
          <cell r="Q59">
            <v>11150000</v>
          </cell>
          <cell r="R59">
            <v>10450000</v>
          </cell>
          <cell r="S59" t="str">
            <v>Cửa Lò</v>
          </cell>
          <cell r="T59" t="str">
            <v>=</v>
          </cell>
          <cell r="U59" t="str">
            <v>chưa có chuyến từ T09/2022</v>
          </cell>
          <cell r="V59">
            <v>0</v>
          </cell>
        </row>
        <row r="60">
          <cell r="D60" t="str">
            <v>DKG&lt;-&gt;TP. Nghệ An</v>
          </cell>
          <cell r="E60">
            <v>690</v>
          </cell>
          <cell r="F60">
            <v>1800000</v>
          </cell>
          <cell r="G60">
            <v>11200000</v>
          </cell>
          <cell r="H60">
            <v>10400000</v>
          </cell>
          <cell r="I60">
            <v>10550000</v>
          </cell>
          <cell r="J60">
            <v>10450000</v>
          </cell>
          <cell r="K60">
            <v>10550000</v>
          </cell>
          <cell r="L60">
            <v>10450000</v>
          </cell>
          <cell r="M60">
            <v>11100000</v>
          </cell>
          <cell r="N60">
            <v>10400000</v>
          </cell>
          <cell r="O60">
            <v>0</v>
          </cell>
          <cell r="P60">
            <v>0</v>
          </cell>
          <cell r="Q60">
            <v>11100000</v>
          </cell>
          <cell r="R60">
            <v>10400000</v>
          </cell>
          <cell r="S60" t="str">
            <v>TP. Vinh</v>
          </cell>
          <cell r="T60" t="str">
            <v>saiiii</v>
          </cell>
          <cell r="U60" t="str">
            <v>chưa có chuyến từ T09/2022</v>
          </cell>
          <cell r="V60">
            <v>9800000</v>
          </cell>
        </row>
        <row r="61">
          <cell r="D61" t="str">
            <v>DKG&lt;-&gt;Đô Lương, Nghệ An</v>
          </cell>
          <cell r="E61">
            <v>660</v>
          </cell>
          <cell r="F61">
            <v>1800000</v>
          </cell>
          <cell r="G61">
            <v>11200000</v>
          </cell>
          <cell r="H61">
            <v>10400000</v>
          </cell>
          <cell r="I61">
            <v>10550000</v>
          </cell>
          <cell r="J61">
            <v>10450000</v>
          </cell>
          <cell r="K61">
            <v>10550000</v>
          </cell>
          <cell r="L61">
            <v>10450000</v>
          </cell>
          <cell r="M61">
            <v>10550000</v>
          </cell>
          <cell r="N61">
            <v>10450000</v>
          </cell>
          <cell r="O61">
            <v>0</v>
          </cell>
          <cell r="P61">
            <v>0</v>
          </cell>
          <cell r="Q61">
            <v>10550000</v>
          </cell>
          <cell r="R61">
            <v>10450000</v>
          </cell>
          <cell r="S61" t="str">
            <v>Đô Lương</v>
          </cell>
          <cell r="T61" t="str">
            <v>=</v>
          </cell>
          <cell r="U61">
            <v>10000000</v>
          </cell>
          <cell r="V61">
            <v>9800000</v>
          </cell>
        </row>
        <row r="62">
          <cell r="D62" t="str">
            <v>DKG&lt;-&gt;Hồng Lĩnh, Hà Tĩnh</v>
          </cell>
          <cell r="E62">
            <v>730</v>
          </cell>
          <cell r="F62">
            <v>2250000</v>
          </cell>
          <cell r="G62">
            <v>13850000</v>
          </cell>
          <cell r="H62">
            <v>12900000</v>
          </cell>
          <cell r="I62">
            <v>13550000</v>
          </cell>
          <cell r="J62">
            <v>12800000</v>
          </cell>
          <cell r="K62">
            <v>13550000</v>
          </cell>
          <cell r="L62">
            <v>12800000</v>
          </cell>
          <cell r="M62">
            <v>13550000</v>
          </cell>
          <cell r="N62">
            <v>12750000</v>
          </cell>
          <cell r="O62">
            <v>0</v>
          </cell>
          <cell r="P62">
            <v>0</v>
          </cell>
          <cell r="Q62">
            <v>13550000</v>
          </cell>
          <cell r="R62">
            <v>12750000</v>
          </cell>
          <cell r="S62" t="str">
            <v>Hồng Lĩnh</v>
          </cell>
          <cell r="T62" t="str">
            <v>=</v>
          </cell>
          <cell r="U62" t="str">
            <v>chưa có chuyến từ T09/2022</v>
          </cell>
          <cell r="V62">
            <v>11500000</v>
          </cell>
        </row>
        <row r="63">
          <cell r="D63" t="str">
            <v>DKG&lt;-&gt;Nghi Xuân, Hà Tĩnh</v>
          </cell>
          <cell r="E63">
            <v>735</v>
          </cell>
          <cell r="F63">
            <v>2250000</v>
          </cell>
          <cell r="G63">
            <v>13900000</v>
          </cell>
          <cell r="H63">
            <v>12950000</v>
          </cell>
          <cell r="I63">
            <v>13600000</v>
          </cell>
          <cell r="J63">
            <v>12850000</v>
          </cell>
          <cell r="K63">
            <v>13600000</v>
          </cell>
          <cell r="L63">
            <v>12850000</v>
          </cell>
          <cell r="M63">
            <v>13600000</v>
          </cell>
          <cell r="N63">
            <v>12800000</v>
          </cell>
          <cell r="O63">
            <v>0</v>
          </cell>
          <cell r="P63">
            <v>0</v>
          </cell>
          <cell r="Q63">
            <v>13600000</v>
          </cell>
          <cell r="R63">
            <v>12800000</v>
          </cell>
          <cell r="S63" t="str">
            <v>Nghi Xuân</v>
          </cell>
          <cell r="T63" t="str">
            <v>=</v>
          </cell>
          <cell r="U63" t="str">
            <v>chưa có chuyến từ T09/2022</v>
          </cell>
          <cell r="V63">
            <v>12000000</v>
          </cell>
        </row>
        <row r="64">
          <cell r="D64" t="str">
            <v>DKG&lt;-&gt;TP. Hà Tĩnh</v>
          </cell>
          <cell r="E64">
            <v>790</v>
          </cell>
          <cell r="F64">
            <v>2250000</v>
          </cell>
          <cell r="G64">
            <v>14400000</v>
          </cell>
          <cell r="H64">
            <v>13450000</v>
          </cell>
          <cell r="I64">
            <v>13600000</v>
          </cell>
          <cell r="J64">
            <v>12850000</v>
          </cell>
          <cell r="K64">
            <v>13600000</v>
          </cell>
          <cell r="L64">
            <v>12850000</v>
          </cell>
          <cell r="M64">
            <v>13650000</v>
          </cell>
          <cell r="N64">
            <v>12850000</v>
          </cell>
          <cell r="O64">
            <v>0</v>
          </cell>
          <cell r="P64">
            <v>0</v>
          </cell>
          <cell r="Q64">
            <v>13650000</v>
          </cell>
          <cell r="R64">
            <v>12850000</v>
          </cell>
          <cell r="S64" t="str">
            <v>TP. Hà Tĩnh</v>
          </cell>
          <cell r="T64" t="str">
            <v>saiiii</v>
          </cell>
          <cell r="U64" t="str">
            <v>chưa có chuyến từ T09/2022</v>
          </cell>
          <cell r="V64">
            <v>13000000</v>
          </cell>
        </row>
        <row r="65">
          <cell r="D65" t="str">
            <v>DKG&lt;-&gt;Thạch Hà, Hà Tĩnh</v>
          </cell>
          <cell r="E65">
            <v>815</v>
          </cell>
          <cell r="F65">
            <v>2250000</v>
          </cell>
          <cell r="G65">
            <v>14700000</v>
          </cell>
          <cell r="H65">
            <v>13550000</v>
          </cell>
          <cell r="I65">
            <v>14050000</v>
          </cell>
          <cell r="J65">
            <v>13300000</v>
          </cell>
          <cell r="K65">
            <v>14050000</v>
          </cell>
          <cell r="L65">
            <v>13300000</v>
          </cell>
          <cell r="M65">
            <v>14750000</v>
          </cell>
          <cell r="N65">
            <v>13250000</v>
          </cell>
          <cell r="O65">
            <v>0</v>
          </cell>
          <cell r="P65">
            <v>0</v>
          </cell>
          <cell r="Q65">
            <v>14750000</v>
          </cell>
          <cell r="R65">
            <v>13250000</v>
          </cell>
          <cell r="S65" t="str">
            <v>Thạch Hà</v>
          </cell>
          <cell r="T65" t="str">
            <v>=</v>
          </cell>
          <cell r="U65">
            <v>13000000</v>
          </cell>
          <cell r="V65">
            <v>0</v>
          </cell>
        </row>
        <row r="66">
          <cell r="D66" t="str">
            <v>DKG&lt;-&gt;Cẩm Xuyên, Hà Tĩnh</v>
          </cell>
          <cell r="E66">
            <v>825</v>
          </cell>
          <cell r="F66">
            <v>2250000</v>
          </cell>
          <cell r="G66">
            <v>14900000</v>
          </cell>
          <cell r="H66">
            <v>13750000</v>
          </cell>
          <cell r="I66">
            <v>14100000</v>
          </cell>
          <cell r="J66">
            <v>13350000</v>
          </cell>
          <cell r="K66">
            <v>14100000</v>
          </cell>
          <cell r="L66">
            <v>13350000</v>
          </cell>
          <cell r="M66">
            <v>14800000</v>
          </cell>
          <cell r="N66">
            <v>13300000</v>
          </cell>
          <cell r="O66">
            <v>0</v>
          </cell>
          <cell r="P66">
            <v>0</v>
          </cell>
          <cell r="Q66">
            <v>14800000</v>
          </cell>
          <cell r="R66">
            <v>13300000</v>
          </cell>
          <cell r="S66" t="str">
            <v>Cẩm Xuyên</v>
          </cell>
          <cell r="T66" t="str">
            <v>=</v>
          </cell>
          <cell r="U66">
            <v>13000000</v>
          </cell>
          <cell r="V66">
            <v>0</v>
          </cell>
        </row>
        <row r="67">
          <cell r="D67" t="str">
            <v>DKG&lt;-&gt;Can Lộc, Hà Tĩnh</v>
          </cell>
          <cell r="E67">
            <v>777</v>
          </cell>
          <cell r="F67">
            <v>2250000</v>
          </cell>
          <cell r="G67">
            <v>14300000</v>
          </cell>
          <cell r="H67">
            <v>13150000</v>
          </cell>
          <cell r="I67">
            <v>13900000</v>
          </cell>
          <cell r="J67">
            <v>13150000</v>
          </cell>
          <cell r="K67">
            <v>13900000</v>
          </cell>
          <cell r="L67">
            <v>13150000</v>
          </cell>
          <cell r="M67">
            <v>14150000</v>
          </cell>
          <cell r="N67">
            <v>13150000</v>
          </cell>
          <cell r="O67">
            <v>0</v>
          </cell>
          <cell r="P67">
            <v>0</v>
          </cell>
          <cell r="Q67">
            <v>14150000</v>
          </cell>
          <cell r="R67">
            <v>13150000</v>
          </cell>
          <cell r="S67" t="str">
            <v>Can Lộc</v>
          </cell>
          <cell r="T67" t="str">
            <v>=</v>
          </cell>
          <cell r="U67">
            <v>13000000</v>
          </cell>
          <cell r="V67">
            <v>12500000</v>
          </cell>
        </row>
        <row r="68">
          <cell r="D68" t="str">
            <v>DKG&lt;-&gt;Đức Thọ, Hà Tĩnh</v>
          </cell>
          <cell r="E68">
            <v>750</v>
          </cell>
          <cell r="F68">
            <v>2250000</v>
          </cell>
          <cell r="G68">
            <v>14050000</v>
          </cell>
          <cell r="H68">
            <v>12900000</v>
          </cell>
          <cell r="I68">
            <v>13900000</v>
          </cell>
          <cell r="J68">
            <v>13150000</v>
          </cell>
          <cell r="K68">
            <v>13900000</v>
          </cell>
          <cell r="L68">
            <v>13150000</v>
          </cell>
          <cell r="M68">
            <v>11800000</v>
          </cell>
          <cell r="N68">
            <v>10800000</v>
          </cell>
          <cell r="O68">
            <v>0</v>
          </cell>
          <cell r="P68">
            <v>0</v>
          </cell>
          <cell r="Q68">
            <v>11800000</v>
          </cell>
          <cell r="R68">
            <v>10800000</v>
          </cell>
          <cell r="S68" t="str">
            <v>Đức Thọ</v>
          </cell>
          <cell r="T68" t="str">
            <v>=</v>
          </cell>
          <cell r="U68">
            <v>11500000</v>
          </cell>
          <cell r="V68">
            <v>11500000</v>
          </cell>
        </row>
        <row r="69">
          <cell r="D69" t="str">
            <v>DKG&lt;-&gt;Kỳ Anh, Hà Tĩnh</v>
          </cell>
          <cell r="E69">
            <v>890</v>
          </cell>
          <cell r="F69">
            <v>2400000</v>
          </cell>
          <cell r="G69">
            <v>15600000</v>
          </cell>
          <cell r="H69">
            <v>14050000</v>
          </cell>
          <cell r="I69">
            <v>14450000</v>
          </cell>
          <cell r="J69">
            <v>13450000</v>
          </cell>
          <cell r="K69">
            <v>14450000</v>
          </cell>
          <cell r="L69">
            <v>13450000</v>
          </cell>
          <cell r="M69">
            <v>14550000</v>
          </cell>
          <cell r="N69">
            <v>12550000</v>
          </cell>
          <cell r="O69">
            <v>0</v>
          </cell>
          <cell r="P69">
            <v>0</v>
          </cell>
          <cell r="Q69">
            <v>14550000</v>
          </cell>
          <cell r="R69">
            <v>12550000</v>
          </cell>
          <cell r="S69" t="str">
            <v>Kỳ Anh</v>
          </cell>
          <cell r="T69" t="str">
            <v>=</v>
          </cell>
          <cell r="U69">
            <v>12500000</v>
          </cell>
          <cell r="V69">
            <v>0</v>
          </cell>
          <cell r="W69" t="str">
            <v>Hương Khê =13000</v>
          </cell>
        </row>
        <row r="70">
          <cell r="D70" t="str">
            <v>DKG&lt;-&gt;Ba Đồn, Quảng Bình</v>
          </cell>
          <cell r="E70">
            <v>1015</v>
          </cell>
          <cell r="F70">
            <v>3050000</v>
          </cell>
          <cell r="G70">
            <v>18350000</v>
          </cell>
          <cell r="H70">
            <v>17350000</v>
          </cell>
          <cell r="I70">
            <v>17350000</v>
          </cell>
          <cell r="J70">
            <v>17250000</v>
          </cell>
          <cell r="K70">
            <v>17350000</v>
          </cell>
          <cell r="L70">
            <v>17250000</v>
          </cell>
          <cell r="M70">
            <v>18100000</v>
          </cell>
          <cell r="N70">
            <v>17200000</v>
          </cell>
          <cell r="O70">
            <v>0</v>
          </cell>
          <cell r="P70">
            <v>0</v>
          </cell>
          <cell r="Q70">
            <v>18100000</v>
          </cell>
          <cell r="R70">
            <v>17200000</v>
          </cell>
          <cell r="S70" t="str">
            <v>Ba Đồn</v>
          </cell>
          <cell r="T70" t="str">
            <v>=</v>
          </cell>
          <cell r="U70" t="str">
            <v>chưa có chuyến từ T09/2022</v>
          </cell>
          <cell r="V70">
            <v>0</v>
          </cell>
        </row>
        <row r="71">
          <cell r="D71" t="str">
            <v>DKG&lt;-&gt;Quảng Trạch, Quảng Bình</v>
          </cell>
          <cell r="E71">
            <v>1015</v>
          </cell>
          <cell r="F71">
            <v>3050000</v>
          </cell>
          <cell r="G71">
            <v>18350000</v>
          </cell>
          <cell r="H71">
            <v>17350000</v>
          </cell>
          <cell r="I71">
            <v>17850000</v>
          </cell>
          <cell r="J71">
            <v>17750000</v>
          </cell>
          <cell r="K71">
            <v>17850000</v>
          </cell>
          <cell r="L71">
            <v>17750000</v>
          </cell>
          <cell r="M71">
            <v>19100000</v>
          </cell>
          <cell r="N71">
            <v>17700000</v>
          </cell>
          <cell r="O71">
            <v>0</v>
          </cell>
          <cell r="P71">
            <v>0</v>
          </cell>
          <cell r="Q71">
            <v>19100000</v>
          </cell>
          <cell r="R71">
            <v>17700000</v>
          </cell>
          <cell r="S71" t="str">
            <v>Quảng Trạch</v>
          </cell>
          <cell r="T71" t="str">
            <v>=</v>
          </cell>
          <cell r="U71">
            <v>17000000</v>
          </cell>
          <cell r="V71">
            <v>17000000</v>
          </cell>
          <cell r="W71" t="str">
            <v>(Đồng Hới=Bố Trạch</v>
          </cell>
        </row>
        <row r="72">
          <cell r="D72" t="str">
            <v>DKG&lt;-&gt;Vạn Ninh, Quảng Bình</v>
          </cell>
          <cell r="E72">
            <v>1150</v>
          </cell>
          <cell r="F72">
            <v>3400000</v>
          </cell>
          <cell r="G72">
            <v>20150000</v>
          </cell>
          <cell r="H72">
            <v>19150000</v>
          </cell>
          <cell r="I72">
            <v>18250000</v>
          </cell>
          <cell r="J72">
            <v>18150000</v>
          </cell>
          <cell r="K72">
            <v>18250000</v>
          </cell>
          <cell r="L72">
            <v>18150000</v>
          </cell>
          <cell r="M72">
            <v>19500000</v>
          </cell>
          <cell r="N72">
            <v>18100000</v>
          </cell>
          <cell r="O72">
            <v>0</v>
          </cell>
          <cell r="P72" t="str">
            <v>Tuyên Hóa</v>
          </cell>
          <cell r="Q72">
            <v>19500000</v>
          </cell>
          <cell r="R72">
            <v>18100000</v>
          </cell>
          <cell r="S72" t="str">
            <v>Vạn Ninh</v>
          </cell>
          <cell r="T72" t="str">
            <v>=</v>
          </cell>
          <cell r="U72" t="str">
            <v>chưa có chuyến từ T09/2022</v>
          </cell>
          <cell r="V72">
            <v>0</v>
          </cell>
        </row>
        <row r="73">
          <cell r="D73" t="str">
            <v>DKG&lt;-&gt;Vĩnh Linh, Quảng Trị</v>
          </cell>
          <cell r="E73">
            <v>1225</v>
          </cell>
          <cell r="F73">
            <v>3900000</v>
          </cell>
          <cell r="G73">
            <v>24200000</v>
          </cell>
          <cell r="H73">
            <v>23200000</v>
          </cell>
          <cell r="I73">
            <v>23200000</v>
          </cell>
          <cell r="J73">
            <v>23100000</v>
          </cell>
          <cell r="K73">
            <v>23200000</v>
          </cell>
          <cell r="L73">
            <v>23100000</v>
          </cell>
          <cell r="M73">
            <v>23650000</v>
          </cell>
          <cell r="N73">
            <v>23000000</v>
          </cell>
          <cell r="O73">
            <v>0</v>
          </cell>
          <cell r="P73">
            <v>0</v>
          </cell>
          <cell r="Q73">
            <v>23650000</v>
          </cell>
          <cell r="R73">
            <v>23000000</v>
          </cell>
          <cell r="S73" t="str">
            <v>Vĩnh Linh</v>
          </cell>
          <cell r="T73" t="str">
            <v>=</v>
          </cell>
          <cell r="U73" t="str">
            <v>chưa có chuyến từ T09/2022</v>
          </cell>
          <cell r="V73">
            <v>0</v>
          </cell>
        </row>
        <row r="74">
          <cell r="D74" t="str">
            <v xml:space="preserve">DKG&lt;-&gt;, </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t="str">
            <v>=</v>
          </cell>
          <cell r="U74" t="str">
            <v>chưa có chuyến từ T09/2022</v>
          </cell>
          <cell r="V74">
            <v>0</v>
          </cell>
        </row>
        <row r="75">
          <cell r="D75" t="str">
            <v>DKG&lt;-&gt;Hồng Bàng, Hải Phòng</v>
          </cell>
          <cell r="E75">
            <v>55</v>
          </cell>
          <cell r="F75">
            <v>250000</v>
          </cell>
          <cell r="G75">
            <v>2750000</v>
          </cell>
          <cell r="H75">
            <v>2100000</v>
          </cell>
          <cell r="I75">
            <v>1900000</v>
          </cell>
          <cell r="J75">
            <v>1850000</v>
          </cell>
          <cell r="K75">
            <v>1900000</v>
          </cell>
          <cell r="L75">
            <v>1850000</v>
          </cell>
          <cell r="M75">
            <v>2250000</v>
          </cell>
          <cell r="N75">
            <v>1850000</v>
          </cell>
          <cell r="O75">
            <v>0</v>
          </cell>
          <cell r="P75">
            <v>0</v>
          </cell>
          <cell r="Q75">
            <v>2250000</v>
          </cell>
          <cell r="R75">
            <v>1850000</v>
          </cell>
          <cell r="S75" t="str">
            <v>Hồng Bàng</v>
          </cell>
          <cell r="T75" t="str">
            <v>=</v>
          </cell>
          <cell r="U75" t="str">
            <v>chưa có chuyến từ T09/2022</v>
          </cell>
          <cell r="V75">
            <v>0</v>
          </cell>
        </row>
        <row r="76">
          <cell r="D76" t="str">
            <v>DKG&lt;-&gt;An Dương, Hải Phòng</v>
          </cell>
          <cell r="E76">
            <v>55</v>
          </cell>
          <cell r="F76">
            <v>250000</v>
          </cell>
          <cell r="G76">
            <v>2750000</v>
          </cell>
          <cell r="H76">
            <v>2100000</v>
          </cell>
          <cell r="I76">
            <v>1900000</v>
          </cell>
          <cell r="J76">
            <v>1850000</v>
          </cell>
          <cell r="K76">
            <v>1900000</v>
          </cell>
          <cell r="L76">
            <v>1850000</v>
          </cell>
          <cell r="M76">
            <v>2250000</v>
          </cell>
          <cell r="N76">
            <v>1850000</v>
          </cell>
          <cell r="O76">
            <v>0</v>
          </cell>
          <cell r="P76">
            <v>0</v>
          </cell>
          <cell r="Q76">
            <v>2250000</v>
          </cell>
          <cell r="R76">
            <v>1850000</v>
          </cell>
          <cell r="S76" t="str">
            <v>An Dương</v>
          </cell>
          <cell r="T76" t="str">
            <v>=</v>
          </cell>
          <cell r="U76">
            <v>2300000</v>
          </cell>
          <cell r="V76">
            <v>0</v>
          </cell>
        </row>
        <row r="77">
          <cell r="D77" t="str">
            <v>DKG&lt;-&gt;Quán Toan (chưa phí), Hải Phòng</v>
          </cell>
          <cell r="E77">
            <v>60</v>
          </cell>
          <cell r="F77">
            <v>250000</v>
          </cell>
          <cell r="G77">
            <v>2750000</v>
          </cell>
          <cell r="H77">
            <v>2300000</v>
          </cell>
          <cell r="I77">
            <v>2100000</v>
          </cell>
          <cell r="J77">
            <v>2050000</v>
          </cell>
          <cell r="K77">
            <v>2100000</v>
          </cell>
          <cell r="L77">
            <v>2050000</v>
          </cell>
          <cell r="M77">
            <v>2450000</v>
          </cell>
          <cell r="N77">
            <v>2050000</v>
          </cell>
          <cell r="O77">
            <v>0</v>
          </cell>
          <cell r="P77">
            <v>0</v>
          </cell>
          <cell r="Q77">
            <v>2450000</v>
          </cell>
          <cell r="R77">
            <v>2050000</v>
          </cell>
          <cell r="S77" t="str">
            <v>Quán Toan (chưa phí)</v>
          </cell>
          <cell r="T77" t="str">
            <v>=</v>
          </cell>
          <cell r="U77" t="str">
            <v>chưa có chuyến từ T09/2022</v>
          </cell>
          <cell r="V77">
            <v>0</v>
          </cell>
        </row>
        <row r="78">
          <cell r="D78" t="str">
            <v>DKG&lt;-&gt;Quán Toan (có phí), Hải Phòng</v>
          </cell>
          <cell r="E78">
            <v>70</v>
          </cell>
          <cell r="F78">
            <v>650000</v>
          </cell>
          <cell r="G78">
            <v>2900000</v>
          </cell>
          <cell r="H78">
            <v>2750000</v>
          </cell>
          <cell r="I78">
            <v>2400000</v>
          </cell>
          <cell r="J78">
            <v>2350000</v>
          </cell>
          <cell r="K78">
            <v>2400000</v>
          </cell>
          <cell r="L78">
            <v>2350000</v>
          </cell>
          <cell r="M78">
            <v>2800000</v>
          </cell>
          <cell r="N78">
            <v>2350000</v>
          </cell>
          <cell r="O78">
            <v>0</v>
          </cell>
          <cell r="P78">
            <v>0</v>
          </cell>
          <cell r="Q78">
            <v>2800000</v>
          </cell>
          <cell r="R78">
            <v>2350000</v>
          </cell>
          <cell r="S78" t="str">
            <v>Quán Toan (có phí)</v>
          </cell>
          <cell r="T78" t="str">
            <v>=</v>
          </cell>
          <cell r="U78" t="str">
            <v>chưa có chuyến từ T09/2022</v>
          </cell>
          <cell r="V78">
            <v>0</v>
          </cell>
        </row>
        <row r="79">
          <cell r="D79" t="str">
            <v>DKG&lt;-&gt;Kinh Môn, Hải Dương</v>
          </cell>
          <cell r="E79">
            <v>85</v>
          </cell>
          <cell r="F79">
            <v>900000</v>
          </cell>
          <cell r="G79">
            <v>3400000</v>
          </cell>
          <cell r="H79">
            <v>3200000</v>
          </cell>
          <cell r="I79">
            <v>3250000</v>
          </cell>
          <cell r="J79">
            <v>3200000</v>
          </cell>
          <cell r="K79">
            <v>3250000</v>
          </cell>
          <cell r="L79">
            <v>3200000</v>
          </cell>
          <cell r="M79">
            <v>3450000</v>
          </cell>
          <cell r="N79">
            <v>3150000</v>
          </cell>
          <cell r="O79">
            <v>0</v>
          </cell>
          <cell r="P79">
            <v>0</v>
          </cell>
          <cell r="Q79">
            <v>3450000</v>
          </cell>
          <cell r="R79">
            <v>3150000</v>
          </cell>
          <cell r="S79" t="str">
            <v>Kinh Môn</v>
          </cell>
          <cell r="T79" t="str">
            <v>=</v>
          </cell>
          <cell r="U79" t="str">
            <v>chưa có chuyến từ T09/2022</v>
          </cell>
          <cell r="V79">
            <v>0</v>
          </cell>
        </row>
        <row r="80">
          <cell r="D80" t="str">
            <v>DKG&lt;-&gt;Phú Thái, Kim Thành, Hải Dương</v>
          </cell>
          <cell r="E80">
            <v>75</v>
          </cell>
          <cell r="F80">
            <v>650000</v>
          </cell>
          <cell r="G80">
            <v>3400000</v>
          </cell>
          <cell r="H80">
            <v>3200000</v>
          </cell>
          <cell r="I80">
            <v>3200000</v>
          </cell>
          <cell r="J80">
            <v>3150000</v>
          </cell>
          <cell r="K80">
            <v>3200000</v>
          </cell>
          <cell r="L80">
            <v>3150000</v>
          </cell>
          <cell r="M80">
            <v>3450000</v>
          </cell>
          <cell r="N80">
            <v>3150000</v>
          </cell>
          <cell r="O80">
            <v>0</v>
          </cell>
          <cell r="P80">
            <v>0</v>
          </cell>
          <cell r="Q80">
            <v>3450000</v>
          </cell>
          <cell r="R80">
            <v>3150000</v>
          </cell>
          <cell r="S80" t="str">
            <v>Phú Thái, Kim Thành</v>
          </cell>
          <cell r="T80" t="str">
            <v>=</v>
          </cell>
          <cell r="U80" t="str">
            <v>chưa có chuyến từ T09/2022</v>
          </cell>
          <cell r="V80">
            <v>3000000</v>
          </cell>
        </row>
        <row r="81">
          <cell r="D81" t="str">
            <v>DKG&lt;-&gt;Nam Sách, Hải Dương</v>
          </cell>
          <cell r="E81">
            <v>125</v>
          </cell>
          <cell r="F81">
            <v>650000</v>
          </cell>
          <cell r="G81">
            <v>3500000</v>
          </cell>
          <cell r="H81">
            <v>3400000</v>
          </cell>
          <cell r="I81">
            <v>3300000</v>
          </cell>
          <cell r="J81">
            <v>3250000</v>
          </cell>
          <cell r="K81">
            <v>3300000</v>
          </cell>
          <cell r="L81">
            <v>3250000</v>
          </cell>
          <cell r="M81">
            <v>3550000</v>
          </cell>
          <cell r="N81">
            <v>3250000</v>
          </cell>
          <cell r="O81">
            <v>2900000</v>
          </cell>
          <cell r="P81">
            <v>0</v>
          </cell>
          <cell r="Q81">
            <v>3550000</v>
          </cell>
          <cell r="R81">
            <v>3250000</v>
          </cell>
          <cell r="S81" t="str">
            <v>Nam Sách</v>
          </cell>
          <cell r="T81" t="str">
            <v>=</v>
          </cell>
          <cell r="U81" t="str">
            <v>chưa có chuyến từ T09/2022</v>
          </cell>
          <cell r="V81">
            <v>0</v>
          </cell>
        </row>
        <row r="82">
          <cell r="D82" t="str">
            <v>DKG&lt;-&gt;Thanh Hà, Hải Dương</v>
          </cell>
          <cell r="E82">
            <v>135</v>
          </cell>
          <cell r="F82">
            <v>650000</v>
          </cell>
          <cell r="G82">
            <v>3500000</v>
          </cell>
          <cell r="H82">
            <v>3400000</v>
          </cell>
          <cell r="I82">
            <v>3300000</v>
          </cell>
          <cell r="J82">
            <v>3250000</v>
          </cell>
          <cell r="K82">
            <v>3300000</v>
          </cell>
          <cell r="L82">
            <v>3250000</v>
          </cell>
          <cell r="M82">
            <v>3550000</v>
          </cell>
          <cell r="N82">
            <v>3250000</v>
          </cell>
          <cell r="O82">
            <v>0</v>
          </cell>
          <cell r="P82">
            <v>0</v>
          </cell>
          <cell r="Q82">
            <v>3550000</v>
          </cell>
          <cell r="R82">
            <v>3250000</v>
          </cell>
          <cell r="S82" t="str">
            <v>Thanh Hà</v>
          </cell>
          <cell r="T82" t="str">
            <v>=</v>
          </cell>
          <cell r="U82" t="str">
            <v>chưa có chuyến từ T09/2022</v>
          </cell>
          <cell r="V82">
            <v>0</v>
          </cell>
        </row>
        <row r="83">
          <cell r="D83" t="str">
            <v>DKG&lt;-&gt;TP. Hải Dương</v>
          </cell>
          <cell r="E83">
            <v>125</v>
          </cell>
          <cell r="F83">
            <v>650000</v>
          </cell>
          <cell r="G83">
            <v>3500000</v>
          </cell>
          <cell r="H83">
            <v>3400000</v>
          </cell>
          <cell r="I83">
            <v>3300000</v>
          </cell>
          <cell r="J83">
            <v>3250000</v>
          </cell>
          <cell r="K83">
            <v>3300000</v>
          </cell>
          <cell r="L83">
            <v>3250000</v>
          </cell>
          <cell r="M83">
            <v>3550000</v>
          </cell>
          <cell r="N83">
            <v>3250000</v>
          </cell>
          <cell r="O83">
            <v>2900000</v>
          </cell>
          <cell r="P83">
            <v>0</v>
          </cell>
          <cell r="Q83">
            <v>3550000</v>
          </cell>
          <cell r="R83">
            <v>3250000</v>
          </cell>
          <cell r="S83" t="str">
            <v>TP. Hải Dương</v>
          </cell>
          <cell r="T83" t="str">
            <v>saiiii</v>
          </cell>
          <cell r="U83">
            <v>3200000</v>
          </cell>
          <cell r="V83">
            <v>3100000</v>
          </cell>
        </row>
        <row r="84">
          <cell r="D84" t="str">
            <v>DKG&lt;-&gt;Quán Gỏi, Hải Dương</v>
          </cell>
          <cell r="E84">
            <v>158</v>
          </cell>
          <cell r="F84">
            <v>650000</v>
          </cell>
          <cell r="G84">
            <v>3700000</v>
          </cell>
          <cell r="H84">
            <v>3500000</v>
          </cell>
          <cell r="I84">
            <v>3500000</v>
          </cell>
          <cell r="J84">
            <v>3400000</v>
          </cell>
          <cell r="K84">
            <v>3500000</v>
          </cell>
          <cell r="L84">
            <v>3400000</v>
          </cell>
          <cell r="M84">
            <v>3700000</v>
          </cell>
          <cell r="N84">
            <v>3400000</v>
          </cell>
          <cell r="O84">
            <v>0</v>
          </cell>
          <cell r="P84">
            <v>0</v>
          </cell>
          <cell r="Q84">
            <v>3700000</v>
          </cell>
          <cell r="R84">
            <v>3400000</v>
          </cell>
          <cell r="S84" t="str">
            <v>Quán Gỏi</v>
          </cell>
          <cell r="T84" t="str">
            <v>=</v>
          </cell>
          <cell r="U84" t="str">
            <v>chưa có chuyến từ T09/2022</v>
          </cell>
          <cell r="V84">
            <v>0</v>
          </cell>
        </row>
        <row r="85">
          <cell r="D85" t="str">
            <v>DKG&lt;-&gt;Bình Giang, Hải Dương</v>
          </cell>
          <cell r="E85">
            <v>155</v>
          </cell>
          <cell r="F85">
            <v>650000</v>
          </cell>
          <cell r="G85">
            <v>3700000</v>
          </cell>
          <cell r="H85">
            <v>3500000</v>
          </cell>
          <cell r="I85">
            <v>3500000</v>
          </cell>
          <cell r="J85">
            <v>3400000</v>
          </cell>
          <cell r="K85">
            <v>3500000</v>
          </cell>
          <cell r="L85">
            <v>3400000</v>
          </cell>
          <cell r="M85">
            <v>3700000</v>
          </cell>
          <cell r="N85">
            <v>3400000</v>
          </cell>
          <cell r="O85">
            <v>0</v>
          </cell>
          <cell r="P85">
            <v>0</v>
          </cell>
          <cell r="Q85">
            <v>3700000</v>
          </cell>
          <cell r="R85">
            <v>3400000</v>
          </cell>
          <cell r="S85" t="str">
            <v>Bình Giang</v>
          </cell>
          <cell r="T85" t="str">
            <v>=</v>
          </cell>
          <cell r="U85">
            <v>3400000</v>
          </cell>
          <cell r="V85">
            <v>3400000</v>
          </cell>
        </row>
        <row r="86">
          <cell r="D86" t="str">
            <v>DKG&lt;-&gt;Cẩm Giàng, Hải Dương</v>
          </cell>
          <cell r="E86">
            <v>170</v>
          </cell>
          <cell r="F86">
            <v>650000</v>
          </cell>
          <cell r="G86">
            <v>3800000</v>
          </cell>
          <cell r="H86">
            <v>3600000</v>
          </cell>
          <cell r="I86">
            <v>3600000</v>
          </cell>
          <cell r="J86">
            <v>3500000</v>
          </cell>
          <cell r="K86">
            <v>3600000</v>
          </cell>
          <cell r="L86">
            <v>3500000</v>
          </cell>
          <cell r="M86">
            <v>3750000</v>
          </cell>
          <cell r="N86">
            <v>3450000</v>
          </cell>
          <cell r="O86">
            <v>0</v>
          </cell>
          <cell r="P86">
            <v>0</v>
          </cell>
          <cell r="Q86">
            <v>3750000</v>
          </cell>
          <cell r="R86">
            <v>3450000</v>
          </cell>
          <cell r="S86" t="str">
            <v>Cẩm Giàng</v>
          </cell>
          <cell r="T86" t="str">
            <v>=</v>
          </cell>
          <cell r="U86" t="str">
            <v>chưa có chuyến từ T09/2022</v>
          </cell>
          <cell r="V86">
            <v>0</v>
          </cell>
        </row>
        <row r="87">
          <cell r="D87" t="str">
            <v>DKG&lt;-&gt;Ninh Giang, Hải Dương</v>
          </cell>
          <cell r="E87">
            <v>130</v>
          </cell>
          <cell r="F87">
            <v>650000</v>
          </cell>
          <cell r="G87">
            <v>3650000</v>
          </cell>
          <cell r="H87">
            <v>3450000</v>
          </cell>
          <cell r="I87">
            <v>3450000</v>
          </cell>
          <cell r="J87">
            <v>3350000</v>
          </cell>
          <cell r="K87">
            <v>3450000</v>
          </cell>
          <cell r="L87">
            <v>3350000</v>
          </cell>
          <cell r="M87">
            <v>3650000</v>
          </cell>
          <cell r="N87">
            <v>3350000</v>
          </cell>
          <cell r="O87">
            <v>0</v>
          </cell>
          <cell r="P87">
            <v>0</v>
          </cell>
          <cell r="Q87">
            <v>3650000</v>
          </cell>
          <cell r="R87">
            <v>3350000</v>
          </cell>
          <cell r="S87" t="str">
            <v>Ninh Giang</v>
          </cell>
          <cell r="T87" t="str">
            <v>=</v>
          </cell>
          <cell r="U87" t="str">
            <v>chưa có chuyến từ T09/2022</v>
          </cell>
          <cell r="V87">
            <v>0</v>
          </cell>
        </row>
        <row r="88">
          <cell r="D88" t="str">
            <v>DKG&lt;-&gt;Gia Lộc, Hải Dương</v>
          </cell>
          <cell r="E88">
            <v>145</v>
          </cell>
          <cell r="F88">
            <v>650000</v>
          </cell>
          <cell r="G88">
            <v>3650000</v>
          </cell>
          <cell r="H88">
            <v>3450000</v>
          </cell>
          <cell r="I88">
            <v>3450000</v>
          </cell>
          <cell r="J88">
            <v>3350000</v>
          </cell>
          <cell r="K88">
            <v>3450000</v>
          </cell>
          <cell r="L88">
            <v>3350000</v>
          </cell>
          <cell r="M88">
            <v>3650000</v>
          </cell>
          <cell r="N88">
            <v>3350000</v>
          </cell>
          <cell r="O88">
            <v>0</v>
          </cell>
          <cell r="P88">
            <v>0</v>
          </cell>
          <cell r="Q88">
            <v>3650000</v>
          </cell>
          <cell r="R88">
            <v>3350000</v>
          </cell>
          <cell r="S88" t="str">
            <v>Gia Lộc</v>
          </cell>
          <cell r="T88" t="str">
            <v>=</v>
          </cell>
          <cell r="U88" t="str">
            <v>chưa có chuyến từ T09/2022</v>
          </cell>
          <cell r="V88">
            <v>0</v>
          </cell>
        </row>
        <row r="89">
          <cell r="D89" t="str">
            <v>DKG&lt;-&gt;Thanh Miện, Hải Dương</v>
          </cell>
          <cell r="E89">
            <v>160</v>
          </cell>
          <cell r="F89">
            <v>650000</v>
          </cell>
          <cell r="G89">
            <v>3750000</v>
          </cell>
          <cell r="H89">
            <v>3550000</v>
          </cell>
          <cell r="I89">
            <v>3550000</v>
          </cell>
          <cell r="J89">
            <v>3450000</v>
          </cell>
          <cell r="K89">
            <v>3550000</v>
          </cell>
          <cell r="L89">
            <v>3450000</v>
          </cell>
          <cell r="M89">
            <v>3700000</v>
          </cell>
          <cell r="N89">
            <v>3400000</v>
          </cell>
          <cell r="O89">
            <v>0</v>
          </cell>
          <cell r="P89">
            <v>0</v>
          </cell>
          <cell r="Q89">
            <v>3700000</v>
          </cell>
          <cell r="R89">
            <v>3400000</v>
          </cell>
          <cell r="S89" t="str">
            <v>Thanh Miện</v>
          </cell>
          <cell r="T89" t="str">
            <v>=</v>
          </cell>
          <cell r="U89">
            <v>3400000</v>
          </cell>
          <cell r="V89">
            <v>3300000</v>
          </cell>
        </row>
        <row r="90">
          <cell r="D90" t="str">
            <v>DKG&lt;-&gt;Ân Thi, Hưng Yên</v>
          </cell>
          <cell r="E90">
            <v>190</v>
          </cell>
          <cell r="F90">
            <v>700000</v>
          </cell>
          <cell r="G90">
            <v>4100000</v>
          </cell>
          <cell r="H90">
            <v>3900000</v>
          </cell>
          <cell r="I90">
            <v>3850000</v>
          </cell>
          <cell r="J90">
            <v>3850000</v>
          </cell>
          <cell r="K90">
            <v>3850000</v>
          </cell>
          <cell r="L90">
            <v>3850000</v>
          </cell>
          <cell r="M90">
            <v>4200000</v>
          </cell>
          <cell r="N90">
            <v>3850000</v>
          </cell>
          <cell r="O90">
            <v>0</v>
          </cell>
          <cell r="P90">
            <v>0</v>
          </cell>
          <cell r="Q90">
            <v>4200000</v>
          </cell>
          <cell r="R90">
            <v>3850000</v>
          </cell>
          <cell r="S90" t="str">
            <v>Ân Thi</v>
          </cell>
          <cell r="T90" t="str">
            <v>=</v>
          </cell>
          <cell r="U90">
            <v>3800000</v>
          </cell>
          <cell r="V90">
            <v>3700000</v>
          </cell>
        </row>
        <row r="91">
          <cell r="D91" t="str">
            <v>DKG&lt;-&gt;Yên Mỹ, Hưng Yên</v>
          </cell>
          <cell r="E91">
            <v>210</v>
          </cell>
          <cell r="F91">
            <v>700000</v>
          </cell>
          <cell r="G91">
            <v>4150000</v>
          </cell>
          <cell r="H91">
            <v>3950000</v>
          </cell>
          <cell r="I91">
            <v>3900000</v>
          </cell>
          <cell r="J91">
            <v>3900000</v>
          </cell>
          <cell r="K91">
            <v>3900000</v>
          </cell>
          <cell r="L91">
            <v>3900000</v>
          </cell>
          <cell r="M91">
            <v>4200000</v>
          </cell>
          <cell r="N91">
            <v>3850000</v>
          </cell>
          <cell r="O91">
            <v>0</v>
          </cell>
          <cell r="P91">
            <v>0</v>
          </cell>
          <cell r="Q91">
            <v>4200000</v>
          </cell>
          <cell r="R91">
            <v>3850000</v>
          </cell>
          <cell r="S91" t="str">
            <v>Yên Mỹ</v>
          </cell>
          <cell r="T91" t="str">
            <v>=</v>
          </cell>
          <cell r="U91">
            <v>3800000</v>
          </cell>
          <cell r="V91">
            <v>3700000</v>
          </cell>
        </row>
        <row r="92">
          <cell r="D92" t="str">
            <v>DKG&lt;-&gt;Mỹ Hào, Hưng Yên</v>
          </cell>
          <cell r="E92">
            <v>200</v>
          </cell>
          <cell r="F92">
            <v>700000</v>
          </cell>
          <cell r="G92">
            <v>4050000</v>
          </cell>
          <cell r="H92">
            <v>3850000</v>
          </cell>
          <cell r="I92">
            <v>3800000</v>
          </cell>
          <cell r="J92">
            <v>3800000</v>
          </cell>
          <cell r="K92">
            <v>3800000</v>
          </cell>
          <cell r="L92">
            <v>3800000</v>
          </cell>
          <cell r="M92">
            <v>4150000</v>
          </cell>
          <cell r="N92">
            <v>3800000</v>
          </cell>
          <cell r="O92">
            <v>0</v>
          </cell>
          <cell r="P92">
            <v>0</v>
          </cell>
          <cell r="Q92">
            <v>4150000</v>
          </cell>
          <cell r="R92">
            <v>3800000</v>
          </cell>
          <cell r="S92" t="str">
            <v>Mỹ Hào</v>
          </cell>
          <cell r="T92" t="str">
            <v>=</v>
          </cell>
          <cell r="U92">
            <v>3800000</v>
          </cell>
          <cell r="V92">
            <v>3700000</v>
          </cell>
        </row>
        <row r="93">
          <cell r="D93" t="str">
            <v>DKG&lt;-&gt;Văn Lâm, Hưng Yên</v>
          </cell>
          <cell r="E93">
            <v>195</v>
          </cell>
          <cell r="F93">
            <v>1050000</v>
          </cell>
          <cell r="G93">
            <v>4400000</v>
          </cell>
          <cell r="H93">
            <v>4400000</v>
          </cell>
          <cell r="I93">
            <v>4150000</v>
          </cell>
          <cell r="J93">
            <v>4150000</v>
          </cell>
          <cell r="K93">
            <v>4150000</v>
          </cell>
          <cell r="L93">
            <v>4150000</v>
          </cell>
          <cell r="M93">
            <v>4500000</v>
          </cell>
          <cell r="N93">
            <v>4150000</v>
          </cell>
          <cell r="O93">
            <v>3780000</v>
          </cell>
          <cell r="P93">
            <v>0</v>
          </cell>
          <cell r="Q93">
            <v>4500000</v>
          </cell>
          <cell r="R93">
            <v>4150000</v>
          </cell>
          <cell r="S93" t="str">
            <v>Văn Lâm</v>
          </cell>
          <cell r="T93" t="str">
            <v>=</v>
          </cell>
          <cell r="U93" t="str">
            <v>chưa có chuyến từ T09/2022</v>
          </cell>
          <cell r="V93">
            <v>0</v>
          </cell>
        </row>
        <row r="94">
          <cell r="D94" t="str">
            <v>DKG&lt;-&gt;Chợ Gạo, Hưng Yên</v>
          </cell>
          <cell r="E94">
            <v>210</v>
          </cell>
          <cell r="F94">
            <v>700000</v>
          </cell>
          <cell r="G94">
            <v>4150000</v>
          </cell>
          <cell r="H94">
            <v>3950000</v>
          </cell>
          <cell r="I94">
            <v>3900000</v>
          </cell>
          <cell r="J94">
            <v>3900000</v>
          </cell>
          <cell r="K94">
            <v>3900000</v>
          </cell>
          <cell r="L94">
            <v>3900000</v>
          </cell>
          <cell r="M94">
            <v>4200000</v>
          </cell>
          <cell r="N94">
            <v>3850000</v>
          </cell>
          <cell r="O94">
            <v>0</v>
          </cell>
          <cell r="P94">
            <v>0</v>
          </cell>
          <cell r="Q94">
            <v>4200000</v>
          </cell>
          <cell r="R94">
            <v>3850000</v>
          </cell>
          <cell r="S94" t="str">
            <v>Chợ Gạo</v>
          </cell>
          <cell r="T94" t="str">
            <v>=</v>
          </cell>
          <cell r="U94" t="str">
            <v>chưa có chuyến từ T09/2022</v>
          </cell>
          <cell r="V94">
            <v>0</v>
          </cell>
        </row>
        <row r="95">
          <cell r="D95" t="str">
            <v>DKG&lt;-&gt;Tiên Lữ, Hưng Yên</v>
          </cell>
          <cell r="E95">
            <v>200</v>
          </cell>
          <cell r="F95">
            <v>700000</v>
          </cell>
          <cell r="G95">
            <v>4050000</v>
          </cell>
          <cell r="H95">
            <v>3850000</v>
          </cell>
          <cell r="I95">
            <v>3800000</v>
          </cell>
          <cell r="J95">
            <v>3800000</v>
          </cell>
          <cell r="K95">
            <v>3800000</v>
          </cell>
          <cell r="L95">
            <v>3800000</v>
          </cell>
          <cell r="M95">
            <v>3950000</v>
          </cell>
          <cell r="N95">
            <v>3800000</v>
          </cell>
          <cell r="O95">
            <v>0</v>
          </cell>
          <cell r="P95">
            <v>0</v>
          </cell>
          <cell r="Q95">
            <v>3950000</v>
          </cell>
          <cell r="R95">
            <v>3800000</v>
          </cell>
          <cell r="S95" t="str">
            <v>Tiên Lữ</v>
          </cell>
          <cell r="T95" t="str">
            <v>=</v>
          </cell>
          <cell r="U95">
            <v>3800000</v>
          </cell>
          <cell r="V95">
            <v>3700000</v>
          </cell>
        </row>
        <row r="96">
          <cell r="D96" t="str">
            <v>DKG&lt;-&gt;Kim Động, Hưng Yên</v>
          </cell>
          <cell r="E96">
            <v>230</v>
          </cell>
          <cell r="F96">
            <v>700000</v>
          </cell>
          <cell r="G96">
            <v>4450000</v>
          </cell>
          <cell r="H96">
            <v>4250000</v>
          </cell>
          <cell r="I96">
            <v>3950000</v>
          </cell>
          <cell r="J96">
            <v>3950000</v>
          </cell>
          <cell r="K96">
            <v>3950000</v>
          </cell>
          <cell r="L96">
            <v>3950000</v>
          </cell>
          <cell r="M96">
            <v>4300000</v>
          </cell>
          <cell r="N96">
            <v>3950000</v>
          </cell>
          <cell r="O96">
            <v>0</v>
          </cell>
          <cell r="P96" t="str">
            <v>khoái châu</v>
          </cell>
          <cell r="Q96">
            <v>4300000</v>
          </cell>
          <cell r="R96">
            <v>3950000</v>
          </cell>
          <cell r="S96" t="str">
            <v>Kim Động</v>
          </cell>
          <cell r="T96" t="str">
            <v>=</v>
          </cell>
          <cell r="U96">
            <v>3800000</v>
          </cell>
          <cell r="V96">
            <v>3700000</v>
          </cell>
        </row>
        <row r="97">
          <cell r="D97" t="str">
            <v>DKG&lt;-&gt;Phủ Cừ, Hưng Yên</v>
          </cell>
          <cell r="E97">
            <v>200</v>
          </cell>
          <cell r="F97">
            <v>700000</v>
          </cell>
          <cell r="G97">
            <v>4050000</v>
          </cell>
          <cell r="H97">
            <v>3850000</v>
          </cell>
          <cell r="I97">
            <v>3800000</v>
          </cell>
          <cell r="J97">
            <v>3800000</v>
          </cell>
          <cell r="K97">
            <v>3800000</v>
          </cell>
          <cell r="L97">
            <v>3800000</v>
          </cell>
          <cell r="M97">
            <v>4150000</v>
          </cell>
          <cell r="N97">
            <v>3800000</v>
          </cell>
          <cell r="O97">
            <v>0</v>
          </cell>
          <cell r="P97">
            <v>0</v>
          </cell>
          <cell r="Q97">
            <v>4150000</v>
          </cell>
          <cell r="R97">
            <v>3800000</v>
          </cell>
          <cell r="S97" t="str">
            <v>Phủ Cừ</v>
          </cell>
          <cell r="T97" t="str">
            <v>=</v>
          </cell>
          <cell r="U97" t="str">
            <v>chưa có chuyến từ T09/2022</v>
          </cell>
          <cell r="V97">
            <v>0</v>
          </cell>
        </row>
        <row r="98">
          <cell r="D98" t="str">
            <v>DKG&lt;-&gt;Duy Tiên, Hà Nam</v>
          </cell>
          <cell r="E98">
            <v>260</v>
          </cell>
          <cell r="F98">
            <v>1100000</v>
          </cell>
          <cell r="G98">
            <v>5150000</v>
          </cell>
          <cell r="H98">
            <v>5050000</v>
          </cell>
          <cell r="I98">
            <v>4800000</v>
          </cell>
          <cell r="J98">
            <v>4800000</v>
          </cell>
          <cell r="K98">
            <v>4800000</v>
          </cell>
          <cell r="L98">
            <v>4800000</v>
          </cell>
          <cell r="M98">
            <v>4800000</v>
          </cell>
          <cell r="N98">
            <v>4800000</v>
          </cell>
          <cell r="O98">
            <v>3900000</v>
          </cell>
          <cell r="P98">
            <v>0</v>
          </cell>
          <cell r="Q98">
            <v>4800000</v>
          </cell>
          <cell r="R98">
            <v>4800000</v>
          </cell>
          <cell r="S98" t="str">
            <v>Duy Tiên</v>
          </cell>
          <cell r="T98" t="str">
            <v>=</v>
          </cell>
          <cell r="U98" t="str">
            <v>chưa có chuyến từ T09/2022</v>
          </cell>
          <cell r="V98">
            <v>4500000</v>
          </cell>
        </row>
        <row r="99">
          <cell r="D99" t="str">
            <v>DKG&lt;-&gt;Lý Nhân, Hà Nam</v>
          </cell>
          <cell r="E99">
            <v>265</v>
          </cell>
          <cell r="F99">
            <v>1100000</v>
          </cell>
          <cell r="G99">
            <v>5200000</v>
          </cell>
          <cell r="H99">
            <v>5100000</v>
          </cell>
          <cell r="I99">
            <v>4750000</v>
          </cell>
          <cell r="J99">
            <v>4750000</v>
          </cell>
          <cell r="K99">
            <v>4750000</v>
          </cell>
          <cell r="L99">
            <v>4750000</v>
          </cell>
          <cell r="M99">
            <v>4750000</v>
          </cell>
          <cell r="N99">
            <v>4750000</v>
          </cell>
          <cell r="O99">
            <v>4000000</v>
          </cell>
          <cell r="P99">
            <v>0</v>
          </cell>
          <cell r="Q99">
            <v>4750000</v>
          </cell>
          <cell r="R99">
            <v>4750000</v>
          </cell>
          <cell r="S99" t="str">
            <v>Lý Nhân</v>
          </cell>
          <cell r="T99" t="str">
            <v>=</v>
          </cell>
          <cell r="U99">
            <v>4500000</v>
          </cell>
          <cell r="V99">
            <v>4500000</v>
          </cell>
          <cell r="W99" t="str">
            <v>= Bình Lục</v>
          </cell>
        </row>
        <row r="100">
          <cell r="D100" t="str">
            <v>DKG&lt;-&gt;Yên Lệnh, Hà Nam</v>
          </cell>
          <cell r="E100">
            <v>245</v>
          </cell>
          <cell r="F100">
            <v>1100000</v>
          </cell>
          <cell r="G100">
            <v>5050000</v>
          </cell>
          <cell r="H100">
            <v>4950000</v>
          </cell>
          <cell r="I100">
            <v>4800000</v>
          </cell>
          <cell r="J100">
            <v>4800000</v>
          </cell>
          <cell r="K100">
            <v>4800000</v>
          </cell>
          <cell r="L100">
            <v>4800000</v>
          </cell>
          <cell r="M100">
            <v>4800000</v>
          </cell>
          <cell r="N100">
            <v>4800000</v>
          </cell>
          <cell r="O100">
            <v>0</v>
          </cell>
          <cell r="P100">
            <v>0</v>
          </cell>
          <cell r="Q100">
            <v>4800000</v>
          </cell>
          <cell r="R100">
            <v>4800000</v>
          </cell>
          <cell r="S100" t="str">
            <v>Yên Lệnh</v>
          </cell>
          <cell r="T100" t="str">
            <v>=</v>
          </cell>
          <cell r="U100" t="str">
            <v>chưa có chuyến từ T09/2022</v>
          </cell>
          <cell r="V100">
            <v>0</v>
          </cell>
        </row>
        <row r="101">
          <cell r="D101" t="str">
            <v>DKG&lt;-&gt;Kim Bảng, Hà Nam</v>
          </cell>
          <cell r="E101">
            <v>280</v>
          </cell>
          <cell r="F101">
            <v>1100000</v>
          </cell>
          <cell r="G101">
            <v>5300000</v>
          </cell>
          <cell r="H101">
            <v>4800000</v>
          </cell>
          <cell r="I101">
            <v>4850000</v>
          </cell>
          <cell r="J101">
            <v>4750000</v>
          </cell>
          <cell r="K101">
            <v>4850000</v>
          </cell>
          <cell r="L101">
            <v>4750000</v>
          </cell>
          <cell r="M101">
            <v>4950000</v>
          </cell>
          <cell r="N101">
            <v>4750000</v>
          </cell>
          <cell r="O101">
            <v>0</v>
          </cell>
          <cell r="P101">
            <v>0</v>
          </cell>
          <cell r="Q101">
            <v>4950000</v>
          </cell>
          <cell r="R101">
            <v>4750000</v>
          </cell>
          <cell r="S101" t="str">
            <v>Kim Bảng</v>
          </cell>
          <cell r="T101" t="str">
            <v>=</v>
          </cell>
          <cell r="U101">
            <v>4500000</v>
          </cell>
          <cell r="V101">
            <v>4500000</v>
          </cell>
        </row>
        <row r="102">
          <cell r="D102" t="str">
            <v>DKG&lt;-&gt;Vĩnh Trụ, Hà Nam</v>
          </cell>
          <cell r="E102">
            <v>260</v>
          </cell>
          <cell r="F102">
            <v>1100000</v>
          </cell>
          <cell r="G102">
            <v>5150000</v>
          </cell>
          <cell r="H102">
            <v>4650000</v>
          </cell>
          <cell r="I102">
            <v>4900000</v>
          </cell>
          <cell r="J102">
            <v>4900000</v>
          </cell>
          <cell r="K102">
            <v>4900000</v>
          </cell>
          <cell r="L102">
            <v>4900000</v>
          </cell>
          <cell r="M102">
            <v>4900000</v>
          </cell>
          <cell r="N102">
            <v>4900000</v>
          </cell>
          <cell r="O102">
            <v>0</v>
          </cell>
          <cell r="P102">
            <v>0</v>
          </cell>
          <cell r="Q102">
            <v>4900000</v>
          </cell>
          <cell r="R102">
            <v>4900000</v>
          </cell>
          <cell r="S102" t="str">
            <v>Vĩnh Trụ</v>
          </cell>
          <cell r="T102" t="str">
            <v>=</v>
          </cell>
          <cell r="U102" t="str">
            <v>chưa có chuyến từ T09/2022</v>
          </cell>
          <cell r="V102">
            <v>0</v>
          </cell>
        </row>
        <row r="103">
          <cell r="D103" t="str">
            <v>DKG&lt;-&gt;Phủ Lý, Hà Nam</v>
          </cell>
          <cell r="E103">
            <v>280</v>
          </cell>
          <cell r="F103">
            <v>1100000</v>
          </cell>
          <cell r="G103">
            <v>5300000</v>
          </cell>
          <cell r="H103">
            <v>4800000</v>
          </cell>
          <cell r="I103">
            <v>4850000</v>
          </cell>
          <cell r="J103">
            <v>4750000</v>
          </cell>
          <cell r="K103">
            <v>4850000</v>
          </cell>
          <cell r="L103">
            <v>4750000</v>
          </cell>
          <cell r="M103">
            <v>4950000</v>
          </cell>
          <cell r="N103">
            <v>4750000</v>
          </cell>
          <cell r="O103">
            <v>0</v>
          </cell>
          <cell r="P103">
            <v>0</v>
          </cell>
          <cell r="Q103">
            <v>4950000</v>
          </cell>
          <cell r="R103">
            <v>4750000</v>
          </cell>
          <cell r="S103" t="str">
            <v>Phủ Lý</v>
          </cell>
          <cell r="T103" t="str">
            <v>=</v>
          </cell>
          <cell r="U103" t="str">
            <v>chưa có chuyến từ T09/2022</v>
          </cell>
          <cell r="V103">
            <v>0</v>
          </cell>
        </row>
        <row r="104">
          <cell r="D104" t="str">
            <v>DKG&lt;-&gt;Thanh Liêm, Hà Nam</v>
          </cell>
          <cell r="E104">
            <v>290</v>
          </cell>
          <cell r="F104">
            <v>1100000</v>
          </cell>
          <cell r="G104">
            <v>5450000</v>
          </cell>
          <cell r="H104">
            <v>5150000</v>
          </cell>
          <cell r="I104">
            <v>5100000</v>
          </cell>
          <cell r="J104">
            <v>5050000</v>
          </cell>
          <cell r="K104">
            <v>5100000</v>
          </cell>
          <cell r="L104">
            <v>5050000</v>
          </cell>
          <cell r="M104">
            <v>5100000</v>
          </cell>
          <cell r="N104">
            <v>5000000</v>
          </cell>
          <cell r="O104">
            <v>0</v>
          </cell>
          <cell r="P104">
            <v>0</v>
          </cell>
          <cell r="Q104">
            <v>5100000</v>
          </cell>
          <cell r="R104">
            <v>5000000</v>
          </cell>
          <cell r="S104" t="str">
            <v>Thanh Liêm</v>
          </cell>
          <cell r="T104" t="str">
            <v>=</v>
          </cell>
          <cell r="U104">
            <v>4500000</v>
          </cell>
          <cell r="V104">
            <v>4500000</v>
          </cell>
        </row>
        <row r="105">
          <cell r="D105" t="str">
            <v>DKG&lt;-&gt;Thuận Thành, Bắc Ninh</v>
          </cell>
          <cell r="E105">
            <v>190</v>
          </cell>
          <cell r="F105">
            <v>750000</v>
          </cell>
          <cell r="G105">
            <v>4450000</v>
          </cell>
          <cell r="H105">
            <v>4350000</v>
          </cell>
          <cell r="I105">
            <v>4450000</v>
          </cell>
          <cell r="J105">
            <v>4300000</v>
          </cell>
          <cell r="K105">
            <v>4450000</v>
          </cell>
          <cell r="L105">
            <v>4300000</v>
          </cell>
          <cell r="M105">
            <v>4450000</v>
          </cell>
          <cell r="N105">
            <v>4300000</v>
          </cell>
          <cell r="O105">
            <v>0</v>
          </cell>
          <cell r="P105">
            <v>0</v>
          </cell>
          <cell r="Q105">
            <v>4450000</v>
          </cell>
          <cell r="R105">
            <v>4300000</v>
          </cell>
          <cell r="S105" t="str">
            <v>Thuận Thành</v>
          </cell>
          <cell r="T105" t="str">
            <v>=</v>
          </cell>
          <cell r="U105" t="str">
            <v>chưa có chuyến từ T09/2022</v>
          </cell>
          <cell r="V105">
            <v>0</v>
          </cell>
        </row>
        <row r="106">
          <cell r="D106" t="str">
            <v>DKG&lt;-&gt;Phật Tích, Bắc Ninh</v>
          </cell>
          <cell r="E106">
            <v>244</v>
          </cell>
          <cell r="F106">
            <v>1100000</v>
          </cell>
          <cell r="G106">
            <v>5000000</v>
          </cell>
          <cell r="H106">
            <v>4900000</v>
          </cell>
          <cell r="I106">
            <v>4900000</v>
          </cell>
          <cell r="J106">
            <v>4700000</v>
          </cell>
          <cell r="K106">
            <v>4900000</v>
          </cell>
          <cell r="L106">
            <v>4700000</v>
          </cell>
          <cell r="M106">
            <v>4900000</v>
          </cell>
          <cell r="N106">
            <v>4700000</v>
          </cell>
          <cell r="O106">
            <v>0</v>
          </cell>
          <cell r="P106">
            <v>0</v>
          </cell>
          <cell r="Q106">
            <v>4900000</v>
          </cell>
          <cell r="R106">
            <v>4700000</v>
          </cell>
          <cell r="S106" t="str">
            <v>Phật Tích</v>
          </cell>
          <cell r="T106" t="str">
            <v>=</v>
          </cell>
          <cell r="U106" t="str">
            <v>chưa có chuyến từ T09/2022</v>
          </cell>
          <cell r="V106">
            <v>4500000</v>
          </cell>
        </row>
        <row r="107">
          <cell r="D107" t="str">
            <v>DKG&lt;-&gt;Tiên Du, Bắc Ninh</v>
          </cell>
          <cell r="E107">
            <v>230</v>
          </cell>
          <cell r="F107">
            <v>1100000</v>
          </cell>
          <cell r="G107">
            <v>4800000</v>
          </cell>
          <cell r="H107">
            <v>4700000</v>
          </cell>
          <cell r="I107">
            <v>4800000</v>
          </cell>
          <cell r="J107">
            <v>4600000</v>
          </cell>
          <cell r="K107">
            <v>4800000</v>
          </cell>
          <cell r="L107">
            <v>4600000</v>
          </cell>
          <cell r="M107">
            <v>4800000</v>
          </cell>
          <cell r="N107">
            <v>4600000</v>
          </cell>
          <cell r="O107">
            <v>0</v>
          </cell>
          <cell r="P107">
            <v>0</v>
          </cell>
          <cell r="Q107">
            <v>4800000</v>
          </cell>
          <cell r="R107">
            <v>4600000</v>
          </cell>
          <cell r="S107" t="str">
            <v>Tiên Du</v>
          </cell>
          <cell r="T107" t="str">
            <v>=</v>
          </cell>
          <cell r="U107">
            <v>4600000</v>
          </cell>
          <cell r="V107">
            <v>4500000</v>
          </cell>
        </row>
        <row r="108">
          <cell r="D108" t="str">
            <v>DKG&lt;-&gt;TP. Bắc Ninh</v>
          </cell>
          <cell r="E108">
            <v>230</v>
          </cell>
          <cell r="F108">
            <v>1100000</v>
          </cell>
          <cell r="G108">
            <v>4800000</v>
          </cell>
          <cell r="H108">
            <v>4700000</v>
          </cell>
          <cell r="I108">
            <v>4800000</v>
          </cell>
          <cell r="J108">
            <v>4600000</v>
          </cell>
          <cell r="K108">
            <v>4800000</v>
          </cell>
          <cell r="L108">
            <v>4600000</v>
          </cell>
          <cell r="M108">
            <v>4800000</v>
          </cell>
          <cell r="N108">
            <v>4600000</v>
          </cell>
          <cell r="O108">
            <v>0</v>
          </cell>
          <cell r="P108">
            <v>0</v>
          </cell>
          <cell r="Q108">
            <v>4800000</v>
          </cell>
          <cell r="R108">
            <v>4600000</v>
          </cell>
          <cell r="S108" t="str">
            <v>TP. Bắc Ninh</v>
          </cell>
          <cell r="T108" t="str">
            <v>saiiii</v>
          </cell>
          <cell r="U108">
            <v>4600000</v>
          </cell>
          <cell r="V108">
            <v>4500000</v>
          </cell>
        </row>
        <row r="109">
          <cell r="D109" t="str">
            <v>DKG&lt;-&gt;Từ Sơn, Bắc Ninh</v>
          </cell>
          <cell r="E109">
            <v>240</v>
          </cell>
          <cell r="F109">
            <v>1100000</v>
          </cell>
          <cell r="G109">
            <v>5000000</v>
          </cell>
          <cell r="H109">
            <v>4900000</v>
          </cell>
          <cell r="I109">
            <v>4900000</v>
          </cell>
          <cell r="J109">
            <v>4700000</v>
          </cell>
          <cell r="K109">
            <v>4900000</v>
          </cell>
          <cell r="L109">
            <v>4700000</v>
          </cell>
          <cell r="M109">
            <v>4650000</v>
          </cell>
          <cell r="N109">
            <v>4450000</v>
          </cell>
          <cell r="O109">
            <v>3980000</v>
          </cell>
          <cell r="P109">
            <v>0</v>
          </cell>
          <cell r="Q109">
            <v>4650000</v>
          </cell>
          <cell r="R109">
            <v>4450000</v>
          </cell>
          <cell r="S109" t="str">
            <v>Từ Sơn</v>
          </cell>
          <cell r="T109" t="str">
            <v>=</v>
          </cell>
          <cell r="U109">
            <v>4600000</v>
          </cell>
          <cell r="V109">
            <v>4500000</v>
          </cell>
        </row>
        <row r="110">
          <cell r="D110" t="str">
            <v>DKG&lt;-&gt;Phố Chờ, Bắc Ninh</v>
          </cell>
          <cell r="E110">
            <v>250</v>
          </cell>
          <cell r="F110">
            <v>1100000</v>
          </cell>
          <cell r="G110">
            <v>5100000</v>
          </cell>
          <cell r="H110">
            <v>5000000</v>
          </cell>
          <cell r="I110">
            <v>4900000</v>
          </cell>
          <cell r="J110">
            <v>4700000</v>
          </cell>
          <cell r="K110">
            <v>4900000</v>
          </cell>
          <cell r="L110">
            <v>4700000</v>
          </cell>
          <cell r="M110">
            <v>4900000</v>
          </cell>
          <cell r="N110">
            <v>4700000</v>
          </cell>
          <cell r="O110">
            <v>0</v>
          </cell>
          <cell r="P110">
            <v>0</v>
          </cell>
          <cell r="Q110">
            <v>4900000</v>
          </cell>
          <cell r="R110">
            <v>4700000</v>
          </cell>
          <cell r="S110" t="str">
            <v>Phố Chờ</v>
          </cell>
          <cell r="T110" t="str">
            <v>=</v>
          </cell>
          <cell r="U110" t="str">
            <v>chưa có chuyến từ T09/2022</v>
          </cell>
          <cell r="V110">
            <v>4500000</v>
          </cell>
        </row>
        <row r="111">
          <cell r="D111" t="str">
            <v>DKG&lt;-&gt;Yên Phong, Bắc Ninh</v>
          </cell>
          <cell r="E111">
            <v>245</v>
          </cell>
          <cell r="F111">
            <v>1100000</v>
          </cell>
          <cell r="G111">
            <v>5000000</v>
          </cell>
          <cell r="H111">
            <v>4900000</v>
          </cell>
          <cell r="I111">
            <v>4900000</v>
          </cell>
          <cell r="J111">
            <v>4700000</v>
          </cell>
          <cell r="K111">
            <v>4900000</v>
          </cell>
          <cell r="L111">
            <v>4700000</v>
          </cell>
          <cell r="M111">
            <v>4600000</v>
          </cell>
          <cell r="N111">
            <v>4500000</v>
          </cell>
          <cell r="O111">
            <v>3980000</v>
          </cell>
          <cell r="P111">
            <v>0</v>
          </cell>
          <cell r="Q111">
            <v>4600000</v>
          </cell>
          <cell r="R111">
            <v>4500000</v>
          </cell>
          <cell r="S111" t="str">
            <v>Yên Phong</v>
          </cell>
          <cell r="T111" t="str">
            <v>=</v>
          </cell>
          <cell r="U111">
            <v>4600000</v>
          </cell>
          <cell r="V111">
            <v>4500000</v>
          </cell>
        </row>
        <row r="112">
          <cell r="D112" t="str">
            <v>DKG&lt;-&gt;Quế Võ, Bắc Ninh</v>
          </cell>
          <cell r="E112">
            <v>185</v>
          </cell>
          <cell r="F112">
            <v>1100000</v>
          </cell>
          <cell r="G112">
            <v>4800000</v>
          </cell>
          <cell r="H112">
            <v>4700000</v>
          </cell>
          <cell r="I112">
            <v>4800000</v>
          </cell>
          <cell r="J112">
            <v>4600000</v>
          </cell>
          <cell r="K112">
            <v>4800000</v>
          </cell>
          <cell r="L112">
            <v>4600000</v>
          </cell>
          <cell r="M112">
            <v>4800000</v>
          </cell>
          <cell r="N112">
            <v>4600000</v>
          </cell>
          <cell r="O112">
            <v>3980000</v>
          </cell>
          <cell r="P112">
            <v>0</v>
          </cell>
          <cell r="Q112">
            <v>4800000</v>
          </cell>
          <cell r="R112">
            <v>4600000</v>
          </cell>
          <cell r="S112" t="str">
            <v>Quế Võ</v>
          </cell>
          <cell r="T112" t="str">
            <v>=</v>
          </cell>
          <cell r="U112">
            <v>4600000</v>
          </cell>
          <cell r="V112">
            <v>4500000</v>
          </cell>
        </row>
        <row r="113">
          <cell r="D113" t="str">
            <v>DKG&lt;-&gt;TP. Bắc Giang</v>
          </cell>
          <cell r="E113">
            <v>265</v>
          </cell>
          <cell r="F113">
            <v>1150000</v>
          </cell>
          <cell r="G113">
            <v>5200000</v>
          </cell>
          <cell r="H113">
            <v>5100000</v>
          </cell>
          <cell r="I113">
            <v>5050000</v>
          </cell>
          <cell r="J113">
            <v>4850000</v>
          </cell>
          <cell r="K113">
            <v>5050000</v>
          </cell>
          <cell r="L113">
            <v>4850000</v>
          </cell>
          <cell r="M113">
            <v>5050000</v>
          </cell>
          <cell r="N113">
            <v>4850000</v>
          </cell>
          <cell r="O113">
            <v>0</v>
          </cell>
          <cell r="P113">
            <v>0</v>
          </cell>
          <cell r="Q113">
            <v>5050000</v>
          </cell>
          <cell r="R113">
            <v>4850000</v>
          </cell>
          <cell r="S113" t="str">
            <v>TP. Bắc Giang</v>
          </cell>
          <cell r="T113" t="str">
            <v>saiiii</v>
          </cell>
          <cell r="U113">
            <v>4800000</v>
          </cell>
          <cell r="V113">
            <v>0</v>
          </cell>
        </row>
        <row r="114">
          <cell r="D114" t="str">
            <v>DKG&lt;-&gt;Dĩnh Kế, Bắc Giang</v>
          </cell>
          <cell r="E114">
            <v>255</v>
          </cell>
          <cell r="F114">
            <v>1150000</v>
          </cell>
          <cell r="G114">
            <v>5150000</v>
          </cell>
          <cell r="H114">
            <v>5050000</v>
          </cell>
          <cell r="I114">
            <v>5100000</v>
          </cell>
          <cell r="J114">
            <v>4900000</v>
          </cell>
          <cell r="K114">
            <v>5100000</v>
          </cell>
          <cell r="L114">
            <v>4900000</v>
          </cell>
          <cell r="M114">
            <v>5100000</v>
          </cell>
          <cell r="N114">
            <v>4900000</v>
          </cell>
          <cell r="O114">
            <v>0</v>
          </cell>
          <cell r="P114">
            <v>0</v>
          </cell>
          <cell r="Q114">
            <v>5100000</v>
          </cell>
          <cell r="R114">
            <v>4900000</v>
          </cell>
          <cell r="S114" t="str">
            <v>Dĩnh Kế</v>
          </cell>
          <cell r="T114" t="str">
            <v>=</v>
          </cell>
          <cell r="U114" t="str">
            <v>chưa có chuyến từ T09/2022</v>
          </cell>
          <cell r="V114">
            <v>0</v>
          </cell>
        </row>
        <row r="115">
          <cell r="D115" t="str">
            <v>DKG&lt;-&gt;Hiệp Hòa, Bắc Giang</v>
          </cell>
          <cell r="E115">
            <v>280</v>
          </cell>
          <cell r="F115">
            <v>1150000</v>
          </cell>
          <cell r="G115">
            <v>5350000</v>
          </cell>
          <cell r="H115">
            <v>5250000</v>
          </cell>
          <cell r="I115">
            <v>5050000</v>
          </cell>
          <cell r="J115">
            <v>5050000</v>
          </cell>
          <cell r="K115">
            <v>5050000</v>
          </cell>
          <cell r="L115">
            <v>5050000</v>
          </cell>
          <cell r="M115">
            <v>5050000</v>
          </cell>
          <cell r="N115">
            <v>5050000</v>
          </cell>
          <cell r="O115">
            <v>0</v>
          </cell>
          <cell r="P115" t="str">
            <v>Vôi</v>
          </cell>
          <cell r="Q115">
            <v>5050000</v>
          </cell>
          <cell r="R115">
            <v>5050000</v>
          </cell>
          <cell r="S115" t="str">
            <v>Hiệp Hòa</v>
          </cell>
          <cell r="T115" t="str">
            <v>=</v>
          </cell>
          <cell r="U115">
            <v>4900000</v>
          </cell>
          <cell r="V115">
            <v>4700000</v>
          </cell>
        </row>
        <row r="116">
          <cell r="D116" t="str">
            <v>DKG&lt;-&gt;Việt Yên, Bắc Giang</v>
          </cell>
          <cell r="E116">
            <v>250</v>
          </cell>
          <cell r="F116">
            <v>1150000</v>
          </cell>
          <cell r="G116">
            <v>5100000</v>
          </cell>
          <cell r="H116">
            <v>5000000</v>
          </cell>
          <cell r="I116">
            <v>5100000</v>
          </cell>
          <cell r="J116">
            <v>5100000</v>
          </cell>
          <cell r="K116">
            <v>5100000</v>
          </cell>
          <cell r="L116">
            <v>5100000</v>
          </cell>
          <cell r="M116">
            <v>5100000</v>
          </cell>
          <cell r="N116">
            <v>5100000</v>
          </cell>
          <cell r="O116">
            <v>0</v>
          </cell>
          <cell r="P116">
            <v>0</v>
          </cell>
          <cell r="Q116">
            <v>5100000</v>
          </cell>
          <cell r="R116">
            <v>5100000</v>
          </cell>
          <cell r="S116" t="str">
            <v>Việt Yên</v>
          </cell>
          <cell r="T116" t="str">
            <v>=</v>
          </cell>
          <cell r="U116" t="str">
            <v>chưa có chuyến từ T09/2022</v>
          </cell>
          <cell r="V116">
            <v>0</v>
          </cell>
        </row>
        <row r="117">
          <cell r="D117" t="str">
            <v>DKG&lt;-&gt;Yên Dũng, Bắc Giang</v>
          </cell>
          <cell r="E117">
            <v>255</v>
          </cell>
          <cell r="F117">
            <v>1150000</v>
          </cell>
          <cell r="G117">
            <v>5200000</v>
          </cell>
          <cell r="H117">
            <v>5100000</v>
          </cell>
          <cell r="I117">
            <v>5100000</v>
          </cell>
          <cell r="J117">
            <v>5100000</v>
          </cell>
          <cell r="K117">
            <v>5100000</v>
          </cell>
          <cell r="L117">
            <v>5100000</v>
          </cell>
          <cell r="M117">
            <v>5100000</v>
          </cell>
          <cell r="N117">
            <v>5100000</v>
          </cell>
          <cell r="O117">
            <v>0</v>
          </cell>
          <cell r="P117">
            <v>0</v>
          </cell>
          <cell r="Q117">
            <v>5100000</v>
          </cell>
          <cell r="R117">
            <v>5100000</v>
          </cell>
          <cell r="S117" t="str">
            <v>Yên Dũng</v>
          </cell>
          <cell r="T117" t="str">
            <v>=</v>
          </cell>
          <cell r="U117">
            <v>4800000</v>
          </cell>
          <cell r="V117">
            <v>0</v>
          </cell>
        </row>
        <row r="118">
          <cell r="D118" t="str">
            <v>DKG&lt;-&gt;Lục Ngạn, Bắc Giang</v>
          </cell>
          <cell r="E118">
            <v>285</v>
          </cell>
          <cell r="F118">
            <v>1150000</v>
          </cell>
          <cell r="G118">
            <v>5400000</v>
          </cell>
          <cell r="H118">
            <v>5300000</v>
          </cell>
          <cell r="I118">
            <v>5100000</v>
          </cell>
          <cell r="J118">
            <v>5100000</v>
          </cell>
          <cell r="K118">
            <v>5100000</v>
          </cell>
          <cell r="L118">
            <v>5100000</v>
          </cell>
          <cell r="M118">
            <v>5100000</v>
          </cell>
          <cell r="N118">
            <v>5100000</v>
          </cell>
          <cell r="O118">
            <v>0</v>
          </cell>
          <cell r="P118" t="str">
            <v>Lạng Giang</v>
          </cell>
          <cell r="Q118">
            <v>5100000</v>
          </cell>
          <cell r="R118">
            <v>5100000</v>
          </cell>
          <cell r="S118" t="str">
            <v>Lục Ngạn</v>
          </cell>
          <cell r="T118" t="str">
            <v>=</v>
          </cell>
          <cell r="U118" t="str">
            <v>chưa có chuyến từ T09/2022</v>
          </cell>
          <cell r="V118">
            <v>0</v>
          </cell>
        </row>
        <row r="119">
          <cell r="D119" t="str">
            <v>DKG&lt;-&gt;Kép, Bắc Giang</v>
          </cell>
          <cell r="E119">
            <v>250</v>
          </cell>
          <cell r="F119">
            <v>1150000</v>
          </cell>
          <cell r="G119">
            <v>0</v>
          </cell>
          <cell r="H119">
            <v>0</v>
          </cell>
          <cell r="I119">
            <v>0</v>
          </cell>
          <cell r="J119">
            <v>0</v>
          </cell>
          <cell r="K119">
            <v>0</v>
          </cell>
          <cell r="L119">
            <v>0</v>
          </cell>
          <cell r="M119">
            <v>0</v>
          </cell>
          <cell r="N119">
            <v>0</v>
          </cell>
          <cell r="O119">
            <v>4400000</v>
          </cell>
          <cell r="P119">
            <v>0</v>
          </cell>
          <cell r="Q119">
            <v>0</v>
          </cell>
          <cell r="R119">
            <v>0</v>
          </cell>
          <cell r="S119" t="str">
            <v>Kép</v>
          </cell>
          <cell r="T119" t="str">
            <v>=</v>
          </cell>
          <cell r="U119" t="str">
            <v>chưa có chuyến từ T09/2022</v>
          </cell>
          <cell r="V119">
            <v>0</v>
          </cell>
        </row>
        <row r="120">
          <cell r="D120" t="str">
            <v>DKG&lt;-&gt;Vôi, Bắc Giang</v>
          </cell>
          <cell r="E120">
            <v>245</v>
          </cell>
          <cell r="F120">
            <v>1150000</v>
          </cell>
          <cell r="G120">
            <v>0</v>
          </cell>
          <cell r="H120">
            <v>0</v>
          </cell>
          <cell r="I120">
            <v>0</v>
          </cell>
          <cell r="J120">
            <v>0</v>
          </cell>
          <cell r="K120">
            <v>0</v>
          </cell>
          <cell r="L120">
            <v>0</v>
          </cell>
          <cell r="M120">
            <v>0</v>
          </cell>
          <cell r="N120">
            <v>0</v>
          </cell>
          <cell r="O120">
            <v>4400000</v>
          </cell>
          <cell r="P120">
            <v>0</v>
          </cell>
          <cell r="Q120">
            <v>0</v>
          </cell>
          <cell r="R120">
            <v>0</v>
          </cell>
          <cell r="S120" t="str">
            <v>Vôi</v>
          </cell>
          <cell r="T120" t="str">
            <v>=</v>
          </cell>
          <cell r="U120" t="str">
            <v>chưa có chuyến từ T09/2022</v>
          </cell>
          <cell r="V120">
            <v>0</v>
          </cell>
        </row>
        <row r="121">
          <cell r="D121" t="str">
            <v>DKG&lt;-&gt;Đồi Ngô, Bắc Giang</v>
          </cell>
          <cell r="E121">
            <v>215</v>
          </cell>
          <cell r="F121">
            <v>1150000</v>
          </cell>
          <cell r="G121">
            <v>0</v>
          </cell>
          <cell r="H121">
            <v>0</v>
          </cell>
          <cell r="I121">
            <v>0</v>
          </cell>
          <cell r="J121">
            <v>0</v>
          </cell>
          <cell r="K121">
            <v>0</v>
          </cell>
          <cell r="L121">
            <v>0</v>
          </cell>
          <cell r="M121">
            <v>0</v>
          </cell>
          <cell r="N121">
            <v>0</v>
          </cell>
          <cell r="O121">
            <v>4400000</v>
          </cell>
          <cell r="P121">
            <v>0</v>
          </cell>
          <cell r="Q121">
            <v>0</v>
          </cell>
          <cell r="R121">
            <v>0</v>
          </cell>
          <cell r="S121" t="str">
            <v>Đồi Ngô</v>
          </cell>
          <cell r="T121" t="str">
            <v>=</v>
          </cell>
          <cell r="U121" t="str">
            <v>chưa có chuyến từ T09/2022</v>
          </cell>
          <cell r="V121">
            <v>0</v>
          </cell>
        </row>
        <row r="122">
          <cell r="D122" t="str">
            <v>DKG&lt;-&gt;Lục Nam, Bắc Giang</v>
          </cell>
          <cell r="E122">
            <v>220</v>
          </cell>
          <cell r="F122">
            <v>1150000</v>
          </cell>
          <cell r="G122">
            <v>0</v>
          </cell>
          <cell r="H122">
            <v>0</v>
          </cell>
          <cell r="I122">
            <v>0</v>
          </cell>
          <cell r="J122">
            <v>0</v>
          </cell>
          <cell r="K122">
            <v>0</v>
          </cell>
          <cell r="L122">
            <v>0</v>
          </cell>
          <cell r="M122">
            <v>0</v>
          </cell>
          <cell r="N122">
            <v>0</v>
          </cell>
          <cell r="O122">
            <v>4400000</v>
          </cell>
          <cell r="P122">
            <v>0</v>
          </cell>
          <cell r="Q122">
            <v>0</v>
          </cell>
          <cell r="R122">
            <v>0</v>
          </cell>
          <cell r="S122" t="str">
            <v>Lục Nam</v>
          </cell>
          <cell r="T122" t="str">
            <v>=</v>
          </cell>
          <cell r="U122" t="str">
            <v>chưa có chuyến từ T09/2022</v>
          </cell>
          <cell r="V122">
            <v>0</v>
          </cell>
        </row>
        <row r="123">
          <cell r="D123" t="str">
            <v>DKG&lt;-&gt;Lạng Giang, Bắc Giang</v>
          </cell>
          <cell r="E123">
            <v>250</v>
          </cell>
          <cell r="F123">
            <v>1150000</v>
          </cell>
          <cell r="G123">
            <v>0</v>
          </cell>
          <cell r="H123">
            <v>0</v>
          </cell>
          <cell r="I123">
            <v>0</v>
          </cell>
          <cell r="J123">
            <v>0</v>
          </cell>
          <cell r="K123">
            <v>0</v>
          </cell>
          <cell r="L123">
            <v>0</v>
          </cell>
          <cell r="M123">
            <v>0</v>
          </cell>
          <cell r="N123">
            <v>0</v>
          </cell>
          <cell r="O123">
            <v>4400000</v>
          </cell>
          <cell r="P123">
            <v>0</v>
          </cell>
          <cell r="Q123">
            <v>0</v>
          </cell>
          <cell r="R123">
            <v>0</v>
          </cell>
          <cell r="S123" t="str">
            <v>Lạng Giang</v>
          </cell>
          <cell r="T123" t="str">
            <v>=</v>
          </cell>
          <cell r="U123">
            <v>4900000</v>
          </cell>
          <cell r="V123">
            <v>0</v>
          </cell>
        </row>
        <row r="124">
          <cell r="D124" t="str">
            <v>DKG&lt;-&gt;Yên Thế, Bắc Giang</v>
          </cell>
          <cell r="E124">
            <v>290</v>
          </cell>
          <cell r="F124">
            <v>1150000</v>
          </cell>
          <cell r="G124">
            <v>0</v>
          </cell>
          <cell r="H124">
            <v>0</v>
          </cell>
          <cell r="I124">
            <v>0</v>
          </cell>
          <cell r="J124">
            <v>0</v>
          </cell>
          <cell r="K124">
            <v>0</v>
          </cell>
          <cell r="L124">
            <v>0</v>
          </cell>
          <cell r="M124">
            <v>0</v>
          </cell>
          <cell r="N124">
            <v>0</v>
          </cell>
          <cell r="O124">
            <v>4900000</v>
          </cell>
          <cell r="P124">
            <v>0</v>
          </cell>
          <cell r="Q124">
            <v>0</v>
          </cell>
          <cell r="R124">
            <v>0</v>
          </cell>
          <cell r="S124" t="str">
            <v>Yên Thế</v>
          </cell>
          <cell r="T124" t="str">
            <v>=</v>
          </cell>
          <cell r="U124" t="str">
            <v>chưa có chuyến từ T09/2022</v>
          </cell>
          <cell r="V124">
            <v>0</v>
          </cell>
        </row>
        <row r="125">
          <cell r="D125" t="str">
            <v>DKG&lt;-&gt;Việt Yên, Bắc Giang</v>
          </cell>
          <cell r="E125">
            <v>250</v>
          </cell>
          <cell r="F125">
            <v>1150000</v>
          </cell>
          <cell r="G125">
            <v>0</v>
          </cell>
          <cell r="H125">
            <v>0</v>
          </cell>
          <cell r="I125">
            <v>0</v>
          </cell>
          <cell r="J125">
            <v>0</v>
          </cell>
          <cell r="K125">
            <v>0</v>
          </cell>
          <cell r="L125">
            <v>0</v>
          </cell>
          <cell r="M125">
            <v>0</v>
          </cell>
          <cell r="N125">
            <v>0</v>
          </cell>
          <cell r="O125">
            <v>4400000</v>
          </cell>
          <cell r="P125">
            <v>0</v>
          </cell>
          <cell r="Q125">
            <v>0</v>
          </cell>
          <cell r="R125">
            <v>0</v>
          </cell>
          <cell r="S125" t="str">
            <v>Việt Yên</v>
          </cell>
          <cell r="T125" t="str">
            <v>=</v>
          </cell>
          <cell r="U125" t="str">
            <v>chưa có chuyến từ T09/2022</v>
          </cell>
          <cell r="V125">
            <v>0</v>
          </cell>
        </row>
        <row r="126">
          <cell r="D126" t="str">
            <v>DKG&lt;-&gt;Bố Hạ, Bắc Giang</v>
          </cell>
          <cell r="E126">
            <v>275</v>
          </cell>
          <cell r="F126">
            <v>1150000</v>
          </cell>
          <cell r="G126">
            <v>0</v>
          </cell>
          <cell r="H126">
            <v>0</v>
          </cell>
          <cell r="I126">
            <v>0</v>
          </cell>
          <cell r="J126">
            <v>0</v>
          </cell>
          <cell r="K126">
            <v>0</v>
          </cell>
          <cell r="L126">
            <v>0</v>
          </cell>
          <cell r="M126">
            <v>0</v>
          </cell>
          <cell r="N126">
            <v>0</v>
          </cell>
          <cell r="O126">
            <v>4900000</v>
          </cell>
          <cell r="P126">
            <v>0</v>
          </cell>
          <cell r="Q126">
            <v>0</v>
          </cell>
          <cell r="R126">
            <v>0</v>
          </cell>
          <cell r="S126" t="str">
            <v>Bố Hạ</v>
          </cell>
          <cell r="T126" t="str">
            <v>=</v>
          </cell>
          <cell r="U126" t="str">
            <v>chưa có chuyến từ T09/2022</v>
          </cell>
          <cell r="V126">
            <v>0</v>
          </cell>
        </row>
        <row r="127">
          <cell r="D127" t="str">
            <v>DKG&lt;-&gt;Gia Lâm, Hà Nội</v>
          </cell>
          <cell r="E127">
            <v>196</v>
          </cell>
          <cell r="F127">
            <v>1100000</v>
          </cell>
          <cell r="G127">
            <v>4550000</v>
          </cell>
          <cell r="H127">
            <v>4500000</v>
          </cell>
          <cell r="I127">
            <v>4550000</v>
          </cell>
          <cell r="J127">
            <v>4400000</v>
          </cell>
          <cell r="K127">
            <v>4550000</v>
          </cell>
          <cell r="L127">
            <v>4400000</v>
          </cell>
          <cell r="M127">
            <v>4600000</v>
          </cell>
          <cell r="N127">
            <v>4400000</v>
          </cell>
          <cell r="O127">
            <v>3980000</v>
          </cell>
          <cell r="P127">
            <v>0</v>
          </cell>
          <cell r="Q127">
            <v>4600000</v>
          </cell>
          <cell r="R127">
            <v>4400000</v>
          </cell>
          <cell r="S127" t="str">
            <v>Gia Lâm</v>
          </cell>
          <cell r="T127" t="str">
            <v>=</v>
          </cell>
          <cell r="U127" t="str">
            <v>chưa có chuyến từ T09/2022</v>
          </cell>
          <cell r="V127">
            <v>0</v>
          </cell>
        </row>
        <row r="128">
          <cell r="D128" t="str">
            <v>DKG&lt;-&gt;Đông Anh, Hà Nội</v>
          </cell>
          <cell r="E128">
            <v>260</v>
          </cell>
          <cell r="F128">
            <v>1100000</v>
          </cell>
          <cell r="G128">
            <v>4950000</v>
          </cell>
          <cell r="H128">
            <v>4950000</v>
          </cell>
          <cell r="I128">
            <v>4800000</v>
          </cell>
          <cell r="J128">
            <v>4700000</v>
          </cell>
          <cell r="K128">
            <v>4800000</v>
          </cell>
          <cell r="L128">
            <v>4700000</v>
          </cell>
          <cell r="M128">
            <v>4750000</v>
          </cell>
          <cell r="N128">
            <v>4600000</v>
          </cell>
          <cell r="O128">
            <v>3980000</v>
          </cell>
          <cell r="P128">
            <v>0</v>
          </cell>
          <cell r="Q128">
            <v>4750000</v>
          </cell>
          <cell r="R128">
            <v>4600000</v>
          </cell>
          <cell r="S128" t="str">
            <v>Đông Anh</v>
          </cell>
          <cell r="T128" t="str">
            <v>=</v>
          </cell>
          <cell r="U128">
            <v>4800000</v>
          </cell>
          <cell r="V128">
            <v>4600000</v>
          </cell>
        </row>
        <row r="129">
          <cell r="D129" t="str">
            <v>DKG&lt;-&gt;Sóc Sơn, Hà Nội</v>
          </cell>
          <cell r="E129">
            <v>285</v>
          </cell>
          <cell r="F129">
            <v>1100000</v>
          </cell>
          <cell r="G129">
            <v>5150000</v>
          </cell>
          <cell r="H129">
            <v>4750000</v>
          </cell>
          <cell r="I129">
            <v>4900000</v>
          </cell>
          <cell r="J129">
            <v>4900000</v>
          </cell>
          <cell r="K129">
            <v>4900000</v>
          </cell>
          <cell r="L129">
            <v>4900000</v>
          </cell>
          <cell r="M129">
            <v>5000000</v>
          </cell>
          <cell r="N129">
            <v>4900000</v>
          </cell>
          <cell r="O129">
            <v>4100000</v>
          </cell>
          <cell r="P129">
            <v>0</v>
          </cell>
          <cell r="Q129">
            <v>5000000</v>
          </cell>
          <cell r="R129">
            <v>4900000</v>
          </cell>
          <cell r="S129" t="str">
            <v>Sóc Sơn</v>
          </cell>
          <cell r="T129" t="str">
            <v>=</v>
          </cell>
          <cell r="U129">
            <v>4800000</v>
          </cell>
          <cell r="V129">
            <v>0</v>
          </cell>
        </row>
        <row r="130">
          <cell r="D130" t="str">
            <v>DKG&lt;-&gt;Ngọc Hồi, Hà Nội</v>
          </cell>
          <cell r="E130">
            <v>250</v>
          </cell>
          <cell r="F130">
            <v>1100000</v>
          </cell>
          <cell r="G130">
            <v>4900000</v>
          </cell>
          <cell r="H130">
            <v>4800000</v>
          </cell>
          <cell r="I130">
            <v>4900000</v>
          </cell>
          <cell r="J130">
            <v>4700000</v>
          </cell>
          <cell r="K130">
            <v>4900000</v>
          </cell>
          <cell r="L130">
            <v>4700000</v>
          </cell>
          <cell r="M130">
            <v>4900000</v>
          </cell>
          <cell r="N130">
            <v>4700000</v>
          </cell>
          <cell r="O130">
            <v>0</v>
          </cell>
          <cell r="P130">
            <v>0</v>
          </cell>
          <cell r="Q130">
            <v>4900000</v>
          </cell>
          <cell r="R130">
            <v>4700000</v>
          </cell>
          <cell r="S130" t="str">
            <v>Ngọc Hồi</v>
          </cell>
          <cell r="T130" t="str">
            <v>=</v>
          </cell>
          <cell r="U130" t="str">
            <v>chưa có chuyến từ T09/2022</v>
          </cell>
          <cell r="V130">
            <v>0</v>
          </cell>
        </row>
        <row r="131">
          <cell r="D131" t="str">
            <v>DKG&lt;-&gt;Văn Điển, Hà Nội</v>
          </cell>
          <cell r="E131">
            <v>240</v>
          </cell>
          <cell r="F131">
            <v>1100000</v>
          </cell>
          <cell r="G131">
            <v>4900000</v>
          </cell>
          <cell r="H131">
            <v>4800000</v>
          </cell>
          <cell r="I131">
            <v>4900000</v>
          </cell>
          <cell r="J131">
            <v>4700000</v>
          </cell>
          <cell r="K131">
            <v>4900000</v>
          </cell>
          <cell r="L131">
            <v>4700000</v>
          </cell>
          <cell r="M131">
            <v>4900000</v>
          </cell>
          <cell r="N131">
            <v>4700000</v>
          </cell>
          <cell r="O131">
            <v>0</v>
          </cell>
          <cell r="P131">
            <v>0</v>
          </cell>
          <cell r="Q131">
            <v>4900000</v>
          </cell>
          <cell r="R131">
            <v>4700000</v>
          </cell>
          <cell r="S131" t="str">
            <v>Văn Điển</v>
          </cell>
          <cell r="T131" t="str">
            <v>=</v>
          </cell>
          <cell r="U131" t="str">
            <v>chưa có chuyến từ T09/2022</v>
          </cell>
          <cell r="V131">
            <v>0</v>
          </cell>
        </row>
        <row r="132">
          <cell r="D132" t="str">
            <v>DKG&lt;-&gt;Thanh Trì, Hà Nội</v>
          </cell>
          <cell r="E132">
            <v>260</v>
          </cell>
          <cell r="F132">
            <v>1100000</v>
          </cell>
          <cell r="G132">
            <v>4950000</v>
          </cell>
          <cell r="H132">
            <v>4850000</v>
          </cell>
          <cell r="I132">
            <v>4900000</v>
          </cell>
          <cell r="J132">
            <v>4700000</v>
          </cell>
          <cell r="K132">
            <v>4900000</v>
          </cell>
          <cell r="L132">
            <v>4700000</v>
          </cell>
          <cell r="M132">
            <v>4900000</v>
          </cell>
          <cell r="N132">
            <v>4700000</v>
          </cell>
          <cell r="O132">
            <v>4000000</v>
          </cell>
          <cell r="P132">
            <v>0</v>
          </cell>
          <cell r="Q132">
            <v>4900000</v>
          </cell>
          <cell r="R132">
            <v>4700000</v>
          </cell>
          <cell r="S132" t="str">
            <v>Thanh Trì</v>
          </cell>
          <cell r="T132" t="str">
            <v>=</v>
          </cell>
          <cell r="U132" t="str">
            <v>chưa có chuyến từ T09/2022</v>
          </cell>
          <cell r="V132">
            <v>4500000</v>
          </cell>
        </row>
        <row r="133">
          <cell r="D133" t="str">
            <v>DKG&lt;-&gt;Trường Chinh, Hà Nội</v>
          </cell>
          <cell r="E133">
            <v>250</v>
          </cell>
          <cell r="F133">
            <v>1100000</v>
          </cell>
          <cell r="G133">
            <v>4900000</v>
          </cell>
          <cell r="H133">
            <v>4800000</v>
          </cell>
          <cell r="I133">
            <v>4900000</v>
          </cell>
          <cell r="J133">
            <v>4700000</v>
          </cell>
          <cell r="K133">
            <v>4900000</v>
          </cell>
          <cell r="L133">
            <v>4700000</v>
          </cell>
          <cell r="M133">
            <v>4900000</v>
          </cell>
          <cell r="N133">
            <v>4700000</v>
          </cell>
          <cell r="O133">
            <v>0</v>
          </cell>
          <cell r="P133">
            <v>0</v>
          </cell>
          <cell r="Q133">
            <v>4900000</v>
          </cell>
          <cell r="R133">
            <v>4700000</v>
          </cell>
          <cell r="S133" t="str">
            <v>Trường Chinh</v>
          </cell>
          <cell r="T133" t="str">
            <v>=</v>
          </cell>
          <cell r="U133" t="str">
            <v>chưa có chuyến từ T09/2022</v>
          </cell>
          <cell r="V133">
            <v>0</v>
          </cell>
        </row>
        <row r="134">
          <cell r="D134" t="str">
            <v>DKG&lt;-&gt;Đỗ Xá, Hà Nội</v>
          </cell>
          <cell r="E134">
            <v>296</v>
          </cell>
          <cell r="F134">
            <v>1100000</v>
          </cell>
          <cell r="G134">
            <v>5250000</v>
          </cell>
          <cell r="H134">
            <v>4850000</v>
          </cell>
          <cell r="I134">
            <v>5050000</v>
          </cell>
          <cell r="J134">
            <v>4900000</v>
          </cell>
          <cell r="K134">
            <v>5050000</v>
          </cell>
          <cell r="L134">
            <v>4900000</v>
          </cell>
          <cell r="M134">
            <v>4950000</v>
          </cell>
          <cell r="N134">
            <v>4850000</v>
          </cell>
          <cell r="O134">
            <v>0</v>
          </cell>
          <cell r="P134">
            <v>0</v>
          </cell>
          <cell r="Q134">
            <v>4950000</v>
          </cell>
          <cell r="R134">
            <v>4850000</v>
          </cell>
          <cell r="S134" t="str">
            <v>Đỗ Xá</v>
          </cell>
          <cell r="T134" t="str">
            <v>=</v>
          </cell>
          <cell r="U134" t="str">
            <v>chưa có chuyến từ T09/2022</v>
          </cell>
          <cell r="V134">
            <v>0</v>
          </cell>
        </row>
        <row r="135">
          <cell r="D135" t="str">
            <v>DKG&lt;-&gt;Thường Tín, Hà Nội</v>
          </cell>
          <cell r="E135">
            <v>296</v>
          </cell>
          <cell r="F135">
            <v>1100000</v>
          </cell>
          <cell r="G135">
            <v>5250000</v>
          </cell>
          <cell r="H135">
            <v>4850000</v>
          </cell>
          <cell r="I135">
            <v>5050000</v>
          </cell>
          <cell r="J135">
            <v>5000000</v>
          </cell>
          <cell r="K135">
            <v>5050000</v>
          </cell>
          <cell r="L135">
            <v>5000000</v>
          </cell>
          <cell r="M135">
            <v>4950000</v>
          </cell>
          <cell r="N135">
            <v>4950000</v>
          </cell>
          <cell r="O135">
            <v>0</v>
          </cell>
          <cell r="P135">
            <v>0</v>
          </cell>
          <cell r="Q135">
            <v>4950000</v>
          </cell>
          <cell r="R135">
            <v>4950000</v>
          </cell>
          <cell r="S135" t="str">
            <v>Thường Tín</v>
          </cell>
          <cell r="T135" t="str">
            <v>=</v>
          </cell>
          <cell r="U135">
            <v>4800000</v>
          </cell>
          <cell r="V135">
            <v>4600000</v>
          </cell>
        </row>
        <row r="136">
          <cell r="D136" t="str">
            <v>DKG&lt;-&gt;Đan Phượng, Hà Nội</v>
          </cell>
          <cell r="E136">
            <v>300</v>
          </cell>
          <cell r="F136">
            <v>1100000</v>
          </cell>
          <cell r="G136">
            <v>5250000</v>
          </cell>
          <cell r="H136">
            <v>4950000</v>
          </cell>
          <cell r="I136">
            <v>5050000</v>
          </cell>
          <cell r="J136">
            <v>5000000</v>
          </cell>
          <cell r="K136">
            <v>5050000</v>
          </cell>
          <cell r="L136">
            <v>5000000</v>
          </cell>
          <cell r="M136">
            <v>4950000</v>
          </cell>
          <cell r="N136">
            <v>4950000</v>
          </cell>
          <cell r="O136">
            <v>4100000</v>
          </cell>
          <cell r="P136">
            <v>0</v>
          </cell>
          <cell r="Q136">
            <v>4950000</v>
          </cell>
          <cell r="R136">
            <v>4950000</v>
          </cell>
          <cell r="S136" t="str">
            <v>Đan Phượng</v>
          </cell>
          <cell r="T136" t="str">
            <v>=</v>
          </cell>
          <cell r="U136">
            <v>4900000</v>
          </cell>
          <cell r="V136">
            <v>4700000</v>
          </cell>
        </row>
        <row r="137">
          <cell r="D137" t="str">
            <v>DKG&lt;-&gt;Phúc Thọ, Hà Nội</v>
          </cell>
          <cell r="E137">
            <v>315</v>
          </cell>
          <cell r="F137">
            <v>1100000</v>
          </cell>
          <cell r="G137">
            <v>5450000</v>
          </cell>
          <cell r="H137">
            <v>5150000</v>
          </cell>
          <cell r="I137">
            <v>5250000</v>
          </cell>
          <cell r="J137">
            <v>5100000</v>
          </cell>
          <cell r="K137">
            <v>5250000</v>
          </cell>
          <cell r="L137">
            <v>5100000</v>
          </cell>
          <cell r="M137">
            <v>5700000</v>
          </cell>
          <cell r="N137">
            <v>5100000</v>
          </cell>
          <cell r="O137">
            <v>4100000</v>
          </cell>
          <cell r="P137">
            <v>0</v>
          </cell>
          <cell r="Q137">
            <v>5700000</v>
          </cell>
          <cell r="R137">
            <v>5100000</v>
          </cell>
          <cell r="S137" t="str">
            <v>Phúc Thọ</v>
          </cell>
          <cell r="T137" t="str">
            <v>=</v>
          </cell>
          <cell r="U137">
            <v>4900000</v>
          </cell>
          <cell r="V137">
            <v>4700000</v>
          </cell>
        </row>
        <row r="138">
          <cell r="D138" t="str">
            <v>DKG&lt;-&gt;Sơn Tây, Hà Nội</v>
          </cell>
          <cell r="E138">
            <v>325</v>
          </cell>
          <cell r="F138">
            <v>1200000</v>
          </cell>
          <cell r="G138">
            <v>5850000</v>
          </cell>
          <cell r="H138">
            <v>5400000</v>
          </cell>
          <cell r="I138">
            <v>5650000</v>
          </cell>
          <cell r="J138">
            <v>5350000</v>
          </cell>
          <cell r="K138">
            <v>5650000</v>
          </cell>
          <cell r="L138">
            <v>5350000</v>
          </cell>
          <cell r="M138">
            <v>5650000</v>
          </cell>
          <cell r="N138">
            <v>5350000</v>
          </cell>
          <cell r="O138">
            <v>0</v>
          </cell>
          <cell r="P138">
            <v>0</v>
          </cell>
          <cell r="Q138">
            <v>5650000</v>
          </cell>
          <cell r="R138">
            <v>5350000</v>
          </cell>
          <cell r="S138" t="str">
            <v>Sơn Tây</v>
          </cell>
          <cell r="T138" t="str">
            <v>=</v>
          </cell>
          <cell r="U138" t="str">
            <v>chưa có chuyến từ T09/2022</v>
          </cell>
          <cell r="V138">
            <v>0</v>
          </cell>
        </row>
        <row r="139">
          <cell r="D139" t="str">
            <v>DKG&lt;-&gt;Ba Vì, Hà Nội</v>
          </cell>
          <cell r="E139">
            <v>350</v>
          </cell>
          <cell r="F139">
            <v>1200000</v>
          </cell>
          <cell r="G139">
            <v>5850000</v>
          </cell>
          <cell r="H139">
            <v>5100000</v>
          </cell>
          <cell r="I139">
            <v>5650000</v>
          </cell>
          <cell r="J139">
            <v>5450000</v>
          </cell>
          <cell r="K139">
            <v>5650000</v>
          </cell>
          <cell r="L139">
            <v>5450000</v>
          </cell>
          <cell r="M139">
            <v>5600000</v>
          </cell>
          <cell r="N139">
            <v>5400000</v>
          </cell>
          <cell r="O139">
            <v>4500000</v>
          </cell>
          <cell r="P139">
            <v>0</v>
          </cell>
          <cell r="Q139">
            <v>5600000</v>
          </cell>
          <cell r="R139">
            <v>5400000</v>
          </cell>
          <cell r="S139" t="str">
            <v>Ba Vì</v>
          </cell>
          <cell r="T139" t="str">
            <v>=</v>
          </cell>
          <cell r="U139">
            <v>5600000</v>
          </cell>
          <cell r="V139">
            <v>5400000</v>
          </cell>
        </row>
        <row r="140">
          <cell r="D140" t="str">
            <v>DKG&lt;-&gt;Hà Đông, Hà Nội</v>
          </cell>
          <cell r="E140">
            <v>280</v>
          </cell>
          <cell r="F140">
            <v>1100000</v>
          </cell>
          <cell r="G140">
            <v>5050000</v>
          </cell>
          <cell r="H140">
            <v>4650000</v>
          </cell>
          <cell r="I140">
            <v>4850000</v>
          </cell>
          <cell r="J140">
            <v>4850000</v>
          </cell>
          <cell r="K140">
            <v>4850000</v>
          </cell>
          <cell r="L140">
            <v>4850000</v>
          </cell>
          <cell r="M140">
            <v>4950000</v>
          </cell>
          <cell r="N140">
            <v>4850000</v>
          </cell>
          <cell r="O140">
            <v>0</v>
          </cell>
          <cell r="P140" t="str">
            <v>Nam Từ Liêm</v>
          </cell>
          <cell r="Q140">
            <v>4950000</v>
          </cell>
          <cell r="R140">
            <v>4850000</v>
          </cell>
          <cell r="S140" t="str">
            <v>Hà Đông</v>
          </cell>
          <cell r="T140" t="str">
            <v>=</v>
          </cell>
          <cell r="U140">
            <v>4800000</v>
          </cell>
          <cell r="V140">
            <v>4600000</v>
          </cell>
        </row>
        <row r="141">
          <cell r="D141" t="str">
            <v>DKG&lt;-&gt;Quốc Oai, Hà Nội</v>
          </cell>
          <cell r="E141">
            <v>286</v>
          </cell>
          <cell r="F141">
            <v>1100000</v>
          </cell>
          <cell r="G141">
            <v>5300000</v>
          </cell>
          <cell r="H141">
            <v>4900000</v>
          </cell>
          <cell r="I141">
            <v>5100000</v>
          </cell>
          <cell r="J141">
            <v>4950000</v>
          </cell>
          <cell r="K141">
            <v>5100000</v>
          </cell>
          <cell r="L141">
            <v>4950000</v>
          </cell>
          <cell r="M141">
            <v>5000000</v>
          </cell>
          <cell r="N141">
            <v>4900000</v>
          </cell>
          <cell r="O141">
            <v>4000000</v>
          </cell>
          <cell r="P141">
            <v>0</v>
          </cell>
          <cell r="Q141">
            <v>5000000</v>
          </cell>
          <cell r="R141">
            <v>4900000</v>
          </cell>
          <cell r="S141" t="str">
            <v>Quốc Oai</v>
          </cell>
          <cell r="T141" t="str">
            <v>=</v>
          </cell>
          <cell r="U141" t="str">
            <v>chưa có chuyến từ T09/2022</v>
          </cell>
          <cell r="V141">
            <v>0</v>
          </cell>
        </row>
        <row r="142">
          <cell r="D142" t="str">
            <v>DKG&lt;-&gt;Thạch Thất, Hà Nội</v>
          </cell>
          <cell r="E142">
            <v>300</v>
          </cell>
          <cell r="F142">
            <v>1100000</v>
          </cell>
          <cell r="G142">
            <v>5250000</v>
          </cell>
          <cell r="H142">
            <v>4950000</v>
          </cell>
          <cell r="I142">
            <v>5050000</v>
          </cell>
          <cell r="J142">
            <v>5000000</v>
          </cell>
          <cell r="K142">
            <v>5050000</v>
          </cell>
          <cell r="L142">
            <v>5000000</v>
          </cell>
          <cell r="M142">
            <v>4950000</v>
          </cell>
          <cell r="N142">
            <v>4950000</v>
          </cell>
          <cell r="O142">
            <v>4000000</v>
          </cell>
          <cell r="P142" t="str">
            <v>Bắc Từ Liêm</v>
          </cell>
          <cell r="Q142">
            <v>4950000</v>
          </cell>
          <cell r="R142">
            <v>4950000</v>
          </cell>
          <cell r="S142" t="str">
            <v>Thạch Thất</v>
          </cell>
          <cell r="T142" t="str">
            <v>=</v>
          </cell>
          <cell r="U142">
            <v>4900000</v>
          </cell>
          <cell r="V142">
            <v>4700000</v>
          </cell>
        </row>
        <row r="143">
          <cell r="D143" t="str">
            <v>DKG&lt;-&gt;Trúc Sơn, Hà Nội</v>
          </cell>
          <cell r="E143">
            <v>294</v>
          </cell>
          <cell r="F143">
            <v>1100000</v>
          </cell>
          <cell r="G143">
            <v>5250000</v>
          </cell>
          <cell r="H143">
            <v>4850000</v>
          </cell>
          <cell r="I143">
            <v>5050000</v>
          </cell>
          <cell r="J143">
            <v>4900000</v>
          </cell>
          <cell r="K143">
            <v>5050000</v>
          </cell>
          <cell r="L143">
            <v>4900000</v>
          </cell>
          <cell r="M143">
            <v>4950000</v>
          </cell>
          <cell r="N143">
            <v>4850000</v>
          </cell>
          <cell r="O143">
            <v>4200000</v>
          </cell>
          <cell r="P143">
            <v>0</v>
          </cell>
          <cell r="Q143">
            <v>4950000</v>
          </cell>
          <cell r="R143">
            <v>4850000</v>
          </cell>
          <cell r="S143" t="str">
            <v>Trúc Sơn</v>
          </cell>
          <cell r="T143" t="str">
            <v>=</v>
          </cell>
          <cell r="U143" t="str">
            <v>chưa có chuyến từ T09/2022</v>
          </cell>
          <cell r="V143">
            <v>4700000</v>
          </cell>
        </row>
        <row r="144">
          <cell r="D144" t="str">
            <v>DKG&lt;-&gt;Thanh Oai, Hà Nội</v>
          </cell>
          <cell r="E144">
            <v>314</v>
          </cell>
          <cell r="F144">
            <v>1100000</v>
          </cell>
          <cell r="G144">
            <v>5450000</v>
          </cell>
          <cell r="H144">
            <v>5150000</v>
          </cell>
          <cell r="I144">
            <v>5250000</v>
          </cell>
          <cell r="J144">
            <v>5100000</v>
          </cell>
          <cell r="K144">
            <v>5250000</v>
          </cell>
          <cell r="L144">
            <v>5100000</v>
          </cell>
          <cell r="M144">
            <v>5700000</v>
          </cell>
          <cell r="N144">
            <v>5100000</v>
          </cell>
          <cell r="O144">
            <v>0</v>
          </cell>
          <cell r="P144" t="str">
            <v>Phú Xuyên</v>
          </cell>
          <cell r="Q144">
            <v>5700000</v>
          </cell>
          <cell r="R144">
            <v>5100000</v>
          </cell>
          <cell r="S144" t="str">
            <v>Thanh Oai</v>
          </cell>
          <cell r="T144" t="str">
            <v>=</v>
          </cell>
          <cell r="U144">
            <v>4900000</v>
          </cell>
          <cell r="V144">
            <v>4700000</v>
          </cell>
        </row>
        <row r="145">
          <cell r="D145" t="str">
            <v>DKG&lt;-&gt;Ứng Hòa, Hà Nội</v>
          </cell>
          <cell r="E145">
            <v>345</v>
          </cell>
          <cell r="F145">
            <v>1100000</v>
          </cell>
          <cell r="G145">
            <v>5900000</v>
          </cell>
          <cell r="H145">
            <v>5550000</v>
          </cell>
          <cell r="I145">
            <v>5700000</v>
          </cell>
          <cell r="J145">
            <v>5500000</v>
          </cell>
          <cell r="K145">
            <v>5700000</v>
          </cell>
          <cell r="L145">
            <v>5500000</v>
          </cell>
          <cell r="M145">
            <v>5650000</v>
          </cell>
          <cell r="N145">
            <v>5450000</v>
          </cell>
          <cell r="O145">
            <v>0</v>
          </cell>
          <cell r="P145">
            <v>0</v>
          </cell>
          <cell r="Q145">
            <v>5650000</v>
          </cell>
          <cell r="R145">
            <v>5450000</v>
          </cell>
          <cell r="S145" t="str">
            <v>Ứng Hòa</v>
          </cell>
          <cell r="T145" t="str">
            <v>=</v>
          </cell>
          <cell r="U145">
            <v>5300000</v>
          </cell>
          <cell r="V145">
            <v>5100000</v>
          </cell>
        </row>
        <row r="146">
          <cell r="D146" t="str">
            <v>DKG&lt;-&gt;Vân Đình, Hà Nội</v>
          </cell>
          <cell r="E146">
            <v>325</v>
          </cell>
          <cell r="F146">
            <v>1100000</v>
          </cell>
          <cell r="G146">
            <v>5800000</v>
          </cell>
          <cell r="H146">
            <v>5450000</v>
          </cell>
          <cell r="I146">
            <v>5650000</v>
          </cell>
          <cell r="J146">
            <v>5450000</v>
          </cell>
          <cell r="K146">
            <v>5650000</v>
          </cell>
          <cell r="L146">
            <v>5450000</v>
          </cell>
          <cell r="M146">
            <v>5650000</v>
          </cell>
          <cell r="N146">
            <v>5450000</v>
          </cell>
          <cell r="O146">
            <v>0</v>
          </cell>
          <cell r="P146">
            <v>0</v>
          </cell>
          <cell r="Q146">
            <v>5650000</v>
          </cell>
          <cell r="R146">
            <v>5450000</v>
          </cell>
          <cell r="S146" t="str">
            <v>Vân Đình (Ứng Hòa)</v>
          </cell>
          <cell r="T146" t="str">
            <v>saiiii</v>
          </cell>
          <cell r="U146" t="str">
            <v>chưa có chuyến từ T09/2022</v>
          </cell>
          <cell r="V146">
            <v>0</v>
          </cell>
        </row>
        <row r="147">
          <cell r="D147" t="str">
            <v>DKG&lt;-&gt;Ba Thá, Hà Nội</v>
          </cell>
          <cell r="E147">
            <v>330</v>
          </cell>
          <cell r="F147">
            <v>1100000</v>
          </cell>
          <cell r="G147">
            <v>5800000</v>
          </cell>
          <cell r="H147">
            <v>5450000</v>
          </cell>
          <cell r="I147">
            <v>5650000</v>
          </cell>
          <cell r="J147">
            <v>5450000</v>
          </cell>
          <cell r="K147">
            <v>5650000</v>
          </cell>
          <cell r="L147">
            <v>5450000</v>
          </cell>
          <cell r="M147">
            <v>5500000</v>
          </cell>
          <cell r="N147">
            <v>5450000</v>
          </cell>
          <cell r="O147">
            <v>0</v>
          </cell>
          <cell r="P147">
            <v>0</v>
          </cell>
          <cell r="Q147">
            <v>5500000</v>
          </cell>
          <cell r="R147">
            <v>5450000</v>
          </cell>
          <cell r="S147" t="str">
            <v>Ba Thá (Ứng Hòa)</v>
          </cell>
          <cell r="T147" t="str">
            <v>saiiii</v>
          </cell>
          <cell r="U147">
            <v>5300000</v>
          </cell>
          <cell r="V147">
            <v>5100000</v>
          </cell>
        </row>
        <row r="148">
          <cell r="D148" t="str">
            <v>DKG&lt;-&gt;Mỹ Đức, Hà Nội</v>
          </cell>
          <cell r="E148">
            <v>360</v>
          </cell>
          <cell r="F148">
            <v>1100000</v>
          </cell>
          <cell r="G148">
            <v>5850000</v>
          </cell>
          <cell r="H148">
            <v>5500000</v>
          </cell>
          <cell r="I148">
            <v>5650000</v>
          </cell>
          <cell r="J148">
            <v>5450000</v>
          </cell>
          <cell r="K148">
            <v>5650000</v>
          </cell>
          <cell r="L148">
            <v>5450000</v>
          </cell>
          <cell r="M148">
            <v>5700000</v>
          </cell>
          <cell r="N148">
            <v>5400000</v>
          </cell>
          <cell r="O148">
            <v>0</v>
          </cell>
          <cell r="P148">
            <v>0</v>
          </cell>
          <cell r="Q148">
            <v>5700000</v>
          </cell>
          <cell r="R148">
            <v>5400000</v>
          </cell>
          <cell r="S148" t="str">
            <v>Mỹ Đức</v>
          </cell>
          <cell r="T148" t="str">
            <v>=</v>
          </cell>
          <cell r="U148">
            <v>5300000</v>
          </cell>
          <cell r="V148">
            <v>0</v>
          </cell>
        </row>
        <row r="149">
          <cell r="D149" t="str">
            <v>DKG&lt;-&gt;Kỳ Sơn, Hòa Bình</v>
          </cell>
          <cell r="E149">
            <v>360</v>
          </cell>
          <cell r="F149">
            <v>1560000</v>
          </cell>
          <cell r="G149">
            <v>0</v>
          </cell>
          <cell r="H149">
            <v>0</v>
          </cell>
          <cell r="I149">
            <v>0</v>
          </cell>
          <cell r="J149">
            <v>0</v>
          </cell>
          <cell r="K149">
            <v>0</v>
          </cell>
          <cell r="L149">
            <v>0</v>
          </cell>
          <cell r="M149">
            <v>0</v>
          </cell>
          <cell r="N149">
            <v>0</v>
          </cell>
          <cell r="O149">
            <v>5450000</v>
          </cell>
          <cell r="P149">
            <v>0</v>
          </cell>
          <cell r="Q149">
            <v>0</v>
          </cell>
          <cell r="R149">
            <v>0</v>
          </cell>
          <cell r="S149" t="str">
            <v>Kỳ Sơn</v>
          </cell>
          <cell r="T149" t="str">
            <v>=</v>
          </cell>
          <cell r="U149" t="str">
            <v>chưa có chuyến từ T09/2022</v>
          </cell>
          <cell r="V149">
            <v>0</v>
          </cell>
        </row>
        <row r="150">
          <cell r="D150" t="str">
            <v>DKG&lt;-&gt;Lạc Thủy, Hòa Bình</v>
          </cell>
          <cell r="E150">
            <v>320</v>
          </cell>
          <cell r="F150">
            <v>1200000</v>
          </cell>
          <cell r="G150">
            <v>0</v>
          </cell>
          <cell r="H150">
            <v>0</v>
          </cell>
          <cell r="I150">
            <v>0</v>
          </cell>
          <cell r="J150">
            <v>0</v>
          </cell>
          <cell r="K150">
            <v>0</v>
          </cell>
          <cell r="L150">
            <v>0</v>
          </cell>
          <cell r="M150">
            <v>0</v>
          </cell>
          <cell r="N150">
            <v>0</v>
          </cell>
          <cell r="O150">
            <v>4600000</v>
          </cell>
          <cell r="P150">
            <v>0</v>
          </cell>
          <cell r="Q150">
            <v>0</v>
          </cell>
          <cell r="R150">
            <v>0</v>
          </cell>
          <cell r="S150" t="str">
            <v>Lạc Thủy</v>
          </cell>
          <cell r="T150" t="str">
            <v>=</v>
          </cell>
          <cell r="U150" t="str">
            <v>chưa có chuyến từ T09/2022</v>
          </cell>
          <cell r="V150">
            <v>0</v>
          </cell>
        </row>
        <row r="151">
          <cell r="D151" t="str">
            <v>DKG&lt;-&gt;Kim Bôi, Hòa Bình</v>
          </cell>
          <cell r="E151">
            <v>450</v>
          </cell>
          <cell r="F151">
            <v>1200000</v>
          </cell>
          <cell r="G151">
            <v>0</v>
          </cell>
          <cell r="H151">
            <v>0</v>
          </cell>
          <cell r="I151">
            <v>0</v>
          </cell>
          <cell r="J151">
            <v>0</v>
          </cell>
          <cell r="K151">
            <v>0</v>
          </cell>
          <cell r="L151">
            <v>0</v>
          </cell>
          <cell r="M151">
            <v>0</v>
          </cell>
          <cell r="N151">
            <v>0</v>
          </cell>
          <cell r="O151">
            <v>6600000</v>
          </cell>
          <cell r="P151">
            <v>0</v>
          </cell>
          <cell r="Q151">
            <v>0</v>
          </cell>
          <cell r="R151">
            <v>0</v>
          </cell>
          <cell r="S151" t="str">
            <v>Kim Bôi</v>
          </cell>
          <cell r="T151" t="str">
            <v>=</v>
          </cell>
          <cell r="U151" t="str">
            <v>chưa có chuyến từ T09/2022</v>
          </cell>
          <cell r="V151">
            <v>0</v>
          </cell>
        </row>
        <row r="152">
          <cell r="D152" t="str">
            <v>DKG&lt;-&gt;0, Hòa Bình</v>
          </cell>
          <cell r="E152">
            <v>0</v>
          </cell>
          <cell r="F152">
            <v>0</v>
          </cell>
          <cell r="G152">
            <v>0</v>
          </cell>
          <cell r="H152">
            <v>0</v>
          </cell>
          <cell r="I152">
            <v>0</v>
          </cell>
          <cell r="J152">
            <v>0</v>
          </cell>
          <cell r="K152">
            <v>0</v>
          </cell>
          <cell r="L152">
            <v>0</v>
          </cell>
          <cell r="M152">
            <v>0</v>
          </cell>
          <cell r="N152">
            <v>0</v>
          </cell>
          <cell r="O152">
            <v>0</v>
          </cell>
          <cell r="P152">
            <v>0</v>
          </cell>
          <cell r="Q152">
            <v>0</v>
          </cell>
          <cell r="R152">
            <v>0</v>
          </cell>
          <cell r="S152">
            <v>0</v>
          </cell>
          <cell r="T152" t="str">
            <v>=</v>
          </cell>
          <cell r="U152" t="str">
            <v>chưa có chuyến từ T09/2022</v>
          </cell>
          <cell r="V152">
            <v>0</v>
          </cell>
        </row>
        <row r="153">
          <cell r="D153" t="str">
            <v>DKG&lt;-&gt;Cầu Đa Phúc, Thái Nguyên</v>
          </cell>
          <cell r="E153">
            <v>300</v>
          </cell>
          <cell r="F153">
            <v>1200000</v>
          </cell>
          <cell r="G153">
            <v>5700000</v>
          </cell>
          <cell r="H153">
            <v>5500000</v>
          </cell>
          <cell r="I153">
            <v>5400000</v>
          </cell>
          <cell r="J153">
            <v>5400000</v>
          </cell>
          <cell r="K153">
            <v>5400000</v>
          </cell>
          <cell r="L153">
            <v>5400000</v>
          </cell>
          <cell r="M153">
            <v>5350000</v>
          </cell>
          <cell r="N153">
            <v>5350000</v>
          </cell>
          <cell r="O153">
            <v>0</v>
          </cell>
          <cell r="P153">
            <v>0</v>
          </cell>
          <cell r="Q153">
            <v>5350000</v>
          </cell>
          <cell r="R153">
            <v>5350000</v>
          </cell>
          <cell r="S153" t="str">
            <v>Cầu Đa Phúc</v>
          </cell>
          <cell r="T153" t="str">
            <v>=</v>
          </cell>
          <cell r="U153" t="str">
            <v>chưa có chuyến từ T09/2022</v>
          </cell>
          <cell r="V153">
            <v>0</v>
          </cell>
        </row>
        <row r="154">
          <cell r="D154" t="str">
            <v>DKG&lt;-&gt;TP. Thái Nguyên</v>
          </cell>
          <cell r="E154">
            <v>360</v>
          </cell>
          <cell r="F154">
            <v>1200000</v>
          </cell>
          <cell r="G154">
            <v>6150000</v>
          </cell>
          <cell r="H154">
            <v>5950000</v>
          </cell>
          <cell r="I154">
            <v>5850000</v>
          </cell>
          <cell r="J154">
            <v>5550000</v>
          </cell>
          <cell r="K154">
            <v>5850000</v>
          </cell>
          <cell r="L154">
            <v>5550000</v>
          </cell>
          <cell r="M154">
            <v>5800000</v>
          </cell>
          <cell r="N154">
            <v>5500000</v>
          </cell>
          <cell r="O154">
            <v>5400000</v>
          </cell>
          <cell r="P154">
            <v>0</v>
          </cell>
          <cell r="Q154">
            <v>5800000</v>
          </cell>
          <cell r="R154">
            <v>5500000</v>
          </cell>
          <cell r="S154" t="str">
            <v>TP. Thái Nguyên</v>
          </cell>
          <cell r="T154" t="str">
            <v>saiiii</v>
          </cell>
          <cell r="U154">
            <v>5500000</v>
          </cell>
          <cell r="V154">
            <v>5300000</v>
          </cell>
        </row>
        <row r="155">
          <cell r="D155" t="str">
            <v>DKG&lt;-&gt;Phổ Yên, Thái Nguyên</v>
          </cell>
          <cell r="E155">
            <v>330</v>
          </cell>
          <cell r="F155">
            <v>1200000</v>
          </cell>
          <cell r="G155">
            <v>6150000</v>
          </cell>
          <cell r="H155">
            <v>5650000</v>
          </cell>
          <cell r="I155">
            <v>5850000</v>
          </cell>
          <cell r="J155">
            <v>5550000</v>
          </cell>
          <cell r="K155">
            <v>5850000</v>
          </cell>
          <cell r="L155">
            <v>5550000</v>
          </cell>
          <cell r="M155">
            <v>5850000</v>
          </cell>
          <cell r="N155">
            <v>5550000</v>
          </cell>
          <cell r="O155">
            <v>4500000</v>
          </cell>
          <cell r="P155">
            <v>0</v>
          </cell>
          <cell r="Q155">
            <v>5850000</v>
          </cell>
          <cell r="R155">
            <v>5550000</v>
          </cell>
          <cell r="S155" t="str">
            <v>Phổ Yên</v>
          </cell>
          <cell r="T155" t="str">
            <v>=</v>
          </cell>
          <cell r="U155">
            <v>5500000</v>
          </cell>
          <cell r="V155">
            <v>5300000</v>
          </cell>
        </row>
        <row r="156">
          <cell r="D156" t="str">
            <v>DKG&lt;-&gt;Đại Từ, Thái Nguyên</v>
          </cell>
          <cell r="E156">
            <v>410</v>
          </cell>
          <cell r="F156">
            <v>1200000</v>
          </cell>
          <cell r="G156">
            <v>0</v>
          </cell>
          <cell r="H156">
            <v>0</v>
          </cell>
          <cell r="I156">
            <v>0</v>
          </cell>
          <cell r="J156">
            <v>0</v>
          </cell>
          <cell r="K156">
            <v>0</v>
          </cell>
          <cell r="L156">
            <v>0</v>
          </cell>
          <cell r="M156">
            <v>0</v>
          </cell>
          <cell r="N156">
            <v>0</v>
          </cell>
          <cell r="O156">
            <v>5300000</v>
          </cell>
          <cell r="P156">
            <v>0</v>
          </cell>
          <cell r="Q156">
            <v>0</v>
          </cell>
          <cell r="R156">
            <v>0</v>
          </cell>
          <cell r="S156" t="str">
            <v>Đại Từ</v>
          </cell>
          <cell r="T156" t="str">
            <v>=</v>
          </cell>
          <cell r="U156" t="str">
            <v>chưa có chuyến từ T09/2022</v>
          </cell>
          <cell r="V156">
            <v>0</v>
          </cell>
        </row>
        <row r="157">
          <cell r="D157" t="str">
            <v>DKG&lt;-&gt;Đồng Hỷ, Thái Nguyên</v>
          </cell>
          <cell r="E157">
            <v>410</v>
          </cell>
          <cell r="F157">
            <v>1200000</v>
          </cell>
          <cell r="G157">
            <v>0</v>
          </cell>
          <cell r="H157">
            <v>0</v>
          </cell>
          <cell r="I157">
            <v>0</v>
          </cell>
          <cell r="J157">
            <v>0</v>
          </cell>
          <cell r="K157">
            <v>0</v>
          </cell>
          <cell r="L157">
            <v>0</v>
          </cell>
          <cell r="M157">
            <v>0</v>
          </cell>
          <cell r="N157">
            <v>0</v>
          </cell>
          <cell r="O157">
            <v>5900000</v>
          </cell>
          <cell r="P157">
            <v>0</v>
          </cell>
          <cell r="Q157">
            <v>0</v>
          </cell>
          <cell r="R157">
            <v>0</v>
          </cell>
          <cell r="S157" t="str">
            <v>Đồng Hỷ</v>
          </cell>
          <cell r="T157" t="str">
            <v>=</v>
          </cell>
          <cell r="U157" t="str">
            <v>chưa có chuyến từ T09/2022</v>
          </cell>
          <cell r="V157">
            <v>0</v>
          </cell>
        </row>
        <row r="158">
          <cell r="D158" t="str">
            <v>DKG&lt;-&gt;Phú Lương, Thái Nguyên</v>
          </cell>
          <cell r="E158">
            <v>415</v>
          </cell>
          <cell r="F158">
            <v>1200000</v>
          </cell>
          <cell r="G158">
            <v>0</v>
          </cell>
          <cell r="H158">
            <v>0</v>
          </cell>
          <cell r="I158">
            <v>0</v>
          </cell>
          <cell r="J158">
            <v>0</v>
          </cell>
          <cell r="K158">
            <v>0</v>
          </cell>
          <cell r="L158">
            <v>0</v>
          </cell>
          <cell r="M158">
            <v>0</v>
          </cell>
          <cell r="N158">
            <v>0</v>
          </cell>
          <cell r="O158">
            <v>5900000</v>
          </cell>
          <cell r="P158">
            <v>0</v>
          </cell>
          <cell r="Q158">
            <v>0</v>
          </cell>
          <cell r="R158">
            <v>0</v>
          </cell>
          <cell r="S158" t="str">
            <v>Phú Lương</v>
          </cell>
          <cell r="T158" t="str">
            <v>=</v>
          </cell>
          <cell r="U158" t="str">
            <v>chưa có chuyến từ T09/2022</v>
          </cell>
          <cell r="V158">
            <v>0</v>
          </cell>
        </row>
        <row r="159">
          <cell r="D159" t="str">
            <v>DKG&lt;-&gt;0, Thái Nguyên</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t="str">
            <v>=</v>
          </cell>
          <cell r="U159" t="str">
            <v>chưa có chuyến từ T09/2022</v>
          </cell>
          <cell r="V159">
            <v>0</v>
          </cell>
        </row>
        <row r="160">
          <cell r="D160" t="str">
            <v>DKG&lt;-&gt;0, Thái Nguyên</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t="str">
            <v>=</v>
          </cell>
          <cell r="U160" t="str">
            <v>chưa có chuyến từ T09/2022</v>
          </cell>
          <cell r="V160">
            <v>0</v>
          </cell>
        </row>
        <row r="161">
          <cell r="D161" t="str">
            <v>DKG&lt;-&gt;Thanh Lãng, Vĩnh Phúc</v>
          </cell>
          <cell r="E161">
            <v>320</v>
          </cell>
          <cell r="F161">
            <v>1250000</v>
          </cell>
          <cell r="G161">
            <v>5950000</v>
          </cell>
          <cell r="H161">
            <v>5750000</v>
          </cell>
          <cell r="I161">
            <v>5950000</v>
          </cell>
          <cell r="J161">
            <v>5550000</v>
          </cell>
          <cell r="K161">
            <v>5950000</v>
          </cell>
          <cell r="L161">
            <v>5550000</v>
          </cell>
          <cell r="M161">
            <v>5500000</v>
          </cell>
          <cell r="N161">
            <v>5350000</v>
          </cell>
          <cell r="O161">
            <v>0</v>
          </cell>
          <cell r="P161">
            <v>0</v>
          </cell>
          <cell r="Q161">
            <v>5500000</v>
          </cell>
          <cell r="R161">
            <v>5350000</v>
          </cell>
          <cell r="S161" t="str">
            <v>Thanh Lãng (Vĩnh Yên)</v>
          </cell>
          <cell r="T161" t="str">
            <v>saiiii</v>
          </cell>
          <cell r="U161">
            <v>5350000</v>
          </cell>
          <cell r="V161">
            <v>5150000</v>
          </cell>
        </row>
        <row r="162">
          <cell r="D162" t="str">
            <v>DKG&lt;-&gt;Vĩnh Yên/Yên Lạc, Vĩnh Phúc</v>
          </cell>
          <cell r="E162">
            <v>340</v>
          </cell>
          <cell r="F162">
            <v>1250000</v>
          </cell>
          <cell r="G162">
            <v>6050000</v>
          </cell>
          <cell r="H162">
            <v>5850000</v>
          </cell>
          <cell r="I162">
            <v>5950000</v>
          </cell>
          <cell r="J162">
            <v>5550000</v>
          </cell>
          <cell r="K162">
            <v>5950000</v>
          </cell>
          <cell r="L162">
            <v>5550000</v>
          </cell>
          <cell r="M162">
            <v>5900000</v>
          </cell>
          <cell r="N162">
            <v>5500000</v>
          </cell>
          <cell r="O162">
            <v>4800000</v>
          </cell>
          <cell r="P162">
            <v>0</v>
          </cell>
          <cell r="Q162">
            <v>5900000</v>
          </cell>
          <cell r="R162">
            <v>5500000</v>
          </cell>
          <cell r="S162" t="str">
            <v>Vĩnh Yên/Yên Lạc</v>
          </cell>
          <cell r="T162" t="str">
            <v>=</v>
          </cell>
          <cell r="U162" t="str">
            <v>chưa có chuyến từ T09/2022</v>
          </cell>
          <cell r="V162">
            <v>0</v>
          </cell>
        </row>
        <row r="163">
          <cell r="D163" t="str">
            <v>DKG&lt;-&gt;Lập Thạch, Vĩnh Phúc</v>
          </cell>
          <cell r="E163">
            <v>380</v>
          </cell>
          <cell r="F163">
            <v>1250000</v>
          </cell>
          <cell r="G163">
            <v>6500000</v>
          </cell>
          <cell r="H163">
            <v>6000000</v>
          </cell>
          <cell r="I163">
            <v>6300000</v>
          </cell>
          <cell r="J163">
            <v>5650000</v>
          </cell>
          <cell r="K163">
            <v>6300000</v>
          </cell>
          <cell r="L163">
            <v>5650000</v>
          </cell>
          <cell r="M163">
            <v>6350000</v>
          </cell>
          <cell r="N163">
            <v>5650000</v>
          </cell>
          <cell r="O163">
            <v>5200000</v>
          </cell>
          <cell r="P163">
            <v>0</v>
          </cell>
          <cell r="Q163">
            <v>6350000</v>
          </cell>
          <cell r="R163">
            <v>5650000</v>
          </cell>
          <cell r="S163" t="str">
            <v>Lập Thạch</v>
          </cell>
          <cell r="T163" t="str">
            <v>=</v>
          </cell>
          <cell r="U163" t="str">
            <v>chưa có chuyến từ T09/2022</v>
          </cell>
          <cell r="V163">
            <v>0</v>
          </cell>
        </row>
        <row r="164">
          <cell r="D164" t="str">
            <v>DKG&lt;-&gt;Vĩnh Tường, Vĩnh Phúc</v>
          </cell>
          <cell r="E164">
            <v>360</v>
          </cell>
          <cell r="F164">
            <v>1250000</v>
          </cell>
          <cell r="G164">
            <v>6200000</v>
          </cell>
          <cell r="H164">
            <v>5700000</v>
          </cell>
          <cell r="I164">
            <v>5950000</v>
          </cell>
          <cell r="J164">
            <v>5550000</v>
          </cell>
          <cell r="K164">
            <v>5950000</v>
          </cell>
          <cell r="L164">
            <v>5550000</v>
          </cell>
          <cell r="M164">
            <v>5900000</v>
          </cell>
          <cell r="N164">
            <v>5500000</v>
          </cell>
          <cell r="O164">
            <v>4800000</v>
          </cell>
          <cell r="P164">
            <v>0</v>
          </cell>
          <cell r="Q164">
            <v>5900000</v>
          </cell>
          <cell r="R164">
            <v>5500000</v>
          </cell>
          <cell r="S164" t="str">
            <v>Vĩnh Tường</v>
          </cell>
          <cell r="T164" t="str">
            <v>=</v>
          </cell>
          <cell r="U164">
            <v>5500000</v>
          </cell>
          <cell r="V164">
            <v>5300000</v>
          </cell>
        </row>
        <row r="165">
          <cell r="D165" t="str">
            <v>DKG&lt;-&gt;Tam Đảo, Vĩnh Phúc</v>
          </cell>
          <cell r="E165">
            <v>375</v>
          </cell>
          <cell r="F165">
            <v>1250000</v>
          </cell>
          <cell r="G165">
            <v>6800000</v>
          </cell>
          <cell r="H165">
            <v>6300000</v>
          </cell>
          <cell r="I165">
            <v>6250000</v>
          </cell>
          <cell r="J165">
            <v>6100000</v>
          </cell>
          <cell r="K165">
            <v>6250000</v>
          </cell>
          <cell r="L165">
            <v>6100000</v>
          </cell>
          <cell r="M165">
            <v>6300000</v>
          </cell>
          <cell r="N165">
            <v>6100000</v>
          </cell>
          <cell r="O165">
            <v>5200000</v>
          </cell>
          <cell r="P165">
            <v>0</v>
          </cell>
          <cell r="Q165">
            <v>6300000</v>
          </cell>
          <cell r="R165">
            <v>6100000</v>
          </cell>
          <cell r="S165" t="str">
            <v>Tam Đảo</v>
          </cell>
          <cell r="T165" t="str">
            <v>=</v>
          </cell>
          <cell r="U165" t="str">
            <v>chưa có chuyến từ T09/2022</v>
          </cell>
          <cell r="V165">
            <v>0</v>
          </cell>
        </row>
        <row r="166">
          <cell r="D166" t="str">
            <v>DKG&lt;-&gt;Lâm Thao, Phú Thọ</v>
          </cell>
          <cell r="E166">
            <v>400</v>
          </cell>
          <cell r="F166">
            <v>1550000</v>
          </cell>
          <cell r="G166">
            <v>7750000</v>
          </cell>
          <cell r="H166">
            <v>7250000</v>
          </cell>
          <cell r="I166">
            <v>7350000</v>
          </cell>
          <cell r="J166">
            <v>7250000</v>
          </cell>
          <cell r="K166">
            <v>7350000</v>
          </cell>
          <cell r="L166">
            <v>7250000</v>
          </cell>
          <cell r="M166">
            <v>7400000</v>
          </cell>
          <cell r="N166">
            <v>7250000</v>
          </cell>
          <cell r="O166">
            <v>6000000</v>
          </cell>
          <cell r="P166">
            <v>0</v>
          </cell>
          <cell r="Q166">
            <v>7400000</v>
          </cell>
          <cell r="R166">
            <v>7250000</v>
          </cell>
          <cell r="S166" t="str">
            <v>Lâm Thao</v>
          </cell>
          <cell r="T166" t="str">
            <v>=</v>
          </cell>
          <cell r="U166" t="str">
            <v>chưa có chuyến từ T09/2022</v>
          </cell>
          <cell r="V166">
            <v>0</v>
          </cell>
        </row>
        <row r="167">
          <cell r="D167" t="str">
            <v>DKG&lt;-&gt;Việt Trì, Phú Thọ</v>
          </cell>
          <cell r="E167">
            <v>385</v>
          </cell>
          <cell r="F167">
            <v>1550000</v>
          </cell>
          <cell r="G167">
            <v>7700000</v>
          </cell>
          <cell r="H167">
            <v>7200000</v>
          </cell>
          <cell r="I167">
            <v>7300000</v>
          </cell>
          <cell r="J167">
            <v>7200000</v>
          </cell>
          <cell r="K167">
            <v>7300000</v>
          </cell>
          <cell r="L167">
            <v>7200000</v>
          </cell>
          <cell r="M167">
            <v>7350000</v>
          </cell>
          <cell r="N167">
            <v>7200000</v>
          </cell>
          <cell r="O167">
            <v>5850000</v>
          </cell>
          <cell r="P167">
            <v>0</v>
          </cell>
          <cell r="Q167">
            <v>7350000</v>
          </cell>
          <cell r="R167">
            <v>7200000</v>
          </cell>
          <cell r="S167" t="str">
            <v>Việt Trì</v>
          </cell>
          <cell r="T167" t="str">
            <v>=</v>
          </cell>
          <cell r="U167">
            <v>6200000</v>
          </cell>
          <cell r="V167">
            <v>0</v>
          </cell>
        </row>
        <row r="168">
          <cell r="D168" t="str">
            <v>DKG&lt;-&gt;Phù Ninh, Phú Thọ</v>
          </cell>
          <cell r="E168">
            <v>395</v>
          </cell>
          <cell r="F168">
            <v>1550000</v>
          </cell>
          <cell r="G168">
            <v>7750000</v>
          </cell>
          <cell r="H168">
            <v>7250000</v>
          </cell>
          <cell r="I168">
            <v>7350000</v>
          </cell>
          <cell r="J168">
            <v>7250000</v>
          </cell>
          <cell r="K168">
            <v>7350000</v>
          </cell>
          <cell r="L168">
            <v>7250000</v>
          </cell>
          <cell r="M168">
            <v>7400000</v>
          </cell>
          <cell r="N168">
            <v>7250000</v>
          </cell>
          <cell r="O168">
            <v>5950000</v>
          </cell>
          <cell r="P168">
            <v>0</v>
          </cell>
          <cell r="Q168">
            <v>7400000</v>
          </cell>
          <cell r="R168">
            <v>7250000</v>
          </cell>
          <cell r="S168" t="str">
            <v>Phù Ninh</v>
          </cell>
          <cell r="T168" t="str">
            <v>=</v>
          </cell>
          <cell r="U168" t="str">
            <v>chưa có chuyến từ T09/2022</v>
          </cell>
          <cell r="V168">
            <v>0</v>
          </cell>
        </row>
        <row r="169">
          <cell r="D169" t="str">
            <v>DKG&lt;-&gt;Tam Nông, Phú Thọ</v>
          </cell>
          <cell r="E169">
            <v>390</v>
          </cell>
          <cell r="F169">
            <v>1550000</v>
          </cell>
          <cell r="G169">
            <v>7700000</v>
          </cell>
          <cell r="H169">
            <v>7200000</v>
          </cell>
          <cell r="I169">
            <v>7300000</v>
          </cell>
          <cell r="J169">
            <v>7200000</v>
          </cell>
          <cell r="K169">
            <v>7300000</v>
          </cell>
          <cell r="L169">
            <v>7200000</v>
          </cell>
          <cell r="M169">
            <v>7350000</v>
          </cell>
          <cell r="N169">
            <v>7200000</v>
          </cell>
          <cell r="O169">
            <v>6000000</v>
          </cell>
          <cell r="P169">
            <v>0</v>
          </cell>
          <cell r="Q169">
            <v>7350000</v>
          </cell>
          <cell r="R169">
            <v>7200000</v>
          </cell>
          <cell r="S169" t="str">
            <v>Tam Nông</v>
          </cell>
          <cell r="T169" t="str">
            <v>=</v>
          </cell>
          <cell r="U169" t="str">
            <v>chưa có chuyến từ T09/2022</v>
          </cell>
          <cell r="V169">
            <v>0</v>
          </cell>
        </row>
        <row r="170">
          <cell r="D170" t="str">
            <v>DKG&lt;-&gt;Thanh Thủy, Phú Thọ</v>
          </cell>
          <cell r="E170">
            <v>395</v>
          </cell>
          <cell r="F170">
            <v>1550000</v>
          </cell>
          <cell r="G170">
            <v>7750000</v>
          </cell>
          <cell r="H170">
            <v>7250000</v>
          </cell>
          <cell r="I170">
            <v>7350000</v>
          </cell>
          <cell r="J170">
            <v>7250000</v>
          </cell>
          <cell r="K170">
            <v>7350000</v>
          </cell>
          <cell r="L170">
            <v>7250000</v>
          </cell>
          <cell r="M170">
            <v>7400000</v>
          </cell>
          <cell r="N170">
            <v>7250000</v>
          </cell>
          <cell r="O170">
            <v>0</v>
          </cell>
          <cell r="P170">
            <v>0</v>
          </cell>
          <cell r="Q170">
            <v>7400000</v>
          </cell>
          <cell r="R170">
            <v>7250000</v>
          </cell>
          <cell r="S170" t="str">
            <v>Thanh Thủy</v>
          </cell>
          <cell r="T170" t="str">
            <v>=</v>
          </cell>
          <cell r="U170" t="str">
            <v>chưa có chuyến từ T09/2022</v>
          </cell>
          <cell r="V170">
            <v>0</v>
          </cell>
        </row>
        <row r="171">
          <cell r="D171" t="str">
            <v>DKG&lt;-&gt;Đoan Hùng, Phú Thọ</v>
          </cell>
          <cell r="E171">
            <v>480</v>
          </cell>
          <cell r="F171">
            <v>1550000</v>
          </cell>
          <cell r="G171">
            <v>8550000</v>
          </cell>
          <cell r="H171">
            <v>8050000</v>
          </cell>
          <cell r="I171">
            <v>8150000</v>
          </cell>
          <cell r="J171">
            <v>8050000</v>
          </cell>
          <cell r="K171">
            <v>8150000</v>
          </cell>
          <cell r="L171">
            <v>8050000</v>
          </cell>
          <cell r="M171">
            <v>8100000</v>
          </cell>
          <cell r="N171">
            <v>8000000</v>
          </cell>
          <cell r="O171">
            <v>0</v>
          </cell>
          <cell r="P171">
            <v>0</v>
          </cell>
          <cell r="Q171">
            <v>8100000</v>
          </cell>
          <cell r="R171">
            <v>8000000</v>
          </cell>
          <cell r="S171" t="str">
            <v>Đoan Hùng</v>
          </cell>
          <cell r="T171" t="str">
            <v>=</v>
          </cell>
          <cell r="U171" t="str">
            <v>chưa có chuyến từ T09/2022</v>
          </cell>
          <cell r="V171">
            <v>0</v>
          </cell>
        </row>
        <row r="172">
          <cell r="D172" t="str">
            <v>DKG&lt;-&gt;Thanh Sơn, Phú Thọ</v>
          </cell>
          <cell r="E172">
            <v>420</v>
          </cell>
          <cell r="F172">
            <v>1550000</v>
          </cell>
          <cell r="G172">
            <v>0</v>
          </cell>
          <cell r="H172">
            <v>0</v>
          </cell>
          <cell r="I172">
            <v>0</v>
          </cell>
          <cell r="J172">
            <v>0</v>
          </cell>
          <cell r="K172">
            <v>0</v>
          </cell>
          <cell r="L172">
            <v>0</v>
          </cell>
          <cell r="M172">
            <v>0</v>
          </cell>
          <cell r="N172">
            <v>0</v>
          </cell>
          <cell r="O172">
            <v>6000000</v>
          </cell>
          <cell r="P172">
            <v>0</v>
          </cell>
          <cell r="Q172">
            <v>0</v>
          </cell>
          <cell r="R172">
            <v>0</v>
          </cell>
          <cell r="S172" t="str">
            <v>Thanh Sơn</v>
          </cell>
          <cell r="T172" t="str">
            <v>=</v>
          </cell>
          <cell r="U172" t="str">
            <v>chưa có chuyến từ T09/2022</v>
          </cell>
          <cell r="V172">
            <v>0</v>
          </cell>
        </row>
        <row r="173">
          <cell r="D173" t="str">
            <v>DKG&lt;-&gt;Hạ Hòa, Phú Thọ</v>
          </cell>
          <cell r="E173">
            <v>500</v>
          </cell>
          <cell r="F173">
            <v>1550000</v>
          </cell>
          <cell r="G173">
            <v>0</v>
          </cell>
          <cell r="H173">
            <v>0</v>
          </cell>
          <cell r="I173">
            <v>0</v>
          </cell>
          <cell r="J173">
            <v>0</v>
          </cell>
          <cell r="K173">
            <v>0</v>
          </cell>
          <cell r="L173">
            <v>0</v>
          </cell>
          <cell r="M173">
            <v>0</v>
          </cell>
          <cell r="N173">
            <v>0</v>
          </cell>
          <cell r="O173">
            <v>6250000</v>
          </cell>
          <cell r="P173">
            <v>0</v>
          </cell>
          <cell r="Q173">
            <v>0</v>
          </cell>
          <cell r="R173">
            <v>0</v>
          </cell>
          <cell r="S173" t="str">
            <v>Hạ Hòa</v>
          </cell>
          <cell r="T173" t="str">
            <v>=</v>
          </cell>
          <cell r="U173" t="str">
            <v>chưa có chuyến từ T09/2022</v>
          </cell>
          <cell r="V173">
            <v>0</v>
          </cell>
        </row>
        <row r="174">
          <cell r="D174" t="str">
            <v>DKG&lt;-&gt;Yên Lập, Phú Thọ</v>
          </cell>
          <cell r="E174">
            <v>475</v>
          </cell>
          <cell r="F174">
            <v>1550000</v>
          </cell>
          <cell r="G174">
            <v>0</v>
          </cell>
          <cell r="H174">
            <v>0</v>
          </cell>
          <cell r="I174">
            <v>0</v>
          </cell>
          <cell r="J174">
            <v>0</v>
          </cell>
          <cell r="K174">
            <v>0</v>
          </cell>
          <cell r="L174">
            <v>0</v>
          </cell>
          <cell r="M174">
            <v>0</v>
          </cell>
          <cell r="N174">
            <v>0</v>
          </cell>
          <cell r="O174">
            <v>6100000</v>
          </cell>
          <cell r="P174">
            <v>0</v>
          </cell>
          <cell r="Q174">
            <v>0</v>
          </cell>
          <cell r="R174">
            <v>0</v>
          </cell>
          <cell r="S174" t="str">
            <v>Yên Lập</v>
          </cell>
          <cell r="T174" t="str">
            <v>=</v>
          </cell>
          <cell r="U174" t="str">
            <v>chưa có chuyến từ T09/2022</v>
          </cell>
          <cell r="V174">
            <v>0</v>
          </cell>
        </row>
        <row r="175">
          <cell r="D175" t="str">
            <v>DKG&lt;-&gt;Bảo Ái, Yên Bái</v>
          </cell>
          <cell r="E175">
            <v>580</v>
          </cell>
          <cell r="F175">
            <v>2350000</v>
          </cell>
          <cell r="G175">
            <v>0</v>
          </cell>
          <cell r="H175">
            <v>0</v>
          </cell>
          <cell r="I175">
            <v>0</v>
          </cell>
          <cell r="J175">
            <v>0</v>
          </cell>
          <cell r="K175">
            <v>0</v>
          </cell>
          <cell r="L175">
            <v>0</v>
          </cell>
          <cell r="M175">
            <v>0</v>
          </cell>
          <cell r="N175">
            <v>0</v>
          </cell>
          <cell r="O175">
            <v>7900000</v>
          </cell>
          <cell r="P175">
            <v>0</v>
          </cell>
          <cell r="Q175">
            <v>0</v>
          </cell>
          <cell r="R175">
            <v>0</v>
          </cell>
          <cell r="S175" t="str">
            <v>Bảo Ái</v>
          </cell>
          <cell r="T175" t="str">
            <v>=</v>
          </cell>
          <cell r="U175" t="str">
            <v>chưa có chuyến từ T09/2022</v>
          </cell>
          <cell r="V175">
            <v>0</v>
          </cell>
        </row>
        <row r="176">
          <cell r="D176" t="str">
            <v>DKG&lt;-&gt;Yên Bình, Yên Bái</v>
          </cell>
          <cell r="E176">
            <v>530</v>
          </cell>
          <cell r="F176">
            <v>2350000</v>
          </cell>
          <cell r="G176">
            <v>11100000</v>
          </cell>
          <cell r="H176">
            <v>10100000</v>
          </cell>
          <cell r="I176">
            <v>10250000</v>
          </cell>
          <cell r="J176">
            <v>9600000</v>
          </cell>
          <cell r="K176">
            <v>10250000</v>
          </cell>
          <cell r="L176">
            <v>9600000</v>
          </cell>
          <cell r="M176">
            <v>10250000</v>
          </cell>
          <cell r="N176">
            <v>9600000</v>
          </cell>
          <cell r="O176">
            <v>8200000</v>
          </cell>
          <cell r="P176">
            <v>0</v>
          </cell>
          <cell r="Q176">
            <v>10250000</v>
          </cell>
          <cell r="R176">
            <v>9600000</v>
          </cell>
          <cell r="S176" t="str">
            <v>Yên Bình</v>
          </cell>
          <cell r="T176" t="str">
            <v>=</v>
          </cell>
          <cell r="U176" t="str">
            <v>chưa có chuyến từ T09/2022</v>
          </cell>
          <cell r="V176">
            <v>0</v>
          </cell>
        </row>
        <row r="177">
          <cell r="D177" t="str">
            <v>DKG&lt;-&gt;TP. Yên Bái</v>
          </cell>
          <cell r="E177">
            <v>530</v>
          </cell>
          <cell r="F177">
            <v>2350000</v>
          </cell>
          <cell r="G177">
            <v>0</v>
          </cell>
          <cell r="H177">
            <v>0</v>
          </cell>
          <cell r="I177">
            <v>0</v>
          </cell>
          <cell r="J177">
            <v>0</v>
          </cell>
          <cell r="K177">
            <v>0</v>
          </cell>
          <cell r="L177">
            <v>0</v>
          </cell>
          <cell r="M177">
            <v>0</v>
          </cell>
          <cell r="N177">
            <v>0</v>
          </cell>
          <cell r="O177">
            <v>7650000</v>
          </cell>
          <cell r="P177">
            <v>0</v>
          </cell>
          <cell r="Q177">
            <v>0</v>
          </cell>
          <cell r="R177">
            <v>0</v>
          </cell>
          <cell r="S177" t="str">
            <v>TP. Yên Bái</v>
          </cell>
          <cell r="T177" t="str">
            <v>saiiii</v>
          </cell>
          <cell r="U177" t="str">
            <v>chưa có chuyến từ T09/2022</v>
          </cell>
          <cell r="V177">
            <v>0</v>
          </cell>
        </row>
        <row r="178">
          <cell r="D178" t="str">
            <v>DKG&lt;-&gt;Hữu Lũng, Lạng Sơn</v>
          </cell>
          <cell r="E178">
            <v>310</v>
          </cell>
          <cell r="F178">
            <v>1600000</v>
          </cell>
          <cell r="G178">
            <v>0</v>
          </cell>
          <cell r="H178">
            <v>0</v>
          </cell>
          <cell r="I178">
            <v>0</v>
          </cell>
          <cell r="J178">
            <v>0</v>
          </cell>
          <cell r="K178">
            <v>0</v>
          </cell>
          <cell r="L178">
            <v>0</v>
          </cell>
          <cell r="M178">
            <v>0</v>
          </cell>
          <cell r="N178">
            <v>0</v>
          </cell>
          <cell r="O178">
            <v>4900000</v>
          </cell>
          <cell r="P178">
            <v>0</v>
          </cell>
          <cell r="Q178">
            <v>0</v>
          </cell>
          <cell r="R178">
            <v>0</v>
          </cell>
          <cell r="S178" t="str">
            <v>Hữu Lũng</v>
          </cell>
          <cell r="T178" t="str">
            <v>=</v>
          </cell>
          <cell r="U178" t="str">
            <v>chưa có chuyến từ T09/2022</v>
          </cell>
          <cell r="V178">
            <v>0</v>
          </cell>
        </row>
        <row r="179">
          <cell r="D179" t="str">
            <v>DKG&lt;-&gt;TP. Lạng Sơn</v>
          </cell>
          <cell r="E179">
            <v>445</v>
          </cell>
          <cell r="F179">
            <v>1950000</v>
          </cell>
          <cell r="G179">
            <v>11050000</v>
          </cell>
          <cell r="H179">
            <v>10550000</v>
          </cell>
          <cell r="I179">
            <v>11050000</v>
          </cell>
          <cell r="J179">
            <v>10850000</v>
          </cell>
          <cell r="K179">
            <v>11050000</v>
          </cell>
          <cell r="L179">
            <v>10850000</v>
          </cell>
          <cell r="M179">
            <v>11550000</v>
          </cell>
          <cell r="N179">
            <v>10850000</v>
          </cell>
          <cell r="O179">
            <v>0</v>
          </cell>
          <cell r="P179">
            <v>0</v>
          </cell>
          <cell r="Q179">
            <v>11550000</v>
          </cell>
          <cell r="R179">
            <v>10850000</v>
          </cell>
          <cell r="S179" t="str">
            <v>TP. Lạng Sơn</v>
          </cell>
          <cell r="T179" t="str">
            <v>saiiii</v>
          </cell>
          <cell r="U179" t="str">
            <v>chưa có chuyến từ T09/2022</v>
          </cell>
          <cell r="V179">
            <v>0</v>
          </cell>
        </row>
        <row r="180">
          <cell r="D180" t="str">
            <v>DKG&lt;-&gt;Lộc Bình/Bắc Sơn, Lạng Sơn</v>
          </cell>
          <cell r="E180">
            <v>510</v>
          </cell>
          <cell r="F180">
            <v>2050000</v>
          </cell>
          <cell r="G180">
            <v>12050000</v>
          </cell>
          <cell r="H180">
            <v>11050000</v>
          </cell>
          <cell r="I180">
            <v>11700000</v>
          </cell>
          <cell r="J180">
            <v>11450000</v>
          </cell>
          <cell r="K180">
            <v>11700000</v>
          </cell>
          <cell r="L180">
            <v>11450000</v>
          </cell>
          <cell r="M180">
            <v>12700000</v>
          </cell>
          <cell r="N180">
            <v>11450000</v>
          </cell>
          <cell r="O180">
            <v>0</v>
          </cell>
          <cell r="P180">
            <v>0</v>
          </cell>
          <cell r="Q180">
            <v>12700000</v>
          </cell>
          <cell r="R180">
            <v>11450000</v>
          </cell>
          <cell r="S180" t="str">
            <v>Lộc Bình/Bắc Sơn</v>
          </cell>
          <cell r="T180" t="str">
            <v>=</v>
          </cell>
          <cell r="U180" t="str">
            <v>chưa có chuyến từ T09/2022</v>
          </cell>
          <cell r="V180">
            <v>0</v>
          </cell>
        </row>
        <row r="181">
          <cell r="D181" t="str">
            <v>DKG&lt;-&gt;TP. Hà Giang</v>
          </cell>
          <cell r="E181">
            <v>802</v>
          </cell>
          <cell r="F181">
            <v>4000000</v>
          </cell>
          <cell r="G181">
            <v>19700000</v>
          </cell>
          <cell r="H181">
            <v>17700000</v>
          </cell>
          <cell r="I181">
            <v>19700000</v>
          </cell>
          <cell r="J181">
            <v>18350000</v>
          </cell>
          <cell r="K181">
            <v>19700000</v>
          </cell>
          <cell r="L181">
            <v>18350000</v>
          </cell>
          <cell r="M181">
            <v>20650000</v>
          </cell>
          <cell r="N181">
            <v>18300000</v>
          </cell>
          <cell r="O181">
            <v>0</v>
          </cell>
          <cell r="P181">
            <v>0</v>
          </cell>
          <cell r="Q181">
            <v>20650000</v>
          </cell>
          <cell r="R181">
            <v>18300000</v>
          </cell>
          <cell r="S181" t="str">
            <v>TP. Hà Giang</v>
          </cell>
          <cell r="T181" t="str">
            <v>saiiii</v>
          </cell>
          <cell r="U181" t="str">
            <v>chưa có chuyến từ T09/2022</v>
          </cell>
          <cell r="V181">
            <v>0</v>
          </cell>
        </row>
        <row r="182">
          <cell r="D182" t="str">
            <v>DKG&lt;-&gt;TP. Lào Cai</v>
          </cell>
          <cell r="E182">
            <v>850</v>
          </cell>
          <cell r="F182">
            <v>4000000</v>
          </cell>
          <cell r="G182">
            <v>18850000</v>
          </cell>
          <cell r="H182">
            <v>18200000</v>
          </cell>
          <cell r="I182">
            <v>18850000</v>
          </cell>
          <cell r="J182">
            <v>17850000</v>
          </cell>
          <cell r="K182">
            <v>18850000</v>
          </cell>
          <cell r="L182">
            <v>17850000</v>
          </cell>
          <cell r="M182">
            <v>18750000</v>
          </cell>
          <cell r="N182">
            <v>17750000</v>
          </cell>
          <cell r="O182">
            <v>0</v>
          </cell>
          <cell r="P182">
            <v>0</v>
          </cell>
          <cell r="Q182">
            <v>18750000</v>
          </cell>
          <cell r="R182">
            <v>17750000</v>
          </cell>
          <cell r="S182" t="str">
            <v>TP. Lào Cai</v>
          </cell>
          <cell r="T182" t="str">
            <v>saiiii</v>
          </cell>
          <cell r="U182" t="str">
            <v>chưa có chuyến từ T09/2022</v>
          </cell>
          <cell r="V182">
            <v>0</v>
          </cell>
        </row>
        <row r="183">
          <cell r="D183" t="str">
            <v>DKG&lt;-&gt;Sa Pa, Lào Cai</v>
          </cell>
          <cell r="E183">
            <v>910</v>
          </cell>
          <cell r="F183">
            <v>4500000</v>
          </cell>
          <cell r="G183">
            <v>20950000</v>
          </cell>
          <cell r="H183">
            <v>19300000</v>
          </cell>
          <cell r="I183">
            <v>20950000</v>
          </cell>
          <cell r="J183">
            <v>18950000</v>
          </cell>
          <cell r="K183">
            <v>20950000</v>
          </cell>
          <cell r="L183">
            <v>18950000</v>
          </cell>
          <cell r="M183">
            <v>20950000</v>
          </cell>
          <cell r="N183">
            <v>18950000</v>
          </cell>
          <cell r="O183">
            <v>0</v>
          </cell>
          <cell r="P183">
            <v>0</v>
          </cell>
          <cell r="Q183">
            <v>20950000</v>
          </cell>
          <cell r="R183">
            <v>18950000</v>
          </cell>
          <cell r="S183" t="str">
            <v>Sa Pa</v>
          </cell>
          <cell r="T183" t="str">
            <v>=</v>
          </cell>
          <cell r="U183" t="str">
            <v>chưa có chuyến từ T09/2022</v>
          </cell>
          <cell r="V183">
            <v>0</v>
          </cell>
        </row>
        <row r="184">
          <cell r="D184" t="str">
            <v>DKG&lt;-&gt;TP. Cao Bằng</v>
          </cell>
          <cell r="E184">
            <v>640</v>
          </cell>
          <cell r="F184">
            <v>4000000</v>
          </cell>
          <cell r="G184">
            <v>20100000</v>
          </cell>
          <cell r="H184">
            <v>18100000</v>
          </cell>
          <cell r="I184">
            <v>20100000</v>
          </cell>
          <cell r="J184">
            <v>17800000</v>
          </cell>
          <cell r="K184">
            <v>20100000</v>
          </cell>
          <cell r="L184">
            <v>17800000</v>
          </cell>
          <cell r="M184">
            <v>20050000</v>
          </cell>
          <cell r="N184">
            <v>17750000</v>
          </cell>
          <cell r="O184">
            <v>0</v>
          </cell>
          <cell r="P184">
            <v>0</v>
          </cell>
          <cell r="Q184">
            <v>20050000</v>
          </cell>
          <cell r="R184">
            <v>17750000</v>
          </cell>
          <cell r="S184" t="str">
            <v>TP. Cao Bằng</v>
          </cell>
          <cell r="T184" t="str">
            <v>saiiii</v>
          </cell>
          <cell r="U184" t="str">
            <v>chưa có chuyến từ T09/2022</v>
          </cell>
          <cell r="V184">
            <v>0</v>
          </cell>
        </row>
        <row r="185">
          <cell r="D185" t="str">
            <v>DKG&lt;-&gt;TP. Tuyên Quang</v>
          </cell>
          <cell r="E185">
            <v>480</v>
          </cell>
          <cell r="F185">
            <v>1650000</v>
          </cell>
          <cell r="G185">
            <v>9650000</v>
          </cell>
          <cell r="H185">
            <v>9250000</v>
          </cell>
          <cell r="I185">
            <v>9650000</v>
          </cell>
          <cell r="J185">
            <v>9100000</v>
          </cell>
          <cell r="K185">
            <v>9650000</v>
          </cell>
          <cell r="L185">
            <v>9100000</v>
          </cell>
          <cell r="M185">
            <v>9600000</v>
          </cell>
          <cell r="N185">
            <v>9050000</v>
          </cell>
          <cell r="O185">
            <v>0</v>
          </cell>
          <cell r="P185" t="str">
            <v>Son Dương</v>
          </cell>
          <cell r="Q185">
            <v>9600000</v>
          </cell>
          <cell r="R185">
            <v>9050000</v>
          </cell>
          <cell r="S185" t="str">
            <v>TP. Tuyên Quang</v>
          </cell>
          <cell r="T185" t="str">
            <v>saiiii</v>
          </cell>
          <cell r="U185">
            <v>9200000</v>
          </cell>
          <cell r="V185">
            <v>8900000</v>
          </cell>
        </row>
        <row r="186">
          <cell r="D186" t="str">
            <v>DKG&lt;-&gt;Yên Sơn, Tuyên Quang</v>
          </cell>
          <cell r="E186">
            <v>530</v>
          </cell>
          <cell r="F186">
            <v>1650000</v>
          </cell>
          <cell r="G186">
            <v>10200000</v>
          </cell>
          <cell r="H186">
            <v>9800000</v>
          </cell>
          <cell r="I186">
            <v>10200000</v>
          </cell>
          <cell r="J186">
            <v>9600000</v>
          </cell>
          <cell r="K186">
            <v>10200000</v>
          </cell>
          <cell r="L186">
            <v>9600000</v>
          </cell>
          <cell r="M186">
            <v>10200000</v>
          </cell>
          <cell r="N186">
            <v>9600000</v>
          </cell>
          <cell r="O186">
            <v>0</v>
          </cell>
          <cell r="P186">
            <v>0</v>
          </cell>
          <cell r="Q186">
            <v>10200000</v>
          </cell>
          <cell r="R186">
            <v>9600000</v>
          </cell>
          <cell r="S186" t="str">
            <v>Yên Sơn</v>
          </cell>
          <cell r="T186" t="str">
            <v>=</v>
          </cell>
          <cell r="U186" t="str">
            <v>chưa có chuyến từ T09/2022</v>
          </cell>
          <cell r="V186">
            <v>8900000</v>
          </cell>
        </row>
        <row r="187">
          <cell r="D187" t="str">
            <v xml:space="preserve">DKG&lt;-&gt;, </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t="str">
            <v>=</v>
          </cell>
          <cell r="U187" t="str">
            <v>chưa có chuyến từ T09/2022</v>
          </cell>
          <cell r="V187">
            <v>0</v>
          </cell>
        </row>
        <row r="188">
          <cell r="D188" t="str">
            <v>DKG&lt;-&gt;Sở Dầu, Hải Phòng</v>
          </cell>
          <cell r="E188">
            <v>50</v>
          </cell>
          <cell r="F188">
            <v>250000</v>
          </cell>
          <cell r="G188">
            <v>2750000</v>
          </cell>
          <cell r="H188">
            <v>2100000</v>
          </cell>
          <cell r="I188">
            <v>1900000</v>
          </cell>
          <cell r="J188">
            <v>1850000</v>
          </cell>
          <cell r="K188">
            <v>1900000</v>
          </cell>
          <cell r="L188">
            <v>1850000</v>
          </cell>
          <cell r="M188">
            <v>2250000</v>
          </cell>
          <cell r="N188">
            <v>1850000</v>
          </cell>
          <cell r="O188">
            <v>0</v>
          </cell>
          <cell r="P188">
            <v>0</v>
          </cell>
          <cell r="Q188">
            <v>2250000</v>
          </cell>
          <cell r="R188">
            <v>1850000</v>
          </cell>
          <cell r="S188" t="str">
            <v>Sở Dầu</v>
          </cell>
          <cell r="T188" t="str">
            <v>=</v>
          </cell>
          <cell r="U188" t="str">
            <v>chưa có chuyến từ T09/2022</v>
          </cell>
          <cell r="V188">
            <v>0</v>
          </cell>
        </row>
        <row r="189">
          <cell r="D189" t="str">
            <v>DKG&lt;-&gt;Cầu Kiền (bên Quán Toán), Hải Phòng</v>
          </cell>
          <cell r="E189">
            <v>65</v>
          </cell>
          <cell r="F189">
            <v>250000</v>
          </cell>
          <cell r="G189">
            <v>2750000</v>
          </cell>
          <cell r="H189">
            <v>2100000</v>
          </cell>
          <cell r="I189">
            <v>1900000</v>
          </cell>
          <cell r="J189">
            <v>1850000</v>
          </cell>
          <cell r="K189">
            <v>1900000</v>
          </cell>
          <cell r="L189">
            <v>1850000</v>
          </cell>
          <cell r="M189">
            <v>2250000</v>
          </cell>
          <cell r="N189">
            <v>1850000</v>
          </cell>
          <cell r="O189">
            <v>0</v>
          </cell>
          <cell r="P189">
            <v>0</v>
          </cell>
          <cell r="Q189">
            <v>2250000</v>
          </cell>
          <cell r="R189">
            <v>1850000</v>
          </cell>
          <cell r="S189" t="str">
            <v>Cầu Kiền (bên Quán Toán)</v>
          </cell>
          <cell r="T189" t="str">
            <v>=</v>
          </cell>
          <cell r="U189" t="str">
            <v>chưa có chuyến từ T09/2022</v>
          </cell>
          <cell r="V189">
            <v>0</v>
          </cell>
        </row>
        <row r="190">
          <cell r="D190" t="str">
            <v>DKG&lt;-&gt;Thuỷ Nguyên, Hải Phòng</v>
          </cell>
          <cell r="E190">
            <v>90</v>
          </cell>
          <cell r="F190">
            <v>250000</v>
          </cell>
          <cell r="G190">
            <v>3000000</v>
          </cell>
          <cell r="H190">
            <v>2850000</v>
          </cell>
          <cell r="I190">
            <v>2500000</v>
          </cell>
          <cell r="J190">
            <v>2400000</v>
          </cell>
          <cell r="K190">
            <v>2500000</v>
          </cell>
          <cell r="L190">
            <v>2400000</v>
          </cell>
          <cell r="M190">
            <v>2850000</v>
          </cell>
          <cell r="N190">
            <v>2400000</v>
          </cell>
          <cell r="O190">
            <v>0</v>
          </cell>
          <cell r="P190">
            <v>0</v>
          </cell>
          <cell r="Q190">
            <v>2850000</v>
          </cell>
          <cell r="R190">
            <v>2400000</v>
          </cell>
          <cell r="S190" t="str">
            <v>Thuỷ Nguyên</v>
          </cell>
          <cell r="T190" t="str">
            <v>=</v>
          </cell>
          <cell r="U190" t="str">
            <v>chưa có chuyến từ T09/2022</v>
          </cell>
          <cell r="V190">
            <v>0</v>
          </cell>
        </row>
        <row r="191">
          <cell r="D191" t="str">
            <v>DKG&lt;-&gt;Uông Bí, Quảng Ninh</v>
          </cell>
          <cell r="E191">
            <v>115</v>
          </cell>
          <cell r="F191">
            <v>400000</v>
          </cell>
          <cell r="G191">
            <v>3750000</v>
          </cell>
          <cell r="H191">
            <v>3450000</v>
          </cell>
          <cell r="I191">
            <v>3750000</v>
          </cell>
          <cell r="J191">
            <v>3450000</v>
          </cell>
          <cell r="K191">
            <v>3750000</v>
          </cell>
          <cell r="L191">
            <v>3450000</v>
          </cell>
          <cell r="M191">
            <v>3750000</v>
          </cell>
          <cell r="N191">
            <v>3450000</v>
          </cell>
          <cell r="O191">
            <v>0</v>
          </cell>
          <cell r="P191">
            <v>0</v>
          </cell>
          <cell r="Q191">
            <v>3750000</v>
          </cell>
          <cell r="R191">
            <v>3450000</v>
          </cell>
          <cell r="S191" t="str">
            <v>Uông Bí</v>
          </cell>
          <cell r="T191" t="str">
            <v>=</v>
          </cell>
          <cell r="U191">
            <v>3500000</v>
          </cell>
          <cell r="V191">
            <v>0</v>
          </cell>
        </row>
        <row r="192">
          <cell r="D192" t="str">
            <v>DKG&lt;-&gt;Quảng Yên, Quảng Ninh</v>
          </cell>
          <cell r="E192">
            <v>65</v>
          </cell>
          <cell r="F192">
            <v>400000</v>
          </cell>
          <cell r="G192">
            <v>3800000</v>
          </cell>
          <cell r="H192">
            <v>3300000</v>
          </cell>
          <cell r="I192">
            <v>3750000</v>
          </cell>
          <cell r="J192">
            <v>3250000</v>
          </cell>
          <cell r="K192">
            <v>3750000</v>
          </cell>
          <cell r="L192">
            <v>3250000</v>
          </cell>
          <cell r="M192">
            <v>3750000</v>
          </cell>
          <cell r="N192">
            <v>3250000</v>
          </cell>
          <cell r="O192">
            <v>0</v>
          </cell>
          <cell r="P192">
            <v>0</v>
          </cell>
          <cell r="Q192">
            <v>3750000</v>
          </cell>
          <cell r="R192">
            <v>3250000</v>
          </cell>
          <cell r="S192" t="str">
            <v>Quảng Yên</v>
          </cell>
          <cell r="T192" t="str">
            <v>=</v>
          </cell>
          <cell r="U192" t="str">
            <v>chưa có chuyến từ T09/2022</v>
          </cell>
          <cell r="V192">
            <v>0</v>
          </cell>
        </row>
        <row r="193">
          <cell r="D193" t="str">
            <v>DKG&lt;-&gt;Mạo Khê (Đông Triều), Quảng Ninh</v>
          </cell>
          <cell r="E193">
            <v>0</v>
          </cell>
          <cell r="F193">
            <v>400000</v>
          </cell>
          <cell r="G193">
            <v>3850000</v>
          </cell>
          <cell r="H193">
            <v>3350000</v>
          </cell>
          <cell r="I193">
            <v>3800000</v>
          </cell>
          <cell r="J193">
            <v>3300000</v>
          </cell>
          <cell r="K193">
            <v>3800000</v>
          </cell>
          <cell r="L193">
            <v>3300000</v>
          </cell>
          <cell r="M193">
            <v>3800000</v>
          </cell>
          <cell r="N193">
            <v>3300000</v>
          </cell>
          <cell r="O193">
            <v>0</v>
          </cell>
          <cell r="P193">
            <v>0</v>
          </cell>
          <cell r="Q193">
            <v>3800000</v>
          </cell>
          <cell r="R193">
            <v>3300000</v>
          </cell>
          <cell r="S193" t="str">
            <v>Mạo Khê (Đông Triều)</v>
          </cell>
          <cell r="T193" t="str">
            <v>=</v>
          </cell>
          <cell r="U193" t="str">
            <v>chưa có chuyến từ T09/2022</v>
          </cell>
          <cell r="V193">
            <v>0</v>
          </cell>
        </row>
        <row r="194">
          <cell r="D194" t="str">
            <v>DKG&lt;-&gt;Hà Khẩu, Quảng Ninh</v>
          </cell>
          <cell r="E194">
            <v>85</v>
          </cell>
          <cell r="F194">
            <v>700000</v>
          </cell>
          <cell r="G194">
            <v>4800000</v>
          </cell>
          <cell r="H194">
            <v>4300000</v>
          </cell>
          <cell r="I194">
            <v>4500000</v>
          </cell>
          <cell r="J194">
            <v>4300000</v>
          </cell>
          <cell r="K194">
            <v>4500000</v>
          </cell>
          <cell r="L194">
            <v>4300000</v>
          </cell>
          <cell r="M194">
            <v>4650000</v>
          </cell>
          <cell r="N194">
            <v>4250000</v>
          </cell>
          <cell r="O194">
            <v>0</v>
          </cell>
          <cell r="P194">
            <v>0</v>
          </cell>
          <cell r="Q194">
            <v>4650000</v>
          </cell>
          <cell r="R194">
            <v>4250000</v>
          </cell>
          <cell r="S194" t="str">
            <v>Hà Khẩu</v>
          </cell>
          <cell r="T194" t="str">
            <v>=</v>
          </cell>
          <cell r="U194" t="str">
            <v>chưa có chuyến từ T09/2022</v>
          </cell>
          <cell r="V194">
            <v>0</v>
          </cell>
        </row>
        <row r="195">
          <cell r="D195" t="str">
            <v>DKG&lt;-&gt;Hạ Long, Quảng Ninh</v>
          </cell>
          <cell r="E195">
            <v>85</v>
          </cell>
          <cell r="F195">
            <v>700000</v>
          </cell>
          <cell r="G195">
            <v>4800000</v>
          </cell>
          <cell r="H195">
            <v>4300000</v>
          </cell>
          <cell r="I195">
            <v>4500000</v>
          </cell>
          <cell r="J195">
            <v>4300000</v>
          </cell>
          <cell r="K195">
            <v>4500000</v>
          </cell>
          <cell r="L195">
            <v>4300000</v>
          </cell>
          <cell r="M195">
            <v>4650000</v>
          </cell>
          <cell r="N195">
            <v>4250000</v>
          </cell>
          <cell r="O195">
            <v>0</v>
          </cell>
          <cell r="P195">
            <v>0</v>
          </cell>
          <cell r="Q195">
            <v>4650000</v>
          </cell>
          <cell r="R195">
            <v>4250000</v>
          </cell>
          <cell r="S195" t="str">
            <v>Hạ Long</v>
          </cell>
          <cell r="T195" t="str">
            <v>=</v>
          </cell>
          <cell r="U195" t="str">
            <v>chưa có chuyến từ T09/2022</v>
          </cell>
          <cell r="V195">
            <v>4000000</v>
          </cell>
        </row>
        <row r="196">
          <cell r="D196" t="str">
            <v>DKG&lt;-&gt;Hoành Bồ, Quảng Ninh</v>
          </cell>
          <cell r="E196">
            <v>135</v>
          </cell>
          <cell r="F196">
            <v>700000</v>
          </cell>
          <cell r="G196">
            <v>4950000</v>
          </cell>
          <cell r="H196">
            <v>4450000</v>
          </cell>
          <cell r="I196">
            <v>4600000</v>
          </cell>
          <cell r="J196">
            <v>4400000</v>
          </cell>
          <cell r="K196">
            <v>4600000</v>
          </cell>
          <cell r="L196">
            <v>4400000</v>
          </cell>
          <cell r="M196">
            <v>4750000</v>
          </cell>
          <cell r="N196">
            <v>4400000</v>
          </cell>
          <cell r="O196">
            <v>0</v>
          </cell>
          <cell r="P196">
            <v>0</v>
          </cell>
          <cell r="Q196">
            <v>4750000</v>
          </cell>
          <cell r="R196">
            <v>4400000</v>
          </cell>
          <cell r="S196" t="str">
            <v>Hoành Bồ</v>
          </cell>
          <cell r="T196" t="str">
            <v>=</v>
          </cell>
          <cell r="U196" t="str">
            <v>chưa có chuyến từ T09/2022</v>
          </cell>
          <cell r="V196">
            <v>0</v>
          </cell>
        </row>
        <row r="197">
          <cell r="D197" t="str">
            <v>DKG&lt;-&gt;Cẩm Phả, Quảng Ninh</v>
          </cell>
          <cell r="E197">
            <v>170</v>
          </cell>
          <cell r="F197">
            <v>700000</v>
          </cell>
          <cell r="G197">
            <v>5050000</v>
          </cell>
          <cell r="H197">
            <v>4550000</v>
          </cell>
          <cell r="I197">
            <v>4800000</v>
          </cell>
          <cell r="J197">
            <v>4600000</v>
          </cell>
          <cell r="K197">
            <v>4800000</v>
          </cell>
          <cell r="L197">
            <v>4600000</v>
          </cell>
          <cell r="M197">
            <v>4850000</v>
          </cell>
          <cell r="N197">
            <v>4550000</v>
          </cell>
          <cell r="O197">
            <v>0</v>
          </cell>
          <cell r="P197">
            <v>0</v>
          </cell>
          <cell r="Q197">
            <v>4850000</v>
          </cell>
          <cell r="R197">
            <v>4550000</v>
          </cell>
          <cell r="S197" t="str">
            <v>Cẩm Phả</v>
          </cell>
          <cell r="T197" t="str">
            <v>=</v>
          </cell>
          <cell r="U197" t="str">
            <v>chưa có chuyến từ T09/2022</v>
          </cell>
          <cell r="V197">
            <v>0</v>
          </cell>
        </row>
        <row r="198">
          <cell r="D198" t="str">
            <v>DKG&lt;-&gt;Cẩm Phả (1 lượt vé), Quảng Ninh</v>
          </cell>
          <cell r="E198">
            <v>170</v>
          </cell>
          <cell r="F198">
            <v>900000</v>
          </cell>
          <cell r="G198">
            <v>5250000</v>
          </cell>
          <cell r="H198">
            <v>4550000</v>
          </cell>
          <cell r="I198">
            <v>5000000</v>
          </cell>
          <cell r="J198">
            <v>4800000</v>
          </cell>
          <cell r="K198">
            <v>5000000</v>
          </cell>
          <cell r="L198">
            <v>4800000</v>
          </cell>
          <cell r="M198">
            <v>5050000</v>
          </cell>
          <cell r="N198">
            <v>4750000</v>
          </cell>
          <cell r="O198">
            <v>0</v>
          </cell>
          <cell r="P198">
            <v>0</v>
          </cell>
          <cell r="Q198">
            <v>5050000</v>
          </cell>
          <cell r="R198">
            <v>4750000</v>
          </cell>
          <cell r="S198" t="str">
            <v>Cẩm Phả (1 lượt vé)</v>
          </cell>
          <cell r="T198" t="str">
            <v>=</v>
          </cell>
          <cell r="U198" t="str">
            <v>chưa có chuyến từ T09/2022</v>
          </cell>
          <cell r="V198">
            <v>0</v>
          </cell>
        </row>
        <row r="199">
          <cell r="D199" t="str">
            <v>DKG&lt;-&gt;Cẩm Phả (2 lượt vé), Quảng Ninh</v>
          </cell>
          <cell r="E199">
            <v>170</v>
          </cell>
          <cell r="F199">
            <v>1100000</v>
          </cell>
          <cell r="G199">
            <v>5450000</v>
          </cell>
          <cell r="H199">
            <v>4550000</v>
          </cell>
          <cell r="I199">
            <v>5200000</v>
          </cell>
          <cell r="J199">
            <v>5000000</v>
          </cell>
          <cell r="K199">
            <v>5200000</v>
          </cell>
          <cell r="L199">
            <v>5000000</v>
          </cell>
          <cell r="M199">
            <v>4950000</v>
          </cell>
          <cell r="N199">
            <v>4650000</v>
          </cell>
          <cell r="O199">
            <v>0</v>
          </cell>
          <cell r="P199">
            <v>0</v>
          </cell>
          <cell r="Q199">
            <v>4950000</v>
          </cell>
          <cell r="R199">
            <v>4650000</v>
          </cell>
          <cell r="S199" t="str">
            <v>Cẩm Phả (2 lượt vé)</v>
          </cell>
          <cell r="T199" t="str">
            <v>=</v>
          </cell>
          <cell r="U199" t="str">
            <v>chưa có chuyến từ T09/2022</v>
          </cell>
          <cell r="V199">
            <v>0</v>
          </cell>
        </row>
        <row r="200">
          <cell r="D200" t="str">
            <v>DKG&lt;-&gt;Hải Hà, Quảng Ninh</v>
          </cell>
          <cell r="E200">
            <v>335</v>
          </cell>
          <cell r="F200">
            <v>1600000</v>
          </cell>
          <cell r="G200">
            <v>9650000</v>
          </cell>
          <cell r="H200">
            <v>9150000</v>
          </cell>
          <cell r="I200">
            <v>8650000</v>
          </cell>
          <cell r="J200">
            <v>8150000</v>
          </cell>
          <cell r="K200">
            <v>8650000</v>
          </cell>
          <cell r="L200">
            <v>8150000</v>
          </cell>
          <cell r="M200">
            <v>9250000</v>
          </cell>
          <cell r="N200">
            <v>8150000</v>
          </cell>
          <cell r="O200">
            <v>0</v>
          </cell>
          <cell r="P200">
            <v>0</v>
          </cell>
          <cell r="Q200">
            <v>9250000</v>
          </cell>
          <cell r="R200">
            <v>8150000</v>
          </cell>
          <cell r="S200" t="str">
            <v>Hải Hà</v>
          </cell>
          <cell r="T200" t="str">
            <v>=</v>
          </cell>
          <cell r="U200">
            <v>8000000</v>
          </cell>
          <cell r="V200">
            <v>0</v>
          </cell>
        </row>
        <row r="201">
          <cell r="D201" t="str">
            <v>DKG&lt;-&gt;Móng Cái, Quảng Ninh</v>
          </cell>
          <cell r="E201">
            <v>410</v>
          </cell>
          <cell r="F201">
            <v>1700000</v>
          </cell>
          <cell r="G201">
            <v>10400000</v>
          </cell>
          <cell r="H201">
            <v>9900000</v>
          </cell>
          <cell r="I201">
            <v>9400000</v>
          </cell>
          <cell r="J201">
            <v>8900000</v>
          </cell>
          <cell r="K201">
            <v>9400000</v>
          </cell>
          <cell r="L201">
            <v>8900000</v>
          </cell>
          <cell r="M201">
            <v>10200000</v>
          </cell>
          <cell r="N201">
            <v>8900000</v>
          </cell>
          <cell r="O201">
            <v>0</v>
          </cell>
          <cell r="P201">
            <v>0</v>
          </cell>
          <cell r="Q201">
            <v>10200000</v>
          </cell>
          <cell r="R201">
            <v>8900000</v>
          </cell>
          <cell r="S201" t="str">
            <v>Móng Cái</v>
          </cell>
          <cell r="T201" t="str">
            <v>=</v>
          </cell>
          <cell r="U201" t="str">
            <v>chưa có chuyến từ T09/2022</v>
          </cell>
          <cell r="V201">
            <v>0</v>
          </cell>
        </row>
        <row r="202">
          <cell r="D202">
            <v>0</v>
          </cell>
          <cell r="E202">
            <v>0</v>
          </cell>
          <cell r="F202">
            <v>0</v>
          </cell>
          <cell r="G202">
            <v>0</v>
          </cell>
          <cell r="H202">
            <v>0</v>
          </cell>
          <cell r="I202">
            <v>0</v>
          </cell>
          <cell r="J202">
            <v>0</v>
          </cell>
          <cell r="K202">
            <v>0</v>
          </cell>
          <cell r="L202">
            <v>0</v>
          </cell>
          <cell r="M202">
            <v>0</v>
          </cell>
          <cell r="N202">
            <v>0</v>
          </cell>
          <cell r="O202">
            <v>0</v>
          </cell>
          <cell r="P202">
            <v>0</v>
          </cell>
          <cell r="S202">
            <v>0</v>
          </cell>
          <cell r="T202" t="str">
            <v>=</v>
          </cell>
        </row>
        <row r="203">
          <cell r="E203">
            <v>0</v>
          </cell>
          <cell r="F203">
            <v>0</v>
          </cell>
          <cell r="S203">
            <v>0</v>
          </cell>
          <cell r="T203" t="str">
            <v>=</v>
          </cell>
        </row>
        <row r="204">
          <cell r="E204">
            <v>0</v>
          </cell>
          <cell r="F204">
            <v>0</v>
          </cell>
          <cell r="S204">
            <v>0</v>
          </cell>
          <cell r="T204" t="str">
            <v>=</v>
          </cell>
        </row>
        <row r="205">
          <cell r="E205">
            <v>0</v>
          </cell>
          <cell r="F205">
            <v>0</v>
          </cell>
          <cell r="S205">
            <v>0</v>
          </cell>
          <cell r="T205" t="str">
            <v>=</v>
          </cell>
        </row>
        <row r="206">
          <cell r="E206">
            <v>0</v>
          </cell>
          <cell r="F206">
            <v>0</v>
          </cell>
          <cell r="S206">
            <v>0</v>
          </cell>
          <cell r="T206" t="str">
            <v>=</v>
          </cell>
        </row>
        <row r="207">
          <cell r="E207">
            <v>0</v>
          </cell>
          <cell r="F207">
            <v>0</v>
          </cell>
          <cell r="S207">
            <v>0</v>
          </cell>
          <cell r="T207" t="str">
            <v>=</v>
          </cell>
        </row>
        <row r="208">
          <cell r="E208">
            <v>0</v>
          </cell>
          <cell r="F208">
            <v>0</v>
          </cell>
          <cell r="S208">
            <v>0</v>
          </cell>
          <cell r="T208" t="str">
            <v>=</v>
          </cell>
        </row>
        <row r="209">
          <cell r="E209">
            <v>0</v>
          </cell>
          <cell r="F209">
            <v>0</v>
          </cell>
          <cell r="S209">
            <v>0</v>
          </cell>
          <cell r="T209" t="str">
            <v>=</v>
          </cell>
        </row>
        <row r="210">
          <cell r="E210">
            <v>0</v>
          </cell>
          <cell r="F210">
            <v>0</v>
          </cell>
          <cell r="S210">
            <v>0</v>
          </cell>
          <cell r="T210" t="str">
            <v>=</v>
          </cell>
        </row>
        <row r="211">
          <cell r="E211">
            <v>0</v>
          </cell>
          <cell r="F211">
            <v>0</v>
          </cell>
          <cell r="S211">
            <v>0</v>
          </cell>
          <cell r="T211" t="str">
            <v>=</v>
          </cell>
        </row>
        <row r="212">
          <cell r="E212">
            <v>0</v>
          </cell>
          <cell r="F212">
            <v>0</v>
          </cell>
          <cell r="S212">
            <v>0</v>
          </cell>
          <cell r="T212" t="str">
            <v>=</v>
          </cell>
        </row>
        <row r="213">
          <cell r="E213">
            <v>0</v>
          </cell>
          <cell r="F213">
            <v>0</v>
          </cell>
          <cell r="S213">
            <v>0</v>
          </cell>
          <cell r="T213" t="str">
            <v>=</v>
          </cell>
        </row>
        <row r="214">
          <cell r="E214">
            <v>0</v>
          </cell>
          <cell r="F214">
            <v>0</v>
          </cell>
          <cell r="S214">
            <v>0</v>
          </cell>
          <cell r="T214" t="str">
            <v>=</v>
          </cell>
        </row>
        <row r="215">
          <cell r="E215">
            <v>0</v>
          </cell>
          <cell r="F215">
            <v>0</v>
          </cell>
          <cell r="S215">
            <v>0</v>
          </cell>
          <cell r="T215" t="str">
            <v>=</v>
          </cell>
        </row>
        <row r="216">
          <cell r="E216">
            <v>0</v>
          </cell>
          <cell r="F216">
            <v>0</v>
          </cell>
          <cell r="S216">
            <v>0</v>
          </cell>
          <cell r="T216" t="str">
            <v>=</v>
          </cell>
        </row>
        <row r="217">
          <cell r="E217">
            <v>0</v>
          </cell>
          <cell r="F217">
            <v>0</v>
          </cell>
          <cell r="S217">
            <v>0</v>
          </cell>
        </row>
        <row r="218">
          <cell r="E218">
            <v>0</v>
          </cell>
          <cell r="F218">
            <v>0</v>
          </cell>
          <cell r="S218">
            <v>0</v>
          </cell>
        </row>
        <row r="219">
          <cell r="E219">
            <v>0</v>
          </cell>
          <cell r="F219">
            <v>0</v>
          </cell>
          <cell r="S219">
            <v>0</v>
          </cell>
        </row>
        <row r="220">
          <cell r="E220">
            <v>0</v>
          </cell>
          <cell r="F220">
            <v>0</v>
          </cell>
          <cell r="S220">
            <v>0</v>
          </cell>
        </row>
        <row r="221">
          <cell r="E221">
            <v>0</v>
          </cell>
          <cell r="F221">
            <v>0</v>
          </cell>
          <cell r="S221">
            <v>0</v>
          </cell>
        </row>
        <row r="222">
          <cell r="E222">
            <v>0</v>
          </cell>
          <cell r="F222">
            <v>0</v>
          </cell>
          <cell r="S222">
            <v>0</v>
          </cell>
        </row>
        <row r="223">
          <cell r="E223">
            <v>0</v>
          </cell>
          <cell r="F223">
            <v>0</v>
          </cell>
          <cell r="S223">
            <v>0</v>
          </cell>
        </row>
        <row r="224">
          <cell r="E224">
            <v>0</v>
          </cell>
          <cell r="F224">
            <v>0</v>
          </cell>
        </row>
        <row r="225">
          <cell r="E225">
            <v>0</v>
          </cell>
          <cell r="F225">
            <v>0</v>
          </cell>
        </row>
        <row r="226">
          <cell r="E226">
            <v>0</v>
          </cell>
          <cell r="F226">
            <v>0</v>
          </cell>
        </row>
        <row r="227">
          <cell r="E227">
            <v>0</v>
          </cell>
          <cell r="F227">
            <v>0</v>
          </cell>
        </row>
        <row r="228">
          <cell r="E228">
            <v>0</v>
          </cell>
          <cell r="F228">
            <v>0</v>
          </cell>
        </row>
        <row r="229">
          <cell r="E229">
            <v>0</v>
          </cell>
          <cell r="F229">
            <v>0</v>
          </cell>
        </row>
        <row r="230">
          <cell r="E230">
            <v>0</v>
          </cell>
          <cell r="F230">
            <v>0</v>
          </cell>
        </row>
        <row r="231">
          <cell r="E231">
            <v>0</v>
          </cell>
          <cell r="F231">
            <v>0</v>
          </cell>
        </row>
        <row r="232">
          <cell r="E232">
            <v>0</v>
          </cell>
          <cell r="F232">
            <v>0</v>
          </cell>
        </row>
        <row r="233">
          <cell r="E233">
            <v>0</v>
          </cell>
          <cell r="F233">
            <v>0</v>
          </cell>
        </row>
        <row r="234">
          <cell r="E234">
            <v>0</v>
          </cell>
          <cell r="F234">
            <v>0</v>
          </cell>
        </row>
        <row r="235">
          <cell r="E235">
            <v>0</v>
          </cell>
          <cell r="F235">
            <v>0</v>
          </cell>
        </row>
        <row r="236">
          <cell r="E236">
            <v>0</v>
          </cell>
          <cell r="F236">
            <v>0</v>
          </cell>
        </row>
        <row r="237">
          <cell r="E237">
            <v>0</v>
          </cell>
          <cell r="F237">
            <v>0</v>
          </cell>
        </row>
        <row r="238">
          <cell r="E238">
            <v>0</v>
          </cell>
          <cell r="F238">
            <v>0</v>
          </cell>
        </row>
        <row r="239">
          <cell r="E239">
            <v>0</v>
          </cell>
          <cell r="F239">
            <v>0</v>
          </cell>
        </row>
        <row r="240">
          <cell r="E240">
            <v>0</v>
          </cell>
          <cell r="F240">
            <v>0</v>
          </cell>
        </row>
        <row r="241">
          <cell r="E241">
            <v>0</v>
          </cell>
          <cell r="F241">
            <v>0</v>
          </cell>
        </row>
        <row r="242">
          <cell r="E242">
            <v>0</v>
          </cell>
          <cell r="F242">
            <v>0</v>
          </cell>
        </row>
        <row r="243">
          <cell r="E243">
            <v>0</v>
          </cell>
          <cell r="F243">
            <v>0</v>
          </cell>
        </row>
        <row r="244">
          <cell r="E244">
            <v>0</v>
          </cell>
          <cell r="F244">
            <v>0</v>
          </cell>
        </row>
        <row r="245">
          <cell r="E245">
            <v>0</v>
          </cell>
          <cell r="F245">
            <v>0</v>
          </cell>
        </row>
        <row r="246">
          <cell r="E246">
            <v>0</v>
          </cell>
          <cell r="F246">
            <v>0</v>
          </cell>
        </row>
        <row r="247">
          <cell r="E247">
            <v>0</v>
          </cell>
          <cell r="F247">
            <v>0</v>
          </cell>
        </row>
        <row r="248">
          <cell r="E248">
            <v>0</v>
          </cell>
          <cell r="F248">
            <v>0</v>
          </cell>
        </row>
        <row r="249">
          <cell r="E249">
            <v>0</v>
          </cell>
          <cell r="F249">
            <v>0</v>
          </cell>
        </row>
        <row r="250">
          <cell r="E250">
            <v>0</v>
          </cell>
          <cell r="F250">
            <v>0</v>
          </cell>
        </row>
        <row r="251">
          <cell r="E251">
            <v>0</v>
          </cell>
          <cell r="F251">
            <v>0</v>
          </cell>
        </row>
        <row r="252">
          <cell r="E252">
            <v>0</v>
          </cell>
          <cell r="F252">
            <v>0</v>
          </cell>
        </row>
        <row r="253">
          <cell r="E253">
            <v>0</v>
          </cell>
          <cell r="F253">
            <v>0</v>
          </cell>
        </row>
        <row r="254">
          <cell r="E254">
            <v>0</v>
          </cell>
          <cell r="F254">
            <v>0</v>
          </cell>
        </row>
        <row r="255">
          <cell r="E255">
            <v>0</v>
          </cell>
          <cell r="F255">
            <v>0</v>
          </cell>
        </row>
        <row r="256">
          <cell r="E256">
            <v>0</v>
          </cell>
          <cell r="F256">
            <v>0</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2.vml"/><Relationship Id="rId7" Type="http://schemas.openxmlformats.org/officeDocument/2006/relationships/ctrlProp" Target="../ctrlProps/ctrlProp1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https://trigger.macrodroid.com/6c0a04ce-822a-46f6-aafe-2f9026355198/11" TargetMode="External"/><Relationship Id="rId13" Type="http://schemas.openxmlformats.org/officeDocument/2006/relationships/hyperlink" Target="https://trigger.macrodroid.com/6c0a04ce-822a-46f6-aafe-2f9026355198/16" TargetMode="External"/><Relationship Id="rId18" Type="http://schemas.openxmlformats.org/officeDocument/2006/relationships/printerSettings" Target="../printerSettings/printerSettings7.bin"/><Relationship Id="rId3" Type="http://schemas.openxmlformats.org/officeDocument/2006/relationships/hyperlink" Target="https://trigger.macrodroid.com/6c0a04ce-822a-46f6-aafe-2f9026355198/8" TargetMode="External"/><Relationship Id="rId7" Type="http://schemas.openxmlformats.org/officeDocument/2006/relationships/hyperlink" Target="https://trigger.macrodroid.com/6c0a04ce-822a-46f6-aafe-2f9026355198/4" TargetMode="External"/><Relationship Id="rId12" Type="http://schemas.openxmlformats.org/officeDocument/2006/relationships/hyperlink" Target="https://trigger.macrodroid.com/6c0a04ce-822a-46f6-aafe-2f9026355198/15" TargetMode="External"/><Relationship Id="rId17" Type="http://schemas.openxmlformats.org/officeDocument/2006/relationships/hyperlink" Target="https://trigger.macrodroid.com/6c0a04ce-822a-46f6-aafe-2f9026355198/18" TargetMode="External"/><Relationship Id="rId2" Type="http://schemas.openxmlformats.org/officeDocument/2006/relationships/hyperlink" Target="https://trigger.macrodroid.com/6c0a04ce-822a-46f6-aafe-2f9026355198/7" TargetMode="External"/><Relationship Id="rId16" Type="http://schemas.openxmlformats.org/officeDocument/2006/relationships/hyperlink" Target="https://trigger.macrodroid.com/6c0a04ce-822a-46f6-aafe-2f9026355198/19" TargetMode="External"/><Relationship Id="rId1" Type="http://schemas.openxmlformats.org/officeDocument/2006/relationships/hyperlink" Target="https://trigger.macrodroid.com/6c0a04ce-822a-46f6-aafe-2f9026355198/4" TargetMode="External"/><Relationship Id="rId6" Type="http://schemas.openxmlformats.org/officeDocument/2006/relationships/hyperlink" Target="https://trigger.macrodroid.com/6c0a04ce-822a-46f6-aafe-2f9026355198/10" TargetMode="External"/><Relationship Id="rId11" Type="http://schemas.openxmlformats.org/officeDocument/2006/relationships/hyperlink" Target="https://trigger.macrodroid.com/6c0a04ce-822a-46f6-aafe-2f9026355198/14" TargetMode="External"/><Relationship Id="rId5" Type="http://schemas.openxmlformats.org/officeDocument/2006/relationships/hyperlink" Target="https://trigger.macrodroid.com/6c0a04ce-822a-46f6-aafe-2f9026355198/16" TargetMode="External"/><Relationship Id="rId15" Type="http://schemas.openxmlformats.org/officeDocument/2006/relationships/hyperlink" Target="https://trigger.macrodroid.com/6c0a04ce-822a-46f6-aafe-2f9026355198/20" TargetMode="External"/><Relationship Id="rId10" Type="http://schemas.openxmlformats.org/officeDocument/2006/relationships/hyperlink" Target="https://trigger.macrodroid.com/6c0a04ce-822a-46f6-aafe-2f9026355198/13" TargetMode="External"/><Relationship Id="rId4" Type="http://schemas.openxmlformats.org/officeDocument/2006/relationships/hyperlink" Target="https://trigger.macrodroid.com/6c0a04ce-822a-46f6-aafe-2f9026355198/9" TargetMode="External"/><Relationship Id="rId9" Type="http://schemas.openxmlformats.org/officeDocument/2006/relationships/hyperlink" Target="https://trigger.macrodroid.com/6c0a04ce-822a-46f6-aafe-2f9026355198/12" TargetMode="External"/><Relationship Id="rId14" Type="http://schemas.openxmlformats.org/officeDocument/2006/relationships/hyperlink" Target="https://trigger.macrodroid.com/6c0a04ce-822a-46f6-aafe-2f9026355198/17" TargetMode="Externa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26" Type="http://schemas.openxmlformats.org/officeDocument/2006/relationships/ctrlProp" Target="../ctrlProps/ctrlProp40.xml"/><Relationship Id="rId3" Type="http://schemas.openxmlformats.org/officeDocument/2006/relationships/vmlDrawing" Target="../drawings/vmlDrawing4.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5" Type="http://schemas.openxmlformats.org/officeDocument/2006/relationships/ctrlProp" Target="../ctrlProps/ctrlProp39.xml"/><Relationship Id="rId2" Type="http://schemas.openxmlformats.org/officeDocument/2006/relationships/drawing" Target="../drawings/drawing3.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8.bin"/><Relationship Id="rId6" Type="http://schemas.openxmlformats.org/officeDocument/2006/relationships/ctrlProp" Target="../ctrlProps/ctrlProp20.xml"/><Relationship Id="rId11" Type="http://schemas.openxmlformats.org/officeDocument/2006/relationships/ctrlProp" Target="../ctrlProps/ctrlProp25.xml"/><Relationship Id="rId24" Type="http://schemas.openxmlformats.org/officeDocument/2006/relationships/ctrlProp" Target="../ctrlProps/ctrlProp38.xml"/><Relationship Id="rId5" Type="http://schemas.openxmlformats.org/officeDocument/2006/relationships/ctrlProp" Target="../ctrlProps/ctrlProp19.xml"/><Relationship Id="rId15" Type="http://schemas.openxmlformats.org/officeDocument/2006/relationships/ctrlProp" Target="../ctrlProps/ctrlProp29.xml"/><Relationship Id="rId23" Type="http://schemas.openxmlformats.org/officeDocument/2006/relationships/ctrlProp" Target="../ctrlProps/ctrlProp37.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trlProp" Target="../ctrlProps/ctrlProp36.xml"/><Relationship Id="rId27"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C723"/>
  <sheetViews>
    <sheetView tabSelected="1" topLeftCell="T1" zoomScale="70" zoomScaleNormal="70" workbookViewId="0">
      <selection activeCell="Z8" sqref="Z8"/>
    </sheetView>
  </sheetViews>
  <sheetFormatPr defaultColWidth="9" defaultRowHeight="14.4" x14ac:dyDescent="0.3"/>
  <cols>
    <col min="1" max="1" width="4.3984375" style="113" customWidth="1"/>
    <col min="2" max="2" width="7.69921875" style="113" customWidth="1"/>
    <col min="3" max="3" width="20.3984375" style="113" customWidth="1"/>
    <col min="4" max="4" width="11.09765625" style="113" customWidth="1"/>
    <col min="5" max="5" width="13.8984375" style="113" customWidth="1"/>
    <col min="6" max="6" width="8.09765625" style="113" customWidth="1"/>
    <col min="7" max="7" width="4.8984375" style="113" customWidth="1"/>
    <col min="8" max="16" width="5.3984375" style="113" hidden="1" customWidth="1"/>
    <col min="17" max="17" width="20.09765625" style="113" customWidth="1"/>
    <col min="18" max="18" width="12.69921875" style="113" customWidth="1"/>
    <col min="19" max="19" width="29.3984375" style="113" customWidth="1"/>
    <col min="20" max="20" width="6.09765625" style="113" customWidth="1"/>
    <col min="21" max="21" width="3.59765625" style="113" customWidth="1"/>
    <col min="22" max="22" width="1.09765625" style="113" customWidth="1"/>
    <col min="23" max="23" width="5.59765625" style="113" customWidth="1"/>
    <col min="24" max="24" width="8.59765625" style="113" customWidth="1"/>
    <col min="25" max="25" width="24.8984375" style="113" customWidth="1"/>
    <col min="26" max="26" width="25.3984375" style="113" customWidth="1"/>
    <col min="27" max="27" width="1" style="113" customWidth="1"/>
    <col min="28" max="28" width="17.5" style="113" customWidth="1"/>
    <col min="29" max="29" width="2.5" style="113" customWidth="1"/>
    <col min="30" max="30" width="17" style="113" customWidth="1"/>
    <col min="31" max="31" width="11.09765625" style="113" customWidth="1"/>
    <col min="32" max="32" width="23.5" style="113" customWidth="1"/>
    <col min="33" max="33" width="14.19921875" style="113" customWidth="1"/>
    <col min="34" max="34" width="9" style="113"/>
    <col min="35" max="35" width="19" style="113" customWidth="1"/>
    <col min="36" max="37" width="9" style="113"/>
    <col min="38" max="38" width="14.8984375" style="113" customWidth="1"/>
    <col min="39" max="39" width="12.59765625" style="113" customWidth="1"/>
    <col min="40" max="40" width="11.8984375" style="113" customWidth="1"/>
    <col min="41" max="41" width="11.19921875" style="113" customWidth="1"/>
    <col min="42" max="43" width="10.09765625" style="113" customWidth="1"/>
    <col min="44" max="48" width="9" style="113"/>
    <col min="49" max="49" width="12" style="113" customWidth="1"/>
    <col min="50" max="50" width="9" style="113"/>
    <col min="51" max="51" width="14.09765625" style="113" customWidth="1"/>
    <col min="52" max="53" width="9" style="113"/>
    <col min="54" max="54" width="16.5" style="113" customWidth="1"/>
    <col min="55" max="55" width="9" style="113"/>
    <col min="56" max="56" width="13.69921875" style="113" customWidth="1"/>
    <col min="57" max="60" width="9" style="113"/>
    <col min="61" max="61" width="14.5" style="113" customWidth="1"/>
    <col min="62" max="62" width="10.59765625" style="113" customWidth="1"/>
    <col min="63" max="63" width="10.69921875" style="113" customWidth="1"/>
    <col min="64" max="69" width="9" style="113"/>
    <col min="70" max="70" width="41.59765625" style="113" customWidth="1"/>
    <col min="71" max="71" width="12.8984375" style="113" customWidth="1"/>
    <col min="72" max="16384" width="9" style="113"/>
  </cols>
  <sheetData>
    <row r="1" spans="1:81" ht="16.8" x14ac:dyDescent="0.4">
      <c r="A1" s="113">
        <v>1</v>
      </c>
      <c r="B1" s="120"/>
      <c r="C1" s="113" t="s">
        <v>12773</v>
      </c>
      <c r="D1" s="298" t="s">
        <v>602</v>
      </c>
      <c r="E1" s="361">
        <v>45490</v>
      </c>
      <c r="F1" s="361" t="s">
        <v>14940</v>
      </c>
      <c r="S1" s="114" t="str">
        <f>+pt!J1</f>
        <v>Chú Minh: 0948248047</v>
      </c>
      <c r="W1" s="322" t="str">
        <f>CONCATENATE("Nhà ",LEFT(S1,SEARCH("0",S1)-1)," ở ",SUBSTITUTE(VLOOKUP(S1,$Q$8:$BX$64,9,0),"DKG&lt;-&gt;","")," , mai anh chờ chuyển khoản mới hạ hàng nhé, liên hệ người bán: ",VLOOKUP(S1,$Q$8:$BX$64,49,0))</f>
        <v>Nhà Chú Minh:  ở Ý Yên, Nam Định , mai anh chờ chuyển khoản mới hạ hàng nhé, liên hệ người bán: Hưng: 0966689440</v>
      </c>
      <c r="CA1" s="372"/>
    </row>
    <row r="2" spans="1:81" ht="27.75" customHeight="1" x14ac:dyDescent="0.3">
      <c r="A2" s="113">
        <v>2</v>
      </c>
      <c r="B2" s="358" t="s">
        <v>488</v>
      </c>
      <c r="C2" s="113" t="s">
        <v>12684</v>
      </c>
      <c r="D2" s="358" t="s">
        <v>333</v>
      </c>
      <c r="E2" s="358" t="s">
        <v>14937</v>
      </c>
      <c r="H2" s="118"/>
      <c r="I2" s="118"/>
      <c r="J2" s="118"/>
      <c r="K2" s="118"/>
      <c r="L2" s="118"/>
      <c r="M2" s="118"/>
      <c r="N2" s="118"/>
      <c r="O2" s="118"/>
      <c r="P2" s="118"/>
      <c r="Q2" s="118"/>
      <c r="R2" s="117" t="s">
        <v>244</v>
      </c>
      <c r="S2" s="117" t="s">
        <v>243</v>
      </c>
      <c r="T2" s="117" t="s">
        <v>242</v>
      </c>
      <c r="U2" s="117" t="s">
        <v>241</v>
      </c>
      <c r="V2" s="117" t="s">
        <v>240</v>
      </c>
      <c r="W2" s="117" t="s">
        <v>239</v>
      </c>
      <c r="X2" s="117" t="s">
        <v>30</v>
      </c>
      <c r="Y2" s="117" t="s">
        <v>238</v>
      </c>
      <c r="Z2" s="117" t="s">
        <v>237</v>
      </c>
      <c r="AA2" s="117" t="s">
        <v>236</v>
      </c>
      <c r="AB2" s="226" t="s">
        <v>236</v>
      </c>
      <c r="AC2" s="117" t="s">
        <v>235</v>
      </c>
      <c r="AD2" s="117" t="s">
        <v>234</v>
      </c>
      <c r="AE2" s="117" t="s">
        <v>51</v>
      </c>
      <c r="AF2" s="117" t="s">
        <v>233</v>
      </c>
      <c r="AG2" s="117" t="s">
        <v>228</v>
      </c>
      <c r="AH2" s="113" t="s">
        <v>6</v>
      </c>
      <c r="AI2" s="113" t="s">
        <v>12675</v>
      </c>
      <c r="BR2" s="113" t="str">
        <f ca="1">CONCATENATE("Xe đi ngày : ",DAY(TODAY()),"/",MONTH(TODAY()))</f>
        <v>Xe đi ngày : 19/7</v>
      </c>
      <c r="BS2" s="375"/>
      <c r="BT2" s="375"/>
      <c r="BU2" s="375"/>
      <c r="BV2" s="375"/>
      <c r="BZ2" s="372" t="s">
        <v>14965</v>
      </c>
      <c r="CA2" s="372" t="s">
        <v>14966</v>
      </c>
      <c r="CB2" s="372" t="s">
        <v>14967</v>
      </c>
      <c r="CC2" s="113">
        <v>11856</v>
      </c>
    </row>
    <row r="3" spans="1:81" x14ac:dyDescent="0.3">
      <c r="A3" s="113">
        <v>3</v>
      </c>
      <c r="B3" s="358" t="s">
        <v>535</v>
      </c>
      <c r="C3" s="113" t="s">
        <v>12768</v>
      </c>
      <c r="D3" s="298" t="s">
        <v>388</v>
      </c>
      <c r="E3" s="362" t="s">
        <v>14941</v>
      </c>
      <c r="R3" s="116"/>
      <c r="S3" s="116"/>
      <c r="T3" s="116"/>
      <c r="U3" s="116"/>
      <c r="V3" s="116"/>
      <c r="W3" s="116" t="s">
        <v>12761</v>
      </c>
      <c r="X3" s="195" t="s">
        <v>10896</v>
      </c>
      <c r="Y3" s="196" t="s">
        <v>10897</v>
      </c>
      <c r="Z3" s="116" t="s">
        <v>13720</v>
      </c>
      <c r="AA3" s="116"/>
      <c r="AB3" s="371" t="s">
        <v>15052</v>
      </c>
      <c r="AC3" s="116"/>
      <c r="AD3" s="116"/>
      <c r="AE3" s="116"/>
      <c r="AF3" s="116"/>
      <c r="AG3" s="116"/>
      <c r="AH3" s="372"/>
      <c r="AI3" s="372"/>
      <c r="BR3" s="113" t="str">
        <f>CONCATENATE("Gỗ rời: ",BF7)</f>
        <v>Gỗ rời: 13</v>
      </c>
      <c r="CB3" s="372" t="s">
        <v>14968</v>
      </c>
      <c r="CC3" s="376">
        <v>12350000</v>
      </c>
    </row>
    <row r="4" spans="1:81" x14ac:dyDescent="0.3">
      <c r="A4" s="113">
        <v>4</v>
      </c>
      <c r="B4" s="358" t="s">
        <v>502</v>
      </c>
      <c r="C4" s="113" t="s">
        <v>12770</v>
      </c>
      <c r="D4" s="298"/>
      <c r="E4" s="113" t="s">
        <v>13598</v>
      </c>
      <c r="R4" s="116"/>
      <c r="S4" s="116"/>
      <c r="T4" s="116"/>
      <c r="U4" s="116"/>
      <c r="V4" s="116"/>
      <c r="W4" s="116" t="s">
        <v>12761</v>
      </c>
      <c r="X4" s="195" t="s">
        <v>10844</v>
      </c>
      <c r="Y4" s="196" t="s">
        <v>10845</v>
      </c>
      <c r="Z4" s="116"/>
      <c r="AA4" s="116"/>
      <c r="AB4" s="300" t="s">
        <v>14652</v>
      </c>
      <c r="AC4" s="116"/>
      <c r="AD4" s="370" t="s">
        <v>14945</v>
      </c>
      <c r="AE4" s="370" t="s">
        <v>14946</v>
      </c>
      <c r="AF4" s="116"/>
      <c r="AG4" s="116"/>
      <c r="AI4" s="372"/>
      <c r="AN4" s="225" t="e">
        <f>IF(IFERROR(FIND("Lạch Huyện",VLOOKUP(AL4,$B$8:$E$671,3,0)),-1)&gt;0,"LH",VLOOKUP(AL4,$B$8:$E$671,3,0))</f>
        <v>#N/A</v>
      </c>
      <c r="BN4" s="113" t="str">
        <f>[1]Sheet1!$B$1</f>
        <v>sdt</v>
      </c>
      <c r="BR4" s="113" t="str">
        <f>CONCATENATE("Cont gỗ: ",COUNTIF($W$8:$W$64,"Cont"))</f>
        <v>Cont gỗ: 0</v>
      </c>
      <c r="BX4" s="372" t="s">
        <v>14969</v>
      </c>
      <c r="BY4" s="377">
        <v>11486</v>
      </c>
      <c r="BZ4" s="372" t="s">
        <v>14970</v>
      </c>
      <c r="CA4" s="372" t="s">
        <v>14966</v>
      </c>
      <c r="CB4" s="372" t="s">
        <v>14971</v>
      </c>
    </row>
    <row r="5" spans="1:81" x14ac:dyDescent="0.3">
      <c r="A5" s="113">
        <v>5</v>
      </c>
      <c r="B5" s="120" t="s">
        <v>407</v>
      </c>
      <c r="C5" s="113" t="s">
        <v>12771</v>
      </c>
      <c r="D5" s="357" t="s">
        <v>437</v>
      </c>
      <c r="E5" s="113" t="s">
        <v>12806</v>
      </c>
      <c r="R5" s="116">
        <f>[2]Khach_hangmoi!$I$1</f>
        <v>0</v>
      </c>
      <c r="S5" s="116"/>
      <c r="T5" s="116"/>
      <c r="U5" s="116"/>
      <c r="V5" s="116"/>
      <c r="W5" s="116"/>
      <c r="X5" s="195" t="s">
        <v>10870</v>
      </c>
      <c r="Y5" s="196" t="s">
        <v>10871</v>
      </c>
      <c r="Z5" s="116" t="str">
        <f>CONCATENATE(COUNTIF(AF8:AF110,"CGN"),"::")</f>
        <v>0::</v>
      </c>
      <c r="AA5" s="116"/>
      <c r="AB5" s="371"/>
      <c r="AC5" s="116"/>
      <c r="AD5" s="370" t="s">
        <v>14947</v>
      </c>
      <c r="AE5" s="370" t="s">
        <v>14948</v>
      </c>
      <c r="AF5" s="116"/>
      <c r="AG5" s="116"/>
      <c r="AK5" s="245" t="s">
        <v>12807</v>
      </c>
      <c r="AL5" s="245" t="s">
        <v>12808</v>
      </c>
      <c r="AM5" s="245" t="s">
        <v>12809</v>
      </c>
      <c r="AN5" s="245" t="s">
        <v>12812</v>
      </c>
      <c r="AO5" s="245" t="s">
        <v>12810</v>
      </c>
      <c r="AP5" s="245" t="s">
        <v>12805</v>
      </c>
      <c r="AQ5" s="246" t="s">
        <v>12813</v>
      </c>
      <c r="AR5" s="245" t="s">
        <v>12811</v>
      </c>
      <c r="AS5" s="245" t="s">
        <v>12814</v>
      </c>
      <c r="AT5" s="245" t="s">
        <v>12815</v>
      </c>
      <c r="AU5" s="245"/>
      <c r="BR5" s="113" t="s">
        <v>13713</v>
      </c>
      <c r="BU5" s="372" t="s">
        <v>14972</v>
      </c>
      <c r="BX5" s="372" t="s">
        <v>14973</v>
      </c>
      <c r="BY5" s="378" t="e" cm="1">
        <f t="array" ref="BY5">INDEX(BW8:BW150,MATCH(1,--ISNUMBER(FIND(BY4, Z8:Z150)), 0))</f>
        <v>#N/A</v>
      </c>
      <c r="CB5" s="372" t="s">
        <v>14974</v>
      </c>
    </row>
    <row r="6" spans="1:81" ht="15.6" x14ac:dyDescent="0.3">
      <c r="A6" s="113">
        <v>6</v>
      </c>
      <c r="B6" s="120" t="s">
        <v>403</v>
      </c>
      <c r="C6" s="113" t="s">
        <v>12772</v>
      </c>
      <c r="D6" s="298" t="s">
        <v>1106</v>
      </c>
      <c r="E6" s="372" t="s">
        <v>15004</v>
      </c>
      <c r="R6" s="359" t="str">
        <f>IF((RIGHT(G6,3)="rời"),VLOOKUP(RIGHT(Q6,9),Khach_hang!$J$3:$K$3854,2,0),LEFT(Q6,7))</f>
        <v/>
      </c>
      <c r="S6" s="116"/>
      <c r="T6" s="116"/>
      <c r="U6" s="116"/>
      <c r="V6" s="116"/>
      <c r="W6" s="116"/>
      <c r="X6" s="116"/>
      <c r="Y6" s="116"/>
      <c r="Z6" s="317"/>
      <c r="AA6" s="116"/>
      <c r="AB6" s="371"/>
      <c r="AC6" s="116"/>
      <c r="AD6" s="116"/>
      <c r="AE6" s="116"/>
      <c r="AF6" s="116"/>
      <c r="AG6" s="116"/>
      <c r="AW6" s="113" t="s">
        <v>13174</v>
      </c>
      <c r="AX6" s="113" t="s">
        <v>13175</v>
      </c>
      <c r="AY6" s="113" t="s">
        <v>13176</v>
      </c>
      <c r="BR6" s="113" t="s">
        <v>13714</v>
      </c>
      <c r="BU6" s="372" t="s">
        <v>14975</v>
      </c>
      <c r="BV6" s="372" t="s">
        <v>14976</v>
      </c>
      <c r="BX6" s="372" t="s">
        <v>14977</v>
      </c>
      <c r="BY6" s="114" t="e" cm="1">
        <f t="array" ref="BY6">INDEX(R8:R150,MATCH(1,--ISNUMBER(FIND(BY4, Z8:Z150)), 0))</f>
        <v>#N/A</v>
      </c>
      <c r="BZ6" s="379"/>
      <c r="CB6" s="372" t="s">
        <v>14978</v>
      </c>
    </row>
    <row r="7" spans="1:81" ht="15.6" x14ac:dyDescent="0.3">
      <c r="A7" s="113">
        <v>7</v>
      </c>
      <c r="R7" s="293"/>
      <c r="S7" s="293"/>
      <c r="T7" s="293"/>
      <c r="U7" s="293"/>
      <c r="V7" s="293"/>
      <c r="W7" s="293"/>
      <c r="X7" s="293"/>
      <c r="Y7" s="293"/>
      <c r="Z7" s="317"/>
      <c r="AA7" s="293"/>
      <c r="AB7" s="293"/>
      <c r="AC7" s="293"/>
      <c r="AD7" s="293"/>
      <c r="AE7" s="293"/>
      <c r="AF7" s="293"/>
      <c r="AG7" s="293"/>
      <c r="BF7" s="113">
        <f>SUM(BF8:BF137)</f>
        <v>13</v>
      </c>
      <c r="BI7" s="320">
        <f>SUM(BI8:BI137)</f>
        <v>133576225.5</v>
      </c>
      <c r="BJ7" s="320">
        <f>SUM(BJ8:BJ137)</f>
        <v>0</v>
      </c>
      <c r="BK7" s="320">
        <f>SUM(BK8:BK137)</f>
        <v>109919527</v>
      </c>
      <c r="BL7" s="225"/>
      <c r="BM7" s="225"/>
      <c r="BR7" s="113" t="s">
        <v>14584</v>
      </c>
      <c r="BT7" s="347" t="s">
        <v>55</v>
      </c>
      <c r="BX7" s="372" t="s">
        <v>14979</v>
      </c>
      <c r="BY7" s="114" t="e" cm="1">
        <f t="array" ref="BY7">INDEX(AF8:AF150,MATCH(1,--ISNUMBER(FIND(BY4, Z8:Z150)), 0))</f>
        <v>#N/A</v>
      </c>
    </row>
    <row r="8" spans="1:81" ht="15.6" x14ac:dyDescent="0.3">
      <c r="A8" s="113">
        <v>8</v>
      </c>
      <c r="C8" t="s">
        <v>15121</v>
      </c>
      <c r="D8" t="s">
        <v>15121</v>
      </c>
      <c r="E8"/>
      <c r="F8"/>
      <c r="G8" s="113" t="str">
        <f>CONCATENATE(A8,C8)</f>
        <v>8Gỗ rời</v>
      </c>
      <c r="H8" s="113" t="str">
        <f t="shared" ref="H8:H63" si="0">IF((RIGHT(G8,3)="rời"),CONCATENATE(G8,"   + Người nhận:"),CONCATENATE(G8,"   + Trả cước:"))</f>
        <v>8Gỗ rời   + Người nhận:</v>
      </c>
      <c r="I8" s="113" t="str">
        <f t="shared" ref="I8:I39" si="1">CONCATENATE(G8,"   + Nâng gỗ")</f>
        <v>8Gỗ rời   + Nâng gỗ</v>
      </c>
      <c r="J8" s="113" t="str">
        <f t="shared" ref="J8:J39" si="2">CONCATENATE(G8,"   + Nơi nhận")</f>
        <v>8Gỗ rời   + Nơi nhận</v>
      </c>
      <c r="K8" s="113" t="str">
        <f t="shared" ref="K8:K39" si="3">IF((RIGHT(G8,3)="rời"),CONCATENATE(G8,"   + Nơi nhận:"),CONCATENATE(G8,"   + Nơi trả:"))</f>
        <v>8Gỗ rời   + Nơi nhận:</v>
      </c>
      <c r="L8" s="115" t="str">
        <f>IF((RIGHT(G8,3)="rời"),CONCATENATE(G8,"   + Đơn giá (đ/m3) :"),CONCATENATE(G8,"   + Tiền cước:"))</f>
        <v>8Gỗ rời   + Đơn giá (đ/m3) :</v>
      </c>
      <c r="M8" s="115" t="str">
        <f>IF((RIGHT(G8,3)="rời"),CONCATENATE(G8,"   + Khối lượng:"),CONCATENATE(G8,"   + Cont số:"))</f>
        <v>8Gỗ rời   + Khối lượng:</v>
      </c>
      <c r="N8" s="115" t="str">
        <f t="shared" ref="N8:N39" si="4">CONCATENATE(G8,"   + Tiền đường:")</f>
        <v>8Gỗ rời   + Tiền đường:</v>
      </c>
      <c r="O8" s="115" t="str">
        <f>CONCATENATE(G8,"   + Loại gỗ:")</f>
        <v>8Gỗ rời   + Loại gỗ:</v>
      </c>
      <c r="P8" s="115" t="str">
        <f>CONCATENATE(G8,"   + Tiền cước:")</f>
        <v>8Gỗ rời   + Tiền cước:</v>
      </c>
      <c r="Q8" s="113" t="str">
        <f>VLOOKUP(H8,$B$8:$E$870,3,0)</f>
        <v xml:space="preserve">   + Người nhận:</v>
      </c>
      <c r="R8" s="371" t="s">
        <v>427</v>
      </c>
      <c r="S8" s="225" t="str">
        <f>VLOOKUP(R8,[2]Khach_hangmoi!$A$3:$I$4325,2,0)</f>
        <v>Tuấn Phúc (HDHN) 0912766567</v>
      </c>
      <c r="T8" s="225" t="str">
        <f>IF(VLOOKUP(R8,[2]Khach_hangmoi!$A$3:$I$4325,5,0)=0,"",VLOOKUP(R8,[2]Khach_hangmoi!$A$3:$I$4325,5,0))</f>
        <v/>
      </c>
      <c r="U8" s="225" t="str">
        <f>VLOOKUP(R8,[2]Khach_hangmoi!$A$3:$I$4325,3,0)</f>
        <v>Hà Đông, Hà Nội</v>
      </c>
      <c r="V8" s="225"/>
      <c r="W8" s="225" t="str">
        <f>IF(IF(IFERROR(FIND("Cont đường dài",N8),-1)&gt;0,"Cont",VLOOKUP(I8,$B$8:$E$670,3,0))="Hoàng Sơn","HS",IF(IF(IFERROR(FIND("Cont đường dài",N8),-1)&gt;0,"Cont",VLOOKUP(I8,$B$8:$E$670,3,0))="Hiệp Phương","HP",IF(IFERROR(FIND("Cont đường dài",N8),-1)&gt;0,"Cont",VLOOKUP(I8,$B$8:$E$670,3,0))))</f>
        <v>HS</v>
      </c>
      <c r="X8" s="225" t="e">
        <f>VLOOKUP(Y8,Hanghoa!$B$3:$E$1914,2,0)</f>
        <v>#N/A</v>
      </c>
      <c r="Y8" s="225" t="str">
        <f>CONCATENATE("DKG&lt;-&gt;",VLOOKUP(K8,$B$8:$E$670,3,0))</f>
        <v>DKG&lt;-&gt;Bà Rịa Vũng Tàu</v>
      </c>
      <c r="Z8" s="373"/>
      <c r="AA8" s="225" t="str">
        <f>SUBSTITUTE(IF(IFERROR(FIND("Cont đường dài",N8),-1)&gt;0,MID(N8,FIND("Lô",N8),9),VLOOKUP(O8,$B$8:$E$670,3,0)),"Lô ","")</f>
        <v>Gỗ Tali tròn (Đại Lợi)</v>
      </c>
      <c r="AB8" s="225" t="str">
        <f>IFERROR(IF(FIND("x",AA8)=2,CONCATENATE("0",AA8),AA8),AA8)</f>
        <v>Gỗ Tali tròn (Đại Lợi)</v>
      </c>
      <c r="AC8" s="225"/>
      <c r="AD8" s="225" t="str">
        <f>SUBSTITUTE(CONCATENATE(VLOOKUP(M8,$B$8:$E$670,3,0),IFERROR(VLOOKUP(CONCATENATE(G8,"   + Lưu ý:"),$B$8:$E$670,3,0),"")),"   + Lưu ý:","")</f>
        <v>Chờ list</v>
      </c>
      <c r="AE8" s="244" t="e">
        <f>VALUE(IF(SUBSTITUTE(SUBSTITUTE(VLOOKUP(L8,$B$8:$E$670,3,0),",","")," đồng/cont","")-10000&lt;0,SUBSTITUTE(SUBSTITUTE(VLOOKUP(L8,$B$8:$E$670,3,0),",","")," đồng/cont","")*1000,SUBSTITUTE(SUBSTITUTE(VLOOKUP(L8,$B$8:$E$670,3,0),",","")," đồng/cont","")))</f>
        <v>#N/A</v>
      </c>
      <c r="AF8" s="311" t="s">
        <v>37</v>
      </c>
      <c r="AG8" s="244">
        <v>150000</v>
      </c>
      <c r="AH8" s="225" t="str">
        <f>IF(OR(W8="Cont",W8="CT"),VLOOKUP(R8,cthuc!$AQ$3:$AR$44,2,0),"")</f>
        <v/>
      </c>
      <c r="AI8" s="225" t="str">
        <f>CONCATENATE(VLOOKUP(P8,$B$8:$E$670,3,0),VLOOKUP(P8,$B$8:$E$670,4,0))</f>
        <v xml:space="preserve">   + Tiền cước:</v>
      </c>
      <c r="AJ8" s="225"/>
      <c r="AK8" s="225" t="str">
        <f>+AB8</f>
        <v>Gỗ Tali tròn (Đại Lợi)</v>
      </c>
      <c r="AL8" s="225" t="str">
        <f>CONCATENATE(G8,"   + Nơi lấy:")</f>
        <v>8Gỗ rời   + Nơi lấy:</v>
      </c>
      <c r="AM8" s="250">
        <f>+$E$1</f>
        <v>45490</v>
      </c>
      <c r="AN8" s="225" t="str">
        <f>IF(OR(W8="HS",W8="HP"),"",VLOOKUP(VLOOKUP(AL8,$B$8:$E$671,3,0),cthuc!$AO$3:$AP$142,2,0))</f>
        <v/>
      </c>
      <c r="AO8" s="225" t="str">
        <f>CONCATENATE("Cước vận chuyển đi ",VLOOKUP(K8,$B$8:$E$571,3,0))</f>
        <v>Cước vận chuyển đi Bà Rịa Vũng Tàu</v>
      </c>
      <c r="AP8" s="225" t="str">
        <f>+AD8</f>
        <v>Chờ list</v>
      </c>
      <c r="AQ8" s="225" t="e">
        <f>VLOOKUP(CONCATENATE(G8,"   + NVKD:"),$B$8:$E$671,3,0)</f>
        <v>#N/A</v>
      </c>
      <c r="AR8" s="225" t="str">
        <f>+W8</f>
        <v>HS</v>
      </c>
      <c r="AS8" s="225">
        <v>1</v>
      </c>
      <c r="AT8" s="251" t="e">
        <f>+AE8</f>
        <v>#N/A</v>
      </c>
      <c r="AV8" s="113" t="e">
        <f>VLOOKUP(BD8,giaroi!$D$6:$N$500,11,0)</f>
        <v>#N/A</v>
      </c>
      <c r="AW8" s="284">
        <f>IFERROR(VALUE(MID(AI8,SEARCH("Phụ thu",AI8)+8,8)*1000),0)/1000</f>
        <v>0</v>
      </c>
      <c r="AX8" s="113" t="s">
        <v>13177</v>
      </c>
      <c r="AY8" s="284" t="e">
        <f>IF(AR8="Cont",AT8,CONCATENATE("=",AT8,"+",AW8,"/",AX8))</f>
        <v>#N/A</v>
      </c>
      <c r="AZ8" s="225" t="str">
        <f>AF8</f>
        <v>RLL</v>
      </c>
      <c r="BA8" s="127">
        <f>+Z8</f>
        <v>0</v>
      </c>
      <c r="BB8" s="244">
        <f>AW8</f>
        <v>0</v>
      </c>
      <c r="BC8" s="225">
        <f>Z8</f>
        <v>0</v>
      </c>
      <c r="BD8" s="225" t="str">
        <f>+Y8</f>
        <v>DKG&lt;-&gt;Bà Rịa Vũng Tàu</v>
      </c>
      <c r="BE8" s="225" t="str">
        <f>CONCATENATE(G8,"   + Số lượng xe:")</f>
        <v>8Gỗ rời   + Số lượng xe:</v>
      </c>
      <c r="BF8" s="225">
        <f>IFERROR(IF(R8="XN",0,VLOOKUP(BE8,$B$8:$E$670,3,0)),0)</f>
        <v>3</v>
      </c>
      <c r="BG8" s="225" t="str">
        <f>W8</f>
        <v>HS</v>
      </c>
      <c r="BH8" s="225" t="str">
        <f t="shared" ref="BH8:BH9" si="5">AD8</f>
        <v>Chờ list</v>
      </c>
      <c r="BI8" s="321" t="str">
        <f t="shared" ref="BI8:BI9" si="6">IF(BA8=0,"",IF(BG8="Cont","",IF(BG8="CT","",BH8*0.97*AT8+BF8*BB8)))</f>
        <v/>
      </c>
      <c r="BJ8" s="284">
        <f>IFERROR(IF(AZ8="CGN",BI8,0),0)</f>
        <v>0</v>
      </c>
      <c r="BK8" s="284" t="str">
        <f t="shared" ref="BK8:BK71" si="7">IF(BJ8=0,BI8,0)</f>
        <v/>
      </c>
      <c r="BL8" s="225" t="str">
        <f>CONCATENATE(G8,"   + Người ra lệnh:")</f>
        <v>8Gỗ rời   + Người ra lệnh:</v>
      </c>
      <c r="BM8" s="225" t="str">
        <f>IFERROR(VLOOKUP(BL8,$B$8:$E$670,3,0),0)</f>
        <v>Đông: 0986439690</v>
      </c>
      <c r="BN8" s="113" t="str">
        <f>VLOOKUP(BM8,[1]Sheet1!$B$3:$C$604,2,0)</f>
        <v>Tuấn Phúc</v>
      </c>
      <c r="BO8" s="113" t="str">
        <f>IF(BF8&lt;&gt;0,CONCATENATE(BF8, " xe của ", BN8),"")</f>
        <v>3 xe của Tuấn Phúc</v>
      </c>
      <c r="BP8" s="351" t="str">
        <f t="shared" ref="BP8:BP71" ca="1" si="8">IF(BF8&lt;&gt;0,CONCATENATE(SUMIF($BN$8:$BN$147,BN8,$BF$8:$BF$134), " xe của ", BN8),"")</f>
        <v>3 xe của Tuấn Phúc</v>
      </c>
      <c r="BR8" s="372" t="str">
        <f>CONCATENATE("Số tiền dự thu: ",ROUND(BS9/1000000,0),"TR , Số thu thực tế :",ROUND(BS8/1000000,0),"TR")</f>
        <v>Số tiền dự thu: 50TR , Số thu thực tế :32TR</v>
      </c>
      <c r="BS8" s="320">
        <f>[3]Sheet2!$Q$6</f>
        <v>32350000</v>
      </c>
      <c r="BT8" s="113" t="str">
        <f>IF(AND(BK8&lt;&gt;"",BK8&lt;&gt;0),CONCATENATE(BT7,", ",BO8),BT7)</f>
        <v/>
      </c>
      <c r="BU8" s="113" t="e">
        <f>IFERROR(IF(OR(FIND("xẻ",AB8,1)&gt;0),100,97),IF(MOD(AD8,22)=0,100,97))</f>
        <v>#VALUE!</v>
      </c>
      <c r="BV8" s="380" t="e">
        <f>AD8*AE8*BU8/100</f>
        <v>#VALUE!</v>
      </c>
      <c r="BW8" s="376" t="e">
        <f>IF(ROUNDDOWN(ROUNDDOWN((BV8)/50000,0)*50000,6)-ROUNDDOWN((BV8)/50000,0)*50000=50000,ROUNDDOWN((BV8)/50000,0)*50000+50000,+ROUNDDOWN((BV8)/50000,0)*50000)</f>
        <v>#VALUE!</v>
      </c>
      <c r="BY8" s="114"/>
    </row>
    <row r="9" spans="1:81" ht="15.6" x14ac:dyDescent="0.3">
      <c r="A9" s="113">
        <v>9</v>
      </c>
      <c r="B9" s="113" t="str">
        <f>CONCATENATE($A$8,$C$8,C9)</f>
        <v>8Gỗ rời   + Nâng gỗ</v>
      </c>
      <c r="C9" t="s">
        <v>15055</v>
      </c>
      <c r="D9" t="s">
        <v>232</v>
      </c>
      <c r="E9"/>
      <c r="F9"/>
      <c r="G9" s="113" t="str">
        <f>CONCATENATE(A20,C20)</f>
        <v>20Gỗ rời</v>
      </c>
      <c r="H9" s="113" t="str">
        <f t="shared" si="0"/>
        <v>20Gỗ rời   + Người nhận:</v>
      </c>
      <c r="I9" s="113" t="str">
        <f t="shared" si="1"/>
        <v>20Gỗ rời   + Nâng gỗ</v>
      </c>
      <c r="J9" s="113" t="str">
        <f t="shared" si="2"/>
        <v>20Gỗ rời   + Nơi nhận</v>
      </c>
      <c r="K9" s="113" t="str">
        <f t="shared" si="3"/>
        <v>20Gỗ rời   + Nơi nhận:</v>
      </c>
      <c r="L9" s="115" t="str">
        <f t="shared" ref="L9:L40" si="9">IF((RIGHT(G9,3)="rời"),CONCATENATE(G9,"   + Đơn giá (đ/m3) :"),CONCATENATE(G9,"   + Tiền cước:"))</f>
        <v>20Gỗ rời   + Đơn giá (đ/m3) :</v>
      </c>
      <c r="M9" s="115" t="str">
        <f t="shared" ref="M9:M40" si="10">IF((RIGHT(G9,3)="rời"),CONCATENATE(G9,"   + Khối lượng:"),CONCATENATE(G9,"   + Cont số:"))</f>
        <v>20Gỗ rời   + Khối lượng:</v>
      </c>
      <c r="N9" s="115" t="str">
        <f t="shared" si="4"/>
        <v>20Gỗ rời   + Tiền đường:</v>
      </c>
      <c r="O9" s="115" t="str">
        <f t="shared" ref="O9:O40" si="11">CONCATENATE(G9,"   + Loại gỗ:")</f>
        <v>20Gỗ rời   + Loại gỗ:</v>
      </c>
      <c r="P9" s="115" t="str">
        <f t="shared" ref="P9:P40" si="12">CONCATENATE(G9,"   + Tiền cước:")</f>
        <v>20Gỗ rời   + Tiền cước:</v>
      </c>
      <c r="Q9" s="113" t="str">
        <f t="shared" ref="Q9:Q63" si="13">VLOOKUP(H9,$B$8:$E$870,3,0)</f>
        <v xml:space="preserve">   + Người nhận:</v>
      </c>
      <c r="R9" s="371" t="s">
        <v>299</v>
      </c>
      <c r="S9" s="225" t="str">
        <f>VLOOKUP(R9,[2]Khach_hangmoi!$A$3:$I$4325,2,0)</f>
        <v>Công ty TNHH Sản xuất và Thương mại Đức Tín (HDHN) 0913010067</v>
      </c>
      <c r="T9" s="225" t="str">
        <f>IF(VLOOKUP(R9,[2]Khach_hangmoi!$A$3:$I$4325,5,0)=0,"",VLOOKUP(R9,[2]Khach_hangmoi!$A$3:$I$4325,5,0))</f>
        <v>0500556797</v>
      </c>
      <c r="U9" s="225" t="str">
        <f>VLOOKUP(R9,[2]Khach_hangmoi!$A$3:$I$4325,3,0)</f>
        <v>Tổ dân phố Trung Bình, Phường Dương Nội, Quận Hà Đông, Hà Nội</v>
      </c>
      <c r="V9" s="225"/>
      <c r="W9" s="225" t="str">
        <f t="shared" ref="W9:W14" si="14">IF(IF(IFERROR(FIND("Cont đường dài",N9),-1)&gt;0,"Cont",VLOOKUP(I9,$B$8:$E$670,3,0))="Hoàng Sơn","HS",IF(IF(IFERROR(FIND("Cont đường dài",N9),-1)&gt;0,"Cont",VLOOKUP(I9,$B$8:$E$670,3,0))="Hiệp Phương","HP",IF(IFERROR(FIND("Cont đường dài",N9),-1)&gt;0,"Cont",VLOOKUP(I9,$B$8:$E$670,3,0))))</f>
        <v>HS</v>
      </c>
      <c r="X9" s="225" t="e">
        <f>VLOOKUP(Y9,Hanghoa!$B$3:$E$1914,2,0)</f>
        <v>#N/A</v>
      </c>
      <c r="Y9" s="225" t="str">
        <f t="shared" ref="Y9:Y16" si="15">CONCATENATE("DKG&lt;-&gt;",VLOOKUP(K9,$B$8:$E$670,3,0))</f>
        <v>DKG&lt;-&gt;Bình Định</v>
      </c>
      <c r="Z9" s="373"/>
      <c r="AA9" s="225" t="str">
        <f t="shared" ref="AA9:AA14" si="16">SUBSTITUTE(IF(IFERROR(FIND("Cont đường dài",N9),-1)&gt;0,MID(N9,FIND("Lô",N9),9),VLOOKUP(O9,$B$8:$E$670,3,0)),"Lô ","")</f>
        <v>Gỗ Pachy tròn (Phú Lân)</v>
      </c>
      <c r="AB9" s="225" t="str">
        <f t="shared" ref="AB9:AB14" si="17">IFERROR(IF(FIND("x",AA9)=2,CONCATENATE("0",AA9),AA9),AA9)</f>
        <v>Gỗ Pachy tròn (Phú Lân)</v>
      </c>
      <c r="AC9" s="225"/>
      <c r="AD9" s="225" t="str">
        <f t="shared" ref="AD9" si="18">SUBSTITUTE(CONCATENATE(VLOOKUP(M9,$B$8:$E$670,3,0),IFERROR(VLOOKUP(CONCATENATE(G9,"   + Lưu ý:"),$B$8:$E$670,3,0),"")),"   + Lưu ý:","")</f>
        <v>Chờ list</v>
      </c>
      <c r="AE9" s="244" t="e">
        <f t="shared" ref="AE9:AE13" si="19">VALUE(IF(SUBSTITUTE(SUBSTITUTE(VLOOKUP(L9,$B$8:$E$670,3,0),",","")," đồng/cont","")-10000&lt;0,SUBSTITUTE(SUBSTITUTE(VLOOKUP(L9,$B$8:$E$670,3,0),",","")," đồng/cont","")*1000,SUBSTITUTE(SUBSTITUTE(VLOOKUP(L9,$B$8:$E$670,3,0),",","")," đồng/cont","")))</f>
        <v>#N/A</v>
      </c>
      <c r="AF9" s="311" t="str">
        <f t="shared" ref="AF9:AF14" si="20">IF(VLOOKUP(CONCATENATE(G9," "),$B$8:$E$670,3,0)="Thu ngay","CGN",IF(VLOOKUP(CONCATENATE(G9," "),$B$8:$E$670,3,0)="Chủ gỗ trả cước","CGL",VLOOKUP(CONCATENATE(G9," "),$B$8:$E$670,3,0)))</f>
        <v>Đức Tín trả tiền xe ngoài</v>
      </c>
      <c r="AG9" s="244" t="e">
        <f t="shared" ref="AG9:AG14" si="21">VALUE(IF(W9="Cont",SUBSTITUTE(SUBSTITUTE(VLOOKUP(N9,$B$8:$E$670,3,0),",","")," đồng/xe",""),SUBSTITUTE(VLOOKUP(N9,$B$8:$E$370,3,0),",","")+100000))</f>
        <v>#VALUE!</v>
      </c>
      <c r="AH9" s="225" t="str">
        <f>IF(OR(W9="Cont",W9="CT"),VLOOKUP(R9,cthuc!$AQ$3:$AR$44,2,0),"")</f>
        <v/>
      </c>
      <c r="AI9" s="225" t="str">
        <f t="shared" ref="AI9:AI14" si="22">CONCATENATE(VLOOKUP(P9,$B$8:$E$670,3,0),VLOOKUP(P9,$B$8:$E$670,4,0))</f>
        <v xml:space="preserve">   + Tiền cước:</v>
      </c>
      <c r="AJ9" s="225"/>
      <c r="AK9" s="225" t="str">
        <f t="shared" ref="AK9:AK15" si="23">+AB9</f>
        <v>Gỗ Pachy tròn (Phú Lân)</v>
      </c>
      <c r="AL9" s="225" t="str">
        <f t="shared" ref="AL9:AL15" si="24">CONCATENATE(G9,"   + Nơi lấy:")</f>
        <v>20Gỗ rời   + Nơi lấy:</v>
      </c>
      <c r="AM9" s="250">
        <f t="shared" ref="AM9:AM63" si="25">+$E$1</f>
        <v>45490</v>
      </c>
      <c r="AN9" s="225" t="str">
        <f>IF(OR(W9="HS",W9="HP"),"",VLOOKUP(VLOOKUP(AL9,$B$8:$E$671,3,0),cthuc!$AO$3:$AP$142,2,0))</f>
        <v/>
      </c>
      <c r="AO9" s="225" t="str">
        <f t="shared" ref="AO9:AO54" si="26">CONCATENATE("Cước vận chuyển đi ",VLOOKUP(K9,$B$8:$E$571,3,0))</f>
        <v>Cước vận chuyển đi Bình Định</v>
      </c>
      <c r="AP9" s="225" t="str">
        <f t="shared" ref="AP9:AP15" si="27">+AD9</f>
        <v>Chờ list</v>
      </c>
      <c r="AQ9" s="225" t="e">
        <f t="shared" ref="AQ9:AQ46" si="28">VLOOKUP(CONCATENATE(G9,"   + NVKD:"),$B$8:$E$671,3,0)</f>
        <v>#N/A</v>
      </c>
      <c r="AR9" s="225" t="str">
        <f t="shared" ref="AR9:AR15" si="29">+W9</f>
        <v>HS</v>
      </c>
      <c r="AS9" s="225">
        <v>1</v>
      </c>
      <c r="AT9" s="251" t="e">
        <f t="shared" ref="AT9:AT46" si="30">+AE9</f>
        <v>#N/A</v>
      </c>
      <c r="AV9" s="113" t="e">
        <f>VLOOKUP(BD9,giaroi!$D$6:$N$500,11,0)</f>
        <v>#N/A</v>
      </c>
      <c r="AW9" s="284">
        <f t="shared" ref="AW9:AW72" si="31">IFERROR(VALUE(MID(AI9,SEARCH("Phụ thu",AI9)+8,8)*1000),0)/1000</f>
        <v>0</v>
      </c>
      <c r="AX9" s="113" t="s">
        <v>13178</v>
      </c>
      <c r="AY9" s="284" t="e">
        <f t="shared" ref="AY9:AY72" si="32">IF(AR9="Cont",AT9,CONCATENATE("=",AT9,"+",AW9,"/",AX9))</f>
        <v>#N/A</v>
      </c>
      <c r="AZ9" s="225" t="str">
        <f t="shared" ref="AZ9" si="33">AF9</f>
        <v>Đức Tín trả tiền xe ngoài</v>
      </c>
      <c r="BA9" s="127">
        <f t="shared" ref="BA9" si="34">+Z9</f>
        <v>0</v>
      </c>
      <c r="BB9" s="244">
        <f t="shared" ref="BB9" si="35">AW9</f>
        <v>0</v>
      </c>
      <c r="BC9" s="225">
        <f t="shared" ref="BC9" si="36">Z9</f>
        <v>0</v>
      </c>
      <c r="BD9" s="225" t="str">
        <f t="shared" ref="BD9" si="37">+Y9</f>
        <v>DKG&lt;-&gt;Bình Định</v>
      </c>
      <c r="BE9" s="225" t="str">
        <f t="shared" ref="BE9" si="38">CONCATENATE(G9,"   + Số lượng xe:")</f>
        <v>20Gỗ rời   + Số lượng xe:</v>
      </c>
      <c r="BF9" s="225"/>
      <c r="BG9" s="225" t="str">
        <f t="shared" ref="BG9" si="39">W9</f>
        <v>HS</v>
      </c>
      <c r="BH9" s="225" t="str">
        <f t="shared" si="5"/>
        <v>Chờ list</v>
      </c>
      <c r="BI9" s="321" t="str">
        <f t="shared" si="6"/>
        <v/>
      </c>
      <c r="BJ9" s="284">
        <f t="shared" ref="BJ9:BJ72" si="40">IFERROR(IF(AZ9="CGN",BI9,0),0)</f>
        <v>0</v>
      </c>
      <c r="BK9" s="284" t="str">
        <f t="shared" si="7"/>
        <v/>
      </c>
      <c r="BL9" s="225" t="str">
        <f t="shared" ref="BL9:BL72" si="41">CONCATENATE(G9,"   + Người ra lệnh:")</f>
        <v>20Gỗ rời   + Người ra lệnh:</v>
      </c>
      <c r="BM9" s="225" t="str">
        <f t="shared" ref="BM9:BM72" si="42">IFERROR(VLOOKUP(BL9,$B$8:$E$670,3,0),0)</f>
        <v>Hưng: 0966689440</v>
      </c>
      <c r="BN9" s="113" t="str">
        <f>VLOOKUP(BM9,[1]Sheet1!$B$3:$C$604,2,0)</f>
        <v>Đức Tín</v>
      </c>
      <c r="BO9" s="113" t="str">
        <f t="shared" ref="BO9:BO72" si="43">IF(BF9&lt;&gt;0,CONCATENATE(BF9, " xe của ", BN9),"")</f>
        <v/>
      </c>
      <c r="BP9" s="351" t="str">
        <f t="shared" si="8"/>
        <v/>
      </c>
      <c r="BR9" s="113" t="str">
        <f>BR12</f>
        <v>Dư nợ : 1,2 tỉ</v>
      </c>
      <c r="BS9" s="320">
        <f>[4]KH.!$BJ$7</f>
        <v>50213601.999999993</v>
      </c>
      <c r="BT9" s="113" t="str">
        <f t="shared" ref="BT9:BT72" si="44">IF(AND(BK9&lt;&gt;"",BK9&lt;&gt;0),CONCATENATE(BT8,", ",BO9),BT8)</f>
        <v/>
      </c>
      <c r="BU9" s="113" t="e">
        <f t="shared" ref="BU9:BU72" si="45">IFERROR(IF(OR(FIND("xẻ",AB9,1)&gt;0),100,97),IF(MOD(AD9,22)=0,100,97))</f>
        <v>#VALUE!</v>
      </c>
      <c r="BV9" s="380" t="e">
        <f t="shared" ref="BV9:BV72" si="46">AD9*AE9*BU9/100</f>
        <v>#VALUE!</v>
      </c>
      <c r="BW9" s="376" t="e">
        <f t="shared" ref="BW9:BW72" si="47">IF(ROUNDDOWN(ROUNDDOWN((BV9)/50000,0)*50000,6)-ROUNDDOWN((BV9)/50000,0)*50000=50000,ROUNDDOWN((BV9)/50000,0)*50000+50000,+ROUNDDOWN((BV9)/50000,0)*50000)</f>
        <v>#VALUE!</v>
      </c>
    </row>
    <row r="10" spans="1:81" ht="15.6" x14ac:dyDescent="0.3">
      <c r="A10" s="113">
        <v>10</v>
      </c>
      <c r="B10" s="113" t="str">
        <f t="shared" ref="B10:B19" si="48">CONCATENATE($A$8,$C$8,C10)</f>
        <v>8Gỗ rời   + Người ra lệnh:</v>
      </c>
      <c r="C10" t="s">
        <v>15056</v>
      </c>
      <c r="D10" t="s">
        <v>15057</v>
      </c>
      <c r="E10"/>
      <c r="F10"/>
      <c r="G10" s="113" t="str">
        <f>CONCATENATE(A32,C32)</f>
        <v>32Gỗ rời</v>
      </c>
      <c r="H10" s="113" t="str">
        <f t="shared" si="0"/>
        <v>32Gỗ rời   + Người nhận:</v>
      </c>
      <c r="I10" s="113" t="str">
        <f t="shared" si="1"/>
        <v>32Gỗ rời   + Nâng gỗ</v>
      </c>
      <c r="J10" s="113" t="str">
        <f t="shared" si="2"/>
        <v>32Gỗ rời   + Nơi nhận</v>
      </c>
      <c r="K10" s="113" t="str">
        <f t="shared" si="3"/>
        <v>32Gỗ rời   + Nơi nhận:</v>
      </c>
      <c r="L10" s="115" t="str">
        <f t="shared" si="9"/>
        <v>32Gỗ rời   + Đơn giá (đ/m3) :</v>
      </c>
      <c r="M10" s="115" t="str">
        <f t="shared" si="10"/>
        <v>32Gỗ rời   + Khối lượng:</v>
      </c>
      <c r="N10" s="115" t="str">
        <f t="shared" si="4"/>
        <v>32Gỗ rời   + Tiền đường:</v>
      </c>
      <c r="O10" s="115" t="str">
        <f t="shared" si="11"/>
        <v>32Gỗ rời   + Loại gỗ:</v>
      </c>
      <c r="P10" s="115" t="str">
        <f t="shared" si="12"/>
        <v>32Gỗ rời   + Tiền cước:</v>
      </c>
      <c r="Q10" s="113" t="str">
        <f t="shared" si="13"/>
        <v>Chú Minh: 0948248047</v>
      </c>
      <c r="R10" s="225" t="str">
        <f>R9</f>
        <v>CG00013</v>
      </c>
      <c r="S10" s="225" t="str">
        <f>Q10</f>
        <v>Chú Minh: 0948248047</v>
      </c>
      <c r="T10" s="225" t="str">
        <f>IF(VLOOKUP(R10,[2]Khach_hangmoi!$A$3:$I$4325,5,0)=0,"",VLOOKUP(R10,[2]Khach_hangmoi!$A$3:$I$4325,5,0))</f>
        <v>0500556797</v>
      </c>
      <c r="U10" s="225" t="str">
        <f>VLOOKUP(R10,[2]Khach_hangmoi!$A$3:$I$4325,3,0)</f>
        <v>Tổ dân phố Trung Bình, Phường Dương Nội, Quận Hà Đông, Hà Nội</v>
      </c>
      <c r="V10" s="225"/>
      <c r="W10" s="225" t="str">
        <f t="shared" si="14"/>
        <v>HS</v>
      </c>
      <c r="X10" s="225" t="str">
        <f>VLOOKUP(Y10,Hanghoa!$B$3:$E$1914,2,0)</f>
        <v>YY.ND.DKG</v>
      </c>
      <c r="Y10" s="225" t="str">
        <f t="shared" si="15"/>
        <v>DKG&lt;-&gt;Ý Yên, Nam Định</v>
      </c>
      <c r="Z10" s="300" t="s">
        <v>15125</v>
      </c>
      <c r="AA10" s="225" t="str">
        <f t="shared" si="16"/>
        <v>Gỗ padouk tròn (Phú Lân)</v>
      </c>
      <c r="AB10" s="225" t="str">
        <f t="shared" si="17"/>
        <v>Gỗ padouk tròn (Phú Lân)</v>
      </c>
      <c r="AC10" s="225"/>
      <c r="AD10" s="225">
        <v>123.846</v>
      </c>
      <c r="AE10" s="244">
        <f t="shared" si="19"/>
        <v>450000</v>
      </c>
      <c r="AF10" s="311" t="s">
        <v>37</v>
      </c>
      <c r="AG10" s="244">
        <f t="shared" si="21"/>
        <v>2650000</v>
      </c>
      <c r="AH10" s="225" t="str">
        <f>IF(OR(W10="Cont",W10="CT"),VLOOKUP(R10,cthuc!$AQ$3:$AR$44,2,0),"")</f>
        <v/>
      </c>
      <c r="AI10" s="225" t="str">
        <f t="shared" si="22"/>
        <v xml:space="preserve">54,050,000đồng </v>
      </c>
      <c r="AJ10" s="225"/>
      <c r="AK10" s="225" t="str">
        <f t="shared" si="23"/>
        <v>Gỗ padouk tròn (Phú Lân)</v>
      </c>
      <c r="AL10" s="225" t="str">
        <f t="shared" si="24"/>
        <v>32Gỗ rời   + Nơi lấy:</v>
      </c>
      <c r="AM10" s="250">
        <f t="shared" si="25"/>
        <v>45490</v>
      </c>
      <c r="AN10" s="225" t="str">
        <f>IF(OR(W10="HS",W10="HP"),"",VLOOKUP(VLOOKUP(AL10,$B$8:$E$671,3,0),cthuc!$AO$3:$AP$142,2,0))</f>
        <v/>
      </c>
      <c r="AO10" s="225" t="str">
        <f t="shared" si="26"/>
        <v>Cước vận chuyển đi Ý Yên, Nam Định</v>
      </c>
      <c r="AP10" s="225">
        <f t="shared" si="27"/>
        <v>123.846</v>
      </c>
      <c r="AQ10" s="225" t="e">
        <f t="shared" si="28"/>
        <v>#N/A</v>
      </c>
      <c r="AR10" s="225" t="str">
        <f t="shared" si="29"/>
        <v>HS</v>
      </c>
      <c r="AS10" s="225">
        <v>1</v>
      </c>
      <c r="AT10" s="251">
        <f t="shared" si="30"/>
        <v>450000</v>
      </c>
      <c r="AV10" s="113">
        <f>VLOOKUP(BD10,giaroi!$D$6:$N$500,11,0)</f>
        <v>1100000</v>
      </c>
      <c r="AW10" s="284">
        <f t="shared" si="31"/>
        <v>0</v>
      </c>
      <c r="AX10" s="113" t="s">
        <v>13179</v>
      </c>
      <c r="AY10" s="284" t="str">
        <f t="shared" si="32"/>
        <v>=450000+0/V13</v>
      </c>
      <c r="AZ10" s="225" t="str">
        <f t="shared" ref="AZ10:AZ73" si="49">AF10</f>
        <v>RLL</v>
      </c>
      <c r="BA10" s="127" t="str">
        <f t="shared" ref="BA10:BA73" si="50">+Z10</f>
        <v>13568 11732 12812 11200</v>
      </c>
      <c r="BB10" s="244">
        <f t="shared" ref="BB10:BB73" si="51">AW10</f>
        <v>0</v>
      </c>
      <c r="BC10" s="225" t="str">
        <f t="shared" ref="BC10:BC73" si="52">Z10</f>
        <v>13568 11732 12812 11200</v>
      </c>
      <c r="BD10" s="225" t="str">
        <f t="shared" ref="BD10:BD73" si="53">+Y10</f>
        <v>DKG&lt;-&gt;Ý Yên, Nam Định</v>
      </c>
      <c r="BE10" s="225" t="str">
        <f t="shared" ref="BE10:BE73" si="54">CONCATENATE(G10,"   + Số lượng xe:")</f>
        <v>32Gỗ rời   + Số lượng xe:</v>
      </c>
      <c r="BF10" s="225">
        <f t="shared" ref="BF10:BF72" si="55">IFERROR(IF(R10="XN",0,VLOOKUP(BE10,$B$8:$E$670,3,0)),0)</f>
        <v>4</v>
      </c>
      <c r="BG10" s="225" t="str">
        <f t="shared" ref="BG10:BG73" si="56">W10</f>
        <v>HS</v>
      </c>
      <c r="BH10" s="225">
        <f t="shared" ref="BH10:BH73" si="57">AD10</f>
        <v>123.846</v>
      </c>
      <c r="BI10" s="321">
        <f t="shared" ref="BI10:BI73" si="58">IF(BA10=0,"",IF(BG10="Cont","",IF(BG10="CT","",BH10*0.97*AT10+BF10*BB10)))</f>
        <v>54058779</v>
      </c>
      <c r="BJ10" s="284">
        <f t="shared" si="40"/>
        <v>0</v>
      </c>
      <c r="BK10" s="284">
        <f t="shared" si="7"/>
        <v>54058779</v>
      </c>
      <c r="BL10" s="225" t="str">
        <f t="shared" si="41"/>
        <v>32Gỗ rời   + Người ra lệnh:</v>
      </c>
      <c r="BM10" s="225" t="str">
        <f t="shared" si="42"/>
        <v>Hưng: 0966689440</v>
      </c>
      <c r="BN10" s="113" t="str">
        <f>VLOOKUP(BM10,[1]Sheet1!$B$3:$C$604,2,0)</f>
        <v>Đức Tín</v>
      </c>
      <c r="BO10" s="113" t="str">
        <f t="shared" si="43"/>
        <v>4 xe của Đức Tín</v>
      </c>
      <c r="BP10" s="351" t="str">
        <f t="shared" ca="1" si="8"/>
        <v>8 xe của Đức Tín</v>
      </c>
      <c r="BT10" s="113" t="str">
        <f t="shared" si="44"/>
        <v>, 4 xe của Đức Tín</v>
      </c>
      <c r="BU10" s="113">
        <f t="shared" si="45"/>
        <v>97</v>
      </c>
      <c r="BV10" s="380">
        <f t="shared" si="46"/>
        <v>54058779</v>
      </c>
      <c r="BW10" s="376">
        <f t="shared" si="47"/>
        <v>54050000</v>
      </c>
    </row>
    <row r="11" spans="1:81" ht="16.2" thickBot="1" x14ac:dyDescent="0.35">
      <c r="A11" s="113">
        <v>11</v>
      </c>
      <c r="B11" s="113" t="str">
        <f t="shared" si="48"/>
        <v>8Gỗ rời   + Loại gỗ:</v>
      </c>
      <c r="C11" t="s">
        <v>15058</v>
      </c>
      <c r="D11" t="s">
        <v>15059</v>
      </c>
      <c r="E11"/>
      <c r="F11"/>
      <c r="G11" s="113" t="str">
        <f>CONCATENATE(A44,C44)</f>
        <v>44+ Nâng gỗ</v>
      </c>
      <c r="H11" s="113" t="str">
        <f t="shared" si="0"/>
        <v>44+ Nâng gỗ   + Trả cước:</v>
      </c>
      <c r="I11" s="113" t="str">
        <f t="shared" si="1"/>
        <v>44+ Nâng gỗ   + Nâng gỗ</v>
      </c>
      <c r="J11" s="113" t="str">
        <f t="shared" si="2"/>
        <v>44+ Nâng gỗ   + Nơi nhận</v>
      </c>
      <c r="K11" s="113" t="str">
        <f t="shared" si="3"/>
        <v>44+ Nâng gỗ   + Nơi trả:</v>
      </c>
      <c r="L11" s="115" t="str">
        <f t="shared" si="9"/>
        <v>44+ Nâng gỗ   + Tiền cước:</v>
      </c>
      <c r="M11" s="115" t="str">
        <f t="shared" si="10"/>
        <v>44+ Nâng gỗ   + Cont số:</v>
      </c>
      <c r="N11" s="115" t="str">
        <f t="shared" si="4"/>
        <v>44+ Nâng gỗ   + Tiền đường:</v>
      </c>
      <c r="O11" s="115" t="str">
        <f t="shared" si="11"/>
        <v>44+ Nâng gỗ   + Loại gỗ:</v>
      </c>
      <c r="P11" s="115" t="str">
        <f t="shared" si="12"/>
        <v>44+ Nâng gỗ   + Tiền cước:</v>
      </c>
      <c r="Q11" s="113" t="e">
        <f t="shared" si="13"/>
        <v>#N/A</v>
      </c>
      <c r="R11" s="371" t="s">
        <v>299</v>
      </c>
      <c r="S11" s="371" t="s">
        <v>15141</v>
      </c>
      <c r="T11" s="225" t="str">
        <f>IF(VLOOKUP(R11,[2]Khach_hangmoi!$A$3:$I$4325,5,0)=0,"",VLOOKUP(R11,[2]Khach_hangmoi!$A$3:$I$4325,5,0))</f>
        <v>0500556797</v>
      </c>
      <c r="U11" s="225" t="str">
        <f>VLOOKUP(R11,[2]Khach_hangmoi!$A$3:$I$4325,3,0)</f>
        <v>Tổ dân phố Trung Bình, Phường Dương Nội, Quận Hà Đông, Hà Nội</v>
      </c>
      <c r="V11" s="225"/>
      <c r="W11" s="371" t="s">
        <v>12765</v>
      </c>
      <c r="X11" s="225" t="str">
        <f>VLOOKUP(Y11,Hanghoa!$B$3:$E$1914,2,0)</f>
        <v>YY.ND.DKG</v>
      </c>
      <c r="Y11" s="225" t="str">
        <f>Y10</f>
        <v>DKG&lt;-&gt;Ý Yên, Nam Định</v>
      </c>
      <c r="Z11" s="373" t="s">
        <v>15126</v>
      </c>
      <c r="AA11" s="225" t="str">
        <f t="shared" si="16"/>
        <v>Gỗ padouk tròn (Phú Lân)</v>
      </c>
      <c r="AB11" s="225" t="str">
        <f t="shared" si="17"/>
        <v>Gỗ padouk tròn (Phú Lân)</v>
      </c>
      <c r="AC11" s="225"/>
      <c r="AD11" s="225">
        <v>104.511</v>
      </c>
      <c r="AE11" s="244">
        <f>+AE10</f>
        <v>450000</v>
      </c>
      <c r="AF11" s="311" t="str">
        <f t="shared" si="20"/>
        <v>CGL</v>
      </c>
      <c r="AG11" s="244">
        <v>2650000</v>
      </c>
      <c r="AH11" s="225" t="str">
        <f>IF(OR(W11="Cont",W11="CT"),VLOOKUP(R11,cthuc!$AQ$3:$AR$44,2,0),"")</f>
        <v/>
      </c>
      <c r="AI11" s="225" t="str">
        <f t="shared" si="22"/>
        <v xml:space="preserve">   + Tiền cước:</v>
      </c>
      <c r="AJ11" s="225"/>
      <c r="AK11" s="225" t="str">
        <f t="shared" si="23"/>
        <v>Gỗ padouk tròn (Phú Lân)</v>
      </c>
      <c r="AL11" s="225" t="str">
        <f t="shared" si="24"/>
        <v>44+ Nâng gỗ   + Nơi lấy:</v>
      </c>
      <c r="AM11" s="250">
        <f t="shared" si="25"/>
        <v>45490</v>
      </c>
      <c r="AN11" s="225" t="str">
        <f>IF(OR(W11="HS",W11="HP"),"",VLOOKUP(VLOOKUP(AL11,$B$8:$E$671,3,0),cthuc!$AO$3:$AP$142,2,0))</f>
        <v/>
      </c>
      <c r="AO11" s="225" t="e">
        <f t="shared" si="26"/>
        <v>#N/A</v>
      </c>
      <c r="AP11" s="225">
        <f t="shared" si="27"/>
        <v>104.511</v>
      </c>
      <c r="AQ11" s="225" t="e">
        <f t="shared" si="28"/>
        <v>#N/A</v>
      </c>
      <c r="AR11" s="225" t="str">
        <f t="shared" si="29"/>
        <v>HS</v>
      </c>
      <c r="AS11" s="225">
        <v>1</v>
      </c>
      <c r="AT11" s="251">
        <f t="shared" si="30"/>
        <v>450000</v>
      </c>
      <c r="AV11" s="113">
        <f>VLOOKUP(BD11,giaroi!$D$6:$N$500,11,0)</f>
        <v>1100000</v>
      </c>
      <c r="AW11" s="284">
        <f t="shared" si="31"/>
        <v>0</v>
      </c>
      <c r="AX11" s="113" t="s">
        <v>13180</v>
      </c>
      <c r="AY11" s="284" t="str">
        <f t="shared" si="32"/>
        <v>=450000+0/V14</v>
      </c>
      <c r="AZ11" s="225" t="str">
        <f t="shared" si="49"/>
        <v>CGL</v>
      </c>
      <c r="BA11" s="127" t="str">
        <f t="shared" si="50"/>
        <v>12874 13959 11856</v>
      </c>
      <c r="BB11" s="244">
        <f t="shared" si="51"/>
        <v>0</v>
      </c>
      <c r="BC11" s="225" t="str">
        <f t="shared" si="52"/>
        <v>12874 13959 11856</v>
      </c>
      <c r="BD11" s="225" t="str">
        <f t="shared" si="53"/>
        <v>DKG&lt;-&gt;Ý Yên, Nam Định</v>
      </c>
      <c r="BE11" s="225" t="str">
        <f t="shared" si="54"/>
        <v>44+ Nâng gỗ   + Số lượng xe:</v>
      </c>
      <c r="BF11" s="225">
        <f t="shared" si="55"/>
        <v>3</v>
      </c>
      <c r="BG11" s="225" t="str">
        <f t="shared" si="56"/>
        <v>HS</v>
      </c>
      <c r="BH11" s="225">
        <f t="shared" si="57"/>
        <v>104.511</v>
      </c>
      <c r="BI11" s="321">
        <f t="shared" si="58"/>
        <v>45619051.5</v>
      </c>
      <c r="BJ11" s="284">
        <f t="shared" si="40"/>
        <v>0</v>
      </c>
      <c r="BK11" s="284">
        <f t="shared" si="7"/>
        <v>45619051.5</v>
      </c>
      <c r="BL11" s="225" t="str">
        <f t="shared" si="41"/>
        <v>44+ Nâng gỗ   + Người ra lệnh:</v>
      </c>
      <c r="BM11" s="225" t="str">
        <f t="shared" si="42"/>
        <v>Hưng: 0966689440</v>
      </c>
      <c r="BN11" s="113" t="str">
        <f>VLOOKUP(BM11,[1]Sheet1!$B$3:$C$604,2,0)</f>
        <v>Đức Tín</v>
      </c>
      <c r="BO11" s="113" t="str">
        <f t="shared" si="43"/>
        <v>3 xe của Đức Tín</v>
      </c>
      <c r="BP11" s="351" t="str">
        <f t="shared" ca="1" si="8"/>
        <v>8 xe của Đức Tín</v>
      </c>
      <c r="BT11" s="113" t="str">
        <f t="shared" si="44"/>
        <v>, 4 xe của Đức Tín, 3 xe của Đức Tín</v>
      </c>
      <c r="BU11" s="113">
        <f t="shared" si="45"/>
        <v>97</v>
      </c>
      <c r="BV11" s="380">
        <f t="shared" si="46"/>
        <v>45619051.5</v>
      </c>
      <c r="BW11" s="376">
        <f t="shared" si="47"/>
        <v>45600000</v>
      </c>
    </row>
    <row r="12" spans="1:81" ht="16.2" thickBot="1" x14ac:dyDescent="0.35">
      <c r="A12" s="113">
        <v>12</v>
      </c>
      <c r="B12" s="113" t="str">
        <f t="shared" si="48"/>
        <v>8Gỗ rời   + Khối lượng:</v>
      </c>
      <c r="C12" t="s">
        <v>15060</v>
      </c>
      <c r="D12" t="s">
        <v>15061</v>
      </c>
      <c r="E12"/>
      <c r="F12"/>
      <c r="G12" s="113" t="str">
        <f>CONCATENATE(A56,C56)</f>
        <v>56Gỗ rời</v>
      </c>
      <c r="H12" s="113" t="str">
        <f t="shared" si="0"/>
        <v>56Gỗ rời   + Người nhận:</v>
      </c>
      <c r="I12" s="113" t="str">
        <f t="shared" si="1"/>
        <v>56Gỗ rời   + Nâng gỗ</v>
      </c>
      <c r="J12" s="113" t="str">
        <f t="shared" si="2"/>
        <v>56Gỗ rời   + Nơi nhận</v>
      </c>
      <c r="K12" s="113" t="str">
        <f t="shared" si="3"/>
        <v>56Gỗ rời   + Nơi nhận:</v>
      </c>
      <c r="L12" s="115" t="str">
        <f t="shared" si="9"/>
        <v>56Gỗ rời   + Đơn giá (đ/m3) :</v>
      </c>
      <c r="M12" s="115" t="str">
        <f t="shared" si="10"/>
        <v>56Gỗ rời   + Khối lượng:</v>
      </c>
      <c r="N12" s="115" t="str">
        <f t="shared" si="4"/>
        <v>56Gỗ rời   + Tiền đường:</v>
      </c>
      <c r="O12" s="115" t="str">
        <f t="shared" si="11"/>
        <v>56Gỗ rời   + Loại gỗ:</v>
      </c>
      <c r="P12" s="115" t="str">
        <f t="shared" si="12"/>
        <v>56Gỗ rời   + Tiền cước:</v>
      </c>
      <c r="Q12" s="113" t="str">
        <f t="shared" si="13"/>
        <v>Vũ Đình Khải : 0973034055</v>
      </c>
      <c r="R12" s="371" t="s">
        <v>299</v>
      </c>
      <c r="S12" s="225" t="str">
        <f t="shared" ref="S12" si="59">Q12</f>
        <v>Vũ Đình Khải : 0973034055</v>
      </c>
      <c r="T12" s="225" t="str">
        <f>IF(VLOOKUP(R12,[2]Khach_hangmoi!$A$3:$I$4325,5,0)=0,"",VLOOKUP(R12,[2]Khach_hangmoi!$A$3:$I$4325,5,0))</f>
        <v>0500556797</v>
      </c>
      <c r="U12" s="225" t="str">
        <f>VLOOKUP(R12,[2]Khach_hangmoi!$A$3:$I$4325,3,0)</f>
        <v>Tổ dân phố Trung Bình, Phường Dương Nội, Quận Hà Đông, Hà Nội</v>
      </c>
      <c r="V12" s="225"/>
      <c r="W12" s="225" t="str">
        <f t="shared" si="14"/>
        <v>HS</v>
      </c>
      <c r="X12" s="225" t="str">
        <f>VLOOKUP(Y12,Hanghoa!$B$3:$E$1914,2,0)</f>
        <v>QG.HD.DKG</v>
      </c>
      <c r="Y12" s="225" t="str">
        <f t="shared" si="15"/>
        <v>DKG&lt;-&gt;Quán Gỏi, Hải Dương</v>
      </c>
      <c r="Z12" s="393">
        <v>13958</v>
      </c>
      <c r="AA12" s="225" t="str">
        <f t="shared" si="16"/>
        <v>Gỗ padouk tròn (Phú Lân) + pachy tròn (ghép Namtraco)</v>
      </c>
      <c r="AB12" s="225" t="str">
        <f t="shared" si="17"/>
        <v>Gỗ padouk tròn (Phú Lân) + pachy tròn (ghép Namtraco)</v>
      </c>
      <c r="AC12" s="225">
        <v>6</v>
      </c>
      <c r="AD12" s="225">
        <v>30.167000000000002</v>
      </c>
      <c r="AE12" s="244">
        <f t="shared" si="19"/>
        <v>350000</v>
      </c>
      <c r="AF12" s="311" t="str">
        <f t="shared" si="20"/>
        <v>CGL</v>
      </c>
      <c r="AG12" s="244">
        <f t="shared" si="21"/>
        <v>1250000</v>
      </c>
      <c r="AH12" s="225" t="str">
        <f>IF(OR(W12="Cont",W12="CT"),VLOOKUP(R12,cthuc!$AQ$3:$AR$44,2,0),"")</f>
        <v/>
      </c>
      <c r="AI12" s="225" t="str">
        <f t="shared" si="22"/>
        <v xml:space="preserve">10,250,000đồng </v>
      </c>
      <c r="AJ12" s="225"/>
      <c r="AK12" s="225" t="str">
        <f t="shared" si="23"/>
        <v>Gỗ padouk tròn (Phú Lân) + pachy tròn (ghép Namtraco)</v>
      </c>
      <c r="AL12" s="225" t="str">
        <f t="shared" si="24"/>
        <v>56Gỗ rời   + Nơi lấy:</v>
      </c>
      <c r="AM12" s="250">
        <f t="shared" si="25"/>
        <v>45490</v>
      </c>
      <c r="AN12" s="225" t="str">
        <f>IF(OR(W12="HS",W12="HP"),"",VLOOKUP(VLOOKUP(AL12,$B$8:$E$671,3,0),cthuc!$AO$3:$AP$142,2,0))</f>
        <v/>
      </c>
      <c r="AO12" s="225" t="str">
        <f t="shared" si="26"/>
        <v>Cước vận chuyển đi Quán Gỏi, Hải Dương</v>
      </c>
      <c r="AP12" s="225">
        <f t="shared" si="27"/>
        <v>30.167000000000002</v>
      </c>
      <c r="AQ12" s="225" t="e">
        <f t="shared" si="28"/>
        <v>#N/A</v>
      </c>
      <c r="AR12" s="225" t="str">
        <f t="shared" si="29"/>
        <v>HS</v>
      </c>
      <c r="AS12" s="225">
        <v>1</v>
      </c>
      <c r="AT12" s="251">
        <f t="shared" si="30"/>
        <v>350000</v>
      </c>
      <c r="AV12" s="113" t="e">
        <f>VLOOKUP(BD12,giaroi!$D$6:$N$500,11,0)</f>
        <v>#N/A</v>
      </c>
      <c r="AW12" s="284">
        <f t="shared" si="31"/>
        <v>0</v>
      </c>
      <c r="AX12" s="113" t="s">
        <v>13181</v>
      </c>
      <c r="AY12" s="284" t="str">
        <f t="shared" si="32"/>
        <v>=350000+0/V15</v>
      </c>
      <c r="AZ12" s="225" t="str">
        <f t="shared" si="49"/>
        <v>CGL</v>
      </c>
      <c r="BA12" s="127">
        <f t="shared" si="50"/>
        <v>13958</v>
      </c>
      <c r="BB12" s="244">
        <f t="shared" si="51"/>
        <v>0</v>
      </c>
      <c r="BC12" s="225">
        <f t="shared" si="52"/>
        <v>13958</v>
      </c>
      <c r="BD12" s="225" t="str">
        <f t="shared" si="53"/>
        <v>DKG&lt;-&gt;Quán Gỏi, Hải Dương</v>
      </c>
      <c r="BE12" s="225" t="str">
        <f t="shared" si="54"/>
        <v>56Gỗ rời   + Số lượng xe:</v>
      </c>
      <c r="BF12" s="225">
        <f t="shared" si="55"/>
        <v>1</v>
      </c>
      <c r="BG12" s="225" t="str">
        <f t="shared" si="56"/>
        <v>HS</v>
      </c>
      <c r="BH12" s="225">
        <f t="shared" si="57"/>
        <v>30.167000000000002</v>
      </c>
      <c r="BI12" s="321">
        <f t="shared" si="58"/>
        <v>10241696.5</v>
      </c>
      <c r="BJ12" s="284">
        <f t="shared" si="40"/>
        <v>0</v>
      </c>
      <c r="BK12" s="284">
        <f t="shared" si="7"/>
        <v>10241696.5</v>
      </c>
      <c r="BL12" s="225" t="str">
        <f t="shared" si="41"/>
        <v>56Gỗ rời   + Người ra lệnh:</v>
      </c>
      <c r="BM12" s="225" t="str">
        <f t="shared" si="42"/>
        <v>Hưng: 0966689440</v>
      </c>
      <c r="BN12" s="113" t="str">
        <f>VLOOKUP(BM12,[1]Sheet1!$B$3:$C$604,2,0)</f>
        <v>Đức Tín</v>
      </c>
      <c r="BO12" s="113" t="str">
        <f t="shared" si="43"/>
        <v>1 xe của Đức Tín</v>
      </c>
      <c r="BP12" s="351" t="str">
        <f t="shared" ca="1" si="8"/>
        <v>8 xe của Đức Tín</v>
      </c>
      <c r="BR12" s="372" t="s">
        <v>15133</v>
      </c>
      <c r="BT12" s="113" t="str">
        <f t="shared" si="44"/>
        <v>, 4 xe của Đức Tín, 3 xe của Đức Tín, 1 xe của Đức Tín</v>
      </c>
      <c r="BU12" s="113">
        <f t="shared" si="45"/>
        <v>97</v>
      </c>
      <c r="BV12" s="380">
        <f t="shared" si="46"/>
        <v>10241696.5</v>
      </c>
      <c r="BW12" s="376">
        <f t="shared" si="47"/>
        <v>10200000</v>
      </c>
    </row>
    <row r="13" spans="1:81" ht="16.2" thickBot="1" x14ac:dyDescent="0.35">
      <c r="A13" s="113">
        <v>13</v>
      </c>
      <c r="B13" s="113" t="str">
        <f t="shared" si="48"/>
        <v>8Gỗ rời   + Số lượng xe:</v>
      </c>
      <c r="C13" t="s">
        <v>15062</v>
      </c>
      <c r="D13">
        <v>3</v>
      </c>
      <c r="E13" t="s">
        <v>15063</v>
      </c>
      <c r="F13"/>
      <c r="G13" s="113" t="str">
        <f>CONCATENATE(A68,C68)</f>
        <v>68Gỗ rời</v>
      </c>
      <c r="H13" s="113" t="str">
        <f t="shared" si="0"/>
        <v>68Gỗ rời   + Người nhận:</v>
      </c>
      <c r="I13" s="113" t="str">
        <f t="shared" si="1"/>
        <v>68Gỗ rời   + Nâng gỗ</v>
      </c>
      <c r="J13" s="113" t="str">
        <f t="shared" si="2"/>
        <v>68Gỗ rời   + Nơi nhận</v>
      </c>
      <c r="K13" s="113" t="str">
        <f t="shared" si="3"/>
        <v>68Gỗ rời   + Nơi nhận:</v>
      </c>
      <c r="L13" s="115" t="str">
        <f t="shared" si="9"/>
        <v>68Gỗ rời   + Đơn giá (đ/m3) :</v>
      </c>
      <c r="M13" s="115" t="str">
        <f t="shared" si="10"/>
        <v>68Gỗ rời   + Khối lượng:</v>
      </c>
      <c r="N13" s="115" t="str">
        <f t="shared" si="4"/>
        <v>68Gỗ rời   + Tiền đường:</v>
      </c>
      <c r="O13" s="115" t="str">
        <f t="shared" si="11"/>
        <v>68Gỗ rời   + Loại gỗ:</v>
      </c>
      <c r="P13" s="115" t="str">
        <f t="shared" si="12"/>
        <v>68Gỗ rời   + Tiền cước:</v>
      </c>
      <c r="Q13" s="113" t="str">
        <f t="shared" si="13"/>
        <v>Nguyễn Văn Toại : 0914640216</v>
      </c>
      <c r="R13" s="225" t="str">
        <f>R14</f>
        <v>CG00055</v>
      </c>
      <c r="S13" s="225" t="str">
        <f>VLOOKUP(R13,[2]Khach_hangmoi!$A$3:$I$4325,2,0)</f>
        <v>Công ty TNHH Thương mại Đại Lợi (YMHY) 0984883883</v>
      </c>
      <c r="T13" s="225" t="str">
        <f>IF(VLOOKUP(R13,[2]Khach_hangmoi!$A$3:$I$4325,5,0)=0,"",VLOOKUP(R13,[2]Khach_hangmoi!$A$3:$I$4325,5,0))</f>
        <v>0900220978</v>
      </c>
      <c r="U13" s="225" t="str">
        <f>VLOOKUP(R13,[2]Khach_hangmoi!$A$3:$I$4325,3,0)</f>
        <v>Quảng Uyên, xã Minh Châu, huyện Yên Mỹ, tỉnh Hưng Yên</v>
      </c>
      <c r="V13" s="225"/>
      <c r="W13" s="225" t="str">
        <f t="shared" si="14"/>
        <v>HS</v>
      </c>
      <c r="X13" s="225" t="str">
        <f>VLOOKUP(Y13,Hanghoa!$B$3:$E$1914,2,0)</f>
        <v>KS.NB.DKG</v>
      </c>
      <c r="Y13" s="225" t="str">
        <f t="shared" si="15"/>
        <v>DKG&lt;-&gt;Kim Sơn, Ninh Bình</v>
      </c>
      <c r="Z13" s="394">
        <v>13368</v>
      </c>
      <c r="AA13" s="225" t="str">
        <f t="shared" si="16"/>
        <v>Gỗ lim xẻ (Đại Lợi)</v>
      </c>
      <c r="AB13" s="225" t="str">
        <f t="shared" si="17"/>
        <v>Gỗ lim xẻ (Đại Lợi)</v>
      </c>
      <c r="AC13" s="225">
        <v>12</v>
      </c>
      <c r="AD13" s="225">
        <v>25.632000000000001</v>
      </c>
      <c r="AE13" s="244">
        <f t="shared" si="19"/>
        <v>450000</v>
      </c>
      <c r="AF13" s="311" t="str">
        <f t="shared" si="20"/>
        <v>CGL</v>
      </c>
      <c r="AG13" s="244">
        <f t="shared" si="21"/>
        <v>2950000</v>
      </c>
      <c r="AH13" s="225" t="str">
        <f>IF(OR(W13="Cont",W13="CT"),VLOOKUP(R13,cthuc!$AQ$3:$AR$44,2,0),"")</f>
        <v/>
      </c>
      <c r="AI13" s="225" t="str">
        <f t="shared" si="22"/>
        <v>11,550,000đồng + Phụ thu: 700000 đồng/xe</v>
      </c>
      <c r="AJ13" s="225"/>
      <c r="AK13" s="225" t="str">
        <f t="shared" si="23"/>
        <v>Gỗ lim xẻ (Đại Lợi)</v>
      </c>
      <c r="AL13" s="225" t="str">
        <f t="shared" si="24"/>
        <v>68Gỗ rời   + Nơi lấy:</v>
      </c>
      <c r="AM13" s="250">
        <f t="shared" si="25"/>
        <v>45490</v>
      </c>
      <c r="AN13" s="225" t="str">
        <f>IF(OR(W13="HS",W13="HP"),"",VLOOKUP(VLOOKUP(AL13,$B$8:$E$671,3,0),cthuc!$AO$3:$AP$142,2,0))</f>
        <v/>
      </c>
      <c r="AO13" s="225" t="str">
        <f t="shared" si="26"/>
        <v>Cước vận chuyển đi Kim Sơn, Ninh Bình</v>
      </c>
      <c r="AP13" s="225">
        <f t="shared" si="27"/>
        <v>25.632000000000001</v>
      </c>
      <c r="AQ13" s="225" t="e">
        <f t="shared" si="28"/>
        <v>#N/A</v>
      </c>
      <c r="AR13" s="225" t="str">
        <f t="shared" si="29"/>
        <v>HS</v>
      </c>
      <c r="AS13" s="225">
        <v>1</v>
      </c>
      <c r="AT13" s="251">
        <f t="shared" si="30"/>
        <v>450000</v>
      </c>
      <c r="AV13" s="113">
        <f>VLOOKUP(BD13,giaroi!$D$6:$N$500,11,0)</f>
        <v>1300000</v>
      </c>
      <c r="AW13" s="284">
        <f t="shared" si="31"/>
        <v>700000</v>
      </c>
      <c r="AX13" s="113" t="s">
        <v>13182</v>
      </c>
      <c r="AY13" s="284" t="str">
        <f t="shared" si="32"/>
        <v>=450000+700000/V16</v>
      </c>
      <c r="AZ13" s="225" t="str">
        <f t="shared" si="49"/>
        <v>CGL</v>
      </c>
      <c r="BA13" s="127">
        <f t="shared" si="50"/>
        <v>13368</v>
      </c>
      <c r="BB13" s="244">
        <f t="shared" si="51"/>
        <v>700000</v>
      </c>
      <c r="BC13" s="225">
        <f t="shared" si="52"/>
        <v>13368</v>
      </c>
      <c r="BD13" s="225" t="str">
        <f t="shared" si="53"/>
        <v>DKG&lt;-&gt;Kim Sơn, Ninh Bình</v>
      </c>
      <c r="BE13" s="225" t="str">
        <f t="shared" si="54"/>
        <v>68Gỗ rời   + Số lượng xe:</v>
      </c>
      <c r="BF13" s="225">
        <f t="shared" si="55"/>
        <v>1</v>
      </c>
      <c r="BG13" s="225" t="str">
        <f t="shared" si="56"/>
        <v>HS</v>
      </c>
      <c r="BH13" s="225">
        <f t="shared" si="57"/>
        <v>25.632000000000001</v>
      </c>
      <c r="BI13" s="321">
        <f t="shared" si="58"/>
        <v>11888368</v>
      </c>
      <c r="BJ13" s="284">
        <f t="shared" si="40"/>
        <v>0</v>
      </c>
      <c r="BK13" s="284"/>
      <c r="BL13" s="225" t="str">
        <f t="shared" si="41"/>
        <v>68Gỗ rời   + Người ra lệnh:</v>
      </c>
      <c r="BM13" s="225" t="str">
        <f t="shared" si="42"/>
        <v>Nam: 0335838899</v>
      </c>
      <c r="BN13" s="113" t="str">
        <f>VLOOKUP(BM13,[1]Sheet1!$B$3:$C$604,2,0)</f>
        <v>Đại Lợi</v>
      </c>
      <c r="BO13" s="113" t="str">
        <f t="shared" si="43"/>
        <v>1 xe của Đại Lợi</v>
      </c>
      <c r="BP13" s="351" t="str">
        <f t="shared" ca="1" si="8"/>
        <v>2 xe của Đại Lợi</v>
      </c>
      <c r="BT13" s="113" t="str">
        <f t="shared" si="44"/>
        <v>, 4 xe của Đức Tín, 3 xe của Đức Tín, 1 xe của Đức Tín</v>
      </c>
      <c r="BU13" s="113">
        <f t="shared" si="45"/>
        <v>100</v>
      </c>
      <c r="BV13" s="380">
        <f t="shared" si="46"/>
        <v>11534400</v>
      </c>
      <c r="BW13" s="376">
        <f t="shared" si="47"/>
        <v>11500000</v>
      </c>
    </row>
    <row r="14" spans="1:81" ht="16.2" thickBot="1" x14ac:dyDescent="0.35">
      <c r="A14" s="113">
        <v>14</v>
      </c>
      <c r="B14" s="113" t="str">
        <f t="shared" si="48"/>
        <v>8Gỗ rời   + Người nhận:</v>
      </c>
      <c r="C14" t="s">
        <v>15064</v>
      </c>
      <c r="D14" t="s">
        <v>15064</v>
      </c>
      <c r="E14"/>
      <c r="F14" s="128"/>
      <c r="G14" s="113" t="str">
        <f>CONCATENATE(A80,C80)</f>
        <v>80Gỗ rời</v>
      </c>
      <c r="H14" s="113" t="str">
        <f t="shared" si="0"/>
        <v>80Gỗ rời   + Người nhận:</v>
      </c>
      <c r="I14" s="113" t="str">
        <f t="shared" si="1"/>
        <v>80Gỗ rời   + Nâng gỗ</v>
      </c>
      <c r="J14" s="113" t="str">
        <f t="shared" si="2"/>
        <v>80Gỗ rời   + Nơi nhận</v>
      </c>
      <c r="K14" s="113" t="str">
        <f t="shared" si="3"/>
        <v>80Gỗ rời   + Nơi nhận:</v>
      </c>
      <c r="L14" s="115" t="str">
        <f t="shared" si="9"/>
        <v>80Gỗ rời   + Đơn giá (đ/m3) :</v>
      </c>
      <c r="M14" s="115" t="str">
        <f t="shared" si="10"/>
        <v>80Gỗ rời   + Khối lượng:</v>
      </c>
      <c r="N14" s="115" t="str">
        <f t="shared" si="4"/>
        <v>80Gỗ rời   + Tiền đường:</v>
      </c>
      <c r="O14" s="115" t="str">
        <f t="shared" si="11"/>
        <v>80Gỗ rời   + Loại gỗ:</v>
      </c>
      <c r="P14" s="115" t="str">
        <f t="shared" si="12"/>
        <v>80Gỗ rời   + Tiền cước:</v>
      </c>
      <c r="Q14" s="113" t="str">
        <f t="shared" si="13"/>
        <v>Phạm Văn Long : 0834706011</v>
      </c>
      <c r="R14" s="225" t="str">
        <f>D5</f>
        <v>CG00055</v>
      </c>
      <c r="S14" s="225" t="str">
        <f>VLOOKUP(R14,[2]Khach_hangmoi!$A$3:$I$4325,2,0)</f>
        <v>Công ty TNHH Thương mại Đại Lợi (YMHY) 0984883883</v>
      </c>
      <c r="T14" s="225" t="str">
        <f>IF(VLOOKUP(R14,[2]Khach_hangmoi!$A$3:$I$4325,5,0)=0,"",VLOOKUP(R14,[2]Khach_hangmoi!$A$3:$I$4325,5,0))</f>
        <v>0900220978</v>
      </c>
      <c r="U14" s="225" t="str">
        <f>VLOOKUP(R14,[2]Khach_hangmoi!$A$3:$I$4325,3,0)</f>
        <v>Quảng Uyên, xã Minh Châu, huyện Yên Mỹ, tỉnh Hưng Yên</v>
      </c>
      <c r="V14" s="225"/>
      <c r="W14" s="225" t="str">
        <f t="shared" si="14"/>
        <v>HS</v>
      </c>
      <c r="X14" s="225" t="str">
        <f>VLOOKUP(Y14,Hanghoa!$B$3:$E$1914,2,0)</f>
        <v>TP.NB.DKG</v>
      </c>
      <c r="Y14" s="225" t="str">
        <f t="shared" si="15"/>
        <v>DKG&lt;-&gt;TP. Ninh Bình, Ninh Bình</v>
      </c>
      <c r="Z14" s="394">
        <v>3426</v>
      </c>
      <c r="AA14" s="225" t="str">
        <f t="shared" si="16"/>
        <v>Gỗ lim xẻ (Đại Lợi)</v>
      </c>
      <c r="AB14" s="225" t="str">
        <f t="shared" si="17"/>
        <v>Gỗ lim xẻ (Đại Lợi)</v>
      </c>
      <c r="AC14" s="225">
        <v>11</v>
      </c>
      <c r="AD14" s="225">
        <v>25.356999999999999</v>
      </c>
      <c r="AE14" s="244">
        <v>450000</v>
      </c>
      <c r="AF14" s="311" t="str">
        <f t="shared" si="20"/>
        <v>CGL</v>
      </c>
      <c r="AG14" s="244">
        <f t="shared" si="21"/>
        <v>2950000</v>
      </c>
      <c r="AH14" s="225" t="str">
        <f>IF(OR(W14="Cont",W14="CT"),VLOOKUP(R14,cthuc!$AQ$3:$AR$44,2,0),"")</f>
        <v/>
      </c>
      <c r="AI14" s="225" t="str">
        <f t="shared" si="22"/>
        <v>11,400,000đồng + Phụ thu: 700000 đồng/xe</v>
      </c>
      <c r="AJ14" s="225"/>
      <c r="AK14" s="225" t="str">
        <f t="shared" si="23"/>
        <v>Gỗ lim xẻ (Đại Lợi)</v>
      </c>
      <c r="AL14" s="225" t="str">
        <f t="shared" si="24"/>
        <v>80Gỗ rời   + Nơi lấy:</v>
      </c>
      <c r="AM14" s="250">
        <f t="shared" si="25"/>
        <v>45490</v>
      </c>
      <c r="AN14" s="225" t="str">
        <f>IF(OR(W14="HS",W14="HP"),"",VLOOKUP(VLOOKUP(AL14,$B$8:$E$671,3,0),cthuc!$AO$3:$AP$142,2,0))</f>
        <v/>
      </c>
      <c r="AO14" s="225" t="str">
        <f t="shared" si="26"/>
        <v>Cước vận chuyển đi TP. Ninh Bình, Ninh Bình</v>
      </c>
      <c r="AP14" s="225">
        <f t="shared" si="27"/>
        <v>25.356999999999999</v>
      </c>
      <c r="AQ14" s="225" t="e">
        <f t="shared" si="28"/>
        <v>#N/A</v>
      </c>
      <c r="AR14" s="225" t="str">
        <f t="shared" si="29"/>
        <v>HS</v>
      </c>
      <c r="AS14" s="225">
        <v>1</v>
      </c>
      <c r="AT14" s="251">
        <f t="shared" si="30"/>
        <v>450000</v>
      </c>
      <c r="AV14" s="113">
        <f>VLOOKUP(BD14,giaroi!$D$6:$N$500,11,0)</f>
        <v>1200000</v>
      </c>
      <c r="AW14" s="284">
        <f t="shared" si="31"/>
        <v>700000</v>
      </c>
      <c r="AX14" s="113" t="s">
        <v>13183</v>
      </c>
      <c r="AY14" s="284" t="str">
        <f t="shared" si="32"/>
        <v>=450000+700000/V17</v>
      </c>
      <c r="AZ14" s="225" t="str">
        <f t="shared" si="49"/>
        <v>CGL</v>
      </c>
      <c r="BA14" s="127">
        <f t="shared" si="50"/>
        <v>3426</v>
      </c>
      <c r="BB14" s="244">
        <f t="shared" si="51"/>
        <v>700000</v>
      </c>
      <c r="BC14" s="225">
        <f t="shared" si="52"/>
        <v>3426</v>
      </c>
      <c r="BD14" s="225" t="str">
        <f t="shared" si="53"/>
        <v>DKG&lt;-&gt;TP. Ninh Bình, Ninh Bình</v>
      </c>
      <c r="BE14" s="225" t="str">
        <f t="shared" si="54"/>
        <v>80Gỗ rời   + Số lượng xe:</v>
      </c>
      <c r="BF14" s="225">
        <f t="shared" si="55"/>
        <v>1</v>
      </c>
      <c r="BG14" s="225" t="str">
        <f t="shared" si="56"/>
        <v>HS</v>
      </c>
      <c r="BH14" s="225">
        <f t="shared" si="57"/>
        <v>25.356999999999999</v>
      </c>
      <c r="BI14" s="321">
        <f t="shared" si="58"/>
        <v>11768330.5</v>
      </c>
      <c r="BJ14" s="284">
        <f t="shared" si="40"/>
        <v>0</v>
      </c>
      <c r="BK14" s="284"/>
      <c r="BL14" s="225" t="str">
        <f t="shared" si="41"/>
        <v>80Gỗ rời   + Người ra lệnh:</v>
      </c>
      <c r="BM14" s="225" t="str">
        <f t="shared" si="42"/>
        <v>Nam: 0335838899</v>
      </c>
      <c r="BN14" s="113" t="str">
        <f>VLOOKUP(BM14,[1]Sheet1!$B$3:$C$604,2,0)</f>
        <v>Đại Lợi</v>
      </c>
      <c r="BO14" s="113" t="str">
        <f t="shared" si="43"/>
        <v>1 xe của Đại Lợi</v>
      </c>
      <c r="BP14" s="351" t="str">
        <f t="shared" ca="1" si="8"/>
        <v>2 xe của Đại Lợi</v>
      </c>
      <c r="BQ14" s="358"/>
      <c r="BT14" s="113" t="str">
        <f t="shared" si="44"/>
        <v>, 4 xe của Đức Tín, 3 xe của Đức Tín, 1 xe của Đức Tín</v>
      </c>
      <c r="BU14" s="113">
        <f t="shared" si="45"/>
        <v>100</v>
      </c>
      <c r="BV14" s="380">
        <f t="shared" si="46"/>
        <v>11410650</v>
      </c>
      <c r="BW14" s="376">
        <f t="shared" si="47"/>
        <v>11400000</v>
      </c>
    </row>
    <row r="15" spans="1:81" ht="15.6" x14ac:dyDescent="0.3">
      <c r="A15" s="113">
        <v>15</v>
      </c>
      <c r="B15" s="113" t="str">
        <f t="shared" si="48"/>
        <v>8Gỗ rời   + Nơi nhận:</v>
      </c>
      <c r="C15" t="s">
        <v>15065</v>
      </c>
      <c r="D15" t="s">
        <v>15066</v>
      </c>
      <c r="E15"/>
      <c r="F15"/>
      <c r="G15" s="113" t="str">
        <f>CONCATENATE(A92,C92)</f>
        <v>92Cont kéo về bãi Bình Phú rút. Lô 1x20' Hiệu</v>
      </c>
      <c r="H15" s="113" t="str">
        <f t="shared" si="0"/>
        <v>92Cont kéo về bãi Bình Phú rút. Lô 1x20' Hiệu   + Trả cước:</v>
      </c>
      <c r="I15" s="113" t="str">
        <f t="shared" si="1"/>
        <v>92Cont kéo về bãi Bình Phú rút. Lô 1x20' Hiệu   + Nâng gỗ</v>
      </c>
      <c r="J15" s="113" t="str">
        <f t="shared" si="2"/>
        <v>92Cont kéo về bãi Bình Phú rút. Lô 1x20' Hiệu   + Nơi nhận</v>
      </c>
      <c r="K15" s="113" t="str">
        <f t="shared" si="3"/>
        <v>92Cont kéo về bãi Bình Phú rút. Lô 1x20' Hiệu   + Nơi trả:</v>
      </c>
      <c r="L15" s="115" t="str">
        <f t="shared" si="9"/>
        <v>92Cont kéo về bãi Bình Phú rút. Lô 1x20' Hiệu   + Tiền cước:</v>
      </c>
      <c r="M15" s="115" t="str">
        <f t="shared" si="10"/>
        <v>92Cont kéo về bãi Bình Phú rút. Lô 1x20' Hiệu   + Cont số:</v>
      </c>
      <c r="N15" s="115" t="str">
        <f t="shared" si="4"/>
        <v>92Cont kéo về bãi Bình Phú rút. Lô 1x20' Hiệu   + Tiền đường:</v>
      </c>
      <c r="O15" s="115" t="str">
        <f t="shared" si="11"/>
        <v>92Cont kéo về bãi Bình Phú rút. Lô 1x20' Hiệu   + Loại gỗ:</v>
      </c>
      <c r="P15" s="115" t="str">
        <f t="shared" si="12"/>
        <v>92Cont kéo về bãi Bình Phú rút. Lô 1x20' Hiệu   + Tiền cước:</v>
      </c>
      <c r="Q15" s="113" t="str">
        <f t="shared" si="13"/>
        <v>Hiệu: 0904133533</v>
      </c>
      <c r="R15" s="225" t="s">
        <v>345</v>
      </c>
      <c r="S15" s="225" t="str">
        <f>VLOOKUP(R15,[2]Khach_hangmoi!$A$3:$I$4325,2,0)</f>
        <v>Chủ lẻ gỗ (CLG)</v>
      </c>
      <c r="T15" s="225" t="str">
        <f>IF(VLOOKUP(R15,[2]Khach_hangmoi!$A$3:$I$4325,5,0)=0,"",VLOOKUP(R15,[2]Khach_hangmoi!$A$3:$I$4325,5,0))</f>
        <v/>
      </c>
      <c r="U15" s="225" t="str">
        <f>VLOOKUP(R15,[2]Khach_hangmoi!$A$3:$I$4325,3,0)</f>
        <v>Chủ lẻ gỗ</v>
      </c>
      <c r="V15" s="225"/>
      <c r="W15" s="116" t="s">
        <v>12761</v>
      </c>
      <c r="X15" s="195" t="s">
        <v>10896</v>
      </c>
      <c r="Y15" s="196" t="s">
        <v>10897</v>
      </c>
      <c r="Z15" s="300"/>
      <c r="AA15" s="225" t="e">
        <f t="shared" ref="AA15:AA28" si="60">SUBSTITUTE(IF(IFERROR(FIND("Cont đường dài",N15),-1)&gt;0,MID(N15,FIND("Lô",N15),9),VLOOKUP(O15,$B$8:$E$670,3,0)),"Lô ","")</f>
        <v>#N/A</v>
      </c>
      <c r="AB15" s="225" t="e">
        <f t="shared" ref="AB15:AB28" si="61">IFERROR(IF(FIND("x",AA15)=2,CONCATENATE("0",AA15),AA15),AA15)</f>
        <v>#N/A</v>
      </c>
      <c r="AC15" s="225"/>
      <c r="AD15" s="225" t="e">
        <f t="shared" ref="AD15:AD28" si="62">SUBSTITUTE(CONCATENATE(VLOOKUP(M15,$B$8:$E$670,3,0),IFERROR(VLOOKUP(CONCATENATE(G15,"   + Lưu ý:"),$B$8:$E$670,3,0),"")),"   + Lưu ý:","")</f>
        <v>#N/A</v>
      </c>
      <c r="AE15" s="244">
        <f t="shared" ref="AE15:AE28" si="63">VALUE(IF(SUBSTITUTE(SUBSTITUTE(VLOOKUP(L15,$B$8:$E$670,3,0),",","")," đồng/cont","")-10000&lt;0,SUBSTITUTE(SUBSTITUTE(VLOOKUP(L15,$B$8:$E$670,3,0),",","")," đồng/cont","")*1000,SUBSTITUTE(SUBSTITUTE(VLOOKUP(L15,$B$8:$E$670,3,0),",","")," đồng/cont","")))</f>
        <v>1500000</v>
      </c>
      <c r="AF15" s="311" t="s">
        <v>15124</v>
      </c>
      <c r="AG15" s="244">
        <v>150000</v>
      </c>
      <c r="AH15" s="225" t="e">
        <f>IF(OR(W15="Cont",W15="CT"),VLOOKUP(R15,cthuc!$AQ$3:$AR$44,2,0),"")</f>
        <v>#N/A</v>
      </c>
      <c r="AI15" s="225" t="str">
        <f t="shared" ref="AI15:AI28" si="64">CONCATENATE(VLOOKUP(P15,$B$8:$E$670,3,0),VLOOKUP(P15,$B$8:$E$670,4,0))</f>
        <v>1,500,000đồng/cont</v>
      </c>
      <c r="AJ15" s="225"/>
      <c r="AK15" s="225" t="e">
        <f t="shared" si="23"/>
        <v>#N/A</v>
      </c>
      <c r="AL15" s="225" t="str">
        <f t="shared" si="24"/>
        <v>92Cont kéo về bãi Bình Phú rút. Lô 1x20' Hiệu   + Nơi lấy:</v>
      </c>
      <c r="AM15" s="250">
        <f t="shared" si="25"/>
        <v>45490</v>
      </c>
      <c r="AN15" s="225" t="str">
        <f>IF(OR(W15="HS",W15="HP"),"",VLOOKUP(VLOOKUP(AL15,$B$8:$E$671,3,0),cthuc!$AO$3:$AP$142,2,0))</f>
        <v>LH</v>
      </c>
      <c r="AO15" s="225" t="e">
        <f t="shared" si="26"/>
        <v>#N/A</v>
      </c>
      <c r="AP15" s="225" t="e">
        <f t="shared" si="27"/>
        <v>#N/A</v>
      </c>
      <c r="AQ15" s="225" t="e">
        <f t="shared" si="28"/>
        <v>#N/A</v>
      </c>
      <c r="AR15" s="225" t="str">
        <f t="shared" si="29"/>
        <v>CT</v>
      </c>
      <c r="AS15" s="225">
        <v>1</v>
      </c>
      <c r="AT15" s="251">
        <f t="shared" si="30"/>
        <v>1500000</v>
      </c>
      <c r="AV15" s="113" t="e">
        <f>VLOOKUP(BD15,giaroi!$D$6:$N$500,11,0)</f>
        <v>#N/A</v>
      </c>
      <c r="AW15" s="284">
        <f t="shared" si="31"/>
        <v>0</v>
      </c>
      <c r="AX15" s="113" t="s">
        <v>13184</v>
      </c>
      <c r="AY15" s="284" t="str">
        <f t="shared" si="32"/>
        <v>=1500000+0/V18</v>
      </c>
      <c r="AZ15" s="225" t="str">
        <f t="shared" si="49"/>
        <v>CGL</v>
      </c>
      <c r="BA15" s="127">
        <f t="shared" si="50"/>
        <v>0</v>
      </c>
      <c r="BB15" s="244">
        <f t="shared" si="51"/>
        <v>0</v>
      </c>
      <c r="BC15" s="225">
        <f t="shared" si="52"/>
        <v>0</v>
      </c>
      <c r="BD15" s="225" t="str">
        <f t="shared" si="53"/>
        <v>DKG&lt;-&gt;Chuyển tải khu vực CLH-HS</v>
      </c>
      <c r="BE15" s="225" t="str">
        <f t="shared" si="54"/>
        <v>92Cont kéo về bãi Bình Phú rút. Lô 1x20' Hiệu   + Số lượng xe:</v>
      </c>
      <c r="BF15" s="225">
        <f t="shared" si="55"/>
        <v>0</v>
      </c>
      <c r="BG15" s="225" t="str">
        <f t="shared" si="56"/>
        <v>CT</v>
      </c>
      <c r="BH15" s="225" t="e">
        <f t="shared" si="57"/>
        <v>#N/A</v>
      </c>
      <c r="BI15" s="321" t="str">
        <f t="shared" si="58"/>
        <v/>
      </c>
      <c r="BJ15" s="284">
        <f t="shared" si="40"/>
        <v>0</v>
      </c>
      <c r="BK15" s="284" t="str">
        <f t="shared" si="7"/>
        <v/>
      </c>
      <c r="BL15" s="225" t="str">
        <f t="shared" si="41"/>
        <v>92Cont kéo về bãi Bình Phú rút. Lô 1x20' Hiệu   + Người ra lệnh:</v>
      </c>
      <c r="BM15" s="225">
        <f t="shared" si="42"/>
        <v>0</v>
      </c>
      <c r="BN15" s="113" t="e">
        <f>VLOOKUP(BM15,[1]Sheet1!$B$3:$C$604,2,0)</f>
        <v>#N/A</v>
      </c>
      <c r="BO15" s="113" t="str">
        <f t="shared" si="43"/>
        <v/>
      </c>
      <c r="BP15" s="351" t="str">
        <f t="shared" si="8"/>
        <v/>
      </c>
      <c r="BR15" s="360"/>
      <c r="BT15" s="113" t="str">
        <f t="shared" si="44"/>
        <v>, 4 xe của Đức Tín, 3 xe của Đức Tín, 1 xe của Đức Tín</v>
      </c>
      <c r="BU15" s="113" t="e">
        <f t="shared" si="45"/>
        <v>#N/A</v>
      </c>
      <c r="BV15" s="380" t="e">
        <f t="shared" si="46"/>
        <v>#N/A</v>
      </c>
      <c r="BW15" s="376" t="e">
        <f t="shared" si="47"/>
        <v>#N/A</v>
      </c>
    </row>
    <row r="16" spans="1:81" ht="15.6" x14ac:dyDescent="0.3">
      <c r="A16" s="113">
        <v>16</v>
      </c>
      <c r="B16" s="113" t="str">
        <f t="shared" si="48"/>
        <v>8Gỗ rời   + Đơn giá (đ/cont):</v>
      </c>
      <c r="C16" t="s">
        <v>15067</v>
      </c>
      <c r="D16" s="310">
        <v>300</v>
      </c>
      <c r="E16" s="128">
        <v>1</v>
      </c>
      <c r="F16"/>
      <c r="G16" s="113" t="str">
        <f>CONCATENATE(A104,C104)</f>
        <v>104Gỗ rời</v>
      </c>
      <c r="H16" s="113" t="str">
        <f t="shared" si="0"/>
        <v>104Gỗ rời   + Người nhận:</v>
      </c>
      <c r="I16" s="113" t="str">
        <f t="shared" si="1"/>
        <v>104Gỗ rời   + Nâng gỗ</v>
      </c>
      <c r="J16" s="113" t="str">
        <f t="shared" si="2"/>
        <v>104Gỗ rời   + Nơi nhận</v>
      </c>
      <c r="K16" s="113" t="str">
        <f t="shared" si="3"/>
        <v>104Gỗ rời   + Nơi nhận:</v>
      </c>
      <c r="L16" s="115" t="str">
        <f t="shared" si="9"/>
        <v>104Gỗ rời   + Đơn giá (đ/m3) :</v>
      </c>
      <c r="M16" s="115" t="str">
        <f t="shared" si="10"/>
        <v>104Gỗ rời   + Khối lượng:</v>
      </c>
      <c r="N16" s="115" t="str">
        <f t="shared" si="4"/>
        <v>104Gỗ rời   + Tiền đường:</v>
      </c>
      <c r="O16" s="115" t="str">
        <f t="shared" si="11"/>
        <v>104Gỗ rời   + Loại gỗ:</v>
      </c>
      <c r="P16" s="115" t="str">
        <f t="shared" si="12"/>
        <v>104Gỗ rời   + Tiền cước:</v>
      </c>
      <c r="Q16" s="113" t="str">
        <f t="shared" si="13"/>
        <v>Trí Dũng</v>
      </c>
      <c r="R16" s="225" t="str">
        <f>IF((RIGHT(G16,3)="rời"),VLOOKUP(RIGHT(Q16,9),[2]Khach_hangmoi!$J$3:$N$3854,2,0),LEFT(Q16,7))</f>
        <v>CG00044</v>
      </c>
      <c r="S16" s="225" t="str">
        <f>VLOOKUP(R16,[2]Khach_hangmoi!$A$3:$I$4325,2,0)</f>
        <v>Công ty TNHH Thương mại và Sản xuất Trí Dũng (QOHN) 0905557788</v>
      </c>
      <c r="T16" s="225" t="str">
        <f>IF(VLOOKUP(R16,[2]Khach_hangmoi!$A$3:$I$4325,5,0)=0,"",VLOOKUP(R16,[2]Khach_hangmoi!$A$3:$I$4325,5,0))</f>
        <v>0101453895</v>
      </c>
      <c r="U16" s="225" t="str">
        <f>VLOOKUP(R16,[2]Khach_hangmoi!$A$3:$I$4325,3,0)</f>
        <v>Thôn Ngọc Phúc, xã Ngọc Liệp, huyện Quốc Oai, thành phố Hà Nội</v>
      </c>
      <c r="V16" s="225"/>
      <c r="W16" s="225" t="str">
        <f t="shared" ref="W16:W28" si="65">IF(IF(IFERROR(FIND("Cont đường dài",N16),-1)&gt;0,"Cont",VLOOKUP(I16,$B$8:$E$670,3,0))="Hoàng Sơn","HS",IF(IF(IFERROR(FIND("Cont đường dài",N16),-1)&gt;0,"Cont",VLOOKUP(I16,$B$8:$E$670,3,0))="Hiệp Phương","HP",IF(IFERROR(FIND("Cont đường dài",N16),-1)&gt;0,"Cont",VLOOKUP(I16,$B$8:$E$670,3,0))))</f>
        <v>HS</v>
      </c>
      <c r="X16" s="225" t="str">
        <f>VLOOKUP(Y16,Hanghoa!$B$3:$E$1914,2,0)</f>
        <v>HS.HA</v>
      </c>
      <c r="Y16" s="225" t="str">
        <f t="shared" si="15"/>
        <v>DKG&lt;-&gt;Bãi Namtraco</v>
      </c>
      <c r="Z16" s="300"/>
      <c r="AA16" s="225" t="str">
        <f t="shared" si="60"/>
        <v>Gỗ xẻ (Trí Dũng)</v>
      </c>
      <c r="AB16" s="225" t="str">
        <f t="shared" si="61"/>
        <v>Gỗ xẻ (Trí Dũng)</v>
      </c>
      <c r="AC16" s="225"/>
      <c r="AD16" s="225" t="str">
        <f t="shared" si="62"/>
        <v xml:space="preserve"> chờ list</v>
      </c>
      <c r="AE16" s="244">
        <v>200000</v>
      </c>
      <c r="AF16" s="311" t="s">
        <v>37</v>
      </c>
      <c r="AG16" s="244">
        <v>100000</v>
      </c>
      <c r="AH16" s="225" t="str">
        <f>IF(OR(W16="Cont",W16="CT"),VLOOKUP(R16,cthuc!$AQ$3:$AR$44,2,0),"")</f>
        <v/>
      </c>
      <c r="AI16" s="225" t="str">
        <f t="shared" si="64"/>
        <v>đồng</v>
      </c>
      <c r="AJ16" s="225"/>
      <c r="AK16" s="225" t="str">
        <f t="shared" ref="AK16:AK46" si="66">+AB16</f>
        <v>Gỗ xẻ (Trí Dũng)</v>
      </c>
      <c r="AL16" s="225" t="str">
        <f t="shared" ref="AL16:AL46" si="67">CONCATENATE(G16,"   + Nơi lấy:")</f>
        <v>104Gỗ rời   + Nơi lấy:</v>
      </c>
      <c r="AM16" s="250">
        <f t="shared" si="25"/>
        <v>45490</v>
      </c>
      <c r="AN16" s="225" t="str">
        <f>IF(OR(W16="HS",W16="HP"),"",VLOOKUP(VLOOKUP(AL16,$B$8:$E$671,3,0),cthuc!$AO$3:$AP$142,2,0))</f>
        <v/>
      </c>
      <c r="AO16" s="225" t="str">
        <f t="shared" si="26"/>
        <v>Cước vận chuyển đi Bãi Namtraco</v>
      </c>
      <c r="AP16" s="225" t="str">
        <f t="shared" ref="AP16:AP46" si="68">+AD16</f>
        <v xml:space="preserve"> chờ list</v>
      </c>
      <c r="AQ16" s="225" t="e">
        <f t="shared" si="28"/>
        <v>#N/A</v>
      </c>
      <c r="AR16" s="225" t="str">
        <f t="shared" ref="AR16:AR46" si="69">+W16</f>
        <v>HS</v>
      </c>
      <c r="AS16" s="225">
        <v>1</v>
      </c>
      <c r="AT16" s="251">
        <f t="shared" si="30"/>
        <v>200000</v>
      </c>
      <c r="AV16" s="113" t="e">
        <f>VLOOKUP(BD16,giaroi!$D$6:$N$500,11,0)</f>
        <v>#N/A</v>
      </c>
      <c r="AW16" s="284">
        <f t="shared" si="31"/>
        <v>0</v>
      </c>
      <c r="AX16" s="113" t="s">
        <v>13185</v>
      </c>
      <c r="AY16" s="284" t="str">
        <f t="shared" si="32"/>
        <v>=200000+0/V19</v>
      </c>
      <c r="AZ16" s="225" t="str">
        <f t="shared" si="49"/>
        <v>RLL</v>
      </c>
      <c r="BA16" s="127">
        <f t="shared" si="50"/>
        <v>0</v>
      </c>
      <c r="BB16" s="244">
        <f t="shared" si="51"/>
        <v>0</v>
      </c>
      <c r="BC16" s="225">
        <f t="shared" si="52"/>
        <v>0</v>
      </c>
      <c r="BD16" s="225" t="str">
        <f t="shared" si="53"/>
        <v>DKG&lt;-&gt;Bãi Namtraco</v>
      </c>
      <c r="BE16" s="225" t="str">
        <f t="shared" si="54"/>
        <v>104Gỗ rời   + Số lượng xe:</v>
      </c>
      <c r="BF16" s="225"/>
      <c r="BG16" s="225" t="str">
        <f t="shared" si="56"/>
        <v>HS</v>
      </c>
      <c r="BH16" s="225" t="str">
        <f t="shared" si="57"/>
        <v xml:space="preserve"> chờ list</v>
      </c>
      <c r="BI16" s="321" t="str">
        <f t="shared" si="58"/>
        <v/>
      </c>
      <c r="BJ16" s="284">
        <f t="shared" si="40"/>
        <v>0</v>
      </c>
      <c r="BK16" s="284" t="str">
        <f t="shared" si="7"/>
        <v/>
      </c>
      <c r="BL16" s="225" t="str">
        <f t="shared" si="41"/>
        <v>104Gỗ rời   + Người ra lệnh:</v>
      </c>
      <c r="BM16" s="225" t="str">
        <f t="shared" si="42"/>
        <v>Trường: 0941898699</v>
      </c>
      <c r="BN16" s="113" t="str">
        <f>VLOOKUP(BM16,[1]Sheet1!$B$3:$C$604,2,0)</f>
        <v>Trí Dũng</v>
      </c>
      <c r="BO16" s="113" t="str">
        <f t="shared" si="43"/>
        <v/>
      </c>
      <c r="BP16" s="351" t="str">
        <f t="shared" si="8"/>
        <v/>
      </c>
      <c r="BR16" s="360"/>
      <c r="BT16" s="113" t="str">
        <f t="shared" si="44"/>
        <v>, 4 xe của Đức Tín, 3 xe của Đức Tín, 1 xe của Đức Tín</v>
      </c>
      <c r="BU16" s="113">
        <f t="shared" si="45"/>
        <v>100</v>
      </c>
      <c r="BV16" s="380" t="e">
        <f t="shared" si="46"/>
        <v>#VALUE!</v>
      </c>
      <c r="BW16" s="376" t="e">
        <f t="shared" si="47"/>
        <v>#VALUE!</v>
      </c>
    </row>
    <row r="17" spans="1:75" ht="15.6" x14ac:dyDescent="0.3">
      <c r="A17" s="113">
        <v>17</v>
      </c>
      <c r="B17" s="113" t="str">
        <f t="shared" si="48"/>
        <v>8Gỗ rời   + Tiền cước:</v>
      </c>
      <c r="C17" t="s">
        <v>15068</v>
      </c>
      <c r="D17" t="s">
        <v>15068</v>
      </c>
      <c r="E17"/>
      <c r="F17" s="128" t="s">
        <v>15069</v>
      </c>
      <c r="G17" s="113" t="str">
        <f>CONCATENATE(A116,C116)</f>
        <v>116</v>
      </c>
      <c r="H17" s="113" t="str">
        <f t="shared" si="0"/>
        <v>116   + Trả cước:</v>
      </c>
      <c r="I17" s="113" t="str">
        <f t="shared" si="1"/>
        <v>116   + Nâng gỗ</v>
      </c>
      <c r="J17" s="113" t="str">
        <f t="shared" si="2"/>
        <v>116   + Nơi nhận</v>
      </c>
      <c r="K17" s="113" t="str">
        <f t="shared" si="3"/>
        <v>116   + Nơi trả:</v>
      </c>
      <c r="L17" s="115" t="str">
        <f t="shared" si="9"/>
        <v>116   + Tiền cước:</v>
      </c>
      <c r="M17" s="115" t="str">
        <f t="shared" si="10"/>
        <v>116   + Cont số:</v>
      </c>
      <c r="N17" s="115" t="str">
        <f t="shared" si="4"/>
        <v>116   + Tiền đường:</v>
      </c>
      <c r="O17" s="115" t="str">
        <f t="shared" si="11"/>
        <v>116   + Loại gỗ:</v>
      </c>
      <c r="P17" s="115" t="str">
        <f t="shared" si="12"/>
        <v>116   + Tiền cước:</v>
      </c>
      <c r="Q17" s="113" t="e">
        <f t="shared" si="13"/>
        <v>#N/A</v>
      </c>
      <c r="R17" s="225" t="e">
        <f>IF((RIGHT(G17,3)="rời"),VLOOKUP(RIGHT(Q17,9),[2]Khach_hangmoi!$J$3:$N$3854,2,0),LEFT(Q17,7))</f>
        <v>#N/A</v>
      </c>
      <c r="S17" s="225" t="e">
        <f>VLOOKUP(R17,[2]Khach_hangmoi!$A$3:$I$4325,2,0)</f>
        <v>#N/A</v>
      </c>
      <c r="T17" s="225" t="e">
        <f>IF(VLOOKUP(R17,[2]Khach_hangmoi!$A$3:$I$4325,5,0)=0,"",VLOOKUP(R17,[2]Khach_hangmoi!$A$3:$I$4325,5,0))</f>
        <v>#N/A</v>
      </c>
      <c r="U17" s="225" t="e">
        <f>VLOOKUP(R17,[2]Khach_hangmoi!$A$3:$I$4325,3,0)</f>
        <v>#N/A</v>
      </c>
      <c r="V17" s="225"/>
      <c r="W17" s="225" t="e">
        <f t="shared" si="65"/>
        <v>#N/A</v>
      </c>
      <c r="X17" s="225" t="e">
        <f>VLOOKUP(Y17,Hanghoa!$B$3:$E$1914,2,0)</f>
        <v>#N/A</v>
      </c>
      <c r="Y17" s="225" t="e">
        <f t="shared" ref="Y17:Y28" si="70">CONCATENATE("DKG&lt;-&gt;",VLOOKUP(K17,$B$8:$E$670,3,0))</f>
        <v>#N/A</v>
      </c>
      <c r="Z17" s="300"/>
      <c r="AA17" s="225" t="e">
        <f t="shared" si="60"/>
        <v>#N/A</v>
      </c>
      <c r="AB17" s="225" t="e">
        <f t="shared" si="61"/>
        <v>#N/A</v>
      </c>
      <c r="AC17" s="225"/>
      <c r="AD17" s="225" t="e">
        <f t="shared" si="62"/>
        <v>#N/A</v>
      </c>
      <c r="AE17" s="244" t="e">
        <f t="shared" si="63"/>
        <v>#N/A</v>
      </c>
      <c r="AF17" s="311" t="e">
        <f t="shared" ref="AF17:AF66" si="71">IF(VLOOKUP(CONCATENATE(G17," "),$B$8:$E$670,3,0)="Thu ngay","CGN",IF(VLOOKUP(CONCATENATE(G17," "),$B$8:$E$670,3,0)="Chủ gỗ trả cước","CGL",VLOOKUP(CONCATENATE(G17," "),$B$8:$E$670,3,0)))</f>
        <v>#N/A</v>
      </c>
      <c r="AG17" s="244" t="e">
        <f t="shared" ref="AG17:AG28" si="72">VALUE(IF(W17="Cont",SUBSTITUTE(SUBSTITUTE(VLOOKUP(N17,$B$8:$E$670,3,0),",","")," đồng/xe",""),SUBSTITUTE(VLOOKUP(N17,$B$8:$E$370,3,0),",","")+100000))</f>
        <v>#N/A</v>
      </c>
      <c r="AH17" s="225" t="e">
        <f>IF(OR(W17="Cont",W17="CT"),VLOOKUP(R17,cthuc!$AQ$3:$AR$44,2,0),"")</f>
        <v>#N/A</v>
      </c>
      <c r="AI17" s="225" t="e">
        <f t="shared" si="64"/>
        <v>#N/A</v>
      </c>
      <c r="AJ17" s="225"/>
      <c r="AK17" s="225" t="e">
        <f t="shared" si="66"/>
        <v>#N/A</v>
      </c>
      <c r="AL17" s="225" t="str">
        <f t="shared" si="67"/>
        <v>116   + Nơi lấy:</v>
      </c>
      <c r="AM17" s="250">
        <f t="shared" si="25"/>
        <v>45490</v>
      </c>
      <c r="AN17" s="225" t="e">
        <f>IF(OR(W17="HS",W17="HP"),"",VLOOKUP(VLOOKUP(AL17,$B$8:$E$671,3,0),cthuc!$AO$3:$AP$142,2,0))</f>
        <v>#N/A</v>
      </c>
      <c r="AO17" s="225" t="e">
        <f t="shared" si="26"/>
        <v>#N/A</v>
      </c>
      <c r="AP17" s="225" t="e">
        <f t="shared" si="68"/>
        <v>#N/A</v>
      </c>
      <c r="AQ17" s="225" t="e">
        <f t="shared" si="28"/>
        <v>#N/A</v>
      </c>
      <c r="AR17" s="225" t="e">
        <f t="shared" si="69"/>
        <v>#N/A</v>
      </c>
      <c r="AS17" s="225">
        <v>1</v>
      </c>
      <c r="AT17" s="251" t="e">
        <f t="shared" si="30"/>
        <v>#N/A</v>
      </c>
      <c r="AV17" s="113" t="e">
        <f>VLOOKUP(BD17,giaroi!$D$6:$N$500,11,0)</f>
        <v>#N/A</v>
      </c>
      <c r="AW17" s="284">
        <f t="shared" si="31"/>
        <v>0</v>
      </c>
      <c r="AX17" s="113" t="s">
        <v>13186</v>
      </c>
      <c r="AY17" s="284" t="e">
        <f t="shared" si="32"/>
        <v>#N/A</v>
      </c>
      <c r="AZ17" s="225" t="e">
        <f t="shared" si="49"/>
        <v>#N/A</v>
      </c>
      <c r="BA17" s="127">
        <f t="shared" si="50"/>
        <v>0</v>
      </c>
      <c r="BB17" s="244">
        <f t="shared" si="51"/>
        <v>0</v>
      </c>
      <c r="BC17" s="225">
        <f t="shared" si="52"/>
        <v>0</v>
      </c>
      <c r="BD17" s="225" t="e">
        <f t="shared" si="53"/>
        <v>#N/A</v>
      </c>
      <c r="BE17" s="225" t="str">
        <f t="shared" si="54"/>
        <v>116   + Số lượng xe:</v>
      </c>
      <c r="BF17" s="225">
        <f t="shared" si="55"/>
        <v>0</v>
      </c>
      <c r="BG17" s="225" t="e">
        <f t="shared" si="56"/>
        <v>#N/A</v>
      </c>
      <c r="BH17" s="225" t="e">
        <f t="shared" si="57"/>
        <v>#N/A</v>
      </c>
      <c r="BI17" s="321" t="str">
        <f t="shared" si="58"/>
        <v/>
      </c>
      <c r="BJ17" s="284">
        <f t="shared" si="40"/>
        <v>0</v>
      </c>
      <c r="BK17" s="284" t="str">
        <f t="shared" si="7"/>
        <v/>
      </c>
      <c r="BL17" s="225" t="str">
        <f t="shared" si="41"/>
        <v>116   + Người ra lệnh:</v>
      </c>
      <c r="BM17" s="225">
        <f t="shared" si="42"/>
        <v>0</v>
      </c>
      <c r="BN17" s="113" t="e">
        <f>VLOOKUP(BM17,[1]Sheet1!$B$3:$C$604,2,0)</f>
        <v>#N/A</v>
      </c>
      <c r="BO17" s="113" t="str">
        <f t="shared" si="43"/>
        <v/>
      </c>
      <c r="BP17" s="351" t="str">
        <f t="shared" si="8"/>
        <v/>
      </c>
      <c r="BQ17" s="113" t="s">
        <v>14591</v>
      </c>
      <c r="BT17" s="113" t="str">
        <f t="shared" si="44"/>
        <v>, 4 xe của Đức Tín, 3 xe của Đức Tín, 1 xe của Đức Tín</v>
      </c>
      <c r="BU17" s="113" t="e">
        <f t="shared" si="45"/>
        <v>#N/A</v>
      </c>
      <c r="BV17" s="380" t="e">
        <f t="shared" si="46"/>
        <v>#N/A</v>
      </c>
      <c r="BW17" s="376" t="e">
        <f t="shared" si="47"/>
        <v>#N/A</v>
      </c>
    </row>
    <row r="18" spans="1:75" ht="15.6" x14ac:dyDescent="0.3">
      <c r="A18" s="113">
        <v>18</v>
      </c>
      <c r="B18" s="113" t="str">
        <f t="shared" si="48"/>
        <v xml:space="preserve">8Gỗ rời </v>
      </c>
      <c r="C18" t="s">
        <v>15070</v>
      </c>
      <c r="D18" t="s">
        <v>15071</v>
      </c>
      <c r="E18"/>
      <c r="F18"/>
      <c r="G18" s="113" t="str">
        <f>CONCATENATE(A128,C128)</f>
        <v>128</v>
      </c>
      <c r="H18" s="113" t="str">
        <f t="shared" si="0"/>
        <v>128   + Trả cước:</v>
      </c>
      <c r="I18" s="113" t="str">
        <f t="shared" si="1"/>
        <v>128   + Nâng gỗ</v>
      </c>
      <c r="J18" s="113" t="str">
        <f t="shared" si="2"/>
        <v>128   + Nơi nhận</v>
      </c>
      <c r="K18" s="113" t="str">
        <f t="shared" si="3"/>
        <v>128   + Nơi trả:</v>
      </c>
      <c r="L18" s="115" t="str">
        <f t="shared" si="9"/>
        <v>128   + Tiền cước:</v>
      </c>
      <c r="M18" s="115" t="str">
        <f t="shared" si="10"/>
        <v>128   + Cont số:</v>
      </c>
      <c r="N18" s="115" t="str">
        <f t="shared" si="4"/>
        <v>128   + Tiền đường:</v>
      </c>
      <c r="O18" s="115" t="str">
        <f t="shared" si="11"/>
        <v>128   + Loại gỗ:</v>
      </c>
      <c r="P18" s="115" t="str">
        <f t="shared" si="12"/>
        <v>128   + Tiền cước:</v>
      </c>
      <c r="Q18" s="113" t="e">
        <f t="shared" si="13"/>
        <v>#N/A</v>
      </c>
      <c r="R18" s="225" t="e">
        <f>IF((RIGHT(G18,3)="rời"),VLOOKUP(RIGHT(Q18,9),[2]Khach_hangmoi!$J$3:$N$3854,2,0),LEFT(Q18,7))</f>
        <v>#N/A</v>
      </c>
      <c r="S18" s="225" t="e">
        <f>VLOOKUP(R18,[2]Khach_hangmoi!$A$3:$I$4325,2,0)</f>
        <v>#N/A</v>
      </c>
      <c r="T18" s="225" t="e">
        <f>IF(VLOOKUP(R18,[2]Khach_hangmoi!$A$3:$I$4325,5,0)=0,"",VLOOKUP(R18,[2]Khach_hangmoi!$A$3:$I$4325,5,0))</f>
        <v>#N/A</v>
      </c>
      <c r="U18" s="225" t="e">
        <f>VLOOKUP(R18,[2]Khach_hangmoi!$A$3:$I$4325,3,0)</f>
        <v>#N/A</v>
      </c>
      <c r="V18" s="225"/>
      <c r="W18" s="225" t="e">
        <f t="shared" si="65"/>
        <v>#N/A</v>
      </c>
      <c r="X18" s="225" t="e">
        <f>VLOOKUP(Y18,Hanghoa!$B$3:$E$1914,2,0)</f>
        <v>#N/A</v>
      </c>
      <c r="Y18" s="225" t="e">
        <f t="shared" si="70"/>
        <v>#N/A</v>
      </c>
      <c r="Z18" s="300"/>
      <c r="AA18" s="225" t="e">
        <f t="shared" si="60"/>
        <v>#N/A</v>
      </c>
      <c r="AB18" s="225" t="e">
        <f t="shared" si="61"/>
        <v>#N/A</v>
      </c>
      <c r="AC18" s="225"/>
      <c r="AD18" s="225" t="e">
        <f t="shared" si="62"/>
        <v>#N/A</v>
      </c>
      <c r="AE18" s="244" t="e">
        <f t="shared" si="63"/>
        <v>#N/A</v>
      </c>
      <c r="AF18" s="311" t="e">
        <f t="shared" si="71"/>
        <v>#N/A</v>
      </c>
      <c r="AG18" s="244" t="e">
        <f t="shared" si="72"/>
        <v>#N/A</v>
      </c>
      <c r="AH18" s="225" t="e">
        <f>IF(OR(W18="Cont",W18="CT"),VLOOKUP(R18,cthuc!$AQ$3:$AR$44,2,0),"")</f>
        <v>#N/A</v>
      </c>
      <c r="AI18" s="225" t="e">
        <f t="shared" si="64"/>
        <v>#N/A</v>
      </c>
      <c r="AJ18" s="225"/>
      <c r="AK18" s="225" t="e">
        <f t="shared" si="66"/>
        <v>#N/A</v>
      </c>
      <c r="AL18" s="225" t="str">
        <f t="shared" si="67"/>
        <v>128   + Nơi lấy:</v>
      </c>
      <c r="AM18" s="250">
        <f t="shared" si="25"/>
        <v>45490</v>
      </c>
      <c r="AN18" s="225" t="e">
        <f>IF(OR(W18="HS",W18="HP"),"",VLOOKUP(VLOOKUP(AL18,$B$8:$E$671,3,0),cthuc!$AO$3:$AP$142,2,0))</f>
        <v>#N/A</v>
      </c>
      <c r="AO18" s="225" t="e">
        <f t="shared" si="26"/>
        <v>#N/A</v>
      </c>
      <c r="AP18" s="225" t="e">
        <f t="shared" si="68"/>
        <v>#N/A</v>
      </c>
      <c r="AQ18" s="225" t="e">
        <f t="shared" si="28"/>
        <v>#N/A</v>
      </c>
      <c r="AR18" s="225" t="e">
        <f t="shared" si="69"/>
        <v>#N/A</v>
      </c>
      <c r="AS18" s="225">
        <v>1</v>
      </c>
      <c r="AT18" s="251" t="e">
        <f t="shared" si="30"/>
        <v>#N/A</v>
      </c>
      <c r="AV18" s="113" t="e">
        <f>VLOOKUP(BD18,giaroi!$D$6:$N$500,11,0)</f>
        <v>#N/A</v>
      </c>
      <c r="AW18" s="284">
        <f t="shared" si="31"/>
        <v>0</v>
      </c>
      <c r="AX18" s="113" t="s">
        <v>13187</v>
      </c>
      <c r="AY18" s="284" t="e">
        <f t="shared" si="32"/>
        <v>#N/A</v>
      </c>
      <c r="AZ18" s="225" t="e">
        <f t="shared" si="49"/>
        <v>#N/A</v>
      </c>
      <c r="BA18" s="127">
        <f t="shared" si="50"/>
        <v>0</v>
      </c>
      <c r="BB18" s="244">
        <f t="shared" si="51"/>
        <v>0</v>
      </c>
      <c r="BC18" s="225">
        <f t="shared" si="52"/>
        <v>0</v>
      </c>
      <c r="BD18" s="225" t="e">
        <f t="shared" si="53"/>
        <v>#N/A</v>
      </c>
      <c r="BE18" s="225" t="str">
        <f t="shared" si="54"/>
        <v>128   + Số lượng xe:</v>
      </c>
      <c r="BF18" s="225">
        <f t="shared" si="55"/>
        <v>0</v>
      </c>
      <c r="BG18" s="225" t="e">
        <f t="shared" si="56"/>
        <v>#N/A</v>
      </c>
      <c r="BH18" s="225" t="e">
        <f t="shared" si="57"/>
        <v>#N/A</v>
      </c>
      <c r="BI18" s="321" t="str">
        <f t="shared" si="58"/>
        <v/>
      </c>
      <c r="BJ18" s="284">
        <f t="shared" si="40"/>
        <v>0</v>
      </c>
      <c r="BK18" s="284" t="str">
        <f t="shared" si="7"/>
        <v/>
      </c>
      <c r="BL18" s="225" t="str">
        <f t="shared" si="41"/>
        <v>128   + Người ra lệnh:</v>
      </c>
      <c r="BM18" s="225">
        <f t="shared" si="42"/>
        <v>0</v>
      </c>
      <c r="BN18" s="113" t="e">
        <f>VLOOKUP(BM18,[1]Sheet1!$B$3:$C$604,2,0)</f>
        <v>#N/A</v>
      </c>
      <c r="BO18" s="113" t="str">
        <f t="shared" si="43"/>
        <v/>
      </c>
      <c r="BP18" s="351" t="str">
        <f t="shared" si="8"/>
        <v/>
      </c>
      <c r="BQ18" s="113" t="str">
        <f ca="1">CONCATENATE("K/H ngày ",DAY(TODAY()),"/",MONTH(TODAY())," đi tổng ",BF7," xe gỗ rời, gồm có :")</f>
        <v>K/H ngày 19/7 đi tổng 13 xe gỗ rời, gồm có :</v>
      </c>
      <c r="BT18" s="113" t="str">
        <f t="shared" si="44"/>
        <v>, 4 xe của Đức Tín, 3 xe của Đức Tín, 1 xe của Đức Tín</v>
      </c>
      <c r="BU18" s="113" t="e">
        <f t="shared" si="45"/>
        <v>#N/A</v>
      </c>
      <c r="BV18" s="380" t="e">
        <f t="shared" si="46"/>
        <v>#N/A</v>
      </c>
      <c r="BW18" s="376" t="e">
        <f t="shared" si="47"/>
        <v>#N/A</v>
      </c>
    </row>
    <row r="19" spans="1:75" ht="15.6" x14ac:dyDescent="0.3">
      <c r="A19" s="113">
        <v>19</v>
      </c>
      <c r="B19" s="113" t="str">
        <f t="shared" si="48"/>
        <v>8Gỗ rời   + Tiền đường:</v>
      </c>
      <c r="C19" t="s">
        <v>15072</v>
      </c>
      <c r="D19" t="s">
        <v>15072</v>
      </c>
      <c r="E19" s="310"/>
      <c r="F19" s="128" t="s">
        <v>15073</v>
      </c>
      <c r="G19" s="113" t="str">
        <f>CONCATENATE(A140,C140)</f>
        <v>140</v>
      </c>
      <c r="H19" s="113" t="str">
        <f t="shared" si="0"/>
        <v>140   + Trả cước:</v>
      </c>
      <c r="I19" s="113" t="str">
        <f t="shared" si="1"/>
        <v>140   + Nâng gỗ</v>
      </c>
      <c r="J19" s="113" t="str">
        <f t="shared" si="2"/>
        <v>140   + Nơi nhận</v>
      </c>
      <c r="K19" s="113" t="str">
        <f t="shared" si="3"/>
        <v>140   + Nơi trả:</v>
      </c>
      <c r="L19" s="115" t="str">
        <f t="shared" si="9"/>
        <v>140   + Tiền cước:</v>
      </c>
      <c r="M19" s="115" t="str">
        <f t="shared" si="10"/>
        <v>140   + Cont số:</v>
      </c>
      <c r="N19" s="115" t="str">
        <f t="shared" si="4"/>
        <v>140   + Tiền đường:</v>
      </c>
      <c r="O19" s="115" t="str">
        <f t="shared" si="11"/>
        <v>140   + Loại gỗ:</v>
      </c>
      <c r="P19" s="115" t="str">
        <f t="shared" si="12"/>
        <v>140   + Tiền cước:</v>
      </c>
      <c r="Q19" s="113" t="e">
        <f t="shared" si="13"/>
        <v>#N/A</v>
      </c>
      <c r="R19" s="225" t="e">
        <f>IF((RIGHT(G19,3)="rời"),VLOOKUP(RIGHT(Q19,9),[2]Khach_hangmoi!$J$3:$N$3854,2,0),LEFT(Q19,7))</f>
        <v>#N/A</v>
      </c>
      <c r="S19" s="225" t="e">
        <f>VLOOKUP(R19,[2]Khach_hangmoi!$A$3:$I$4325,2,0)</f>
        <v>#N/A</v>
      </c>
      <c r="T19" s="225" t="e">
        <f>IF(VLOOKUP(R19,[2]Khach_hangmoi!$A$3:$I$4325,5,0)=0,"",VLOOKUP(R19,[2]Khach_hangmoi!$A$3:$I$4325,5,0))</f>
        <v>#N/A</v>
      </c>
      <c r="U19" s="225" t="e">
        <f>VLOOKUP(R19,[2]Khach_hangmoi!$A$3:$I$4325,3,0)</f>
        <v>#N/A</v>
      </c>
      <c r="V19" s="225"/>
      <c r="W19" s="225" t="e">
        <f t="shared" si="65"/>
        <v>#N/A</v>
      </c>
      <c r="X19" s="225" t="e">
        <f>VLOOKUP(Y19,Hanghoa!$B$3:$E$1914,2,0)</f>
        <v>#N/A</v>
      </c>
      <c r="Y19" s="225" t="e">
        <f t="shared" si="70"/>
        <v>#N/A</v>
      </c>
      <c r="Z19" s="300"/>
      <c r="AA19" s="225" t="e">
        <f t="shared" si="60"/>
        <v>#N/A</v>
      </c>
      <c r="AB19" s="225" t="e">
        <f t="shared" si="61"/>
        <v>#N/A</v>
      </c>
      <c r="AC19" s="225"/>
      <c r="AD19" s="225" t="e">
        <f t="shared" si="62"/>
        <v>#N/A</v>
      </c>
      <c r="AE19" s="244" t="e">
        <f t="shared" si="63"/>
        <v>#N/A</v>
      </c>
      <c r="AF19" s="311" t="e">
        <f t="shared" si="71"/>
        <v>#N/A</v>
      </c>
      <c r="AG19" s="244" t="e">
        <f t="shared" si="72"/>
        <v>#N/A</v>
      </c>
      <c r="AH19" s="225" t="e">
        <f>IF(OR(W19="Cont",W19="CT"),VLOOKUP(R19,cthuc!$AQ$3:$AR$44,2,0),"")</f>
        <v>#N/A</v>
      </c>
      <c r="AI19" s="225" t="e">
        <f t="shared" si="64"/>
        <v>#N/A</v>
      </c>
      <c r="AJ19" s="225"/>
      <c r="AK19" s="225" t="e">
        <f t="shared" si="66"/>
        <v>#N/A</v>
      </c>
      <c r="AL19" s="225" t="str">
        <f t="shared" si="67"/>
        <v>140   + Nơi lấy:</v>
      </c>
      <c r="AM19" s="250">
        <f t="shared" si="25"/>
        <v>45490</v>
      </c>
      <c r="AN19" s="225" t="e">
        <f>IF(OR(W19="HS",W19="HP"),"",VLOOKUP(VLOOKUP(AL19,$B$8:$E$671,3,0),cthuc!$AO$3:$AP$142,2,0))</f>
        <v>#N/A</v>
      </c>
      <c r="AO19" s="225" t="e">
        <f t="shared" si="26"/>
        <v>#N/A</v>
      </c>
      <c r="AP19" s="225" t="e">
        <f t="shared" si="68"/>
        <v>#N/A</v>
      </c>
      <c r="AQ19" s="225" t="e">
        <f t="shared" si="28"/>
        <v>#N/A</v>
      </c>
      <c r="AR19" s="225" t="e">
        <f t="shared" si="69"/>
        <v>#N/A</v>
      </c>
      <c r="AS19" s="225">
        <v>1</v>
      </c>
      <c r="AT19" s="251" t="e">
        <f t="shared" si="30"/>
        <v>#N/A</v>
      </c>
      <c r="AV19" s="113" t="e">
        <f>VLOOKUP(BD19,giaroi!$D$6:$N$500,11,0)</f>
        <v>#N/A</v>
      </c>
      <c r="AW19" s="284">
        <f t="shared" si="31"/>
        <v>0</v>
      </c>
      <c r="AX19" s="113" t="s">
        <v>13188</v>
      </c>
      <c r="AY19" s="284" t="e">
        <f t="shared" si="32"/>
        <v>#N/A</v>
      </c>
      <c r="AZ19" s="225" t="e">
        <f t="shared" si="49"/>
        <v>#N/A</v>
      </c>
      <c r="BA19" s="127">
        <f t="shared" si="50"/>
        <v>0</v>
      </c>
      <c r="BB19" s="244">
        <f t="shared" si="51"/>
        <v>0</v>
      </c>
      <c r="BC19" s="225">
        <f t="shared" si="52"/>
        <v>0</v>
      </c>
      <c r="BD19" s="225" t="e">
        <f t="shared" si="53"/>
        <v>#N/A</v>
      </c>
      <c r="BE19" s="225" t="str">
        <f t="shared" si="54"/>
        <v>140   + Số lượng xe:</v>
      </c>
      <c r="BF19" s="225">
        <f t="shared" si="55"/>
        <v>0</v>
      </c>
      <c r="BG19" s="225" t="e">
        <f t="shared" si="56"/>
        <v>#N/A</v>
      </c>
      <c r="BH19" s="225" t="e">
        <f t="shared" si="57"/>
        <v>#N/A</v>
      </c>
      <c r="BI19" s="321" t="str">
        <f t="shared" si="58"/>
        <v/>
      </c>
      <c r="BJ19" s="284">
        <f t="shared" si="40"/>
        <v>0</v>
      </c>
      <c r="BK19" s="284" t="str">
        <f t="shared" si="7"/>
        <v/>
      </c>
      <c r="BL19" s="225" t="str">
        <f t="shared" si="41"/>
        <v>140   + Người ra lệnh:</v>
      </c>
      <c r="BM19" s="225">
        <f t="shared" si="42"/>
        <v>0</v>
      </c>
      <c r="BN19" s="113" t="e">
        <f>VLOOKUP(BM19,[1]Sheet1!$B$3:$C$604,2,0)</f>
        <v>#N/A</v>
      </c>
      <c r="BO19" s="113" t="str">
        <f t="shared" si="43"/>
        <v/>
      </c>
      <c r="BP19" s="351" t="str">
        <f t="shared" si="8"/>
        <v/>
      </c>
      <c r="BR19" s="113" t="str">
        <f ca="1">BP12</f>
        <v>8 xe của Đức Tín</v>
      </c>
      <c r="BT19" s="113" t="str">
        <f t="shared" si="44"/>
        <v>, 4 xe của Đức Tín, 3 xe của Đức Tín, 1 xe của Đức Tín</v>
      </c>
      <c r="BU19" s="113" t="e">
        <f t="shared" si="45"/>
        <v>#N/A</v>
      </c>
      <c r="BV19" s="380" t="e">
        <f t="shared" si="46"/>
        <v>#N/A</v>
      </c>
      <c r="BW19" s="376" t="e">
        <f t="shared" si="47"/>
        <v>#N/A</v>
      </c>
    </row>
    <row r="20" spans="1:75" ht="15.6" x14ac:dyDescent="0.3">
      <c r="A20" s="113">
        <v>20</v>
      </c>
      <c r="C20" t="s">
        <v>15121</v>
      </c>
      <c r="D20" t="s">
        <v>15121</v>
      </c>
      <c r="E20"/>
      <c r="F20"/>
      <c r="G20" s="113" t="str">
        <f>CONCATENATE(A152,C152)</f>
        <v>152</v>
      </c>
      <c r="H20" s="113" t="str">
        <f t="shared" si="0"/>
        <v>152   + Trả cước:</v>
      </c>
      <c r="I20" s="113" t="str">
        <f t="shared" si="1"/>
        <v>152   + Nâng gỗ</v>
      </c>
      <c r="J20" s="113" t="str">
        <f t="shared" si="2"/>
        <v>152   + Nơi nhận</v>
      </c>
      <c r="K20" s="113" t="str">
        <f t="shared" si="3"/>
        <v>152   + Nơi trả:</v>
      </c>
      <c r="L20" s="115" t="str">
        <f t="shared" si="9"/>
        <v>152   + Tiền cước:</v>
      </c>
      <c r="M20" s="115" t="str">
        <f t="shared" si="10"/>
        <v>152   + Cont số:</v>
      </c>
      <c r="N20" s="115" t="str">
        <f t="shared" si="4"/>
        <v>152   + Tiền đường:</v>
      </c>
      <c r="O20" s="115" t="str">
        <f t="shared" si="11"/>
        <v>152   + Loại gỗ:</v>
      </c>
      <c r="P20" s="115" t="str">
        <f t="shared" si="12"/>
        <v>152   + Tiền cước:</v>
      </c>
      <c r="Q20" s="113" t="e">
        <f t="shared" si="13"/>
        <v>#N/A</v>
      </c>
      <c r="R20" s="225" t="e">
        <f>IF((RIGHT(G20,3)="rời"),VLOOKUP(RIGHT(Q20,9),[2]Khach_hangmoi!$J$3:$N$3854,2,0),LEFT(Q20,7))</f>
        <v>#N/A</v>
      </c>
      <c r="S20" s="225" t="e">
        <f>VLOOKUP(R20,[2]Khach_hangmoi!$A$3:$I$4325,2,0)</f>
        <v>#N/A</v>
      </c>
      <c r="T20" s="225" t="e">
        <f>IF(VLOOKUP(R20,[2]Khach_hangmoi!$A$3:$I$4325,5,0)=0,"",VLOOKUP(R20,[2]Khach_hangmoi!$A$3:$I$4325,5,0))</f>
        <v>#N/A</v>
      </c>
      <c r="U20" s="225" t="e">
        <f>VLOOKUP(R20,[2]Khach_hangmoi!$A$3:$I$4325,3,0)</f>
        <v>#N/A</v>
      </c>
      <c r="V20" s="225"/>
      <c r="W20" s="225" t="e">
        <f t="shared" si="65"/>
        <v>#N/A</v>
      </c>
      <c r="X20" s="225" t="e">
        <f>VLOOKUP(Y20,Hanghoa!$B$3:$E$1914,2,0)</f>
        <v>#N/A</v>
      </c>
      <c r="Y20" s="225" t="e">
        <f t="shared" si="70"/>
        <v>#N/A</v>
      </c>
      <c r="Z20" s="300"/>
      <c r="AA20" s="225" t="e">
        <f t="shared" si="60"/>
        <v>#N/A</v>
      </c>
      <c r="AB20" s="225" t="e">
        <f t="shared" si="61"/>
        <v>#N/A</v>
      </c>
      <c r="AC20" s="225"/>
      <c r="AD20" s="225" t="e">
        <f t="shared" si="62"/>
        <v>#N/A</v>
      </c>
      <c r="AE20" s="244" t="e">
        <f t="shared" si="63"/>
        <v>#N/A</v>
      </c>
      <c r="AF20" s="311" t="e">
        <f t="shared" si="71"/>
        <v>#N/A</v>
      </c>
      <c r="AG20" s="244" t="e">
        <f t="shared" si="72"/>
        <v>#N/A</v>
      </c>
      <c r="AH20" s="225" t="e">
        <f>IF(OR(W20="Cont",W20="CT"),VLOOKUP(R20,cthuc!$AQ$3:$AR$44,2,0),"")</f>
        <v>#N/A</v>
      </c>
      <c r="AI20" s="225" t="e">
        <f t="shared" si="64"/>
        <v>#N/A</v>
      </c>
      <c r="AJ20" s="225"/>
      <c r="AK20" s="225" t="e">
        <f t="shared" si="66"/>
        <v>#N/A</v>
      </c>
      <c r="AL20" s="225" t="str">
        <f t="shared" si="67"/>
        <v>152   + Nơi lấy:</v>
      </c>
      <c r="AM20" s="250">
        <f t="shared" si="25"/>
        <v>45490</v>
      </c>
      <c r="AN20" s="225" t="e">
        <f>IF(OR(W20="HS",W20="HP"),"",VLOOKUP(VLOOKUP(AL20,$B$8:$E$671,3,0),cthuc!$AO$3:$AP$142,2,0))</f>
        <v>#N/A</v>
      </c>
      <c r="AO20" s="225" t="e">
        <f t="shared" si="26"/>
        <v>#N/A</v>
      </c>
      <c r="AP20" s="225" t="e">
        <f t="shared" si="68"/>
        <v>#N/A</v>
      </c>
      <c r="AQ20" s="225" t="e">
        <f t="shared" si="28"/>
        <v>#N/A</v>
      </c>
      <c r="AR20" s="225" t="e">
        <f t="shared" si="69"/>
        <v>#N/A</v>
      </c>
      <c r="AS20" s="225">
        <v>1</v>
      </c>
      <c r="AT20" s="251" t="e">
        <f t="shared" si="30"/>
        <v>#N/A</v>
      </c>
      <c r="AV20" s="113" t="e">
        <f>VLOOKUP(BD20,giaroi!$D$6:$N$500,11,0)</f>
        <v>#N/A</v>
      </c>
      <c r="AW20" s="284">
        <f t="shared" si="31"/>
        <v>0</v>
      </c>
      <c r="AX20" s="113" t="s">
        <v>13189</v>
      </c>
      <c r="AY20" s="284" t="e">
        <f t="shared" si="32"/>
        <v>#N/A</v>
      </c>
      <c r="AZ20" s="225" t="e">
        <f t="shared" si="49"/>
        <v>#N/A</v>
      </c>
      <c r="BA20" s="127">
        <f t="shared" si="50"/>
        <v>0</v>
      </c>
      <c r="BB20" s="244">
        <f t="shared" si="51"/>
        <v>0</v>
      </c>
      <c r="BC20" s="225">
        <f t="shared" si="52"/>
        <v>0</v>
      </c>
      <c r="BD20" s="225" t="e">
        <f t="shared" si="53"/>
        <v>#N/A</v>
      </c>
      <c r="BE20" s="225" t="str">
        <f t="shared" si="54"/>
        <v>152   + Số lượng xe:</v>
      </c>
      <c r="BF20" s="225">
        <f t="shared" si="55"/>
        <v>0</v>
      </c>
      <c r="BG20" s="225" t="e">
        <f t="shared" si="56"/>
        <v>#N/A</v>
      </c>
      <c r="BH20" s="225" t="e">
        <f t="shared" si="57"/>
        <v>#N/A</v>
      </c>
      <c r="BI20" s="321" t="str">
        <f t="shared" si="58"/>
        <v/>
      </c>
      <c r="BJ20" s="284">
        <f t="shared" si="40"/>
        <v>0</v>
      </c>
      <c r="BK20" s="284" t="str">
        <f t="shared" si="7"/>
        <v/>
      </c>
      <c r="BL20" s="225" t="str">
        <f t="shared" si="41"/>
        <v>152   + Người ra lệnh:</v>
      </c>
      <c r="BM20" s="225">
        <f t="shared" si="42"/>
        <v>0</v>
      </c>
      <c r="BN20" s="113" t="e">
        <f>VLOOKUP(BM20,[1]Sheet1!$B$3:$C$604,2,0)</f>
        <v>#N/A</v>
      </c>
      <c r="BO20" s="113" t="str">
        <f t="shared" si="43"/>
        <v/>
      </c>
      <c r="BP20" s="351" t="str">
        <f t="shared" si="8"/>
        <v/>
      </c>
      <c r="BR20" s="113" t="str">
        <f ca="1">BP13</f>
        <v>2 xe của Đại Lợi</v>
      </c>
      <c r="BT20" s="113" t="str">
        <f t="shared" si="44"/>
        <v>, 4 xe của Đức Tín, 3 xe của Đức Tín, 1 xe của Đức Tín</v>
      </c>
      <c r="BU20" s="113" t="e">
        <f t="shared" si="45"/>
        <v>#N/A</v>
      </c>
      <c r="BV20" s="380" t="e">
        <f t="shared" si="46"/>
        <v>#N/A</v>
      </c>
      <c r="BW20" s="376" t="e">
        <f t="shared" si="47"/>
        <v>#N/A</v>
      </c>
    </row>
    <row r="21" spans="1:75" ht="15.6" x14ac:dyDescent="0.3">
      <c r="A21" s="113">
        <v>21</v>
      </c>
      <c r="B21" s="113" t="str">
        <f>CONCATENATE($A$20,$C$20,C21)</f>
        <v>20Gỗ rời   + Nâng gỗ</v>
      </c>
      <c r="C21" t="s">
        <v>15055</v>
      </c>
      <c r="D21" t="s">
        <v>232</v>
      </c>
      <c r="E21"/>
      <c r="F21"/>
      <c r="G21" s="113" t="str">
        <f>CONCATENATE(A164,C164)</f>
        <v>164</v>
      </c>
      <c r="H21" s="113" t="str">
        <f t="shared" si="0"/>
        <v>164   + Trả cước:</v>
      </c>
      <c r="I21" s="113" t="str">
        <f t="shared" si="1"/>
        <v>164   + Nâng gỗ</v>
      </c>
      <c r="J21" s="113" t="str">
        <f t="shared" si="2"/>
        <v>164   + Nơi nhận</v>
      </c>
      <c r="K21" s="113" t="str">
        <f t="shared" si="3"/>
        <v>164   + Nơi trả:</v>
      </c>
      <c r="L21" s="115" t="str">
        <f t="shared" si="9"/>
        <v>164   + Tiền cước:</v>
      </c>
      <c r="M21" s="115" t="str">
        <f t="shared" si="10"/>
        <v>164   + Cont số:</v>
      </c>
      <c r="N21" s="115" t="str">
        <f t="shared" si="4"/>
        <v>164   + Tiền đường:</v>
      </c>
      <c r="O21" s="115" t="str">
        <f t="shared" si="11"/>
        <v>164   + Loại gỗ:</v>
      </c>
      <c r="P21" s="115" t="str">
        <f t="shared" si="12"/>
        <v>164   + Tiền cước:</v>
      </c>
      <c r="Q21" s="113" t="e">
        <f t="shared" si="13"/>
        <v>#N/A</v>
      </c>
      <c r="R21" s="225" t="e">
        <f>IF((RIGHT(G21,3)="rời"),VLOOKUP(RIGHT(Q21,9),[2]Khach_hangmoi!$J$3:$N$3854,2,0),LEFT(Q21,7))</f>
        <v>#N/A</v>
      </c>
      <c r="S21" s="225" t="e">
        <f>VLOOKUP(R21,[2]Khach_hangmoi!$A$3:$I$4325,2,0)</f>
        <v>#N/A</v>
      </c>
      <c r="T21" s="225" t="e">
        <f>IF(VLOOKUP(R21,[2]Khach_hangmoi!$A$3:$I$4325,5,0)=0,"",VLOOKUP(R21,[2]Khach_hangmoi!$A$3:$I$4325,5,0))</f>
        <v>#N/A</v>
      </c>
      <c r="U21" s="225" t="e">
        <f>VLOOKUP(R21,[2]Khach_hangmoi!$A$3:$I$4325,3,0)</f>
        <v>#N/A</v>
      </c>
      <c r="V21" s="225"/>
      <c r="W21" s="225" t="e">
        <f t="shared" si="65"/>
        <v>#N/A</v>
      </c>
      <c r="X21" s="225" t="e">
        <f>VLOOKUP(Y21,Hanghoa!$B$3:$E$1914,2,0)</f>
        <v>#N/A</v>
      </c>
      <c r="Y21" s="225" t="e">
        <f t="shared" si="70"/>
        <v>#N/A</v>
      </c>
      <c r="Z21" s="300"/>
      <c r="AA21" s="225" t="e">
        <f t="shared" si="60"/>
        <v>#N/A</v>
      </c>
      <c r="AB21" s="225" t="e">
        <f t="shared" si="61"/>
        <v>#N/A</v>
      </c>
      <c r="AC21" s="225"/>
      <c r="AD21" s="225" t="e">
        <f t="shared" si="62"/>
        <v>#N/A</v>
      </c>
      <c r="AE21" s="244" t="e">
        <f t="shared" si="63"/>
        <v>#N/A</v>
      </c>
      <c r="AF21" s="311" t="e">
        <f t="shared" si="71"/>
        <v>#N/A</v>
      </c>
      <c r="AG21" s="244" t="e">
        <f t="shared" si="72"/>
        <v>#N/A</v>
      </c>
      <c r="AH21" s="225" t="e">
        <f>IF(OR(W21="Cont",W21="CT"),VLOOKUP(R21,cthuc!$AQ$3:$AR$44,2,0),"")</f>
        <v>#N/A</v>
      </c>
      <c r="AI21" s="225" t="e">
        <f t="shared" si="64"/>
        <v>#N/A</v>
      </c>
      <c r="AJ21" s="225"/>
      <c r="AK21" s="225" t="e">
        <f t="shared" si="66"/>
        <v>#N/A</v>
      </c>
      <c r="AL21" s="225" t="str">
        <f t="shared" si="67"/>
        <v>164   + Nơi lấy:</v>
      </c>
      <c r="AM21" s="250">
        <f t="shared" si="25"/>
        <v>45490</v>
      </c>
      <c r="AN21" s="225" t="e">
        <f>IF(OR(W21="HS",W21="HP"),"",VLOOKUP(VLOOKUP(AL21,$B$8:$E$671,3,0),cthuc!$AO$3:$AP$142,2,0))</f>
        <v>#N/A</v>
      </c>
      <c r="AO21" s="225" t="e">
        <f t="shared" si="26"/>
        <v>#N/A</v>
      </c>
      <c r="AP21" s="225" t="e">
        <f t="shared" si="68"/>
        <v>#N/A</v>
      </c>
      <c r="AQ21" s="225" t="e">
        <f t="shared" si="28"/>
        <v>#N/A</v>
      </c>
      <c r="AR21" s="225" t="e">
        <f t="shared" si="69"/>
        <v>#N/A</v>
      </c>
      <c r="AS21" s="225">
        <v>1</v>
      </c>
      <c r="AT21" s="251" t="e">
        <f t="shared" si="30"/>
        <v>#N/A</v>
      </c>
      <c r="AV21" s="113" t="e">
        <f>VLOOKUP(BD21,giaroi!$D$6:$N$500,11,0)</f>
        <v>#N/A</v>
      </c>
      <c r="AW21" s="284">
        <f t="shared" si="31"/>
        <v>0</v>
      </c>
      <c r="AX21" s="113" t="s">
        <v>13190</v>
      </c>
      <c r="AY21" s="284" t="e">
        <f t="shared" si="32"/>
        <v>#N/A</v>
      </c>
      <c r="AZ21" s="225" t="e">
        <f t="shared" si="49"/>
        <v>#N/A</v>
      </c>
      <c r="BA21" s="127">
        <f t="shared" si="50"/>
        <v>0</v>
      </c>
      <c r="BB21" s="244">
        <f t="shared" si="51"/>
        <v>0</v>
      </c>
      <c r="BC21" s="225">
        <f t="shared" si="52"/>
        <v>0</v>
      </c>
      <c r="BD21" s="225" t="e">
        <f t="shared" si="53"/>
        <v>#N/A</v>
      </c>
      <c r="BE21" s="225" t="str">
        <f t="shared" si="54"/>
        <v>164   + Số lượng xe:</v>
      </c>
      <c r="BF21" s="225">
        <f t="shared" si="55"/>
        <v>0</v>
      </c>
      <c r="BG21" s="225" t="e">
        <f t="shared" si="56"/>
        <v>#N/A</v>
      </c>
      <c r="BH21" s="225" t="e">
        <f t="shared" si="57"/>
        <v>#N/A</v>
      </c>
      <c r="BI21" s="321" t="str">
        <f t="shared" si="58"/>
        <v/>
      </c>
      <c r="BJ21" s="284">
        <f t="shared" si="40"/>
        <v>0</v>
      </c>
      <c r="BK21" s="284" t="str">
        <f t="shared" si="7"/>
        <v/>
      </c>
      <c r="BL21" s="225" t="str">
        <f t="shared" si="41"/>
        <v>164   + Người ra lệnh:</v>
      </c>
      <c r="BM21" s="225">
        <f t="shared" si="42"/>
        <v>0</v>
      </c>
      <c r="BN21" s="113" t="e">
        <f>VLOOKUP(BM21,[1]Sheet1!$B$3:$C$604,2,0)</f>
        <v>#N/A</v>
      </c>
      <c r="BO21" s="113" t="str">
        <f t="shared" si="43"/>
        <v/>
      </c>
      <c r="BP21" s="351" t="str">
        <f t="shared" si="8"/>
        <v/>
      </c>
      <c r="BQ21" s="113" t="str">
        <f>CONCATENATE("K/H thu ngay vào ngày mai : ",ROUND(BJ7,-6)/1000000,".000.000")</f>
        <v>K/H thu ngay vào ngày mai : 0.000.000</v>
      </c>
      <c r="BT21" s="113" t="str">
        <f t="shared" si="44"/>
        <v>, 4 xe của Đức Tín, 3 xe của Đức Tín, 1 xe của Đức Tín</v>
      </c>
      <c r="BU21" s="113" t="e">
        <f t="shared" si="45"/>
        <v>#N/A</v>
      </c>
      <c r="BV21" s="380" t="e">
        <f t="shared" si="46"/>
        <v>#N/A</v>
      </c>
      <c r="BW21" s="376" t="e">
        <f t="shared" si="47"/>
        <v>#N/A</v>
      </c>
    </row>
    <row r="22" spans="1:75" ht="15.6" x14ac:dyDescent="0.3">
      <c r="A22" s="113">
        <v>22</v>
      </c>
      <c r="B22" s="113" t="str">
        <f t="shared" ref="B22:B31" si="73">CONCATENATE($A$20,$C$20,C22)</f>
        <v>20Gỗ rời   + Người ra lệnh:</v>
      </c>
      <c r="C22" t="s">
        <v>15056</v>
      </c>
      <c r="D22" t="s">
        <v>15075</v>
      </c>
      <c r="E22"/>
      <c r="F22"/>
      <c r="G22" s="113" t="str">
        <f>CONCATENATE(A176,C176)</f>
        <v>176</v>
      </c>
      <c r="H22" s="113" t="str">
        <f t="shared" si="0"/>
        <v>176   + Trả cước:</v>
      </c>
      <c r="I22" s="113" t="str">
        <f t="shared" si="1"/>
        <v>176   + Nâng gỗ</v>
      </c>
      <c r="J22" s="113" t="str">
        <f t="shared" si="2"/>
        <v>176   + Nơi nhận</v>
      </c>
      <c r="K22" s="113" t="str">
        <f t="shared" si="3"/>
        <v>176   + Nơi trả:</v>
      </c>
      <c r="L22" s="115" t="str">
        <f t="shared" si="9"/>
        <v>176   + Tiền cước:</v>
      </c>
      <c r="M22" s="115" t="str">
        <f t="shared" si="10"/>
        <v>176   + Cont số:</v>
      </c>
      <c r="N22" s="115" t="str">
        <f t="shared" si="4"/>
        <v>176   + Tiền đường:</v>
      </c>
      <c r="O22" s="115" t="str">
        <f t="shared" si="11"/>
        <v>176   + Loại gỗ:</v>
      </c>
      <c r="P22" s="115" t="str">
        <f t="shared" si="12"/>
        <v>176   + Tiền cước:</v>
      </c>
      <c r="Q22" s="113" t="e">
        <f t="shared" si="13"/>
        <v>#N/A</v>
      </c>
      <c r="R22" s="225" t="e">
        <f>IF((RIGHT(G22,3)="rời"),VLOOKUP(RIGHT(Q22,9),[2]Khach_hangmoi!$J$3:$N$3854,2,0),LEFT(Q22,7))</f>
        <v>#N/A</v>
      </c>
      <c r="S22" s="225" t="e">
        <f>VLOOKUP(R22,[2]Khach_hangmoi!$A$3:$I$4325,2,0)</f>
        <v>#N/A</v>
      </c>
      <c r="T22" s="225" t="e">
        <f>IF(VLOOKUP(R22,[2]Khach_hangmoi!$A$3:$I$4325,5,0)=0,"",VLOOKUP(R22,[2]Khach_hangmoi!$A$3:$I$4325,5,0))</f>
        <v>#N/A</v>
      </c>
      <c r="U22" s="225" t="e">
        <f>VLOOKUP(R22,[2]Khach_hangmoi!$A$3:$I$4325,3,0)</f>
        <v>#N/A</v>
      </c>
      <c r="V22" s="225"/>
      <c r="W22" s="225" t="e">
        <f t="shared" si="65"/>
        <v>#N/A</v>
      </c>
      <c r="X22" s="225" t="e">
        <f>VLOOKUP(Y22,Hanghoa!$B$3:$E$1914,2,0)</f>
        <v>#N/A</v>
      </c>
      <c r="Y22" s="225" t="e">
        <f t="shared" si="70"/>
        <v>#N/A</v>
      </c>
      <c r="Z22" s="300"/>
      <c r="AA22" s="225" t="e">
        <f t="shared" si="60"/>
        <v>#N/A</v>
      </c>
      <c r="AB22" s="225" t="e">
        <f t="shared" si="61"/>
        <v>#N/A</v>
      </c>
      <c r="AC22" s="225"/>
      <c r="AD22" s="225" t="e">
        <f t="shared" si="62"/>
        <v>#N/A</v>
      </c>
      <c r="AE22" s="244" t="e">
        <f t="shared" si="63"/>
        <v>#N/A</v>
      </c>
      <c r="AF22" s="311" t="e">
        <f t="shared" si="71"/>
        <v>#N/A</v>
      </c>
      <c r="AG22" s="244" t="e">
        <f t="shared" si="72"/>
        <v>#N/A</v>
      </c>
      <c r="AH22" s="225" t="e">
        <f>IF(OR(W22="Cont",W22="CT"),VLOOKUP(R22,cthuc!$AQ$3:$AR$44,2,0),"")</f>
        <v>#N/A</v>
      </c>
      <c r="AI22" s="225" t="e">
        <f t="shared" si="64"/>
        <v>#N/A</v>
      </c>
      <c r="AJ22" s="225"/>
      <c r="AK22" s="225" t="e">
        <f t="shared" si="66"/>
        <v>#N/A</v>
      </c>
      <c r="AL22" s="225" t="str">
        <f t="shared" si="67"/>
        <v>176   + Nơi lấy:</v>
      </c>
      <c r="AM22" s="250">
        <f t="shared" si="25"/>
        <v>45490</v>
      </c>
      <c r="AN22" s="225" t="e">
        <f>IF(OR(W22="HS",W22="HP"),"",VLOOKUP(VLOOKUP(AL22,$B$8:$E$671,3,0),cthuc!$AO$3:$AP$142,2,0))</f>
        <v>#N/A</v>
      </c>
      <c r="AO22" s="225" t="e">
        <f t="shared" si="26"/>
        <v>#N/A</v>
      </c>
      <c r="AP22" s="225" t="e">
        <f t="shared" si="68"/>
        <v>#N/A</v>
      </c>
      <c r="AQ22" s="225" t="e">
        <f t="shared" si="28"/>
        <v>#N/A</v>
      </c>
      <c r="AR22" s="225" t="e">
        <f t="shared" si="69"/>
        <v>#N/A</v>
      </c>
      <c r="AS22" s="225">
        <v>1</v>
      </c>
      <c r="AT22" s="251" t="e">
        <f t="shared" si="30"/>
        <v>#N/A</v>
      </c>
      <c r="AV22" s="113" t="e">
        <f>VLOOKUP(BD22,giaroi!$D$6:$N$500,11,0)</f>
        <v>#N/A</v>
      </c>
      <c r="AW22" s="284">
        <f t="shared" si="31"/>
        <v>0</v>
      </c>
      <c r="AX22" s="113" t="s">
        <v>13191</v>
      </c>
      <c r="AY22" s="284" t="e">
        <f t="shared" si="32"/>
        <v>#N/A</v>
      </c>
      <c r="AZ22" s="225" t="e">
        <f t="shared" si="49"/>
        <v>#N/A</v>
      </c>
      <c r="BA22" s="127">
        <f t="shared" si="50"/>
        <v>0</v>
      </c>
      <c r="BB22" s="244">
        <f t="shared" si="51"/>
        <v>0</v>
      </c>
      <c r="BC22" s="225">
        <f t="shared" si="52"/>
        <v>0</v>
      </c>
      <c r="BD22" s="225" t="e">
        <f t="shared" si="53"/>
        <v>#N/A</v>
      </c>
      <c r="BE22" s="225" t="str">
        <f t="shared" si="54"/>
        <v>176   + Số lượng xe:</v>
      </c>
      <c r="BF22" s="225">
        <f t="shared" si="55"/>
        <v>0</v>
      </c>
      <c r="BG22" s="225" t="e">
        <f t="shared" si="56"/>
        <v>#N/A</v>
      </c>
      <c r="BH22" s="225" t="e">
        <f t="shared" si="57"/>
        <v>#N/A</v>
      </c>
      <c r="BI22" s="321" t="str">
        <f t="shared" si="58"/>
        <v/>
      </c>
      <c r="BJ22" s="284">
        <f t="shared" si="40"/>
        <v>0</v>
      </c>
      <c r="BK22" s="284" t="str">
        <f t="shared" si="7"/>
        <v/>
      </c>
      <c r="BL22" s="225" t="str">
        <f t="shared" si="41"/>
        <v>176   + Người ra lệnh:</v>
      </c>
      <c r="BM22" s="225">
        <f t="shared" si="42"/>
        <v>0</v>
      </c>
      <c r="BN22" s="113" t="e">
        <f>VLOOKUP(BM22,[1]Sheet1!$B$3:$C$604,2,0)</f>
        <v>#N/A</v>
      </c>
      <c r="BO22" s="113" t="str">
        <f t="shared" si="43"/>
        <v/>
      </c>
      <c r="BP22" s="351" t="str">
        <f t="shared" si="8"/>
        <v/>
      </c>
      <c r="BQ22" s="113" t="str">
        <f>CONCATENATE("Người bán trả trong vòng 3ngày : ",ROUND(BK7,-6)/1000000,".000.000 ",BS29)</f>
        <v>Người bán trả trong vòng 3ngày : 110.000.000 (4 xe của Đức Tín, 3 xe của Đức Tín, 1 xe của Đức Tín)</v>
      </c>
      <c r="BT22" s="113" t="str">
        <f t="shared" si="44"/>
        <v>, 4 xe của Đức Tín, 3 xe của Đức Tín, 1 xe của Đức Tín</v>
      </c>
      <c r="BU22" s="113" t="e">
        <f t="shared" si="45"/>
        <v>#N/A</v>
      </c>
      <c r="BV22" s="380" t="e">
        <f t="shared" si="46"/>
        <v>#N/A</v>
      </c>
      <c r="BW22" s="376" t="e">
        <f t="shared" si="47"/>
        <v>#N/A</v>
      </c>
    </row>
    <row r="23" spans="1:75" ht="15.6" x14ac:dyDescent="0.3">
      <c r="A23" s="113">
        <v>23</v>
      </c>
      <c r="B23" s="113" t="str">
        <f t="shared" si="73"/>
        <v>20Gỗ rời   + Loại gỗ:</v>
      </c>
      <c r="C23" t="s">
        <v>15058</v>
      </c>
      <c r="D23" t="s">
        <v>15076</v>
      </c>
      <c r="E23"/>
      <c r="F23"/>
      <c r="G23" s="113" t="str">
        <f>CONCATENATE(A188,C188)</f>
        <v>188</v>
      </c>
      <c r="H23" s="113" t="str">
        <f t="shared" si="0"/>
        <v>188   + Trả cước:</v>
      </c>
      <c r="I23" s="113" t="str">
        <f t="shared" si="1"/>
        <v>188   + Nâng gỗ</v>
      </c>
      <c r="J23" s="113" t="str">
        <f t="shared" si="2"/>
        <v>188   + Nơi nhận</v>
      </c>
      <c r="K23" s="113" t="str">
        <f t="shared" si="3"/>
        <v>188   + Nơi trả:</v>
      </c>
      <c r="L23" s="115" t="str">
        <f t="shared" si="9"/>
        <v>188   + Tiền cước:</v>
      </c>
      <c r="M23" s="115" t="str">
        <f t="shared" si="10"/>
        <v>188   + Cont số:</v>
      </c>
      <c r="N23" s="115" t="str">
        <f t="shared" si="4"/>
        <v>188   + Tiền đường:</v>
      </c>
      <c r="O23" s="115" t="str">
        <f t="shared" si="11"/>
        <v>188   + Loại gỗ:</v>
      </c>
      <c r="P23" s="115" t="str">
        <f t="shared" si="12"/>
        <v>188   + Tiền cước:</v>
      </c>
      <c r="Q23" s="113" t="e">
        <f t="shared" si="13"/>
        <v>#N/A</v>
      </c>
      <c r="R23" s="225" t="e">
        <f>IF((RIGHT(G23,3)="rời"),VLOOKUP(RIGHT(Q23,9),[2]Khach_hangmoi!$J$3:$N$3854,2,0),LEFT(Q23,7))</f>
        <v>#N/A</v>
      </c>
      <c r="S23" s="225" t="e">
        <f>VLOOKUP(R23,[2]Khach_hangmoi!$A$3:$I$4325,2,0)</f>
        <v>#N/A</v>
      </c>
      <c r="T23" s="225" t="e">
        <f>IF(VLOOKUP(R23,[2]Khach_hangmoi!$A$3:$I$4325,5,0)=0,"",VLOOKUP(R23,[2]Khach_hangmoi!$A$3:$I$4325,5,0))</f>
        <v>#N/A</v>
      </c>
      <c r="U23" s="225" t="e">
        <f>VLOOKUP(R23,[2]Khach_hangmoi!$A$3:$I$4325,3,0)</f>
        <v>#N/A</v>
      </c>
      <c r="V23" s="225"/>
      <c r="W23" s="225" t="e">
        <f t="shared" si="65"/>
        <v>#N/A</v>
      </c>
      <c r="X23" s="225" t="e">
        <f>VLOOKUP(Y23,Hanghoa!$B$3:$E$1914,2,0)</f>
        <v>#N/A</v>
      </c>
      <c r="Y23" s="225" t="e">
        <f t="shared" si="70"/>
        <v>#N/A</v>
      </c>
      <c r="Z23" s="300"/>
      <c r="AA23" s="225" t="e">
        <f t="shared" si="60"/>
        <v>#N/A</v>
      </c>
      <c r="AB23" s="225" t="e">
        <f t="shared" si="61"/>
        <v>#N/A</v>
      </c>
      <c r="AC23" s="225"/>
      <c r="AD23" s="225" t="e">
        <f t="shared" si="62"/>
        <v>#N/A</v>
      </c>
      <c r="AE23" s="244" t="e">
        <f t="shared" si="63"/>
        <v>#N/A</v>
      </c>
      <c r="AF23" s="311" t="e">
        <f t="shared" si="71"/>
        <v>#N/A</v>
      </c>
      <c r="AG23" s="244" t="e">
        <f t="shared" si="72"/>
        <v>#N/A</v>
      </c>
      <c r="AH23" s="225" t="e">
        <f>IF(OR(W23="Cont",W23="CT"),VLOOKUP(R23,cthuc!$AQ$3:$AR$44,2,0),"")</f>
        <v>#N/A</v>
      </c>
      <c r="AI23" s="225" t="e">
        <f t="shared" si="64"/>
        <v>#N/A</v>
      </c>
      <c r="AJ23" s="225"/>
      <c r="AK23" s="225" t="e">
        <f t="shared" si="66"/>
        <v>#N/A</v>
      </c>
      <c r="AL23" s="225" t="str">
        <f t="shared" si="67"/>
        <v>188   + Nơi lấy:</v>
      </c>
      <c r="AM23" s="250">
        <f t="shared" si="25"/>
        <v>45490</v>
      </c>
      <c r="AN23" s="225" t="e">
        <f>IF(OR(W23="HS",W23="HP"),"",VLOOKUP(VLOOKUP(AL23,$B$8:$E$671,3,0),cthuc!$AO$3:$AP$142,2,0))</f>
        <v>#N/A</v>
      </c>
      <c r="AO23" s="225" t="e">
        <f t="shared" si="26"/>
        <v>#N/A</v>
      </c>
      <c r="AP23" s="225" t="e">
        <f t="shared" si="68"/>
        <v>#N/A</v>
      </c>
      <c r="AQ23" s="225" t="e">
        <f t="shared" si="28"/>
        <v>#N/A</v>
      </c>
      <c r="AR23" s="225" t="e">
        <f t="shared" si="69"/>
        <v>#N/A</v>
      </c>
      <c r="AS23" s="225">
        <v>1</v>
      </c>
      <c r="AT23" s="251" t="e">
        <f t="shared" si="30"/>
        <v>#N/A</v>
      </c>
      <c r="AV23" s="113" t="e">
        <f>VLOOKUP(BD23,giaroi!$D$6:$N$500,11,0)</f>
        <v>#N/A</v>
      </c>
      <c r="AW23" s="284">
        <f t="shared" si="31"/>
        <v>0</v>
      </c>
      <c r="AX23" s="113" t="s">
        <v>13192</v>
      </c>
      <c r="AY23" s="284" t="e">
        <f t="shared" si="32"/>
        <v>#N/A</v>
      </c>
      <c r="AZ23" s="225" t="e">
        <f t="shared" si="49"/>
        <v>#N/A</v>
      </c>
      <c r="BA23" s="127">
        <f t="shared" si="50"/>
        <v>0</v>
      </c>
      <c r="BB23" s="244">
        <f t="shared" si="51"/>
        <v>0</v>
      </c>
      <c r="BC23" s="225">
        <f t="shared" si="52"/>
        <v>0</v>
      </c>
      <c r="BD23" s="225" t="e">
        <f t="shared" si="53"/>
        <v>#N/A</v>
      </c>
      <c r="BE23" s="225" t="str">
        <f t="shared" si="54"/>
        <v>188   + Số lượng xe:</v>
      </c>
      <c r="BF23" s="225">
        <f t="shared" si="55"/>
        <v>0</v>
      </c>
      <c r="BG23" s="225" t="e">
        <f t="shared" si="56"/>
        <v>#N/A</v>
      </c>
      <c r="BH23" s="225" t="e">
        <f t="shared" si="57"/>
        <v>#N/A</v>
      </c>
      <c r="BI23" s="321" t="str">
        <f t="shared" si="58"/>
        <v/>
      </c>
      <c r="BJ23" s="284">
        <f t="shared" si="40"/>
        <v>0</v>
      </c>
      <c r="BK23" s="284" t="str">
        <f t="shared" si="7"/>
        <v/>
      </c>
      <c r="BL23" s="225" t="str">
        <f t="shared" si="41"/>
        <v>188   + Người ra lệnh:</v>
      </c>
      <c r="BM23" s="225">
        <f t="shared" si="42"/>
        <v>0</v>
      </c>
      <c r="BN23" s="113" t="e">
        <f>VLOOKUP(BM23,[1]Sheet1!$B$3:$C$604,2,0)</f>
        <v>#N/A</v>
      </c>
      <c r="BO23" s="113" t="str">
        <f t="shared" si="43"/>
        <v/>
      </c>
      <c r="BP23" s="351" t="str">
        <f t="shared" si="8"/>
        <v/>
      </c>
      <c r="BQ23" s="372" t="s">
        <v>15134</v>
      </c>
      <c r="BT23" s="113" t="str">
        <f t="shared" si="44"/>
        <v>, 4 xe của Đức Tín, 3 xe của Đức Tín, 1 xe của Đức Tín</v>
      </c>
      <c r="BU23" s="113" t="e">
        <f t="shared" si="45"/>
        <v>#N/A</v>
      </c>
      <c r="BV23" s="380" t="e">
        <f t="shared" si="46"/>
        <v>#N/A</v>
      </c>
      <c r="BW23" s="376" t="e">
        <f t="shared" si="47"/>
        <v>#N/A</v>
      </c>
    </row>
    <row r="24" spans="1:75" ht="15.6" x14ac:dyDescent="0.3">
      <c r="A24" s="113">
        <v>24</v>
      </c>
      <c r="B24" s="113" t="str">
        <f t="shared" si="73"/>
        <v>20Gỗ rời   + Khối lượng:</v>
      </c>
      <c r="C24" t="s">
        <v>15060</v>
      </c>
      <c r="D24" t="s">
        <v>15061</v>
      </c>
      <c r="E24"/>
      <c r="F24"/>
      <c r="G24" s="113" t="str">
        <f>CONCATENATE(A200,C200)</f>
        <v>200</v>
      </c>
      <c r="H24" s="113" t="str">
        <f t="shared" si="0"/>
        <v>200   + Trả cước:</v>
      </c>
      <c r="I24" s="113" t="str">
        <f t="shared" si="1"/>
        <v>200   + Nâng gỗ</v>
      </c>
      <c r="J24" s="113" t="str">
        <f t="shared" si="2"/>
        <v>200   + Nơi nhận</v>
      </c>
      <c r="K24" s="113" t="str">
        <f t="shared" si="3"/>
        <v>200   + Nơi trả:</v>
      </c>
      <c r="L24" s="115" t="str">
        <f t="shared" si="9"/>
        <v>200   + Tiền cước:</v>
      </c>
      <c r="M24" s="115" t="str">
        <f t="shared" si="10"/>
        <v>200   + Cont số:</v>
      </c>
      <c r="N24" s="115" t="str">
        <f t="shared" si="4"/>
        <v>200   + Tiền đường:</v>
      </c>
      <c r="O24" s="115" t="str">
        <f t="shared" si="11"/>
        <v>200   + Loại gỗ:</v>
      </c>
      <c r="P24" s="115" t="str">
        <f t="shared" si="12"/>
        <v>200   + Tiền cước:</v>
      </c>
      <c r="Q24" s="113" t="e">
        <f t="shared" si="13"/>
        <v>#N/A</v>
      </c>
      <c r="R24" s="225" t="e">
        <f>IF((RIGHT(G24,3)="rời"),VLOOKUP(RIGHT(Q24,9),[2]Khach_hangmoi!$J$3:$N$3854,2,0),LEFT(Q24,7))</f>
        <v>#N/A</v>
      </c>
      <c r="S24" s="225" t="e">
        <f>VLOOKUP(R24,[2]Khach_hangmoi!$A$3:$I$4325,2,0)</f>
        <v>#N/A</v>
      </c>
      <c r="T24" s="225" t="e">
        <f>IF(VLOOKUP(R24,[2]Khach_hangmoi!$A$3:$I$4325,5,0)=0,"",VLOOKUP(R24,[2]Khach_hangmoi!$A$3:$I$4325,5,0))</f>
        <v>#N/A</v>
      </c>
      <c r="U24" s="225" t="e">
        <f>VLOOKUP(R24,[2]Khach_hangmoi!$A$3:$I$4325,3,0)</f>
        <v>#N/A</v>
      </c>
      <c r="V24" s="225"/>
      <c r="W24" s="225" t="e">
        <f t="shared" si="65"/>
        <v>#N/A</v>
      </c>
      <c r="X24" s="225" t="e">
        <f>VLOOKUP(Y24,Hanghoa!$B$3:$E$1914,2,0)</f>
        <v>#N/A</v>
      </c>
      <c r="Y24" s="225" t="e">
        <f t="shared" si="70"/>
        <v>#N/A</v>
      </c>
      <c r="Z24" s="300"/>
      <c r="AA24" s="225" t="e">
        <f t="shared" si="60"/>
        <v>#N/A</v>
      </c>
      <c r="AB24" s="225" t="e">
        <f t="shared" si="61"/>
        <v>#N/A</v>
      </c>
      <c r="AC24" s="225"/>
      <c r="AD24" s="225" t="e">
        <f t="shared" si="62"/>
        <v>#N/A</v>
      </c>
      <c r="AE24" s="244" t="e">
        <f t="shared" si="63"/>
        <v>#N/A</v>
      </c>
      <c r="AF24" s="311" t="e">
        <f t="shared" si="71"/>
        <v>#N/A</v>
      </c>
      <c r="AG24" s="244" t="e">
        <f t="shared" si="72"/>
        <v>#N/A</v>
      </c>
      <c r="AH24" s="225" t="e">
        <f>IF(OR(W24="Cont",W24="CT"),VLOOKUP(R24,cthuc!$AQ$3:$AR$44,2,0),"")</f>
        <v>#N/A</v>
      </c>
      <c r="AI24" s="225" t="e">
        <f t="shared" si="64"/>
        <v>#N/A</v>
      </c>
      <c r="AJ24" s="225"/>
      <c r="AK24" s="225" t="e">
        <f t="shared" si="66"/>
        <v>#N/A</v>
      </c>
      <c r="AL24" s="225" t="str">
        <f t="shared" si="67"/>
        <v>200   + Nơi lấy:</v>
      </c>
      <c r="AM24" s="250">
        <f t="shared" si="25"/>
        <v>45490</v>
      </c>
      <c r="AN24" s="225" t="e">
        <f>IF(OR(W24="HS",W24="HP"),"",VLOOKUP(VLOOKUP(AL24,$B$8:$E$671,3,0),cthuc!$AO$3:$AP$142,2,0))</f>
        <v>#N/A</v>
      </c>
      <c r="AO24" s="225" t="e">
        <f t="shared" si="26"/>
        <v>#N/A</v>
      </c>
      <c r="AP24" s="225" t="e">
        <f t="shared" si="68"/>
        <v>#N/A</v>
      </c>
      <c r="AQ24" s="225" t="e">
        <f t="shared" si="28"/>
        <v>#N/A</v>
      </c>
      <c r="AR24" s="225" t="e">
        <f t="shared" si="69"/>
        <v>#N/A</v>
      </c>
      <c r="AS24" s="225">
        <v>1</v>
      </c>
      <c r="AT24" s="251" t="e">
        <f t="shared" si="30"/>
        <v>#N/A</v>
      </c>
      <c r="AV24" s="113" t="e">
        <f>VLOOKUP(BD24,giaroi!$D$6:$N$500,11,0)</f>
        <v>#N/A</v>
      </c>
      <c r="AW24" s="284">
        <f t="shared" si="31"/>
        <v>0</v>
      </c>
      <c r="AX24" s="113" t="s">
        <v>13193</v>
      </c>
      <c r="AY24" s="284" t="e">
        <f t="shared" si="32"/>
        <v>#N/A</v>
      </c>
      <c r="AZ24" s="225" t="e">
        <f t="shared" si="49"/>
        <v>#N/A</v>
      </c>
      <c r="BA24" s="127">
        <f t="shared" si="50"/>
        <v>0</v>
      </c>
      <c r="BB24" s="244">
        <f t="shared" si="51"/>
        <v>0</v>
      </c>
      <c r="BC24" s="225">
        <f t="shared" si="52"/>
        <v>0</v>
      </c>
      <c r="BD24" s="225" t="e">
        <f t="shared" si="53"/>
        <v>#N/A</v>
      </c>
      <c r="BE24" s="225" t="str">
        <f t="shared" si="54"/>
        <v>200   + Số lượng xe:</v>
      </c>
      <c r="BF24" s="225">
        <f t="shared" si="55"/>
        <v>0</v>
      </c>
      <c r="BG24" s="225" t="e">
        <f t="shared" si="56"/>
        <v>#N/A</v>
      </c>
      <c r="BH24" s="225" t="e">
        <f t="shared" si="57"/>
        <v>#N/A</v>
      </c>
      <c r="BI24" s="321" t="str">
        <f t="shared" si="58"/>
        <v/>
      </c>
      <c r="BJ24" s="284">
        <f t="shared" si="40"/>
        <v>0</v>
      </c>
      <c r="BK24" s="284" t="str">
        <f t="shared" si="7"/>
        <v/>
      </c>
      <c r="BL24" s="225" t="str">
        <f t="shared" si="41"/>
        <v>200   + Người ra lệnh:</v>
      </c>
      <c r="BM24" s="225">
        <f t="shared" si="42"/>
        <v>0</v>
      </c>
      <c r="BN24" s="113" t="e">
        <f>VLOOKUP(BM24,[1]Sheet1!$B$3:$C$604,2,0)</f>
        <v>#N/A</v>
      </c>
      <c r="BO24" s="113" t="str">
        <f t="shared" si="43"/>
        <v/>
      </c>
      <c r="BP24" s="351" t="str">
        <f t="shared" si="8"/>
        <v/>
      </c>
      <c r="BT24" s="113" t="str">
        <f t="shared" si="44"/>
        <v>, 4 xe của Đức Tín, 3 xe của Đức Tín, 1 xe của Đức Tín</v>
      </c>
      <c r="BU24" s="113" t="e">
        <f t="shared" si="45"/>
        <v>#N/A</v>
      </c>
      <c r="BV24" s="380" t="e">
        <f t="shared" si="46"/>
        <v>#N/A</v>
      </c>
      <c r="BW24" s="376" t="e">
        <f t="shared" si="47"/>
        <v>#N/A</v>
      </c>
    </row>
    <row r="25" spans="1:75" ht="15.6" x14ac:dyDescent="0.3">
      <c r="A25" s="113">
        <v>25</v>
      </c>
      <c r="B25" s="113" t="str">
        <f t="shared" si="73"/>
        <v>20Gỗ rời   + Số lượng xe:</v>
      </c>
      <c r="C25" t="s">
        <v>15062</v>
      </c>
      <c r="D25">
        <v>1</v>
      </c>
      <c r="E25" t="s">
        <v>15077</v>
      </c>
      <c r="F25"/>
      <c r="G25" s="113" t="str">
        <f>CONCATENATE(A212,C212)</f>
        <v>212</v>
      </c>
      <c r="H25" s="113" t="str">
        <f t="shared" si="0"/>
        <v>212   + Trả cước:</v>
      </c>
      <c r="I25" s="113" t="str">
        <f t="shared" si="1"/>
        <v>212   + Nâng gỗ</v>
      </c>
      <c r="J25" s="113" t="str">
        <f t="shared" si="2"/>
        <v>212   + Nơi nhận</v>
      </c>
      <c r="K25" s="113" t="str">
        <f t="shared" si="3"/>
        <v>212   + Nơi trả:</v>
      </c>
      <c r="L25" s="115" t="str">
        <f t="shared" si="9"/>
        <v>212   + Tiền cước:</v>
      </c>
      <c r="M25" s="115" t="str">
        <f t="shared" si="10"/>
        <v>212   + Cont số:</v>
      </c>
      <c r="N25" s="115" t="str">
        <f t="shared" si="4"/>
        <v>212   + Tiền đường:</v>
      </c>
      <c r="O25" s="115" t="str">
        <f t="shared" si="11"/>
        <v>212   + Loại gỗ:</v>
      </c>
      <c r="P25" s="115" t="str">
        <f t="shared" si="12"/>
        <v>212   + Tiền cước:</v>
      </c>
      <c r="Q25" s="113" t="e">
        <f t="shared" si="13"/>
        <v>#N/A</v>
      </c>
      <c r="R25" s="225" t="e">
        <f>IF((RIGHT(G25,3)="rời"),VLOOKUP(RIGHT(Q25,9),[2]Khach_hangmoi!$J$3:$N$3854,2,0),LEFT(Q25,7))</f>
        <v>#N/A</v>
      </c>
      <c r="S25" s="225" t="e">
        <f>VLOOKUP(R25,[2]Khach_hangmoi!$A$3:$I$4325,2,0)</f>
        <v>#N/A</v>
      </c>
      <c r="T25" s="225" t="e">
        <f>IF(VLOOKUP(R25,[2]Khach_hangmoi!$A$3:$I$4325,5,0)=0,"",VLOOKUP(R25,[2]Khach_hangmoi!$A$3:$I$4325,5,0))</f>
        <v>#N/A</v>
      </c>
      <c r="U25" s="225" t="e">
        <f>VLOOKUP(R25,[2]Khach_hangmoi!$A$3:$I$4325,3,0)</f>
        <v>#N/A</v>
      </c>
      <c r="V25" s="225"/>
      <c r="W25" s="225" t="e">
        <f t="shared" si="65"/>
        <v>#N/A</v>
      </c>
      <c r="X25" s="225" t="e">
        <f>VLOOKUP(Y25,Hanghoa!$B$3:$E$1914,2,0)</f>
        <v>#N/A</v>
      </c>
      <c r="Y25" s="225" t="e">
        <f t="shared" si="70"/>
        <v>#N/A</v>
      </c>
      <c r="Z25" s="300"/>
      <c r="AA25" s="225" t="e">
        <f t="shared" si="60"/>
        <v>#N/A</v>
      </c>
      <c r="AB25" s="225" t="e">
        <f t="shared" si="61"/>
        <v>#N/A</v>
      </c>
      <c r="AC25" s="225"/>
      <c r="AD25" s="225" t="e">
        <f t="shared" si="62"/>
        <v>#N/A</v>
      </c>
      <c r="AE25" s="244" t="e">
        <f t="shared" si="63"/>
        <v>#N/A</v>
      </c>
      <c r="AF25" s="311" t="e">
        <f t="shared" si="71"/>
        <v>#N/A</v>
      </c>
      <c r="AG25" s="244" t="e">
        <f t="shared" si="72"/>
        <v>#N/A</v>
      </c>
      <c r="AH25" s="225" t="e">
        <f>IF(OR(W25="Cont",W25="CT"),VLOOKUP(R25,cthuc!$AQ$3:$AR$44,2,0),"")</f>
        <v>#N/A</v>
      </c>
      <c r="AI25" s="225" t="e">
        <f t="shared" si="64"/>
        <v>#N/A</v>
      </c>
      <c r="AJ25" s="225"/>
      <c r="AK25" s="225" t="e">
        <f t="shared" si="66"/>
        <v>#N/A</v>
      </c>
      <c r="AL25" s="225" t="str">
        <f t="shared" si="67"/>
        <v>212   + Nơi lấy:</v>
      </c>
      <c r="AM25" s="250">
        <f t="shared" si="25"/>
        <v>45490</v>
      </c>
      <c r="AN25" s="225" t="e">
        <f>IF(OR(W25="HS",W25="HP"),"",VLOOKUP(VLOOKUP(AL25,$B$8:$E$671,3,0),cthuc!$AO$3:$AP$142,2,0))</f>
        <v>#N/A</v>
      </c>
      <c r="AO25" s="225" t="e">
        <f t="shared" si="26"/>
        <v>#N/A</v>
      </c>
      <c r="AP25" s="225" t="e">
        <f t="shared" si="68"/>
        <v>#N/A</v>
      </c>
      <c r="AQ25" s="225" t="e">
        <f t="shared" si="28"/>
        <v>#N/A</v>
      </c>
      <c r="AR25" s="225" t="e">
        <f t="shared" si="69"/>
        <v>#N/A</v>
      </c>
      <c r="AS25" s="225">
        <v>1</v>
      </c>
      <c r="AT25" s="251" t="e">
        <f t="shared" si="30"/>
        <v>#N/A</v>
      </c>
      <c r="AV25" s="113" t="e">
        <f>VLOOKUP(BD25,giaroi!$D$6:$N$500,11,0)</f>
        <v>#N/A</v>
      </c>
      <c r="AW25" s="284">
        <f t="shared" si="31"/>
        <v>0</v>
      </c>
      <c r="AX25" s="113" t="s">
        <v>13194</v>
      </c>
      <c r="AY25" s="284" t="e">
        <f t="shared" si="32"/>
        <v>#N/A</v>
      </c>
      <c r="AZ25" s="225" t="e">
        <f t="shared" si="49"/>
        <v>#N/A</v>
      </c>
      <c r="BA25" s="127">
        <f t="shared" si="50"/>
        <v>0</v>
      </c>
      <c r="BB25" s="244">
        <f t="shared" si="51"/>
        <v>0</v>
      </c>
      <c r="BC25" s="225">
        <f t="shared" si="52"/>
        <v>0</v>
      </c>
      <c r="BD25" s="225" t="e">
        <f t="shared" si="53"/>
        <v>#N/A</v>
      </c>
      <c r="BE25" s="225" t="str">
        <f t="shared" si="54"/>
        <v>212   + Số lượng xe:</v>
      </c>
      <c r="BF25" s="225">
        <f t="shared" si="55"/>
        <v>0</v>
      </c>
      <c r="BG25" s="225" t="e">
        <f t="shared" si="56"/>
        <v>#N/A</v>
      </c>
      <c r="BH25" s="225" t="e">
        <f t="shared" si="57"/>
        <v>#N/A</v>
      </c>
      <c r="BI25" s="321" t="str">
        <f t="shared" si="58"/>
        <v/>
      </c>
      <c r="BJ25" s="284">
        <f t="shared" si="40"/>
        <v>0</v>
      </c>
      <c r="BK25" s="284" t="str">
        <f t="shared" si="7"/>
        <v/>
      </c>
      <c r="BL25" s="225" t="str">
        <f t="shared" si="41"/>
        <v>212   + Người ra lệnh:</v>
      </c>
      <c r="BM25" s="225">
        <f t="shared" si="42"/>
        <v>0</v>
      </c>
      <c r="BN25" s="113" t="e">
        <f>VLOOKUP(BM25,[1]Sheet1!$B$3:$C$604,2,0)</f>
        <v>#N/A</v>
      </c>
      <c r="BO25" s="113" t="str">
        <f t="shared" si="43"/>
        <v/>
      </c>
      <c r="BP25" s="351" t="str">
        <f t="shared" si="8"/>
        <v/>
      </c>
      <c r="BT25" s="113" t="str">
        <f t="shared" si="44"/>
        <v>, 4 xe của Đức Tín, 3 xe của Đức Tín, 1 xe của Đức Tín</v>
      </c>
      <c r="BU25" s="113" t="e">
        <f t="shared" si="45"/>
        <v>#N/A</v>
      </c>
      <c r="BV25" s="380" t="e">
        <f t="shared" si="46"/>
        <v>#N/A</v>
      </c>
      <c r="BW25" s="376" t="e">
        <f t="shared" si="47"/>
        <v>#N/A</v>
      </c>
    </row>
    <row r="26" spans="1:75" ht="15.6" x14ac:dyDescent="0.3">
      <c r="A26" s="113">
        <v>26</v>
      </c>
      <c r="B26" s="113" t="str">
        <f t="shared" si="73"/>
        <v>20Gỗ rời   + Người nhận:</v>
      </c>
      <c r="C26" t="s">
        <v>15064</v>
      </c>
      <c r="D26" t="s">
        <v>15064</v>
      </c>
      <c r="E26"/>
      <c r="F26"/>
      <c r="G26" s="113" t="str">
        <f>CONCATENATE(A224,C224)</f>
        <v>224</v>
      </c>
      <c r="H26" s="113" t="str">
        <f t="shared" si="0"/>
        <v>224   + Trả cước:</v>
      </c>
      <c r="I26" s="113" t="str">
        <f t="shared" si="1"/>
        <v>224   + Nâng gỗ</v>
      </c>
      <c r="J26" s="113" t="str">
        <f t="shared" si="2"/>
        <v>224   + Nơi nhận</v>
      </c>
      <c r="K26" s="113" t="str">
        <f t="shared" si="3"/>
        <v>224   + Nơi trả:</v>
      </c>
      <c r="L26" s="115" t="str">
        <f t="shared" si="9"/>
        <v>224   + Tiền cước:</v>
      </c>
      <c r="M26" s="115" t="str">
        <f t="shared" si="10"/>
        <v>224   + Cont số:</v>
      </c>
      <c r="N26" s="115" t="str">
        <f t="shared" si="4"/>
        <v>224   + Tiền đường:</v>
      </c>
      <c r="O26" s="115" t="str">
        <f t="shared" si="11"/>
        <v>224   + Loại gỗ:</v>
      </c>
      <c r="P26" s="115" t="str">
        <f t="shared" si="12"/>
        <v>224   + Tiền cước:</v>
      </c>
      <c r="Q26" s="113" t="e">
        <f t="shared" si="13"/>
        <v>#N/A</v>
      </c>
      <c r="R26" s="225" t="e">
        <f>IF((RIGHT(G26,3)="rời"),VLOOKUP(RIGHT(Q26,9),[2]Khach_hangmoi!$J$3:$N$3854,2,0),LEFT(Q26,7))</f>
        <v>#N/A</v>
      </c>
      <c r="S26" s="225" t="e">
        <f>VLOOKUP(R26,[2]Khach_hangmoi!$A$3:$I$4325,2,0)</f>
        <v>#N/A</v>
      </c>
      <c r="T26" s="225" t="e">
        <f>IF(VLOOKUP(R26,[2]Khach_hangmoi!$A$3:$I$4325,5,0)=0,"",VLOOKUP(R26,[2]Khach_hangmoi!$A$3:$I$4325,5,0))</f>
        <v>#N/A</v>
      </c>
      <c r="U26" s="225" t="e">
        <f>VLOOKUP(R26,[2]Khach_hangmoi!$A$3:$I$4325,3,0)</f>
        <v>#N/A</v>
      </c>
      <c r="V26" s="225"/>
      <c r="W26" s="225" t="e">
        <f t="shared" si="65"/>
        <v>#N/A</v>
      </c>
      <c r="X26" s="225" t="e">
        <f>VLOOKUP(Y26,Hanghoa!$B$3:$E$1914,2,0)</f>
        <v>#N/A</v>
      </c>
      <c r="Y26" s="225" t="e">
        <f t="shared" si="70"/>
        <v>#N/A</v>
      </c>
      <c r="Z26" s="300"/>
      <c r="AA26" s="225" t="e">
        <f t="shared" si="60"/>
        <v>#N/A</v>
      </c>
      <c r="AB26" s="225" t="e">
        <f t="shared" si="61"/>
        <v>#N/A</v>
      </c>
      <c r="AC26" s="225"/>
      <c r="AD26" s="225" t="e">
        <f t="shared" si="62"/>
        <v>#N/A</v>
      </c>
      <c r="AE26" s="244" t="e">
        <f t="shared" si="63"/>
        <v>#N/A</v>
      </c>
      <c r="AF26" s="311" t="e">
        <f t="shared" si="71"/>
        <v>#N/A</v>
      </c>
      <c r="AG26" s="244" t="e">
        <f t="shared" si="72"/>
        <v>#N/A</v>
      </c>
      <c r="AH26" s="225" t="e">
        <f>IF(OR(W26="Cont",W26="CT"),VLOOKUP(R26,cthuc!$AQ$3:$AR$44,2,0),"")</f>
        <v>#N/A</v>
      </c>
      <c r="AI26" s="225" t="e">
        <f t="shared" si="64"/>
        <v>#N/A</v>
      </c>
      <c r="AJ26" s="225"/>
      <c r="AK26" s="225" t="e">
        <f t="shared" si="66"/>
        <v>#N/A</v>
      </c>
      <c r="AL26" s="225" t="str">
        <f t="shared" si="67"/>
        <v>224   + Nơi lấy:</v>
      </c>
      <c r="AM26" s="250">
        <f t="shared" si="25"/>
        <v>45490</v>
      </c>
      <c r="AN26" s="225" t="e">
        <f>IF(OR(W26="HS",W26="HP"),"",VLOOKUP(VLOOKUP(AL26,$B$8:$E$671,3,0),cthuc!$AO$3:$AP$142,2,0))</f>
        <v>#N/A</v>
      </c>
      <c r="AO26" s="225" t="e">
        <f t="shared" si="26"/>
        <v>#N/A</v>
      </c>
      <c r="AP26" s="225" t="e">
        <f t="shared" si="68"/>
        <v>#N/A</v>
      </c>
      <c r="AQ26" s="225" t="e">
        <f t="shared" si="28"/>
        <v>#N/A</v>
      </c>
      <c r="AR26" s="225" t="e">
        <f t="shared" si="69"/>
        <v>#N/A</v>
      </c>
      <c r="AS26" s="225">
        <v>1</v>
      </c>
      <c r="AT26" s="251" t="e">
        <f t="shared" si="30"/>
        <v>#N/A</v>
      </c>
      <c r="AV26" s="113" t="e">
        <f>VLOOKUP(BD26,giaroi!$D$6:$N$500,11,0)</f>
        <v>#N/A</v>
      </c>
      <c r="AW26" s="284">
        <f t="shared" si="31"/>
        <v>0</v>
      </c>
      <c r="AX26" s="113" t="s">
        <v>13195</v>
      </c>
      <c r="AY26" s="284" t="e">
        <f t="shared" si="32"/>
        <v>#N/A</v>
      </c>
      <c r="AZ26" s="225" t="e">
        <f t="shared" si="49"/>
        <v>#N/A</v>
      </c>
      <c r="BA26" s="127">
        <f t="shared" si="50"/>
        <v>0</v>
      </c>
      <c r="BB26" s="244">
        <f t="shared" si="51"/>
        <v>0</v>
      </c>
      <c r="BC26" s="225">
        <f t="shared" si="52"/>
        <v>0</v>
      </c>
      <c r="BD26" s="225" t="e">
        <f t="shared" si="53"/>
        <v>#N/A</v>
      </c>
      <c r="BE26" s="225" t="str">
        <f t="shared" si="54"/>
        <v>224   + Số lượng xe:</v>
      </c>
      <c r="BF26" s="225">
        <f t="shared" si="55"/>
        <v>0</v>
      </c>
      <c r="BG26" s="225" t="e">
        <f t="shared" si="56"/>
        <v>#N/A</v>
      </c>
      <c r="BH26" s="225" t="e">
        <f t="shared" si="57"/>
        <v>#N/A</v>
      </c>
      <c r="BI26" s="321" t="str">
        <f t="shared" si="58"/>
        <v/>
      </c>
      <c r="BJ26" s="284">
        <f t="shared" si="40"/>
        <v>0</v>
      </c>
      <c r="BK26" s="284" t="str">
        <f t="shared" si="7"/>
        <v/>
      </c>
      <c r="BL26" s="225" t="str">
        <f t="shared" si="41"/>
        <v>224   + Người ra lệnh:</v>
      </c>
      <c r="BM26" s="225">
        <f t="shared" si="42"/>
        <v>0</v>
      </c>
      <c r="BN26" s="113" t="e">
        <f>VLOOKUP(BM26,[1]Sheet1!$B$3:$C$604,2,0)</f>
        <v>#N/A</v>
      </c>
      <c r="BO26" s="113" t="str">
        <f t="shared" si="43"/>
        <v/>
      </c>
      <c r="BP26" s="351" t="str">
        <f t="shared" si="8"/>
        <v/>
      </c>
      <c r="BT26" s="113" t="str">
        <f t="shared" si="44"/>
        <v>, 4 xe của Đức Tín, 3 xe của Đức Tín, 1 xe của Đức Tín</v>
      </c>
      <c r="BU26" s="113" t="e">
        <f t="shared" si="45"/>
        <v>#N/A</v>
      </c>
      <c r="BV26" s="380" t="e">
        <f t="shared" si="46"/>
        <v>#N/A</v>
      </c>
      <c r="BW26" s="376" t="e">
        <f t="shared" si="47"/>
        <v>#N/A</v>
      </c>
    </row>
    <row r="27" spans="1:75" ht="15.6" x14ac:dyDescent="0.3">
      <c r="A27" s="113">
        <v>27</v>
      </c>
      <c r="B27" s="113" t="str">
        <f t="shared" si="73"/>
        <v>20Gỗ rời   + Nơi nhận:</v>
      </c>
      <c r="C27" t="s">
        <v>15065</v>
      </c>
      <c r="D27" t="s">
        <v>15078</v>
      </c>
      <c r="E27" s="128"/>
      <c r="F27"/>
      <c r="G27" s="113" t="str">
        <f>CONCATENATE(A236,C236)</f>
        <v>236</v>
      </c>
      <c r="H27" s="113" t="str">
        <f t="shared" si="0"/>
        <v>236   + Trả cước:</v>
      </c>
      <c r="I27" s="113" t="str">
        <f t="shared" si="1"/>
        <v>236   + Nâng gỗ</v>
      </c>
      <c r="J27" s="113" t="str">
        <f t="shared" si="2"/>
        <v>236   + Nơi nhận</v>
      </c>
      <c r="K27" s="113" t="str">
        <f t="shared" si="3"/>
        <v>236   + Nơi trả:</v>
      </c>
      <c r="L27" s="115" t="str">
        <f t="shared" si="9"/>
        <v>236   + Tiền cước:</v>
      </c>
      <c r="M27" s="115" t="str">
        <f t="shared" si="10"/>
        <v>236   + Cont số:</v>
      </c>
      <c r="N27" s="115" t="str">
        <f t="shared" si="4"/>
        <v>236   + Tiền đường:</v>
      </c>
      <c r="O27" s="115" t="str">
        <f t="shared" si="11"/>
        <v>236   + Loại gỗ:</v>
      </c>
      <c r="P27" s="115" t="str">
        <f t="shared" si="12"/>
        <v>236   + Tiền cước:</v>
      </c>
      <c r="Q27" s="113" t="e">
        <f t="shared" si="13"/>
        <v>#N/A</v>
      </c>
      <c r="R27" s="225" t="e">
        <f>IF((RIGHT(G27,3)="rời"),VLOOKUP(RIGHT(Q27,9),[2]Khach_hangmoi!$J$3:$N$3854,2,0),LEFT(Q27,7))</f>
        <v>#N/A</v>
      </c>
      <c r="S27" s="225" t="e">
        <f>VLOOKUP(R27,[2]Khach_hangmoi!$A$3:$I$4325,2,0)</f>
        <v>#N/A</v>
      </c>
      <c r="T27" s="225" t="e">
        <f>IF(VLOOKUP(R27,[2]Khach_hangmoi!$A$3:$I$4325,5,0)=0,"",VLOOKUP(R27,[2]Khach_hangmoi!$A$3:$I$4325,5,0))</f>
        <v>#N/A</v>
      </c>
      <c r="U27" s="225" t="e">
        <f>VLOOKUP(R27,[2]Khach_hangmoi!$A$3:$I$4325,3,0)</f>
        <v>#N/A</v>
      </c>
      <c r="V27" s="225"/>
      <c r="W27" s="225" t="e">
        <f t="shared" si="65"/>
        <v>#N/A</v>
      </c>
      <c r="X27" s="225" t="e">
        <f>VLOOKUP(Y27,Hanghoa!$B$3:$E$1914,2,0)</f>
        <v>#N/A</v>
      </c>
      <c r="Y27" s="225" t="e">
        <f t="shared" si="70"/>
        <v>#N/A</v>
      </c>
      <c r="Z27" s="300"/>
      <c r="AA27" s="225" t="e">
        <f t="shared" si="60"/>
        <v>#N/A</v>
      </c>
      <c r="AB27" s="225" t="e">
        <f t="shared" si="61"/>
        <v>#N/A</v>
      </c>
      <c r="AC27" s="225"/>
      <c r="AD27" s="225" t="e">
        <f t="shared" si="62"/>
        <v>#N/A</v>
      </c>
      <c r="AE27" s="244" t="e">
        <f t="shared" si="63"/>
        <v>#N/A</v>
      </c>
      <c r="AF27" s="311" t="e">
        <f t="shared" si="71"/>
        <v>#N/A</v>
      </c>
      <c r="AG27" s="244" t="e">
        <f t="shared" si="72"/>
        <v>#N/A</v>
      </c>
      <c r="AH27" s="225" t="e">
        <f>IF(OR(W27="Cont",W27="CT"),VLOOKUP(R27,cthuc!$AQ$3:$AR$44,2,0),"")</f>
        <v>#N/A</v>
      </c>
      <c r="AI27" s="225" t="e">
        <f t="shared" si="64"/>
        <v>#N/A</v>
      </c>
      <c r="AJ27" s="225"/>
      <c r="AK27" s="225" t="e">
        <f t="shared" si="66"/>
        <v>#N/A</v>
      </c>
      <c r="AL27" s="225" t="str">
        <f t="shared" si="67"/>
        <v>236   + Nơi lấy:</v>
      </c>
      <c r="AM27" s="250">
        <f t="shared" si="25"/>
        <v>45490</v>
      </c>
      <c r="AN27" s="225" t="e">
        <f>IF(OR(W27="HS",W27="HP"),"",VLOOKUP(VLOOKUP(AL27,$B$8:$E$671,3,0),cthuc!$AO$3:$AP$142,2,0))</f>
        <v>#N/A</v>
      </c>
      <c r="AO27" s="225" t="e">
        <f t="shared" si="26"/>
        <v>#N/A</v>
      </c>
      <c r="AP27" s="225" t="e">
        <f t="shared" si="68"/>
        <v>#N/A</v>
      </c>
      <c r="AQ27" s="225" t="e">
        <f t="shared" si="28"/>
        <v>#N/A</v>
      </c>
      <c r="AR27" s="225" t="e">
        <f t="shared" si="69"/>
        <v>#N/A</v>
      </c>
      <c r="AS27" s="225">
        <v>1</v>
      </c>
      <c r="AT27" s="251" t="e">
        <f t="shared" si="30"/>
        <v>#N/A</v>
      </c>
      <c r="AV27" s="113" t="e">
        <f>VLOOKUP(BD27,giaroi!$D$6:$N$500,11,0)</f>
        <v>#N/A</v>
      </c>
      <c r="AW27" s="284">
        <f t="shared" si="31"/>
        <v>0</v>
      </c>
      <c r="AX27" s="113" t="s">
        <v>13196</v>
      </c>
      <c r="AY27" s="284" t="e">
        <f t="shared" si="32"/>
        <v>#N/A</v>
      </c>
      <c r="AZ27" s="225" t="e">
        <f t="shared" si="49"/>
        <v>#N/A</v>
      </c>
      <c r="BA27" s="127">
        <f t="shared" si="50"/>
        <v>0</v>
      </c>
      <c r="BB27" s="244">
        <f t="shared" si="51"/>
        <v>0</v>
      </c>
      <c r="BC27" s="225">
        <f t="shared" si="52"/>
        <v>0</v>
      </c>
      <c r="BD27" s="225" t="e">
        <f t="shared" si="53"/>
        <v>#N/A</v>
      </c>
      <c r="BE27" s="225" t="str">
        <f t="shared" si="54"/>
        <v>236   + Số lượng xe:</v>
      </c>
      <c r="BF27" s="225">
        <f t="shared" si="55"/>
        <v>0</v>
      </c>
      <c r="BG27" s="225" t="e">
        <f t="shared" si="56"/>
        <v>#N/A</v>
      </c>
      <c r="BH27" s="225" t="e">
        <f t="shared" si="57"/>
        <v>#N/A</v>
      </c>
      <c r="BI27" s="321" t="str">
        <f t="shared" si="58"/>
        <v/>
      </c>
      <c r="BJ27" s="284">
        <f t="shared" si="40"/>
        <v>0</v>
      </c>
      <c r="BK27" s="284" t="str">
        <f t="shared" si="7"/>
        <v/>
      </c>
      <c r="BL27" s="225" t="str">
        <f t="shared" si="41"/>
        <v>236   + Người ra lệnh:</v>
      </c>
      <c r="BM27" s="225">
        <f t="shared" si="42"/>
        <v>0</v>
      </c>
      <c r="BN27" s="113" t="e">
        <f>VLOOKUP(BM27,[1]Sheet1!$B$3:$C$604,2,0)</f>
        <v>#N/A</v>
      </c>
      <c r="BO27" s="113" t="str">
        <f t="shared" si="43"/>
        <v/>
      </c>
      <c r="BP27" s="351" t="str">
        <f t="shared" si="8"/>
        <v/>
      </c>
      <c r="BT27" s="113" t="str">
        <f t="shared" si="44"/>
        <v>, 4 xe của Đức Tín, 3 xe của Đức Tín, 1 xe của Đức Tín</v>
      </c>
      <c r="BU27" s="113" t="e">
        <f t="shared" si="45"/>
        <v>#N/A</v>
      </c>
      <c r="BV27" s="380" t="e">
        <f t="shared" si="46"/>
        <v>#N/A</v>
      </c>
      <c r="BW27" s="376" t="e">
        <f t="shared" si="47"/>
        <v>#N/A</v>
      </c>
    </row>
    <row r="28" spans="1:75" ht="15.6" x14ac:dyDescent="0.3">
      <c r="A28" s="113">
        <v>28</v>
      </c>
      <c r="B28" s="113" t="str">
        <f t="shared" si="73"/>
        <v>20Gỗ rời   + Đơn giá (đ/cont):</v>
      </c>
      <c r="C28" t="s">
        <v>15067</v>
      </c>
      <c r="D28">
        <v>300</v>
      </c>
      <c r="E28" s="128">
        <v>1</v>
      </c>
      <c r="F28"/>
      <c r="G28" s="113" t="str">
        <f>CONCATENATE(A248,C248)</f>
        <v>248</v>
      </c>
      <c r="H28" s="113" t="str">
        <f t="shared" si="0"/>
        <v>248   + Trả cước:</v>
      </c>
      <c r="I28" s="113" t="str">
        <f t="shared" si="1"/>
        <v>248   + Nâng gỗ</v>
      </c>
      <c r="J28" s="113" t="str">
        <f t="shared" si="2"/>
        <v>248   + Nơi nhận</v>
      </c>
      <c r="K28" s="113" t="str">
        <f t="shared" si="3"/>
        <v>248   + Nơi trả:</v>
      </c>
      <c r="L28" s="115" t="str">
        <f t="shared" si="9"/>
        <v>248   + Tiền cước:</v>
      </c>
      <c r="M28" s="115" t="str">
        <f t="shared" si="10"/>
        <v>248   + Cont số:</v>
      </c>
      <c r="N28" s="115" t="str">
        <f t="shared" si="4"/>
        <v>248   + Tiền đường:</v>
      </c>
      <c r="O28" s="115" t="str">
        <f t="shared" si="11"/>
        <v>248   + Loại gỗ:</v>
      </c>
      <c r="P28" s="115" t="str">
        <f t="shared" si="12"/>
        <v>248   + Tiền cước:</v>
      </c>
      <c r="Q28" s="113" t="e">
        <f t="shared" si="13"/>
        <v>#N/A</v>
      </c>
      <c r="R28" s="225" t="e">
        <f>IF((RIGHT(G28,3)="rời"),VLOOKUP(RIGHT(Q28,9),[2]Khach_hangmoi!$J$3:$N$3854,2,0),LEFT(Q28,7))</f>
        <v>#N/A</v>
      </c>
      <c r="S28" s="225" t="e">
        <f>VLOOKUP(R28,[2]Khach_hangmoi!$A$3:$I$4325,2,0)</f>
        <v>#N/A</v>
      </c>
      <c r="T28" s="225" t="e">
        <f>IF(VLOOKUP(R28,[2]Khach_hangmoi!$A$3:$I$4325,5,0)=0,"",VLOOKUP(R28,[2]Khach_hangmoi!$A$3:$I$4325,5,0))</f>
        <v>#N/A</v>
      </c>
      <c r="U28" s="225" t="e">
        <f>VLOOKUP(R28,[2]Khach_hangmoi!$A$3:$I$4325,3,0)</f>
        <v>#N/A</v>
      </c>
      <c r="V28" s="225"/>
      <c r="W28" s="225" t="e">
        <f t="shared" si="65"/>
        <v>#N/A</v>
      </c>
      <c r="X28" s="225" t="e">
        <f>VLOOKUP(Y28,Hanghoa!$B$3:$E$1914,2,0)</f>
        <v>#N/A</v>
      </c>
      <c r="Y28" s="225" t="e">
        <f t="shared" si="70"/>
        <v>#N/A</v>
      </c>
      <c r="Z28" s="300"/>
      <c r="AA28" s="225" t="e">
        <f t="shared" si="60"/>
        <v>#N/A</v>
      </c>
      <c r="AB28" s="225" t="e">
        <f t="shared" si="61"/>
        <v>#N/A</v>
      </c>
      <c r="AC28" s="225"/>
      <c r="AD28" s="225" t="e">
        <f t="shared" si="62"/>
        <v>#N/A</v>
      </c>
      <c r="AE28" s="244" t="e">
        <f t="shared" si="63"/>
        <v>#N/A</v>
      </c>
      <c r="AF28" s="311" t="e">
        <f t="shared" si="71"/>
        <v>#N/A</v>
      </c>
      <c r="AG28" s="244" t="e">
        <f t="shared" si="72"/>
        <v>#N/A</v>
      </c>
      <c r="AH28" s="225" t="e">
        <f>IF(OR(W28="Cont",W28="CT"),VLOOKUP(R28,cthuc!$AQ$3:$AR$44,2,0),"")</f>
        <v>#N/A</v>
      </c>
      <c r="AI28" s="225" t="e">
        <f t="shared" si="64"/>
        <v>#N/A</v>
      </c>
      <c r="AJ28" s="225"/>
      <c r="AK28" s="225" t="e">
        <f t="shared" si="66"/>
        <v>#N/A</v>
      </c>
      <c r="AL28" s="225" t="str">
        <f t="shared" si="67"/>
        <v>248   + Nơi lấy:</v>
      </c>
      <c r="AM28" s="250">
        <f t="shared" si="25"/>
        <v>45490</v>
      </c>
      <c r="AN28" s="225" t="e">
        <f>IF(OR(W28="HS",W28="HP"),"",VLOOKUP(VLOOKUP(AL28,$B$8:$E$671,3,0),cthuc!$AO$3:$AP$142,2,0))</f>
        <v>#N/A</v>
      </c>
      <c r="AO28" s="225" t="e">
        <f t="shared" si="26"/>
        <v>#N/A</v>
      </c>
      <c r="AP28" s="225" t="e">
        <f t="shared" si="68"/>
        <v>#N/A</v>
      </c>
      <c r="AQ28" s="225" t="e">
        <f t="shared" si="28"/>
        <v>#N/A</v>
      </c>
      <c r="AR28" s="225" t="e">
        <f t="shared" si="69"/>
        <v>#N/A</v>
      </c>
      <c r="AS28" s="225">
        <v>1</v>
      </c>
      <c r="AT28" s="251" t="e">
        <f t="shared" si="30"/>
        <v>#N/A</v>
      </c>
      <c r="AV28" s="113" t="e">
        <f>VLOOKUP(BD28,giaroi!$D$6:$N$500,11,0)</f>
        <v>#N/A</v>
      </c>
      <c r="AW28" s="284">
        <f t="shared" si="31"/>
        <v>0</v>
      </c>
      <c r="AX28" s="113" t="s">
        <v>13197</v>
      </c>
      <c r="AY28" s="284" t="e">
        <f t="shared" si="32"/>
        <v>#N/A</v>
      </c>
      <c r="AZ28" s="225" t="e">
        <f t="shared" si="49"/>
        <v>#N/A</v>
      </c>
      <c r="BA28" s="127">
        <f t="shared" si="50"/>
        <v>0</v>
      </c>
      <c r="BB28" s="244">
        <f t="shared" si="51"/>
        <v>0</v>
      </c>
      <c r="BC28" s="225">
        <f t="shared" si="52"/>
        <v>0</v>
      </c>
      <c r="BD28" s="225" t="e">
        <f t="shared" si="53"/>
        <v>#N/A</v>
      </c>
      <c r="BE28" s="225" t="str">
        <f t="shared" si="54"/>
        <v>248   + Số lượng xe:</v>
      </c>
      <c r="BF28" s="225">
        <f t="shared" si="55"/>
        <v>0</v>
      </c>
      <c r="BG28" s="225" t="e">
        <f t="shared" si="56"/>
        <v>#N/A</v>
      </c>
      <c r="BH28" s="225" t="e">
        <f t="shared" si="57"/>
        <v>#N/A</v>
      </c>
      <c r="BI28" s="321" t="str">
        <f t="shared" si="58"/>
        <v/>
      </c>
      <c r="BJ28" s="284">
        <f t="shared" si="40"/>
        <v>0</v>
      </c>
      <c r="BK28" s="284" t="str">
        <f t="shared" si="7"/>
        <v/>
      </c>
      <c r="BL28" s="225" t="str">
        <f t="shared" si="41"/>
        <v>248   + Người ra lệnh:</v>
      </c>
      <c r="BM28" s="225">
        <f t="shared" si="42"/>
        <v>0</v>
      </c>
      <c r="BN28" s="113" t="e">
        <f>VLOOKUP(BM28,[1]Sheet1!$B$3:$C$604,2,0)</f>
        <v>#N/A</v>
      </c>
      <c r="BO28" s="113" t="str">
        <f t="shared" si="43"/>
        <v/>
      </c>
      <c r="BP28" s="351" t="str">
        <f t="shared" si="8"/>
        <v/>
      </c>
      <c r="BT28" s="113" t="str">
        <f t="shared" si="44"/>
        <v>, 4 xe của Đức Tín, 3 xe của Đức Tín, 1 xe của Đức Tín</v>
      </c>
      <c r="BU28" s="113" t="e">
        <f t="shared" si="45"/>
        <v>#N/A</v>
      </c>
      <c r="BV28" s="380" t="e">
        <f t="shared" si="46"/>
        <v>#N/A</v>
      </c>
      <c r="BW28" s="376" t="e">
        <f t="shared" si="47"/>
        <v>#N/A</v>
      </c>
    </row>
    <row r="29" spans="1:75" ht="15.6" x14ac:dyDescent="0.3">
      <c r="A29" s="113">
        <v>29</v>
      </c>
      <c r="B29" s="113" t="str">
        <f t="shared" si="73"/>
        <v>20Gỗ rời   + Tiền cước:</v>
      </c>
      <c r="C29" t="s">
        <v>15068</v>
      </c>
      <c r="D29" t="s">
        <v>15068</v>
      </c>
      <c r="E29"/>
      <c r="F29" t="s">
        <v>15069</v>
      </c>
      <c r="G29" s="113" t="str">
        <f>CONCATENATE(A260,C260)</f>
        <v>260</v>
      </c>
      <c r="H29" s="113" t="str">
        <f t="shared" si="0"/>
        <v>260   + Trả cước:</v>
      </c>
      <c r="I29" s="113" t="str">
        <f t="shared" si="1"/>
        <v>260   + Nâng gỗ</v>
      </c>
      <c r="J29" s="113" t="str">
        <f t="shared" si="2"/>
        <v>260   + Nơi nhận</v>
      </c>
      <c r="K29" s="113" t="str">
        <f t="shared" si="3"/>
        <v>260   + Nơi trả:</v>
      </c>
      <c r="L29" s="115" t="str">
        <f t="shared" si="9"/>
        <v>260   + Tiền cước:</v>
      </c>
      <c r="M29" s="115" t="str">
        <f t="shared" si="10"/>
        <v>260   + Cont số:</v>
      </c>
      <c r="N29" s="115" t="str">
        <f t="shared" si="4"/>
        <v>260   + Tiền đường:</v>
      </c>
      <c r="O29" s="115" t="str">
        <f t="shared" si="11"/>
        <v>260   + Loại gỗ:</v>
      </c>
      <c r="P29" s="115" t="str">
        <f t="shared" si="12"/>
        <v>260   + Tiền cước:</v>
      </c>
      <c r="Q29" s="113" t="e">
        <f t="shared" si="13"/>
        <v>#N/A</v>
      </c>
      <c r="R29" s="225" t="e">
        <f>IF((RIGHT(G29,3)="rời"),VLOOKUP(RIGHT(Q29,9),[2]Khach_hangmoi!$J$3:$N$3854,2,0),LEFT(Q29,7))</f>
        <v>#N/A</v>
      </c>
      <c r="S29" s="225" t="e">
        <f>VLOOKUP(R29,[2]Khach_hangmoi!$A$3:$I$4325,2,0)</f>
        <v>#N/A</v>
      </c>
      <c r="T29" s="225" t="e">
        <f>IF(VLOOKUP(R29,[2]Khach_hangmoi!$A$3:$I$4325,5,0)=0,"",VLOOKUP(R29,[2]Khach_hangmoi!$A$3:$I$4325,5,0))</f>
        <v>#N/A</v>
      </c>
      <c r="U29" s="225" t="e">
        <f>VLOOKUP(R29,[2]Khach_hangmoi!$A$3:$I$4325,3,0)</f>
        <v>#N/A</v>
      </c>
      <c r="V29" s="225"/>
      <c r="W29" s="225" t="e">
        <f t="shared" ref="W29:W40" si="74">IF(IF(IFERROR(FIND("Cont đường dài",N29),-1)&gt;0,"Cont",VLOOKUP(I29,$B$8:$E$670,3,0))="Hoàng Sơn","HS",IF(IF(IFERROR(FIND("Cont đường dài",N29),-1)&gt;0,"Cont",VLOOKUP(I29,$B$8:$E$670,3,0))="Hiệp Phương","HP",IF(IFERROR(FIND("Cont đường dài",N29),-1)&gt;0,"Cont",VLOOKUP(I29,$B$8:$E$670,3,0))))</f>
        <v>#N/A</v>
      </c>
      <c r="X29" s="225" t="e">
        <f>VLOOKUP(Y29,Hanghoa!$B$3:$E$1914,2,0)</f>
        <v>#N/A</v>
      </c>
      <c r="Y29" s="225" t="e">
        <f t="shared" ref="Y29:Y40" si="75">CONCATENATE("DKG&lt;-&gt;",VLOOKUP(K29,$B$8:$E$670,3,0))</f>
        <v>#N/A</v>
      </c>
      <c r="Z29" s="300"/>
      <c r="AA29" s="225" t="e">
        <f t="shared" ref="AA29:AA70" si="76">SUBSTITUTE(IF(IFERROR(FIND("Cont đường dài",N29),-1)&gt;0,MID(N29,FIND("Lô",N29),9),VLOOKUP(O29,$B$8:$E$670,3,0)),"Lô ","")</f>
        <v>#N/A</v>
      </c>
      <c r="AB29" s="225" t="e">
        <f t="shared" ref="AB29:AB49" si="77">IFERROR(IF(FIND("x",AA29)=2,CONCATENATE("0",AA29),AA29),AA29)</f>
        <v>#N/A</v>
      </c>
      <c r="AC29" s="225"/>
      <c r="AD29" s="225" t="e">
        <f t="shared" ref="AD29:AD49" si="78">SUBSTITUTE(CONCATENATE(VLOOKUP(M29,$B$8:$E$670,3,0),IFERROR(VLOOKUP(CONCATENATE(G29,"   + Lưu ý:"),$B$8:$E$670,3,0),"")),"   + Lưu ý:","")</f>
        <v>#N/A</v>
      </c>
      <c r="AE29" s="244" t="e">
        <f t="shared" ref="AE29:AE72" si="79">VALUE(IF(SUBSTITUTE(SUBSTITUTE(VLOOKUP(L29,$B$8:$E$670,3,0),",","")," đồng/cont","")-10000&lt;0,SUBSTITUTE(SUBSTITUTE(VLOOKUP(L29,$B$8:$E$670,3,0),",","")," đồng/cont","")*1000,SUBSTITUTE(SUBSTITUTE(VLOOKUP(L29,$B$8:$E$670,3,0),",","")," đồng/cont","")))</f>
        <v>#N/A</v>
      </c>
      <c r="AF29" s="311" t="e">
        <f t="shared" si="71"/>
        <v>#N/A</v>
      </c>
      <c r="AG29" s="244" t="e">
        <f t="shared" ref="AG29:AG49" si="80">VALUE(IF(W29="Cont",SUBSTITUTE(SUBSTITUTE(VLOOKUP(N29,$B$8:$E$670,3,0),",","")," đồng/xe",""),SUBSTITUTE(VLOOKUP(N29,$B$8:$E$370,3,0),",","")+100000))</f>
        <v>#N/A</v>
      </c>
      <c r="AH29" s="225" t="e">
        <f>IF(OR(W29="Cont",W29="CT"),VLOOKUP(R29,cthuc!$AQ$3:$AR$44,2,0),"")</f>
        <v>#N/A</v>
      </c>
      <c r="AI29" s="225" t="e">
        <f t="shared" ref="AI29:AI49" si="81">CONCATENATE(VLOOKUP(P29,$B$8:$E$670,3,0),VLOOKUP(P29,$B$8:$E$670,4,0))</f>
        <v>#N/A</v>
      </c>
      <c r="AJ29" s="225"/>
      <c r="AK29" s="225" t="e">
        <f t="shared" si="66"/>
        <v>#N/A</v>
      </c>
      <c r="AL29" s="225" t="str">
        <f t="shared" si="67"/>
        <v>260   + Nơi lấy:</v>
      </c>
      <c r="AM29" s="250">
        <f t="shared" si="25"/>
        <v>45490</v>
      </c>
      <c r="AN29" s="225" t="e">
        <f>IF(OR(W29="HS",W29="HP"),"",VLOOKUP(VLOOKUP(AL29,$B$8:$E$671,3,0),cthuc!$AO$3:$AP$142,2,0))</f>
        <v>#N/A</v>
      </c>
      <c r="AO29" s="225" t="e">
        <f t="shared" si="26"/>
        <v>#N/A</v>
      </c>
      <c r="AP29" s="225" t="e">
        <f t="shared" si="68"/>
        <v>#N/A</v>
      </c>
      <c r="AQ29" s="225" t="e">
        <f t="shared" si="28"/>
        <v>#N/A</v>
      </c>
      <c r="AR29" s="225" t="e">
        <f t="shared" si="69"/>
        <v>#N/A</v>
      </c>
      <c r="AS29" s="225">
        <v>1</v>
      </c>
      <c r="AT29" s="251" t="e">
        <f t="shared" si="30"/>
        <v>#N/A</v>
      </c>
      <c r="AV29" s="113" t="e">
        <f>VLOOKUP(BD29,giaroi!$D$6:$N$500,11,0)</f>
        <v>#N/A</v>
      </c>
      <c r="AW29" s="284">
        <f t="shared" si="31"/>
        <v>0</v>
      </c>
      <c r="AX29" s="113" t="s">
        <v>13198</v>
      </c>
      <c r="AY29" s="284" t="e">
        <f t="shared" si="32"/>
        <v>#N/A</v>
      </c>
      <c r="AZ29" s="225" t="e">
        <f t="shared" si="49"/>
        <v>#N/A</v>
      </c>
      <c r="BA29" s="127">
        <f t="shared" si="50"/>
        <v>0</v>
      </c>
      <c r="BB29" s="244">
        <f t="shared" si="51"/>
        <v>0</v>
      </c>
      <c r="BC29" s="225">
        <f t="shared" si="52"/>
        <v>0</v>
      </c>
      <c r="BD29" s="225" t="e">
        <f t="shared" si="53"/>
        <v>#N/A</v>
      </c>
      <c r="BE29" s="225" t="str">
        <f t="shared" si="54"/>
        <v>260   + Số lượng xe:</v>
      </c>
      <c r="BF29" s="225">
        <f t="shared" si="55"/>
        <v>0</v>
      </c>
      <c r="BG29" s="225" t="e">
        <f t="shared" si="56"/>
        <v>#N/A</v>
      </c>
      <c r="BH29" s="225" t="e">
        <f t="shared" si="57"/>
        <v>#N/A</v>
      </c>
      <c r="BI29" s="321" t="str">
        <f t="shared" si="58"/>
        <v/>
      </c>
      <c r="BJ29" s="284">
        <f t="shared" si="40"/>
        <v>0</v>
      </c>
      <c r="BK29" s="284" t="str">
        <f t="shared" si="7"/>
        <v/>
      </c>
      <c r="BL29" s="225" t="str">
        <f t="shared" si="41"/>
        <v>260   + Người ra lệnh:</v>
      </c>
      <c r="BM29" s="225">
        <f t="shared" si="42"/>
        <v>0</v>
      </c>
      <c r="BN29" s="113" t="e">
        <f>VLOOKUP(BM29,[1]Sheet1!$B$3:$C$604,2,0)</f>
        <v>#N/A</v>
      </c>
      <c r="BO29" s="113" t="str">
        <f t="shared" si="43"/>
        <v/>
      </c>
      <c r="BP29" s="351" t="str">
        <f t="shared" si="8"/>
        <v/>
      </c>
      <c r="BS29" s="319" t="str">
        <f>SUBSTITUTE(CONCATENATE("(",BT36,")"),"(, ","(")</f>
        <v>(4 xe của Đức Tín, 3 xe của Đức Tín, 1 xe của Đức Tín)</v>
      </c>
      <c r="BT29" s="113" t="str">
        <f t="shared" si="44"/>
        <v>, 4 xe của Đức Tín, 3 xe của Đức Tín, 1 xe của Đức Tín</v>
      </c>
      <c r="BU29" s="113" t="e">
        <f t="shared" si="45"/>
        <v>#N/A</v>
      </c>
      <c r="BV29" s="380" t="e">
        <f t="shared" si="46"/>
        <v>#N/A</v>
      </c>
      <c r="BW29" s="376" t="e">
        <f t="shared" si="47"/>
        <v>#N/A</v>
      </c>
    </row>
    <row r="30" spans="1:75" ht="15.6" x14ac:dyDescent="0.3">
      <c r="A30" s="113">
        <v>30</v>
      </c>
      <c r="B30" s="113" t="str">
        <f t="shared" si="73"/>
        <v xml:space="preserve">20Gỗ rời </v>
      </c>
      <c r="C30" t="s">
        <v>15070</v>
      </c>
      <c r="D30" t="s">
        <v>15079</v>
      </c>
      <c r="E30"/>
      <c r="F30"/>
      <c r="G30" s="113" t="str">
        <f>CONCATENATE(A272,C272)</f>
        <v>272</v>
      </c>
      <c r="H30" s="113" t="str">
        <f t="shared" si="0"/>
        <v>272   + Trả cước:</v>
      </c>
      <c r="I30" s="113" t="str">
        <f t="shared" si="1"/>
        <v>272   + Nâng gỗ</v>
      </c>
      <c r="J30" s="113" t="str">
        <f t="shared" si="2"/>
        <v>272   + Nơi nhận</v>
      </c>
      <c r="K30" s="113" t="str">
        <f t="shared" si="3"/>
        <v>272   + Nơi trả:</v>
      </c>
      <c r="L30" s="115" t="str">
        <f t="shared" si="9"/>
        <v>272   + Tiền cước:</v>
      </c>
      <c r="M30" s="115" t="str">
        <f t="shared" si="10"/>
        <v>272   + Cont số:</v>
      </c>
      <c r="N30" s="115" t="str">
        <f t="shared" si="4"/>
        <v>272   + Tiền đường:</v>
      </c>
      <c r="O30" s="115" t="str">
        <f t="shared" si="11"/>
        <v>272   + Loại gỗ:</v>
      </c>
      <c r="P30" s="115" t="str">
        <f t="shared" si="12"/>
        <v>272   + Tiền cước:</v>
      </c>
      <c r="Q30" s="113" t="e">
        <f t="shared" si="13"/>
        <v>#N/A</v>
      </c>
      <c r="R30" s="225" t="e">
        <f>IF((RIGHT(G30,3)="rời"),VLOOKUP(RIGHT(Q30,9),[2]Khach_hangmoi!$J$3:$N$3854,2,0),LEFT(Q30,7))</f>
        <v>#N/A</v>
      </c>
      <c r="S30" s="225" t="e">
        <f>VLOOKUP(R30,[2]Khach_hangmoi!$A$3:$I$4325,2,0)</f>
        <v>#N/A</v>
      </c>
      <c r="T30" s="225" t="e">
        <f>IF(VLOOKUP(R30,[2]Khach_hangmoi!$A$3:$I$4325,5,0)=0,"",VLOOKUP(R30,[2]Khach_hangmoi!$A$3:$I$4325,5,0))</f>
        <v>#N/A</v>
      </c>
      <c r="U30" s="225" t="e">
        <f>VLOOKUP(R30,[2]Khach_hangmoi!$A$3:$I$4325,3,0)</f>
        <v>#N/A</v>
      </c>
      <c r="V30" s="225"/>
      <c r="W30" s="225" t="e">
        <f t="shared" si="74"/>
        <v>#N/A</v>
      </c>
      <c r="X30" s="225" t="e">
        <f>VLOOKUP(Y30,Hanghoa!$B$3:$E$1914,2,0)</f>
        <v>#N/A</v>
      </c>
      <c r="Y30" s="225" t="e">
        <f t="shared" si="75"/>
        <v>#N/A</v>
      </c>
      <c r="Z30" s="300"/>
      <c r="AA30" s="225" t="e">
        <f t="shared" si="76"/>
        <v>#N/A</v>
      </c>
      <c r="AB30" s="225" t="e">
        <f t="shared" si="77"/>
        <v>#N/A</v>
      </c>
      <c r="AC30" s="225"/>
      <c r="AD30" s="225" t="e">
        <f t="shared" si="78"/>
        <v>#N/A</v>
      </c>
      <c r="AE30" s="244" t="e">
        <f t="shared" si="79"/>
        <v>#N/A</v>
      </c>
      <c r="AF30" s="311" t="e">
        <f t="shared" si="71"/>
        <v>#N/A</v>
      </c>
      <c r="AG30" s="244" t="e">
        <f t="shared" si="80"/>
        <v>#N/A</v>
      </c>
      <c r="AH30" s="225" t="e">
        <f>IF(OR(W30="Cont",W30="CT"),VLOOKUP(R30,cthuc!$AQ$3:$AR$44,2,0),"")</f>
        <v>#N/A</v>
      </c>
      <c r="AI30" s="225" t="e">
        <f t="shared" si="81"/>
        <v>#N/A</v>
      </c>
      <c r="AJ30" s="225"/>
      <c r="AK30" s="225" t="e">
        <f t="shared" si="66"/>
        <v>#N/A</v>
      </c>
      <c r="AL30" s="225" t="str">
        <f t="shared" si="67"/>
        <v>272   + Nơi lấy:</v>
      </c>
      <c r="AM30" s="250">
        <f t="shared" si="25"/>
        <v>45490</v>
      </c>
      <c r="AN30" s="225" t="e">
        <f>IF(OR(W30="HS",W30="HP"),"",VLOOKUP(VLOOKUP(AL30,$B$8:$E$671,3,0),cthuc!$AO$3:$AP$142,2,0))</f>
        <v>#N/A</v>
      </c>
      <c r="AO30" s="225" t="e">
        <f t="shared" si="26"/>
        <v>#N/A</v>
      </c>
      <c r="AP30" s="225" t="e">
        <f t="shared" si="68"/>
        <v>#N/A</v>
      </c>
      <c r="AQ30" s="225" t="e">
        <f t="shared" si="28"/>
        <v>#N/A</v>
      </c>
      <c r="AR30" s="225" t="e">
        <f t="shared" si="69"/>
        <v>#N/A</v>
      </c>
      <c r="AS30" s="225">
        <v>1</v>
      </c>
      <c r="AT30" s="251" t="e">
        <f t="shared" si="30"/>
        <v>#N/A</v>
      </c>
      <c r="AV30" s="113" t="e">
        <f>VLOOKUP(BD30,giaroi!$D$6:$N$500,11,0)</f>
        <v>#N/A</v>
      </c>
      <c r="AW30" s="284">
        <f t="shared" si="31"/>
        <v>0</v>
      </c>
      <c r="AX30" s="113" t="s">
        <v>13199</v>
      </c>
      <c r="AY30" s="284" t="e">
        <f t="shared" si="32"/>
        <v>#N/A</v>
      </c>
      <c r="AZ30" s="225" t="e">
        <f t="shared" si="49"/>
        <v>#N/A</v>
      </c>
      <c r="BA30" s="127">
        <f t="shared" si="50"/>
        <v>0</v>
      </c>
      <c r="BB30" s="244">
        <f t="shared" si="51"/>
        <v>0</v>
      </c>
      <c r="BC30" s="225">
        <f t="shared" si="52"/>
        <v>0</v>
      </c>
      <c r="BD30" s="225" t="e">
        <f t="shared" si="53"/>
        <v>#N/A</v>
      </c>
      <c r="BE30" s="225" t="str">
        <f t="shared" si="54"/>
        <v>272   + Số lượng xe:</v>
      </c>
      <c r="BF30" s="225">
        <f t="shared" si="55"/>
        <v>0</v>
      </c>
      <c r="BG30" s="225" t="e">
        <f t="shared" si="56"/>
        <v>#N/A</v>
      </c>
      <c r="BH30" s="225" t="e">
        <f t="shared" si="57"/>
        <v>#N/A</v>
      </c>
      <c r="BI30" s="321" t="str">
        <f t="shared" si="58"/>
        <v/>
      </c>
      <c r="BJ30" s="284">
        <f t="shared" si="40"/>
        <v>0</v>
      </c>
      <c r="BK30" s="284" t="str">
        <f t="shared" si="7"/>
        <v/>
      </c>
      <c r="BL30" s="225" t="str">
        <f t="shared" si="41"/>
        <v>272   + Người ra lệnh:</v>
      </c>
      <c r="BM30" s="225">
        <f t="shared" si="42"/>
        <v>0</v>
      </c>
      <c r="BN30" s="113" t="e">
        <f>VLOOKUP(BM30,[1]Sheet1!$B$3:$C$604,2,0)</f>
        <v>#N/A</v>
      </c>
      <c r="BO30" s="113" t="str">
        <f t="shared" si="43"/>
        <v/>
      </c>
      <c r="BP30" s="351" t="str">
        <f t="shared" si="8"/>
        <v/>
      </c>
      <c r="BT30" s="113" t="str">
        <f t="shared" si="44"/>
        <v>, 4 xe của Đức Tín, 3 xe của Đức Tín, 1 xe của Đức Tín</v>
      </c>
      <c r="BU30" s="113" t="e">
        <f t="shared" si="45"/>
        <v>#N/A</v>
      </c>
      <c r="BV30" s="380" t="e">
        <f t="shared" si="46"/>
        <v>#N/A</v>
      </c>
      <c r="BW30" s="376" t="e">
        <f t="shared" si="47"/>
        <v>#N/A</v>
      </c>
    </row>
    <row r="31" spans="1:75" ht="15.6" x14ac:dyDescent="0.3">
      <c r="A31" s="113">
        <v>31</v>
      </c>
      <c r="B31" s="113" t="str">
        <f t="shared" si="73"/>
        <v>20Gỗ rời   + Tiền đường:</v>
      </c>
      <c r="C31" t="s">
        <v>15072</v>
      </c>
      <c r="D31" t="s">
        <v>15072</v>
      </c>
      <c r="E31"/>
      <c r="F31" t="s">
        <v>15073</v>
      </c>
      <c r="G31" s="113" t="str">
        <f>CONCATENATE(A284,C284)</f>
        <v>284</v>
      </c>
      <c r="H31" s="113" t="str">
        <f t="shared" si="0"/>
        <v>284   + Trả cước:</v>
      </c>
      <c r="I31" s="113" t="str">
        <f t="shared" si="1"/>
        <v>284   + Nâng gỗ</v>
      </c>
      <c r="J31" s="113" t="str">
        <f t="shared" si="2"/>
        <v>284   + Nơi nhận</v>
      </c>
      <c r="K31" s="113" t="str">
        <f t="shared" si="3"/>
        <v>284   + Nơi trả:</v>
      </c>
      <c r="L31" s="115" t="str">
        <f t="shared" si="9"/>
        <v>284   + Tiền cước:</v>
      </c>
      <c r="M31" s="115" t="str">
        <f t="shared" si="10"/>
        <v>284   + Cont số:</v>
      </c>
      <c r="N31" s="115" t="str">
        <f t="shared" si="4"/>
        <v>284   + Tiền đường:</v>
      </c>
      <c r="O31" s="115" t="str">
        <f t="shared" si="11"/>
        <v>284   + Loại gỗ:</v>
      </c>
      <c r="P31" s="115" t="str">
        <f t="shared" si="12"/>
        <v>284   + Tiền cước:</v>
      </c>
      <c r="Q31" s="113" t="e">
        <f t="shared" si="13"/>
        <v>#N/A</v>
      </c>
      <c r="R31" s="225" t="e">
        <f>IF((RIGHT(G31,3)="rời"),VLOOKUP(RIGHT(Q31,9),[2]Khach_hangmoi!$J$3:$N$3854,2,0),LEFT(Q31,7))</f>
        <v>#N/A</v>
      </c>
      <c r="S31" s="225" t="e">
        <f>VLOOKUP(R31,[2]Khach_hangmoi!$A$3:$I$4325,2,0)</f>
        <v>#N/A</v>
      </c>
      <c r="T31" s="225" t="e">
        <f>IF(VLOOKUP(R31,[2]Khach_hangmoi!$A$3:$I$4325,5,0)=0,"",VLOOKUP(R31,[2]Khach_hangmoi!$A$3:$I$4325,5,0))</f>
        <v>#N/A</v>
      </c>
      <c r="U31" s="225" t="e">
        <f>VLOOKUP(R31,[2]Khach_hangmoi!$A$3:$I$4325,3,0)</f>
        <v>#N/A</v>
      </c>
      <c r="V31" s="225"/>
      <c r="W31" s="225" t="e">
        <f t="shared" si="74"/>
        <v>#N/A</v>
      </c>
      <c r="X31" s="225" t="e">
        <f>VLOOKUP(Y31,Hanghoa!$B$3:$E$1914,2,0)</f>
        <v>#N/A</v>
      </c>
      <c r="Y31" s="225" t="e">
        <f t="shared" si="75"/>
        <v>#N/A</v>
      </c>
      <c r="Z31" s="300"/>
      <c r="AA31" s="225" t="e">
        <f t="shared" si="76"/>
        <v>#N/A</v>
      </c>
      <c r="AB31" s="225" t="e">
        <f t="shared" si="77"/>
        <v>#N/A</v>
      </c>
      <c r="AC31" s="225"/>
      <c r="AD31" s="225" t="e">
        <f t="shared" si="78"/>
        <v>#N/A</v>
      </c>
      <c r="AE31" s="244" t="e">
        <f t="shared" si="79"/>
        <v>#N/A</v>
      </c>
      <c r="AF31" s="311" t="e">
        <f t="shared" si="71"/>
        <v>#N/A</v>
      </c>
      <c r="AG31" s="244" t="e">
        <f t="shared" si="80"/>
        <v>#N/A</v>
      </c>
      <c r="AH31" s="225" t="e">
        <f>IF(OR(W31="Cont",W31="CT"),VLOOKUP(R31,cthuc!$AQ$3:$AR$44,2,0),"")</f>
        <v>#N/A</v>
      </c>
      <c r="AI31" s="225" t="e">
        <f t="shared" si="81"/>
        <v>#N/A</v>
      </c>
      <c r="AJ31" s="225"/>
      <c r="AK31" s="225" t="e">
        <f t="shared" si="66"/>
        <v>#N/A</v>
      </c>
      <c r="AL31" s="225" t="str">
        <f t="shared" si="67"/>
        <v>284   + Nơi lấy:</v>
      </c>
      <c r="AM31" s="250">
        <f t="shared" si="25"/>
        <v>45490</v>
      </c>
      <c r="AN31" s="225" t="e">
        <f>IF(OR(W31="HS",W31="HP"),"",VLOOKUP(VLOOKUP(AL31,$B$8:$E$671,3,0),cthuc!$AO$3:$AP$142,2,0))</f>
        <v>#N/A</v>
      </c>
      <c r="AO31" s="225" t="e">
        <f t="shared" si="26"/>
        <v>#N/A</v>
      </c>
      <c r="AP31" s="225" t="e">
        <f t="shared" si="68"/>
        <v>#N/A</v>
      </c>
      <c r="AQ31" s="225" t="e">
        <f t="shared" si="28"/>
        <v>#N/A</v>
      </c>
      <c r="AR31" s="225" t="e">
        <f t="shared" si="69"/>
        <v>#N/A</v>
      </c>
      <c r="AS31" s="225">
        <v>1</v>
      </c>
      <c r="AT31" s="251" t="e">
        <f t="shared" si="30"/>
        <v>#N/A</v>
      </c>
      <c r="AV31" s="113" t="e">
        <f>VLOOKUP(BD31,giaroi!$D$6:$N$500,11,0)</f>
        <v>#N/A</v>
      </c>
      <c r="AW31" s="284">
        <f t="shared" si="31"/>
        <v>0</v>
      </c>
      <c r="AX31" s="113" t="s">
        <v>13200</v>
      </c>
      <c r="AY31" s="284" t="e">
        <f t="shared" si="32"/>
        <v>#N/A</v>
      </c>
      <c r="AZ31" s="225" t="e">
        <f t="shared" si="49"/>
        <v>#N/A</v>
      </c>
      <c r="BA31" s="127">
        <f t="shared" si="50"/>
        <v>0</v>
      </c>
      <c r="BB31" s="244">
        <f t="shared" si="51"/>
        <v>0</v>
      </c>
      <c r="BC31" s="225">
        <f t="shared" si="52"/>
        <v>0</v>
      </c>
      <c r="BD31" s="225" t="e">
        <f t="shared" si="53"/>
        <v>#N/A</v>
      </c>
      <c r="BE31" s="225" t="str">
        <f t="shared" si="54"/>
        <v>284   + Số lượng xe:</v>
      </c>
      <c r="BF31" s="225">
        <f t="shared" si="55"/>
        <v>0</v>
      </c>
      <c r="BG31" s="225" t="e">
        <f t="shared" si="56"/>
        <v>#N/A</v>
      </c>
      <c r="BH31" s="225" t="e">
        <f t="shared" si="57"/>
        <v>#N/A</v>
      </c>
      <c r="BI31" s="321" t="str">
        <f t="shared" si="58"/>
        <v/>
      </c>
      <c r="BJ31" s="284">
        <f t="shared" si="40"/>
        <v>0</v>
      </c>
      <c r="BK31" s="284" t="str">
        <f t="shared" si="7"/>
        <v/>
      </c>
      <c r="BL31" s="225" t="str">
        <f t="shared" si="41"/>
        <v>284   + Người ra lệnh:</v>
      </c>
      <c r="BM31" s="225">
        <f t="shared" si="42"/>
        <v>0</v>
      </c>
      <c r="BN31" s="113" t="e">
        <f>VLOOKUP(BM31,[1]Sheet1!$B$3:$C$604,2,0)</f>
        <v>#N/A</v>
      </c>
      <c r="BO31" s="113" t="str">
        <f t="shared" si="43"/>
        <v/>
      </c>
      <c r="BP31" s="351" t="str">
        <f t="shared" si="8"/>
        <v/>
      </c>
      <c r="BT31" s="113" t="str">
        <f t="shared" si="44"/>
        <v>, 4 xe của Đức Tín, 3 xe của Đức Tín, 1 xe của Đức Tín</v>
      </c>
      <c r="BU31" s="113" t="e">
        <f t="shared" si="45"/>
        <v>#N/A</v>
      </c>
      <c r="BV31" s="380" t="e">
        <f t="shared" si="46"/>
        <v>#N/A</v>
      </c>
      <c r="BW31" s="376" t="e">
        <f t="shared" si="47"/>
        <v>#N/A</v>
      </c>
    </row>
    <row r="32" spans="1:75" ht="15.6" x14ac:dyDescent="0.3">
      <c r="A32" s="113">
        <v>32</v>
      </c>
      <c r="C32" t="s">
        <v>15121</v>
      </c>
      <c r="D32" t="s">
        <v>15121</v>
      </c>
      <c r="E32"/>
      <c r="F32"/>
      <c r="G32" s="113" t="str">
        <f>CONCATENATE(A296,C296)</f>
        <v>296</v>
      </c>
      <c r="H32" s="113" t="str">
        <f t="shared" si="0"/>
        <v>296   + Trả cước:</v>
      </c>
      <c r="I32" s="113" t="str">
        <f t="shared" si="1"/>
        <v>296   + Nâng gỗ</v>
      </c>
      <c r="J32" s="113" t="str">
        <f t="shared" si="2"/>
        <v>296   + Nơi nhận</v>
      </c>
      <c r="K32" s="113" t="str">
        <f t="shared" si="3"/>
        <v>296   + Nơi trả:</v>
      </c>
      <c r="L32" s="115" t="str">
        <f t="shared" si="9"/>
        <v>296   + Tiền cước:</v>
      </c>
      <c r="M32" s="115" t="str">
        <f t="shared" si="10"/>
        <v>296   + Cont số:</v>
      </c>
      <c r="N32" s="115" t="str">
        <f t="shared" si="4"/>
        <v>296   + Tiền đường:</v>
      </c>
      <c r="O32" s="115" t="str">
        <f t="shared" si="11"/>
        <v>296   + Loại gỗ:</v>
      </c>
      <c r="P32" s="115" t="str">
        <f t="shared" si="12"/>
        <v>296   + Tiền cước:</v>
      </c>
      <c r="Q32" s="113" t="e">
        <f t="shared" si="13"/>
        <v>#N/A</v>
      </c>
      <c r="R32" s="225" t="e">
        <f>IF((RIGHT(G32,3)="rời"),VLOOKUP(RIGHT(Q32,9),[2]Khach_hangmoi!$J$3:$N$3854,2,0),LEFT(Q32,7))</f>
        <v>#N/A</v>
      </c>
      <c r="S32" s="225" t="e">
        <f>VLOOKUP(R32,[2]Khach_hangmoi!$A$3:$I$4325,2,0)</f>
        <v>#N/A</v>
      </c>
      <c r="T32" s="225" t="e">
        <f>IF(VLOOKUP(R32,[2]Khach_hangmoi!$A$3:$I$4325,5,0)=0,"",VLOOKUP(R32,[2]Khach_hangmoi!$A$3:$I$4325,5,0))</f>
        <v>#N/A</v>
      </c>
      <c r="U32" s="225" t="e">
        <f>VLOOKUP(R32,[2]Khach_hangmoi!$A$3:$I$4325,3,0)</f>
        <v>#N/A</v>
      </c>
      <c r="V32" s="225"/>
      <c r="W32" s="225" t="e">
        <f t="shared" si="74"/>
        <v>#N/A</v>
      </c>
      <c r="X32" s="225" t="e">
        <f>VLOOKUP(Y32,Hanghoa!$B$3:$E$1914,2,0)</f>
        <v>#N/A</v>
      </c>
      <c r="Y32" s="225" t="e">
        <f t="shared" si="75"/>
        <v>#N/A</v>
      </c>
      <c r="Z32" s="300"/>
      <c r="AA32" s="225" t="e">
        <f t="shared" si="76"/>
        <v>#N/A</v>
      </c>
      <c r="AB32" s="225" t="e">
        <f t="shared" si="77"/>
        <v>#N/A</v>
      </c>
      <c r="AC32" s="225"/>
      <c r="AD32" s="225" t="e">
        <f t="shared" si="78"/>
        <v>#N/A</v>
      </c>
      <c r="AE32" s="244" t="e">
        <f t="shared" si="79"/>
        <v>#N/A</v>
      </c>
      <c r="AF32" s="311" t="e">
        <f t="shared" si="71"/>
        <v>#N/A</v>
      </c>
      <c r="AG32" s="244" t="e">
        <f t="shared" si="80"/>
        <v>#N/A</v>
      </c>
      <c r="AH32" s="225" t="e">
        <f>IF(OR(W32="Cont",W32="CT"),VLOOKUP(R32,cthuc!$AQ$3:$AR$44,2,0),"")</f>
        <v>#N/A</v>
      </c>
      <c r="AI32" s="225" t="e">
        <f t="shared" si="81"/>
        <v>#N/A</v>
      </c>
      <c r="AJ32" s="225"/>
      <c r="AK32" s="225" t="e">
        <f t="shared" si="66"/>
        <v>#N/A</v>
      </c>
      <c r="AL32" s="225" t="str">
        <f t="shared" si="67"/>
        <v>296   + Nơi lấy:</v>
      </c>
      <c r="AM32" s="250">
        <f t="shared" si="25"/>
        <v>45490</v>
      </c>
      <c r="AN32" s="225" t="e">
        <f>IF(OR(W32="HS",W32="HP"),"",VLOOKUP(VLOOKUP(AL32,$B$8:$E$671,3,0),cthuc!$AO$3:$AP$142,2,0))</f>
        <v>#N/A</v>
      </c>
      <c r="AO32" s="225" t="e">
        <f t="shared" si="26"/>
        <v>#N/A</v>
      </c>
      <c r="AP32" s="225" t="e">
        <f t="shared" si="68"/>
        <v>#N/A</v>
      </c>
      <c r="AQ32" s="225" t="e">
        <f t="shared" si="28"/>
        <v>#N/A</v>
      </c>
      <c r="AR32" s="225" t="e">
        <f t="shared" si="69"/>
        <v>#N/A</v>
      </c>
      <c r="AS32" s="225">
        <v>1</v>
      </c>
      <c r="AT32" s="251" t="e">
        <f t="shared" si="30"/>
        <v>#N/A</v>
      </c>
      <c r="AV32" s="113" t="e">
        <f>VLOOKUP(BD32,giaroi!$D$6:$N$500,11,0)</f>
        <v>#N/A</v>
      </c>
      <c r="AW32" s="284">
        <f t="shared" si="31"/>
        <v>0</v>
      </c>
      <c r="AX32" s="113" t="s">
        <v>13201</v>
      </c>
      <c r="AY32" s="284" t="e">
        <f t="shared" si="32"/>
        <v>#N/A</v>
      </c>
      <c r="AZ32" s="225" t="e">
        <f t="shared" si="49"/>
        <v>#N/A</v>
      </c>
      <c r="BA32" s="127">
        <f t="shared" si="50"/>
        <v>0</v>
      </c>
      <c r="BB32" s="244">
        <f t="shared" si="51"/>
        <v>0</v>
      </c>
      <c r="BC32" s="225">
        <f t="shared" si="52"/>
        <v>0</v>
      </c>
      <c r="BD32" s="225" t="e">
        <f t="shared" si="53"/>
        <v>#N/A</v>
      </c>
      <c r="BE32" s="225" t="str">
        <f t="shared" si="54"/>
        <v>296   + Số lượng xe:</v>
      </c>
      <c r="BF32" s="225">
        <f t="shared" si="55"/>
        <v>0</v>
      </c>
      <c r="BG32" s="225" t="e">
        <f t="shared" si="56"/>
        <v>#N/A</v>
      </c>
      <c r="BH32" s="225" t="e">
        <f t="shared" si="57"/>
        <v>#N/A</v>
      </c>
      <c r="BI32" s="321" t="str">
        <f t="shared" si="58"/>
        <v/>
      </c>
      <c r="BJ32" s="284">
        <f t="shared" si="40"/>
        <v>0</v>
      </c>
      <c r="BK32" s="284" t="str">
        <f t="shared" si="7"/>
        <v/>
      </c>
      <c r="BL32" s="225" t="str">
        <f t="shared" si="41"/>
        <v>296   + Người ra lệnh:</v>
      </c>
      <c r="BM32" s="225">
        <f t="shared" si="42"/>
        <v>0</v>
      </c>
      <c r="BN32" s="113" t="e">
        <f>VLOOKUP(BM32,[1]Sheet1!$B$3:$C$604,2,0)</f>
        <v>#N/A</v>
      </c>
      <c r="BO32" s="113" t="str">
        <f t="shared" si="43"/>
        <v/>
      </c>
      <c r="BP32" s="351" t="str">
        <f t="shared" si="8"/>
        <v/>
      </c>
      <c r="BT32" s="113" t="str">
        <f t="shared" si="44"/>
        <v>, 4 xe của Đức Tín, 3 xe của Đức Tín, 1 xe của Đức Tín</v>
      </c>
      <c r="BU32" s="113" t="e">
        <f t="shared" si="45"/>
        <v>#N/A</v>
      </c>
      <c r="BV32" s="380" t="e">
        <f t="shared" si="46"/>
        <v>#N/A</v>
      </c>
      <c r="BW32" s="376" t="e">
        <f t="shared" si="47"/>
        <v>#N/A</v>
      </c>
    </row>
    <row r="33" spans="1:75" ht="15.6" x14ac:dyDescent="0.3">
      <c r="A33" s="113">
        <v>33</v>
      </c>
      <c r="B33" s="113" t="str">
        <f>CONCATENATE($A$32,$C$32,C33)</f>
        <v>32Gỗ rời   + Nâng gỗ</v>
      </c>
      <c r="C33" t="s">
        <v>15055</v>
      </c>
      <c r="D33" t="s">
        <v>232</v>
      </c>
      <c r="E33"/>
      <c r="F33"/>
      <c r="G33" s="113" t="str">
        <f>CONCATENATE(A308,C308)</f>
        <v>308</v>
      </c>
      <c r="H33" s="113" t="str">
        <f t="shared" si="0"/>
        <v>308   + Trả cước:</v>
      </c>
      <c r="I33" s="113" t="str">
        <f t="shared" si="1"/>
        <v>308   + Nâng gỗ</v>
      </c>
      <c r="J33" s="113" t="str">
        <f t="shared" si="2"/>
        <v>308   + Nơi nhận</v>
      </c>
      <c r="K33" s="113" t="str">
        <f t="shared" si="3"/>
        <v>308   + Nơi trả:</v>
      </c>
      <c r="L33" s="115" t="str">
        <f t="shared" si="9"/>
        <v>308   + Tiền cước:</v>
      </c>
      <c r="M33" s="115" t="str">
        <f t="shared" si="10"/>
        <v>308   + Cont số:</v>
      </c>
      <c r="N33" s="115" t="str">
        <f t="shared" si="4"/>
        <v>308   + Tiền đường:</v>
      </c>
      <c r="O33" s="115" t="str">
        <f t="shared" si="11"/>
        <v>308   + Loại gỗ:</v>
      </c>
      <c r="P33" s="115" t="str">
        <f t="shared" si="12"/>
        <v>308   + Tiền cước:</v>
      </c>
      <c r="Q33" s="113" t="e">
        <f t="shared" si="13"/>
        <v>#N/A</v>
      </c>
      <c r="R33" s="225" t="e">
        <f>IF((RIGHT(G33,3)="rời"),VLOOKUP(RIGHT(Q33,9),[2]Khach_hangmoi!$J$3:$N$3854,2,0),LEFT(Q33,7))</f>
        <v>#N/A</v>
      </c>
      <c r="S33" s="225" t="e">
        <f>VLOOKUP(R33,[2]Khach_hangmoi!$A$3:$I$4325,2,0)</f>
        <v>#N/A</v>
      </c>
      <c r="T33" s="225" t="e">
        <f>IF(VLOOKUP(R33,[2]Khach_hangmoi!$A$3:$I$4325,5,0)=0,"",VLOOKUP(R33,[2]Khach_hangmoi!$A$3:$I$4325,5,0))</f>
        <v>#N/A</v>
      </c>
      <c r="U33" s="225" t="e">
        <f>VLOOKUP(R33,[2]Khach_hangmoi!$A$3:$I$4325,3,0)</f>
        <v>#N/A</v>
      </c>
      <c r="V33" s="225"/>
      <c r="W33" s="225" t="e">
        <f t="shared" si="74"/>
        <v>#N/A</v>
      </c>
      <c r="X33" s="225" t="e">
        <f>VLOOKUP(Y33,Hanghoa!$B$3:$E$1914,2,0)</f>
        <v>#N/A</v>
      </c>
      <c r="Y33" s="225" t="e">
        <f t="shared" si="75"/>
        <v>#N/A</v>
      </c>
      <c r="Z33" s="300"/>
      <c r="AA33" s="225" t="e">
        <f t="shared" si="76"/>
        <v>#N/A</v>
      </c>
      <c r="AB33" s="225" t="e">
        <f t="shared" si="77"/>
        <v>#N/A</v>
      </c>
      <c r="AC33" s="225"/>
      <c r="AD33" s="225" t="e">
        <f t="shared" si="78"/>
        <v>#N/A</v>
      </c>
      <c r="AE33" s="244" t="e">
        <f t="shared" si="79"/>
        <v>#N/A</v>
      </c>
      <c r="AF33" s="311" t="e">
        <f t="shared" si="71"/>
        <v>#N/A</v>
      </c>
      <c r="AG33" s="244" t="e">
        <f t="shared" si="80"/>
        <v>#N/A</v>
      </c>
      <c r="AH33" s="225" t="e">
        <f>IF(OR(W33="Cont",W33="CT"),VLOOKUP(R33,cthuc!$AQ$3:$AR$44,2,0),"")</f>
        <v>#N/A</v>
      </c>
      <c r="AI33" s="225" t="e">
        <f t="shared" si="81"/>
        <v>#N/A</v>
      </c>
      <c r="AJ33" s="225"/>
      <c r="AK33" s="225" t="e">
        <f t="shared" si="66"/>
        <v>#N/A</v>
      </c>
      <c r="AL33" s="225" t="str">
        <f t="shared" si="67"/>
        <v>308   + Nơi lấy:</v>
      </c>
      <c r="AM33" s="250">
        <f t="shared" si="25"/>
        <v>45490</v>
      </c>
      <c r="AN33" s="225" t="e">
        <f>IF(OR(W33="HS",W33="HP"),"",VLOOKUP(VLOOKUP(AL33,$B$8:$E$671,3,0),cthuc!$AO$3:$AP$142,2,0))</f>
        <v>#N/A</v>
      </c>
      <c r="AO33" s="225" t="e">
        <f t="shared" si="26"/>
        <v>#N/A</v>
      </c>
      <c r="AP33" s="225" t="e">
        <f t="shared" si="68"/>
        <v>#N/A</v>
      </c>
      <c r="AQ33" s="225" t="e">
        <f t="shared" si="28"/>
        <v>#N/A</v>
      </c>
      <c r="AR33" s="225" t="e">
        <f t="shared" si="69"/>
        <v>#N/A</v>
      </c>
      <c r="AS33" s="225">
        <v>1</v>
      </c>
      <c r="AT33" s="251" t="e">
        <f t="shared" si="30"/>
        <v>#N/A</v>
      </c>
      <c r="AV33" s="113" t="e">
        <f>VLOOKUP(BD33,giaroi!$D$6:$N$500,11,0)</f>
        <v>#N/A</v>
      </c>
      <c r="AW33" s="284">
        <f t="shared" si="31"/>
        <v>0</v>
      </c>
      <c r="AX33" s="113" t="s">
        <v>13202</v>
      </c>
      <c r="AY33" s="284" t="e">
        <f t="shared" si="32"/>
        <v>#N/A</v>
      </c>
      <c r="AZ33" s="225" t="e">
        <f t="shared" si="49"/>
        <v>#N/A</v>
      </c>
      <c r="BA33" s="127">
        <f t="shared" si="50"/>
        <v>0</v>
      </c>
      <c r="BB33" s="244">
        <f t="shared" si="51"/>
        <v>0</v>
      </c>
      <c r="BC33" s="225">
        <f t="shared" si="52"/>
        <v>0</v>
      </c>
      <c r="BD33" s="225" t="e">
        <f t="shared" si="53"/>
        <v>#N/A</v>
      </c>
      <c r="BE33" s="225" t="str">
        <f t="shared" si="54"/>
        <v>308   + Số lượng xe:</v>
      </c>
      <c r="BF33" s="225">
        <f t="shared" si="55"/>
        <v>0</v>
      </c>
      <c r="BG33" s="225" t="e">
        <f t="shared" si="56"/>
        <v>#N/A</v>
      </c>
      <c r="BH33" s="225" t="e">
        <f t="shared" si="57"/>
        <v>#N/A</v>
      </c>
      <c r="BI33" s="321" t="str">
        <f t="shared" si="58"/>
        <v/>
      </c>
      <c r="BJ33" s="284">
        <f t="shared" si="40"/>
        <v>0</v>
      </c>
      <c r="BK33" s="284" t="str">
        <f t="shared" si="7"/>
        <v/>
      </c>
      <c r="BL33" s="225" t="str">
        <f t="shared" si="41"/>
        <v>308   + Người ra lệnh:</v>
      </c>
      <c r="BM33" s="225">
        <f t="shared" si="42"/>
        <v>0</v>
      </c>
      <c r="BN33" s="113" t="e">
        <f>VLOOKUP(BM33,[1]Sheet1!$B$3:$C$604,2,0)</f>
        <v>#N/A</v>
      </c>
      <c r="BO33" s="113" t="str">
        <f t="shared" si="43"/>
        <v/>
      </c>
      <c r="BP33" s="351" t="str">
        <f t="shared" si="8"/>
        <v/>
      </c>
      <c r="BT33" s="113" t="str">
        <f t="shared" si="44"/>
        <v>, 4 xe của Đức Tín, 3 xe của Đức Tín, 1 xe của Đức Tín</v>
      </c>
      <c r="BU33" s="113" t="e">
        <f t="shared" si="45"/>
        <v>#N/A</v>
      </c>
      <c r="BV33" s="380" t="e">
        <f t="shared" si="46"/>
        <v>#N/A</v>
      </c>
      <c r="BW33" s="376" t="e">
        <f t="shared" si="47"/>
        <v>#N/A</v>
      </c>
    </row>
    <row r="34" spans="1:75" ht="15.6" x14ac:dyDescent="0.3">
      <c r="A34" s="113">
        <v>34</v>
      </c>
      <c r="B34" s="113" t="str">
        <f t="shared" ref="B34:B43" si="82">CONCATENATE($A$32,$C$32,C34)</f>
        <v>32Gỗ rời   + Người ra lệnh:</v>
      </c>
      <c r="C34" s="283" t="s">
        <v>15056</v>
      </c>
      <c r="D34" t="s">
        <v>15075</v>
      </c>
      <c r="E34"/>
      <c r="F34"/>
      <c r="G34" s="113" t="str">
        <f>CONCATENATE(A320,C320)</f>
        <v>320</v>
      </c>
      <c r="H34" s="113" t="str">
        <f t="shared" si="0"/>
        <v>320   + Trả cước:</v>
      </c>
      <c r="I34" s="113" t="str">
        <f t="shared" si="1"/>
        <v>320   + Nâng gỗ</v>
      </c>
      <c r="J34" s="113" t="str">
        <f t="shared" si="2"/>
        <v>320   + Nơi nhận</v>
      </c>
      <c r="K34" s="113" t="str">
        <f t="shared" si="3"/>
        <v>320   + Nơi trả:</v>
      </c>
      <c r="L34" s="115" t="str">
        <f t="shared" si="9"/>
        <v>320   + Tiền cước:</v>
      </c>
      <c r="M34" s="115" t="str">
        <f t="shared" si="10"/>
        <v>320   + Cont số:</v>
      </c>
      <c r="N34" s="115" t="str">
        <f t="shared" si="4"/>
        <v>320   + Tiền đường:</v>
      </c>
      <c r="O34" s="115" t="str">
        <f t="shared" si="11"/>
        <v>320   + Loại gỗ:</v>
      </c>
      <c r="P34" s="115" t="str">
        <f t="shared" si="12"/>
        <v>320   + Tiền cước:</v>
      </c>
      <c r="Q34" s="113" t="e">
        <f t="shared" si="13"/>
        <v>#N/A</v>
      </c>
      <c r="R34" s="225" t="e">
        <f>IF((RIGHT(G34,3)="rời"),VLOOKUP(RIGHT(Q34,9),[2]Khach_hangmoi!$J$3:$N$3854,2,0),LEFT(Q34,7))</f>
        <v>#N/A</v>
      </c>
      <c r="S34" s="225" t="e">
        <f>VLOOKUP(R34,[2]Khach_hangmoi!$A$3:$I$4325,2,0)</f>
        <v>#N/A</v>
      </c>
      <c r="T34" s="225" t="e">
        <f>IF(VLOOKUP(R34,[2]Khach_hangmoi!$A$3:$I$4325,5,0)=0,"",VLOOKUP(R34,[2]Khach_hangmoi!$A$3:$I$4325,5,0))</f>
        <v>#N/A</v>
      </c>
      <c r="U34" s="225" t="e">
        <f>VLOOKUP(R34,[2]Khach_hangmoi!$A$3:$I$4325,3,0)</f>
        <v>#N/A</v>
      </c>
      <c r="V34" s="225"/>
      <c r="W34" s="225" t="e">
        <f t="shared" si="74"/>
        <v>#N/A</v>
      </c>
      <c r="X34" s="225" t="e">
        <f>VLOOKUP(Y34,Hanghoa!$B$3:$E$1914,2,0)</f>
        <v>#N/A</v>
      </c>
      <c r="Y34" s="225" t="e">
        <f t="shared" si="75"/>
        <v>#N/A</v>
      </c>
      <c r="Z34" s="300"/>
      <c r="AA34" s="225" t="e">
        <f t="shared" si="76"/>
        <v>#N/A</v>
      </c>
      <c r="AB34" s="225" t="e">
        <f t="shared" si="77"/>
        <v>#N/A</v>
      </c>
      <c r="AC34" s="225"/>
      <c r="AD34" s="225" t="e">
        <f t="shared" si="78"/>
        <v>#N/A</v>
      </c>
      <c r="AE34" s="244" t="e">
        <f t="shared" si="79"/>
        <v>#N/A</v>
      </c>
      <c r="AF34" s="311" t="e">
        <f t="shared" si="71"/>
        <v>#N/A</v>
      </c>
      <c r="AG34" s="244" t="e">
        <f t="shared" si="80"/>
        <v>#N/A</v>
      </c>
      <c r="AH34" s="225" t="e">
        <f>IF(OR(W34="Cont",W34="CT"),VLOOKUP(R34,cthuc!$AQ$3:$AR$44,2,0),"")</f>
        <v>#N/A</v>
      </c>
      <c r="AI34" s="225" t="e">
        <f t="shared" si="81"/>
        <v>#N/A</v>
      </c>
      <c r="AJ34" s="225"/>
      <c r="AK34" s="225" t="e">
        <f t="shared" si="66"/>
        <v>#N/A</v>
      </c>
      <c r="AL34" s="225" t="str">
        <f t="shared" si="67"/>
        <v>320   + Nơi lấy:</v>
      </c>
      <c r="AM34" s="250">
        <f t="shared" si="25"/>
        <v>45490</v>
      </c>
      <c r="AN34" s="225" t="e">
        <f>IF(OR(W34="HS",W34="HP"),"",VLOOKUP(VLOOKUP(AL34,$B$8:$E$671,3,0),cthuc!$AO$3:$AP$142,2,0))</f>
        <v>#N/A</v>
      </c>
      <c r="AO34" s="225" t="e">
        <f t="shared" si="26"/>
        <v>#N/A</v>
      </c>
      <c r="AP34" s="225" t="e">
        <f t="shared" si="68"/>
        <v>#N/A</v>
      </c>
      <c r="AQ34" s="225" t="e">
        <f t="shared" si="28"/>
        <v>#N/A</v>
      </c>
      <c r="AR34" s="225" t="e">
        <f t="shared" si="69"/>
        <v>#N/A</v>
      </c>
      <c r="AS34" s="225">
        <v>1</v>
      </c>
      <c r="AT34" s="251" t="e">
        <f t="shared" si="30"/>
        <v>#N/A</v>
      </c>
      <c r="AV34" s="113" t="e">
        <f>VLOOKUP(BD34,giaroi!$D$6:$N$500,11,0)</f>
        <v>#N/A</v>
      </c>
      <c r="AW34" s="284">
        <f t="shared" si="31"/>
        <v>0</v>
      </c>
      <c r="AX34" s="113" t="s">
        <v>13203</v>
      </c>
      <c r="AY34" s="284" t="e">
        <f t="shared" si="32"/>
        <v>#N/A</v>
      </c>
      <c r="AZ34" s="225" t="e">
        <f t="shared" si="49"/>
        <v>#N/A</v>
      </c>
      <c r="BA34" s="127">
        <f t="shared" si="50"/>
        <v>0</v>
      </c>
      <c r="BB34" s="244">
        <f t="shared" si="51"/>
        <v>0</v>
      </c>
      <c r="BC34" s="225">
        <f t="shared" si="52"/>
        <v>0</v>
      </c>
      <c r="BD34" s="225" t="e">
        <f t="shared" si="53"/>
        <v>#N/A</v>
      </c>
      <c r="BE34" s="225" t="str">
        <f t="shared" si="54"/>
        <v>320   + Số lượng xe:</v>
      </c>
      <c r="BF34" s="225">
        <f t="shared" si="55"/>
        <v>0</v>
      </c>
      <c r="BG34" s="225" t="e">
        <f t="shared" si="56"/>
        <v>#N/A</v>
      </c>
      <c r="BH34" s="225" t="e">
        <f t="shared" si="57"/>
        <v>#N/A</v>
      </c>
      <c r="BI34" s="321" t="str">
        <f t="shared" si="58"/>
        <v/>
      </c>
      <c r="BJ34" s="284">
        <f t="shared" si="40"/>
        <v>0</v>
      </c>
      <c r="BK34" s="284" t="str">
        <f t="shared" si="7"/>
        <v/>
      </c>
      <c r="BL34" s="225" t="str">
        <f t="shared" si="41"/>
        <v>320   + Người ra lệnh:</v>
      </c>
      <c r="BM34" s="225">
        <f t="shared" si="42"/>
        <v>0</v>
      </c>
      <c r="BN34" s="113" t="e">
        <f>VLOOKUP(BM34,[1]Sheet1!$B$3:$C$604,2,0)</f>
        <v>#N/A</v>
      </c>
      <c r="BO34" s="113" t="str">
        <f t="shared" si="43"/>
        <v/>
      </c>
      <c r="BP34" s="351" t="str">
        <f t="shared" si="8"/>
        <v/>
      </c>
      <c r="BT34" s="113" t="str">
        <f t="shared" si="44"/>
        <v>, 4 xe của Đức Tín, 3 xe của Đức Tín, 1 xe của Đức Tín</v>
      </c>
      <c r="BU34" s="113" t="e">
        <f t="shared" si="45"/>
        <v>#N/A</v>
      </c>
      <c r="BV34" s="380" t="e">
        <f t="shared" si="46"/>
        <v>#N/A</v>
      </c>
      <c r="BW34" s="376" t="e">
        <f t="shared" si="47"/>
        <v>#N/A</v>
      </c>
    </row>
    <row r="35" spans="1:75" ht="15.6" x14ac:dyDescent="0.3">
      <c r="A35" s="113">
        <v>35</v>
      </c>
      <c r="B35" s="113" t="str">
        <f t="shared" si="82"/>
        <v>32Gỗ rời   + Loại gỗ:</v>
      </c>
      <c r="C35" t="s">
        <v>15058</v>
      </c>
      <c r="D35" t="s">
        <v>15080</v>
      </c>
      <c r="E35"/>
      <c r="F35"/>
      <c r="G35" s="113" t="str">
        <f>CONCATENATE(A332,C332)</f>
        <v>332</v>
      </c>
      <c r="H35" s="113" t="str">
        <f t="shared" si="0"/>
        <v>332   + Trả cước:</v>
      </c>
      <c r="I35" s="113" t="str">
        <f t="shared" si="1"/>
        <v>332   + Nâng gỗ</v>
      </c>
      <c r="J35" s="113" t="str">
        <f t="shared" si="2"/>
        <v>332   + Nơi nhận</v>
      </c>
      <c r="K35" s="113" t="str">
        <f t="shared" si="3"/>
        <v>332   + Nơi trả:</v>
      </c>
      <c r="L35" s="115" t="str">
        <f t="shared" si="9"/>
        <v>332   + Tiền cước:</v>
      </c>
      <c r="M35" s="115" t="str">
        <f t="shared" si="10"/>
        <v>332   + Cont số:</v>
      </c>
      <c r="N35" s="115" t="str">
        <f t="shared" si="4"/>
        <v>332   + Tiền đường:</v>
      </c>
      <c r="O35" s="115" t="str">
        <f t="shared" si="11"/>
        <v>332   + Loại gỗ:</v>
      </c>
      <c r="P35" s="115" t="str">
        <f t="shared" si="12"/>
        <v>332   + Tiền cước:</v>
      </c>
      <c r="Q35" s="113" t="e">
        <f t="shared" si="13"/>
        <v>#N/A</v>
      </c>
      <c r="R35" s="225" t="e">
        <f>IF((RIGHT(G35,3)="rời"),VLOOKUP(RIGHT(Q35,9),[2]Khach_hangmoi!$J$3:$N$3854,2,0),LEFT(Q35,7))</f>
        <v>#N/A</v>
      </c>
      <c r="S35" s="225" t="e">
        <f>VLOOKUP(R35,[2]Khach_hangmoi!$A$3:$I$4325,2,0)</f>
        <v>#N/A</v>
      </c>
      <c r="T35" s="225" t="e">
        <f>IF(VLOOKUP(R35,[2]Khach_hangmoi!$A$3:$I$4325,5,0)=0,"",VLOOKUP(R35,[2]Khach_hangmoi!$A$3:$I$4325,5,0))</f>
        <v>#N/A</v>
      </c>
      <c r="U35" s="225" t="e">
        <f>VLOOKUP(R35,[2]Khach_hangmoi!$A$3:$I$4325,3,0)</f>
        <v>#N/A</v>
      </c>
      <c r="V35" s="225"/>
      <c r="W35" s="225" t="e">
        <f t="shared" si="74"/>
        <v>#N/A</v>
      </c>
      <c r="X35" s="225" t="e">
        <f>VLOOKUP(Y35,Hanghoa!$B$3:$E$1914,2,0)</f>
        <v>#N/A</v>
      </c>
      <c r="Y35" s="225" t="e">
        <f t="shared" si="75"/>
        <v>#N/A</v>
      </c>
      <c r="Z35" s="300"/>
      <c r="AA35" s="225" t="e">
        <f t="shared" si="76"/>
        <v>#N/A</v>
      </c>
      <c r="AB35" s="225" t="e">
        <f t="shared" si="77"/>
        <v>#N/A</v>
      </c>
      <c r="AC35" s="225"/>
      <c r="AD35" s="225" t="e">
        <f t="shared" si="78"/>
        <v>#N/A</v>
      </c>
      <c r="AE35" s="244" t="e">
        <f t="shared" si="79"/>
        <v>#N/A</v>
      </c>
      <c r="AF35" s="311" t="e">
        <f t="shared" si="71"/>
        <v>#N/A</v>
      </c>
      <c r="AG35" s="244" t="e">
        <f t="shared" si="80"/>
        <v>#N/A</v>
      </c>
      <c r="AH35" s="225" t="e">
        <f>IF(OR(W35="Cont",W35="CT"),VLOOKUP(R35,cthuc!$AQ$3:$AR$44,2,0),"")</f>
        <v>#N/A</v>
      </c>
      <c r="AI35" s="225" t="e">
        <f t="shared" si="81"/>
        <v>#N/A</v>
      </c>
      <c r="AJ35" s="225"/>
      <c r="AK35" s="225" t="e">
        <f t="shared" si="66"/>
        <v>#N/A</v>
      </c>
      <c r="AL35" s="225" t="str">
        <f t="shared" si="67"/>
        <v>332   + Nơi lấy:</v>
      </c>
      <c r="AM35" s="250">
        <f t="shared" si="25"/>
        <v>45490</v>
      </c>
      <c r="AN35" s="225" t="e">
        <f>IF(OR(W35="HS",W35="HP"),"",VLOOKUP(VLOOKUP(AL35,$B$8:$E$671,3,0),cthuc!$AO$3:$AP$142,2,0))</f>
        <v>#N/A</v>
      </c>
      <c r="AO35" s="225" t="e">
        <f t="shared" si="26"/>
        <v>#N/A</v>
      </c>
      <c r="AP35" s="225" t="e">
        <f t="shared" si="68"/>
        <v>#N/A</v>
      </c>
      <c r="AQ35" s="225" t="e">
        <f t="shared" si="28"/>
        <v>#N/A</v>
      </c>
      <c r="AR35" s="225" t="e">
        <f t="shared" si="69"/>
        <v>#N/A</v>
      </c>
      <c r="AS35" s="225">
        <v>1</v>
      </c>
      <c r="AT35" s="251" t="e">
        <f t="shared" si="30"/>
        <v>#N/A</v>
      </c>
      <c r="AV35" s="113" t="e">
        <f>VLOOKUP(BD35,giaroi!$D$6:$N$500,11,0)</f>
        <v>#N/A</v>
      </c>
      <c r="AW35" s="284">
        <f t="shared" si="31"/>
        <v>0</v>
      </c>
      <c r="AX35" s="113" t="s">
        <v>13204</v>
      </c>
      <c r="AY35" s="284" t="e">
        <f t="shared" si="32"/>
        <v>#N/A</v>
      </c>
      <c r="AZ35" s="225" t="e">
        <f t="shared" si="49"/>
        <v>#N/A</v>
      </c>
      <c r="BA35" s="127">
        <f t="shared" si="50"/>
        <v>0</v>
      </c>
      <c r="BB35" s="244">
        <f t="shared" si="51"/>
        <v>0</v>
      </c>
      <c r="BC35" s="225">
        <f t="shared" si="52"/>
        <v>0</v>
      </c>
      <c r="BD35" s="225" t="e">
        <f t="shared" si="53"/>
        <v>#N/A</v>
      </c>
      <c r="BE35" s="225" t="str">
        <f t="shared" si="54"/>
        <v>332   + Số lượng xe:</v>
      </c>
      <c r="BF35" s="225">
        <f t="shared" si="55"/>
        <v>0</v>
      </c>
      <c r="BG35" s="225" t="e">
        <f t="shared" si="56"/>
        <v>#N/A</v>
      </c>
      <c r="BH35" s="225" t="e">
        <f t="shared" si="57"/>
        <v>#N/A</v>
      </c>
      <c r="BI35" s="321" t="str">
        <f t="shared" si="58"/>
        <v/>
      </c>
      <c r="BJ35" s="284">
        <f t="shared" si="40"/>
        <v>0</v>
      </c>
      <c r="BK35" s="284" t="str">
        <f t="shared" si="7"/>
        <v/>
      </c>
      <c r="BL35" s="225" t="str">
        <f t="shared" si="41"/>
        <v>332   + Người ra lệnh:</v>
      </c>
      <c r="BM35" s="225">
        <f t="shared" si="42"/>
        <v>0</v>
      </c>
      <c r="BN35" s="113" t="e">
        <f>VLOOKUP(BM35,[1]Sheet1!$B$3:$C$604,2,0)</f>
        <v>#N/A</v>
      </c>
      <c r="BO35" s="113" t="str">
        <f t="shared" si="43"/>
        <v/>
      </c>
      <c r="BP35" s="351" t="str">
        <f t="shared" si="8"/>
        <v/>
      </c>
      <c r="BT35" s="113" t="str">
        <f t="shared" si="44"/>
        <v>, 4 xe của Đức Tín, 3 xe của Đức Tín, 1 xe của Đức Tín</v>
      </c>
      <c r="BU35" s="113" t="e">
        <f t="shared" si="45"/>
        <v>#N/A</v>
      </c>
      <c r="BV35" s="380" t="e">
        <f t="shared" si="46"/>
        <v>#N/A</v>
      </c>
      <c r="BW35" s="376" t="e">
        <f t="shared" si="47"/>
        <v>#N/A</v>
      </c>
    </row>
    <row r="36" spans="1:75" ht="15.6" x14ac:dyDescent="0.3">
      <c r="A36" s="113">
        <v>36</v>
      </c>
      <c r="B36" s="113" t="str">
        <f t="shared" si="82"/>
        <v>32Gỗ rời   + Khối lượng:</v>
      </c>
      <c r="C36" t="s">
        <v>15060</v>
      </c>
      <c r="D36" t="s">
        <v>15081</v>
      </c>
      <c r="E36"/>
      <c r="F36"/>
      <c r="G36" s="113" t="str">
        <f>CONCATENATE(A344,C344)</f>
        <v>344</v>
      </c>
      <c r="H36" s="113" t="str">
        <f t="shared" si="0"/>
        <v>344   + Trả cước:</v>
      </c>
      <c r="I36" s="113" t="str">
        <f t="shared" si="1"/>
        <v>344   + Nâng gỗ</v>
      </c>
      <c r="J36" s="113" t="str">
        <f t="shared" si="2"/>
        <v>344   + Nơi nhận</v>
      </c>
      <c r="K36" s="113" t="str">
        <f t="shared" si="3"/>
        <v>344   + Nơi trả:</v>
      </c>
      <c r="L36" s="115" t="str">
        <f t="shared" si="9"/>
        <v>344   + Tiền cước:</v>
      </c>
      <c r="M36" s="115" t="str">
        <f t="shared" si="10"/>
        <v>344   + Cont số:</v>
      </c>
      <c r="N36" s="115" t="str">
        <f t="shared" si="4"/>
        <v>344   + Tiền đường:</v>
      </c>
      <c r="O36" s="115" t="str">
        <f t="shared" si="11"/>
        <v>344   + Loại gỗ:</v>
      </c>
      <c r="P36" s="115" t="str">
        <f t="shared" si="12"/>
        <v>344   + Tiền cước:</v>
      </c>
      <c r="Q36" s="113" t="e">
        <f t="shared" si="13"/>
        <v>#N/A</v>
      </c>
      <c r="R36" s="225" t="e">
        <f>IF((RIGHT(G36,3)="rời"),VLOOKUP(RIGHT(Q36,9),[2]Khach_hangmoi!$J$3:$N$3854,2,0),LEFT(Q36,7))</f>
        <v>#N/A</v>
      </c>
      <c r="S36" s="225" t="e">
        <f>VLOOKUP(R36,[2]Khach_hangmoi!$A$3:$I$4325,2,0)</f>
        <v>#N/A</v>
      </c>
      <c r="T36" s="225" t="e">
        <f>IF(VLOOKUP(R36,[2]Khach_hangmoi!$A$3:$I$4325,5,0)=0,"",VLOOKUP(R36,[2]Khach_hangmoi!$A$3:$I$4325,5,0))</f>
        <v>#N/A</v>
      </c>
      <c r="U36" s="225" t="e">
        <f>VLOOKUP(R36,[2]Khach_hangmoi!$A$3:$I$4325,3,0)</f>
        <v>#N/A</v>
      </c>
      <c r="V36" s="225"/>
      <c r="W36" s="225" t="e">
        <f t="shared" si="74"/>
        <v>#N/A</v>
      </c>
      <c r="X36" s="225" t="e">
        <f>VLOOKUP(Y36,Hanghoa!$B$3:$E$1914,2,0)</f>
        <v>#N/A</v>
      </c>
      <c r="Y36" s="225" t="e">
        <f t="shared" si="75"/>
        <v>#N/A</v>
      </c>
      <c r="Z36" s="300"/>
      <c r="AA36" s="225" t="e">
        <f t="shared" si="76"/>
        <v>#N/A</v>
      </c>
      <c r="AB36" s="225" t="e">
        <f t="shared" si="77"/>
        <v>#N/A</v>
      </c>
      <c r="AC36" s="225"/>
      <c r="AD36" s="225" t="e">
        <f t="shared" si="78"/>
        <v>#N/A</v>
      </c>
      <c r="AE36" s="244" t="e">
        <f t="shared" si="79"/>
        <v>#N/A</v>
      </c>
      <c r="AF36" s="311" t="e">
        <f t="shared" si="71"/>
        <v>#N/A</v>
      </c>
      <c r="AG36" s="244" t="e">
        <f t="shared" si="80"/>
        <v>#N/A</v>
      </c>
      <c r="AH36" s="225" t="e">
        <f>IF(OR(W36="Cont",W36="CT"),VLOOKUP(R36,cthuc!$AQ$3:$AR$44,2,0),"")</f>
        <v>#N/A</v>
      </c>
      <c r="AI36" s="225" t="e">
        <f t="shared" si="81"/>
        <v>#N/A</v>
      </c>
      <c r="AJ36" s="225"/>
      <c r="AK36" s="225" t="e">
        <f t="shared" si="66"/>
        <v>#N/A</v>
      </c>
      <c r="AL36" s="225" t="str">
        <f t="shared" si="67"/>
        <v>344   + Nơi lấy:</v>
      </c>
      <c r="AM36" s="250">
        <f t="shared" si="25"/>
        <v>45490</v>
      </c>
      <c r="AN36" s="225" t="e">
        <f>IF(OR(W36="HS",W36="HP"),"",VLOOKUP(VLOOKUP(AL36,$B$8:$E$671,3,0),cthuc!$AO$3:$AP$142,2,0))</f>
        <v>#N/A</v>
      </c>
      <c r="AO36" s="225" t="e">
        <f t="shared" si="26"/>
        <v>#N/A</v>
      </c>
      <c r="AP36" s="225" t="e">
        <f t="shared" si="68"/>
        <v>#N/A</v>
      </c>
      <c r="AQ36" s="225" t="e">
        <f t="shared" si="28"/>
        <v>#N/A</v>
      </c>
      <c r="AR36" s="225" t="e">
        <f t="shared" si="69"/>
        <v>#N/A</v>
      </c>
      <c r="AS36" s="225">
        <v>1</v>
      </c>
      <c r="AT36" s="251" t="e">
        <f t="shared" si="30"/>
        <v>#N/A</v>
      </c>
      <c r="AV36" s="113" t="e">
        <f>VLOOKUP(BD36,giaroi!$D$6:$N$500,11,0)</f>
        <v>#N/A</v>
      </c>
      <c r="AW36" s="284">
        <f t="shared" si="31"/>
        <v>0</v>
      </c>
      <c r="AX36" s="113" t="s">
        <v>13205</v>
      </c>
      <c r="AY36" s="284" t="e">
        <f t="shared" si="32"/>
        <v>#N/A</v>
      </c>
      <c r="AZ36" s="225" t="e">
        <f t="shared" si="49"/>
        <v>#N/A</v>
      </c>
      <c r="BA36" s="127">
        <f t="shared" si="50"/>
        <v>0</v>
      </c>
      <c r="BB36" s="244">
        <f t="shared" si="51"/>
        <v>0</v>
      </c>
      <c r="BC36" s="225">
        <f t="shared" si="52"/>
        <v>0</v>
      </c>
      <c r="BD36" s="225" t="e">
        <f t="shared" si="53"/>
        <v>#N/A</v>
      </c>
      <c r="BE36" s="225" t="str">
        <f t="shared" si="54"/>
        <v>344   + Số lượng xe:</v>
      </c>
      <c r="BF36" s="225">
        <f t="shared" si="55"/>
        <v>0</v>
      </c>
      <c r="BG36" s="225" t="e">
        <f t="shared" si="56"/>
        <v>#N/A</v>
      </c>
      <c r="BH36" s="225" t="e">
        <f t="shared" si="57"/>
        <v>#N/A</v>
      </c>
      <c r="BI36" s="321" t="str">
        <f t="shared" si="58"/>
        <v/>
      </c>
      <c r="BJ36" s="284">
        <f t="shared" si="40"/>
        <v>0</v>
      </c>
      <c r="BK36" s="284" t="str">
        <f t="shared" si="7"/>
        <v/>
      </c>
      <c r="BL36" s="225" t="str">
        <f t="shared" si="41"/>
        <v>344   + Người ra lệnh:</v>
      </c>
      <c r="BM36" s="225">
        <f t="shared" si="42"/>
        <v>0</v>
      </c>
      <c r="BN36" s="113" t="e">
        <f>VLOOKUP(BM36,[1]Sheet1!$B$3:$C$604,2,0)</f>
        <v>#N/A</v>
      </c>
      <c r="BO36" s="113" t="str">
        <f t="shared" si="43"/>
        <v/>
      </c>
      <c r="BP36" s="351" t="str">
        <f t="shared" si="8"/>
        <v/>
      </c>
      <c r="BT36" s="113" t="str">
        <f t="shared" si="44"/>
        <v>, 4 xe của Đức Tín, 3 xe của Đức Tín, 1 xe của Đức Tín</v>
      </c>
      <c r="BU36" s="113" t="e">
        <f t="shared" si="45"/>
        <v>#N/A</v>
      </c>
      <c r="BV36" s="380" t="e">
        <f t="shared" si="46"/>
        <v>#N/A</v>
      </c>
      <c r="BW36" s="376" t="e">
        <f t="shared" si="47"/>
        <v>#N/A</v>
      </c>
    </row>
    <row r="37" spans="1:75" ht="15.6" x14ac:dyDescent="0.3">
      <c r="A37" s="113">
        <v>37</v>
      </c>
      <c r="B37" s="113" t="str">
        <f t="shared" si="82"/>
        <v>32Gỗ rời   + Số lượng xe:</v>
      </c>
      <c r="C37" t="s">
        <v>15062</v>
      </c>
      <c r="D37">
        <v>4</v>
      </c>
      <c r="E37" t="s">
        <v>15082</v>
      </c>
      <c r="F37"/>
      <c r="G37" s="113" t="str">
        <f>CONCATENATE(A356,C356)</f>
        <v>356</v>
      </c>
      <c r="H37" s="113" t="str">
        <f t="shared" si="0"/>
        <v>356   + Trả cước:</v>
      </c>
      <c r="I37" s="113" t="str">
        <f t="shared" si="1"/>
        <v>356   + Nâng gỗ</v>
      </c>
      <c r="J37" s="113" t="str">
        <f t="shared" si="2"/>
        <v>356   + Nơi nhận</v>
      </c>
      <c r="K37" s="113" t="str">
        <f t="shared" si="3"/>
        <v>356   + Nơi trả:</v>
      </c>
      <c r="L37" s="115" t="str">
        <f t="shared" si="9"/>
        <v>356   + Tiền cước:</v>
      </c>
      <c r="M37" s="115" t="str">
        <f t="shared" si="10"/>
        <v>356   + Cont số:</v>
      </c>
      <c r="N37" s="115" t="str">
        <f t="shared" si="4"/>
        <v>356   + Tiền đường:</v>
      </c>
      <c r="O37" s="115" t="str">
        <f t="shared" si="11"/>
        <v>356   + Loại gỗ:</v>
      </c>
      <c r="P37" s="115" t="str">
        <f t="shared" si="12"/>
        <v>356   + Tiền cước:</v>
      </c>
      <c r="Q37" s="113" t="e">
        <f t="shared" si="13"/>
        <v>#N/A</v>
      </c>
      <c r="R37" s="225" t="e">
        <f>IF((RIGHT(G37,3)="rời"),VLOOKUP(RIGHT(Q37,9),[2]Khach_hangmoi!$J$3:$N$3854,2,0),LEFT(Q37,7))</f>
        <v>#N/A</v>
      </c>
      <c r="S37" s="225" t="e">
        <f>VLOOKUP(R37,[2]Khach_hangmoi!$A$3:$I$4325,2,0)</f>
        <v>#N/A</v>
      </c>
      <c r="T37" s="225" t="e">
        <f>IF(VLOOKUP(R37,[2]Khach_hangmoi!$A$3:$I$4325,5,0)=0,"",VLOOKUP(R37,[2]Khach_hangmoi!$A$3:$I$4325,5,0))</f>
        <v>#N/A</v>
      </c>
      <c r="U37" s="225" t="e">
        <f>VLOOKUP(R37,[2]Khach_hangmoi!$A$3:$I$4325,3,0)</f>
        <v>#N/A</v>
      </c>
      <c r="V37" s="225"/>
      <c r="W37" s="225" t="e">
        <f t="shared" si="74"/>
        <v>#N/A</v>
      </c>
      <c r="X37" s="225" t="e">
        <f>VLOOKUP(Y37,Hanghoa!$B$3:$E$1914,2,0)</f>
        <v>#N/A</v>
      </c>
      <c r="Y37" s="225" t="e">
        <f t="shared" si="75"/>
        <v>#N/A</v>
      </c>
      <c r="Z37" s="300"/>
      <c r="AA37" s="225" t="e">
        <f t="shared" si="76"/>
        <v>#N/A</v>
      </c>
      <c r="AB37" s="225" t="e">
        <f t="shared" si="77"/>
        <v>#N/A</v>
      </c>
      <c r="AC37" s="225"/>
      <c r="AD37" s="225" t="e">
        <f t="shared" si="78"/>
        <v>#N/A</v>
      </c>
      <c r="AE37" s="244" t="e">
        <f t="shared" si="79"/>
        <v>#N/A</v>
      </c>
      <c r="AF37" s="311" t="e">
        <f t="shared" si="71"/>
        <v>#N/A</v>
      </c>
      <c r="AG37" s="244" t="e">
        <f t="shared" si="80"/>
        <v>#N/A</v>
      </c>
      <c r="AH37" s="225" t="e">
        <f>IF(OR(W37="Cont",W37="CT"),VLOOKUP(R37,cthuc!$AQ$3:$AR$44,2,0),"")</f>
        <v>#N/A</v>
      </c>
      <c r="AI37" s="225" t="e">
        <f t="shared" si="81"/>
        <v>#N/A</v>
      </c>
      <c r="AJ37" s="225"/>
      <c r="AK37" s="225" t="e">
        <f t="shared" si="66"/>
        <v>#N/A</v>
      </c>
      <c r="AL37" s="225" t="str">
        <f t="shared" si="67"/>
        <v>356   + Nơi lấy:</v>
      </c>
      <c r="AM37" s="250">
        <f t="shared" si="25"/>
        <v>45490</v>
      </c>
      <c r="AN37" s="225" t="e">
        <f>IF(OR(W37="HS",W37="HP"),"",VLOOKUP(VLOOKUP(AL37,$B$8:$E$671,3,0),cthuc!$AO$3:$AP$142,2,0))</f>
        <v>#N/A</v>
      </c>
      <c r="AO37" s="225" t="e">
        <f t="shared" si="26"/>
        <v>#N/A</v>
      </c>
      <c r="AP37" s="225" t="e">
        <f t="shared" si="68"/>
        <v>#N/A</v>
      </c>
      <c r="AQ37" s="225" t="e">
        <f t="shared" si="28"/>
        <v>#N/A</v>
      </c>
      <c r="AR37" s="225" t="e">
        <f t="shared" si="69"/>
        <v>#N/A</v>
      </c>
      <c r="AS37" s="225">
        <v>1</v>
      </c>
      <c r="AT37" s="251" t="e">
        <f t="shared" si="30"/>
        <v>#N/A</v>
      </c>
      <c r="AV37" s="113" t="e">
        <f>VLOOKUP(BD37,giaroi!$D$6:$N$500,11,0)</f>
        <v>#N/A</v>
      </c>
      <c r="AW37" s="284">
        <f t="shared" si="31"/>
        <v>0</v>
      </c>
      <c r="AX37" s="113" t="s">
        <v>13206</v>
      </c>
      <c r="AY37" s="284" t="e">
        <f t="shared" si="32"/>
        <v>#N/A</v>
      </c>
      <c r="AZ37" s="225" t="e">
        <f t="shared" si="49"/>
        <v>#N/A</v>
      </c>
      <c r="BA37" s="127">
        <f t="shared" si="50"/>
        <v>0</v>
      </c>
      <c r="BB37" s="244">
        <f t="shared" si="51"/>
        <v>0</v>
      </c>
      <c r="BC37" s="225">
        <f t="shared" si="52"/>
        <v>0</v>
      </c>
      <c r="BD37" s="225" t="e">
        <f t="shared" si="53"/>
        <v>#N/A</v>
      </c>
      <c r="BE37" s="225" t="str">
        <f t="shared" si="54"/>
        <v>356   + Số lượng xe:</v>
      </c>
      <c r="BF37" s="225">
        <f t="shared" si="55"/>
        <v>0</v>
      </c>
      <c r="BG37" s="225" t="e">
        <f t="shared" si="56"/>
        <v>#N/A</v>
      </c>
      <c r="BH37" s="225" t="e">
        <f t="shared" si="57"/>
        <v>#N/A</v>
      </c>
      <c r="BI37" s="321" t="str">
        <f t="shared" si="58"/>
        <v/>
      </c>
      <c r="BJ37" s="284">
        <f t="shared" si="40"/>
        <v>0</v>
      </c>
      <c r="BK37" s="284" t="str">
        <f t="shared" si="7"/>
        <v/>
      </c>
      <c r="BL37" s="225" t="str">
        <f t="shared" si="41"/>
        <v>356   + Người ra lệnh:</v>
      </c>
      <c r="BM37" s="225">
        <f t="shared" si="42"/>
        <v>0</v>
      </c>
      <c r="BN37" s="113" t="e">
        <f>VLOOKUP(BM37,[1]Sheet1!$B$3:$C$604,2,0)</f>
        <v>#N/A</v>
      </c>
      <c r="BO37" s="113" t="str">
        <f t="shared" si="43"/>
        <v/>
      </c>
      <c r="BP37" s="351" t="str">
        <f t="shared" si="8"/>
        <v/>
      </c>
      <c r="BT37" s="113" t="str">
        <f t="shared" si="44"/>
        <v>, 4 xe của Đức Tín, 3 xe của Đức Tín, 1 xe của Đức Tín</v>
      </c>
      <c r="BU37" s="113" t="e">
        <f t="shared" si="45"/>
        <v>#N/A</v>
      </c>
      <c r="BV37" s="380" t="e">
        <f t="shared" si="46"/>
        <v>#N/A</v>
      </c>
      <c r="BW37" s="376" t="e">
        <f t="shared" si="47"/>
        <v>#N/A</v>
      </c>
    </row>
    <row r="38" spans="1:75" ht="15.6" x14ac:dyDescent="0.3">
      <c r="A38" s="113">
        <v>38</v>
      </c>
      <c r="B38" s="113" t="str">
        <f t="shared" si="82"/>
        <v>32Gỗ rời   + Người nhận:</v>
      </c>
      <c r="C38" t="s">
        <v>15064</v>
      </c>
      <c r="D38" t="s">
        <v>15083</v>
      </c>
      <c r="E38"/>
      <c r="F38"/>
      <c r="G38" s="113" t="str">
        <f>CONCATENATE(A368,C368)</f>
        <v>368</v>
      </c>
      <c r="H38" s="113" t="str">
        <f t="shared" si="0"/>
        <v>368   + Trả cước:</v>
      </c>
      <c r="I38" s="113" t="str">
        <f t="shared" si="1"/>
        <v>368   + Nâng gỗ</v>
      </c>
      <c r="J38" s="113" t="str">
        <f t="shared" si="2"/>
        <v>368   + Nơi nhận</v>
      </c>
      <c r="K38" s="113" t="str">
        <f t="shared" si="3"/>
        <v>368   + Nơi trả:</v>
      </c>
      <c r="L38" s="115" t="str">
        <f t="shared" si="9"/>
        <v>368   + Tiền cước:</v>
      </c>
      <c r="M38" s="115" t="str">
        <f t="shared" si="10"/>
        <v>368   + Cont số:</v>
      </c>
      <c r="N38" s="115" t="str">
        <f t="shared" si="4"/>
        <v>368   + Tiền đường:</v>
      </c>
      <c r="O38" s="115" t="str">
        <f t="shared" si="11"/>
        <v>368   + Loại gỗ:</v>
      </c>
      <c r="P38" s="115" t="str">
        <f t="shared" si="12"/>
        <v>368   + Tiền cước:</v>
      </c>
      <c r="Q38" s="113" t="e">
        <f t="shared" si="13"/>
        <v>#N/A</v>
      </c>
      <c r="R38" s="225" t="e">
        <f>IF((RIGHT(G38,3)="rời"),VLOOKUP(RIGHT(Q38,9),[2]Khach_hangmoi!$J$3:$N$3854,2,0),LEFT(Q38,7))</f>
        <v>#N/A</v>
      </c>
      <c r="S38" s="225" t="e">
        <f>VLOOKUP(R38,[2]Khach_hangmoi!$A$3:$I$4325,2,0)</f>
        <v>#N/A</v>
      </c>
      <c r="T38" s="225" t="e">
        <f>IF(VLOOKUP(R38,[2]Khach_hangmoi!$A$3:$I$4325,5,0)=0,"",VLOOKUP(R38,[2]Khach_hangmoi!$A$3:$I$4325,5,0))</f>
        <v>#N/A</v>
      </c>
      <c r="U38" s="225" t="e">
        <f>VLOOKUP(R38,[2]Khach_hangmoi!$A$3:$I$4325,3,0)</f>
        <v>#N/A</v>
      </c>
      <c r="V38" s="225"/>
      <c r="W38" s="225" t="e">
        <f t="shared" si="74"/>
        <v>#N/A</v>
      </c>
      <c r="X38" s="225" t="e">
        <f>VLOOKUP(Y38,Hanghoa!$B$3:$E$1914,2,0)</f>
        <v>#N/A</v>
      </c>
      <c r="Y38" s="225" t="e">
        <f t="shared" si="75"/>
        <v>#N/A</v>
      </c>
      <c r="Z38" s="300"/>
      <c r="AA38" s="225" t="e">
        <f t="shared" si="76"/>
        <v>#N/A</v>
      </c>
      <c r="AB38" s="225" t="e">
        <f t="shared" si="77"/>
        <v>#N/A</v>
      </c>
      <c r="AC38" s="225"/>
      <c r="AD38" s="225" t="e">
        <f t="shared" si="78"/>
        <v>#N/A</v>
      </c>
      <c r="AE38" s="244" t="e">
        <f t="shared" si="79"/>
        <v>#N/A</v>
      </c>
      <c r="AF38" s="311" t="e">
        <f t="shared" si="71"/>
        <v>#N/A</v>
      </c>
      <c r="AG38" s="244" t="e">
        <f t="shared" si="80"/>
        <v>#N/A</v>
      </c>
      <c r="AH38" s="225" t="e">
        <f>IF(OR(W38="Cont",W38="CT"),VLOOKUP(R38,cthuc!$AQ$3:$AR$44,2,0),"")</f>
        <v>#N/A</v>
      </c>
      <c r="AI38" s="225" t="e">
        <f t="shared" si="81"/>
        <v>#N/A</v>
      </c>
      <c r="AJ38" s="225"/>
      <c r="AK38" s="225" t="e">
        <f t="shared" si="66"/>
        <v>#N/A</v>
      </c>
      <c r="AL38" s="225" t="str">
        <f t="shared" si="67"/>
        <v>368   + Nơi lấy:</v>
      </c>
      <c r="AM38" s="250">
        <f t="shared" si="25"/>
        <v>45490</v>
      </c>
      <c r="AN38" s="225" t="e">
        <f>IF(OR(W38="HS",W38="HP"),"",VLOOKUP(VLOOKUP(AL38,$B$8:$E$671,3,0),cthuc!$AO$3:$AP$142,2,0))</f>
        <v>#N/A</v>
      </c>
      <c r="AO38" s="225" t="e">
        <f t="shared" si="26"/>
        <v>#N/A</v>
      </c>
      <c r="AP38" s="225" t="e">
        <f t="shared" si="68"/>
        <v>#N/A</v>
      </c>
      <c r="AQ38" s="225" t="e">
        <f t="shared" si="28"/>
        <v>#N/A</v>
      </c>
      <c r="AR38" s="225" t="e">
        <f t="shared" si="69"/>
        <v>#N/A</v>
      </c>
      <c r="AS38" s="225">
        <v>1</v>
      </c>
      <c r="AT38" s="251" t="e">
        <f t="shared" si="30"/>
        <v>#N/A</v>
      </c>
      <c r="AV38" s="113" t="e">
        <f>VLOOKUP(BD38,giaroi!$D$6:$N$500,11,0)</f>
        <v>#N/A</v>
      </c>
      <c r="AW38" s="284">
        <f t="shared" si="31"/>
        <v>0</v>
      </c>
      <c r="AX38" s="113" t="s">
        <v>13207</v>
      </c>
      <c r="AY38" s="284" t="e">
        <f t="shared" si="32"/>
        <v>#N/A</v>
      </c>
      <c r="AZ38" s="225" t="e">
        <f t="shared" si="49"/>
        <v>#N/A</v>
      </c>
      <c r="BA38" s="127">
        <f t="shared" si="50"/>
        <v>0</v>
      </c>
      <c r="BB38" s="244">
        <f t="shared" si="51"/>
        <v>0</v>
      </c>
      <c r="BC38" s="225">
        <f t="shared" si="52"/>
        <v>0</v>
      </c>
      <c r="BD38" s="225" t="e">
        <f t="shared" si="53"/>
        <v>#N/A</v>
      </c>
      <c r="BE38" s="225" t="str">
        <f t="shared" si="54"/>
        <v>368   + Số lượng xe:</v>
      </c>
      <c r="BF38" s="225">
        <f t="shared" si="55"/>
        <v>0</v>
      </c>
      <c r="BG38" s="225" t="e">
        <f t="shared" si="56"/>
        <v>#N/A</v>
      </c>
      <c r="BH38" s="225" t="e">
        <f t="shared" si="57"/>
        <v>#N/A</v>
      </c>
      <c r="BI38" s="321" t="str">
        <f t="shared" si="58"/>
        <v/>
      </c>
      <c r="BJ38" s="284">
        <f t="shared" si="40"/>
        <v>0</v>
      </c>
      <c r="BK38" s="284" t="str">
        <f t="shared" si="7"/>
        <v/>
      </c>
      <c r="BL38" s="225" t="str">
        <f t="shared" si="41"/>
        <v>368   + Người ra lệnh:</v>
      </c>
      <c r="BM38" s="225">
        <f t="shared" si="42"/>
        <v>0</v>
      </c>
      <c r="BN38" s="113" t="e">
        <f>VLOOKUP(BM38,[1]Sheet1!$B$3:$C$604,2,0)</f>
        <v>#N/A</v>
      </c>
      <c r="BO38" s="113" t="str">
        <f t="shared" si="43"/>
        <v/>
      </c>
      <c r="BP38" s="351" t="str">
        <f t="shared" si="8"/>
        <v/>
      </c>
      <c r="BT38" s="113" t="str">
        <f t="shared" si="44"/>
        <v>, 4 xe của Đức Tín, 3 xe của Đức Tín, 1 xe của Đức Tín</v>
      </c>
      <c r="BU38" s="113" t="e">
        <f t="shared" si="45"/>
        <v>#N/A</v>
      </c>
      <c r="BV38" s="380" t="e">
        <f t="shared" si="46"/>
        <v>#N/A</v>
      </c>
      <c r="BW38" s="376" t="e">
        <f t="shared" si="47"/>
        <v>#N/A</v>
      </c>
    </row>
    <row r="39" spans="1:75" ht="15.6" x14ac:dyDescent="0.3">
      <c r="A39" s="113">
        <v>39</v>
      </c>
      <c r="B39" s="113" t="str">
        <f t="shared" si="82"/>
        <v>32Gỗ rời   + Nơi nhận:</v>
      </c>
      <c r="C39" t="s">
        <v>15065</v>
      </c>
      <c r="D39" t="s">
        <v>230</v>
      </c>
      <c r="E39"/>
      <c r="F39"/>
      <c r="G39" s="113" t="str">
        <f>CONCATENATE(A380,C380)</f>
        <v>380</v>
      </c>
      <c r="H39" s="113" t="str">
        <f t="shared" si="0"/>
        <v>380   + Trả cước:</v>
      </c>
      <c r="I39" s="113" t="str">
        <f t="shared" si="1"/>
        <v>380   + Nâng gỗ</v>
      </c>
      <c r="J39" s="113" t="str">
        <f t="shared" si="2"/>
        <v>380   + Nơi nhận</v>
      </c>
      <c r="K39" s="113" t="str">
        <f t="shared" si="3"/>
        <v>380   + Nơi trả:</v>
      </c>
      <c r="L39" s="115" t="str">
        <f t="shared" si="9"/>
        <v>380   + Tiền cước:</v>
      </c>
      <c r="M39" s="115" t="str">
        <f t="shared" si="10"/>
        <v>380   + Cont số:</v>
      </c>
      <c r="N39" s="115" t="str">
        <f t="shared" si="4"/>
        <v>380   + Tiền đường:</v>
      </c>
      <c r="O39" s="115" t="str">
        <f t="shared" si="11"/>
        <v>380   + Loại gỗ:</v>
      </c>
      <c r="P39" s="115" t="str">
        <f t="shared" si="12"/>
        <v>380   + Tiền cước:</v>
      </c>
      <c r="Q39" s="113" t="e">
        <f t="shared" si="13"/>
        <v>#N/A</v>
      </c>
      <c r="R39" s="225" t="e">
        <f>IF((RIGHT(G39,3)="rời"),VLOOKUP(RIGHT(Q39,9),[2]Khach_hangmoi!$J$3:$N$3854,2,0),LEFT(Q39,7))</f>
        <v>#N/A</v>
      </c>
      <c r="S39" s="225" t="e">
        <f>VLOOKUP(R39,[2]Khach_hangmoi!$A$3:$I$4325,2,0)</f>
        <v>#N/A</v>
      </c>
      <c r="T39" s="225" t="e">
        <f>IF(VLOOKUP(R39,[2]Khach_hangmoi!$A$3:$I$4325,5,0)=0,"",VLOOKUP(R39,[2]Khach_hangmoi!$A$3:$I$4325,5,0))</f>
        <v>#N/A</v>
      </c>
      <c r="U39" s="225" t="e">
        <f>VLOOKUP(R39,[2]Khach_hangmoi!$A$3:$I$4325,3,0)</f>
        <v>#N/A</v>
      </c>
      <c r="V39" s="225"/>
      <c r="W39" s="225" t="e">
        <f t="shared" si="74"/>
        <v>#N/A</v>
      </c>
      <c r="X39" s="225" t="e">
        <f>VLOOKUP(Y39,Hanghoa!$B$3:$E$1914,2,0)</f>
        <v>#N/A</v>
      </c>
      <c r="Y39" s="225" t="e">
        <f t="shared" si="75"/>
        <v>#N/A</v>
      </c>
      <c r="Z39" s="300"/>
      <c r="AA39" s="225" t="e">
        <f t="shared" si="76"/>
        <v>#N/A</v>
      </c>
      <c r="AB39" s="225" t="e">
        <f t="shared" si="77"/>
        <v>#N/A</v>
      </c>
      <c r="AC39" s="225"/>
      <c r="AD39" s="225" t="e">
        <f t="shared" si="78"/>
        <v>#N/A</v>
      </c>
      <c r="AE39" s="244" t="e">
        <f t="shared" si="79"/>
        <v>#N/A</v>
      </c>
      <c r="AF39" s="311" t="e">
        <f t="shared" si="71"/>
        <v>#N/A</v>
      </c>
      <c r="AG39" s="244" t="e">
        <f t="shared" si="80"/>
        <v>#N/A</v>
      </c>
      <c r="AH39" s="225" t="e">
        <f>IF(OR(W39="Cont",W39="CT"),VLOOKUP(R39,cthuc!$AQ$3:$AR$44,2,0),"")</f>
        <v>#N/A</v>
      </c>
      <c r="AI39" s="225" t="e">
        <f t="shared" si="81"/>
        <v>#N/A</v>
      </c>
      <c r="AJ39" s="225"/>
      <c r="AK39" s="225" t="e">
        <f t="shared" si="66"/>
        <v>#N/A</v>
      </c>
      <c r="AL39" s="225" t="str">
        <f t="shared" si="67"/>
        <v>380   + Nơi lấy:</v>
      </c>
      <c r="AM39" s="250">
        <f t="shared" si="25"/>
        <v>45490</v>
      </c>
      <c r="AN39" s="225" t="e">
        <f>IF(OR(W39="HS",W39="HP"),"",VLOOKUP(VLOOKUP(AL39,$B$8:$E$671,3,0),cthuc!$AO$3:$AP$142,2,0))</f>
        <v>#N/A</v>
      </c>
      <c r="AO39" s="225" t="e">
        <f t="shared" si="26"/>
        <v>#N/A</v>
      </c>
      <c r="AP39" s="225" t="e">
        <f t="shared" si="68"/>
        <v>#N/A</v>
      </c>
      <c r="AQ39" s="225" t="e">
        <f t="shared" si="28"/>
        <v>#N/A</v>
      </c>
      <c r="AR39" s="225" t="e">
        <f t="shared" si="69"/>
        <v>#N/A</v>
      </c>
      <c r="AS39" s="225">
        <v>1</v>
      </c>
      <c r="AT39" s="251" t="e">
        <f t="shared" si="30"/>
        <v>#N/A</v>
      </c>
      <c r="AV39" s="113" t="e">
        <f>VLOOKUP(BD39,giaroi!$D$6:$N$500,11,0)</f>
        <v>#N/A</v>
      </c>
      <c r="AW39" s="284">
        <f t="shared" si="31"/>
        <v>0</v>
      </c>
      <c r="AX39" s="113" t="s">
        <v>13208</v>
      </c>
      <c r="AY39" s="284" t="e">
        <f t="shared" si="32"/>
        <v>#N/A</v>
      </c>
      <c r="AZ39" s="225" t="e">
        <f t="shared" si="49"/>
        <v>#N/A</v>
      </c>
      <c r="BA39" s="127">
        <f t="shared" si="50"/>
        <v>0</v>
      </c>
      <c r="BB39" s="244">
        <f t="shared" si="51"/>
        <v>0</v>
      </c>
      <c r="BC39" s="225">
        <f t="shared" si="52"/>
        <v>0</v>
      </c>
      <c r="BD39" s="225" t="e">
        <f t="shared" si="53"/>
        <v>#N/A</v>
      </c>
      <c r="BE39" s="225" t="str">
        <f t="shared" si="54"/>
        <v>380   + Số lượng xe:</v>
      </c>
      <c r="BF39" s="225">
        <f t="shared" si="55"/>
        <v>0</v>
      </c>
      <c r="BG39" s="225" t="e">
        <f t="shared" si="56"/>
        <v>#N/A</v>
      </c>
      <c r="BH39" s="225" t="e">
        <f t="shared" si="57"/>
        <v>#N/A</v>
      </c>
      <c r="BI39" s="321" t="str">
        <f t="shared" si="58"/>
        <v/>
      </c>
      <c r="BJ39" s="284">
        <f t="shared" si="40"/>
        <v>0</v>
      </c>
      <c r="BK39" s="284" t="str">
        <f t="shared" si="7"/>
        <v/>
      </c>
      <c r="BL39" s="225" t="str">
        <f t="shared" si="41"/>
        <v>380   + Người ra lệnh:</v>
      </c>
      <c r="BM39" s="225">
        <f t="shared" si="42"/>
        <v>0</v>
      </c>
      <c r="BN39" s="113" t="e">
        <f>VLOOKUP(BM39,[1]Sheet1!$B$3:$C$604,2,0)</f>
        <v>#N/A</v>
      </c>
      <c r="BO39" s="113" t="str">
        <f t="shared" si="43"/>
        <v/>
      </c>
      <c r="BP39" s="351" t="str">
        <f t="shared" si="8"/>
        <v/>
      </c>
      <c r="BT39" s="113" t="str">
        <f t="shared" si="44"/>
        <v>, 4 xe của Đức Tín, 3 xe của Đức Tín, 1 xe của Đức Tín</v>
      </c>
      <c r="BU39" s="113" t="e">
        <f t="shared" si="45"/>
        <v>#N/A</v>
      </c>
      <c r="BV39" s="380" t="e">
        <f t="shared" si="46"/>
        <v>#N/A</v>
      </c>
      <c r="BW39" s="376" t="e">
        <f t="shared" si="47"/>
        <v>#N/A</v>
      </c>
    </row>
    <row r="40" spans="1:75" ht="15.6" x14ac:dyDescent="0.3">
      <c r="A40" s="113">
        <v>40</v>
      </c>
      <c r="B40" s="113" t="str">
        <f t="shared" si="82"/>
        <v>32Gỗ rời   + Đơn giá (đ/m3) :</v>
      </c>
      <c r="C40" t="s">
        <v>15084</v>
      </c>
      <c r="D40">
        <v>450</v>
      </c>
      <c r="E40" s="128">
        <v>0.97</v>
      </c>
      <c r="F40"/>
      <c r="G40" s="285" t="str">
        <f>CONCATENATE(A392,C392)</f>
        <v>392</v>
      </c>
      <c r="H40" s="113" t="str">
        <f t="shared" si="0"/>
        <v>392   + Trả cước:</v>
      </c>
      <c r="I40" s="113" t="str">
        <f t="shared" ref="I40:I63" si="83">CONCATENATE(G40,"   + Nâng gỗ")</f>
        <v>392   + Nâng gỗ</v>
      </c>
      <c r="J40" s="113" t="str">
        <f t="shared" ref="J40:J63" si="84">CONCATENATE(G40,"   + Nơi nhận")</f>
        <v>392   + Nơi nhận</v>
      </c>
      <c r="K40" s="113" t="str">
        <f t="shared" ref="K40:K63" si="85">IF((RIGHT(G40,3)="rời"),CONCATENATE(G40,"   + Nơi nhận:"),CONCATENATE(G40,"   + Nơi trả:"))</f>
        <v>392   + Nơi trả:</v>
      </c>
      <c r="L40" s="115" t="str">
        <f t="shared" si="9"/>
        <v>392   + Tiền cước:</v>
      </c>
      <c r="M40" s="115" t="str">
        <f t="shared" si="10"/>
        <v>392   + Cont số:</v>
      </c>
      <c r="N40" s="115" t="str">
        <f t="shared" ref="N40" si="86">CONCATENATE(G40,"   + Tiền đường:")</f>
        <v>392   + Tiền đường:</v>
      </c>
      <c r="O40" s="115" t="str">
        <f t="shared" si="11"/>
        <v>392   + Loại gỗ:</v>
      </c>
      <c r="P40" s="115" t="str">
        <f t="shared" si="12"/>
        <v>392   + Tiền cước:</v>
      </c>
      <c r="Q40" s="113" t="e">
        <f t="shared" si="13"/>
        <v>#N/A</v>
      </c>
      <c r="R40" s="225" t="e">
        <f>IF((RIGHT(G40,3)="rời"),VLOOKUP(RIGHT(Q40,9),[2]Khach_hangmoi!$J$3:$N$3854,2,0),LEFT(Q40,7))</f>
        <v>#N/A</v>
      </c>
      <c r="S40" s="225" t="e">
        <f>VLOOKUP(R40,[2]Khach_hangmoi!$A$3:$I$4325,2,0)</f>
        <v>#N/A</v>
      </c>
      <c r="T40" s="225" t="e">
        <f>IF(VLOOKUP(R40,[2]Khach_hangmoi!$A$3:$I$4325,5,0)=0,"",VLOOKUP(R40,[2]Khach_hangmoi!$A$3:$I$4325,5,0))</f>
        <v>#N/A</v>
      </c>
      <c r="U40" s="225" t="e">
        <f>VLOOKUP(R40,[2]Khach_hangmoi!$A$3:$I$4325,3,0)</f>
        <v>#N/A</v>
      </c>
      <c r="V40" s="225"/>
      <c r="W40" s="225" t="e">
        <f t="shared" si="74"/>
        <v>#N/A</v>
      </c>
      <c r="X40" s="225" t="e">
        <f>VLOOKUP(Y40,Hanghoa!$B$3:$E$1914,2,0)</f>
        <v>#N/A</v>
      </c>
      <c r="Y40" s="225" t="e">
        <f t="shared" si="75"/>
        <v>#N/A</v>
      </c>
      <c r="Z40" s="300"/>
      <c r="AA40" s="225" t="e">
        <f t="shared" si="76"/>
        <v>#N/A</v>
      </c>
      <c r="AB40" s="225" t="e">
        <f t="shared" si="77"/>
        <v>#N/A</v>
      </c>
      <c r="AC40" s="225"/>
      <c r="AD40" s="225" t="e">
        <f t="shared" si="78"/>
        <v>#N/A</v>
      </c>
      <c r="AE40" s="244" t="e">
        <f t="shared" si="79"/>
        <v>#N/A</v>
      </c>
      <c r="AF40" s="311" t="e">
        <f t="shared" si="71"/>
        <v>#N/A</v>
      </c>
      <c r="AG40" s="244" t="e">
        <f t="shared" si="80"/>
        <v>#N/A</v>
      </c>
      <c r="AH40" s="225" t="e">
        <f>IF(OR(W40="Cont",W40="CT"),VLOOKUP(R40,cthuc!$AQ$3:$AR$44,2,0),"")</f>
        <v>#N/A</v>
      </c>
      <c r="AI40" s="225" t="e">
        <f t="shared" si="81"/>
        <v>#N/A</v>
      </c>
      <c r="AJ40" s="225"/>
      <c r="AK40" s="225" t="e">
        <f t="shared" si="66"/>
        <v>#N/A</v>
      </c>
      <c r="AL40" s="225" t="str">
        <f t="shared" si="67"/>
        <v>392   + Nơi lấy:</v>
      </c>
      <c r="AM40" s="250">
        <f t="shared" si="25"/>
        <v>45490</v>
      </c>
      <c r="AN40" s="225" t="e">
        <f>IF(OR(W40="HS",W40="HP"),"",VLOOKUP(VLOOKUP(AL40,$B$8:$E$671,3,0),cthuc!$AO$3:$AP$142,2,0))</f>
        <v>#N/A</v>
      </c>
      <c r="AO40" s="225" t="e">
        <f t="shared" si="26"/>
        <v>#N/A</v>
      </c>
      <c r="AP40" s="225" t="e">
        <f t="shared" si="68"/>
        <v>#N/A</v>
      </c>
      <c r="AQ40" s="225" t="e">
        <f t="shared" si="28"/>
        <v>#N/A</v>
      </c>
      <c r="AR40" s="225" t="e">
        <f t="shared" si="69"/>
        <v>#N/A</v>
      </c>
      <c r="AS40" s="225">
        <v>1</v>
      </c>
      <c r="AT40" s="251" t="e">
        <f t="shared" si="30"/>
        <v>#N/A</v>
      </c>
      <c r="AV40" s="113" t="e">
        <f>VLOOKUP(BD40,giaroi!$D$6:$N$500,11,0)</f>
        <v>#N/A</v>
      </c>
      <c r="AW40" s="284">
        <f t="shared" si="31"/>
        <v>0</v>
      </c>
      <c r="AX40" s="113" t="s">
        <v>13209</v>
      </c>
      <c r="AY40" s="284" t="e">
        <f t="shared" si="32"/>
        <v>#N/A</v>
      </c>
      <c r="AZ40" s="225" t="e">
        <f t="shared" si="49"/>
        <v>#N/A</v>
      </c>
      <c r="BA40" s="127">
        <f t="shared" si="50"/>
        <v>0</v>
      </c>
      <c r="BB40" s="244">
        <f t="shared" si="51"/>
        <v>0</v>
      </c>
      <c r="BC40" s="225">
        <f t="shared" si="52"/>
        <v>0</v>
      </c>
      <c r="BD40" s="225" t="e">
        <f t="shared" si="53"/>
        <v>#N/A</v>
      </c>
      <c r="BE40" s="225" t="str">
        <f t="shared" si="54"/>
        <v>392   + Số lượng xe:</v>
      </c>
      <c r="BF40" s="225">
        <f t="shared" si="55"/>
        <v>0</v>
      </c>
      <c r="BG40" s="225" t="e">
        <f t="shared" si="56"/>
        <v>#N/A</v>
      </c>
      <c r="BH40" s="225" t="e">
        <f t="shared" si="57"/>
        <v>#N/A</v>
      </c>
      <c r="BI40" s="321" t="str">
        <f t="shared" si="58"/>
        <v/>
      </c>
      <c r="BJ40" s="284">
        <f t="shared" si="40"/>
        <v>0</v>
      </c>
      <c r="BK40" s="284" t="str">
        <f t="shared" si="7"/>
        <v/>
      </c>
      <c r="BL40" s="225" t="str">
        <f t="shared" si="41"/>
        <v>392   + Người ra lệnh:</v>
      </c>
      <c r="BM40" s="225">
        <f t="shared" si="42"/>
        <v>0</v>
      </c>
      <c r="BN40" s="113" t="e">
        <f>VLOOKUP(BM40,[1]Sheet1!$B$3:$C$604,2,0)</f>
        <v>#N/A</v>
      </c>
      <c r="BO40" s="113" t="str">
        <f t="shared" si="43"/>
        <v/>
      </c>
      <c r="BP40" s="351" t="str">
        <f t="shared" si="8"/>
        <v/>
      </c>
      <c r="BT40" s="113" t="str">
        <f t="shared" si="44"/>
        <v>, 4 xe của Đức Tín, 3 xe của Đức Tín, 1 xe của Đức Tín</v>
      </c>
      <c r="BU40" s="113" t="e">
        <f t="shared" si="45"/>
        <v>#N/A</v>
      </c>
      <c r="BV40" s="380" t="e">
        <f t="shared" si="46"/>
        <v>#N/A</v>
      </c>
      <c r="BW40" s="376" t="e">
        <f t="shared" si="47"/>
        <v>#N/A</v>
      </c>
    </row>
    <row r="41" spans="1:75" ht="15.6" x14ac:dyDescent="0.3">
      <c r="A41" s="113">
        <v>41</v>
      </c>
      <c r="B41" s="113" t="str">
        <f t="shared" si="82"/>
        <v>32Gỗ rời   + Tiền cước:</v>
      </c>
      <c r="C41" t="s">
        <v>15068</v>
      </c>
      <c r="D41" t="s">
        <v>15085</v>
      </c>
      <c r="E41" t="s">
        <v>15069</v>
      </c>
      <c r="F41"/>
      <c r="G41" s="113" t="str">
        <f>CONCATENATE(A404,C404)</f>
        <v>404</v>
      </c>
      <c r="H41" s="113" t="str">
        <f t="shared" si="0"/>
        <v>404   + Trả cước:</v>
      </c>
      <c r="I41" s="113" t="str">
        <f t="shared" si="83"/>
        <v>404   + Nâng gỗ</v>
      </c>
      <c r="J41" s="113" t="str">
        <f t="shared" si="84"/>
        <v>404   + Nơi nhận</v>
      </c>
      <c r="K41" s="113" t="str">
        <f t="shared" si="85"/>
        <v>404   + Nơi trả:</v>
      </c>
      <c r="L41" s="115" t="str">
        <f t="shared" ref="L41:L63" si="87">IF((RIGHT(G41,3)="rời"),CONCATENATE(G41,"   + Đơn giá (đ/m3) :"),CONCATENATE(G41,"   + Tiền cước:"))</f>
        <v>404   + Tiền cước:</v>
      </c>
      <c r="M41" s="115" t="str">
        <f t="shared" ref="M41:M63" si="88">IF((RIGHT(G41,3)="rời"),CONCATENATE(G41,"   + Khối lượng:"),CONCATENATE(G41,"   + Cont số:"))</f>
        <v>404   + Cont số:</v>
      </c>
      <c r="N41" s="115" t="str">
        <f t="shared" ref="N41:N63" si="89">CONCATENATE(G41,"   + Tiền đường:")</f>
        <v>404   + Tiền đường:</v>
      </c>
      <c r="O41" s="115" t="str">
        <f t="shared" ref="O41:O63" si="90">CONCATENATE(G41,"   + Loại gỗ:")</f>
        <v>404   + Loại gỗ:</v>
      </c>
      <c r="P41" s="115" t="str">
        <f t="shared" ref="P41:P63" si="91">CONCATENATE(G41,"   + Tiền cước:")</f>
        <v>404   + Tiền cước:</v>
      </c>
      <c r="Q41" s="113" t="e">
        <f t="shared" si="13"/>
        <v>#N/A</v>
      </c>
      <c r="R41" s="225" t="e">
        <f>IF((RIGHT(G41,3)="rời"),VLOOKUP(RIGHT(Q41,9),[2]Khach_hangmoi!$J$3:$N$3854,2,0),LEFT(Q41,7))</f>
        <v>#N/A</v>
      </c>
      <c r="S41" s="225" t="e">
        <f>VLOOKUP(R41,[2]Khach_hangmoi!$A$3:$I$4325,2,0)</f>
        <v>#N/A</v>
      </c>
      <c r="T41" s="225" t="e">
        <f>IF(VLOOKUP(R41,[2]Khach_hangmoi!$A$3:$I$4325,5,0)=0,"",VLOOKUP(R41,[2]Khach_hangmoi!$A$3:$I$4325,5,0))</f>
        <v>#N/A</v>
      </c>
      <c r="U41" s="225" t="e">
        <f>VLOOKUP(R41,[2]Khach_hangmoi!$A$3:$I$4325,3,0)</f>
        <v>#N/A</v>
      </c>
      <c r="V41" s="225"/>
      <c r="W41" s="225" t="e">
        <f t="shared" ref="W41:W54" si="92">IF(IF(IFERROR(FIND("Cont đường dài",N41),-1)&gt;0,"Cont",VLOOKUP(I41,$B$8:$E$670,3,0))="Hoàng Sơn","HS",IF(IF(IFERROR(FIND("Cont đường dài",N41),-1)&gt;0,"Cont",VLOOKUP(I41,$B$8:$E$670,3,0))="Hiệp Phương","HP",IF(IFERROR(FIND("Cont đường dài",N41),-1)&gt;0,"Cont",VLOOKUP(I41,$B$8:$E$670,3,0))))</f>
        <v>#N/A</v>
      </c>
      <c r="X41" s="225" t="e">
        <f>VLOOKUP(Y41,Hanghoa!$B$3:$E$1914,2,0)</f>
        <v>#N/A</v>
      </c>
      <c r="Y41" s="225" t="e">
        <f t="shared" ref="Y41:Y54" si="93">CONCATENATE("DKG&lt;-&gt;",VLOOKUP(K41,$B$8:$E$670,3,0))</f>
        <v>#N/A</v>
      </c>
      <c r="Z41" s="300"/>
      <c r="AA41" s="225" t="e">
        <f t="shared" si="76"/>
        <v>#N/A</v>
      </c>
      <c r="AB41" s="225" t="e">
        <f t="shared" si="77"/>
        <v>#N/A</v>
      </c>
      <c r="AC41" s="225"/>
      <c r="AD41" s="225" t="e">
        <f t="shared" si="78"/>
        <v>#N/A</v>
      </c>
      <c r="AE41" s="244" t="e">
        <f t="shared" si="79"/>
        <v>#N/A</v>
      </c>
      <c r="AF41" s="311" t="e">
        <f t="shared" si="71"/>
        <v>#N/A</v>
      </c>
      <c r="AG41" s="244" t="e">
        <f t="shared" si="80"/>
        <v>#N/A</v>
      </c>
      <c r="AH41" s="225" t="e">
        <f>IF(OR(W41="Cont",W41="CT"),VLOOKUP(R41,cthuc!$AQ$3:$AR$44,2,0),"")</f>
        <v>#N/A</v>
      </c>
      <c r="AI41" s="225" t="e">
        <f t="shared" si="81"/>
        <v>#N/A</v>
      </c>
      <c r="AJ41" s="225"/>
      <c r="AK41" s="225" t="e">
        <f t="shared" si="66"/>
        <v>#N/A</v>
      </c>
      <c r="AL41" s="225" t="str">
        <f t="shared" si="67"/>
        <v>404   + Nơi lấy:</v>
      </c>
      <c r="AM41" s="250">
        <f t="shared" si="25"/>
        <v>45490</v>
      </c>
      <c r="AN41" s="225" t="e">
        <f>IF(OR(W41="HS",W41="HP"),"",VLOOKUP(VLOOKUP(AL41,$B$8:$E$671,3,0),cthuc!$AO$3:$AP$142,2,0))</f>
        <v>#N/A</v>
      </c>
      <c r="AO41" s="225" t="e">
        <f t="shared" si="26"/>
        <v>#N/A</v>
      </c>
      <c r="AP41" s="225" t="e">
        <f t="shared" si="68"/>
        <v>#N/A</v>
      </c>
      <c r="AQ41" s="225" t="e">
        <f t="shared" si="28"/>
        <v>#N/A</v>
      </c>
      <c r="AR41" s="225" t="e">
        <f t="shared" si="69"/>
        <v>#N/A</v>
      </c>
      <c r="AS41" s="225">
        <v>1</v>
      </c>
      <c r="AT41" s="251" t="e">
        <f t="shared" si="30"/>
        <v>#N/A</v>
      </c>
      <c r="AV41" s="113" t="e">
        <f>VLOOKUP(BD41,giaroi!$D$6:$N$500,11,0)</f>
        <v>#N/A</v>
      </c>
      <c r="AW41" s="284">
        <f t="shared" si="31"/>
        <v>0</v>
      </c>
      <c r="AX41" s="113" t="s">
        <v>13210</v>
      </c>
      <c r="AY41" s="284" t="e">
        <f t="shared" si="32"/>
        <v>#N/A</v>
      </c>
      <c r="AZ41" s="225" t="e">
        <f t="shared" si="49"/>
        <v>#N/A</v>
      </c>
      <c r="BA41" s="127">
        <f t="shared" si="50"/>
        <v>0</v>
      </c>
      <c r="BB41" s="244">
        <f t="shared" si="51"/>
        <v>0</v>
      </c>
      <c r="BC41" s="225">
        <f t="shared" si="52"/>
        <v>0</v>
      </c>
      <c r="BD41" s="225" t="e">
        <f t="shared" si="53"/>
        <v>#N/A</v>
      </c>
      <c r="BE41" s="225" t="str">
        <f t="shared" si="54"/>
        <v>404   + Số lượng xe:</v>
      </c>
      <c r="BF41" s="225">
        <f t="shared" si="55"/>
        <v>0</v>
      </c>
      <c r="BG41" s="225" t="e">
        <f t="shared" si="56"/>
        <v>#N/A</v>
      </c>
      <c r="BH41" s="225" t="e">
        <f t="shared" si="57"/>
        <v>#N/A</v>
      </c>
      <c r="BI41" s="321" t="str">
        <f t="shared" si="58"/>
        <v/>
      </c>
      <c r="BJ41" s="284">
        <f t="shared" si="40"/>
        <v>0</v>
      </c>
      <c r="BK41" s="284" t="str">
        <f t="shared" si="7"/>
        <v/>
      </c>
      <c r="BL41" s="225" t="str">
        <f t="shared" si="41"/>
        <v>404   + Người ra lệnh:</v>
      </c>
      <c r="BM41" s="225">
        <f t="shared" si="42"/>
        <v>0</v>
      </c>
      <c r="BN41" s="113" t="e">
        <f>VLOOKUP(BM41,[1]Sheet1!$B$3:$C$604,2,0)</f>
        <v>#N/A</v>
      </c>
      <c r="BO41" s="113" t="str">
        <f t="shared" si="43"/>
        <v/>
      </c>
      <c r="BP41" s="351" t="str">
        <f t="shared" si="8"/>
        <v/>
      </c>
      <c r="BT41" s="113" t="str">
        <f t="shared" si="44"/>
        <v>, 4 xe của Đức Tín, 3 xe của Đức Tín, 1 xe của Đức Tín</v>
      </c>
      <c r="BU41" s="113" t="e">
        <f t="shared" si="45"/>
        <v>#N/A</v>
      </c>
      <c r="BV41" s="380" t="e">
        <f t="shared" si="46"/>
        <v>#N/A</v>
      </c>
      <c r="BW41" s="376" t="e">
        <f t="shared" si="47"/>
        <v>#N/A</v>
      </c>
    </row>
    <row r="42" spans="1:75" ht="15.6" x14ac:dyDescent="0.3">
      <c r="A42" s="113">
        <v>42</v>
      </c>
      <c r="B42" s="113" t="str">
        <f t="shared" si="82"/>
        <v xml:space="preserve">32Gỗ rời </v>
      </c>
      <c r="C42" t="s">
        <v>15070</v>
      </c>
      <c r="D42" t="s">
        <v>15086</v>
      </c>
      <c r="E42"/>
      <c r="F42"/>
      <c r="G42" s="113" t="str">
        <f>CONCATENATE(A416,C416)</f>
        <v>416</v>
      </c>
      <c r="H42" s="113" t="str">
        <f t="shared" si="0"/>
        <v>416   + Trả cước:</v>
      </c>
      <c r="I42" s="113" t="str">
        <f t="shared" si="83"/>
        <v>416   + Nâng gỗ</v>
      </c>
      <c r="J42" s="113" t="str">
        <f t="shared" si="84"/>
        <v>416   + Nơi nhận</v>
      </c>
      <c r="K42" s="113" t="str">
        <f t="shared" si="85"/>
        <v>416   + Nơi trả:</v>
      </c>
      <c r="L42" s="115" t="str">
        <f t="shared" si="87"/>
        <v>416   + Tiền cước:</v>
      </c>
      <c r="M42" s="115" t="str">
        <f t="shared" si="88"/>
        <v>416   + Cont số:</v>
      </c>
      <c r="N42" s="115" t="str">
        <f t="shared" si="89"/>
        <v>416   + Tiền đường:</v>
      </c>
      <c r="O42" s="115" t="str">
        <f t="shared" si="90"/>
        <v>416   + Loại gỗ:</v>
      </c>
      <c r="P42" s="115" t="str">
        <f t="shared" si="91"/>
        <v>416   + Tiền cước:</v>
      </c>
      <c r="Q42" s="113" t="e">
        <f t="shared" si="13"/>
        <v>#N/A</v>
      </c>
      <c r="R42" s="225" t="e">
        <f>IF((RIGHT(G42,3)="rời"),VLOOKUP(RIGHT(Q42,9),[2]Khach_hangmoi!$J$3:$N$3854,2,0),LEFT(Q42,7))</f>
        <v>#N/A</v>
      </c>
      <c r="S42" s="225" t="e">
        <f>VLOOKUP(R42,[2]Khach_hangmoi!$A$3:$I$4325,2,0)</f>
        <v>#N/A</v>
      </c>
      <c r="T42" s="225" t="e">
        <f>IF(VLOOKUP(R42,[2]Khach_hangmoi!$A$3:$I$4325,5,0)=0,"",VLOOKUP(R42,[2]Khach_hangmoi!$A$3:$I$4325,5,0))</f>
        <v>#N/A</v>
      </c>
      <c r="U42" s="225" t="e">
        <f>VLOOKUP(R42,[2]Khach_hangmoi!$A$3:$I$4325,3,0)</f>
        <v>#N/A</v>
      </c>
      <c r="V42" s="225"/>
      <c r="W42" s="225" t="e">
        <f t="shared" si="92"/>
        <v>#N/A</v>
      </c>
      <c r="X42" s="225" t="e">
        <f>VLOOKUP(Y42,Hanghoa!$B$3:$E$1914,2,0)</f>
        <v>#N/A</v>
      </c>
      <c r="Y42" s="225" t="e">
        <f t="shared" si="93"/>
        <v>#N/A</v>
      </c>
      <c r="Z42" s="300"/>
      <c r="AA42" s="225" t="e">
        <f t="shared" si="76"/>
        <v>#N/A</v>
      </c>
      <c r="AB42" s="225" t="e">
        <f t="shared" si="77"/>
        <v>#N/A</v>
      </c>
      <c r="AC42" s="225"/>
      <c r="AD42" s="225" t="e">
        <f t="shared" si="78"/>
        <v>#N/A</v>
      </c>
      <c r="AE42" s="244" t="e">
        <f t="shared" si="79"/>
        <v>#N/A</v>
      </c>
      <c r="AF42" s="311" t="e">
        <f t="shared" si="71"/>
        <v>#N/A</v>
      </c>
      <c r="AG42" s="244" t="e">
        <f t="shared" si="80"/>
        <v>#N/A</v>
      </c>
      <c r="AH42" s="225" t="e">
        <f>IF(OR(W42="Cont",W42="CT"),VLOOKUP(R42,cthuc!$AQ$3:$AR$44,2,0),"")</f>
        <v>#N/A</v>
      </c>
      <c r="AI42" s="225" t="e">
        <f t="shared" si="81"/>
        <v>#N/A</v>
      </c>
      <c r="AJ42" s="225"/>
      <c r="AK42" s="225" t="e">
        <f t="shared" si="66"/>
        <v>#N/A</v>
      </c>
      <c r="AL42" s="225" t="str">
        <f t="shared" si="67"/>
        <v>416   + Nơi lấy:</v>
      </c>
      <c r="AM42" s="250">
        <f t="shared" si="25"/>
        <v>45490</v>
      </c>
      <c r="AN42" s="225" t="e">
        <f>IF(OR(W42="HS",W42="HP"),"",VLOOKUP(VLOOKUP(AL42,$B$8:$E$671,3,0),cthuc!$AO$3:$AP$142,2,0))</f>
        <v>#N/A</v>
      </c>
      <c r="AO42" s="225" t="e">
        <f t="shared" si="26"/>
        <v>#N/A</v>
      </c>
      <c r="AP42" s="225" t="e">
        <f t="shared" si="68"/>
        <v>#N/A</v>
      </c>
      <c r="AQ42" s="225" t="e">
        <f t="shared" si="28"/>
        <v>#N/A</v>
      </c>
      <c r="AR42" s="225" t="e">
        <f t="shared" si="69"/>
        <v>#N/A</v>
      </c>
      <c r="AS42" s="225">
        <v>1</v>
      </c>
      <c r="AT42" s="251" t="e">
        <f t="shared" si="30"/>
        <v>#N/A</v>
      </c>
      <c r="AV42" s="113" t="e">
        <f>VLOOKUP(BD42,giaroi!$D$6:$N$500,11,0)</f>
        <v>#N/A</v>
      </c>
      <c r="AW42" s="284">
        <f t="shared" si="31"/>
        <v>0</v>
      </c>
      <c r="AX42" s="113" t="s">
        <v>13211</v>
      </c>
      <c r="AY42" s="284" t="e">
        <f t="shared" si="32"/>
        <v>#N/A</v>
      </c>
      <c r="AZ42" s="225" t="e">
        <f t="shared" si="49"/>
        <v>#N/A</v>
      </c>
      <c r="BA42" s="127">
        <f t="shared" si="50"/>
        <v>0</v>
      </c>
      <c r="BB42" s="244">
        <f t="shared" si="51"/>
        <v>0</v>
      </c>
      <c r="BC42" s="225">
        <f t="shared" si="52"/>
        <v>0</v>
      </c>
      <c r="BD42" s="225" t="e">
        <f t="shared" si="53"/>
        <v>#N/A</v>
      </c>
      <c r="BE42" s="225" t="str">
        <f t="shared" si="54"/>
        <v>416   + Số lượng xe:</v>
      </c>
      <c r="BF42" s="225">
        <f t="shared" si="55"/>
        <v>0</v>
      </c>
      <c r="BG42" s="225" t="e">
        <f t="shared" si="56"/>
        <v>#N/A</v>
      </c>
      <c r="BH42" s="225" t="e">
        <f t="shared" si="57"/>
        <v>#N/A</v>
      </c>
      <c r="BI42" s="321" t="str">
        <f t="shared" si="58"/>
        <v/>
      </c>
      <c r="BJ42" s="284">
        <f t="shared" si="40"/>
        <v>0</v>
      </c>
      <c r="BK42" s="284" t="str">
        <f t="shared" si="7"/>
        <v/>
      </c>
      <c r="BL42" s="225" t="str">
        <f t="shared" si="41"/>
        <v>416   + Người ra lệnh:</v>
      </c>
      <c r="BM42" s="225">
        <f t="shared" si="42"/>
        <v>0</v>
      </c>
      <c r="BN42" s="113" t="e">
        <f>VLOOKUP(BM42,[1]Sheet1!$B$3:$C$604,2,0)</f>
        <v>#N/A</v>
      </c>
      <c r="BO42" s="113" t="str">
        <f t="shared" si="43"/>
        <v/>
      </c>
      <c r="BP42" s="351" t="str">
        <f t="shared" si="8"/>
        <v/>
      </c>
      <c r="BT42" s="113" t="str">
        <f t="shared" si="44"/>
        <v>, 4 xe của Đức Tín, 3 xe của Đức Tín, 1 xe của Đức Tín</v>
      </c>
      <c r="BU42" s="113" t="e">
        <f t="shared" si="45"/>
        <v>#N/A</v>
      </c>
      <c r="BV42" s="380" t="e">
        <f t="shared" si="46"/>
        <v>#N/A</v>
      </c>
      <c r="BW42" s="376" t="e">
        <f t="shared" si="47"/>
        <v>#N/A</v>
      </c>
    </row>
    <row r="43" spans="1:75" ht="15.6" x14ac:dyDescent="0.3">
      <c r="A43" s="113">
        <v>43</v>
      </c>
      <c r="B43" s="113" t="str">
        <f t="shared" si="82"/>
        <v>32Gỗ rời   + Tiền đường:</v>
      </c>
      <c r="C43" t="s">
        <v>15072</v>
      </c>
      <c r="D43" t="s">
        <v>15087</v>
      </c>
      <c r="E43" t="s">
        <v>15073</v>
      </c>
      <c r="F43"/>
      <c r="G43" s="113" t="str">
        <f>CONCATENATE(A428,C428)</f>
        <v>428</v>
      </c>
      <c r="H43" s="113" t="str">
        <f t="shared" si="0"/>
        <v>428   + Trả cước:</v>
      </c>
      <c r="I43" s="113" t="str">
        <f t="shared" si="83"/>
        <v>428   + Nâng gỗ</v>
      </c>
      <c r="J43" s="113" t="str">
        <f t="shared" si="84"/>
        <v>428   + Nơi nhận</v>
      </c>
      <c r="K43" s="113" t="str">
        <f t="shared" si="85"/>
        <v>428   + Nơi trả:</v>
      </c>
      <c r="L43" s="115" t="str">
        <f t="shared" si="87"/>
        <v>428   + Tiền cước:</v>
      </c>
      <c r="M43" s="115" t="str">
        <f t="shared" si="88"/>
        <v>428   + Cont số:</v>
      </c>
      <c r="N43" s="115" t="str">
        <f t="shared" si="89"/>
        <v>428   + Tiền đường:</v>
      </c>
      <c r="O43" s="115" t="str">
        <f t="shared" si="90"/>
        <v>428   + Loại gỗ:</v>
      </c>
      <c r="P43" s="115" t="str">
        <f t="shared" si="91"/>
        <v>428   + Tiền cước:</v>
      </c>
      <c r="Q43" s="113" t="e">
        <f t="shared" si="13"/>
        <v>#N/A</v>
      </c>
      <c r="R43" s="225" t="e">
        <f>IF((RIGHT(G43,3)="rời"),VLOOKUP(RIGHT(Q43,9),[2]Khach_hangmoi!$J$3:$N$3854,2,0),LEFT(Q43,7))</f>
        <v>#N/A</v>
      </c>
      <c r="S43" s="225" t="e">
        <f>VLOOKUP(R43,[2]Khach_hangmoi!$A$3:$I$4325,2,0)</f>
        <v>#N/A</v>
      </c>
      <c r="T43" s="225" t="e">
        <f>IF(VLOOKUP(R43,[2]Khach_hangmoi!$A$3:$I$4325,5,0)=0,"",VLOOKUP(R43,[2]Khach_hangmoi!$A$3:$I$4325,5,0))</f>
        <v>#N/A</v>
      </c>
      <c r="U43" s="225" t="e">
        <f>VLOOKUP(R43,[2]Khach_hangmoi!$A$3:$I$4325,3,0)</f>
        <v>#N/A</v>
      </c>
      <c r="V43" s="225"/>
      <c r="W43" s="225" t="e">
        <f t="shared" si="92"/>
        <v>#N/A</v>
      </c>
      <c r="X43" s="225" t="e">
        <f>VLOOKUP(Y43,Hanghoa!$B$3:$E$1914,2,0)</f>
        <v>#N/A</v>
      </c>
      <c r="Y43" s="225" t="e">
        <f t="shared" si="93"/>
        <v>#N/A</v>
      </c>
      <c r="Z43" s="300"/>
      <c r="AA43" s="225" t="e">
        <f t="shared" si="76"/>
        <v>#N/A</v>
      </c>
      <c r="AB43" s="225" t="e">
        <f t="shared" si="77"/>
        <v>#N/A</v>
      </c>
      <c r="AC43" s="225"/>
      <c r="AD43" s="225" t="e">
        <f t="shared" si="78"/>
        <v>#N/A</v>
      </c>
      <c r="AE43" s="244" t="e">
        <f t="shared" si="79"/>
        <v>#N/A</v>
      </c>
      <c r="AF43" s="311" t="e">
        <f t="shared" si="71"/>
        <v>#N/A</v>
      </c>
      <c r="AG43" s="244" t="e">
        <f t="shared" si="80"/>
        <v>#N/A</v>
      </c>
      <c r="AH43" s="225" t="e">
        <f>IF(OR(W43="Cont",W43="CT"),VLOOKUP(R43,cthuc!$AQ$3:$AR$44,2,0),"")</f>
        <v>#N/A</v>
      </c>
      <c r="AI43" s="225" t="e">
        <f t="shared" si="81"/>
        <v>#N/A</v>
      </c>
      <c r="AJ43" s="225"/>
      <c r="AK43" s="225" t="e">
        <f t="shared" si="66"/>
        <v>#N/A</v>
      </c>
      <c r="AL43" s="225" t="str">
        <f t="shared" si="67"/>
        <v>428   + Nơi lấy:</v>
      </c>
      <c r="AM43" s="250">
        <f t="shared" si="25"/>
        <v>45490</v>
      </c>
      <c r="AN43" s="225" t="e">
        <f>IF(OR(W43="HS",W43="HP"),"",VLOOKUP(VLOOKUP(AL43,$B$8:$E$671,3,0),cthuc!$AO$3:$AP$142,2,0))</f>
        <v>#N/A</v>
      </c>
      <c r="AO43" s="225" t="e">
        <f t="shared" si="26"/>
        <v>#N/A</v>
      </c>
      <c r="AP43" s="225" t="e">
        <f t="shared" si="68"/>
        <v>#N/A</v>
      </c>
      <c r="AQ43" s="225" t="e">
        <f t="shared" si="28"/>
        <v>#N/A</v>
      </c>
      <c r="AR43" s="225" t="e">
        <f t="shared" si="69"/>
        <v>#N/A</v>
      </c>
      <c r="AS43" s="225">
        <v>1</v>
      </c>
      <c r="AT43" s="251" t="e">
        <f t="shared" si="30"/>
        <v>#N/A</v>
      </c>
      <c r="AV43" s="113" t="e">
        <f>VLOOKUP(BD43,giaroi!$D$6:$N$500,11,0)</f>
        <v>#N/A</v>
      </c>
      <c r="AW43" s="284">
        <f t="shared" si="31"/>
        <v>0</v>
      </c>
      <c r="AX43" s="113" t="s">
        <v>13212</v>
      </c>
      <c r="AY43" s="284" t="e">
        <f t="shared" si="32"/>
        <v>#N/A</v>
      </c>
      <c r="AZ43" s="225" t="e">
        <f t="shared" si="49"/>
        <v>#N/A</v>
      </c>
      <c r="BA43" s="127">
        <f t="shared" si="50"/>
        <v>0</v>
      </c>
      <c r="BB43" s="244">
        <f t="shared" si="51"/>
        <v>0</v>
      </c>
      <c r="BC43" s="225">
        <f t="shared" si="52"/>
        <v>0</v>
      </c>
      <c r="BD43" s="225" t="e">
        <f t="shared" si="53"/>
        <v>#N/A</v>
      </c>
      <c r="BE43" s="225" t="str">
        <f t="shared" si="54"/>
        <v>428   + Số lượng xe:</v>
      </c>
      <c r="BF43" s="225">
        <f t="shared" si="55"/>
        <v>0</v>
      </c>
      <c r="BG43" s="225" t="e">
        <f t="shared" si="56"/>
        <v>#N/A</v>
      </c>
      <c r="BH43" s="225" t="e">
        <f t="shared" si="57"/>
        <v>#N/A</v>
      </c>
      <c r="BI43" s="321" t="str">
        <f t="shared" si="58"/>
        <v/>
      </c>
      <c r="BJ43" s="284">
        <f t="shared" si="40"/>
        <v>0</v>
      </c>
      <c r="BK43" s="284" t="str">
        <f t="shared" si="7"/>
        <v/>
      </c>
      <c r="BL43" s="225" t="str">
        <f t="shared" si="41"/>
        <v>428   + Người ra lệnh:</v>
      </c>
      <c r="BM43" s="225">
        <f t="shared" si="42"/>
        <v>0</v>
      </c>
      <c r="BN43" s="113" t="e">
        <f>VLOOKUP(BM43,[1]Sheet1!$B$3:$C$604,2,0)</f>
        <v>#N/A</v>
      </c>
      <c r="BO43" s="113" t="str">
        <f t="shared" si="43"/>
        <v/>
      </c>
      <c r="BP43" s="351" t="str">
        <f t="shared" si="8"/>
        <v/>
      </c>
      <c r="BT43" s="113" t="str">
        <f t="shared" si="44"/>
        <v>, 4 xe của Đức Tín, 3 xe của Đức Tín, 1 xe của Đức Tín</v>
      </c>
      <c r="BU43" s="113" t="e">
        <f t="shared" si="45"/>
        <v>#N/A</v>
      </c>
      <c r="BV43" s="380" t="e">
        <f t="shared" si="46"/>
        <v>#N/A</v>
      </c>
      <c r="BW43" s="376" t="e">
        <f t="shared" si="47"/>
        <v>#N/A</v>
      </c>
    </row>
    <row r="44" spans="1:75" ht="15.6" x14ac:dyDescent="0.3">
      <c r="A44" s="113">
        <v>44</v>
      </c>
      <c r="C44" t="s">
        <v>15122</v>
      </c>
      <c r="D44" t="s">
        <v>232</v>
      </c>
      <c r="E44"/>
      <c r="F44"/>
      <c r="G44" s="113" t="str">
        <f>CONCATENATE(A440,C440)</f>
        <v>440</v>
      </c>
      <c r="H44" s="113" t="str">
        <f t="shared" si="0"/>
        <v>440   + Trả cước:</v>
      </c>
      <c r="I44" s="113" t="str">
        <f t="shared" si="83"/>
        <v>440   + Nâng gỗ</v>
      </c>
      <c r="J44" s="113" t="str">
        <f t="shared" si="84"/>
        <v>440   + Nơi nhận</v>
      </c>
      <c r="K44" s="113" t="str">
        <f t="shared" si="85"/>
        <v>440   + Nơi trả:</v>
      </c>
      <c r="L44" s="115" t="str">
        <f t="shared" si="87"/>
        <v>440   + Tiền cước:</v>
      </c>
      <c r="M44" s="115" t="str">
        <f t="shared" si="88"/>
        <v>440   + Cont số:</v>
      </c>
      <c r="N44" s="115" t="str">
        <f t="shared" si="89"/>
        <v>440   + Tiền đường:</v>
      </c>
      <c r="O44" s="115" t="str">
        <f t="shared" si="90"/>
        <v>440   + Loại gỗ:</v>
      </c>
      <c r="P44" s="115" t="str">
        <f t="shared" si="91"/>
        <v>440   + Tiền cước:</v>
      </c>
      <c r="Q44" s="113" t="e">
        <f t="shared" si="13"/>
        <v>#N/A</v>
      </c>
      <c r="R44" s="225" t="e">
        <f>IF((RIGHT(G44,3)="rời"),VLOOKUP(RIGHT(Q44,9),[2]Khach_hangmoi!$J$3:$N$3854,2,0),LEFT(Q44,7))</f>
        <v>#N/A</v>
      </c>
      <c r="S44" s="225" t="e">
        <f>VLOOKUP(R44,[2]Khach_hangmoi!$A$3:$I$4325,2,0)</f>
        <v>#N/A</v>
      </c>
      <c r="T44" s="225" t="e">
        <f>IF(VLOOKUP(R44,[2]Khach_hangmoi!$A$3:$I$4325,5,0)=0,"",VLOOKUP(R44,[2]Khach_hangmoi!$A$3:$I$4325,5,0))</f>
        <v>#N/A</v>
      </c>
      <c r="U44" s="225" t="e">
        <f>VLOOKUP(R44,[2]Khach_hangmoi!$A$3:$I$4325,3,0)</f>
        <v>#N/A</v>
      </c>
      <c r="V44" s="225"/>
      <c r="W44" s="225" t="e">
        <f t="shared" si="92"/>
        <v>#N/A</v>
      </c>
      <c r="X44" s="225" t="e">
        <f>VLOOKUP(Y44,Hanghoa!$B$3:$E$1914,2,0)</f>
        <v>#N/A</v>
      </c>
      <c r="Y44" s="225" t="e">
        <f t="shared" si="93"/>
        <v>#N/A</v>
      </c>
      <c r="Z44" s="300"/>
      <c r="AA44" s="225" t="e">
        <f t="shared" si="76"/>
        <v>#N/A</v>
      </c>
      <c r="AB44" s="225" t="e">
        <f t="shared" si="77"/>
        <v>#N/A</v>
      </c>
      <c r="AC44" s="225"/>
      <c r="AD44" s="225" t="e">
        <f t="shared" si="78"/>
        <v>#N/A</v>
      </c>
      <c r="AE44" s="244" t="e">
        <f t="shared" si="79"/>
        <v>#N/A</v>
      </c>
      <c r="AF44" s="311" t="e">
        <f t="shared" si="71"/>
        <v>#N/A</v>
      </c>
      <c r="AG44" s="244" t="e">
        <f t="shared" si="80"/>
        <v>#N/A</v>
      </c>
      <c r="AH44" s="225" t="e">
        <f>IF(OR(W44="Cont",W44="CT"),VLOOKUP(R44,cthuc!$AQ$3:$AR$44,2,0),"")</f>
        <v>#N/A</v>
      </c>
      <c r="AI44" s="225" t="e">
        <f t="shared" si="81"/>
        <v>#N/A</v>
      </c>
      <c r="AJ44" s="225"/>
      <c r="AK44" s="225" t="e">
        <f t="shared" si="66"/>
        <v>#N/A</v>
      </c>
      <c r="AL44" s="225" t="str">
        <f t="shared" si="67"/>
        <v>440   + Nơi lấy:</v>
      </c>
      <c r="AM44" s="250">
        <f t="shared" si="25"/>
        <v>45490</v>
      </c>
      <c r="AN44" s="225" t="e">
        <f>IF(OR(W44="HS",W44="HP"),"",VLOOKUP(VLOOKUP(AL44,$B$8:$E$671,3,0),cthuc!$AO$3:$AP$142,2,0))</f>
        <v>#N/A</v>
      </c>
      <c r="AO44" s="225" t="e">
        <f t="shared" si="26"/>
        <v>#N/A</v>
      </c>
      <c r="AP44" s="225" t="e">
        <f t="shared" si="68"/>
        <v>#N/A</v>
      </c>
      <c r="AQ44" s="225" t="e">
        <f t="shared" si="28"/>
        <v>#N/A</v>
      </c>
      <c r="AR44" s="225" t="e">
        <f t="shared" si="69"/>
        <v>#N/A</v>
      </c>
      <c r="AS44" s="225">
        <v>1</v>
      </c>
      <c r="AT44" s="251" t="e">
        <f t="shared" si="30"/>
        <v>#N/A</v>
      </c>
      <c r="AV44" s="113" t="e">
        <f>VLOOKUP(BD44,giaroi!$D$6:$N$500,11,0)</f>
        <v>#N/A</v>
      </c>
      <c r="AW44" s="284">
        <f t="shared" si="31"/>
        <v>0</v>
      </c>
      <c r="AX44" s="113" t="s">
        <v>13213</v>
      </c>
      <c r="AY44" s="284" t="e">
        <f t="shared" si="32"/>
        <v>#N/A</v>
      </c>
      <c r="AZ44" s="225" t="e">
        <f t="shared" si="49"/>
        <v>#N/A</v>
      </c>
      <c r="BA44" s="127">
        <f t="shared" si="50"/>
        <v>0</v>
      </c>
      <c r="BB44" s="244">
        <f t="shared" si="51"/>
        <v>0</v>
      </c>
      <c r="BC44" s="225">
        <f t="shared" si="52"/>
        <v>0</v>
      </c>
      <c r="BD44" s="225" t="e">
        <f t="shared" si="53"/>
        <v>#N/A</v>
      </c>
      <c r="BE44" s="225" t="str">
        <f t="shared" si="54"/>
        <v>440   + Số lượng xe:</v>
      </c>
      <c r="BF44" s="225">
        <f t="shared" si="55"/>
        <v>0</v>
      </c>
      <c r="BG44" s="225" t="e">
        <f t="shared" si="56"/>
        <v>#N/A</v>
      </c>
      <c r="BH44" s="225" t="e">
        <f t="shared" si="57"/>
        <v>#N/A</v>
      </c>
      <c r="BI44" s="321" t="str">
        <f t="shared" si="58"/>
        <v/>
      </c>
      <c r="BJ44" s="284">
        <f t="shared" si="40"/>
        <v>0</v>
      </c>
      <c r="BK44" s="284" t="str">
        <f t="shared" si="7"/>
        <v/>
      </c>
      <c r="BL44" s="225" t="str">
        <f t="shared" si="41"/>
        <v>440   + Người ra lệnh:</v>
      </c>
      <c r="BM44" s="225">
        <f t="shared" si="42"/>
        <v>0</v>
      </c>
      <c r="BN44" s="113" t="e">
        <f>VLOOKUP(BM44,[1]Sheet1!$B$3:$C$604,2,0)</f>
        <v>#N/A</v>
      </c>
      <c r="BO44" s="113" t="str">
        <f t="shared" si="43"/>
        <v/>
      </c>
      <c r="BP44" s="351" t="str">
        <f t="shared" si="8"/>
        <v/>
      </c>
      <c r="BT44" s="113" t="str">
        <f t="shared" si="44"/>
        <v>, 4 xe của Đức Tín, 3 xe của Đức Tín, 1 xe của Đức Tín</v>
      </c>
      <c r="BU44" s="113" t="e">
        <f t="shared" si="45"/>
        <v>#N/A</v>
      </c>
      <c r="BV44" s="380" t="e">
        <f t="shared" si="46"/>
        <v>#N/A</v>
      </c>
      <c r="BW44" s="376" t="e">
        <f t="shared" si="47"/>
        <v>#N/A</v>
      </c>
    </row>
    <row r="45" spans="1:75" ht="15.6" x14ac:dyDescent="0.3">
      <c r="A45" s="113">
        <v>45</v>
      </c>
      <c r="B45" s="113" t="str">
        <f>CONCATENATE($A$44,$C$44,C45)</f>
        <v>44+ Nâng gỗ   + Người ra lệnh:</v>
      </c>
      <c r="C45" t="s">
        <v>15056</v>
      </c>
      <c r="D45" t="s">
        <v>15075</v>
      </c>
      <c r="E45"/>
      <c r="F45"/>
      <c r="G45" s="113" t="str">
        <f>CONCATENATE(A452,C452)</f>
        <v>452</v>
      </c>
      <c r="H45" s="113" t="str">
        <f t="shared" si="0"/>
        <v>452   + Trả cước:</v>
      </c>
      <c r="I45" s="113" t="str">
        <f t="shared" si="83"/>
        <v>452   + Nâng gỗ</v>
      </c>
      <c r="J45" s="113" t="str">
        <f t="shared" si="84"/>
        <v>452   + Nơi nhận</v>
      </c>
      <c r="K45" s="113" t="str">
        <f t="shared" si="85"/>
        <v>452   + Nơi trả:</v>
      </c>
      <c r="L45" s="115" t="str">
        <f t="shared" si="87"/>
        <v>452   + Tiền cước:</v>
      </c>
      <c r="M45" s="115" t="str">
        <f t="shared" si="88"/>
        <v>452   + Cont số:</v>
      </c>
      <c r="N45" s="115" t="str">
        <f t="shared" si="89"/>
        <v>452   + Tiền đường:</v>
      </c>
      <c r="O45" s="115" t="str">
        <f t="shared" si="90"/>
        <v>452   + Loại gỗ:</v>
      </c>
      <c r="P45" s="115" t="str">
        <f t="shared" si="91"/>
        <v>452   + Tiền cước:</v>
      </c>
      <c r="Q45" s="113" t="e">
        <f t="shared" si="13"/>
        <v>#N/A</v>
      </c>
      <c r="R45" s="225" t="e">
        <f>IF((RIGHT(G45,3)="rời"),VLOOKUP(RIGHT(Q45,9),[2]Khach_hangmoi!$J$3:$N$3854,2,0),LEFT(Q45,7))</f>
        <v>#N/A</v>
      </c>
      <c r="S45" s="225" t="e">
        <f>VLOOKUP(R45,[2]Khach_hangmoi!$A$3:$I$4325,2,0)</f>
        <v>#N/A</v>
      </c>
      <c r="T45" s="225" t="e">
        <f>IF(VLOOKUP(R45,[2]Khach_hangmoi!$A$3:$I$4325,5,0)=0,"",VLOOKUP(R45,[2]Khach_hangmoi!$A$3:$I$4325,5,0))</f>
        <v>#N/A</v>
      </c>
      <c r="U45" s="225" t="e">
        <f>VLOOKUP(R45,[2]Khach_hangmoi!$A$3:$I$4325,3,0)</f>
        <v>#N/A</v>
      </c>
      <c r="V45" s="225"/>
      <c r="W45" s="225" t="e">
        <f t="shared" si="92"/>
        <v>#N/A</v>
      </c>
      <c r="X45" s="225" t="e">
        <f>VLOOKUP(Y45,Hanghoa!$B$3:$E$1914,2,0)</f>
        <v>#N/A</v>
      </c>
      <c r="Y45" s="225" t="e">
        <f t="shared" si="93"/>
        <v>#N/A</v>
      </c>
      <c r="Z45" s="300"/>
      <c r="AA45" s="225" t="e">
        <f t="shared" si="76"/>
        <v>#N/A</v>
      </c>
      <c r="AB45" s="225" t="e">
        <f t="shared" si="77"/>
        <v>#N/A</v>
      </c>
      <c r="AC45" s="225"/>
      <c r="AD45" s="225" t="e">
        <f t="shared" si="78"/>
        <v>#N/A</v>
      </c>
      <c r="AE45" s="244" t="e">
        <f t="shared" si="79"/>
        <v>#N/A</v>
      </c>
      <c r="AF45" s="311" t="e">
        <f t="shared" si="71"/>
        <v>#N/A</v>
      </c>
      <c r="AG45" s="244" t="e">
        <f t="shared" si="80"/>
        <v>#N/A</v>
      </c>
      <c r="AH45" s="225" t="e">
        <f>IF(OR(W45="Cont",W45="CT"),VLOOKUP(R45,cthuc!$AQ$3:$AR$44,2,0),"")</f>
        <v>#N/A</v>
      </c>
      <c r="AI45" s="225" t="e">
        <f t="shared" si="81"/>
        <v>#N/A</v>
      </c>
      <c r="AJ45" s="225"/>
      <c r="AK45" s="225" t="e">
        <f t="shared" si="66"/>
        <v>#N/A</v>
      </c>
      <c r="AL45" s="225" t="str">
        <f t="shared" si="67"/>
        <v>452   + Nơi lấy:</v>
      </c>
      <c r="AM45" s="250">
        <f t="shared" si="25"/>
        <v>45490</v>
      </c>
      <c r="AN45" s="225" t="e">
        <f>IF(OR(W45="HS",W45="HP"),"",VLOOKUP(VLOOKUP(AL45,$B$8:$E$671,3,0),cthuc!$AO$3:$AP$142,2,0))</f>
        <v>#N/A</v>
      </c>
      <c r="AO45" s="225" t="e">
        <f t="shared" si="26"/>
        <v>#N/A</v>
      </c>
      <c r="AP45" s="225" t="e">
        <f t="shared" si="68"/>
        <v>#N/A</v>
      </c>
      <c r="AQ45" s="225" t="e">
        <f t="shared" si="28"/>
        <v>#N/A</v>
      </c>
      <c r="AR45" s="225" t="e">
        <f t="shared" si="69"/>
        <v>#N/A</v>
      </c>
      <c r="AS45" s="225">
        <v>1</v>
      </c>
      <c r="AT45" s="251" t="e">
        <f t="shared" si="30"/>
        <v>#N/A</v>
      </c>
      <c r="AV45" s="113" t="e">
        <f>VLOOKUP(BD45,giaroi!$D$6:$N$500,11,0)</f>
        <v>#N/A</v>
      </c>
      <c r="AW45" s="284">
        <f t="shared" si="31"/>
        <v>0</v>
      </c>
      <c r="AX45" s="113" t="s">
        <v>13214</v>
      </c>
      <c r="AY45" s="284" t="e">
        <f t="shared" si="32"/>
        <v>#N/A</v>
      </c>
      <c r="AZ45" s="225" t="e">
        <f t="shared" si="49"/>
        <v>#N/A</v>
      </c>
      <c r="BA45" s="127">
        <f t="shared" si="50"/>
        <v>0</v>
      </c>
      <c r="BB45" s="244">
        <f t="shared" si="51"/>
        <v>0</v>
      </c>
      <c r="BC45" s="225">
        <f t="shared" si="52"/>
        <v>0</v>
      </c>
      <c r="BD45" s="225" t="e">
        <f t="shared" si="53"/>
        <v>#N/A</v>
      </c>
      <c r="BE45" s="225" t="str">
        <f t="shared" si="54"/>
        <v>452   + Số lượng xe:</v>
      </c>
      <c r="BF45" s="225">
        <f t="shared" si="55"/>
        <v>0</v>
      </c>
      <c r="BG45" s="225" t="e">
        <f t="shared" si="56"/>
        <v>#N/A</v>
      </c>
      <c r="BH45" s="225" t="e">
        <f t="shared" si="57"/>
        <v>#N/A</v>
      </c>
      <c r="BI45" s="321" t="str">
        <f t="shared" si="58"/>
        <v/>
      </c>
      <c r="BJ45" s="284">
        <f t="shared" si="40"/>
        <v>0</v>
      </c>
      <c r="BK45" s="284" t="str">
        <f t="shared" si="7"/>
        <v/>
      </c>
      <c r="BL45" s="225" t="str">
        <f t="shared" si="41"/>
        <v>452   + Người ra lệnh:</v>
      </c>
      <c r="BM45" s="225">
        <f t="shared" si="42"/>
        <v>0</v>
      </c>
      <c r="BN45" s="113" t="e">
        <f>VLOOKUP(BM45,[1]Sheet1!$B$3:$C$604,2,0)</f>
        <v>#N/A</v>
      </c>
      <c r="BO45" s="113" t="str">
        <f t="shared" si="43"/>
        <v/>
      </c>
      <c r="BP45" s="351" t="str">
        <f t="shared" si="8"/>
        <v/>
      </c>
      <c r="BT45" s="113" t="str">
        <f t="shared" si="44"/>
        <v>, 4 xe của Đức Tín, 3 xe của Đức Tín, 1 xe của Đức Tín</v>
      </c>
      <c r="BU45" s="113" t="e">
        <f t="shared" si="45"/>
        <v>#N/A</v>
      </c>
      <c r="BV45" s="380" t="e">
        <f t="shared" si="46"/>
        <v>#N/A</v>
      </c>
      <c r="BW45" s="376" t="e">
        <f t="shared" si="47"/>
        <v>#N/A</v>
      </c>
    </row>
    <row r="46" spans="1:75" ht="15.6" x14ac:dyDescent="0.3">
      <c r="A46" s="113">
        <v>46</v>
      </c>
      <c r="B46" s="113" t="str">
        <f t="shared" ref="B46:B55" si="94">CONCATENATE($A$44,$C$44,C46)</f>
        <v>44+ Nâng gỗ   + Loại gỗ:</v>
      </c>
      <c r="C46" t="s">
        <v>15058</v>
      </c>
      <c r="D46" t="s">
        <v>15080</v>
      </c>
      <c r="E46"/>
      <c r="F46"/>
      <c r="G46" s="113" t="str">
        <f>CONCATENATE(A464,C464)</f>
        <v>464</v>
      </c>
      <c r="H46" s="113" t="str">
        <f t="shared" si="0"/>
        <v>464   + Trả cước:</v>
      </c>
      <c r="I46" s="113" t="str">
        <f t="shared" si="83"/>
        <v>464   + Nâng gỗ</v>
      </c>
      <c r="J46" s="113" t="str">
        <f t="shared" si="84"/>
        <v>464   + Nơi nhận</v>
      </c>
      <c r="K46" s="113" t="str">
        <f t="shared" si="85"/>
        <v>464   + Nơi trả:</v>
      </c>
      <c r="L46" s="115" t="str">
        <f t="shared" si="87"/>
        <v>464   + Tiền cước:</v>
      </c>
      <c r="M46" s="115" t="str">
        <f t="shared" si="88"/>
        <v>464   + Cont số:</v>
      </c>
      <c r="N46" s="115" t="str">
        <f t="shared" si="89"/>
        <v>464   + Tiền đường:</v>
      </c>
      <c r="O46" s="115" t="str">
        <f t="shared" si="90"/>
        <v>464   + Loại gỗ:</v>
      </c>
      <c r="P46" s="115" t="str">
        <f t="shared" si="91"/>
        <v>464   + Tiền cước:</v>
      </c>
      <c r="Q46" s="113" t="e">
        <f t="shared" si="13"/>
        <v>#N/A</v>
      </c>
      <c r="R46" s="225" t="e">
        <f>IF((RIGHT(G46,3)="rời"),VLOOKUP(RIGHT(Q46,9),[2]Khach_hangmoi!$J$3:$N$3854,2,0),LEFT(Q46,7))</f>
        <v>#N/A</v>
      </c>
      <c r="S46" s="225" t="e">
        <f>VLOOKUP(R46,[2]Khach_hangmoi!$A$3:$I$4325,2,0)</f>
        <v>#N/A</v>
      </c>
      <c r="T46" s="225" t="e">
        <f>IF(VLOOKUP(R46,[2]Khach_hangmoi!$A$3:$I$4325,5,0)=0,"",VLOOKUP(R46,[2]Khach_hangmoi!$A$3:$I$4325,5,0))</f>
        <v>#N/A</v>
      </c>
      <c r="U46" s="225" t="e">
        <f>VLOOKUP(R46,[2]Khach_hangmoi!$A$3:$I$4325,3,0)</f>
        <v>#N/A</v>
      </c>
      <c r="V46" s="225"/>
      <c r="W46" s="225" t="e">
        <f t="shared" si="92"/>
        <v>#N/A</v>
      </c>
      <c r="X46" s="225" t="e">
        <f>VLOOKUP(Y46,Hanghoa!$B$3:$E$1914,2,0)</f>
        <v>#N/A</v>
      </c>
      <c r="Y46" s="225" t="e">
        <f t="shared" si="93"/>
        <v>#N/A</v>
      </c>
      <c r="Z46" s="300"/>
      <c r="AA46" s="225" t="e">
        <f t="shared" si="76"/>
        <v>#N/A</v>
      </c>
      <c r="AB46" s="225" t="e">
        <f t="shared" si="77"/>
        <v>#N/A</v>
      </c>
      <c r="AC46" s="225"/>
      <c r="AD46" s="225" t="e">
        <f t="shared" si="78"/>
        <v>#N/A</v>
      </c>
      <c r="AE46" s="244" t="e">
        <f t="shared" si="79"/>
        <v>#N/A</v>
      </c>
      <c r="AF46" s="311" t="e">
        <f t="shared" si="71"/>
        <v>#N/A</v>
      </c>
      <c r="AG46" s="244" t="e">
        <f t="shared" si="80"/>
        <v>#N/A</v>
      </c>
      <c r="AH46" s="225" t="e">
        <f>IF(OR(W46="Cont",W46="CT"),VLOOKUP(R46,cthuc!$AQ$3:$AR$44,2,0),"")</f>
        <v>#N/A</v>
      </c>
      <c r="AI46" s="225" t="e">
        <f t="shared" si="81"/>
        <v>#N/A</v>
      </c>
      <c r="AJ46" s="225"/>
      <c r="AK46" s="225" t="e">
        <f t="shared" si="66"/>
        <v>#N/A</v>
      </c>
      <c r="AL46" s="225" t="str">
        <f t="shared" si="67"/>
        <v>464   + Nơi lấy:</v>
      </c>
      <c r="AM46" s="250">
        <f t="shared" si="25"/>
        <v>45490</v>
      </c>
      <c r="AN46" s="225" t="e">
        <f>IF(OR(W46="HS",W46="HP"),"",VLOOKUP(VLOOKUP(AL46,$B$8:$E$671,3,0),cthuc!$AO$3:$AP$142,2,0))</f>
        <v>#N/A</v>
      </c>
      <c r="AO46" s="225" t="e">
        <f t="shared" si="26"/>
        <v>#N/A</v>
      </c>
      <c r="AP46" s="225" t="e">
        <f t="shared" si="68"/>
        <v>#N/A</v>
      </c>
      <c r="AQ46" s="225" t="e">
        <f t="shared" si="28"/>
        <v>#N/A</v>
      </c>
      <c r="AR46" s="225" t="e">
        <f t="shared" si="69"/>
        <v>#N/A</v>
      </c>
      <c r="AS46" s="225">
        <v>1</v>
      </c>
      <c r="AT46" s="251" t="e">
        <f t="shared" si="30"/>
        <v>#N/A</v>
      </c>
      <c r="AV46" s="113" t="e">
        <f>VLOOKUP(BD46,giaroi!$D$6:$N$500,11,0)</f>
        <v>#N/A</v>
      </c>
      <c r="AW46" s="284">
        <f t="shared" si="31"/>
        <v>0</v>
      </c>
      <c r="AX46" s="113" t="s">
        <v>13215</v>
      </c>
      <c r="AY46" s="284" t="e">
        <f t="shared" si="32"/>
        <v>#N/A</v>
      </c>
      <c r="AZ46" s="225" t="e">
        <f t="shared" si="49"/>
        <v>#N/A</v>
      </c>
      <c r="BA46" s="127">
        <f t="shared" si="50"/>
        <v>0</v>
      </c>
      <c r="BB46" s="244">
        <f t="shared" si="51"/>
        <v>0</v>
      </c>
      <c r="BC46" s="225">
        <f t="shared" si="52"/>
        <v>0</v>
      </c>
      <c r="BD46" s="225" t="e">
        <f t="shared" si="53"/>
        <v>#N/A</v>
      </c>
      <c r="BE46" s="225" t="str">
        <f t="shared" si="54"/>
        <v>464   + Số lượng xe:</v>
      </c>
      <c r="BF46" s="225">
        <f t="shared" si="55"/>
        <v>0</v>
      </c>
      <c r="BG46" s="225" t="e">
        <f t="shared" si="56"/>
        <v>#N/A</v>
      </c>
      <c r="BH46" s="225" t="e">
        <f t="shared" si="57"/>
        <v>#N/A</v>
      </c>
      <c r="BI46" s="321" t="str">
        <f t="shared" si="58"/>
        <v/>
      </c>
      <c r="BJ46" s="284">
        <f t="shared" si="40"/>
        <v>0</v>
      </c>
      <c r="BK46" s="284" t="str">
        <f t="shared" si="7"/>
        <v/>
      </c>
      <c r="BL46" s="225" t="str">
        <f t="shared" si="41"/>
        <v>464   + Người ra lệnh:</v>
      </c>
      <c r="BM46" s="225">
        <f t="shared" si="42"/>
        <v>0</v>
      </c>
      <c r="BN46" s="113" t="e">
        <f>VLOOKUP(BM46,[1]Sheet1!$B$3:$C$604,2,0)</f>
        <v>#N/A</v>
      </c>
      <c r="BO46" s="113" t="str">
        <f t="shared" si="43"/>
        <v/>
      </c>
      <c r="BP46" s="351" t="str">
        <f t="shared" si="8"/>
        <v/>
      </c>
      <c r="BT46" s="113" t="str">
        <f t="shared" si="44"/>
        <v>, 4 xe của Đức Tín, 3 xe của Đức Tín, 1 xe của Đức Tín</v>
      </c>
      <c r="BU46" s="113" t="e">
        <f t="shared" si="45"/>
        <v>#N/A</v>
      </c>
      <c r="BV46" s="380" t="e">
        <f t="shared" si="46"/>
        <v>#N/A</v>
      </c>
      <c r="BW46" s="376" t="e">
        <f t="shared" si="47"/>
        <v>#N/A</v>
      </c>
    </row>
    <row r="47" spans="1:75" ht="15.6" x14ac:dyDescent="0.3">
      <c r="A47" s="113">
        <v>47</v>
      </c>
      <c r="B47" s="113" t="str">
        <f t="shared" si="94"/>
        <v>44+ Nâng gỗ   + Khối lượng:</v>
      </c>
      <c r="C47" t="s">
        <v>15060</v>
      </c>
      <c r="D47" t="s">
        <v>15089</v>
      </c>
      <c r="E47" s="128"/>
      <c r="F47"/>
      <c r="G47" s="113" t="str">
        <f>CONCATENATE(A476,C476)</f>
        <v>476</v>
      </c>
      <c r="H47" s="113" t="str">
        <f t="shared" si="0"/>
        <v>476   + Trả cước:</v>
      </c>
      <c r="I47" s="113" t="str">
        <f t="shared" si="83"/>
        <v>476   + Nâng gỗ</v>
      </c>
      <c r="J47" s="113" t="str">
        <f t="shared" si="84"/>
        <v>476   + Nơi nhận</v>
      </c>
      <c r="K47" s="113" t="str">
        <f t="shared" si="85"/>
        <v>476   + Nơi trả:</v>
      </c>
      <c r="L47" s="115" t="str">
        <f t="shared" si="87"/>
        <v>476   + Tiền cước:</v>
      </c>
      <c r="M47" s="115" t="str">
        <f t="shared" si="88"/>
        <v>476   + Cont số:</v>
      </c>
      <c r="N47" s="115" t="str">
        <f t="shared" si="89"/>
        <v>476   + Tiền đường:</v>
      </c>
      <c r="O47" s="115" t="str">
        <f t="shared" si="90"/>
        <v>476   + Loại gỗ:</v>
      </c>
      <c r="P47" s="115" t="str">
        <f t="shared" si="91"/>
        <v>476   + Tiền cước:</v>
      </c>
      <c r="Q47" s="113" t="e">
        <f t="shared" si="13"/>
        <v>#N/A</v>
      </c>
      <c r="R47" s="225" t="e">
        <f>IF((RIGHT(G47,3)="rời"),VLOOKUP(RIGHT(Q47,9),[2]Khach_hangmoi!$J$3:$N$3854,2,0),LEFT(Q47,7))</f>
        <v>#N/A</v>
      </c>
      <c r="S47" s="225" t="e">
        <f>VLOOKUP(R47,[2]Khach_hangmoi!$A$3:$I$4325,2,0)</f>
        <v>#N/A</v>
      </c>
      <c r="T47" s="225" t="e">
        <f>IF(VLOOKUP(R47,[2]Khach_hangmoi!$A$3:$I$4325,5,0)=0,"",VLOOKUP(R47,[2]Khach_hangmoi!$A$3:$I$4325,5,0))</f>
        <v>#N/A</v>
      </c>
      <c r="U47" s="225" t="e">
        <f>VLOOKUP(R47,[2]Khach_hangmoi!$A$3:$I$4325,3,0)</f>
        <v>#N/A</v>
      </c>
      <c r="V47" s="225"/>
      <c r="W47" s="225" t="e">
        <f t="shared" si="92"/>
        <v>#N/A</v>
      </c>
      <c r="X47" s="225" t="e">
        <f>VLOOKUP(Y47,Hanghoa!$B$3:$E$1914,2,0)</f>
        <v>#N/A</v>
      </c>
      <c r="Y47" s="225" t="e">
        <f t="shared" si="93"/>
        <v>#N/A</v>
      </c>
      <c r="Z47" s="300"/>
      <c r="AA47" s="225" t="e">
        <f t="shared" si="76"/>
        <v>#N/A</v>
      </c>
      <c r="AB47" s="225" t="e">
        <f t="shared" si="77"/>
        <v>#N/A</v>
      </c>
      <c r="AC47" s="225"/>
      <c r="AD47" s="225" t="e">
        <f t="shared" si="78"/>
        <v>#N/A</v>
      </c>
      <c r="AE47" s="244" t="e">
        <f t="shared" si="79"/>
        <v>#N/A</v>
      </c>
      <c r="AF47" s="311" t="e">
        <f t="shared" si="71"/>
        <v>#N/A</v>
      </c>
      <c r="AG47" s="244" t="e">
        <f t="shared" si="80"/>
        <v>#N/A</v>
      </c>
      <c r="AH47" s="225" t="e">
        <f>IF(OR(W47="Cont",W47="CT"),VLOOKUP(R47,cthuc!$AQ$3:$AR$44,2,0),"")</f>
        <v>#N/A</v>
      </c>
      <c r="AI47" s="225" t="e">
        <f t="shared" si="81"/>
        <v>#N/A</v>
      </c>
      <c r="AJ47" s="225"/>
      <c r="AK47" s="225" t="e">
        <f t="shared" ref="AK47:AK63" si="95">+AB47</f>
        <v>#N/A</v>
      </c>
      <c r="AL47" s="225" t="str">
        <f t="shared" ref="AL47:AL63" si="96">CONCATENATE(G47,"   + Nơi lấy:")</f>
        <v>476   + Nơi lấy:</v>
      </c>
      <c r="AM47" s="250">
        <f t="shared" si="25"/>
        <v>45490</v>
      </c>
      <c r="AN47" s="225" t="e">
        <f>IF(OR(W47="HS",W47="HP"),"",VLOOKUP(VLOOKUP(AL47,$B$8:$E$671,3,0),cthuc!$AO$3:$AP$142,2,0))</f>
        <v>#N/A</v>
      </c>
      <c r="AO47" s="225" t="e">
        <f t="shared" si="26"/>
        <v>#N/A</v>
      </c>
      <c r="AP47" s="225" t="e">
        <f t="shared" ref="AP47:AP63" si="97">+AD47</f>
        <v>#N/A</v>
      </c>
      <c r="AQ47" s="225" t="e">
        <f t="shared" ref="AQ47:AQ54" si="98">VLOOKUP(CONCATENATE(G47,"   + NVKD:"),$B$8:$E$671,3,0)</f>
        <v>#N/A</v>
      </c>
      <c r="AR47" s="225" t="e">
        <f t="shared" ref="AR47:AR63" si="99">+W47</f>
        <v>#N/A</v>
      </c>
      <c r="AS47" s="225">
        <v>1</v>
      </c>
      <c r="AT47" s="251" t="e">
        <f t="shared" ref="AT47:AT63" si="100">+AE47</f>
        <v>#N/A</v>
      </c>
      <c r="AV47" s="113" t="e">
        <f>VLOOKUP(BD47,giaroi!$D$6:$N$500,11,0)</f>
        <v>#N/A</v>
      </c>
      <c r="AW47" s="284">
        <f t="shared" si="31"/>
        <v>0</v>
      </c>
      <c r="AX47" s="113" t="s">
        <v>13216</v>
      </c>
      <c r="AY47" s="284" t="e">
        <f t="shared" si="32"/>
        <v>#N/A</v>
      </c>
      <c r="AZ47" s="225" t="e">
        <f t="shared" si="49"/>
        <v>#N/A</v>
      </c>
      <c r="BA47" s="127">
        <f t="shared" si="50"/>
        <v>0</v>
      </c>
      <c r="BB47" s="244">
        <f t="shared" si="51"/>
        <v>0</v>
      </c>
      <c r="BC47" s="225">
        <f t="shared" si="52"/>
        <v>0</v>
      </c>
      <c r="BD47" s="225" t="e">
        <f t="shared" si="53"/>
        <v>#N/A</v>
      </c>
      <c r="BE47" s="225" t="str">
        <f t="shared" si="54"/>
        <v>476   + Số lượng xe:</v>
      </c>
      <c r="BF47" s="225">
        <f t="shared" si="55"/>
        <v>0</v>
      </c>
      <c r="BG47" s="225" t="e">
        <f t="shared" si="56"/>
        <v>#N/A</v>
      </c>
      <c r="BH47" s="225" t="e">
        <f t="shared" si="57"/>
        <v>#N/A</v>
      </c>
      <c r="BI47" s="321" t="str">
        <f t="shared" si="58"/>
        <v/>
      </c>
      <c r="BJ47" s="284">
        <f t="shared" si="40"/>
        <v>0</v>
      </c>
      <c r="BK47" s="284" t="str">
        <f t="shared" si="7"/>
        <v/>
      </c>
      <c r="BL47" s="225" t="str">
        <f t="shared" si="41"/>
        <v>476   + Người ra lệnh:</v>
      </c>
      <c r="BM47" s="225">
        <f t="shared" si="42"/>
        <v>0</v>
      </c>
      <c r="BN47" s="113" t="e">
        <f>VLOOKUP(BM47,[1]Sheet1!$B$3:$C$604,2,0)</f>
        <v>#N/A</v>
      </c>
      <c r="BO47" s="113" t="str">
        <f t="shared" si="43"/>
        <v/>
      </c>
      <c r="BP47" s="351" t="str">
        <f t="shared" si="8"/>
        <v/>
      </c>
      <c r="BT47" s="113" t="str">
        <f t="shared" si="44"/>
        <v>, 4 xe của Đức Tín, 3 xe của Đức Tín, 1 xe của Đức Tín</v>
      </c>
      <c r="BU47" s="113" t="e">
        <f t="shared" si="45"/>
        <v>#N/A</v>
      </c>
      <c r="BV47" s="380" t="e">
        <f t="shared" si="46"/>
        <v>#N/A</v>
      </c>
      <c r="BW47" s="376" t="e">
        <f t="shared" si="47"/>
        <v>#N/A</v>
      </c>
    </row>
    <row r="48" spans="1:75" ht="15.6" x14ac:dyDescent="0.3">
      <c r="A48" s="113">
        <v>48</v>
      </c>
      <c r="B48" s="113" t="str">
        <f t="shared" si="94"/>
        <v>44+ Nâng gỗ   + Số lượng xe:</v>
      </c>
      <c r="C48" t="s">
        <v>15062</v>
      </c>
      <c r="D48">
        <v>3</v>
      </c>
      <c r="E48" t="s">
        <v>15082</v>
      </c>
      <c r="F48"/>
      <c r="G48" s="113" t="str">
        <f>CONCATENATE(A488,C488)</f>
        <v>488</v>
      </c>
      <c r="H48" s="113" t="str">
        <f t="shared" si="0"/>
        <v>488   + Trả cước:</v>
      </c>
      <c r="I48" s="113" t="str">
        <f t="shared" si="83"/>
        <v>488   + Nâng gỗ</v>
      </c>
      <c r="J48" s="113" t="str">
        <f t="shared" si="84"/>
        <v>488   + Nơi nhận</v>
      </c>
      <c r="K48" s="113" t="str">
        <f t="shared" si="85"/>
        <v>488   + Nơi trả:</v>
      </c>
      <c r="L48" s="115" t="str">
        <f t="shared" si="87"/>
        <v>488   + Tiền cước:</v>
      </c>
      <c r="M48" s="115" t="str">
        <f t="shared" si="88"/>
        <v>488   + Cont số:</v>
      </c>
      <c r="N48" s="115" t="str">
        <f t="shared" si="89"/>
        <v>488   + Tiền đường:</v>
      </c>
      <c r="O48" s="115" t="str">
        <f t="shared" si="90"/>
        <v>488   + Loại gỗ:</v>
      </c>
      <c r="P48" s="115" t="str">
        <f t="shared" si="91"/>
        <v>488   + Tiền cước:</v>
      </c>
      <c r="Q48" s="113" t="e">
        <f t="shared" si="13"/>
        <v>#N/A</v>
      </c>
      <c r="R48" s="225" t="e">
        <f>IF((RIGHT(G48,3)="rời"),VLOOKUP(RIGHT(Q48,9),[2]Khach_hangmoi!$J$3:$N$3854,2,0),LEFT(Q48,7))</f>
        <v>#N/A</v>
      </c>
      <c r="S48" s="225" t="e">
        <f>VLOOKUP(R48,[2]Khach_hangmoi!$A$3:$I$4325,2,0)</f>
        <v>#N/A</v>
      </c>
      <c r="T48" s="225" t="e">
        <f>IF(VLOOKUP(R48,[2]Khach_hangmoi!$A$3:$I$4325,5,0)=0,"",VLOOKUP(R48,[2]Khach_hangmoi!$A$3:$I$4325,5,0))</f>
        <v>#N/A</v>
      </c>
      <c r="U48" s="225" t="e">
        <f>VLOOKUP(R48,[2]Khach_hangmoi!$A$3:$I$4325,3,0)</f>
        <v>#N/A</v>
      </c>
      <c r="V48" s="225"/>
      <c r="W48" s="225" t="e">
        <f t="shared" si="92"/>
        <v>#N/A</v>
      </c>
      <c r="X48" s="225" t="e">
        <f>VLOOKUP(Y48,Hanghoa!$B$3:$E$1914,2,0)</f>
        <v>#N/A</v>
      </c>
      <c r="Y48" s="225" t="e">
        <f t="shared" si="93"/>
        <v>#N/A</v>
      </c>
      <c r="Z48" s="300"/>
      <c r="AA48" s="225" t="e">
        <f t="shared" si="76"/>
        <v>#N/A</v>
      </c>
      <c r="AB48" s="225" t="e">
        <f t="shared" si="77"/>
        <v>#N/A</v>
      </c>
      <c r="AC48" s="225"/>
      <c r="AD48" s="225" t="e">
        <f t="shared" si="78"/>
        <v>#N/A</v>
      </c>
      <c r="AE48" s="244" t="e">
        <f t="shared" si="79"/>
        <v>#N/A</v>
      </c>
      <c r="AF48" s="311" t="e">
        <f t="shared" si="71"/>
        <v>#N/A</v>
      </c>
      <c r="AG48" s="244" t="e">
        <f t="shared" si="80"/>
        <v>#N/A</v>
      </c>
      <c r="AH48" s="225" t="e">
        <f>IF(OR(W48="Cont",W48="CT"),VLOOKUP(R48,cthuc!$AQ$3:$AR$44,2,0),"")</f>
        <v>#N/A</v>
      </c>
      <c r="AI48" s="225" t="e">
        <f t="shared" si="81"/>
        <v>#N/A</v>
      </c>
      <c r="AJ48" s="225"/>
      <c r="AK48" s="225" t="e">
        <f t="shared" si="95"/>
        <v>#N/A</v>
      </c>
      <c r="AL48" s="225" t="str">
        <f t="shared" si="96"/>
        <v>488   + Nơi lấy:</v>
      </c>
      <c r="AM48" s="250">
        <f t="shared" si="25"/>
        <v>45490</v>
      </c>
      <c r="AN48" s="225" t="e">
        <f>IF(OR(W48="HS",W48="HP"),"",VLOOKUP(VLOOKUP(AL48,$B$8:$E$671,3,0),cthuc!$AO$3:$AP$142,2,0))</f>
        <v>#N/A</v>
      </c>
      <c r="AO48" s="225" t="e">
        <f t="shared" si="26"/>
        <v>#N/A</v>
      </c>
      <c r="AP48" s="225" t="e">
        <f t="shared" si="97"/>
        <v>#N/A</v>
      </c>
      <c r="AQ48" s="225" t="e">
        <f t="shared" si="98"/>
        <v>#N/A</v>
      </c>
      <c r="AR48" s="225" t="e">
        <f t="shared" si="99"/>
        <v>#N/A</v>
      </c>
      <c r="AS48" s="225">
        <v>1</v>
      </c>
      <c r="AT48" s="251" t="e">
        <f t="shared" si="100"/>
        <v>#N/A</v>
      </c>
      <c r="AV48" s="113" t="e">
        <f>VLOOKUP(BD48,giaroi!$D$6:$N$500,11,0)</f>
        <v>#N/A</v>
      </c>
      <c r="AW48" s="284">
        <f t="shared" si="31"/>
        <v>0</v>
      </c>
      <c r="AX48" s="113" t="s">
        <v>13217</v>
      </c>
      <c r="AY48" s="284" t="e">
        <f t="shared" si="32"/>
        <v>#N/A</v>
      </c>
      <c r="AZ48" s="225" t="e">
        <f t="shared" si="49"/>
        <v>#N/A</v>
      </c>
      <c r="BA48" s="127">
        <f t="shared" si="50"/>
        <v>0</v>
      </c>
      <c r="BB48" s="244">
        <f t="shared" si="51"/>
        <v>0</v>
      </c>
      <c r="BC48" s="225">
        <f t="shared" si="52"/>
        <v>0</v>
      </c>
      <c r="BD48" s="225" t="e">
        <f t="shared" si="53"/>
        <v>#N/A</v>
      </c>
      <c r="BE48" s="225" t="str">
        <f t="shared" si="54"/>
        <v>488   + Số lượng xe:</v>
      </c>
      <c r="BF48" s="225">
        <f t="shared" si="55"/>
        <v>0</v>
      </c>
      <c r="BG48" s="225" t="e">
        <f t="shared" si="56"/>
        <v>#N/A</v>
      </c>
      <c r="BH48" s="225" t="e">
        <f t="shared" si="57"/>
        <v>#N/A</v>
      </c>
      <c r="BI48" s="321" t="str">
        <f t="shared" si="58"/>
        <v/>
      </c>
      <c r="BJ48" s="284">
        <f t="shared" si="40"/>
        <v>0</v>
      </c>
      <c r="BK48" s="284" t="str">
        <f t="shared" si="7"/>
        <v/>
      </c>
      <c r="BL48" s="225" t="str">
        <f t="shared" si="41"/>
        <v>488   + Người ra lệnh:</v>
      </c>
      <c r="BM48" s="225">
        <f t="shared" si="42"/>
        <v>0</v>
      </c>
      <c r="BN48" s="113" t="e">
        <f>VLOOKUP(BM48,[1]Sheet1!$B$3:$C$604,2,0)</f>
        <v>#N/A</v>
      </c>
      <c r="BO48" s="113" t="str">
        <f t="shared" si="43"/>
        <v/>
      </c>
      <c r="BP48" s="351" t="str">
        <f t="shared" si="8"/>
        <v/>
      </c>
      <c r="BT48" s="113" t="str">
        <f t="shared" si="44"/>
        <v>, 4 xe của Đức Tín, 3 xe của Đức Tín, 1 xe của Đức Tín</v>
      </c>
      <c r="BU48" s="113" t="e">
        <f t="shared" si="45"/>
        <v>#N/A</v>
      </c>
      <c r="BV48" s="380" t="e">
        <f t="shared" si="46"/>
        <v>#N/A</v>
      </c>
      <c r="BW48" s="376" t="e">
        <f t="shared" si="47"/>
        <v>#N/A</v>
      </c>
    </row>
    <row r="49" spans="1:75" ht="15.6" x14ac:dyDescent="0.3">
      <c r="A49" s="113">
        <v>49</v>
      </c>
      <c r="B49" s="113" t="str">
        <f t="shared" si="94"/>
        <v>44+ Nâng gỗ   + Người nhận:</v>
      </c>
      <c r="C49" t="s">
        <v>15064</v>
      </c>
      <c r="D49" t="s">
        <v>15090</v>
      </c>
      <c r="E49"/>
      <c r="F49"/>
      <c r="G49" s="113" t="str">
        <f>CONCATENATE(A500,C500)</f>
        <v>500</v>
      </c>
      <c r="H49" s="113" t="str">
        <f t="shared" si="0"/>
        <v>500   + Trả cước:</v>
      </c>
      <c r="I49" s="113" t="str">
        <f t="shared" si="83"/>
        <v>500   + Nâng gỗ</v>
      </c>
      <c r="J49" s="113" t="str">
        <f t="shared" si="84"/>
        <v>500   + Nơi nhận</v>
      </c>
      <c r="K49" s="113" t="str">
        <f t="shared" si="85"/>
        <v>500   + Nơi trả:</v>
      </c>
      <c r="L49" s="115" t="str">
        <f t="shared" si="87"/>
        <v>500   + Tiền cước:</v>
      </c>
      <c r="M49" s="115" t="str">
        <f t="shared" si="88"/>
        <v>500   + Cont số:</v>
      </c>
      <c r="N49" s="115" t="str">
        <f t="shared" si="89"/>
        <v>500   + Tiền đường:</v>
      </c>
      <c r="O49" s="115" t="str">
        <f t="shared" si="90"/>
        <v>500   + Loại gỗ:</v>
      </c>
      <c r="P49" s="115" t="str">
        <f t="shared" si="91"/>
        <v>500   + Tiền cước:</v>
      </c>
      <c r="Q49" s="113" t="e">
        <f t="shared" si="13"/>
        <v>#N/A</v>
      </c>
      <c r="R49" s="225" t="e">
        <f>IF((RIGHT(G49,3)="rời"),VLOOKUP(RIGHT(Q49,9),[2]Khach_hangmoi!$J$3:$N$3854,2,0),LEFT(Q49,7))</f>
        <v>#N/A</v>
      </c>
      <c r="S49" s="225" t="e">
        <f>VLOOKUP(R49,[2]Khach_hangmoi!$A$3:$I$4325,2,0)</f>
        <v>#N/A</v>
      </c>
      <c r="T49" s="225" t="e">
        <f>IF(VLOOKUP(R49,[2]Khach_hangmoi!$A$3:$I$4325,5,0)=0,"",VLOOKUP(R49,[2]Khach_hangmoi!$A$3:$I$4325,5,0))</f>
        <v>#N/A</v>
      </c>
      <c r="U49" s="225" t="e">
        <f>VLOOKUP(R49,[2]Khach_hangmoi!$A$3:$I$4325,3,0)</f>
        <v>#N/A</v>
      </c>
      <c r="V49" s="225"/>
      <c r="W49" s="225" t="e">
        <f t="shared" si="92"/>
        <v>#N/A</v>
      </c>
      <c r="X49" s="225" t="e">
        <f>VLOOKUP(Y49,Hanghoa!$B$3:$E$1914,2,0)</f>
        <v>#N/A</v>
      </c>
      <c r="Y49" s="225" t="e">
        <f t="shared" si="93"/>
        <v>#N/A</v>
      </c>
      <c r="Z49" s="300"/>
      <c r="AA49" s="225" t="e">
        <f t="shared" si="76"/>
        <v>#N/A</v>
      </c>
      <c r="AB49" s="225" t="e">
        <f t="shared" si="77"/>
        <v>#N/A</v>
      </c>
      <c r="AC49" s="225"/>
      <c r="AD49" s="225" t="e">
        <f t="shared" si="78"/>
        <v>#N/A</v>
      </c>
      <c r="AE49" s="244" t="e">
        <f t="shared" si="79"/>
        <v>#N/A</v>
      </c>
      <c r="AF49" s="311" t="e">
        <f t="shared" si="71"/>
        <v>#N/A</v>
      </c>
      <c r="AG49" s="244" t="e">
        <f t="shared" si="80"/>
        <v>#N/A</v>
      </c>
      <c r="AH49" s="225" t="e">
        <f>IF(OR(W49="Cont",W49="CT"),VLOOKUP(R49,cthuc!$AQ$3:$AR$44,2,0),"")</f>
        <v>#N/A</v>
      </c>
      <c r="AI49" s="225" t="e">
        <f t="shared" si="81"/>
        <v>#N/A</v>
      </c>
      <c r="AJ49" s="225"/>
      <c r="AK49" s="225" t="e">
        <f t="shared" si="95"/>
        <v>#N/A</v>
      </c>
      <c r="AL49" s="225" t="str">
        <f t="shared" si="96"/>
        <v>500   + Nơi lấy:</v>
      </c>
      <c r="AM49" s="250">
        <f t="shared" si="25"/>
        <v>45490</v>
      </c>
      <c r="AN49" s="225" t="e">
        <f>IF(OR(W49="HS",W49="HP"),"",VLOOKUP(VLOOKUP(AL49,$B$8:$E$671,3,0),cthuc!$AO$3:$AP$142,2,0))</f>
        <v>#N/A</v>
      </c>
      <c r="AO49" s="225" t="e">
        <f t="shared" si="26"/>
        <v>#N/A</v>
      </c>
      <c r="AP49" s="225" t="e">
        <f t="shared" si="97"/>
        <v>#N/A</v>
      </c>
      <c r="AQ49" s="225" t="e">
        <f t="shared" si="98"/>
        <v>#N/A</v>
      </c>
      <c r="AR49" s="225" t="e">
        <f t="shared" si="99"/>
        <v>#N/A</v>
      </c>
      <c r="AS49" s="225">
        <v>1</v>
      </c>
      <c r="AT49" s="251" t="e">
        <f t="shared" si="100"/>
        <v>#N/A</v>
      </c>
      <c r="AV49" s="113" t="e">
        <f>VLOOKUP(BD49,giaroi!$D$6:$N$500,11,0)</f>
        <v>#N/A</v>
      </c>
      <c r="AW49" s="284">
        <f t="shared" si="31"/>
        <v>0</v>
      </c>
      <c r="AX49" s="113" t="s">
        <v>13218</v>
      </c>
      <c r="AY49" s="284" t="e">
        <f t="shared" si="32"/>
        <v>#N/A</v>
      </c>
      <c r="AZ49" s="225" t="e">
        <f t="shared" si="49"/>
        <v>#N/A</v>
      </c>
      <c r="BA49" s="127">
        <f t="shared" si="50"/>
        <v>0</v>
      </c>
      <c r="BB49" s="244">
        <f t="shared" si="51"/>
        <v>0</v>
      </c>
      <c r="BC49" s="225">
        <f t="shared" si="52"/>
        <v>0</v>
      </c>
      <c r="BD49" s="225" t="e">
        <f t="shared" si="53"/>
        <v>#N/A</v>
      </c>
      <c r="BE49" s="225" t="str">
        <f t="shared" si="54"/>
        <v>500   + Số lượng xe:</v>
      </c>
      <c r="BF49" s="225">
        <f t="shared" si="55"/>
        <v>0</v>
      </c>
      <c r="BG49" s="225" t="e">
        <f t="shared" si="56"/>
        <v>#N/A</v>
      </c>
      <c r="BH49" s="225" t="e">
        <f t="shared" si="57"/>
        <v>#N/A</v>
      </c>
      <c r="BI49" s="321" t="str">
        <f t="shared" si="58"/>
        <v/>
      </c>
      <c r="BJ49" s="284">
        <f t="shared" si="40"/>
        <v>0</v>
      </c>
      <c r="BK49" s="284" t="str">
        <f t="shared" si="7"/>
        <v/>
      </c>
      <c r="BL49" s="225" t="str">
        <f t="shared" si="41"/>
        <v>500   + Người ra lệnh:</v>
      </c>
      <c r="BM49" s="225">
        <f t="shared" si="42"/>
        <v>0</v>
      </c>
      <c r="BN49" s="113" t="e">
        <f>VLOOKUP(BM49,[1]Sheet1!$B$3:$C$604,2,0)</f>
        <v>#N/A</v>
      </c>
      <c r="BO49" s="113" t="str">
        <f t="shared" si="43"/>
        <v/>
      </c>
      <c r="BP49" s="351" t="str">
        <f t="shared" si="8"/>
        <v/>
      </c>
      <c r="BT49" s="113" t="str">
        <f t="shared" si="44"/>
        <v>, 4 xe của Đức Tín, 3 xe của Đức Tín, 1 xe của Đức Tín</v>
      </c>
      <c r="BU49" s="113" t="e">
        <f t="shared" si="45"/>
        <v>#N/A</v>
      </c>
      <c r="BV49" s="380" t="e">
        <f t="shared" si="46"/>
        <v>#N/A</v>
      </c>
      <c r="BW49" s="376" t="e">
        <f t="shared" si="47"/>
        <v>#N/A</v>
      </c>
    </row>
    <row r="50" spans="1:75" ht="15.6" x14ac:dyDescent="0.3">
      <c r="A50" s="113">
        <v>50</v>
      </c>
      <c r="B50" s="113" t="str">
        <f t="shared" si="94"/>
        <v>44+ Nâng gỗ   + Nơi nhận:</v>
      </c>
      <c r="C50" t="s">
        <v>15065</v>
      </c>
      <c r="D50" t="s">
        <v>14982</v>
      </c>
      <c r="E50"/>
      <c r="F50"/>
      <c r="G50" s="113" t="str">
        <f>CONCATENATE(A512,C512)</f>
        <v>512</v>
      </c>
      <c r="H50" s="113" t="str">
        <f t="shared" si="0"/>
        <v>512   + Trả cước:</v>
      </c>
      <c r="I50" s="113" t="str">
        <f t="shared" si="83"/>
        <v>512   + Nâng gỗ</v>
      </c>
      <c r="J50" s="113" t="str">
        <f t="shared" si="84"/>
        <v>512   + Nơi nhận</v>
      </c>
      <c r="K50" s="113" t="str">
        <f t="shared" si="85"/>
        <v>512   + Nơi trả:</v>
      </c>
      <c r="L50" s="115" t="str">
        <f t="shared" si="87"/>
        <v>512   + Tiền cước:</v>
      </c>
      <c r="M50" s="115" t="str">
        <f t="shared" si="88"/>
        <v>512   + Cont số:</v>
      </c>
      <c r="N50" s="115" t="str">
        <f t="shared" si="89"/>
        <v>512   + Tiền đường:</v>
      </c>
      <c r="O50" s="115" t="str">
        <f t="shared" si="90"/>
        <v>512   + Loại gỗ:</v>
      </c>
      <c r="P50" s="115" t="str">
        <f t="shared" si="91"/>
        <v>512   + Tiền cước:</v>
      </c>
      <c r="Q50" s="113" t="e">
        <f t="shared" si="13"/>
        <v>#N/A</v>
      </c>
      <c r="R50" s="225" t="e">
        <f>IF((RIGHT(G50,3)="rời"),VLOOKUP(RIGHT(Q50,9),[2]Khach_hangmoi!$J$3:$N$3854,2,0),LEFT(Q50,7))</f>
        <v>#N/A</v>
      </c>
      <c r="S50" s="225" t="e">
        <f>VLOOKUP(R50,[2]Khach_hangmoi!$A$3:$I$4325,2,0)</f>
        <v>#N/A</v>
      </c>
      <c r="T50" s="225" t="e">
        <f>IF(VLOOKUP(R50,[2]Khach_hangmoi!$A$3:$I$4325,5,0)=0,"",VLOOKUP(R50,[2]Khach_hangmoi!$A$3:$I$4325,5,0))</f>
        <v>#N/A</v>
      </c>
      <c r="U50" s="225" t="e">
        <f>VLOOKUP(R50,[2]Khach_hangmoi!$A$3:$I$4325,3,0)</f>
        <v>#N/A</v>
      </c>
      <c r="V50" s="225"/>
      <c r="W50" s="225" t="e">
        <f t="shared" si="92"/>
        <v>#N/A</v>
      </c>
      <c r="X50" s="225" t="e">
        <f>VLOOKUP(Y50,Hanghoa!$B$3:$E$1914,2,0)</f>
        <v>#N/A</v>
      </c>
      <c r="Y50" s="225" t="e">
        <f t="shared" si="93"/>
        <v>#N/A</v>
      </c>
      <c r="Z50" s="300"/>
      <c r="AA50" s="225" t="e">
        <f t="shared" si="76"/>
        <v>#N/A</v>
      </c>
      <c r="AB50" s="225" t="e">
        <f t="shared" ref="AB50:AB63" si="101">IFERROR(IF(FIND("x",AA50)=2,CONCATENATE("0",AA50),AA50),AA50)</f>
        <v>#N/A</v>
      </c>
      <c r="AC50" s="225"/>
      <c r="AD50" s="225" t="e">
        <f t="shared" ref="AD50:AD54" si="102">SUBSTITUTE(CONCATENATE(VLOOKUP(M50,$B$8:$E$670,3,0),IFERROR(VLOOKUP(CONCATENATE(G50,"   + Lưu ý:"),$B$8:$E$670,3,0),"")),"   + Lưu ý:","")</f>
        <v>#N/A</v>
      </c>
      <c r="AE50" s="244" t="e">
        <f t="shared" ref="AE50:AE54" si="103">VALUE(IF(SUBSTITUTE(SUBSTITUTE(VLOOKUP(L50,$B$8:$E$670,3,0),",","")," đồng/cont","")-10000&lt;0,SUBSTITUTE(SUBSTITUTE(VLOOKUP(L50,$B$8:$E$670,3,0),",","")," đồng/cont","")*1000,SUBSTITUTE(SUBSTITUTE(VLOOKUP(L50,$B$8:$E$670,3,0),",","")," đồng/cont","")))</f>
        <v>#N/A</v>
      </c>
      <c r="AF50" s="311" t="e">
        <f t="shared" si="71"/>
        <v>#N/A</v>
      </c>
      <c r="AG50" s="244" t="e">
        <f t="shared" ref="AG50:AG54" si="104">VALUE(IF(W50="Cont",SUBSTITUTE(SUBSTITUTE(VLOOKUP(N50,$B$8:$E$670,3,0),",","")," đồng/xe",""),SUBSTITUTE(VLOOKUP(N50,$B$8:$E$370,3,0),",","")+100000))</f>
        <v>#N/A</v>
      </c>
      <c r="AH50" s="225" t="e">
        <f>IF(OR(W50="Cont",W50="CT"),VLOOKUP(R50,cthuc!$AQ$3:$AR$44,2,0),"")</f>
        <v>#N/A</v>
      </c>
      <c r="AI50" s="225" t="e">
        <f t="shared" ref="AI50:AI54" si="105">CONCATENATE(VLOOKUP(P50,$B$8:$E$670,3,0),VLOOKUP(P50,$B$8:$E$670,4,0))</f>
        <v>#N/A</v>
      </c>
      <c r="AJ50" s="225"/>
      <c r="AK50" s="225" t="e">
        <f t="shared" si="95"/>
        <v>#N/A</v>
      </c>
      <c r="AL50" s="225" t="str">
        <f t="shared" si="96"/>
        <v>512   + Nơi lấy:</v>
      </c>
      <c r="AM50" s="250">
        <f t="shared" si="25"/>
        <v>45490</v>
      </c>
      <c r="AN50" s="225" t="e">
        <f>IF(OR(W50="HS",W50="HP"),"",VLOOKUP(VLOOKUP(AL50,$B$8:$E$671,3,0),cthuc!$AO$3:$AP$142,2,0))</f>
        <v>#N/A</v>
      </c>
      <c r="AO50" s="225" t="e">
        <f t="shared" si="26"/>
        <v>#N/A</v>
      </c>
      <c r="AP50" s="225" t="e">
        <f t="shared" si="97"/>
        <v>#N/A</v>
      </c>
      <c r="AQ50" s="225" t="e">
        <f t="shared" si="98"/>
        <v>#N/A</v>
      </c>
      <c r="AR50" s="225" t="e">
        <f t="shared" si="99"/>
        <v>#N/A</v>
      </c>
      <c r="AS50" s="225">
        <v>1</v>
      </c>
      <c r="AT50" s="251" t="e">
        <f t="shared" si="100"/>
        <v>#N/A</v>
      </c>
      <c r="AV50" s="113" t="e">
        <f>VLOOKUP(BD50,giaroi!$D$6:$N$500,11,0)</f>
        <v>#N/A</v>
      </c>
      <c r="AW50" s="284">
        <f t="shared" si="31"/>
        <v>0</v>
      </c>
      <c r="AX50" s="113" t="s">
        <v>13219</v>
      </c>
      <c r="AY50" s="284" t="e">
        <f t="shared" si="32"/>
        <v>#N/A</v>
      </c>
      <c r="AZ50" s="225" t="e">
        <f t="shared" si="49"/>
        <v>#N/A</v>
      </c>
      <c r="BA50" s="127">
        <f t="shared" si="50"/>
        <v>0</v>
      </c>
      <c r="BB50" s="244">
        <f t="shared" si="51"/>
        <v>0</v>
      </c>
      <c r="BC50" s="225">
        <f t="shared" si="52"/>
        <v>0</v>
      </c>
      <c r="BD50" s="225" t="e">
        <f t="shared" si="53"/>
        <v>#N/A</v>
      </c>
      <c r="BE50" s="225" t="str">
        <f t="shared" si="54"/>
        <v>512   + Số lượng xe:</v>
      </c>
      <c r="BF50" s="225">
        <f t="shared" si="55"/>
        <v>0</v>
      </c>
      <c r="BG50" s="225" t="e">
        <f t="shared" si="56"/>
        <v>#N/A</v>
      </c>
      <c r="BH50" s="225" t="e">
        <f t="shared" si="57"/>
        <v>#N/A</v>
      </c>
      <c r="BI50" s="321" t="str">
        <f t="shared" si="58"/>
        <v/>
      </c>
      <c r="BJ50" s="284">
        <f t="shared" si="40"/>
        <v>0</v>
      </c>
      <c r="BK50" s="284" t="str">
        <f t="shared" si="7"/>
        <v/>
      </c>
      <c r="BL50" s="225" t="str">
        <f t="shared" si="41"/>
        <v>512   + Người ra lệnh:</v>
      </c>
      <c r="BM50" s="225">
        <f t="shared" si="42"/>
        <v>0</v>
      </c>
      <c r="BN50" s="113" t="e">
        <f>VLOOKUP(BM50,[1]Sheet1!$B$3:$C$604,2,0)</f>
        <v>#N/A</v>
      </c>
      <c r="BO50" s="113" t="str">
        <f t="shared" si="43"/>
        <v/>
      </c>
      <c r="BP50" s="351" t="str">
        <f t="shared" si="8"/>
        <v/>
      </c>
      <c r="BT50" s="113" t="str">
        <f t="shared" si="44"/>
        <v>, 4 xe của Đức Tín, 3 xe của Đức Tín, 1 xe của Đức Tín</v>
      </c>
      <c r="BU50" s="113" t="e">
        <f t="shared" si="45"/>
        <v>#N/A</v>
      </c>
      <c r="BV50" s="380" t="e">
        <f t="shared" si="46"/>
        <v>#N/A</v>
      </c>
      <c r="BW50" s="376" t="e">
        <f t="shared" si="47"/>
        <v>#N/A</v>
      </c>
    </row>
    <row r="51" spans="1:75" ht="15.6" x14ac:dyDescent="0.3">
      <c r="A51" s="113">
        <v>51</v>
      </c>
      <c r="B51" s="113" t="str">
        <f t="shared" si="94"/>
        <v>44+ Nâng gỗ   + Đơn giá (đ/m3) :</v>
      </c>
      <c r="C51" t="s">
        <v>15084</v>
      </c>
      <c r="D51" t="s">
        <v>15084</v>
      </c>
      <c r="E51"/>
      <c r="F51" s="128">
        <v>0.97</v>
      </c>
      <c r="G51" s="113" t="str">
        <f>CONCATENATE(A524,C524)</f>
        <v>524</v>
      </c>
      <c r="H51" s="113" t="str">
        <f t="shared" si="0"/>
        <v>524   + Trả cước:</v>
      </c>
      <c r="I51" s="113" t="str">
        <f t="shared" si="83"/>
        <v>524   + Nâng gỗ</v>
      </c>
      <c r="J51" s="113" t="str">
        <f t="shared" si="84"/>
        <v>524   + Nơi nhận</v>
      </c>
      <c r="K51" s="113" t="str">
        <f t="shared" si="85"/>
        <v>524   + Nơi trả:</v>
      </c>
      <c r="L51" s="115" t="str">
        <f t="shared" si="87"/>
        <v>524   + Tiền cước:</v>
      </c>
      <c r="M51" s="115" t="str">
        <f t="shared" si="88"/>
        <v>524   + Cont số:</v>
      </c>
      <c r="N51" s="115" t="str">
        <f t="shared" si="89"/>
        <v>524   + Tiền đường:</v>
      </c>
      <c r="O51" s="115" t="str">
        <f t="shared" si="90"/>
        <v>524   + Loại gỗ:</v>
      </c>
      <c r="P51" s="115" t="str">
        <f t="shared" si="91"/>
        <v>524   + Tiền cước:</v>
      </c>
      <c r="Q51" s="113" t="e">
        <f t="shared" si="13"/>
        <v>#N/A</v>
      </c>
      <c r="R51" s="225" t="e">
        <f>IF((RIGHT(G51,3)="rời"),VLOOKUP(RIGHT(Q51,9),[2]Khach_hangmoi!$J$3:$N$3854,2,0),LEFT(Q51,7))</f>
        <v>#N/A</v>
      </c>
      <c r="S51" s="225" t="e">
        <f>VLOOKUP(R51,[2]Khach_hangmoi!$A$3:$I$4325,2,0)</f>
        <v>#N/A</v>
      </c>
      <c r="T51" s="225" t="e">
        <f>IF(VLOOKUP(R51,[2]Khach_hangmoi!$A$3:$I$4325,5,0)=0,"",VLOOKUP(R51,[2]Khach_hangmoi!$A$3:$I$4325,5,0))</f>
        <v>#N/A</v>
      </c>
      <c r="U51" s="225" t="e">
        <f>VLOOKUP(R51,[2]Khach_hangmoi!$A$3:$I$4325,3,0)</f>
        <v>#N/A</v>
      </c>
      <c r="V51" s="225"/>
      <c r="W51" s="225" t="e">
        <f t="shared" si="92"/>
        <v>#N/A</v>
      </c>
      <c r="X51" s="225" t="e">
        <f>VLOOKUP(Y51,Hanghoa!$B$3:$E$1914,2,0)</f>
        <v>#N/A</v>
      </c>
      <c r="Y51" s="225" t="e">
        <f t="shared" si="93"/>
        <v>#N/A</v>
      </c>
      <c r="Z51" s="300"/>
      <c r="AA51" s="225" t="e">
        <f t="shared" si="76"/>
        <v>#N/A</v>
      </c>
      <c r="AB51" s="225" t="e">
        <f t="shared" si="101"/>
        <v>#N/A</v>
      </c>
      <c r="AC51" s="225"/>
      <c r="AD51" s="225" t="e">
        <f t="shared" si="102"/>
        <v>#N/A</v>
      </c>
      <c r="AE51" s="244" t="e">
        <f t="shared" si="103"/>
        <v>#N/A</v>
      </c>
      <c r="AF51" s="311" t="e">
        <f t="shared" si="71"/>
        <v>#N/A</v>
      </c>
      <c r="AG51" s="244" t="e">
        <f t="shared" si="104"/>
        <v>#N/A</v>
      </c>
      <c r="AH51" s="225" t="e">
        <f>IF(OR(W51="Cont",W51="CT"),VLOOKUP(R51,cthuc!$AQ$3:$AR$44,2,0),"")</f>
        <v>#N/A</v>
      </c>
      <c r="AI51" s="225" t="e">
        <f t="shared" si="105"/>
        <v>#N/A</v>
      </c>
      <c r="AJ51" s="225"/>
      <c r="AK51" s="225" t="e">
        <f t="shared" si="95"/>
        <v>#N/A</v>
      </c>
      <c r="AL51" s="225" t="str">
        <f t="shared" si="96"/>
        <v>524   + Nơi lấy:</v>
      </c>
      <c r="AM51" s="250">
        <f t="shared" si="25"/>
        <v>45490</v>
      </c>
      <c r="AN51" s="225" t="e">
        <f>IF(OR(W51="HS",W51="HP"),"",VLOOKUP(VLOOKUP(AL51,$B$8:$E$671,3,0),cthuc!$AO$3:$AP$142,2,0))</f>
        <v>#N/A</v>
      </c>
      <c r="AO51" s="225" t="e">
        <f t="shared" si="26"/>
        <v>#N/A</v>
      </c>
      <c r="AP51" s="225" t="e">
        <f t="shared" si="97"/>
        <v>#N/A</v>
      </c>
      <c r="AQ51" s="225" t="e">
        <f t="shared" si="98"/>
        <v>#N/A</v>
      </c>
      <c r="AR51" s="225" t="e">
        <f t="shared" si="99"/>
        <v>#N/A</v>
      </c>
      <c r="AS51" s="225">
        <v>1</v>
      </c>
      <c r="AT51" s="251" t="e">
        <f t="shared" si="100"/>
        <v>#N/A</v>
      </c>
      <c r="AV51" s="113" t="e">
        <f>VLOOKUP(BD51,giaroi!$D$6:$N$500,11,0)</f>
        <v>#N/A</v>
      </c>
      <c r="AW51" s="284">
        <f t="shared" si="31"/>
        <v>0</v>
      </c>
      <c r="AX51" s="113" t="s">
        <v>13220</v>
      </c>
      <c r="AY51" s="284" t="e">
        <f t="shared" si="32"/>
        <v>#N/A</v>
      </c>
      <c r="AZ51" s="225" t="e">
        <f t="shared" si="49"/>
        <v>#N/A</v>
      </c>
      <c r="BA51" s="127">
        <f t="shared" si="50"/>
        <v>0</v>
      </c>
      <c r="BB51" s="244">
        <f t="shared" si="51"/>
        <v>0</v>
      </c>
      <c r="BC51" s="225">
        <f t="shared" si="52"/>
        <v>0</v>
      </c>
      <c r="BD51" s="225" t="e">
        <f t="shared" si="53"/>
        <v>#N/A</v>
      </c>
      <c r="BE51" s="225" t="str">
        <f t="shared" si="54"/>
        <v>524   + Số lượng xe:</v>
      </c>
      <c r="BF51" s="225">
        <f t="shared" si="55"/>
        <v>0</v>
      </c>
      <c r="BG51" s="225" t="e">
        <f t="shared" si="56"/>
        <v>#N/A</v>
      </c>
      <c r="BH51" s="225" t="e">
        <f t="shared" si="57"/>
        <v>#N/A</v>
      </c>
      <c r="BI51" s="321" t="str">
        <f t="shared" si="58"/>
        <v/>
      </c>
      <c r="BJ51" s="284">
        <f t="shared" si="40"/>
        <v>0</v>
      </c>
      <c r="BK51" s="284" t="str">
        <f t="shared" si="7"/>
        <v/>
      </c>
      <c r="BL51" s="225" t="str">
        <f t="shared" si="41"/>
        <v>524   + Người ra lệnh:</v>
      </c>
      <c r="BM51" s="225">
        <f t="shared" si="42"/>
        <v>0</v>
      </c>
      <c r="BN51" s="113" t="e">
        <f>VLOOKUP(BM51,[1]Sheet1!$B$3:$C$604,2,0)</f>
        <v>#N/A</v>
      </c>
      <c r="BO51" s="113" t="str">
        <f t="shared" si="43"/>
        <v/>
      </c>
      <c r="BP51" s="351" t="str">
        <f t="shared" si="8"/>
        <v/>
      </c>
      <c r="BT51" s="113" t="str">
        <f t="shared" si="44"/>
        <v>, 4 xe của Đức Tín, 3 xe của Đức Tín, 1 xe của Đức Tín</v>
      </c>
      <c r="BU51" s="113" t="e">
        <f t="shared" si="45"/>
        <v>#N/A</v>
      </c>
      <c r="BV51" s="380" t="e">
        <f t="shared" si="46"/>
        <v>#N/A</v>
      </c>
      <c r="BW51" s="376" t="e">
        <f t="shared" si="47"/>
        <v>#N/A</v>
      </c>
    </row>
    <row r="52" spans="1:75" ht="15.6" x14ac:dyDescent="0.3">
      <c r="A52" s="113">
        <v>52</v>
      </c>
      <c r="B52" s="113" t="str">
        <f t="shared" si="94"/>
        <v>44+ Nâng gỗ   + Tiền cước:</v>
      </c>
      <c r="C52" t="s">
        <v>15068</v>
      </c>
      <c r="D52" t="s">
        <v>15068</v>
      </c>
      <c r="E52" s="310"/>
      <c r="F52" s="128"/>
      <c r="G52" s="113" t="str">
        <f>CONCATENATE(A536,C536)</f>
        <v>536</v>
      </c>
      <c r="H52" s="113" t="str">
        <f t="shared" si="0"/>
        <v>536   + Trả cước:</v>
      </c>
      <c r="I52" s="113" t="str">
        <f t="shared" si="83"/>
        <v>536   + Nâng gỗ</v>
      </c>
      <c r="J52" s="113" t="str">
        <f t="shared" si="84"/>
        <v>536   + Nơi nhận</v>
      </c>
      <c r="K52" s="113" t="str">
        <f t="shared" si="85"/>
        <v>536   + Nơi trả:</v>
      </c>
      <c r="L52" s="115" t="str">
        <f t="shared" si="87"/>
        <v>536   + Tiền cước:</v>
      </c>
      <c r="M52" s="115" t="str">
        <f t="shared" si="88"/>
        <v>536   + Cont số:</v>
      </c>
      <c r="N52" s="115" t="str">
        <f t="shared" si="89"/>
        <v>536   + Tiền đường:</v>
      </c>
      <c r="O52" s="115" t="str">
        <f t="shared" si="90"/>
        <v>536   + Loại gỗ:</v>
      </c>
      <c r="P52" s="115" t="str">
        <f t="shared" si="91"/>
        <v>536   + Tiền cước:</v>
      </c>
      <c r="Q52" s="113" t="e">
        <f t="shared" si="13"/>
        <v>#N/A</v>
      </c>
      <c r="R52" s="225" t="e">
        <f>IF((RIGHT(G52,3)="rời"),VLOOKUP(RIGHT(Q52,9),[2]Khach_hangmoi!$J$3:$N$3854,2,0),LEFT(Q52,7))</f>
        <v>#N/A</v>
      </c>
      <c r="S52" s="225" t="e">
        <f>VLOOKUP(R52,[2]Khach_hangmoi!$A$3:$I$4325,2,0)</f>
        <v>#N/A</v>
      </c>
      <c r="T52" s="225" t="e">
        <f>IF(VLOOKUP(R52,[2]Khach_hangmoi!$A$3:$I$4325,5,0)=0,"",VLOOKUP(R52,[2]Khach_hangmoi!$A$3:$I$4325,5,0))</f>
        <v>#N/A</v>
      </c>
      <c r="U52" s="225" t="e">
        <f>VLOOKUP(R52,[2]Khach_hangmoi!$A$3:$I$4325,3,0)</f>
        <v>#N/A</v>
      </c>
      <c r="V52" s="225"/>
      <c r="W52" s="225" t="e">
        <f t="shared" si="92"/>
        <v>#N/A</v>
      </c>
      <c r="X52" s="225" t="e">
        <f>VLOOKUP(Y52,Hanghoa!$B$3:$E$1914,2,0)</f>
        <v>#N/A</v>
      </c>
      <c r="Y52" s="225" t="e">
        <f t="shared" si="93"/>
        <v>#N/A</v>
      </c>
      <c r="Z52" s="300"/>
      <c r="AA52" s="225" t="e">
        <f t="shared" si="76"/>
        <v>#N/A</v>
      </c>
      <c r="AB52" s="225" t="e">
        <f t="shared" si="101"/>
        <v>#N/A</v>
      </c>
      <c r="AC52" s="225"/>
      <c r="AD52" s="225" t="e">
        <f t="shared" si="102"/>
        <v>#N/A</v>
      </c>
      <c r="AE52" s="244" t="e">
        <f t="shared" si="103"/>
        <v>#N/A</v>
      </c>
      <c r="AF52" s="311" t="e">
        <f t="shared" si="71"/>
        <v>#N/A</v>
      </c>
      <c r="AG52" s="244" t="e">
        <f t="shared" si="104"/>
        <v>#N/A</v>
      </c>
      <c r="AH52" s="225" t="e">
        <f>IF(OR(W52="Cont",W52="CT"),VLOOKUP(R52,cthuc!$AQ$3:$AR$44,2,0),"")</f>
        <v>#N/A</v>
      </c>
      <c r="AI52" s="225" t="e">
        <f t="shared" si="105"/>
        <v>#N/A</v>
      </c>
      <c r="AJ52" s="225"/>
      <c r="AK52" s="225" t="e">
        <f t="shared" si="95"/>
        <v>#N/A</v>
      </c>
      <c r="AL52" s="225" t="str">
        <f t="shared" si="96"/>
        <v>536   + Nơi lấy:</v>
      </c>
      <c r="AM52" s="250">
        <f t="shared" si="25"/>
        <v>45490</v>
      </c>
      <c r="AN52" s="225" t="e">
        <f>IF(OR(W52="HS",W52="HP"),"",VLOOKUP(VLOOKUP(AL52,$B$8:$E$671,3,0),cthuc!$AO$3:$AP$142,2,0))</f>
        <v>#N/A</v>
      </c>
      <c r="AO52" s="225" t="e">
        <f t="shared" si="26"/>
        <v>#N/A</v>
      </c>
      <c r="AP52" s="225" t="e">
        <f t="shared" si="97"/>
        <v>#N/A</v>
      </c>
      <c r="AQ52" s="225" t="e">
        <f t="shared" si="98"/>
        <v>#N/A</v>
      </c>
      <c r="AR52" s="225" t="e">
        <f t="shared" si="99"/>
        <v>#N/A</v>
      </c>
      <c r="AS52" s="225">
        <v>1</v>
      </c>
      <c r="AT52" s="251" t="e">
        <f t="shared" si="100"/>
        <v>#N/A</v>
      </c>
      <c r="AV52" s="113" t="e">
        <f>VLOOKUP(BD52,giaroi!$D$6:$N$500,11,0)</f>
        <v>#N/A</v>
      </c>
      <c r="AW52" s="284">
        <f t="shared" si="31"/>
        <v>0</v>
      </c>
      <c r="AX52" s="113" t="s">
        <v>13221</v>
      </c>
      <c r="AY52" s="284" t="e">
        <f t="shared" si="32"/>
        <v>#N/A</v>
      </c>
      <c r="AZ52" s="225" t="e">
        <f t="shared" si="49"/>
        <v>#N/A</v>
      </c>
      <c r="BA52" s="127">
        <f t="shared" si="50"/>
        <v>0</v>
      </c>
      <c r="BB52" s="244">
        <f t="shared" si="51"/>
        <v>0</v>
      </c>
      <c r="BC52" s="225">
        <f t="shared" si="52"/>
        <v>0</v>
      </c>
      <c r="BD52" s="225" t="e">
        <f t="shared" si="53"/>
        <v>#N/A</v>
      </c>
      <c r="BE52" s="225" t="str">
        <f t="shared" si="54"/>
        <v>536   + Số lượng xe:</v>
      </c>
      <c r="BF52" s="225">
        <f t="shared" si="55"/>
        <v>0</v>
      </c>
      <c r="BG52" s="225" t="e">
        <f t="shared" si="56"/>
        <v>#N/A</v>
      </c>
      <c r="BH52" s="225" t="e">
        <f t="shared" si="57"/>
        <v>#N/A</v>
      </c>
      <c r="BI52" s="321" t="str">
        <f t="shared" si="58"/>
        <v/>
      </c>
      <c r="BJ52" s="284">
        <f t="shared" si="40"/>
        <v>0</v>
      </c>
      <c r="BK52" s="284" t="str">
        <f t="shared" si="7"/>
        <v/>
      </c>
      <c r="BL52" s="225" t="str">
        <f t="shared" si="41"/>
        <v>536   + Người ra lệnh:</v>
      </c>
      <c r="BM52" s="225">
        <f t="shared" si="42"/>
        <v>0</v>
      </c>
      <c r="BN52" s="113" t="e">
        <f>VLOOKUP(BM52,[1]Sheet1!$B$3:$C$604,2,0)</f>
        <v>#N/A</v>
      </c>
      <c r="BO52" s="113" t="str">
        <f t="shared" si="43"/>
        <v/>
      </c>
      <c r="BP52" s="351" t="str">
        <f t="shared" si="8"/>
        <v/>
      </c>
      <c r="BT52" s="113" t="str">
        <f t="shared" si="44"/>
        <v>, 4 xe của Đức Tín, 3 xe của Đức Tín, 1 xe của Đức Tín</v>
      </c>
      <c r="BU52" s="113" t="e">
        <f t="shared" si="45"/>
        <v>#N/A</v>
      </c>
      <c r="BV52" s="380" t="e">
        <f t="shared" si="46"/>
        <v>#N/A</v>
      </c>
      <c r="BW52" s="376" t="e">
        <f t="shared" si="47"/>
        <v>#N/A</v>
      </c>
    </row>
    <row r="53" spans="1:75" ht="15.6" x14ac:dyDescent="0.3">
      <c r="A53" s="113">
        <v>53</v>
      </c>
      <c r="B53" s="113" t="str">
        <f t="shared" si="94"/>
        <v xml:space="preserve">44+ Nâng gỗ </v>
      </c>
      <c r="C53" t="s">
        <v>15070</v>
      </c>
      <c r="D53" t="s">
        <v>15086</v>
      </c>
      <c r="E53"/>
      <c r="F53"/>
      <c r="G53" s="113" t="str">
        <f>CONCATENATE(A548,C548)</f>
        <v>548</v>
      </c>
      <c r="H53" s="113" t="str">
        <f t="shared" si="0"/>
        <v>548   + Trả cước:</v>
      </c>
      <c r="I53" s="113" t="str">
        <f t="shared" si="83"/>
        <v>548   + Nâng gỗ</v>
      </c>
      <c r="J53" s="113" t="str">
        <f t="shared" si="84"/>
        <v>548   + Nơi nhận</v>
      </c>
      <c r="K53" s="113" t="str">
        <f t="shared" si="85"/>
        <v>548   + Nơi trả:</v>
      </c>
      <c r="L53" s="115" t="str">
        <f t="shared" si="87"/>
        <v>548   + Tiền cước:</v>
      </c>
      <c r="M53" s="115" t="str">
        <f t="shared" si="88"/>
        <v>548   + Cont số:</v>
      </c>
      <c r="N53" s="115" t="str">
        <f t="shared" si="89"/>
        <v>548   + Tiền đường:</v>
      </c>
      <c r="O53" s="115" t="str">
        <f t="shared" si="90"/>
        <v>548   + Loại gỗ:</v>
      </c>
      <c r="P53" s="115" t="str">
        <f t="shared" si="91"/>
        <v>548   + Tiền cước:</v>
      </c>
      <c r="Q53" s="113" t="e">
        <f t="shared" si="13"/>
        <v>#N/A</v>
      </c>
      <c r="R53" s="225" t="e">
        <f>IF((RIGHT(G53,3)="rời"),VLOOKUP(RIGHT(Q53,9),[2]Khach_hangmoi!$J$3:$N$3854,2,0),LEFT(Q53,7))</f>
        <v>#N/A</v>
      </c>
      <c r="S53" s="225" t="e">
        <f>VLOOKUP(R53,[2]Khach_hangmoi!$A$3:$I$4325,2,0)</f>
        <v>#N/A</v>
      </c>
      <c r="T53" s="225" t="e">
        <f>IF(VLOOKUP(R53,[2]Khach_hangmoi!$A$3:$I$4325,5,0)=0,"",VLOOKUP(R53,[2]Khach_hangmoi!$A$3:$I$4325,5,0))</f>
        <v>#N/A</v>
      </c>
      <c r="U53" s="225" t="e">
        <f>VLOOKUP(R53,[2]Khach_hangmoi!$A$3:$I$4325,3,0)</f>
        <v>#N/A</v>
      </c>
      <c r="V53" s="225"/>
      <c r="W53" s="225" t="e">
        <f t="shared" si="92"/>
        <v>#N/A</v>
      </c>
      <c r="X53" s="225" t="e">
        <f>VLOOKUP(Y53,Hanghoa!$B$3:$E$1914,2,0)</f>
        <v>#N/A</v>
      </c>
      <c r="Y53" s="225" t="e">
        <f t="shared" si="93"/>
        <v>#N/A</v>
      </c>
      <c r="Z53" s="300"/>
      <c r="AA53" s="225" t="e">
        <f t="shared" si="76"/>
        <v>#N/A</v>
      </c>
      <c r="AB53" s="225" t="e">
        <f t="shared" si="101"/>
        <v>#N/A</v>
      </c>
      <c r="AC53" s="225"/>
      <c r="AD53" s="225" t="e">
        <f t="shared" si="102"/>
        <v>#N/A</v>
      </c>
      <c r="AE53" s="244" t="e">
        <f t="shared" si="103"/>
        <v>#N/A</v>
      </c>
      <c r="AF53" s="311" t="e">
        <f t="shared" si="71"/>
        <v>#N/A</v>
      </c>
      <c r="AG53" s="244" t="e">
        <f t="shared" si="104"/>
        <v>#N/A</v>
      </c>
      <c r="AH53" s="225" t="e">
        <f>IF(OR(W53="Cont",W53="CT"),VLOOKUP(R53,cthuc!$AQ$3:$AR$44,2,0),"")</f>
        <v>#N/A</v>
      </c>
      <c r="AI53" s="225" t="e">
        <f t="shared" si="105"/>
        <v>#N/A</v>
      </c>
      <c r="AJ53" s="225"/>
      <c r="AK53" s="225" t="e">
        <f t="shared" si="95"/>
        <v>#N/A</v>
      </c>
      <c r="AL53" s="225" t="str">
        <f t="shared" si="96"/>
        <v>548   + Nơi lấy:</v>
      </c>
      <c r="AM53" s="250">
        <f t="shared" si="25"/>
        <v>45490</v>
      </c>
      <c r="AN53" s="225" t="e">
        <f>IF(OR(W53="HS",W53="HP"),"",VLOOKUP(VLOOKUP(AL53,$B$8:$E$671,3,0),cthuc!$AO$3:$AP$142,2,0))</f>
        <v>#N/A</v>
      </c>
      <c r="AO53" s="225" t="e">
        <f t="shared" si="26"/>
        <v>#N/A</v>
      </c>
      <c r="AP53" s="225" t="e">
        <f t="shared" si="97"/>
        <v>#N/A</v>
      </c>
      <c r="AQ53" s="225" t="e">
        <f t="shared" si="98"/>
        <v>#N/A</v>
      </c>
      <c r="AR53" s="225" t="e">
        <f t="shared" si="99"/>
        <v>#N/A</v>
      </c>
      <c r="AS53" s="225">
        <v>1</v>
      </c>
      <c r="AT53" s="251" t="e">
        <f t="shared" si="100"/>
        <v>#N/A</v>
      </c>
      <c r="AV53" s="113" t="e">
        <f>VLOOKUP(BD53,giaroi!$D$6:$N$500,11,0)</f>
        <v>#N/A</v>
      </c>
      <c r="AW53" s="284">
        <f t="shared" si="31"/>
        <v>0</v>
      </c>
      <c r="AX53" s="113" t="s">
        <v>13222</v>
      </c>
      <c r="AY53" s="284" t="e">
        <f t="shared" si="32"/>
        <v>#N/A</v>
      </c>
      <c r="AZ53" s="225" t="e">
        <f t="shared" si="49"/>
        <v>#N/A</v>
      </c>
      <c r="BA53" s="127">
        <f t="shared" si="50"/>
        <v>0</v>
      </c>
      <c r="BB53" s="244">
        <f t="shared" si="51"/>
        <v>0</v>
      </c>
      <c r="BC53" s="225">
        <f t="shared" si="52"/>
        <v>0</v>
      </c>
      <c r="BD53" s="225" t="e">
        <f t="shared" si="53"/>
        <v>#N/A</v>
      </c>
      <c r="BE53" s="225" t="str">
        <f t="shared" si="54"/>
        <v>548   + Số lượng xe:</v>
      </c>
      <c r="BF53" s="225">
        <f t="shared" si="55"/>
        <v>0</v>
      </c>
      <c r="BG53" s="225" t="e">
        <f t="shared" si="56"/>
        <v>#N/A</v>
      </c>
      <c r="BH53" s="225" t="e">
        <f t="shared" si="57"/>
        <v>#N/A</v>
      </c>
      <c r="BI53" s="321" t="str">
        <f t="shared" si="58"/>
        <v/>
      </c>
      <c r="BJ53" s="284">
        <f t="shared" si="40"/>
        <v>0</v>
      </c>
      <c r="BK53" s="284" t="str">
        <f t="shared" si="7"/>
        <v/>
      </c>
      <c r="BL53" s="225" t="str">
        <f t="shared" si="41"/>
        <v>548   + Người ra lệnh:</v>
      </c>
      <c r="BM53" s="225">
        <f t="shared" si="42"/>
        <v>0</v>
      </c>
      <c r="BN53" s="113" t="e">
        <f>VLOOKUP(BM53,[1]Sheet1!$B$3:$C$604,2,0)</f>
        <v>#N/A</v>
      </c>
      <c r="BO53" s="113" t="str">
        <f t="shared" si="43"/>
        <v/>
      </c>
      <c r="BP53" s="351" t="str">
        <f t="shared" si="8"/>
        <v/>
      </c>
      <c r="BT53" s="113" t="str">
        <f t="shared" si="44"/>
        <v>, 4 xe của Đức Tín, 3 xe của Đức Tín, 1 xe của Đức Tín</v>
      </c>
      <c r="BU53" s="113" t="e">
        <f t="shared" si="45"/>
        <v>#N/A</v>
      </c>
      <c r="BV53" s="380" t="e">
        <f t="shared" si="46"/>
        <v>#N/A</v>
      </c>
      <c r="BW53" s="376" t="e">
        <f t="shared" si="47"/>
        <v>#N/A</v>
      </c>
    </row>
    <row r="54" spans="1:75" ht="15.6" x14ac:dyDescent="0.3">
      <c r="A54" s="113">
        <v>54</v>
      </c>
      <c r="B54" s="113" t="str">
        <f t="shared" si="94"/>
        <v>44+ Nâng gỗ   + Tiền đường:</v>
      </c>
      <c r="C54" t="s">
        <v>15072</v>
      </c>
      <c r="D54" t="s">
        <v>15072</v>
      </c>
      <c r="E54"/>
      <c r="F54" t="s">
        <v>15073</v>
      </c>
      <c r="G54" s="113" t="str">
        <f>CONCATENATE(A560,C560)</f>
        <v>560</v>
      </c>
      <c r="H54" s="113" t="str">
        <f t="shared" si="0"/>
        <v>560   + Trả cước:</v>
      </c>
      <c r="I54" s="113" t="str">
        <f t="shared" si="83"/>
        <v>560   + Nâng gỗ</v>
      </c>
      <c r="J54" s="113" t="str">
        <f t="shared" si="84"/>
        <v>560   + Nơi nhận</v>
      </c>
      <c r="K54" s="113" t="str">
        <f t="shared" si="85"/>
        <v>560   + Nơi trả:</v>
      </c>
      <c r="L54" s="115" t="str">
        <f t="shared" si="87"/>
        <v>560   + Tiền cước:</v>
      </c>
      <c r="M54" s="115" t="str">
        <f t="shared" si="88"/>
        <v>560   + Cont số:</v>
      </c>
      <c r="N54" s="115" t="str">
        <f t="shared" si="89"/>
        <v>560   + Tiền đường:</v>
      </c>
      <c r="O54" s="115" t="str">
        <f t="shared" si="90"/>
        <v>560   + Loại gỗ:</v>
      </c>
      <c r="P54" s="115" t="str">
        <f t="shared" si="91"/>
        <v>560   + Tiền cước:</v>
      </c>
      <c r="Q54" s="113" t="e">
        <f t="shared" si="13"/>
        <v>#N/A</v>
      </c>
      <c r="R54" s="225" t="e">
        <f>IF((RIGHT(G54,3)="rời"),VLOOKUP(RIGHT(Q54,9),[2]Khach_hangmoi!$J$3:$N$3854,2,0),LEFT(Q54,7))</f>
        <v>#N/A</v>
      </c>
      <c r="S54" s="225" t="e">
        <f>VLOOKUP(R54,[2]Khach_hangmoi!$A$3:$I$4325,2,0)</f>
        <v>#N/A</v>
      </c>
      <c r="T54" s="225" t="e">
        <f>IF(VLOOKUP(R54,[2]Khach_hangmoi!$A$3:$I$4325,5,0)=0,"",VLOOKUP(R54,[2]Khach_hangmoi!$A$3:$I$4325,5,0))</f>
        <v>#N/A</v>
      </c>
      <c r="U54" s="225" t="e">
        <f>VLOOKUP(R54,[2]Khach_hangmoi!$A$3:$I$4325,3,0)</f>
        <v>#N/A</v>
      </c>
      <c r="V54" s="225"/>
      <c r="W54" s="225" t="e">
        <f t="shared" si="92"/>
        <v>#N/A</v>
      </c>
      <c r="X54" s="225" t="e">
        <f>VLOOKUP(Y54,Hanghoa!$B$3:$E$1914,2,0)</f>
        <v>#N/A</v>
      </c>
      <c r="Y54" s="225" t="e">
        <f t="shared" si="93"/>
        <v>#N/A</v>
      </c>
      <c r="Z54" s="300"/>
      <c r="AA54" s="225" t="e">
        <f t="shared" si="76"/>
        <v>#N/A</v>
      </c>
      <c r="AB54" s="225" t="e">
        <f t="shared" si="101"/>
        <v>#N/A</v>
      </c>
      <c r="AC54" s="225"/>
      <c r="AD54" s="225" t="e">
        <f t="shared" si="102"/>
        <v>#N/A</v>
      </c>
      <c r="AE54" s="244" t="e">
        <f t="shared" si="103"/>
        <v>#N/A</v>
      </c>
      <c r="AF54" s="311" t="e">
        <f t="shared" si="71"/>
        <v>#N/A</v>
      </c>
      <c r="AG54" s="244" t="e">
        <f t="shared" si="104"/>
        <v>#N/A</v>
      </c>
      <c r="AH54" s="225" t="e">
        <f>IF(OR(W54="Cont",W54="CT"),VLOOKUP(R54,cthuc!$AQ$3:$AR$44,2,0),"")</f>
        <v>#N/A</v>
      </c>
      <c r="AI54" s="225" t="e">
        <f t="shared" si="105"/>
        <v>#N/A</v>
      </c>
      <c r="AJ54" s="225"/>
      <c r="AK54" s="225" t="e">
        <f t="shared" si="95"/>
        <v>#N/A</v>
      </c>
      <c r="AL54" s="225" t="str">
        <f t="shared" si="96"/>
        <v>560   + Nơi lấy:</v>
      </c>
      <c r="AM54" s="250">
        <f t="shared" si="25"/>
        <v>45490</v>
      </c>
      <c r="AN54" s="225" t="e">
        <f>IF(OR(W54="HS",W54="HP"),"",VLOOKUP(VLOOKUP(AL54,$B$8:$E$671,3,0),cthuc!$AO$3:$AP$142,2,0))</f>
        <v>#N/A</v>
      </c>
      <c r="AO54" s="225" t="e">
        <f t="shared" si="26"/>
        <v>#N/A</v>
      </c>
      <c r="AP54" s="225" t="e">
        <f t="shared" si="97"/>
        <v>#N/A</v>
      </c>
      <c r="AQ54" s="225" t="e">
        <f t="shared" si="98"/>
        <v>#N/A</v>
      </c>
      <c r="AR54" s="225" t="e">
        <f t="shared" si="99"/>
        <v>#N/A</v>
      </c>
      <c r="AS54" s="225">
        <v>1</v>
      </c>
      <c r="AT54" s="251" t="e">
        <f t="shared" si="100"/>
        <v>#N/A</v>
      </c>
      <c r="AV54" s="113" t="e">
        <f>VLOOKUP(BD54,giaroi!$D$6:$N$500,11,0)</f>
        <v>#N/A</v>
      </c>
      <c r="AW54" s="284">
        <f t="shared" si="31"/>
        <v>0</v>
      </c>
      <c r="AX54" s="113" t="s">
        <v>13223</v>
      </c>
      <c r="AY54" s="284" t="e">
        <f t="shared" si="32"/>
        <v>#N/A</v>
      </c>
      <c r="AZ54" s="225" t="e">
        <f t="shared" si="49"/>
        <v>#N/A</v>
      </c>
      <c r="BA54" s="127">
        <f t="shared" si="50"/>
        <v>0</v>
      </c>
      <c r="BB54" s="244">
        <f t="shared" si="51"/>
        <v>0</v>
      </c>
      <c r="BC54" s="225">
        <f t="shared" si="52"/>
        <v>0</v>
      </c>
      <c r="BD54" s="225" t="e">
        <f t="shared" si="53"/>
        <v>#N/A</v>
      </c>
      <c r="BE54" s="225" t="str">
        <f t="shared" si="54"/>
        <v>560   + Số lượng xe:</v>
      </c>
      <c r="BF54" s="225">
        <f t="shared" si="55"/>
        <v>0</v>
      </c>
      <c r="BG54" s="225" t="e">
        <f t="shared" si="56"/>
        <v>#N/A</v>
      </c>
      <c r="BH54" s="225" t="e">
        <f t="shared" si="57"/>
        <v>#N/A</v>
      </c>
      <c r="BI54" s="321" t="str">
        <f t="shared" si="58"/>
        <v/>
      </c>
      <c r="BJ54" s="284">
        <f t="shared" si="40"/>
        <v>0</v>
      </c>
      <c r="BK54" s="284" t="str">
        <f t="shared" si="7"/>
        <v/>
      </c>
      <c r="BL54" s="225" t="str">
        <f t="shared" si="41"/>
        <v>560   + Người ra lệnh:</v>
      </c>
      <c r="BM54" s="225">
        <f t="shared" si="42"/>
        <v>0</v>
      </c>
      <c r="BN54" s="113" t="e">
        <f>VLOOKUP(BM54,[1]Sheet1!$B$3:$C$604,2,0)</f>
        <v>#N/A</v>
      </c>
      <c r="BO54" s="113" t="str">
        <f t="shared" si="43"/>
        <v/>
      </c>
      <c r="BP54" s="351" t="str">
        <f t="shared" si="8"/>
        <v/>
      </c>
      <c r="BT54" s="113" t="str">
        <f t="shared" si="44"/>
        <v>, 4 xe của Đức Tín, 3 xe của Đức Tín, 1 xe của Đức Tín</v>
      </c>
      <c r="BU54" s="113" t="e">
        <f t="shared" si="45"/>
        <v>#N/A</v>
      </c>
      <c r="BV54" s="380" t="e">
        <f t="shared" si="46"/>
        <v>#N/A</v>
      </c>
      <c r="BW54" s="376" t="e">
        <f t="shared" si="47"/>
        <v>#N/A</v>
      </c>
    </row>
    <row r="55" spans="1:75" ht="15.6" x14ac:dyDescent="0.3">
      <c r="A55" s="113">
        <v>55</v>
      </c>
      <c r="B55" s="113" t="str">
        <f t="shared" si="94"/>
        <v>44+ Nâng gỗ</v>
      </c>
      <c r="C55"/>
      <c r="D55"/>
      <c r="E55"/>
      <c r="F55"/>
      <c r="G55" s="113" t="str">
        <f>CONCATENATE(A572,C572)</f>
        <v>572</v>
      </c>
      <c r="H55" s="113" t="str">
        <f t="shared" si="0"/>
        <v>572   + Trả cước:</v>
      </c>
      <c r="I55" s="113" t="str">
        <f t="shared" si="83"/>
        <v>572   + Nâng gỗ</v>
      </c>
      <c r="J55" s="113" t="str">
        <f t="shared" si="84"/>
        <v>572   + Nơi nhận</v>
      </c>
      <c r="K55" s="113" t="str">
        <f t="shared" si="85"/>
        <v>572   + Nơi trả:</v>
      </c>
      <c r="L55" s="115" t="str">
        <f t="shared" si="87"/>
        <v>572   + Tiền cước:</v>
      </c>
      <c r="M55" s="115" t="str">
        <f t="shared" si="88"/>
        <v>572   + Cont số:</v>
      </c>
      <c r="N55" s="115" t="str">
        <f t="shared" si="89"/>
        <v>572   + Tiền đường:</v>
      </c>
      <c r="O55" s="115" t="str">
        <f t="shared" si="90"/>
        <v>572   + Loại gỗ:</v>
      </c>
      <c r="P55" s="115" t="str">
        <f t="shared" si="91"/>
        <v>572   + Tiền cước:</v>
      </c>
      <c r="Q55" s="113" t="e">
        <f t="shared" si="13"/>
        <v>#N/A</v>
      </c>
      <c r="R55" s="225" t="e">
        <f>IF((RIGHT(G55,3)="rời"),VLOOKUP(RIGHT(Q55,9),[2]Khach_hangmoi!$J$3:$N$3854,2,0),LEFT(Q55,7))</f>
        <v>#N/A</v>
      </c>
      <c r="S55" s="225" t="e">
        <f>VLOOKUP(R55,[2]Khach_hangmoi!$A$3:$I$4325,2,0)</f>
        <v>#N/A</v>
      </c>
      <c r="T55" s="225" t="e">
        <f>IF(VLOOKUP(R55,[2]Khach_hangmoi!$A$3:$I$4325,5,0)=0,"",VLOOKUP(R55,[2]Khach_hangmoi!$A$3:$I$4325,5,0))</f>
        <v>#N/A</v>
      </c>
      <c r="U55" s="225" t="e">
        <f>VLOOKUP(R55,[2]Khach_hangmoi!$A$3:$I$4325,3,0)</f>
        <v>#N/A</v>
      </c>
      <c r="W55" s="225" t="e">
        <f t="shared" ref="W55:W63" si="106">IF(IF(IFERROR(FIND("Cont đường dài",N55),-1)&gt;0,"Cont",VLOOKUP(I55,$B$8:$E$870,3,0))="Hoàng Sơn","HS",IF(IF(IFERROR(FIND("Cont đường dài",N55),-1)&gt;0,"Cont",VLOOKUP(I55,$B$8:$E$870,3,0))="Hiệp Phương","HP",IF(IFERROR(FIND("Cont đường dài",N55),-1)&gt;0,"Cont",VLOOKUP(I55,$B$8:$E$870,3,0))))</f>
        <v>#N/A</v>
      </c>
      <c r="X55" s="225" t="e">
        <f>VLOOKUP(Y55,Hanghoa!$B$3:$E$1914,2,0)</f>
        <v>#N/A</v>
      </c>
      <c r="Y55" s="225" t="e">
        <f t="shared" ref="Y55:Y63" si="107">CONCATENATE("DKG&lt;-&gt;",VLOOKUP(K55,$B$8:$E$870,3,0))</f>
        <v>#N/A</v>
      </c>
      <c r="Z55" s="301"/>
      <c r="AA55" s="225" t="e">
        <f t="shared" ref="AA55:AA63" si="108">SUBSTITUTE(IF(IFERROR(FIND("Cont đường dài",N55),-1)&gt;0,MID(N55,FIND("Lô",N55),9),VLOOKUP(O55,$B$8:$E$870,3,0)),"Lô ","")</f>
        <v>#N/A</v>
      </c>
      <c r="AB55" s="225" t="e">
        <f t="shared" si="101"/>
        <v>#N/A</v>
      </c>
      <c r="AD55" s="225" t="e">
        <f t="shared" ref="AD55:AD63" si="109">SUBSTITUTE(CONCATENATE(VLOOKUP(M55,$B$8:$E$870,3,0),IFERROR(VLOOKUP(CONCATENATE(G55,"   + Lưu ý:"),$B$8:$E$870,3,0),"")),"   + Lưu ý:","")</f>
        <v>#N/A</v>
      </c>
      <c r="AE55" s="244" t="e">
        <f t="shared" ref="AE55:AE63" si="110">VALUE(IF(SUBSTITUTE(SUBSTITUTE(VLOOKUP(L55,$B$8:$E$870,3,0),",","")," đồng/cont","")-10000&lt;0,SUBSTITUTE(SUBSTITUTE(VLOOKUP(L55,$B$8:$E$870,3,0),",","")," đồng/cont","")*1000,SUBSTITUTE(SUBSTITUTE(VLOOKUP(L55,$B$8:$E$870,3,0),",","")," đồng/cont","")))</f>
        <v>#N/A</v>
      </c>
      <c r="AF55" s="311" t="e">
        <f t="shared" si="71"/>
        <v>#N/A</v>
      </c>
      <c r="AG55" s="244" t="e">
        <f t="shared" ref="AG55:AG63" si="111">VALUE(IF(W55="Cont",SUBSTITUTE(SUBSTITUTE(VLOOKUP(N55,$B$8:$E$870,3,0),",","")," đồng/xe",""),SUBSTITUTE(VLOOKUP(N55,$B$8:$E$870,3,0),",","")+100000))</f>
        <v>#N/A</v>
      </c>
      <c r="AH55" s="225" t="e">
        <f>IF(OR(W55="Cont",W55="CT"),VLOOKUP(R55,cthuc!$AQ$3:$AR$44,2,0),"")</f>
        <v>#N/A</v>
      </c>
      <c r="AI55" s="225" t="e">
        <f t="shared" ref="AI55:AI63" si="112">CONCATENATE(VLOOKUP(P55,$B$8:$E$870,3,0),VLOOKUP(P55,$B$8:$E$870,4,0))</f>
        <v>#N/A</v>
      </c>
      <c r="AK55" s="113" t="e">
        <f t="shared" si="95"/>
        <v>#N/A</v>
      </c>
      <c r="AL55" s="113" t="str">
        <f t="shared" si="96"/>
        <v>572   + Nơi lấy:</v>
      </c>
      <c r="AM55" s="250">
        <f t="shared" si="25"/>
        <v>45490</v>
      </c>
      <c r="AN55" s="225" t="e">
        <f>IF(OR(W55="HS",W55="HP"),"",VLOOKUP(VLOOKUP(AL55,$B$8:$E$671,3,0),cthuc!$AO$3:$AP$142,2,0))</f>
        <v>#N/A</v>
      </c>
      <c r="AO55" s="225" t="e">
        <f t="shared" ref="AO55:AO63" si="113">CONCATENATE("Cước vận chuyển đi ",VLOOKUP(K55,$B$8:$E$871,3,0))</f>
        <v>#N/A</v>
      </c>
      <c r="AP55" s="225" t="e">
        <f t="shared" si="97"/>
        <v>#N/A</v>
      </c>
      <c r="AQ55" s="225" t="e">
        <f t="shared" ref="AQ55:AQ63" si="114">VLOOKUP(CONCATENATE(G55,"   + NVKD:"),$B$8:$E$871,3,0)</f>
        <v>#N/A</v>
      </c>
      <c r="AR55" s="225" t="e">
        <f t="shared" si="99"/>
        <v>#N/A</v>
      </c>
      <c r="AS55" s="225">
        <v>1</v>
      </c>
      <c r="AT55" s="251" t="e">
        <f t="shared" si="100"/>
        <v>#N/A</v>
      </c>
      <c r="AV55" s="113" t="e">
        <f>VLOOKUP(BD55,giaroi!$D$6:$N$500,11,0)</f>
        <v>#N/A</v>
      </c>
      <c r="AW55" s="284">
        <f t="shared" ref="AW55:AW63" si="115">IFERROR(VALUE(MID(AI55,SEARCH("Phụ thu",AI55)+8,8)*1000),0)/1000</f>
        <v>0</v>
      </c>
      <c r="AX55" s="113" t="s">
        <v>13224</v>
      </c>
      <c r="AY55" s="284" t="e">
        <f t="shared" ref="AY55:AY63" si="116">IF(AR55="Cont",AT55,CONCATENATE("=",AT55,"+",AW55,"/",AX55))</f>
        <v>#N/A</v>
      </c>
      <c r="AZ55" s="225" t="e">
        <f t="shared" si="49"/>
        <v>#N/A</v>
      </c>
      <c r="BA55" s="127">
        <f t="shared" si="50"/>
        <v>0</v>
      </c>
      <c r="BB55" s="244">
        <f t="shared" si="51"/>
        <v>0</v>
      </c>
      <c r="BC55" s="225">
        <f t="shared" si="52"/>
        <v>0</v>
      </c>
      <c r="BD55" s="225" t="e">
        <f t="shared" si="53"/>
        <v>#N/A</v>
      </c>
      <c r="BE55" s="225" t="str">
        <f t="shared" si="54"/>
        <v>572   + Số lượng xe:</v>
      </c>
      <c r="BF55" s="225">
        <f t="shared" si="55"/>
        <v>0</v>
      </c>
      <c r="BG55" s="225" t="e">
        <f t="shared" si="56"/>
        <v>#N/A</v>
      </c>
      <c r="BH55" s="225" t="e">
        <f t="shared" si="57"/>
        <v>#N/A</v>
      </c>
      <c r="BI55" s="321" t="str">
        <f t="shared" si="58"/>
        <v/>
      </c>
      <c r="BJ55" s="284">
        <f t="shared" si="40"/>
        <v>0</v>
      </c>
      <c r="BK55" s="284" t="str">
        <f t="shared" si="7"/>
        <v/>
      </c>
      <c r="BL55" s="225" t="str">
        <f t="shared" si="41"/>
        <v>572   + Người ra lệnh:</v>
      </c>
      <c r="BM55" s="225">
        <f t="shared" si="42"/>
        <v>0</v>
      </c>
      <c r="BN55" s="113" t="e">
        <f>VLOOKUP(BM55,[1]Sheet1!$B$3:$C$604,2,0)</f>
        <v>#N/A</v>
      </c>
      <c r="BO55" s="113" t="str">
        <f t="shared" si="43"/>
        <v/>
      </c>
      <c r="BP55" s="351" t="str">
        <f t="shared" si="8"/>
        <v/>
      </c>
      <c r="BT55" s="113" t="str">
        <f t="shared" si="44"/>
        <v>, 4 xe của Đức Tín, 3 xe của Đức Tín, 1 xe của Đức Tín</v>
      </c>
      <c r="BU55" s="113" t="e">
        <f t="shared" si="45"/>
        <v>#N/A</v>
      </c>
      <c r="BV55" s="380" t="e">
        <f t="shared" si="46"/>
        <v>#N/A</v>
      </c>
      <c r="BW55" s="376" t="e">
        <f t="shared" si="47"/>
        <v>#N/A</v>
      </c>
    </row>
    <row r="56" spans="1:75" ht="15.6" x14ac:dyDescent="0.3">
      <c r="A56" s="113">
        <v>56</v>
      </c>
      <c r="C56" t="s">
        <v>15121</v>
      </c>
      <c r="D56" t="s">
        <v>15121</v>
      </c>
      <c r="E56"/>
      <c r="F56"/>
      <c r="G56" s="113" t="str">
        <f>CONCATENATE(A584,C584)</f>
        <v>584</v>
      </c>
      <c r="H56" s="113" t="str">
        <f t="shared" si="0"/>
        <v>584   + Trả cước:</v>
      </c>
      <c r="I56" s="113" t="str">
        <f t="shared" si="83"/>
        <v>584   + Nâng gỗ</v>
      </c>
      <c r="J56" s="113" t="str">
        <f t="shared" si="84"/>
        <v>584   + Nơi nhận</v>
      </c>
      <c r="K56" s="113" t="str">
        <f t="shared" si="85"/>
        <v>584   + Nơi trả:</v>
      </c>
      <c r="L56" s="115" t="str">
        <f t="shared" si="87"/>
        <v>584   + Tiền cước:</v>
      </c>
      <c r="M56" s="115" t="str">
        <f t="shared" si="88"/>
        <v>584   + Cont số:</v>
      </c>
      <c r="N56" s="115" t="str">
        <f t="shared" si="89"/>
        <v>584   + Tiền đường:</v>
      </c>
      <c r="O56" s="115" t="str">
        <f t="shared" si="90"/>
        <v>584   + Loại gỗ:</v>
      </c>
      <c r="P56" s="115" t="str">
        <f t="shared" si="91"/>
        <v>584   + Tiền cước:</v>
      </c>
      <c r="Q56" s="113" t="e">
        <f t="shared" si="13"/>
        <v>#N/A</v>
      </c>
      <c r="R56" s="225" t="e">
        <f>IF((RIGHT(G56,3)="rời"),VLOOKUP(RIGHT(Q56,9),[2]Khach_hangmoi!$J$3:$N$3854,2,0),LEFT(Q56,7))</f>
        <v>#N/A</v>
      </c>
      <c r="S56" s="225" t="e">
        <f>VLOOKUP(R56,[2]Khach_hangmoi!$A$3:$I$4325,2,0)</f>
        <v>#N/A</v>
      </c>
      <c r="T56" s="225" t="e">
        <f>IF(VLOOKUP(R56,[2]Khach_hangmoi!$A$3:$I$4325,5,0)=0,"",VLOOKUP(R56,[2]Khach_hangmoi!$A$3:$I$4325,5,0))</f>
        <v>#N/A</v>
      </c>
      <c r="U56" s="225" t="e">
        <f>VLOOKUP(R56,[2]Khach_hangmoi!$A$3:$I$4325,3,0)</f>
        <v>#N/A</v>
      </c>
      <c r="W56" s="225" t="e">
        <f t="shared" si="106"/>
        <v>#N/A</v>
      </c>
      <c r="X56" s="225" t="e">
        <f>VLOOKUP(Y56,Hanghoa!$B$3:$E$1914,2,0)</f>
        <v>#N/A</v>
      </c>
      <c r="Y56" s="225" t="e">
        <f t="shared" si="107"/>
        <v>#N/A</v>
      </c>
      <c r="Z56" s="301"/>
      <c r="AA56" s="225" t="e">
        <f t="shared" si="108"/>
        <v>#N/A</v>
      </c>
      <c r="AB56" s="225" t="e">
        <f t="shared" si="101"/>
        <v>#N/A</v>
      </c>
      <c r="AD56" s="225" t="e">
        <f t="shared" si="109"/>
        <v>#N/A</v>
      </c>
      <c r="AE56" s="244" t="e">
        <f t="shared" si="110"/>
        <v>#N/A</v>
      </c>
      <c r="AF56" s="311" t="e">
        <f t="shared" si="71"/>
        <v>#N/A</v>
      </c>
      <c r="AG56" s="244" t="e">
        <f t="shared" si="111"/>
        <v>#N/A</v>
      </c>
      <c r="AH56" s="225" t="e">
        <f>IF(OR(W56="Cont",W56="CT"),VLOOKUP(R56,cthuc!$AQ$3:$AR$44,2,0),"")</f>
        <v>#N/A</v>
      </c>
      <c r="AI56" s="225" t="e">
        <f t="shared" si="112"/>
        <v>#N/A</v>
      </c>
      <c r="AK56" s="113" t="e">
        <f t="shared" si="95"/>
        <v>#N/A</v>
      </c>
      <c r="AL56" s="113" t="str">
        <f t="shared" si="96"/>
        <v>584   + Nơi lấy:</v>
      </c>
      <c r="AM56" s="250">
        <f t="shared" si="25"/>
        <v>45490</v>
      </c>
      <c r="AN56" s="225" t="e">
        <f>IF(OR(W56="HS",W56="HP"),"",VLOOKUP(VLOOKUP(AL56,$B$8:$E$671,3,0),cthuc!$AO$3:$AP$142,2,0))</f>
        <v>#N/A</v>
      </c>
      <c r="AO56" s="225" t="e">
        <f t="shared" si="113"/>
        <v>#N/A</v>
      </c>
      <c r="AP56" s="225" t="e">
        <f t="shared" si="97"/>
        <v>#N/A</v>
      </c>
      <c r="AQ56" s="225" t="e">
        <f t="shared" si="114"/>
        <v>#N/A</v>
      </c>
      <c r="AR56" s="225" t="e">
        <f t="shared" si="99"/>
        <v>#N/A</v>
      </c>
      <c r="AS56" s="225">
        <v>1</v>
      </c>
      <c r="AT56" s="251" t="e">
        <f t="shared" si="100"/>
        <v>#N/A</v>
      </c>
      <c r="AV56" s="113" t="e">
        <f>VLOOKUP(BD56,giaroi!$D$6:$N$500,11,0)</f>
        <v>#N/A</v>
      </c>
      <c r="AW56" s="284">
        <f t="shared" si="115"/>
        <v>0</v>
      </c>
      <c r="AX56" s="113" t="s">
        <v>13225</v>
      </c>
      <c r="AY56" s="284" t="e">
        <f t="shared" si="116"/>
        <v>#N/A</v>
      </c>
      <c r="AZ56" s="225" t="e">
        <f t="shared" si="49"/>
        <v>#N/A</v>
      </c>
      <c r="BA56" s="127">
        <f t="shared" si="50"/>
        <v>0</v>
      </c>
      <c r="BB56" s="244">
        <f t="shared" si="51"/>
        <v>0</v>
      </c>
      <c r="BC56" s="225">
        <f t="shared" si="52"/>
        <v>0</v>
      </c>
      <c r="BD56" s="225" t="e">
        <f t="shared" si="53"/>
        <v>#N/A</v>
      </c>
      <c r="BE56" s="225" t="str">
        <f t="shared" si="54"/>
        <v>584   + Số lượng xe:</v>
      </c>
      <c r="BF56" s="225">
        <f t="shared" si="55"/>
        <v>0</v>
      </c>
      <c r="BG56" s="225" t="e">
        <f t="shared" si="56"/>
        <v>#N/A</v>
      </c>
      <c r="BH56" s="225" t="e">
        <f t="shared" si="57"/>
        <v>#N/A</v>
      </c>
      <c r="BI56" s="321" t="str">
        <f t="shared" si="58"/>
        <v/>
      </c>
      <c r="BJ56" s="284">
        <f t="shared" si="40"/>
        <v>0</v>
      </c>
      <c r="BK56" s="284" t="str">
        <f t="shared" si="7"/>
        <v/>
      </c>
      <c r="BL56" s="225" t="str">
        <f t="shared" si="41"/>
        <v>584   + Người ra lệnh:</v>
      </c>
      <c r="BM56" s="225">
        <f t="shared" si="42"/>
        <v>0</v>
      </c>
      <c r="BN56" s="113" t="e">
        <f>VLOOKUP(BM56,[1]Sheet1!$B$3:$C$604,2,0)</f>
        <v>#N/A</v>
      </c>
      <c r="BO56" s="113" t="str">
        <f t="shared" si="43"/>
        <v/>
      </c>
      <c r="BP56" s="351" t="str">
        <f t="shared" si="8"/>
        <v/>
      </c>
      <c r="BT56" s="113" t="str">
        <f t="shared" si="44"/>
        <v>, 4 xe của Đức Tín, 3 xe của Đức Tín, 1 xe của Đức Tín</v>
      </c>
      <c r="BU56" s="113" t="e">
        <f t="shared" si="45"/>
        <v>#N/A</v>
      </c>
      <c r="BV56" s="380" t="e">
        <f t="shared" si="46"/>
        <v>#N/A</v>
      </c>
      <c r="BW56" s="376" t="e">
        <f t="shared" si="47"/>
        <v>#N/A</v>
      </c>
    </row>
    <row r="57" spans="1:75" ht="15.6" x14ac:dyDescent="0.3">
      <c r="A57" s="113">
        <v>57</v>
      </c>
      <c r="B57" s="113" t="str">
        <f>CONCATENATE($A$56,$C$56,C57)</f>
        <v>56Gỗ rời   + Nâng gỗ</v>
      </c>
      <c r="C57" t="s">
        <v>15055</v>
      </c>
      <c r="D57" t="s">
        <v>232</v>
      </c>
      <c r="E57"/>
      <c r="F57"/>
      <c r="G57" s="113" t="str">
        <f>CONCATENATE(A596,C596)</f>
        <v>596</v>
      </c>
      <c r="H57" s="113" t="str">
        <f t="shared" si="0"/>
        <v>596   + Trả cước:</v>
      </c>
      <c r="I57" s="113" t="str">
        <f t="shared" si="83"/>
        <v>596   + Nâng gỗ</v>
      </c>
      <c r="J57" s="113" t="str">
        <f t="shared" si="84"/>
        <v>596   + Nơi nhận</v>
      </c>
      <c r="K57" s="113" t="str">
        <f t="shared" si="85"/>
        <v>596   + Nơi trả:</v>
      </c>
      <c r="L57" s="115" t="str">
        <f t="shared" si="87"/>
        <v>596   + Tiền cước:</v>
      </c>
      <c r="M57" s="115" t="str">
        <f t="shared" si="88"/>
        <v>596   + Cont số:</v>
      </c>
      <c r="N57" s="115" t="str">
        <f t="shared" si="89"/>
        <v>596   + Tiền đường:</v>
      </c>
      <c r="O57" s="115" t="str">
        <f t="shared" si="90"/>
        <v>596   + Loại gỗ:</v>
      </c>
      <c r="P57" s="115" t="str">
        <f t="shared" si="91"/>
        <v>596   + Tiền cước:</v>
      </c>
      <c r="Q57" s="113" t="e">
        <f t="shared" si="13"/>
        <v>#N/A</v>
      </c>
      <c r="R57" s="225" t="e">
        <f>IF((RIGHT(G57,3)="rời"),VLOOKUP(RIGHT(Q57,9),[2]Khach_hangmoi!$J$3:$N$3854,2,0),LEFT(Q57,7))</f>
        <v>#N/A</v>
      </c>
      <c r="S57" s="225" t="e">
        <f>VLOOKUP(R57,[2]Khach_hangmoi!$A$3:$I$4325,2,0)</f>
        <v>#N/A</v>
      </c>
      <c r="T57" s="225" t="e">
        <f>IF(VLOOKUP(R57,[2]Khach_hangmoi!$A$3:$I$4325,5,0)=0,"",VLOOKUP(R57,[2]Khach_hangmoi!$A$3:$I$4325,5,0))</f>
        <v>#N/A</v>
      </c>
      <c r="U57" s="225" t="e">
        <f>VLOOKUP(R57,[2]Khach_hangmoi!$A$3:$I$4325,3,0)</f>
        <v>#N/A</v>
      </c>
      <c r="W57" s="225" t="e">
        <f t="shared" si="106"/>
        <v>#N/A</v>
      </c>
      <c r="X57" s="225" t="e">
        <f>VLOOKUP(Y57,Hanghoa!$B$3:$E$1914,2,0)</f>
        <v>#N/A</v>
      </c>
      <c r="Y57" s="225" t="e">
        <f t="shared" si="107"/>
        <v>#N/A</v>
      </c>
      <c r="Z57" s="301"/>
      <c r="AA57" s="225" t="e">
        <f t="shared" si="108"/>
        <v>#N/A</v>
      </c>
      <c r="AB57" s="225" t="e">
        <f t="shared" si="101"/>
        <v>#N/A</v>
      </c>
      <c r="AD57" s="225" t="e">
        <f t="shared" si="109"/>
        <v>#N/A</v>
      </c>
      <c r="AE57" s="244" t="e">
        <f t="shared" si="110"/>
        <v>#N/A</v>
      </c>
      <c r="AF57" s="311" t="e">
        <f t="shared" si="71"/>
        <v>#N/A</v>
      </c>
      <c r="AG57" s="244" t="e">
        <f t="shared" si="111"/>
        <v>#N/A</v>
      </c>
      <c r="AH57" s="225" t="e">
        <f>IF(OR(W57="Cont",W57="CT"),VLOOKUP(R57,cthuc!$AQ$3:$AR$44,2,0),"")</f>
        <v>#N/A</v>
      </c>
      <c r="AI57" s="225" t="e">
        <f t="shared" si="112"/>
        <v>#N/A</v>
      </c>
      <c r="AK57" s="113" t="e">
        <f t="shared" si="95"/>
        <v>#N/A</v>
      </c>
      <c r="AL57" s="113" t="str">
        <f t="shared" si="96"/>
        <v>596   + Nơi lấy:</v>
      </c>
      <c r="AM57" s="250">
        <f t="shared" si="25"/>
        <v>45490</v>
      </c>
      <c r="AN57" s="225" t="e">
        <f>IF(OR(W57="HS",W57="HP"),"",VLOOKUP(VLOOKUP(AL57,$B$8:$E$671,3,0),cthuc!$AO$3:$AP$142,2,0))</f>
        <v>#N/A</v>
      </c>
      <c r="AO57" s="225" t="e">
        <f t="shared" si="113"/>
        <v>#N/A</v>
      </c>
      <c r="AP57" s="225" t="e">
        <f t="shared" si="97"/>
        <v>#N/A</v>
      </c>
      <c r="AQ57" s="225" t="e">
        <f t="shared" si="114"/>
        <v>#N/A</v>
      </c>
      <c r="AR57" s="225" t="e">
        <f t="shared" si="99"/>
        <v>#N/A</v>
      </c>
      <c r="AS57" s="225">
        <v>1</v>
      </c>
      <c r="AT57" s="251" t="e">
        <f t="shared" si="100"/>
        <v>#N/A</v>
      </c>
      <c r="AV57" s="113" t="e">
        <f>VLOOKUP(BD57,giaroi!$D$6:$N$500,11,0)</f>
        <v>#N/A</v>
      </c>
      <c r="AW57" s="284">
        <f t="shared" si="115"/>
        <v>0</v>
      </c>
      <c r="AX57" s="113" t="s">
        <v>13227</v>
      </c>
      <c r="AY57" s="284" t="e">
        <f t="shared" si="116"/>
        <v>#N/A</v>
      </c>
      <c r="AZ57" s="225" t="e">
        <f t="shared" si="49"/>
        <v>#N/A</v>
      </c>
      <c r="BA57" s="127">
        <f t="shared" si="50"/>
        <v>0</v>
      </c>
      <c r="BB57" s="244">
        <f t="shared" si="51"/>
        <v>0</v>
      </c>
      <c r="BC57" s="225">
        <f t="shared" si="52"/>
        <v>0</v>
      </c>
      <c r="BD57" s="225" t="e">
        <f t="shared" si="53"/>
        <v>#N/A</v>
      </c>
      <c r="BE57" s="225" t="str">
        <f t="shared" si="54"/>
        <v>596   + Số lượng xe:</v>
      </c>
      <c r="BF57" s="225">
        <f t="shared" si="55"/>
        <v>0</v>
      </c>
      <c r="BG57" s="225" t="e">
        <f t="shared" si="56"/>
        <v>#N/A</v>
      </c>
      <c r="BH57" s="225" t="e">
        <f t="shared" si="57"/>
        <v>#N/A</v>
      </c>
      <c r="BI57" s="321" t="str">
        <f t="shared" si="58"/>
        <v/>
      </c>
      <c r="BJ57" s="284">
        <f t="shared" si="40"/>
        <v>0</v>
      </c>
      <c r="BK57" s="284" t="str">
        <f t="shared" si="7"/>
        <v/>
      </c>
      <c r="BL57" s="225" t="str">
        <f t="shared" si="41"/>
        <v>596   + Người ra lệnh:</v>
      </c>
      <c r="BM57" s="225">
        <f t="shared" si="42"/>
        <v>0</v>
      </c>
      <c r="BN57" s="113" t="e">
        <f>VLOOKUP(BM57,[1]Sheet1!$B$3:$C$604,2,0)</f>
        <v>#N/A</v>
      </c>
      <c r="BO57" s="113" t="str">
        <f t="shared" si="43"/>
        <v/>
      </c>
      <c r="BP57" s="351" t="str">
        <f t="shared" si="8"/>
        <v/>
      </c>
      <c r="BT57" s="113" t="str">
        <f t="shared" si="44"/>
        <v>, 4 xe của Đức Tín, 3 xe của Đức Tín, 1 xe của Đức Tín</v>
      </c>
      <c r="BU57" s="113" t="e">
        <f t="shared" si="45"/>
        <v>#N/A</v>
      </c>
      <c r="BV57" s="380" t="e">
        <f t="shared" si="46"/>
        <v>#N/A</v>
      </c>
      <c r="BW57" s="376" t="e">
        <f t="shared" si="47"/>
        <v>#N/A</v>
      </c>
    </row>
    <row r="58" spans="1:75" ht="15.6" x14ac:dyDescent="0.3">
      <c r="A58" s="113">
        <v>58</v>
      </c>
      <c r="B58" s="113" t="str">
        <f t="shared" ref="B58:B67" si="117">CONCATENATE($A$56,$C$56,C58)</f>
        <v>56Gỗ rời   + Người ra lệnh:</v>
      </c>
      <c r="C58" t="s">
        <v>15056</v>
      </c>
      <c r="D58" t="s">
        <v>15075</v>
      </c>
      <c r="E58"/>
      <c r="F58"/>
      <c r="G58" s="113" t="str">
        <f>CONCATENATE(A608,C608)</f>
        <v>608</v>
      </c>
      <c r="H58" s="113" t="str">
        <f t="shared" si="0"/>
        <v>608   + Trả cước:</v>
      </c>
      <c r="I58" s="113" t="str">
        <f t="shared" si="83"/>
        <v>608   + Nâng gỗ</v>
      </c>
      <c r="J58" s="113" t="str">
        <f t="shared" si="84"/>
        <v>608   + Nơi nhận</v>
      </c>
      <c r="K58" s="113" t="str">
        <f t="shared" si="85"/>
        <v>608   + Nơi trả:</v>
      </c>
      <c r="L58" s="115" t="str">
        <f t="shared" si="87"/>
        <v>608   + Tiền cước:</v>
      </c>
      <c r="M58" s="115" t="str">
        <f t="shared" si="88"/>
        <v>608   + Cont số:</v>
      </c>
      <c r="N58" s="115" t="str">
        <f t="shared" si="89"/>
        <v>608   + Tiền đường:</v>
      </c>
      <c r="O58" s="115" t="str">
        <f t="shared" si="90"/>
        <v>608   + Loại gỗ:</v>
      </c>
      <c r="P58" s="115" t="str">
        <f t="shared" si="91"/>
        <v>608   + Tiền cước:</v>
      </c>
      <c r="Q58" s="113" t="e">
        <f t="shared" si="13"/>
        <v>#N/A</v>
      </c>
      <c r="R58" s="225" t="e">
        <f>IF((RIGHT(G58,3)="rời"),VLOOKUP(RIGHT(Q58,9),[2]Khach_hangmoi!$J$3:$N$3854,2,0),LEFT(Q58,7))</f>
        <v>#N/A</v>
      </c>
      <c r="S58" s="225" t="e">
        <f>VLOOKUP(R58,[2]Khach_hangmoi!$A$3:$I$4325,2,0)</f>
        <v>#N/A</v>
      </c>
      <c r="T58" s="225" t="e">
        <f>IF(VLOOKUP(R58,[2]Khach_hangmoi!$A$3:$I$4325,5,0)=0,"",VLOOKUP(R58,[2]Khach_hangmoi!$A$3:$I$4325,5,0))</f>
        <v>#N/A</v>
      </c>
      <c r="U58" s="225" t="e">
        <f>VLOOKUP(R58,[2]Khach_hangmoi!$A$3:$I$4325,3,0)</f>
        <v>#N/A</v>
      </c>
      <c r="W58" s="225" t="e">
        <f t="shared" si="106"/>
        <v>#N/A</v>
      </c>
      <c r="X58" s="225" t="e">
        <f>VLOOKUP(Y58,Hanghoa!$B$3:$E$1914,2,0)</f>
        <v>#N/A</v>
      </c>
      <c r="Y58" s="225" t="e">
        <f t="shared" si="107"/>
        <v>#N/A</v>
      </c>
      <c r="Z58" s="301"/>
      <c r="AA58" s="225" t="e">
        <f t="shared" si="108"/>
        <v>#N/A</v>
      </c>
      <c r="AB58" s="225" t="e">
        <f t="shared" si="101"/>
        <v>#N/A</v>
      </c>
      <c r="AD58" s="225" t="e">
        <f t="shared" si="109"/>
        <v>#N/A</v>
      </c>
      <c r="AE58" s="244" t="e">
        <f t="shared" si="110"/>
        <v>#N/A</v>
      </c>
      <c r="AF58" s="311" t="e">
        <f t="shared" si="71"/>
        <v>#N/A</v>
      </c>
      <c r="AG58" s="244" t="e">
        <f t="shared" si="111"/>
        <v>#N/A</v>
      </c>
      <c r="AH58" s="225" t="e">
        <f>IF(OR(W58="Cont",W58="CT"),VLOOKUP(R58,cthuc!$AQ$3:$AR$44,2,0),"")</f>
        <v>#N/A</v>
      </c>
      <c r="AI58" s="225" t="e">
        <f t="shared" si="112"/>
        <v>#N/A</v>
      </c>
      <c r="AK58" s="113" t="e">
        <f t="shared" si="95"/>
        <v>#N/A</v>
      </c>
      <c r="AL58" s="113" t="str">
        <f t="shared" si="96"/>
        <v>608   + Nơi lấy:</v>
      </c>
      <c r="AM58" s="250">
        <f t="shared" si="25"/>
        <v>45490</v>
      </c>
      <c r="AN58" s="225" t="e">
        <f>IF(OR(W58="HS",W58="HP"),"",VLOOKUP(VLOOKUP(AL58,$B$8:$E$671,3,0),cthuc!$AO$3:$AP$142,2,0))</f>
        <v>#N/A</v>
      </c>
      <c r="AO58" s="225" t="e">
        <f t="shared" si="113"/>
        <v>#N/A</v>
      </c>
      <c r="AP58" s="225" t="e">
        <f t="shared" si="97"/>
        <v>#N/A</v>
      </c>
      <c r="AQ58" s="225" t="e">
        <f t="shared" si="114"/>
        <v>#N/A</v>
      </c>
      <c r="AR58" s="225" t="e">
        <f t="shared" si="99"/>
        <v>#N/A</v>
      </c>
      <c r="AS58" s="225">
        <v>1</v>
      </c>
      <c r="AT58" s="251" t="e">
        <f t="shared" si="100"/>
        <v>#N/A</v>
      </c>
      <c r="AV58" s="113" t="e">
        <f>VLOOKUP(BD58,giaroi!$D$6:$N$500,11,0)</f>
        <v>#N/A</v>
      </c>
      <c r="AW58" s="284">
        <f t="shared" si="115"/>
        <v>0</v>
      </c>
      <c r="AX58" s="113" t="s">
        <v>13228</v>
      </c>
      <c r="AY58" s="284" t="e">
        <f t="shared" si="116"/>
        <v>#N/A</v>
      </c>
      <c r="AZ58" s="225" t="e">
        <f t="shared" si="49"/>
        <v>#N/A</v>
      </c>
      <c r="BA58" s="127">
        <f t="shared" si="50"/>
        <v>0</v>
      </c>
      <c r="BB58" s="244">
        <f t="shared" si="51"/>
        <v>0</v>
      </c>
      <c r="BC58" s="225">
        <f t="shared" si="52"/>
        <v>0</v>
      </c>
      <c r="BD58" s="225" t="e">
        <f t="shared" si="53"/>
        <v>#N/A</v>
      </c>
      <c r="BE58" s="225" t="str">
        <f t="shared" si="54"/>
        <v>608   + Số lượng xe:</v>
      </c>
      <c r="BF58" s="225">
        <f t="shared" si="55"/>
        <v>0</v>
      </c>
      <c r="BG58" s="225" t="e">
        <f t="shared" si="56"/>
        <v>#N/A</v>
      </c>
      <c r="BH58" s="225" t="e">
        <f t="shared" si="57"/>
        <v>#N/A</v>
      </c>
      <c r="BI58" s="321" t="str">
        <f t="shared" si="58"/>
        <v/>
      </c>
      <c r="BJ58" s="284">
        <f t="shared" si="40"/>
        <v>0</v>
      </c>
      <c r="BK58" s="284" t="str">
        <f t="shared" si="7"/>
        <v/>
      </c>
      <c r="BL58" s="225" t="str">
        <f t="shared" si="41"/>
        <v>608   + Người ra lệnh:</v>
      </c>
      <c r="BM58" s="225">
        <f t="shared" si="42"/>
        <v>0</v>
      </c>
      <c r="BN58" s="113" t="e">
        <f>VLOOKUP(BM58,[1]Sheet1!$B$3:$C$604,2,0)</f>
        <v>#N/A</v>
      </c>
      <c r="BO58" s="113" t="str">
        <f t="shared" si="43"/>
        <v/>
      </c>
      <c r="BP58" s="351" t="str">
        <f t="shared" si="8"/>
        <v/>
      </c>
      <c r="BT58" s="113" t="str">
        <f t="shared" si="44"/>
        <v>, 4 xe của Đức Tín, 3 xe của Đức Tín, 1 xe của Đức Tín</v>
      </c>
      <c r="BU58" s="113" t="e">
        <f t="shared" si="45"/>
        <v>#N/A</v>
      </c>
      <c r="BV58" s="380" t="e">
        <f t="shared" si="46"/>
        <v>#N/A</v>
      </c>
      <c r="BW58" s="376" t="e">
        <f t="shared" si="47"/>
        <v>#N/A</v>
      </c>
    </row>
    <row r="59" spans="1:75" ht="15.6" x14ac:dyDescent="0.3">
      <c r="A59" s="113">
        <v>59</v>
      </c>
      <c r="B59" s="113" t="str">
        <f t="shared" si="117"/>
        <v>56Gỗ rời   + Loại gỗ:</v>
      </c>
      <c r="C59" t="s">
        <v>15058</v>
      </c>
      <c r="D59" t="s">
        <v>15092</v>
      </c>
      <c r="E59" s="128"/>
      <c r="F59"/>
      <c r="G59" s="113" t="str">
        <f>CONCATENATE(A620,C620)</f>
        <v>620</v>
      </c>
      <c r="H59" s="113" t="str">
        <f t="shared" si="0"/>
        <v>620   + Trả cước:</v>
      </c>
      <c r="I59" s="113" t="str">
        <f t="shared" si="83"/>
        <v>620   + Nâng gỗ</v>
      </c>
      <c r="J59" s="113" t="str">
        <f t="shared" si="84"/>
        <v>620   + Nơi nhận</v>
      </c>
      <c r="K59" s="113" t="str">
        <f t="shared" si="85"/>
        <v>620   + Nơi trả:</v>
      </c>
      <c r="L59" s="115" t="str">
        <f t="shared" si="87"/>
        <v>620   + Tiền cước:</v>
      </c>
      <c r="M59" s="115" t="str">
        <f t="shared" si="88"/>
        <v>620   + Cont số:</v>
      </c>
      <c r="N59" s="115" t="str">
        <f t="shared" si="89"/>
        <v>620   + Tiền đường:</v>
      </c>
      <c r="O59" s="115" t="str">
        <f t="shared" si="90"/>
        <v>620   + Loại gỗ:</v>
      </c>
      <c r="P59" s="115" t="str">
        <f t="shared" si="91"/>
        <v>620   + Tiền cước:</v>
      </c>
      <c r="Q59" s="113" t="e">
        <f t="shared" si="13"/>
        <v>#N/A</v>
      </c>
      <c r="R59" s="225" t="e">
        <f>IF((RIGHT(G59,3)="rời"),VLOOKUP(RIGHT(Q59,9),[2]Khach_hangmoi!$J$3:$N$3854,2,0),LEFT(Q59,7))</f>
        <v>#N/A</v>
      </c>
      <c r="S59" s="225" t="e">
        <f>VLOOKUP(R59,[2]Khach_hangmoi!$A$3:$I$4325,2,0)</f>
        <v>#N/A</v>
      </c>
      <c r="T59" s="225" t="e">
        <f>IF(VLOOKUP(R59,[2]Khach_hangmoi!$A$3:$I$4325,5,0)=0,"",VLOOKUP(R59,[2]Khach_hangmoi!$A$3:$I$4325,5,0))</f>
        <v>#N/A</v>
      </c>
      <c r="U59" s="225" t="e">
        <f>VLOOKUP(R59,[2]Khach_hangmoi!$A$3:$I$4325,3,0)</f>
        <v>#N/A</v>
      </c>
      <c r="W59" s="225" t="e">
        <f t="shared" si="106"/>
        <v>#N/A</v>
      </c>
      <c r="X59" s="225" t="e">
        <f>VLOOKUP(Y59,Hanghoa!$B$3:$E$1914,2,0)</f>
        <v>#N/A</v>
      </c>
      <c r="Y59" s="225" t="e">
        <f t="shared" si="107"/>
        <v>#N/A</v>
      </c>
      <c r="Z59" s="301"/>
      <c r="AA59" s="225" t="e">
        <f t="shared" si="108"/>
        <v>#N/A</v>
      </c>
      <c r="AB59" s="225" t="e">
        <f t="shared" si="101"/>
        <v>#N/A</v>
      </c>
      <c r="AD59" s="225" t="e">
        <f t="shared" si="109"/>
        <v>#N/A</v>
      </c>
      <c r="AE59" s="244" t="e">
        <f t="shared" si="110"/>
        <v>#N/A</v>
      </c>
      <c r="AF59" s="311" t="e">
        <f t="shared" si="71"/>
        <v>#N/A</v>
      </c>
      <c r="AG59" s="244" t="e">
        <f t="shared" si="111"/>
        <v>#N/A</v>
      </c>
      <c r="AH59" s="225" t="e">
        <f>IF(OR(W59="Cont",W59="CT"),VLOOKUP(R59,cthuc!$AQ$3:$AR$44,2,0),"")</f>
        <v>#N/A</v>
      </c>
      <c r="AI59" s="225" t="e">
        <f t="shared" si="112"/>
        <v>#N/A</v>
      </c>
      <c r="AK59" s="113" t="e">
        <f t="shared" si="95"/>
        <v>#N/A</v>
      </c>
      <c r="AL59" s="113" t="str">
        <f t="shared" si="96"/>
        <v>620   + Nơi lấy:</v>
      </c>
      <c r="AM59" s="250">
        <f t="shared" si="25"/>
        <v>45490</v>
      </c>
      <c r="AN59" s="225" t="e">
        <f>IF(OR(W59="HS",W59="HP"),"",VLOOKUP(VLOOKUP(AL59,$B$8:$E$671,3,0),cthuc!$AO$3:$AP$142,2,0))</f>
        <v>#N/A</v>
      </c>
      <c r="AO59" s="225" t="e">
        <f t="shared" si="113"/>
        <v>#N/A</v>
      </c>
      <c r="AP59" s="225" t="e">
        <f t="shared" si="97"/>
        <v>#N/A</v>
      </c>
      <c r="AQ59" s="225" t="e">
        <f t="shared" si="114"/>
        <v>#N/A</v>
      </c>
      <c r="AR59" s="225" t="e">
        <f t="shared" si="99"/>
        <v>#N/A</v>
      </c>
      <c r="AS59" s="225">
        <v>1</v>
      </c>
      <c r="AT59" s="251" t="e">
        <f t="shared" si="100"/>
        <v>#N/A</v>
      </c>
      <c r="AV59" s="113" t="e">
        <f>VLOOKUP(BD59,giaroi!$D$6:$N$500,11,0)</f>
        <v>#N/A</v>
      </c>
      <c r="AW59" s="284">
        <f t="shared" si="115"/>
        <v>0</v>
      </c>
      <c r="AX59" s="113" t="s">
        <v>13229</v>
      </c>
      <c r="AY59" s="284" t="e">
        <f t="shared" si="116"/>
        <v>#N/A</v>
      </c>
      <c r="AZ59" s="225" t="e">
        <f t="shared" si="49"/>
        <v>#N/A</v>
      </c>
      <c r="BA59" s="127">
        <f t="shared" si="50"/>
        <v>0</v>
      </c>
      <c r="BB59" s="244">
        <f t="shared" si="51"/>
        <v>0</v>
      </c>
      <c r="BC59" s="225">
        <f t="shared" si="52"/>
        <v>0</v>
      </c>
      <c r="BD59" s="225" t="e">
        <f t="shared" si="53"/>
        <v>#N/A</v>
      </c>
      <c r="BE59" s="225" t="str">
        <f t="shared" si="54"/>
        <v>620   + Số lượng xe:</v>
      </c>
      <c r="BF59" s="225">
        <f t="shared" si="55"/>
        <v>0</v>
      </c>
      <c r="BG59" s="225" t="e">
        <f t="shared" si="56"/>
        <v>#N/A</v>
      </c>
      <c r="BH59" s="225" t="e">
        <f t="shared" si="57"/>
        <v>#N/A</v>
      </c>
      <c r="BI59" s="321" t="str">
        <f t="shared" si="58"/>
        <v/>
      </c>
      <c r="BJ59" s="284">
        <f t="shared" si="40"/>
        <v>0</v>
      </c>
      <c r="BK59" s="284" t="str">
        <f t="shared" si="7"/>
        <v/>
      </c>
      <c r="BL59" s="225" t="str">
        <f t="shared" si="41"/>
        <v>620   + Người ra lệnh:</v>
      </c>
      <c r="BM59" s="225">
        <f t="shared" si="42"/>
        <v>0</v>
      </c>
      <c r="BN59" s="113" t="e">
        <f>VLOOKUP(BM59,[1]Sheet1!$B$3:$C$604,2,0)</f>
        <v>#N/A</v>
      </c>
      <c r="BO59" s="113" t="str">
        <f t="shared" si="43"/>
        <v/>
      </c>
      <c r="BP59" s="351" t="str">
        <f t="shared" si="8"/>
        <v/>
      </c>
      <c r="BT59" s="113" t="str">
        <f t="shared" si="44"/>
        <v>, 4 xe của Đức Tín, 3 xe của Đức Tín, 1 xe của Đức Tín</v>
      </c>
      <c r="BU59" s="113" t="e">
        <f t="shared" si="45"/>
        <v>#N/A</v>
      </c>
      <c r="BV59" s="380" t="e">
        <f t="shared" si="46"/>
        <v>#N/A</v>
      </c>
      <c r="BW59" s="376" t="e">
        <f t="shared" si="47"/>
        <v>#N/A</v>
      </c>
    </row>
    <row r="60" spans="1:75" ht="15.6" x14ac:dyDescent="0.3">
      <c r="A60" s="113">
        <v>60</v>
      </c>
      <c r="B60" s="113" t="str">
        <f t="shared" si="117"/>
        <v>56Gỗ rời   + Khối lượng:</v>
      </c>
      <c r="C60" t="s">
        <v>15060</v>
      </c>
      <c r="D60" s="310" t="s">
        <v>15093</v>
      </c>
      <c r="E60" s="128"/>
      <c r="F60"/>
      <c r="G60" s="113" t="str">
        <f>CONCATENATE(A632,C632)</f>
        <v>632</v>
      </c>
      <c r="H60" s="113" t="str">
        <f t="shared" si="0"/>
        <v>632   + Trả cước:</v>
      </c>
      <c r="I60" s="113" t="str">
        <f t="shared" si="83"/>
        <v>632   + Nâng gỗ</v>
      </c>
      <c r="J60" s="113" t="str">
        <f t="shared" si="84"/>
        <v>632   + Nơi nhận</v>
      </c>
      <c r="K60" s="113" t="str">
        <f t="shared" si="85"/>
        <v>632   + Nơi trả:</v>
      </c>
      <c r="L60" s="115" t="str">
        <f t="shared" si="87"/>
        <v>632   + Tiền cước:</v>
      </c>
      <c r="M60" s="115" t="str">
        <f t="shared" si="88"/>
        <v>632   + Cont số:</v>
      </c>
      <c r="N60" s="115" t="str">
        <f t="shared" si="89"/>
        <v>632   + Tiền đường:</v>
      </c>
      <c r="O60" s="115" t="str">
        <f t="shared" si="90"/>
        <v>632   + Loại gỗ:</v>
      </c>
      <c r="P60" s="115" t="str">
        <f t="shared" si="91"/>
        <v>632   + Tiền cước:</v>
      </c>
      <c r="Q60" s="113" t="e">
        <f t="shared" si="13"/>
        <v>#N/A</v>
      </c>
      <c r="R60" s="225" t="e">
        <f>IF((RIGHT(G60,3)="rời"),VLOOKUP(RIGHT(Q60,9),[2]Khach_hangmoi!$J$3:$N$3854,2,0),LEFT(Q60,7))</f>
        <v>#N/A</v>
      </c>
      <c r="S60" s="225" t="e">
        <f>VLOOKUP(R60,[2]Khach_hangmoi!$A$3:$I$4325,2,0)</f>
        <v>#N/A</v>
      </c>
      <c r="T60" s="225" t="e">
        <f>IF(VLOOKUP(R60,[2]Khach_hangmoi!$A$3:$I$4325,5,0)=0,"",VLOOKUP(R60,[2]Khach_hangmoi!$A$3:$I$4325,5,0))</f>
        <v>#N/A</v>
      </c>
      <c r="U60" s="225" t="e">
        <f>VLOOKUP(R60,[2]Khach_hangmoi!$A$3:$I$4325,3,0)</f>
        <v>#N/A</v>
      </c>
      <c r="W60" s="225" t="e">
        <f t="shared" si="106"/>
        <v>#N/A</v>
      </c>
      <c r="X60" s="225" t="e">
        <f>VLOOKUP(Y60,Hanghoa!$B$3:$E$1914,2,0)</f>
        <v>#N/A</v>
      </c>
      <c r="Y60" s="225" t="e">
        <f t="shared" si="107"/>
        <v>#N/A</v>
      </c>
      <c r="Z60" s="301"/>
      <c r="AA60" s="225" t="e">
        <f t="shared" si="108"/>
        <v>#N/A</v>
      </c>
      <c r="AB60" s="225" t="e">
        <f t="shared" si="101"/>
        <v>#N/A</v>
      </c>
      <c r="AD60" s="225" t="e">
        <f t="shared" si="109"/>
        <v>#N/A</v>
      </c>
      <c r="AE60" s="244" t="e">
        <f t="shared" si="110"/>
        <v>#N/A</v>
      </c>
      <c r="AF60" s="311" t="e">
        <f t="shared" si="71"/>
        <v>#N/A</v>
      </c>
      <c r="AG60" s="244" t="e">
        <f t="shared" si="111"/>
        <v>#N/A</v>
      </c>
      <c r="AH60" s="225" t="e">
        <f>IF(OR(W60="Cont",W60="CT"),VLOOKUP(R60,cthuc!$AQ$3:$AR$44,2,0),"")</f>
        <v>#N/A</v>
      </c>
      <c r="AI60" s="225" t="e">
        <f t="shared" si="112"/>
        <v>#N/A</v>
      </c>
      <c r="AK60" s="113" t="e">
        <f t="shared" si="95"/>
        <v>#N/A</v>
      </c>
      <c r="AL60" s="113" t="str">
        <f t="shared" si="96"/>
        <v>632   + Nơi lấy:</v>
      </c>
      <c r="AM60" s="250">
        <f t="shared" si="25"/>
        <v>45490</v>
      </c>
      <c r="AN60" s="225" t="e">
        <f>IF(OR(W60="HS",W60="HP"),"",VLOOKUP(VLOOKUP(AL60,$B$8:$E$671,3,0),cthuc!$AO$3:$AP$142,2,0))</f>
        <v>#N/A</v>
      </c>
      <c r="AO60" s="225" t="e">
        <f t="shared" si="113"/>
        <v>#N/A</v>
      </c>
      <c r="AP60" s="225" t="e">
        <f t="shared" si="97"/>
        <v>#N/A</v>
      </c>
      <c r="AQ60" s="225" t="e">
        <f t="shared" si="114"/>
        <v>#N/A</v>
      </c>
      <c r="AR60" s="225" t="e">
        <f t="shared" si="99"/>
        <v>#N/A</v>
      </c>
      <c r="AS60" s="225">
        <v>1</v>
      </c>
      <c r="AT60" s="251" t="e">
        <f t="shared" si="100"/>
        <v>#N/A</v>
      </c>
      <c r="AV60" s="113" t="e">
        <f>VLOOKUP(BD60,giaroi!$D$6:$N$500,11,0)</f>
        <v>#N/A</v>
      </c>
      <c r="AW60" s="284">
        <f t="shared" si="115"/>
        <v>0</v>
      </c>
      <c r="AX60" s="113" t="s">
        <v>13230</v>
      </c>
      <c r="AY60" s="284" t="e">
        <f t="shared" si="116"/>
        <v>#N/A</v>
      </c>
      <c r="AZ60" s="225" t="e">
        <f t="shared" si="49"/>
        <v>#N/A</v>
      </c>
      <c r="BA60" s="127">
        <f t="shared" si="50"/>
        <v>0</v>
      </c>
      <c r="BB60" s="244">
        <f t="shared" si="51"/>
        <v>0</v>
      </c>
      <c r="BC60" s="225">
        <f t="shared" si="52"/>
        <v>0</v>
      </c>
      <c r="BD60" s="225" t="e">
        <f t="shared" si="53"/>
        <v>#N/A</v>
      </c>
      <c r="BE60" s="225" t="str">
        <f t="shared" si="54"/>
        <v>632   + Số lượng xe:</v>
      </c>
      <c r="BF60" s="225">
        <f t="shared" si="55"/>
        <v>0</v>
      </c>
      <c r="BG60" s="225" t="e">
        <f t="shared" si="56"/>
        <v>#N/A</v>
      </c>
      <c r="BH60" s="225" t="e">
        <f t="shared" si="57"/>
        <v>#N/A</v>
      </c>
      <c r="BI60" s="321" t="str">
        <f t="shared" si="58"/>
        <v/>
      </c>
      <c r="BJ60" s="284">
        <f t="shared" si="40"/>
        <v>0</v>
      </c>
      <c r="BK60" s="284" t="str">
        <f t="shared" si="7"/>
        <v/>
      </c>
      <c r="BL60" s="225" t="str">
        <f t="shared" si="41"/>
        <v>632   + Người ra lệnh:</v>
      </c>
      <c r="BM60" s="225">
        <f t="shared" si="42"/>
        <v>0</v>
      </c>
      <c r="BN60" s="113" t="e">
        <f>VLOOKUP(BM60,[1]Sheet1!$B$3:$C$604,2,0)</f>
        <v>#N/A</v>
      </c>
      <c r="BO60" s="113" t="str">
        <f t="shared" si="43"/>
        <v/>
      </c>
      <c r="BP60" s="351" t="str">
        <f t="shared" si="8"/>
        <v/>
      </c>
      <c r="BT60" s="113" t="str">
        <f t="shared" si="44"/>
        <v>, 4 xe của Đức Tín, 3 xe của Đức Tín, 1 xe của Đức Tín</v>
      </c>
      <c r="BU60" s="113" t="e">
        <f t="shared" si="45"/>
        <v>#N/A</v>
      </c>
      <c r="BV60" s="380" t="e">
        <f t="shared" si="46"/>
        <v>#N/A</v>
      </c>
      <c r="BW60" s="376" t="e">
        <f t="shared" si="47"/>
        <v>#N/A</v>
      </c>
    </row>
    <row r="61" spans="1:75" ht="15.6" x14ac:dyDescent="0.3">
      <c r="A61" s="113">
        <v>61</v>
      </c>
      <c r="B61" s="113" t="str">
        <f t="shared" si="117"/>
        <v>56Gỗ rời   + Số lượng xe:</v>
      </c>
      <c r="C61" t="s">
        <v>15062</v>
      </c>
      <c r="D61">
        <v>1</v>
      </c>
      <c r="E61" t="s">
        <v>15082</v>
      </c>
      <c r="F61"/>
      <c r="G61" s="113" t="str">
        <f>CONCATENATE(A644,C644)</f>
        <v>644</v>
      </c>
      <c r="H61" s="113" t="str">
        <f t="shared" si="0"/>
        <v>644   + Trả cước:</v>
      </c>
      <c r="I61" s="113" t="str">
        <f t="shared" si="83"/>
        <v>644   + Nâng gỗ</v>
      </c>
      <c r="J61" s="113" t="str">
        <f t="shared" si="84"/>
        <v>644   + Nơi nhận</v>
      </c>
      <c r="K61" s="113" t="str">
        <f t="shared" si="85"/>
        <v>644   + Nơi trả:</v>
      </c>
      <c r="L61" s="115" t="str">
        <f t="shared" si="87"/>
        <v>644   + Tiền cước:</v>
      </c>
      <c r="M61" s="115" t="str">
        <f t="shared" si="88"/>
        <v>644   + Cont số:</v>
      </c>
      <c r="N61" s="115" t="str">
        <f t="shared" si="89"/>
        <v>644   + Tiền đường:</v>
      </c>
      <c r="O61" s="115" t="str">
        <f t="shared" si="90"/>
        <v>644   + Loại gỗ:</v>
      </c>
      <c r="P61" s="115" t="str">
        <f t="shared" si="91"/>
        <v>644   + Tiền cước:</v>
      </c>
      <c r="Q61" s="113" t="e">
        <f t="shared" si="13"/>
        <v>#N/A</v>
      </c>
      <c r="R61" s="225" t="e">
        <f>IF((RIGHT(G61,3)="rời"),VLOOKUP(RIGHT(Q61,9),[2]Khach_hangmoi!$J$3:$N$3854,2,0),LEFT(Q61,7))</f>
        <v>#N/A</v>
      </c>
      <c r="S61" s="225" t="e">
        <f>VLOOKUP(R61,[2]Khach_hangmoi!$A$3:$I$4325,2,0)</f>
        <v>#N/A</v>
      </c>
      <c r="T61" s="225" t="e">
        <f>IF(VLOOKUP(R61,[2]Khach_hangmoi!$A$3:$I$4325,5,0)=0,"",VLOOKUP(R61,[2]Khach_hangmoi!$A$3:$I$4325,5,0))</f>
        <v>#N/A</v>
      </c>
      <c r="U61" s="225" t="e">
        <f>VLOOKUP(R61,[2]Khach_hangmoi!$A$3:$I$4325,3,0)</f>
        <v>#N/A</v>
      </c>
      <c r="W61" s="225" t="e">
        <f t="shared" si="106"/>
        <v>#N/A</v>
      </c>
      <c r="X61" s="225" t="e">
        <f>VLOOKUP(Y61,Hanghoa!$B$3:$E$1914,2,0)</f>
        <v>#N/A</v>
      </c>
      <c r="Y61" s="225" t="e">
        <f t="shared" si="107"/>
        <v>#N/A</v>
      </c>
      <c r="Z61" s="301"/>
      <c r="AA61" s="225" t="e">
        <f t="shared" si="108"/>
        <v>#N/A</v>
      </c>
      <c r="AB61" s="225" t="e">
        <f t="shared" si="101"/>
        <v>#N/A</v>
      </c>
      <c r="AD61" s="225" t="e">
        <f t="shared" si="109"/>
        <v>#N/A</v>
      </c>
      <c r="AE61" s="244" t="e">
        <f t="shared" si="110"/>
        <v>#N/A</v>
      </c>
      <c r="AF61" s="311" t="e">
        <f t="shared" si="71"/>
        <v>#N/A</v>
      </c>
      <c r="AG61" s="244" t="e">
        <f t="shared" si="111"/>
        <v>#N/A</v>
      </c>
      <c r="AH61" s="225" t="e">
        <f>IF(OR(W61="Cont",W61="CT"),VLOOKUP(R61,cthuc!$AQ$3:$AR$44,2,0),"")</f>
        <v>#N/A</v>
      </c>
      <c r="AI61" s="225" t="e">
        <f t="shared" si="112"/>
        <v>#N/A</v>
      </c>
      <c r="AK61" s="113" t="e">
        <f t="shared" si="95"/>
        <v>#N/A</v>
      </c>
      <c r="AL61" s="113" t="str">
        <f t="shared" si="96"/>
        <v>644   + Nơi lấy:</v>
      </c>
      <c r="AM61" s="250">
        <f t="shared" si="25"/>
        <v>45490</v>
      </c>
      <c r="AN61" s="225" t="e">
        <f>IF(OR(W61="HS",W61="HP"),"",VLOOKUP(VLOOKUP(AL61,$B$8:$E$671,3,0),cthuc!$AO$3:$AP$142,2,0))</f>
        <v>#N/A</v>
      </c>
      <c r="AO61" s="225" t="e">
        <f t="shared" si="113"/>
        <v>#N/A</v>
      </c>
      <c r="AP61" s="225" t="e">
        <f t="shared" si="97"/>
        <v>#N/A</v>
      </c>
      <c r="AQ61" s="225" t="e">
        <f t="shared" si="114"/>
        <v>#N/A</v>
      </c>
      <c r="AR61" s="225" t="e">
        <f t="shared" si="99"/>
        <v>#N/A</v>
      </c>
      <c r="AS61" s="225">
        <v>1</v>
      </c>
      <c r="AT61" s="251" t="e">
        <f t="shared" si="100"/>
        <v>#N/A</v>
      </c>
      <c r="AV61" s="113" t="e">
        <f>VLOOKUP(BD61,giaroi!$D$6:$N$500,11,0)</f>
        <v>#N/A</v>
      </c>
      <c r="AW61" s="284">
        <f t="shared" si="115"/>
        <v>0</v>
      </c>
      <c r="AX61" s="113" t="s">
        <v>13231</v>
      </c>
      <c r="AY61" s="284" t="e">
        <f t="shared" si="116"/>
        <v>#N/A</v>
      </c>
      <c r="AZ61" s="225" t="e">
        <f t="shared" si="49"/>
        <v>#N/A</v>
      </c>
      <c r="BA61" s="127">
        <f t="shared" si="50"/>
        <v>0</v>
      </c>
      <c r="BB61" s="244">
        <f t="shared" si="51"/>
        <v>0</v>
      </c>
      <c r="BC61" s="225">
        <f t="shared" si="52"/>
        <v>0</v>
      </c>
      <c r="BD61" s="225" t="e">
        <f t="shared" si="53"/>
        <v>#N/A</v>
      </c>
      <c r="BE61" s="225" t="str">
        <f t="shared" si="54"/>
        <v>644   + Số lượng xe:</v>
      </c>
      <c r="BF61" s="225">
        <f t="shared" si="55"/>
        <v>0</v>
      </c>
      <c r="BG61" s="225" t="e">
        <f t="shared" si="56"/>
        <v>#N/A</v>
      </c>
      <c r="BH61" s="225" t="e">
        <f t="shared" si="57"/>
        <v>#N/A</v>
      </c>
      <c r="BI61" s="321" t="str">
        <f t="shared" si="58"/>
        <v/>
      </c>
      <c r="BJ61" s="284">
        <f t="shared" si="40"/>
        <v>0</v>
      </c>
      <c r="BK61" s="284" t="str">
        <f t="shared" si="7"/>
        <v/>
      </c>
      <c r="BL61" s="225" t="str">
        <f t="shared" si="41"/>
        <v>644   + Người ra lệnh:</v>
      </c>
      <c r="BM61" s="225">
        <f t="shared" si="42"/>
        <v>0</v>
      </c>
      <c r="BN61" s="113" t="e">
        <f>VLOOKUP(BM61,[1]Sheet1!$B$3:$C$604,2,0)</f>
        <v>#N/A</v>
      </c>
      <c r="BO61" s="113" t="str">
        <f t="shared" si="43"/>
        <v/>
      </c>
      <c r="BP61" s="351" t="str">
        <f t="shared" si="8"/>
        <v/>
      </c>
      <c r="BT61" s="113" t="str">
        <f t="shared" si="44"/>
        <v>, 4 xe của Đức Tín, 3 xe của Đức Tín, 1 xe của Đức Tín</v>
      </c>
      <c r="BU61" s="113" t="e">
        <f t="shared" si="45"/>
        <v>#N/A</v>
      </c>
      <c r="BV61" s="380" t="e">
        <f t="shared" si="46"/>
        <v>#N/A</v>
      </c>
      <c r="BW61" s="376" t="e">
        <f t="shared" si="47"/>
        <v>#N/A</v>
      </c>
    </row>
    <row r="62" spans="1:75" ht="15.6" x14ac:dyDescent="0.3">
      <c r="A62" s="113">
        <v>62</v>
      </c>
      <c r="B62" s="113" t="str">
        <f t="shared" si="117"/>
        <v>56Gỗ rời   + Người nhận:</v>
      </c>
      <c r="C62" t="s">
        <v>15064</v>
      </c>
      <c r="D62" t="s">
        <v>15094</v>
      </c>
      <c r="E62"/>
      <c r="F62"/>
      <c r="G62" s="113" t="str">
        <f>CONCATENATE(A656,C656)</f>
        <v>656</v>
      </c>
      <c r="H62" s="113" t="str">
        <f t="shared" si="0"/>
        <v>656   + Trả cước:</v>
      </c>
      <c r="I62" s="113" t="str">
        <f t="shared" si="83"/>
        <v>656   + Nâng gỗ</v>
      </c>
      <c r="J62" s="113" t="str">
        <f t="shared" si="84"/>
        <v>656   + Nơi nhận</v>
      </c>
      <c r="K62" s="113" t="str">
        <f t="shared" si="85"/>
        <v>656   + Nơi trả:</v>
      </c>
      <c r="L62" s="115" t="str">
        <f t="shared" si="87"/>
        <v>656   + Tiền cước:</v>
      </c>
      <c r="M62" s="115" t="str">
        <f t="shared" si="88"/>
        <v>656   + Cont số:</v>
      </c>
      <c r="N62" s="115" t="str">
        <f t="shared" si="89"/>
        <v>656   + Tiền đường:</v>
      </c>
      <c r="O62" s="115" t="str">
        <f t="shared" si="90"/>
        <v>656   + Loại gỗ:</v>
      </c>
      <c r="P62" s="115" t="str">
        <f t="shared" si="91"/>
        <v>656   + Tiền cước:</v>
      </c>
      <c r="Q62" s="113" t="e">
        <f t="shared" si="13"/>
        <v>#N/A</v>
      </c>
      <c r="R62" s="225" t="e">
        <f>IF((RIGHT(G62,3)="rời"),VLOOKUP(RIGHT(Q62,9),[2]Khach_hangmoi!$J$3:$N$3854,2,0),LEFT(Q62,7))</f>
        <v>#N/A</v>
      </c>
      <c r="S62" s="225" t="e">
        <f>VLOOKUP(R62,[2]Khach_hangmoi!$A$3:$I$4325,2,0)</f>
        <v>#N/A</v>
      </c>
      <c r="T62" s="225" t="e">
        <f>IF(VLOOKUP(R62,[2]Khach_hangmoi!$A$3:$I$4325,5,0)=0,"",VLOOKUP(R62,[2]Khach_hangmoi!$A$3:$I$4325,5,0))</f>
        <v>#N/A</v>
      </c>
      <c r="U62" s="225" t="e">
        <f>VLOOKUP(R62,[2]Khach_hangmoi!$A$3:$I$4325,3,0)</f>
        <v>#N/A</v>
      </c>
      <c r="W62" s="225" t="e">
        <f t="shared" si="106"/>
        <v>#N/A</v>
      </c>
      <c r="X62" s="225" t="e">
        <f>VLOOKUP(Y62,Hanghoa!$B$3:$E$1914,2,0)</f>
        <v>#N/A</v>
      </c>
      <c r="Y62" s="225" t="e">
        <f t="shared" si="107"/>
        <v>#N/A</v>
      </c>
      <c r="Z62" s="301"/>
      <c r="AA62" s="225" t="e">
        <f t="shared" si="108"/>
        <v>#N/A</v>
      </c>
      <c r="AB62" s="225" t="e">
        <f t="shared" si="101"/>
        <v>#N/A</v>
      </c>
      <c r="AD62" s="225" t="e">
        <f t="shared" si="109"/>
        <v>#N/A</v>
      </c>
      <c r="AE62" s="244" t="e">
        <f t="shared" si="110"/>
        <v>#N/A</v>
      </c>
      <c r="AF62" s="311" t="e">
        <f t="shared" si="71"/>
        <v>#N/A</v>
      </c>
      <c r="AG62" s="244" t="e">
        <f t="shared" si="111"/>
        <v>#N/A</v>
      </c>
      <c r="AH62" s="225" t="e">
        <f>IF(OR(W62="Cont",W62="CT"),VLOOKUP(R62,cthuc!$AQ$3:$AR$44,2,0),"")</f>
        <v>#N/A</v>
      </c>
      <c r="AI62" s="225" t="e">
        <f t="shared" si="112"/>
        <v>#N/A</v>
      </c>
      <c r="AK62" s="113" t="e">
        <f t="shared" si="95"/>
        <v>#N/A</v>
      </c>
      <c r="AL62" s="113" t="str">
        <f t="shared" si="96"/>
        <v>656   + Nơi lấy:</v>
      </c>
      <c r="AM62" s="250">
        <f t="shared" si="25"/>
        <v>45490</v>
      </c>
      <c r="AN62" s="225" t="e">
        <f>IF(OR(W62="HS",W62="HP"),"",VLOOKUP(VLOOKUP(AL62,$B$8:$E$671,3,0),cthuc!$AO$3:$AP$142,2,0))</f>
        <v>#N/A</v>
      </c>
      <c r="AO62" s="225" t="e">
        <f t="shared" si="113"/>
        <v>#N/A</v>
      </c>
      <c r="AP62" s="225" t="e">
        <f t="shared" si="97"/>
        <v>#N/A</v>
      </c>
      <c r="AQ62" s="225" t="e">
        <f t="shared" si="114"/>
        <v>#N/A</v>
      </c>
      <c r="AR62" s="225" t="e">
        <f t="shared" si="99"/>
        <v>#N/A</v>
      </c>
      <c r="AS62" s="225">
        <v>1</v>
      </c>
      <c r="AT62" s="251" t="e">
        <f t="shared" si="100"/>
        <v>#N/A</v>
      </c>
      <c r="AV62" s="113" t="e">
        <f>VLOOKUP(BD62,giaroi!$D$6:$N$500,11,0)</f>
        <v>#N/A</v>
      </c>
      <c r="AW62" s="284">
        <f t="shared" si="115"/>
        <v>0</v>
      </c>
      <c r="AX62" s="113" t="s">
        <v>13232</v>
      </c>
      <c r="AY62" s="284" t="e">
        <f t="shared" si="116"/>
        <v>#N/A</v>
      </c>
      <c r="AZ62" s="225" t="e">
        <f t="shared" si="49"/>
        <v>#N/A</v>
      </c>
      <c r="BA62" s="127">
        <f t="shared" si="50"/>
        <v>0</v>
      </c>
      <c r="BB62" s="244">
        <f t="shared" si="51"/>
        <v>0</v>
      </c>
      <c r="BC62" s="225">
        <f t="shared" si="52"/>
        <v>0</v>
      </c>
      <c r="BD62" s="225" t="e">
        <f t="shared" si="53"/>
        <v>#N/A</v>
      </c>
      <c r="BE62" s="225" t="str">
        <f t="shared" si="54"/>
        <v>656   + Số lượng xe:</v>
      </c>
      <c r="BF62" s="225">
        <f t="shared" si="55"/>
        <v>0</v>
      </c>
      <c r="BG62" s="225" t="e">
        <f t="shared" si="56"/>
        <v>#N/A</v>
      </c>
      <c r="BH62" s="225" t="e">
        <f t="shared" si="57"/>
        <v>#N/A</v>
      </c>
      <c r="BI62" s="321" t="str">
        <f t="shared" si="58"/>
        <v/>
      </c>
      <c r="BJ62" s="284">
        <f t="shared" si="40"/>
        <v>0</v>
      </c>
      <c r="BK62" s="284" t="str">
        <f t="shared" si="7"/>
        <v/>
      </c>
      <c r="BL62" s="225" t="str">
        <f t="shared" si="41"/>
        <v>656   + Người ra lệnh:</v>
      </c>
      <c r="BM62" s="225">
        <f t="shared" si="42"/>
        <v>0</v>
      </c>
      <c r="BN62" s="113" t="e">
        <f>VLOOKUP(BM62,[1]Sheet1!$B$3:$C$604,2,0)</f>
        <v>#N/A</v>
      </c>
      <c r="BO62" s="113" t="str">
        <f t="shared" si="43"/>
        <v/>
      </c>
      <c r="BP62" s="351" t="str">
        <f t="shared" si="8"/>
        <v/>
      </c>
      <c r="BT62" s="113" t="str">
        <f t="shared" si="44"/>
        <v>, 4 xe của Đức Tín, 3 xe của Đức Tín, 1 xe của Đức Tín</v>
      </c>
      <c r="BU62" s="113" t="e">
        <f t="shared" si="45"/>
        <v>#N/A</v>
      </c>
      <c r="BV62" s="380" t="e">
        <f t="shared" si="46"/>
        <v>#N/A</v>
      </c>
      <c r="BW62" s="376" t="e">
        <f t="shared" si="47"/>
        <v>#N/A</v>
      </c>
    </row>
    <row r="63" spans="1:75" ht="15.6" x14ac:dyDescent="0.3">
      <c r="A63" s="113">
        <v>63</v>
      </c>
      <c r="B63" s="113" t="str">
        <f t="shared" si="117"/>
        <v>56Gỗ rời   + Nơi nhận:</v>
      </c>
      <c r="C63" t="s">
        <v>15065</v>
      </c>
      <c r="D63" t="s">
        <v>15095</v>
      </c>
      <c r="E63"/>
      <c r="F63"/>
      <c r="G63" s="113" t="str">
        <f>CONCATENATE(A668,C668)</f>
        <v>668</v>
      </c>
      <c r="H63" s="113" t="str">
        <f t="shared" si="0"/>
        <v>668   + Trả cước:</v>
      </c>
      <c r="I63" s="113" t="str">
        <f t="shared" si="83"/>
        <v>668   + Nâng gỗ</v>
      </c>
      <c r="J63" s="113" t="str">
        <f t="shared" si="84"/>
        <v>668   + Nơi nhận</v>
      </c>
      <c r="K63" s="113" t="str">
        <f t="shared" si="85"/>
        <v>668   + Nơi trả:</v>
      </c>
      <c r="L63" s="115" t="str">
        <f t="shared" si="87"/>
        <v>668   + Tiền cước:</v>
      </c>
      <c r="M63" s="115" t="str">
        <f t="shared" si="88"/>
        <v>668   + Cont số:</v>
      </c>
      <c r="N63" s="115" t="str">
        <f t="shared" si="89"/>
        <v>668   + Tiền đường:</v>
      </c>
      <c r="O63" s="115" t="str">
        <f t="shared" si="90"/>
        <v>668   + Loại gỗ:</v>
      </c>
      <c r="P63" s="115" t="str">
        <f t="shared" si="91"/>
        <v>668   + Tiền cước:</v>
      </c>
      <c r="Q63" s="113" t="e">
        <f t="shared" si="13"/>
        <v>#N/A</v>
      </c>
      <c r="R63" s="225" t="e">
        <f>IF((RIGHT(G63,3)="rời"),VLOOKUP(RIGHT(Q63,9),[2]Khach_hangmoi!$J$3:$N$3854,2,0),LEFT(Q63,7))</f>
        <v>#N/A</v>
      </c>
      <c r="S63" s="225" t="e">
        <f>VLOOKUP(R63,[2]Khach_hangmoi!$A$3:$I$4325,2,0)</f>
        <v>#N/A</v>
      </c>
      <c r="T63" s="225" t="e">
        <f>IF(VLOOKUP(R63,[2]Khach_hangmoi!$A$3:$I$4325,5,0)=0,"",VLOOKUP(R63,[2]Khach_hangmoi!$A$3:$I$4325,5,0))</f>
        <v>#N/A</v>
      </c>
      <c r="U63" s="225" t="e">
        <f>VLOOKUP(R63,[2]Khach_hangmoi!$A$3:$I$4325,3,0)</f>
        <v>#N/A</v>
      </c>
      <c r="W63" s="225" t="e">
        <f t="shared" si="106"/>
        <v>#N/A</v>
      </c>
      <c r="X63" s="225" t="e">
        <f>VLOOKUP(Y63,Hanghoa!$B$3:$E$1914,2,0)</f>
        <v>#N/A</v>
      </c>
      <c r="Y63" s="225" t="e">
        <f t="shared" si="107"/>
        <v>#N/A</v>
      </c>
      <c r="Z63" s="301"/>
      <c r="AA63" s="225" t="e">
        <f t="shared" si="108"/>
        <v>#N/A</v>
      </c>
      <c r="AB63" s="225" t="e">
        <f t="shared" si="101"/>
        <v>#N/A</v>
      </c>
      <c r="AD63" s="225" t="e">
        <f t="shared" si="109"/>
        <v>#N/A</v>
      </c>
      <c r="AE63" s="244" t="e">
        <f t="shared" si="110"/>
        <v>#N/A</v>
      </c>
      <c r="AF63" s="311" t="e">
        <f t="shared" si="71"/>
        <v>#N/A</v>
      </c>
      <c r="AG63" s="244" t="e">
        <f t="shared" si="111"/>
        <v>#N/A</v>
      </c>
      <c r="AH63" s="225" t="e">
        <f>IF(OR(W63="Cont",W63="CT"),VLOOKUP(R63,cthuc!$AQ$3:$AR$44,2,0),"")</f>
        <v>#N/A</v>
      </c>
      <c r="AI63" s="225" t="e">
        <f t="shared" si="112"/>
        <v>#N/A</v>
      </c>
      <c r="AK63" s="113" t="e">
        <f t="shared" si="95"/>
        <v>#N/A</v>
      </c>
      <c r="AL63" s="113" t="str">
        <f t="shared" si="96"/>
        <v>668   + Nơi lấy:</v>
      </c>
      <c r="AM63" s="250">
        <f t="shared" si="25"/>
        <v>45490</v>
      </c>
      <c r="AN63" s="225" t="e">
        <f>IF(OR(W63="HS",W63="HP"),"",VLOOKUP(VLOOKUP(AL63,$B$8:$E$671,3,0),cthuc!$AO$3:$AP$142,2,0))</f>
        <v>#N/A</v>
      </c>
      <c r="AO63" s="225" t="e">
        <f t="shared" si="113"/>
        <v>#N/A</v>
      </c>
      <c r="AP63" s="225" t="e">
        <f t="shared" si="97"/>
        <v>#N/A</v>
      </c>
      <c r="AQ63" s="225" t="e">
        <f t="shared" si="114"/>
        <v>#N/A</v>
      </c>
      <c r="AR63" s="225" t="e">
        <f t="shared" si="99"/>
        <v>#N/A</v>
      </c>
      <c r="AS63" s="225">
        <v>1</v>
      </c>
      <c r="AT63" s="251" t="e">
        <f t="shared" si="100"/>
        <v>#N/A</v>
      </c>
      <c r="AV63" s="113" t="e">
        <f>VLOOKUP(BD63,giaroi!$D$6:$N$500,11,0)</f>
        <v>#N/A</v>
      </c>
      <c r="AW63" s="284">
        <f t="shared" si="115"/>
        <v>0</v>
      </c>
      <c r="AX63" s="113" t="s">
        <v>13605</v>
      </c>
      <c r="AY63" s="284" t="e">
        <f t="shared" si="116"/>
        <v>#N/A</v>
      </c>
      <c r="AZ63" s="225" t="e">
        <f t="shared" si="49"/>
        <v>#N/A</v>
      </c>
      <c r="BA63" s="127">
        <f t="shared" si="50"/>
        <v>0</v>
      </c>
      <c r="BB63" s="244">
        <f t="shared" si="51"/>
        <v>0</v>
      </c>
      <c r="BC63" s="225">
        <f t="shared" si="52"/>
        <v>0</v>
      </c>
      <c r="BD63" s="225" t="e">
        <f t="shared" si="53"/>
        <v>#N/A</v>
      </c>
      <c r="BE63" s="225" t="str">
        <f t="shared" si="54"/>
        <v>668   + Số lượng xe:</v>
      </c>
      <c r="BF63" s="225">
        <f t="shared" si="55"/>
        <v>0</v>
      </c>
      <c r="BG63" s="225" t="e">
        <f t="shared" si="56"/>
        <v>#N/A</v>
      </c>
      <c r="BH63" s="225" t="e">
        <f t="shared" si="57"/>
        <v>#N/A</v>
      </c>
      <c r="BI63" s="321" t="str">
        <f t="shared" si="58"/>
        <v/>
      </c>
      <c r="BJ63" s="284">
        <f t="shared" si="40"/>
        <v>0</v>
      </c>
      <c r="BK63" s="284" t="str">
        <f t="shared" si="7"/>
        <v/>
      </c>
      <c r="BL63" s="225" t="str">
        <f t="shared" si="41"/>
        <v>668   + Người ra lệnh:</v>
      </c>
      <c r="BM63" s="225">
        <f t="shared" si="42"/>
        <v>0</v>
      </c>
      <c r="BN63" s="113" t="e">
        <f>VLOOKUP(BM63,[1]Sheet1!$B$3:$C$604,2,0)</f>
        <v>#N/A</v>
      </c>
      <c r="BO63" s="113" t="str">
        <f t="shared" si="43"/>
        <v/>
      </c>
      <c r="BP63" s="351" t="str">
        <f t="shared" si="8"/>
        <v/>
      </c>
      <c r="BT63" s="113" t="str">
        <f t="shared" si="44"/>
        <v>, 4 xe của Đức Tín, 3 xe của Đức Tín, 1 xe của Đức Tín</v>
      </c>
      <c r="BU63" s="113" t="e">
        <f t="shared" si="45"/>
        <v>#N/A</v>
      </c>
      <c r="BV63" s="380" t="e">
        <f t="shared" si="46"/>
        <v>#N/A</v>
      </c>
      <c r="BW63" s="376" t="e">
        <f t="shared" si="47"/>
        <v>#N/A</v>
      </c>
    </row>
    <row r="64" spans="1:75" ht="15.6" x14ac:dyDescent="0.3">
      <c r="A64" s="113">
        <v>64</v>
      </c>
      <c r="B64" s="113" t="str">
        <f t="shared" si="117"/>
        <v>56Gỗ rời   + Đơn giá (đ/m3) :</v>
      </c>
      <c r="C64" t="s">
        <v>15084</v>
      </c>
      <c r="D64">
        <v>350</v>
      </c>
      <c r="E64" s="128">
        <v>0.97</v>
      </c>
      <c r="F64"/>
      <c r="G64" s="113" t="str">
        <f>CONCATENATE(A680,C680)</f>
        <v>680</v>
      </c>
      <c r="H64" s="113" t="str">
        <f t="shared" ref="H64" si="118">IF((RIGHT(G64,3)="rời"),CONCATENATE(G64,"   + Người nhận:"),CONCATENATE(G64,"   + Trả cước:"))</f>
        <v>680   + Trả cước:</v>
      </c>
      <c r="I64" s="113" t="str">
        <f t="shared" ref="I64" si="119">CONCATENATE(G64,"   + Nâng gỗ")</f>
        <v>680   + Nâng gỗ</v>
      </c>
      <c r="J64" s="113" t="str">
        <f t="shared" ref="J64" si="120">CONCATENATE(G64,"   + Nơi nhận")</f>
        <v>680   + Nơi nhận</v>
      </c>
      <c r="K64" s="113" t="str">
        <f t="shared" ref="K64" si="121">IF((RIGHT(G64,3)="rời"),CONCATENATE(G64,"   + Nơi nhận:"),CONCATENATE(G64,"   + Nơi trả:"))</f>
        <v>680   + Nơi trả:</v>
      </c>
      <c r="L64" s="115" t="str">
        <f t="shared" ref="L64" si="122">IF((RIGHT(G64,3)="rời"),CONCATENATE(G64,"   + Đơn giá (đ/m3) :"),CONCATENATE(G64,"   + Tiền cước:"))</f>
        <v>680   + Tiền cước:</v>
      </c>
      <c r="M64" s="115" t="str">
        <f t="shared" ref="M64" si="123">IF((RIGHT(G64,3)="rời"),CONCATENATE(G64,"   + Khối lượng:"),CONCATENATE(G64,"   + Cont số:"))</f>
        <v>680   + Cont số:</v>
      </c>
      <c r="N64" s="115" t="str">
        <f t="shared" ref="N64" si="124">CONCATENATE(G64,"   + Tiền đường:")</f>
        <v>680   + Tiền đường:</v>
      </c>
      <c r="O64" s="115" t="str">
        <f t="shared" ref="O64" si="125">CONCATENATE(G64,"   + Loại gỗ:")</f>
        <v>680   + Loại gỗ:</v>
      </c>
      <c r="P64" s="115" t="str">
        <f t="shared" ref="P64" si="126">CONCATENATE(G64,"   + Tiền cước:")</f>
        <v>680   + Tiền cước:</v>
      </c>
      <c r="Q64" s="113" t="e">
        <f t="shared" ref="Q64" si="127">VLOOKUP(H64,$B$8:$E$870,3,0)</f>
        <v>#N/A</v>
      </c>
      <c r="R64" s="225" t="e">
        <f>IF((RIGHT(G64,3)="rời"),VLOOKUP(RIGHT(Q64,9),[2]Khach_hangmoi!$J$3:$N$3854,2,0),LEFT(Q64,7))</f>
        <v>#N/A</v>
      </c>
      <c r="S64" s="225" t="e">
        <f>VLOOKUP(R64,[2]Khach_hangmoi!$A$3:$I$4325,2,0)</f>
        <v>#N/A</v>
      </c>
      <c r="T64" s="225" t="e">
        <f>IF(VLOOKUP(R64,[2]Khach_hangmoi!$A$3:$I$4325,5,0)=0,"",VLOOKUP(R64,[2]Khach_hangmoi!$A$3:$I$4325,5,0))</f>
        <v>#N/A</v>
      </c>
      <c r="U64" s="225" t="e">
        <f>VLOOKUP(R64,[2]Khach_hangmoi!$A$3:$I$4325,3,0)</f>
        <v>#N/A</v>
      </c>
      <c r="W64" s="225" t="e">
        <f>IF(IF(IFERROR(FIND("Cont đường dài",N64),-1)&gt;0,"Cont",VLOOKUP(I64,$B$8:$E$870,3,0))="Hoàng Sơn","HS",IF(IF(IFERROR(FIND("Cont đường dài",N64),-1)&gt;0,"Cont",VLOOKUP(I64,$B$8:$E$870,3,0))="Hiệp Phương","HP",IF(IFERROR(FIND("Cont đường dài",N64),-1)&gt;0,"Cont",VLOOKUP(I64,$B$8:$E$870,3,0))))</f>
        <v>#N/A</v>
      </c>
      <c r="X64" s="225" t="e">
        <f>VLOOKUP(Y64,Hanghoa!$B$3:$E$1914,2,0)</f>
        <v>#N/A</v>
      </c>
      <c r="Y64" s="225" t="e">
        <f>CONCATENATE("DKG&lt;-&gt;",VLOOKUP(K64,$B$8:$E$870,3,0))</f>
        <v>#N/A</v>
      </c>
      <c r="Z64" s="301"/>
      <c r="AA64" s="225" t="e">
        <f>SUBSTITUTE(IF(IFERROR(FIND("Cont đường dài",N64),-1)&gt;0,MID(N64,FIND("Lô",N64),9),VLOOKUP(O64,$B$8:$E$870,3,0)),"Lô ","")</f>
        <v>#N/A</v>
      </c>
      <c r="AB64" s="225" t="e">
        <f t="shared" ref="AB64" si="128">IFERROR(IF(FIND("x",AA64)=2,CONCATENATE("0",AA64),AA64),AA64)</f>
        <v>#N/A</v>
      </c>
      <c r="AD64" s="225" t="e">
        <f>SUBSTITUTE(CONCATENATE(VLOOKUP(M64,$B$8:$E$870,3,0),IFERROR(VLOOKUP(CONCATENATE(G64,"   + Lưu ý:"),$B$8:$E$870,3,0),"")),"   + Lưu ý:","")</f>
        <v>#N/A</v>
      </c>
      <c r="AE64" s="244" t="e">
        <f>VALUE(IF(SUBSTITUTE(SUBSTITUTE(VLOOKUP(L64,$B$8:$E$870,3,0),",","")," đồng/cont","")-10000&lt;0,SUBSTITUTE(SUBSTITUTE(VLOOKUP(L64,$B$8:$E$870,3,0),",","")," đồng/cont","")*1000,SUBSTITUTE(SUBSTITUTE(VLOOKUP(L64,$B$8:$E$870,3,0),",","")," đồng/cont","")))</f>
        <v>#N/A</v>
      </c>
      <c r="AF64" s="311" t="e">
        <f t="shared" si="71"/>
        <v>#N/A</v>
      </c>
      <c r="AG64" s="244" t="e">
        <f>VALUE(IF(W64="Cont",SUBSTITUTE(SUBSTITUTE(VLOOKUP(N64,$B$8:$E$870,3,0),",","")," đồng/xe",""),SUBSTITUTE(VLOOKUP(N64,$B$8:$E$870,3,0),",","")+100000))</f>
        <v>#N/A</v>
      </c>
      <c r="AH64" s="225" t="e">
        <f>IF(OR(W64="Cont",W64="CT"),VLOOKUP(R64,cthuc!$AQ$3:$AR$44,2,0),"")</f>
        <v>#N/A</v>
      </c>
      <c r="AI64" s="225" t="e">
        <f>CONCATENATE(VLOOKUP(P64,$B$8:$E$870,3,0),VLOOKUP(P64,$B$8:$E$870,4,0))</f>
        <v>#N/A</v>
      </c>
      <c r="AK64" s="113" t="e">
        <f t="shared" ref="AK64" si="129">+AB64</f>
        <v>#N/A</v>
      </c>
      <c r="AL64" s="113" t="str">
        <f t="shared" ref="AL64" si="130">CONCATENATE(G64,"   + Nơi lấy:")</f>
        <v>680   + Nơi lấy:</v>
      </c>
      <c r="AM64" s="250">
        <f t="shared" ref="AM64" si="131">+$E$1</f>
        <v>45490</v>
      </c>
      <c r="AN64" s="225" t="e">
        <f>IF(OR(W64="HS",W64="HP"),"",VLOOKUP(VLOOKUP(AL64,$B$8:$E$671,3,0),cthuc!$AO$3:$AP$142,2,0))</f>
        <v>#N/A</v>
      </c>
      <c r="AO64" s="225" t="e">
        <f>CONCATENATE("Cước vận chuyển đi ",VLOOKUP(K64,$B$8:$E$871,3,0))</f>
        <v>#N/A</v>
      </c>
      <c r="AP64" s="225" t="e">
        <f t="shared" ref="AP64" si="132">+AD64</f>
        <v>#N/A</v>
      </c>
      <c r="AQ64" s="225" t="e">
        <f>VLOOKUP(CONCATENATE(G64,"   + NVKD:"),$B$8:$E$871,3,0)</f>
        <v>#N/A</v>
      </c>
      <c r="AR64" s="225" t="e">
        <f t="shared" ref="AR64" si="133">+W64</f>
        <v>#N/A</v>
      </c>
      <c r="AS64" s="225">
        <v>1</v>
      </c>
      <c r="AT64" s="251" t="e">
        <f t="shared" ref="AT64" si="134">+AE64</f>
        <v>#N/A</v>
      </c>
      <c r="AV64" s="113" t="e">
        <f>VLOOKUP(BD64,giaroi!$D$6:$N$500,11,0)</f>
        <v>#N/A</v>
      </c>
      <c r="AW64" s="284">
        <f t="shared" si="31"/>
        <v>0</v>
      </c>
      <c r="AX64" s="113" t="s">
        <v>13606</v>
      </c>
      <c r="AY64" s="284" t="e">
        <f t="shared" si="32"/>
        <v>#N/A</v>
      </c>
      <c r="AZ64" s="225" t="e">
        <f t="shared" si="49"/>
        <v>#N/A</v>
      </c>
      <c r="BA64" s="127">
        <f t="shared" si="50"/>
        <v>0</v>
      </c>
      <c r="BB64" s="244">
        <f t="shared" si="51"/>
        <v>0</v>
      </c>
      <c r="BC64" s="225">
        <f t="shared" si="52"/>
        <v>0</v>
      </c>
      <c r="BD64" s="225" t="e">
        <f t="shared" si="53"/>
        <v>#N/A</v>
      </c>
      <c r="BE64" s="225" t="str">
        <f t="shared" si="54"/>
        <v>680   + Số lượng xe:</v>
      </c>
      <c r="BF64" s="225">
        <f t="shared" si="55"/>
        <v>0</v>
      </c>
      <c r="BG64" s="225" t="e">
        <f t="shared" si="56"/>
        <v>#N/A</v>
      </c>
      <c r="BH64" s="225" t="e">
        <f t="shared" si="57"/>
        <v>#N/A</v>
      </c>
      <c r="BI64" s="321" t="str">
        <f t="shared" si="58"/>
        <v/>
      </c>
      <c r="BJ64" s="284">
        <f t="shared" si="40"/>
        <v>0</v>
      </c>
      <c r="BK64" s="284" t="str">
        <f t="shared" si="7"/>
        <v/>
      </c>
      <c r="BL64" s="225" t="str">
        <f t="shared" si="41"/>
        <v>680   + Người ra lệnh:</v>
      </c>
      <c r="BM64" s="225">
        <f t="shared" si="42"/>
        <v>0</v>
      </c>
      <c r="BN64" s="113" t="e">
        <f>VLOOKUP(BM64,[1]Sheet1!$B$3:$C$604,2,0)</f>
        <v>#N/A</v>
      </c>
      <c r="BO64" s="113" t="str">
        <f t="shared" si="43"/>
        <v/>
      </c>
      <c r="BP64" s="351" t="str">
        <f t="shared" si="8"/>
        <v/>
      </c>
      <c r="BT64" s="113" t="str">
        <f t="shared" si="44"/>
        <v>, 4 xe của Đức Tín, 3 xe của Đức Tín, 1 xe của Đức Tín</v>
      </c>
      <c r="BU64" s="113" t="e">
        <f t="shared" si="45"/>
        <v>#N/A</v>
      </c>
      <c r="BV64" s="380" t="e">
        <f t="shared" si="46"/>
        <v>#N/A</v>
      </c>
      <c r="BW64" s="376" t="e">
        <f t="shared" si="47"/>
        <v>#N/A</v>
      </c>
    </row>
    <row r="65" spans="1:75" ht="15.6" x14ac:dyDescent="0.3">
      <c r="A65" s="113">
        <v>65</v>
      </c>
      <c r="B65" s="113" t="str">
        <f t="shared" si="117"/>
        <v>56Gỗ rời   + Tiền cước:</v>
      </c>
      <c r="C65" t="s">
        <v>15068</v>
      </c>
      <c r="D65" t="s">
        <v>15096</v>
      </c>
      <c r="E65" s="128" t="s">
        <v>15069</v>
      </c>
      <c r="F65"/>
      <c r="G65" s="113" t="str">
        <f>CONCATENATE(A692,C692)</f>
        <v>692</v>
      </c>
      <c r="M65" s="115"/>
      <c r="N65" s="115"/>
      <c r="O65" s="115"/>
      <c r="P65" s="115"/>
      <c r="R65" s="225" t="str">
        <f>IF((RIGHT(G65,3)="rời"),VLOOKUP(RIGHT(Q65,9),[2]Khach_hangmoi!$J$3:$N$3854,2,0),LEFT(Q65,7))</f>
        <v/>
      </c>
      <c r="S65" s="225" t="e">
        <f>VLOOKUP(R65,[2]Khach_hangmoi!$A$3:$I$4325,2,0)</f>
        <v>#N/A</v>
      </c>
      <c r="T65" s="225" t="e">
        <f>IF(VLOOKUP(R65,[2]Khach_hangmoi!$A$3:$I$4325,5,0)=0,"",VLOOKUP(R65,[2]Khach_hangmoi!$A$3:$I$4325,5,0))</f>
        <v>#N/A</v>
      </c>
      <c r="U65" s="225" t="e">
        <f>VLOOKUP(R65,[2]Khach_hangmoi!$A$3:$I$4325,3,0)</f>
        <v>#N/A</v>
      </c>
      <c r="Z65" s="301"/>
      <c r="AA65" s="225" t="e">
        <f t="shared" si="76"/>
        <v>#N/A</v>
      </c>
      <c r="AE65" s="244" t="e">
        <f t="shared" si="79"/>
        <v>#N/A</v>
      </c>
      <c r="AF65" s="311" t="e">
        <f t="shared" si="71"/>
        <v>#N/A</v>
      </c>
      <c r="AH65" s="225" t="str">
        <f>IF(OR(W65="Cont",W65="CT"),VLOOKUP(R65,cthuc!$AQ$3:$AR$44,2,0),"")</f>
        <v/>
      </c>
      <c r="AV65" s="113" t="e">
        <f>VLOOKUP(BD65,giaroi!$D$6:$N$500,11,0)</f>
        <v>#N/A</v>
      </c>
      <c r="AW65" s="284">
        <f t="shared" si="31"/>
        <v>0</v>
      </c>
      <c r="AX65" s="113" t="s">
        <v>13607</v>
      </c>
      <c r="AY65" s="284" t="str">
        <f t="shared" si="32"/>
        <v>=+0/V68</v>
      </c>
      <c r="AZ65" s="225" t="e">
        <f t="shared" si="49"/>
        <v>#N/A</v>
      </c>
      <c r="BA65" s="127">
        <f t="shared" si="50"/>
        <v>0</v>
      </c>
      <c r="BB65" s="244">
        <f t="shared" si="51"/>
        <v>0</v>
      </c>
      <c r="BC65" s="225">
        <f t="shared" si="52"/>
        <v>0</v>
      </c>
      <c r="BD65" s="225">
        <f t="shared" si="53"/>
        <v>0</v>
      </c>
      <c r="BE65" s="225" t="str">
        <f t="shared" si="54"/>
        <v>692   + Số lượng xe:</v>
      </c>
      <c r="BF65" s="225">
        <f t="shared" si="55"/>
        <v>0</v>
      </c>
      <c r="BG65" s="225">
        <f t="shared" si="56"/>
        <v>0</v>
      </c>
      <c r="BH65" s="225">
        <f t="shared" si="57"/>
        <v>0</v>
      </c>
      <c r="BI65" s="321" t="str">
        <f t="shared" si="58"/>
        <v/>
      </c>
      <c r="BJ65" s="284">
        <f t="shared" si="40"/>
        <v>0</v>
      </c>
      <c r="BK65" s="284" t="str">
        <f t="shared" si="7"/>
        <v/>
      </c>
      <c r="BL65" s="225" t="str">
        <f t="shared" si="41"/>
        <v>692   + Người ra lệnh:</v>
      </c>
      <c r="BM65" s="225">
        <f t="shared" si="42"/>
        <v>0</v>
      </c>
      <c r="BN65" s="113" t="e">
        <f>VLOOKUP(BM65,[1]Sheet1!$B$3:$C$604,2,0)</f>
        <v>#N/A</v>
      </c>
      <c r="BO65" s="113" t="str">
        <f t="shared" si="43"/>
        <v/>
      </c>
      <c r="BP65" s="351" t="str">
        <f t="shared" si="8"/>
        <v/>
      </c>
      <c r="BT65" s="113" t="str">
        <f t="shared" si="44"/>
        <v>, 4 xe của Đức Tín, 3 xe của Đức Tín, 1 xe của Đức Tín</v>
      </c>
      <c r="BU65" s="113">
        <f t="shared" si="45"/>
        <v>100</v>
      </c>
      <c r="BV65" s="380" t="e">
        <f t="shared" si="46"/>
        <v>#N/A</v>
      </c>
      <c r="BW65" s="376" t="e">
        <f t="shared" si="47"/>
        <v>#N/A</v>
      </c>
    </row>
    <row r="66" spans="1:75" ht="15.6" x14ac:dyDescent="0.3">
      <c r="A66" s="113">
        <v>66</v>
      </c>
      <c r="B66" s="113" t="str">
        <f t="shared" si="117"/>
        <v xml:space="preserve">56Gỗ rời </v>
      </c>
      <c r="C66" t="s">
        <v>15070</v>
      </c>
      <c r="D66" t="s">
        <v>15086</v>
      </c>
      <c r="E66" s="128"/>
      <c r="F66"/>
      <c r="G66" s="113" t="str">
        <f>CONCATENATE("=CONCATENATE(A",F66,";C",F66,")")</f>
        <v>=CONCATENATE(A;C)</v>
      </c>
      <c r="M66" s="115"/>
      <c r="N66" s="115"/>
      <c r="O66" s="115"/>
      <c r="P66" s="115"/>
      <c r="R66" s="225" t="str">
        <f>IF((RIGHT(G66,3)="rời"),VLOOKUP(RIGHT(Q66,9),[2]Khach_hangmoi!$J$3:$N$3854,2,0),LEFT(Q66,7))</f>
        <v/>
      </c>
      <c r="S66" s="225" t="e">
        <f>VLOOKUP(R66,[2]Khach_hangmoi!$A$3:$I$4325,2,0)</f>
        <v>#N/A</v>
      </c>
      <c r="T66" s="225" t="e">
        <f>IF(VLOOKUP(R66,[2]Khach_hangmoi!$A$3:$I$4325,5,0)=0,"",VLOOKUP(R66,[2]Khach_hangmoi!$A$3:$I$4325,5,0))</f>
        <v>#N/A</v>
      </c>
      <c r="U66" s="225" t="e">
        <f>VLOOKUP(R66,[2]Khach_hangmoi!$A$3:$I$4325,3,0)</f>
        <v>#N/A</v>
      </c>
      <c r="Z66" s="301"/>
      <c r="AA66" s="225" t="e">
        <f t="shared" si="76"/>
        <v>#N/A</v>
      </c>
      <c r="AE66" s="244" t="e">
        <f t="shared" si="79"/>
        <v>#N/A</v>
      </c>
      <c r="AF66" s="311" t="e">
        <f t="shared" si="71"/>
        <v>#N/A</v>
      </c>
      <c r="AH66" s="225" t="str">
        <f>IF(OR(W66="Cont",W66="CT"),VLOOKUP(R66,cthuc!$AQ$3:$AR$44,2,0),"")</f>
        <v/>
      </c>
      <c r="AV66" s="113" t="e">
        <f>VLOOKUP(BD66,giaroi!$D$6:$N$500,11,0)</f>
        <v>#N/A</v>
      </c>
      <c r="AW66" s="284">
        <f t="shared" si="31"/>
        <v>0</v>
      </c>
      <c r="AX66" s="113" t="s">
        <v>13608</v>
      </c>
      <c r="AY66" s="284" t="str">
        <f t="shared" si="32"/>
        <v>=+0/V69</v>
      </c>
      <c r="AZ66" s="225" t="e">
        <f t="shared" si="49"/>
        <v>#N/A</v>
      </c>
      <c r="BA66" s="127">
        <f t="shared" si="50"/>
        <v>0</v>
      </c>
      <c r="BB66" s="244">
        <f t="shared" si="51"/>
        <v>0</v>
      </c>
      <c r="BC66" s="225">
        <f t="shared" si="52"/>
        <v>0</v>
      </c>
      <c r="BD66" s="225">
        <f t="shared" si="53"/>
        <v>0</v>
      </c>
      <c r="BE66" s="225" t="str">
        <f t="shared" si="54"/>
        <v>=CONCATENATE(A;C)   + Số lượng xe:</v>
      </c>
      <c r="BF66" s="225">
        <f t="shared" si="55"/>
        <v>0</v>
      </c>
      <c r="BG66" s="225">
        <f t="shared" si="56"/>
        <v>0</v>
      </c>
      <c r="BH66" s="225">
        <f t="shared" si="57"/>
        <v>0</v>
      </c>
      <c r="BI66" s="321" t="str">
        <f t="shared" si="58"/>
        <v/>
      </c>
      <c r="BJ66" s="284">
        <f t="shared" si="40"/>
        <v>0</v>
      </c>
      <c r="BK66" s="284" t="str">
        <f t="shared" si="7"/>
        <v/>
      </c>
      <c r="BL66" s="225" t="str">
        <f t="shared" si="41"/>
        <v>=CONCATENATE(A;C)   + Người ra lệnh:</v>
      </c>
      <c r="BM66" s="225">
        <f t="shared" si="42"/>
        <v>0</v>
      </c>
      <c r="BN66" s="113" t="e">
        <f>VLOOKUP(BM66,[1]Sheet1!$B$3:$C$604,2,0)</f>
        <v>#N/A</v>
      </c>
      <c r="BO66" s="113" t="str">
        <f t="shared" si="43"/>
        <v/>
      </c>
      <c r="BP66" s="351" t="str">
        <f t="shared" si="8"/>
        <v/>
      </c>
      <c r="BT66" s="113" t="str">
        <f t="shared" si="44"/>
        <v>, 4 xe của Đức Tín, 3 xe của Đức Tín, 1 xe của Đức Tín</v>
      </c>
      <c r="BU66" s="113">
        <f t="shared" si="45"/>
        <v>100</v>
      </c>
      <c r="BV66" s="380" t="e">
        <f t="shared" si="46"/>
        <v>#N/A</v>
      </c>
      <c r="BW66" s="376" t="e">
        <f t="shared" si="47"/>
        <v>#N/A</v>
      </c>
    </row>
    <row r="67" spans="1:75" ht="15.6" x14ac:dyDescent="0.3">
      <c r="A67" s="113">
        <v>67</v>
      </c>
      <c r="B67" s="113" t="str">
        <f t="shared" si="117"/>
        <v>56Gỗ rời   + Tiền đường:</v>
      </c>
      <c r="C67" t="s">
        <v>15072</v>
      </c>
      <c r="D67" t="s">
        <v>15097</v>
      </c>
      <c r="E67" s="128" t="s">
        <v>15073</v>
      </c>
      <c r="F67"/>
      <c r="M67" s="115"/>
      <c r="N67" s="115"/>
      <c r="O67" s="115"/>
      <c r="P67" s="115"/>
      <c r="R67" s="225" t="str">
        <f>IF((RIGHT(G67,3)="rời"),VLOOKUP(RIGHT(Q67,9),[2]Khach_hangmoi!$J$3:$N$3854,2,0),LEFT(Q67,7))</f>
        <v/>
      </c>
      <c r="S67" s="225" t="e">
        <f>VLOOKUP(R67,[2]Khach_hangmoi!$A$3:$I$4325,2,0)</f>
        <v>#N/A</v>
      </c>
      <c r="T67" s="225" t="e">
        <f>IF(VLOOKUP(R67,[2]Khach_hangmoi!$A$3:$I$4325,5,0)=0,"",VLOOKUP(R67,[2]Khach_hangmoi!$A$3:$I$4325,5,0))</f>
        <v>#N/A</v>
      </c>
      <c r="U67" s="225" t="e">
        <f>VLOOKUP(R67,[2]Khach_hangmoi!$A$3:$I$4325,3,0)</f>
        <v>#N/A</v>
      </c>
      <c r="Z67" s="301"/>
      <c r="AA67" s="225" t="e">
        <f t="shared" si="76"/>
        <v>#N/A</v>
      </c>
      <c r="AE67" s="244" t="e">
        <f t="shared" si="79"/>
        <v>#N/A</v>
      </c>
      <c r="AH67" s="225" t="str">
        <f>IF(OR(W67="Cont",W67="CT"),VLOOKUP(R67,cthuc!$AQ$3:$AR$44,2,0),"")</f>
        <v/>
      </c>
      <c r="AV67" s="113" t="e">
        <f>VLOOKUP(BD67,giaroi!$D$6:$N$500,11,0)</f>
        <v>#N/A</v>
      </c>
      <c r="AW67" s="284">
        <f t="shared" si="31"/>
        <v>0</v>
      </c>
      <c r="AX67" s="113" t="s">
        <v>13609</v>
      </c>
      <c r="AY67" s="284" t="str">
        <f t="shared" si="32"/>
        <v>=+0/V70</v>
      </c>
      <c r="AZ67" s="225">
        <f t="shared" si="49"/>
        <v>0</v>
      </c>
      <c r="BA67" s="127">
        <f t="shared" si="50"/>
        <v>0</v>
      </c>
      <c r="BB67" s="244">
        <f t="shared" si="51"/>
        <v>0</v>
      </c>
      <c r="BC67" s="225">
        <f t="shared" si="52"/>
        <v>0</v>
      </c>
      <c r="BD67" s="225">
        <f t="shared" si="53"/>
        <v>0</v>
      </c>
      <c r="BE67" s="225" t="str">
        <f t="shared" si="54"/>
        <v xml:space="preserve">   + Số lượng xe:</v>
      </c>
      <c r="BF67" s="225">
        <f t="shared" si="55"/>
        <v>0</v>
      </c>
      <c r="BG67" s="225">
        <f t="shared" si="56"/>
        <v>0</v>
      </c>
      <c r="BH67" s="225">
        <f t="shared" si="57"/>
        <v>0</v>
      </c>
      <c r="BI67" s="321" t="str">
        <f t="shared" si="58"/>
        <v/>
      </c>
      <c r="BJ67" s="284">
        <f t="shared" si="40"/>
        <v>0</v>
      </c>
      <c r="BK67" s="284" t="str">
        <f t="shared" si="7"/>
        <v/>
      </c>
      <c r="BL67" s="225" t="str">
        <f t="shared" si="41"/>
        <v xml:space="preserve">   + Người ra lệnh:</v>
      </c>
      <c r="BM67" s="225">
        <f t="shared" si="42"/>
        <v>0</v>
      </c>
      <c r="BN67" s="113" t="e">
        <f>VLOOKUP(BM67,[1]Sheet1!$B$3:$C$604,2,0)</f>
        <v>#N/A</v>
      </c>
      <c r="BO67" s="113" t="str">
        <f t="shared" si="43"/>
        <v/>
      </c>
      <c r="BP67" s="351" t="str">
        <f t="shared" si="8"/>
        <v/>
      </c>
      <c r="BT67" s="113" t="str">
        <f t="shared" si="44"/>
        <v>, 4 xe của Đức Tín, 3 xe của Đức Tín, 1 xe của Đức Tín</v>
      </c>
      <c r="BU67" s="113">
        <f t="shared" si="45"/>
        <v>100</v>
      </c>
      <c r="BV67" s="380" t="e">
        <f t="shared" si="46"/>
        <v>#N/A</v>
      </c>
      <c r="BW67" s="376" t="e">
        <f t="shared" si="47"/>
        <v>#N/A</v>
      </c>
    </row>
    <row r="68" spans="1:75" ht="15.6" x14ac:dyDescent="0.3">
      <c r="A68" s="113">
        <v>68</v>
      </c>
      <c r="C68" t="s">
        <v>15121</v>
      </c>
      <c r="D68" t="s">
        <v>15121</v>
      </c>
      <c r="E68"/>
      <c r="F68"/>
      <c r="M68" s="115"/>
      <c r="N68" s="115"/>
      <c r="O68" s="115"/>
      <c r="P68" s="115"/>
      <c r="R68" s="225" t="str">
        <f>IF((RIGHT(G68,3)="rời"),VLOOKUP(RIGHT(Q68,9),[2]Khach_hangmoi!$J$3:$N$3854,2,0),LEFT(Q68,7))</f>
        <v/>
      </c>
      <c r="S68" s="225" t="e">
        <f>VLOOKUP(R68,[2]Khach_hangmoi!$A$3:$I$4325,2,0)</f>
        <v>#N/A</v>
      </c>
      <c r="T68" s="225" t="e">
        <f>IF(VLOOKUP(R68,[2]Khach_hangmoi!$A$3:$I$4325,5,0)=0,"",VLOOKUP(R68,[2]Khach_hangmoi!$A$3:$I$4325,5,0))</f>
        <v>#N/A</v>
      </c>
      <c r="U68" s="225" t="e">
        <f>VLOOKUP(R68,[2]Khach_hangmoi!$A$3:$I$4325,3,0)</f>
        <v>#N/A</v>
      </c>
      <c r="Z68" s="301"/>
      <c r="AA68" s="225" t="e">
        <f t="shared" si="76"/>
        <v>#N/A</v>
      </c>
      <c r="AE68" s="244" t="e">
        <f t="shared" si="79"/>
        <v>#N/A</v>
      </c>
      <c r="AH68" s="225" t="str">
        <f>IF(OR(W68="Cont",W68="CT"),VLOOKUP(R68,cthuc!$AQ$3:$AR$44,2,0),"")</f>
        <v/>
      </c>
      <c r="AV68" s="113" t="e">
        <f>VLOOKUP(BD68,giaroi!$D$6:$N$500,11,0)</f>
        <v>#N/A</v>
      </c>
      <c r="AW68" s="284">
        <f t="shared" si="31"/>
        <v>0</v>
      </c>
      <c r="AX68" s="113" t="s">
        <v>13610</v>
      </c>
      <c r="AY68" s="284" t="str">
        <f t="shared" si="32"/>
        <v>=+0/V71</v>
      </c>
      <c r="AZ68" s="225">
        <f t="shared" si="49"/>
        <v>0</v>
      </c>
      <c r="BA68" s="127">
        <f t="shared" si="50"/>
        <v>0</v>
      </c>
      <c r="BB68" s="244">
        <f t="shared" si="51"/>
        <v>0</v>
      </c>
      <c r="BC68" s="225">
        <f t="shared" si="52"/>
        <v>0</v>
      </c>
      <c r="BD68" s="225">
        <f t="shared" si="53"/>
        <v>0</v>
      </c>
      <c r="BE68" s="225" t="str">
        <f t="shared" si="54"/>
        <v xml:space="preserve">   + Số lượng xe:</v>
      </c>
      <c r="BF68" s="225">
        <f t="shared" si="55"/>
        <v>0</v>
      </c>
      <c r="BG68" s="225">
        <f t="shared" si="56"/>
        <v>0</v>
      </c>
      <c r="BH68" s="225">
        <f t="shared" si="57"/>
        <v>0</v>
      </c>
      <c r="BI68" s="321" t="str">
        <f t="shared" si="58"/>
        <v/>
      </c>
      <c r="BJ68" s="284">
        <f t="shared" si="40"/>
        <v>0</v>
      </c>
      <c r="BK68" s="284" t="str">
        <f t="shared" si="7"/>
        <v/>
      </c>
      <c r="BL68" s="225" t="str">
        <f t="shared" si="41"/>
        <v xml:space="preserve">   + Người ra lệnh:</v>
      </c>
      <c r="BM68" s="225">
        <f t="shared" si="42"/>
        <v>0</v>
      </c>
      <c r="BN68" s="113" t="e">
        <f>VLOOKUP(BM68,[1]Sheet1!$B$3:$C$604,2,0)</f>
        <v>#N/A</v>
      </c>
      <c r="BO68" s="113" t="str">
        <f t="shared" si="43"/>
        <v/>
      </c>
      <c r="BP68" s="351" t="str">
        <f t="shared" si="8"/>
        <v/>
      </c>
      <c r="BT68" s="113" t="str">
        <f t="shared" si="44"/>
        <v>, 4 xe của Đức Tín, 3 xe của Đức Tín, 1 xe của Đức Tín</v>
      </c>
      <c r="BU68" s="113">
        <f t="shared" si="45"/>
        <v>100</v>
      </c>
      <c r="BV68" s="380" t="e">
        <f t="shared" si="46"/>
        <v>#N/A</v>
      </c>
      <c r="BW68" s="376" t="e">
        <f t="shared" si="47"/>
        <v>#N/A</v>
      </c>
    </row>
    <row r="69" spans="1:75" ht="15.6" x14ac:dyDescent="0.3">
      <c r="A69" s="113">
        <v>69</v>
      </c>
      <c r="B69" s="113" t="str">
        <f>CONCATENATE($A$68,$C$68,C69)</f>
        <v>68Gỗ rời   + Nâng gỗ</v>
      </c>
      <c r="C69" t="s">
        <v>15055</v>
      </c>
      <c r="D69" t="s">
        <v>232</v>
      </c>
      <c r="E69"/>
      <c r="F69"/>
      <c r="M69" s="115"/>
      <c r="N69" s="115"/>
      <c r="O69" s="115"/>
      <c r="P69" s="115"/>
      <c r="R69" s="225" t="str">
        <f>IF((RIGHT(G69,3)="rời"),VLOOKUP(RIGHT(Q69,9),[2]Khach_hangmoi!$J$3:$N$3854,2,0),LEFT(Q69,7))</f>
        <v/>
      </c>
      <c r="S69" s="225" t="e">
        <f>VLOOKUP(R69,[2]Khach_hangmoi!$A$3:$I$4325,2,0)</f>
        <v>#N/A</v>
      </c>
      <c r="T69" s="225" t="e">
        <f>IF(VLOOKUP(R69,[2]Khach_hangmoi!$A$3:$I$4325,5,0)=0,"",VLOOKUP(R69,[2]Khach_hangmoi!$A$3:$I$4325,5,0))</f>
        <v>#N/A</v>
      </c>
      <c r="U69" s="225" t="e">
        <f>VLOOKUP(R69,[2]Khach_hangmoi!$A$3:$I$4325,3,0)</f>
        <v>#N/A</v>
      </c>
      <c r="Z69" s="301"/>
      <c r="AA69" s="225" t="e">
        <f t="shared" si="76"/>
        <v>#N/A</v>
      </c>
      <c r="AE69" s="244" t="e">
        <f t="shared" si="79"/>
        <v>#N/A</v>
      </c>
      <c r="AH69" s="225" t="str">
        <f>IF(OR(W69="Cont",W69="CT"),VLOOKUP(R69,cthuc!$AQ$3:$AR$44,2,0),"")</f>
        <v/>
      </c>
      <c r="AV69" s="113" t="e">
        <f>VLOOKUP(BD69,giaroi!$D$6:$N$500,11,0)</f>
        <v>#N/A</v>
      </c>
      <c r="AW69" s="284">
        <f t="shared" si="31"/>
        <v>0</v>
      </c>
      <c r="AY69" s="284" t="str">
        <f t="shared" si="32"/>
        <v>=+0/</v>
      </c>
      <c r="AZ69" s="225">
        <f t="shared" si="49"/>
        <v>0</v>
      </c>
      <c r="BA69" s="127">
        <f t="shared" si="50"/>
        <v>0</v>
      </c>
      <c r="BB69" s="244">
        <f t="shared" si="51"/>
        <v>0</v>
      </c>
      <c r="BC69" s="225">
        <f t="shared" si="52"/>
        <v>0</v>
      </c>
      <c r="BD69" s="225">
        <f t="shared" si="53"/>
        <v>0</v>
      </c>
      <c r="BE69" s="225" t="str">
        <f t="shared" si="54"/>
        <v xml:space="preserve">   + Số lượng xe:</v>
      </c>
      <c r="BF69" s="225">
        <f t="shared" si="55"/>
        <v>0</v>
      </c>
      <c r="BG69" s="225">
        <f t="shared" si="56"/>
        <v>0</v>
      </c>
      <c r="BH69" s="225">
        <f t="shared" si="57"/>
        <v>0</v>
      </c>
      <c r="BI69" s="321" t="str">
        <f t="shared" si="58"/>
        <v/>
      </c>
      <c r="BJ69" s="284">
        <f t="shared" si="40"/>
        <v>0</v>
      </c>
      <c r="BK69" s="284" t="str">
        <f t="shared" si="7"/>
        <v/>
      </c>
      <c r="BL69" s="225" t="str">
        <f t="shared" si="41"/>
        <v xml:space="preserve">   + Người ra lệnh:</v>
      </c>
      <c r="BM69" s="225">
        <f t="shared" si="42"/>
        <v>0</v>
      </c>
      <c r="BN69" s="113" t="e">
        <f>VLOOKUP(BM69,[1]Sheet1!$B$3:$C$604,2,0)</f>
        <v>#N/A</v>
      </c>
      <c r="BO69" s="113" t="str">
        <f t="shared" si="43"/>
        <v/>
      </c>
      <c r="BP69" s="351" t="str">
        <f t="shared" si="8"/>
        <v/>
      </c>
      <c r="BT69" s="113" t="str">
        <f t="shared" si="44"/>
        <v>, 4 xe của Đức Tín, 3 xe của Đức Tín, 1 xe của Đức Tín</v>
      </c>
      <c r="BU69" s="113">
        <f t="shared" si="45"/>
        <v>100</v>
      </c>
      <c r="BV69" s="380" t="e">
        <f t="shared" si="46"/>
        <v>#N/A</v>
      </c>
      <c r="BW69" s="376" t="e">
        <f t="shared" si="47"/>
        <v>#N/A</v>
      </c>
    </row>
    <row r="70" spans="1:75" ht="15.6" x14ac:dyDescent="0.3">
      <c r="A70" s="113">
        <v>70</v>
      </c>
      <c r="B70" s="113" t="str">
        <f t="shared" ref="B70:B79" si="135">CONCATENATE($A$68,$C$68,C70)</f>
        <v>68Gỗ rời   + Người ra lệnh:</v>
      </c>
      <c r="C70" t="s">
        <v>15056</v>
      </c>
      <c r="D70" t="s">
        <v>15099</v>
      </c>
      <c r="E70"/>
      <c r="F70"/>
      <c r="M70" s="115"/>
      <c r="N70" s="115"/>
      <c r="O70" s="115"/>
      <c r="P70" s="115"/>
      <c r="R70" s="225" t="str">
        <f>IF((RIGHT(G70,3)="rời"),VLOOKUP(RIGHT(Q70,9),[2]Khach_hangmoi!$J$3:$N$3854,2,0),LEFT(Q70,7))</f>
        <v/>
      </c>
      <c r="S70" s="225" t="e">
        <f>VLOOKUP(R70,[2]Khach_hangmoi!$A$3:$I$4325,2,0)</f>
        <v>#N/A</v>
      </c>
      <c r="T70" s="225" t="e">
        <f>IF(VLOOKUP(R70,[2]Khach_hangmoi!$A$3:$I$4325,5,0)=0,"",VLOOKUP(R70,[2]Khach_hangmoi!$A$3:$I$4325,5,0))</f>
        <v>#N/A</v>
      </c>
      <c r="U70" s="225" t="e">
        <f>VLOOKUP(R70,[2]Khach_hangmoi!$A$3:$I$4325,3,0)</f>
        <v>#N/A</v>
      </c>
      <c r="Z70" s="301"/>
      <c r="AA70" s="225" t="e">
        <f t="shared" si="76"/>
        <v>#N/A</v>
      </c>
      <c r="AE70" s="244" t="e">
        <f t="shared" si="79"/>
        <v>#N/A</v>
      </c>
      <c r="AH70" s="225" t="str">
        <f>IF(OR(W70="Cont",W70="CT"),VLOOKUP(R70,cthuc!$AQ$3:$AR$44,2,0),"")</f>
        <v/>
      </c>
      <c r="AV70" s="113" t="e">
        <f>VLOOKUP(BD70,giaroi!$D$6:$N$500,11,0)</f>
        <v>#N/A</v>
      </c>
      <c r="AW70" s="284">
        <f t="shared" si="31"/>
        <v>0</v>
      </c>
      <c r="AY70" s="284" t="str">
        <f t="shared" si="32"/>
        <v>=+0/</v>
      </c>
      <c r="AZ70" s="225">
        <f t="shared" si="49"/>
        <v>0</v>
      </c>
      <c r="BA70" s="127">
        <f t="shared" si="50"/>
        <v>0</v>
      </c>
      <c r="BB70" s="244">
        <f t="shared" si="51"/>
        <v>0</v>
      </c>
      <c r="BC70" s="225">
        <f t="shared" si="52"/>
        <v>0</v>
      </c>
      <c r="BD70" s="225">
        <f t="shared" si="53"/>
        <v>0</v>
      </c>
      <c r="BE70" s="225" t="str">
        <f t="shared" si="54"/>
        <v xml:space="preserve">   + Số lượng xe:</v>
      </c>
      <c r="BF70" s="225">
        <f t="shared" si="55"/>
        <v>0</v>
      </c>
      <c r="BG70" s="225">
        <f t="shared" si="56"/>
        <v>0</v>
      </c>
      <c r="BH70" s="225">
        <f t="shared" si="57"/>
        <v>0</v>
      </c>
      <c r="BI70" s="321" t="str">
        <f t="shared" si="58"/>
        <v/>
      </c>
      <c r="BJ70" s="284">
        <f t="shared" si="40"/>
        <v>0</v>
      </c>
      <c r="BK70" s="284" t="str">
        <f t="shared" si="7"/>
        <v/>
      </c>
      <c r="BL70" s="225" t="str">
        <f t="shared" si="41"/>
        <v xml:space="preserve">   + Người ra lệnh:</v>
      </c>
      <c r="BM70" s="225">
        <f t="shared" si="42"/>
        <v>0</v>
      </c>
      <c r="BN70" s="113" t="e">
        <f>VLOOKUP(BM70,[1]Sheet1!$B$3:$C$604,2,0)</f>
        <v>#N/A</v>
      </c>
      <c r="BO70" s="113" t="str">
        <f t="shared" si="43"/>
        <v/>
      </c>
      <c r="BP70" s="351" t="str">
        <f t="shared" si="8"/>
        <v/>
      </c>
      <c r="BT70" s="113" t="str">
        <f t="shared" si="44"/>
        <v>, 4 xe của Đức Tín, 3 xe của Đức Tín, 1 xe của Đức Tín</v>
      </c>
      <c r="BU70" s="113">
        <f t="shared" si="45"/>
        <v>100</v>
      </c>
      <c r="BV70" s="380" t="e">
        <f t="shared" si="46"/>
        <v>#N/A</v>
      </c>
      <c r="BW70" s="376" t="e">
        <f t="shared" si="47"/>
        <v>#N/A</v>
      </c>
    </row>
    <row r="71" spans="1:75" ht="15.6" x14ac:dyDescent="0.3">
      <c r="A71" s="113">
        <v>71</v>
      </c>
      <c r="B71" s="113" t="str">
        <f t="shared" si="135"/>
        <v>68Gỗ rời   + Loại gỗ:</v>
      </c>
      <c r="C71" t="s">
        <v>15058</v>
      </c>
      <c r="D71" t="s">
        <v>15100</v>
      </c>
      <c r="E71"/>
      <c r="F71"/>
      <c r="M71" s="115"/>
      <c r="O71" s="115"/>
      <c r="P71" s="115"/>
      <c r="R71" s="225" t="str">
        <f>IF((RIGHT(G71,3)="rời"),VLOOKUP(RIGHT(Q71,9),[2]Khach_hangmoi!$J$3:$N$3854,2,0),LEFT(Q71,7))</f>
        <v/>
      </c>
      <c r="S71" s="225" t="e">
        <f>VLOOKUP(R71,[2]Khach_hangmoi!$A$3:$I$4325,2,0)</f>
        <v>#N/A</v>
      </c>
      <c r="T71" s="225" t="e">
        <f>IF(VLOOKUP(R71,[2]Khach_hangmoi!$A$3:$I$4325,5,0)=0,"",VLOOKUP(R71,[2]Khach_hangmoi!$A$3:$I$4325,5,0))</f>
        <v>#N/A</v>
      </c>
      <c r="U71" s="225" t="e">
        <f>VLOOKUP(R71,[2]Khach_hangmoi!$A$3:$I$4325,3,0)</f>
        <v>#N/A</v>
      </c>
      <c r="Z71" s="301"/>
      <c r="AE71" s="244" t="e">
        <f t="shared" si="79"/>
        <v>#N/A</v>
      </c>
      <c r="AH71" s="225" t="str">
        <f>IF(OR(W71="Cont",W71="CT"),VLOOKUP(R71,cthuc!$AQ$3:$AR$44,2,0),"")</f>
        <v/>
      </c>
      <c r="AV71" s="113" t="e">
        <f>VLOOKUP(BD71,giaroi!$D$6:$N$500,11,0)</f>
        <v>#N/A</v>
      </c>
      <c r="AW71" s="284">
        <f t="shared" si="31"/>
        <v>0</v>
      </c>
      <c r="AY71" s="284" t="str">
        <f t="shared" si="32"/>
        <v>=+0/</v>
      </c>
      <c r="AZ71" s="225">
        <f t="shared" si="49"/>
        <v>0</v>
      </c>
      <c r="BA71" s="127">
        <f t="shared" si="50"/>
        <v>0</v>
      </c>
      <c r="BB71" s="244">
        <f t="shared" si="51"/>
        <v>0</v>
      </c>
      <c r="BC71" s="225">
        <f t="shared" si="52"/>
        <v>0</v>
      </c>
      <c r="BD71" s="225">
        <f t="shared" si="53"/>
        <v>0</v>
      </c>
      <c r="BE71" s="225" t="str">
        <f t="shared" si="54"/>
        <v xml:space="preserve">   + Số lượng xe:</v>
      </c>
      <c r="BF71" s="225">
        <f t="shared" si="55"/>
        <v>0</v>
      </c>
      <c r="BG71" s="225">
        <f t="shared" si="56"/>
        <v>0</v>
      </c>
      <c r="BH71" s="225">
        <f t="shared" si="57"/>
        <v>0</v>
      </c>
      <c r="BI71" s="321" t="str">
        <f t="shared" si="58"/>
        <v/>
      </c>
      <c r="BJ71" s="284">
        <f t="shared" si="40"/>
        <v>0</v>
      </c>
      <c r="BK71" s="284" t="str">
        <f t="shared" si="7"/>
        <v/>
      </c>
      <c r="BL71" s="225" t="str">
        <f t="shared" si="41"/>
        <v xml:space="preserve">   + Người ra lệnh:</v>
      </c>
      <c r="BM71" s="225">
        <f t="shared" si="42"/>
        <v>0</v>
      </c>
      <c r="BN71" s="113" t="e">
        <f>VLOOKUP(BM71,[1]Sheet1!$B$3:$C$604,2,0)</f>
        <v>#N/A</v>
      </c>
      <c r="BO71" s="113" t="str">
        <f t="shared" si="43"/>
        <v/>
      </c>
      <c r="BP71" s="351" t="str">
        <f t="shared" si="8"/>
        <v/>
      </c>
      <c r="BT71" s="113" t="str">
        <f t="shared" si="44"/>
        <v>, 4 xe của Đức Tín, 3 xe của Đức Tín, 1 xe của Đức Tín</v>
      </c>
      <c r="BU71" s="113">
        <f t="shared" si="45"/>
        <v>100</v>
      </c>
      <c r="BV71" s="380" t="e">
        <f t="shared" si="46"/>
        <v>#N/A</v>
      </c>
      <c r="BW71" s="376" t="e">
        <f t="shared" si="47"/>
        <v>#N/A</v>
      </c>
    </row>
    <row r="72" spans="1:75" ht="15.6" x14ac:dyDescent="0.3">
      <c r="A72" s="113">
        <v>72</v>
      </c>
      <c r="B72" s="113" t="str">
        <f t="shared" si="135"/>
        <v>68Gỗ rời   + Khối lượng:</v>
      </c>
      <c r="C72" t="s">
        <v>15060</v>
      </c>
      <c r="D72" t="s">
        <v>15101</v>
      </c>
      <c r="E72"/>
      <c r="F72"/>
      <c r="M72" s="115"/>
      <c r="O72" s="115"/>
      <c r="P72" s="115"/>
      <c r="R72" s="225" t="str">
        <f>IF((RIGHT(G72,3)="rời"),VLOOKUP(RIGHT(Q72,9),[2]Khach_hangmoi!$J$3:$N$3854,2,0),LEFT(Q72,7))</f>
        <v/>
      </c>
      <c r="S72" s="225" t="e">
        <f>VLOOKUP(R72,[2]Khach_hangmoi!$A$3:$I$4325,2,0)</f>
        <v>#N/A</v>
      </c>
      <c r="T72" s="225" t="e">
        <f>IF(VLOOKUP(R72,[2]Khach_hangmoi!$A$3:$I$4325,5,0)=0,"",VLOOKUP(R72,[2]Khach_hangmoi!$A$3:$I$4325,5,0))</f>
        <v>#N/A</v>
      </c>
      <c r="U72" s="225" t="e">
        <f>VLOOKUP(R72,[2]Khach_hangmoi!$A$3:$I$4325,3,0)</f>
        <v>#N/A</v>
      </c>
      <c r="Z72" s="301"/>
      <c r="AE72" s="244" t="e">
        <f t="shared" si="79"/>
        <v>#N/A</v>
      </c>
      <c r="AH72" s="225" t="str">
        <f>IF(OR(W72="Cont",W72="CT"),VLOOKUP(R72,cthuc!$AQ$3:$AR$44,2,0),"")</f>
        <v/>
      </c>
      <c r="AV72" s="113" t="e">
        <f>VLOOKUP(BD72,giaroi!$D$6:$N$500,11,0)</f>
        <v>#N/A</v>
      </c>
      <c r="AW72" s="284">
        <f t="shared" si="31"/>
        <v>0</v>
      </c>
      <c r="AY72" s="284" t="str">
        <f t="shared" si="32"/>
        <v>=+0/</v>
      </c>
      <c r="AZ72" s="225">
        <f t="shared" si="49"/>
        <v>0</v>
      </c>
      <c r="BA72" s="127">
        <f t="shared" si="50"/>
        <v>0</v>
      </c>
      <c r="BB72" s="244">
        <f t="shared" si="51"/>
        <v>0</v>
      </c>
      <c r="BC72" s="225">
        <f t="shared" si="52"/>
        <v>0</v>
      </c>
      <c r="BD72" s="225">
        <f t="shared" si="53"/>
        <v>0</v>
      </c>
      <c r="BE72" s="225" t="str">
        <f t="shared" si="54"/>
        <v xml:space="preserve">   + Số lượng xe:</v>
      </c>
      <c r="BF72" s="225">
        <f t="shared" si="55"/>
        <v>0</v>
      </c>
      <c r="BG72" s="225">
        <f t="shared" si="56"/>
        <v>0</v>
      </c>
      <c r="BH72" s="225">
        <f t="shared" si="57"/>
        <v>0</v>
      </c>
      <c r="BI72" s="321" t="str">
        <f t="shared" si="58"/>
        <v/>
      </c>
      <c r="BJ72" s="284">
        <f t="shared" si="40"/>
        <v>0</v>
      </c>
      <c r="BK72" s="284" t="str">
        <f t="shared" ref="BK72:BK119" si="136">IF(BJ72=0,BI72,0)</f>
        <v/>
      </c>
      <c r="BL72" s="225" t="str">
        <f t="shared" si="41"/>
        <v xml:space="preserve">   + Người ra lệnh:</v>
      </c>
      <c r="BM72" s="225">
        <f t="shared" si="42"/>
        <v>0</v>
      </c>
      <c r="BN72" s="113" t="e">
        <f>VLOOKUP(BM72,[1]Sheet1!$B$3:$C$604,2,0)</f>
        <v>#N/A</v>
      </c>
      <c r="BO72" s="113" t="str">
        <f t="shared" si="43"/>
        <v/>
      </c>
      <c r="BP72" s="351" t="str">
        <f t="shared" ref="BP72:BP135" si="137">IF(BF72&lt;&gt;0,CONCATENATE(SUMIF($BN$8:$BN$147,BN72,$BF$8:$BF$134), " xe của ", BN72),"")</f>
        <v/>
      </c>
      <c r="BT72" s="113" t="str">
        <f t="shared" si="44"/>
        <v>, 4 xe của Đức Tín, 3 xe của Đức Tín, 1 xe của Đức Tín</v>
      </c>
      <c r="BU72" s="113">
        <f t="shared" si="45"/>
        <v>100</v>
      </c>
      <c r="BV72" s="380" t="e">
        <f t="shared" si="46"/>
        <v>#N/A</v>
      </c>
      <c r="BW72" s="376" t="e">
        <f t="shared" si="47"/>
        <v>#N/A</v>
      </c>
    </row>
    <row r="73" spans="1:75" ht="15.6" x14ac:dyDescent="0.3">
      <c r="A73" s="113">
        <v>73</v>
      </c>
      <c r="B73" s="113" t="str">
        <f t="shared" si="135"/>
        <v>68Gỗ rời   + Số lượng xe:</v>
      </c>
      <c r="C73" t="s">
        <v>15062</v>
      </c>
      <c r="D73">
        <v>1</v>
      </c>
      <c r="E73" t="s">
        <v>15082</v>
      </c>
      <c r="F73"/>
      <c r="M73" s="115"/>
      <c r="O73" s="115"/>
      <c r="P73" s="115"/>
      <c r="R73" s="225" t="str">
        <f>IF((RIGHT(G73,3)="rời"),VLOOKUP(RIGHT(Q73,9),[2]Khach_hangmoi!$J$3:$N$3854,2,0),LEFT(Q73,7))</f>
        <v/>
      </c>
      <c r="S73" s="225" t="e">
        <f>VLOOKUP(R73,[2]Khach_hangmoi!$A$3:$I$4325,2,0)</f>
        <v>#N/A</v>
      </c>
      <c r="T73" s="225" t="e">
        <f>IF(VLOOKUP(R73,[2]Khach_hangmoi!$A$3:$I$4325,5,0)=0,"",VLOOKUP(R73,[2]Khach_hangmoi!$A$3:$I$4325,5,0))</f>
        <v>#N/A</v>
      </c>
      <c r="U73" s="225" t="e">
        <f>VLOOKUP(R73,[2]Khach_hangmoi!$A$3:$I$4325,3,0)</f>
        <v>#N/A</v>
      </c>
      <c r="Z73" s="301"/>
      <c r="AE73" s="244" t="e">
        <f t="shared" ref="AE73:AE109" si="138">VALUE(IF(SUBSTITUTE(SUBSTITUTE(VLOOKUP(L73,$B$8:$E$670,3,0),",","")," đồng/cont","")-10000&lt;0,SUBSTITUTE(SUBSTITUTE(VLOOKUP(L73,$B$8:$E$670,3,0),",","")," đồng/cont","")*1000,SUBSTITUTE(SUBSTITUTE(VLOOKUP(L73,$B$8:$E$670,3,0),",","")," đồng/cont","")))</f>
        <v>#N/A</v>
      </c>
      <c r="AH73" s="225" t="str">
        <f>IF(OR(W73="Cont",W73="CT"),VLOOKUP(R73,cthuc!$AQ$3:$AR$44,2,0),"")</f>
        <v/>
      </c>
      <c r="AV73" s="113" t="e">
        <f>VLOOKUP(BD73,giaroi!$D$6:$N$500,11,0)</f>
        <v>#N/A</v>
      </c>
      <c r="AW73" s="284">
        <f t="shared" ref="AW73:AW123" si="139">IFERROR(VALUE(MID(AI73,SEARCH("Phụ thu",AI73)+8,8)*1000),0)/1000</f>
        <v>0</v>
      </c>
      <c r="AY73" s="284" t="str">
        <f t="shared" ref="AY73:AY123" si="140">IF(AR73="Cont",AT73,CONCATENATE("=",AT73,"+",AW73,"/",AX73))</f>
        <v>=+0/</v>
      </c>
      <c r="AZ73" s="225">
        <f t="shared" si="49"/>
        <v>0</v>
      </c>
      <c r="BA73" s="127">
        <f t="shared" si="50"/>
        <v>0</v>
      </c>
      <c r="BB73" s="244">
        <f t="shared" si="51"/>
        <v>0</v>
      </c>
      <c r="BC73" s="225">
        <f t="shared" si="52"/>
        <v>0</v>
      </c>
      <c r="BD73" s="225">
        <f t="shared" si="53"/>
        <v>0</v>
      </c>
      <c r="BE73" s="225" t="str">
        <f t="shared" si="54"/>
        <v xml:space="preserve">   + Số lượng xe:</v>
      </c>
      <c r="BF73" s="225">
        <f t="shared" ref="BF73:BF134" si="141">IFERROR(IF(R73="XN",0,VLOOKUP(BE73,$B$8:$E$670,3,0)),0)</f>
        <v>0</v>
      </c>
      <c r="BG73" s="225">
        <f t="shared" si="56"/>
        <v>0</v>
      </c>
      <c r="BH73" s="225">
        <f t="shared" si="57"/>
        <v>0</v>
      </c>
      <c r="BI73" s="321" t="str">
        <f t="shared" si="58"/>
        <v/>
      </c>
      <c r="BJ73" s="284">
        <f t="shared" ref="BJ73:BJ119" si="142">IFERROR(IF(AZ73="CGN",BI73,0),0)</f>
        <v>0</v>
      </c>
      <c r="BK73" s="284" t="str">
        <f t="shared" si="136"/>
        <v/>
      </c>
      <c r="BL73" s="225" t="str">
        <f t="shared" ref="BL73:BL134" si="143">CONCATENATE(G73,"   + Người ra lệnh:")</f>
        <v xml:space="preserve">   + Người ra lệnh:</v>
      </c>
      <c r="BM73" s="225">
        <f t="shared" ref="BM73:BM134" si="144">IFERROR(VLOOKUP(BL73,$B$8:$E$670,3,0),0)</f>
        <v>0</v>
      </c>
      <c r="BN73" s="113" t="e">
        <f>VLOOKUP(BM73,[1]Sheet1!$B$3:$C$604,2,0)</f>
        <v>#N/A</v>
      </c>
      <c r="BO73" s="113" t="str">
        <f t="shared" ref="BO73:BO136" si="145">IF(BF73&lt;&gt;0,CONCATENATE(BF73, " xe của ", BN73),"")</f>
        <v/>
      </c>
      <c r="BP73" s="351" t="str">
        <f t="shared" si="137"/>
        <v/>
      </c>
      <c r="BT73" s="113" t="str">
        <f t="shared" ref="BT73:BT102" si="146">IF(AND(BK73&lt;&gt;"",BK73&lt;&gt;0),CONCATENATE(BT72,", ",BO73),BT72)</f>
        <v>, 4 xe của Đức Tín, 3 xe của Đức Tín, 1 xe của Đức Tín</v>
      </c>
      <c r="BU73" s="113">
        <f t="shared" ref="BU73:BU102" si="147">IFERROR(IF(OR(FIND("xẻ",AB73,1)&gt;0),100,97),IF(MOD(AD73,22)=0,100,97))</f>
        <v>100</v>
      </c>
      <c r="BV73" s="380" t="e">
        <f t="shared" ref="BV73:BV101" si="148">AD73*AE73*BU73/100</f>
        <v>#N/A</v>
      </c>
      <c r="BW73" s="376" t="e">
        <f t="shared" ref="BW73:BW100" si="149">IF(ROUNDDOWN(ROUNDDOWN((BV73)/50000,0)*50000,6)-ROUNDDOWN((BV73)/50000,0)*50000=50000,ROUNDDOWN((BV73)/50000,0)*50000+50000,+ROUNDDOWN((BV73)/50000,0)*50000)</f>
        <v>#N/A</v>
      </c>
    </row>
    <row r="74" spans="1:75" ht="15.6" x14ac:dyDescent="0.3">
      <c r="A74" s="113">
        <v>74</v>
      </c>
      <c r="B74" s="113" t="str">
        <f t="shared" si="135"/>
        <v>68Gỗ rời   + Người nhận:</v>
      </c>
      <c r="C74" t="s">
        <v>15064</v>
      </c>
      <c r="D74" t="s">
        <v>15102</v>
      </c>
      <c r="E74"/>
      <c r="F74"/>
      <c r="M74" s="115"/>
      <c r="O74" s="115"/>
      <c r="P74" s="115"/>
      <c r="R74" s="225" t="str">
        <f>IF((RIGHT(G74,3)="rời"),VLOOKUP(RIGHT(Q74,9),[2]Khach_hangmoi!$J$3:$N$3854,2,0),LEFT(Q74,7))</f>
        <v/>
      </c>
      <c r="S74" s="225" t="e">
        <f>VLOOKUP(R74,[2]Khach_hangmoi!$A$3:$I$4325,2,0)</f>
        <v>#N/A</v>
      </c>
      <c r="T74" s="225" t="e">
        <f>IF(VLOOKUP(R74,[2]Khach_hangmoi!$A$3:$I$4325,5,0)=0,"",VLOOKUP(R74,[2]Khach_hangmoi!$A$3:$I$4325,5,0))</f>
        <v>#N/A</v>
      </c>
      <c r="U74" s="225" t="e">
        <f>VLOOKUP(R74,[2]Khach_hangmoi!$A$3:$I$4325,3,0)</f>
        <v>#N/A</v>
      </c>
      <c r="Z74" s="301"/>
      <c r="AE74" s="244" t="e">
        <f t="shared" si="138"/>
        <v>#N/A</v>
      </c>
      <c r="AV74" s="113" t="e">
        <f>VLOOKUP(BD74,giaroi!$D$6:$N$500,11,0)</f>
        <v>#N/A</v>
      </c>
      <c r="AW74" s="284">
        <f t="shared" si="139"/>
        <v>0</v>
      </c>
      <c r="AY74" s="284" t="str">
        <f t="shared" si="140"/>
        <v>=+0/</v>
      </c>
      <c r="AZ74" s="225">
        <f t="shared" ref="AZ74:AZ134" si="150">AF74</f>
        <v>0</v>
      </c>
      <c r="BA74" s="127">
        <f t="shared" ref="BA74:BA134" si="151">+Z74</f>
        <v>0</v>
      </c>
      <c r="BB74" s="244">
        <f t="shared" ref="BB74:BB134" si="152">AW74</f>
        <v>0</v>
      </c>
      <c r="BC74" s="225">
        <f t="shared" ref="BC74:BC134" si="153">Z74</f>
        <v>0</v>
      </c>
      <c r="BD74" s="225">
        <f t="shared" ref="BD74:BD134" si="154">+Y74</f>
        <v>0</v>
      </c>
      <c r="BE74" s="225" t="str">
        <f t="shared" ref="BE74:BE134" si="155">CONCATENATE(G74,"   + Số lượng xe:")</f>
        <v xml:space="preserve">   + Số lượng xe:</v>
      </c>
      <c r="BF74" s="225">
        <f t="shared" si="141"/>
        <v>0</v>
      </c>
      <c r="BG74" s="225">
        <f t="shared" ref="BG74:BG134" si="156">W74</f>
        <v>0</v>
      </c>
      <c r="BH74" s="225">
        <f t="shared" ref="BH74:BH134" si="157">AD74</f>
        <v>0</v>
      </c>
      <c r="BI74" s="321" t="str">
        <f t="shared" ref="BI74:BI134" si="158">IF(BA74=0,"",IF(BG74="Cont","",IF(BG74="CT","",BH74*0.97*AT74+BF74*BB74)))</f>
        <v/>
      </c>
      <c r="BJ74" s="284">
        <f t="shared" si="142"/>
        <v>0</v>
      </c>
      <c r="BK74" s="284" t="str">
        <f t="shared" si="136"/>
        <v/>
      </c>
      <c r="BL74" s="225" t="str">
        <f t="shared" si="143"/>
        <v xml:space="preserve">   + Người ra lệnh:</v>
      </c>
      <c r="BM74" s="225">
        <f t="shared" si="144"/>
        <v>0</v>
      </c>
      <c r="BN74" s="113" t="e">
        <f>VLOOKUP(BM74,[1]Sheet1!$B$3:$C$604,2,0)</f>
        <v>#N/A</v>
      </c>
      <c r="BO74" s="113" t="str">
        <f t="shared" si="145"/>
        <v/>
      </c>
      <c r="BP74" s="351" t="str">
        <f t="shared" si="137"/>
        <v/>
      </c>
      <c r="BT74" s="113" t="str">
        <f t="shared" si="146"/>
        <v>, 4 xe của Đức Tín, 3 xe của Đức Tín, 1 xe của Đức Tín</v>
      </c>
      <c r="BU74" s="113">
        <f t="shared" si="147"/>
        <v>100</v>
      </c>
      <c r="BV74" s="380" t="e">
        <f t="shared" si="148"/>
        <v>#N/A</v>
      </c>
      <c r="BW74" s="376" t="e">
        <f t="shared" si="149"/>
        <v>#N/A</v>
      </c>
    </row>
    <row r="75" spans="1:75" ht="15.6" x14ac:dyDescent="0.3">
      <c r="A75" s="113">
        <v>75</v>
      </c>
      <c r="B75" s="113" t="str">
        <f t="shared" si="135"/>
        <v>68Gỗ rời   + Nơi nhận:</v>
      </c>
      <c r="C75" t="s">
        <v>15065</v>
      </c>
      <c r="D75" t="s">
        <v>785</v>
      </c>
      <c r="E75"/>
      <c r="F75"/>
      <c r="M75" s="115"/>
      <c r="O75" s="115"/>
      <c r="P75" s="115"/>
      <c r="R75" s="225" t="str">
        <f>IF((RIGHT(G75,3)="rời"),VLOOKUP(RIGHT(Q75,9),[2]Khach_hangmoi!$J$3:$N$3854,2,0),LEFT(Q75,7))</f>
        <v/>
      </c>
      <c r="S75" s="225" t="e">
        <f>VLOOKUP(R75,[2]Khach_hangmoi!$A$3:$I$4325,2,0)</f>
        <v>#N/A</v>
      </c>
      <c r="T75" s="225" t="e">
        <f>IF(VLOOKUP(R75,[2]Khach_hangmoi!$A$3:$I$4325,5,0)=0,"",VLOOKUP(R75,[2]Khach_hangmoi!$A$3:$I$4325,5,0))</f>
        <v>#N/A</v>
      </c>
      <c r="U75" s="225" t="e">
        <f>VLOOKUP(R75,[2]Khach_hangmoi!$A$3:$I$4325,3,0)</f>
        <v>#N/A</v>
      </c>
      <c r="Z75" s="301"/>
      <c r="AE75" s="244" t="e">
        <f t="shared" si="138"/>
        <v>#N/A</v>
      </c>
      <c r="AV75" s="113" t="e">
        <f>VLOOKUP(BD75,giaroi!$D$6:$N$500,11,0)</f>
        <v>#N/A</v>
      </c>
      <c r="AW75" s="284">
        <f t="shared" si="139"/>
        <v>0</v>
      </c>
      <c r="AY75" s="284" t="str">
        <f t="shared" si="140"/>
        <v>=+0/</v>
      </c>
      <c r="AZ75" s="225">
        <f t="shared" si="150"/>
        <v>0</v>
      </c>
      <c r="BA75" s="127">
        <f t="shared" si="151"/>
        <v>0</v>
      </c>
      <c r="BB75" s="244">
        <f t="shared" si="152"/>
        <v>0</v>
      </c>
      <c r="BC75" s="225">
        <f t="shared" si="153"/>
        <v>0</v>
      </c>
      <c r="BD75" s="225">
        <f t="shared" si="154"/>
        <v>0</v>
      </c>
      <c r="BE75" s="225" t="str">
        <f t="shared" si="155"/>
        <v xml:space="preserve">   + Số lượng xe:</v>
      </c>
      <c r="BF75" s="225">
        <f t="shared" si="141"/>
        <v>0</v>
      </c>
      <c r="BG75" s="225">
        <f t="shared" si="156"/>
        <v>0</v>
      </c>
      <c r="BH75" s="225">
        <f t="shared" si="157"/>
        <v>0</v>
      </c>
      <c r="BI75" s="321" t="str">
        <f t="shared" si="158"/>
        <v/>
      </c>
      <c r="BJ75" s="284">
        <f t="shared" si="142"/>
        <v>0</v>
      </c>
      <c r="BK75" s="284" t="str">
        <f t="shared" si="136"/>
        <v/>
      </c>
      <c r="BL75" s="225" t="str">
        <f t="shared" si="143"/>
        <v xml:space="preserve">   + Người ra lệnh:</v>
      </c>
      <c r="BM75" s="225">
        <f t="shared" si="144"/>
        <v>0</v>
      </c>
      <c r="BN75" s="113" t="e">
        <f>VLOOKUP(BM75,[1]Sheet1!$B$3:$C$604,2,0)</f>
        <v>#N/A</v>
      </c>
      <c r="BO75" s="113" t="str">
        <f t="shared" si="145"/>
        <v/>
      </c>
      <c r="BP75" s="351" t="str">
        <f t="shared" si="137"/>
        <v/>
      </c>
      <c r="BT75" s="113" t="str">
        <f t="shared" si="146"/>
        <v>, 4 xe của Đức Tín, 3 xe của Đức Tín, 1 xe của Đức Tín</v>
      </c>
      <c r="BU75" s="113">
        <f t="shared" si="147"/>
        <v>100</v>
      </c>
      <c r="BV75" s="380" t="e">
        <f t="shared" si="148"/>
        <v>#N/A</v>
      </c>
      <c r="BW75" s="376" t="e">
        <f t="shared" si="149"/>
        <v>#N/A</v>
      </c>
    </row>
    <row r="76" spans="1:75" ht="15.6" x14ac:dyDescent="0.3">
      <c r="A76" s="113">
        <v>76</v>
      </c>
      <c r="B76" s="113" t="str">
        <f t="shared" si="135"/>
        <v>68Gỗ rời   + Đơn giá (đ/m3) :</v>
      </c>
      <c r="C76" t="s">
        <v>15084</v>
      </c>
      <c r="D76">
        <v>450</v>
      </c>
      <c r="E76" s="128">
        <v>1</v>
      </c>
      <c r="F76"/>
      <c r="M76" s="115"/>
      <c r="O76" s="115"/>
      <c r="P76" s="115"/>
      <c r="R76" s="225" t="str">
        <f>IF((RIGHT(G76,3)="rời"),VLOOKUP(RIGHT(Q76,9),[2]Khach_hangmoi!$J$3:$N$3854,2,0),LEFT(Q76,7))</f>
        <v/>
      </c>
      <c r="S76" s="225" t="e">
        <f>VLOOKUP(R76,[2]Khach_hangmoi!$A$3:$I$4325,2,0)</f>
        <v>#N/A</v>
      </c>
      <c r="T76" s="225" t="e">
        <f>IF(VLOOKUP(R76,[2]Khach_hangmoi!$A$3:$I$4325,5,0)=0,"",VLOOKUP(R76,[2]Khach_hangmoi!$A$3:$I$4325,5,0))</f>
        <v>#N/A</v>
      </c>
      <c r="U76" s="225" t="e">
        <f>VLOOKUP(R76,[2]Khach_hangmoi!$A$3:$I$4325,3,0)</f>
        <v>#N/A</v>
      </c>
      <c r="Z76" s="301"/>
      <c r="AE76" s="244" t="e">
        <f t="shared" si="138"/>
        <v>#N/A</v>
      </c>
      <c r="AV76" s="113" t="e">
        <f>VLOOKUP(BD76,giaroi!$D$6:$N$500,11,0)</f>
        <v>#N/A</v>
      </c>
      <c r="AW76" s="284">
        <f t="shared" si="139"/>
        <v>0</v>
      </c>
      <c r="AY76" s="284" t="str">
        <f t="shared" si="140"/>
        <v>=+0/</v>
      </c>
      <c r="AZ76" s="225">
        <f t="shared" si="150"/>
        <v>0</v>
      </c>
      <c r="BA76" s="127">
        <f t="shared" si="151"/>
        <v>0</v>
      </c>
      <c r="BB76" s="244">
        <f t="shared" si="152"/>
        <v>0</v>
      </c>
      <c r="BC76" s="225">
        <f t="shared" si="153"/>
        <v>0</v>
      </c>
      <c r="BD76" s="225">
        <f t="shared" si="154"/>
        <v>0</v>
      </c>
      <c r="BE76" s="225" t="str">
        <f t="shared" si="155"/>
        <v xml:space="preserve">   + Số lượng xe:</v>
      </c>
      <c r="BF76" s="225">
        <f t="shared" si="141"/>
        <v>0</v>
      </c>
      <c r="BG76" s="225">
        <f t="shared" si="156"/>
        <v>0</v>
      </c>
      <c r="BH76" s="225">
        <f t="shared" si="157"/>
        <v>0</v>
      </c>
      <c r="BI76" s="321" t="str">
        <f t="shared" si="158"/>
        <v/>
      </c>
      <c r="BJ76" s="284">
        <f t="shared" si="142"/>
        <v>0</v>
      </c>
      <c r="BK76" s="284" t="str">
        <f t="shared" si="136"/>
        <v/>
      </c>
      <c r="BL76" s="225" t="str">
        <f t="shared" si="143"/>
        <v xml:space="preserve">   + Người ra lệnh:</v>
      </c>
      <c r="BM76" s="225">
        <f t="shared" si="144"/>
        <v>0</v>
      </c>
      <c r="BN76" s="113" t="e">
        <f>VLOOKUP(BM76,[1]Sheet1!$B$3:$C$604,2,0)</f>
        <v>#N/A</v>
      </c>
      <c r="BO76" s="113" t="str">
        <f t="shared" si="145"/>
        <v/>
      </c>
      <c r="BP76" s="351" t="str">
        <f t="shared" si="137"/>
        <v/>
      </c>
      <c r="BT76" s="113" t="str">
        <f t="shared" si="146"/>
        <v>, 4 xe của Đức Tín, 3 xe của Đức Tín, 1 xe của Đức Tín</v>
      </c>
      <c r="BU76" s="113">
        <f t="shared" si="147"/>
        <v>100</v>
      </c>
      <c r="BV76" s="380" t="e">
        <f t="shared" si="148"/>
        <v>#N/A</v>
      </c>
      <c r="BW76" s="376" t="e">
        <f t="shared" si="149"/>
        <v>#N/A</v>
      </c>
    </row>
    <row r="77" spans="1:75" ht="15.6" x14ac:dyDescent="0.3">
      <c r="A77" s="113">
        <v>77</v>
      </c>
      <c r="B77" s="113" t="str">
        <f t="shared" si="135"/>
        <v>68Gỗ rời   + Tiền cước:</v>
      </c>
      <c r="C77" t="s">
        <v>15068</v>
      </c>
      <c r="D77" t="s">
        <v>15103</v>
      </c>
      <c r="E77" s="128" t="s">
        <v>15104</v>
      </c>
      <c r="F77"/>
      <c r="M77" s="115"/>
      <c r="O77" s="115"/>
      <c r="P77" s="115"/>
      <c r="R77" s="225" t="str">
        <f>IF((RIGHT(G77,3)="rời"),VLOOKUP(RIGHT(Q77,9),[2]Khach_hangmoi!$J$3:$N$3854,2,0),LEFT(Q77,7))</f>
        <v/>
      </c>
      <c r="S77" s="225" t="e">
        <f>VLOOKUP(R77,[2]Khach_hangmoi!$A$3:$I$4325,2,0)</f>
        <v>#N/A</v>
      </c>
      <c r="T77" s="225" t="e">
        <f>IF(VLOOKUP(R77,[2]Khach_hangmoi!$A$3:$I$4325,5,0)=0,"",VLOOKUP(R77,[2]Khach_hangmoi!$A$3:$I$4325,5,0))</f>
        <v>#N/A</v>
      </c>
      <c r="U77" s="225" t="e">
        <f>VLOOKUP(R77,[2]Khach_hangmoi!$A$3:$I$4325,3,0)</f>
        <v>#N/A</v>
      </c>
      <c r="Z77" s="301"/>
      <c r="AE77" s="244" t="e">
        <f t="shared" si="138"/>
        <v>#N/A</v>
      </c>
      <c r="AV77" s="113" t="e">
        <f>VLOOKUP(BD77,giaroi!$D$6:$N$500,11,0)</f>
        <v>#N/A</v>
      </c>
      <c r="AW77" s="284">
        <f t="shared" si="139"/>
        <v>0</v>
      </c>
      <c r="AY77" s="284" t="str">
        <f t="shared" si="140"/>
        <v>=+0/</v>
      </c>
      <c r="AZ77" s="225">
        <f t="shared" si="150"/>
        <v>0</v>
      </c>
      <c r="BA77" s="127">
        <f t="shared" si="151"/>
        <v>0</v>
      </c>
      <c r="BB77" s="244">
        <f t="shared" si="152"/>
        <v>0</v>
      </c>
      <c r="BC77" s="225">
        <f t="shared" si="153"/>
        <v>0</v>
      </c>
      <c r="BD77" s="225">
        <f t="shared" si="154"/>
        <v>0</v>
      </c>
      <c r="BE77" s="225" t="str">
        <f t="shared" si="155"/>
        <v xml:space="preserve">   + Số lượng xe:</v>
      </c>
      <c r="BF77" s="225">
        <f t="shared" si="141"/>
        <v>0</v>
      </c>
      <c r="BG77" s="225">
        <f t="shared" si="156"/>
        <v>0</v>
      </c>
      <c r="BH77" s="225">
        <f t="shared" si="157"/>
        <v>0</v>
      </c>
      <c r="BI77" s="321" t="str">
        <f t="shared" si="158"/>
        <v/>
      </c>
      <c r="BJ77" s="284">
        <f t="shared" si="142"/>
        <v>0</v>
      </c>
      <c r="BK77" s="284" t="str">
        <f t="shared" si="136"/>
        <v/>
      </c>
      <c r="BL77" s="225" t="str">
        <f t="shared" si="143"/>
        <v xml:space="preserve">   + Người ra lệnh:</v>
      </c>
      <c r="BM77" s="225">
        <f t="shared" si="144"/>
        <v>0</v>
      </c>
      <c r="BN77" s="113" t="e">
        <f>VLOOKUP(BM77,[1]Sheet1!$B$3:$C$604,2,0)</f>
        <v>#N/A</v>
      </c>
      <c r="BO77" s="113" t="str">
        <f t="shared" si="145"/>
        <v/>
      </c>
      <c r="BP77" s="351" t="str">
        <f t="shared" si="137"/>
        <v/>
      </c>
      <c r="BT77" s="113" t="str">
        <f t="shared" si="146"/>
        <v>, 4 xe của Đức Tín, 3 xe của Đức Tín, 1 xe của Đức Tín</v>
      </c>
      <c r="BU77" s="113">
        <f t="shared" si="147"/>
        <v>100</v>
      </c>
      <c r="BV77" s="380" t="e">
        <f t="shared" si="148"/>
        <v>#N/A</v>
      </c>
      <c r="BW77" s="376" t="e">
        <f t="shared" si="149"/>
        <v>#N/A</v>
      </c>
    </row>
    <row r="78" spans="1:75" ht="15.6" x14ac:dyDescent="0.3">
      <c r="A78" s="113">
        <v>78</v>
      </c>
      <c r="B78" s="113" t="str">
        <f t="shared" si="135"/>
        <v xml:space="preserve">68Gỗ rời </v>
      </c>
      <c r="C78" t="s">
        <v>15070</v>
      </c>
      <c r="D78" t="s">
        <v>15086</v>
      </c>
      <c r="E78"/>
      <c r="F78"/>
      <c r="M78" s="115"/>
      <c r="O78" s="115"/>
      <c r="P78" s="115"/>
      <c r="R78" s="225" t="str">
        <f>IF((RIGHT(G78,3)="rời"),VLOOKUP(RIGHT(Q78,9),[2]Khach_hangmoi!$J$3:$N$3854,2,0),LEFT(Q78,7))</f>
        <v/>
      </c>
      <c r="S78" s="225" t="e">
        <f>VLOOKUP(R78,[2]Khach_hangmoi!$A$3:$I$4325,2,0)</f>
        <v>#N/A</v>
      </c>
      <c r="T78" s="225" t="e">
        <f>IF(VLOOKUP(R78,[2]Khach_hangmoi!$A$3:$I$4325,5,0)=0,"",VLOOKUP(R78,[2]Khach_hangmoi!$A$3:$I$4325,5,0))</f>
        <v>#N/A</v>
      </c>
      <c r="U78" s="225" t="e">
        <f>VLOOKUP(R78,[2]Khach_hangmoi!$A$3:$I$4325,3,0)</f>
        <v>#N/A</v>
      </c>
      <c r="Z78" s="301"/>
      <c r="AE78" s="244" t="e">
        <f t="shared" si="138"/>
        <v>#N/A</v>
      </c>
      <c r="AV78" s="113" t="e">
        <f>VLOOKUP(BD78,giaroi!$D$6:$N$500,11,0)</f>
        <v>#N/A</v>
      </c>
      <c r="AW78" s="284">
        <f t="shared" si="139"/>
        <v>0</v>
      </c>
      <c r="AY78" s="284" t="str">
        <f t="shared" si="140"/>
        <v>=+0/</v>
      </c>
      <c r="AZ78" s="225">
        <f t="shared" si="150"/>
        <v>0</v>
      </c>
      <c r="BA78" s="127">
        <f t="shared" si="151"/>
        <v>0</v>
      </c>
      <c r="BB78" s="244">
        <f t="shared" si="152"/>
        <v>0</v>
      </c>
      <c r="BC78" s="225">
        <f t="shared" si="153"/>
        <v>0</v>
      </c>
      <c r="BD78" s="225">
        <f t="shared" si="154"/>
        <v>0</v>
      </c>
      <c r="BE78" s="225" t="str">
        <f t="shared" si="155"/>
        <v xml:space="preserve">   + Số lượng xe:</v>
      </c>
      <c r="BF78" s="225">
        <f t="shared" si="141"/>
        <v>0</v>
      </c>
      <c r="BG78" s="225">
        <f t="shared" si="156"/>
        <v>0</v>
      </c>
      <c r="BH78" s="225">
        <f t="shared" si="157"/>
        <v>0</v>
      </c>
      <c r="BI78" s="321" t="str">
        <f t="shared" si="158"/>
        <v/>
      </c>
      <c r="BJ78" s="284">
        <f t="shared" si="142"/>
        <v>0</v>
      </c>
      <c r="BK78" s="284" t="str">
        <f t="shared" si="136"/>
        <v/>
      </c>
      <c r="BL78" s="225" t="str">
        <f t="shared" si="143"/>
        <v xml:space="preserve">   + Người ra lệnh:</v>
      </c>
      <c r="BM78" s="225">
        <f t="shared" si="144"/>
        <v>0</v>
      </c>
      <c r="BN78" s="113" t="e">
        <f>VLOOKUP(BM78,[1]Sheet1!$B$3:$C$604,2,0)</f>
        <v>#N/A</v>
      </c>
      <c r="BO78" s="113" t="str">
        <f t="shared" si="145"/>
        <v/>
      </c>
      <c r="BP78" s="351" t="str">
        <f t="shared" si="137"/>
        <v/>
      </c>
      <c r="BT78" s="113" t="str">
        <f t="shared" si="146"/>
        <v>, 4 xe của Đức Tín, 3 xe của Đức Tín, 1 xe của Đức Tín</v>
      </c>
      <c r="BU78" s="113">
        <f t="shared" si="147"/>
        <v>100</v>
      </c>
      <c r="BV78" s="380" t="e">
        <f t="shared" si="148"/>
        <v>#N/A</v>
      </c>
      <c r="BW78" s="376" t="e">
        <f t="shared" si="149"/>
        <v>#N/A</v>
      </c>
    </row>
    <row r="79" spans="1:75" ht="15.6" x14ac:dyDescent="0.3">
      <c r="A79" s="113">
        <v>79</v>
      </c>
      <c r="B79" s="113" t="str">
        <f t="shared" si="135"/>
        <v>68Gỗ rời   + Tiền đường:</v>
      </c>
      <c r="C79" t="s">
        <v>15072</v>
      </c>
      <c r="D79" t="s">
        <v>15105</v>
      </c>
      <c r="E79" s="128" t="s">
        <v>15073</v>
      </c>
      <c r="F79"/>
      <c r="M79" s="115"/>
      <c r="O79" s="115"/>
      <c r="P79" s="115"/>
      <c r="R79" s="225" t="str">
        <f>IF((RIGHT(G79,3)="rời"),VLOOKUP(RIGHT(Q79,9),[2]Khach_hangmoi!$J$3:$N$3854,2,0),LEFT(Q79,7))</f>
        <v/>
      </c>
      <c r="S79" s="225" t="e">
        <f>VLOOKUP(R79,[2]Khach_hangmoi!$A$3:$I$4325,2,0)</f>
        <v>#N/A</v>
      </c>
      <c r="T79" s="225" t="e">
        <f>IF(VLOOKUP(R79,[2]Khach_hangmoi!$A$3:$I$4325,5,0)=0,"",VLOOKUP(R79,[2]Khach_hangmoi!$A$3:$I$4325,5,0))</f>
        <v>#N/A</v>
      </c>
      <c r="U79" s="225" t="e">
        <f>VLOOKUP(R79,[2]Khach_hangmoi!$A$3:$I$4325,3,0)</f>
        <v>#N/A</v>
      </c>
      <c r="Z79" s="301"/>
      <c r="AE79" s="244" t="e">
        <f t="shared" si="138"/>
        <v>#N/A</v>
      </c>
      <c r="AV79" s="113" t="e">
        <f>VLOOKUP(BD79,giaroi!$D$6:$N$500,11,0)</f>
        <v>#N/A</v>
      </c>
      <c r="AW79" s="284">
        <f t="shared" si="139"/>
        <v>0</v>
      </c>
      <c r="AY79" s="284" t="str">
        <f t="shared" si="140"/>
        <v>=+0/</v>
      </c>
      <c r="AZ79" s="225">
        <f t="shared" si="150"/>
        <v>0</v>
      </c>
      <c r="BA79" s="127">
        <f t="shared" si="151"/>
        <v>0</v>
      </c>
      <c r="BB79" s="244">
        <f t="shared" si="152"/>
        <v>0</v>
      </c>
      <c r="BC79" s="225">
        <f t="shared" si="153"/>
        <v>0</v>
      </c>
      <c r="BD79" s="225">
        <f t="shared" si="154"/>
        <v>0</v>
      </c>
      <c r="BE79" s="225" t="str">
        <f t="shared" si="155"/>
        <v xml:space="preserve">   + Số lượng xe:</v>
      </c>
      <c r="BF79" s="225">
        <f t="shared" si="141"/>
        <v>0</v>
      </c>
      <c r="BG79" s="225">
        <f t="shared" si="156"/>
        <v>0</v>
      </c>
      <c r="BH79" s="225">
        <f t="shared" si="157"/>
        <v>0</v>
      </c>
      <c r="BI79" s="321" t="str">
        <f t="shared" si="158"/>
        <v/>
      </c>
      <c r="BJ79" s="284">
        <f t="shared" si="142"/>
        <v>0</v>
      </c>
      <c r="BK79" s="284" t="str">
        <f t="shared" si="136"/>
        <v/>
      </c>
      <c r="BL79" s="225" t="str">
        <f t="shared" si="143"/>
        <v xml:space="preserve">   + Người ra lệnh:</v>
      </c>
      <c r="BM79" s="225">
        <f t="shared" si="144"/>
        <v>0</v>
      </c>
      <c r="BN79" s="113" t="e">
        <f>VLOOKUP(BM79,[1]Sheet1!$B$3:$C$604,2,0)</f>
        <v>#N/A</v>
      </c>
      <c r="BO79" s="113" t="str">
        <f t="shared" si="145"/>
        <v/>
      </c>
      <c r="BP79" s="351" t="str">
        <f t="shared" si="137"/>
        <v/>
      </c>
      <c r="BT79" s="113" t="str">
        <f t="shared" si="146"/>
        <v>, 4 xe của Đức Tín, 3 xe của Đức Tín, 1 xe của Đức Tín</v>
      </c>
      <c r="BU79" s="113">
        <f t="shared" si="147"/>
        <v>100</v>
      </c>
      <c r="BV79" s="380" t="e">
        <f t="shared" si="148"/>
        <v>#N/A</v>
      </c>
      <c r="BW79" s="376" t="e">
        <f t="shared" si="149"/>
        <v>#N/A</v>
      </c>
    </row>
    <row r="80" spans="1:75" ht="15.6" x14ac:dyDescent="0.3">
      <c r="A80" s="113">
        <v>80</v>
      </c>
      <c r="C80" t="s">
        <v>15121</v>
      </c>
      <c r="D80" t="s">
        <v>15121</v>
      </c>
      <c r="E80"/>
      <c r="F80"/>
      <c r="M80" s="115"/>
      <c r="O80" s="115"/>
      <c r="P80" s="115"/>
      <c r="R80" s="225" t="str">
        <f>IF((RIGHT(G80,3)="rời"),VLOOKUP(RIGHT(Q80,9),[2]Khach_hangmoi!$J$3:$N$3854,2,0),LEFT(Q80,7))</f>
        <v/>
      </c>
      <c r="S80" s="225" t="e">
        <f>VLOOKUP(R80,[2]Khach_hangmoi!$A$3:$I$4325,2,0)</f>
        <v>#N/A</v>
      </c>
      <c r="T80" s="225" t="e">
        <f>IF(VLOOKUP(R80,[2]Khach_hangmoi!$A$3:$I$4325,5,0)=0,"",VLOOKUP(R80,[2]Khach_hangmoi!$A$3:$I$4325,5,0))</f>
        <v>#N/A</v>
      </c>
      <c r="U80" s="225" t="e">
        <f>VLOOKUP(R80,[2]Khach_hangmoi!$A$3:$I$4325,3,0)</f>
        <v>#N/A</v>
      </c>
      <c r="Z80" s="301"/>
      <c r="AE80" s="244" t="e">
        <f t="shared" si="138"/>
        <v>#N/A</v>
      </c>
      <c r="AV80" s="113" t="e">
        <f>VLOOKUP(BD80,giaroi!$D$6:$N$500,11,0)</f>
        <v>#N/A</v>
      </c>
      <c r="AW80" s="284">
        <f t="shared" si="139"/>
        <v>0</v>
      </c>
      <c r="AY80" s="284" t="str">
        <f t="shared" si="140"/>
        <v>=+0/</v>
      </c>
      <c r="AZ80" s="225">
        <f t="shared" si="150"/>
        <v>0</v>
      </c>
      <c r="BA80" s="127">
        <f t="shared" si="151"/>
        <v>0</v>
      </c>
      <c r="BB80" s="244">
        <f t="shared" si="152"/>
        <v>0</v>
      </c>
      <c r="BC80" s="225">
        <f t="shared" si="153"/>
        <v>0</v>
      </c>
      <c r="BD80" s="225">
        <f t="shared" si="154"/>
        <v>0</v>
      </c>
      <c r="BE80" s="225" t="str">
        <f t="shared" si="155"/>
        <v xml:space="preserve">   + Số lượng xe:</v>
      </c>
      <c r="BF80" s="225">
        <f t="shared" si="141"/>
        <v>0</v>
      </c>
      <c r="BG80" s="225">
        <f t="shared" si="156"/>
        <v>0</v>
      </c>
      <c r="BH80" s="225">
        <f t="shared" si="157"/>
        <v>0</v>
      </c>
      <c r="BI80" s="321" t="str">
        <f t="shared" si="158"/>
        <v/>
      </c>
      <c r="BJ80" s="284">
        <f t="shared" si="142"/>
        <v>0</v>
      </c>
      <c r="BK80" s="284" t="str">
        <f t="shared" si="136"/>
        <v/>
      </c>
      <c r="BL80" s="225" t="str">
        <f t="shared" si="143"/>
        <v xml:space="preserve">   + Người ra lệnh:</v>
      </c>
      <c r="BM80" s="225">
        <f t="shared" si="144"/>
        <v>0</v>
      </c>
      <c r="BN80" s="113" t="e">
        <f>VLOOKUP(BM80,[1]Sheet1!$B$3:$C$604,2,0)</f>
        <v>#N/A</v>
      </c>
      <c r="BO80" s="113" t="str">
        <f t="shared" si="145"/>
        <v/>
      </c>
      <c r="BP80" s="351" t="str">
        <f t="shared" si="137"/>
        <v/>
      </c>
      <c r="BT80" s="113" t="str">
        <f t="shared" si="146"/>
        <v>, 4 xe của Đức Tín, 3 xe của Đức Tín, 1 xe của Đức Tín</v>
      </c>
      <c r="BU80" s="113">
        <f t="shared" si="147"/>
        <v>100</v>
      </c>
      <c r="BV80" s="380" t="e">
        <f t="shared" si="148"/>
        <v>#N/A</v>
      </c>
      <c r="BW80" s="376" t="e">
        <f t="shared" si="149"/>
        <v>#N/A</v>
      </c>
    </row>
    <row r="81" spans="1:75" ht="15.6" x14ac:dyDescent="0.3">
      <c r="A81" s="113">
        <v>81</v>
      </c>
      <c r="B81" s="224" t="str">
        <f>CONCATENATE($A$80,$C$80,C81)</f>
        <v>80Gỗ rời   + Nâng gỗ</v>
      </c>
      <c r="C81" t="s">
        <v>15055</v>
      </c>
      <c r="D81" t="s">
        <v>232</v>
      </c>
      <c r="E81"/>
      <c r="F81"/>
      <c r="M81" s="115"/>
      <c r="O81" s="115"/>
      <c r="P81" s="115"/>
      <c r="R81" s="225" t="str">
        <f>IF((RIGHT(G81,3)="rời"),VLOOKUP(RIGHT(Q81,9),[2]Khach_hangmoi!$J$3:$N$3854,2,0),LEFT(Q81,7))</f>
        <v/>
      </c>
      <c r="S81" s="225" t="e">
        <f>VLOOKUP(R81,[2]Khach_hangmoi!$A$3:$I$4325,2,0)</f>
        <v>#N/A</v>
      </c>
      <c r="T81" s="225" t="e">
        <f>IF(VLOOKUP(R81,[2]Khach_hangmoi!$A$3:$I$4325,5,0)=0,"",VLOOKUP(R81,[2]Khach_hangmoi!$A$3:$I$4325,5,0))</f>
        <v>#N/A</v>
      </c>
      <c r="U81" s="225" t="e">
        <f>VLOOKUP(R81,[2]Khach_hangmoi!$A$3:$I$4325,3,0)</f>
        <v>#N/A</v>
      </c>
      <c r="AE81" s="244" t="e">
        <f t="shared" si="138"/>
        <v>#N/A</v>
      </c>
      <c r="AV81" s="113" t="e">
        <f>VLOOKUP(BD81,giaroi!$D$6:$N$500,11,0)</f>
        <v>#N/A</v>
      </c>
      <c r="AW81" s="284">
        <f t="shared" si="139"/>
        <v>0</v>
      </c>
      <c r="AY81" s="284" t="str">
        <f t="shared" si="140"/>
        <v>=+0/</v>
      </c>
      <c r="AZ81" s="225">
        <f t="shared" si="150"/>
        <v>0</v>
      </c>
      <c r="BA81" s="127">
        <f t="shared" si="151"/>
        <v>0</v>
      </c>
      <c r="BB81" s="244">
        <f t="shared" si="152"/>
        <v>0</v>
      </c>
      <c r="BC81" s="225">
        <f t="shared" si="153"/>
        <v>0</v>
      </c>
      <c r="BD81" s="225">
        <f t="shared" si="154"/>
        <v>0</v>
      </c>
      <c r="BE81" s="225" t="str">
        <f t="shared" si="155"/>
        <v xml:space="preserve">   + Số lượng xe:</v>
      </c>
      <c r="BF81" s="225">
        <f t="shared" si="141"/>
        <v>0</v>
      </c>
      <c r="BG81" s="225">
        <f t="shared" si="156"/>
        <v>0</v>
      </c>
      <c r="BH81" s="225">
        <f t="shared" si="157"/>
        <v>0</v>
      </c>
      <c r="BI81" s="321" t="str">
        <f t="shared" si="158"/>
        <v/>
      </c>
      <c r="BJ81" s="284">
        <f t="shared" si="142"/>
        <v>0</v>
      </c>
      <c r="BK81" s="284" t="str">
        <f t="shared" si="136"/>
        <v/>
      </c>
      <c r="BL81" s="225" t="str">
        <f t="shared" si="143"/>
        <v xml:space="preserve">   + Người ra lệnh:</v>
      </c>
      <c r="BM81" s="225">
        <f t="shared" si="144"/>
        <v>0</v>
      </c>
      <c r="BN81" s="113" t="e">
        <f>VLOOKUP(BM81,[1]Sheet1!$B$3:$C$604,2,0)</f>
        <v>#N/A</v>
      </c>
      <c r="BO81" s="113" t="str">
        <f t="shared" si="145"/>
        <v/>
      </c>
      <c r="BP81" s="351" t="str">
        <f t="shared" si="137"/>
        <v/>
      </c>
      <c r="BT81" s="113" t="str">
        <f t="shared" si="146"/>
        <v>, 4 xe của Đức Tín, 3 xe của Đức Tín, 1 xe của Đức Tín</v>
      </c>
      <c r="BU81" s="113">
        <f t="shared" si="147"/>
        <v>100</v>
      </c>
      <c r="BV81" s="380" t="e">
        <f t="shared" si="148"/>
        <v>#N/A</v>
      </c>
      <c r="BW81" s="376" t="e">
        <f t="shared" si="149"/>
        <v>#N/A</v>
      </c>
    </row>
    <row r="82" spans="1:75" ht="15.6" x14ac:dyDescent="0.3">
      <c r="A82" s="113">
        <v>82</v>
      </c>
      <c r="B82" s="224" t="str">
        <f t="shared" ref="B82:B91" si="159">CONCATENATE($A$80,$C$80,C82)</f>
        <v>80Gỗ rời   + Người ra lệnh:</v>
      </c>
      <c r="C82" t="s">
        <v>15056</v>
      </c>
      <c r="D82" t="s">
        <v>15099</v>
      </c>
      <c r="E82"/>
      <c r="F82"/>
      <c r="M82" s="115"/>
      <c r="O82" s="115"/>
      <c r="P82" s="115"/>
      <c r="R82" s="225" t="str">
        <f>IF((RIGHT(G82,3)="rời"),VLOOKUP(RIGHT(Q82,9),[2]Khach_hangmoi!$J$3:$N$3854,2,0),LEFT(Q82,7))</f>
        <v/>
      </c>
      <c r="S82" s="225" t="e">
        <f>VLOOKUP(R82,[2]Khach_hangmoi!$A$3:$I$4325,2,0)</f>
        <v>#N/A</v>
      </c>
      <c r="T82" s="225" t="e">
        <f>IF(VLOOKUP(R82,[2]Khach_hangmoi!$A$3:$I$4325,5,0)=0,"",VLOOKUP(R82,[2]Khach_hangmoi!$A$3:$I$4325,5,0))</f>
        <v>#N/A</v>
      </c>
      <c r="U82" s="225" t="e">
        <f>VLOOKUP(R82,[2]Khach_hangmoi!$A$3:$I$4325,3,0)</f>
        <v>#N/A</v>
      </c>
      <c r="AE82" s="244" t="e">
        <f t="shared" si="138"/>
        <v>#N/A</v>
      </c>
      <c r="AV82" s="113" t="e">
        <f>VLOOKUP(BD82,giaroi!$D$6:$N$500,11,0)</f>
        <v>#N/A</v>
      </c>
      <c r="AW82" s="284">
        <f t="shared" si="139"/>
        <v>0</v>
      </c>
      <c r="AY82" s="284" t="str">
        <f t="shared" si="140"/>
        <v>=+0/</v>
      </c>
      <c r="AZ82" s="225">
        <f t="shared" si="150"/>
        <v>0</v>
      </c>
      <c r="BA82" s="127">
        <f t="shared" si="151"/>
        <v>0</v>
      </c>
      <c r="BB82" s="244">
        <f t="shared" si="152"/>
        <v>0</v>
      </c>
      <c r="BC82" s="225">
        <f t="shared" si="153"/>
        <v>0</v>
      </c>
      <c r="BD82" s="225">
        <f t="shared" si="154"/>
        <v>0</v>
      </c>
      <c r="BE82" s="225" t="str">
        <f t="shared" si="155"/>
        <v xml:space="preserve">   + Số lượng xe:</v>
      </c>
      <c r="BF82" s="225">
        <f t="shared" si="141"/>
        <v>0</v>
      </c>
      <c r="BG82" s="225">
        <f t="shared" si="156"/>
        <v>0</v>
      </c>
      <c r="BH82" s="225">
        <f t="shared" si="157"/>
        <v>0</v>
      </c>
      <c r="BI82" s="321" t="str">
        <f t="shared" si="158"/>
        <v/>
      </c>
      <c r="BJ82" s="284">
        <f t="shared" si="142"/>
        <v>0</v>
      </c>
      <c r="BK82" s="284" t="str">
        <f t="shared" si="136"/>
        <v/>
      </c>
      <c r="BL82" s="225" t="str">
        <f t="shared" si="143"/>
        <v xml:space="preserve">   + Người ra lệnh:</v>
      </c>
      <c r="BM82" s="225">
        <f t="shared" si="144"/>
        <v>0</v>
      </c>
      <c r="BN82" s="113" t="e">
        <f>VLOOKUP(BM82,[1]Sheet1!$B$3:$C$604,2,0)</f>
        <v>#N/A</v>
      </c>
      <c r="BO82" s="113" t="str">
        <f t="shared" si="145"/>
        <v/>
      </c>
      <c r="BP82" s="351" t="str">
        <f t="shared" si="137"/>
        <v/>
      </c>
      <c r="BT82" s="113" t="str">
        <f t="shared" si="146"/>
        <v>, 4 xe của Đức Tín, 3 xe của Đức Tín, 1 xe của Đức Tín</v>
      </c>
      <c r="BU82" s="113">
        <f t="shared" si="147"/>
        <v>100</v>
      </c>
      <c r="BV82" s="380" t="e">
        <f t="shared" si="148"/>
        <v>#N/A</v>
      </c>
      <c r="BW82" s="376" t="e">
        <f t="shared" si="149"/>
        <v>#N/A</v>
      </c>
    </row>
    <row r="83" spans="1:75" ht="15.6" x14ac:dyDescent="0.3">
      <c r="A83" s="113">
        <v>83</v>
      </c>
      <c r="B83" s="224" t="str">
        <f t="shared" si="159"/>
        <v>80Gỗ rời   + Loại gỗ:</v>
      </c>
      <c r="C83" t="s">
        <v>15058</v>
      </c>
      <c r="D83" t="s">
        <v>15100</v>
      </c>
      <c r="E83"/>
      <c r="F83"/>
      <c r="M83" s="115"/>
      <c r="O83" s="115"/>
      <c r="P83" s="115"/>
      <c r="R83" s="225" t="str">
        <f>IF((RIGHT(G83,3)="rời"),VLOOKUP(RIGHT(Q83,9),[2]Khach_hangmoi!$J$3:$N$3854,2,0),LEFT(Q83,7))</f>
        <v/>
      </c>
      <c r="S83" s="225" t="e">
        <f>VLOOKUP(R83,[2]Khach_hangmoi!$A$3:$I$4325,2,0)</f>
        <v>#N/A</v>
      </c>
      <c r="T83" s="225" t="e">
        <f>IF(VLOOKUP(R83,[2]Khach_hangmoi!$A$3:$I$4325,5,0)=0,"",VLOOKUP(R83,[2]Khach_hangmoi!$A$3:$I$4325,5,0))</f>
        <v>#N/A</v>
      </c>
      <c r="U83" s="225" t="e">
        <f>VLOOKUP(R83,[2]Khach_hangmoi!$A$3:$I$4325,3,0)</f>
        <v>#N/A</v>
      </c>
      <c r="AE83" s="244" t="e">
        <f t="shared" si="138"/>
        <v>#N/A</v>
      </c>
      <c r="AV83" s="113" t="e">
        <f>VLOOKUP(BD83,giaroi!$D$6:$N$500,11,0)</f>
        <v>#N/A</v>
      </c>
      <c r="AW83" s="284">
        <f t="shared" si="139"/>
        <v>0</v>
      </c>
      <c r="AY83" s="284" t="str">
        <f t="shared" si="140"/>
        <v>=+0/</v>
      </c>
      <c r="AZ83" s="225">
        <f t="shared" si="150"/>
        <v>0</v>
      </c>
      <c r="BA83" s="127">
        <f t="shared" si="151"/>
        <v>0</v>
      </c>
      <c r="BB83" s="244">
        <f t="shared" si="152"/>
        <v>0</v>
      </c>
      <c r="BC83" s="225">
        <f t="shared" si="153"/>
        <v>0</v>
      </c>
      <c r="BD83" s="225">
        <f t="shared" si="154"/>
        <v>0</v>
      </c>
      <c r="BE83" s="225" t="str">
        <f t="shared" si="155"/>
        <v xml:space="preserve">   + Số lượng xe:</v>
      </c>
      <c r="BF83" s="225">
        <f t="shared" si="141"/>
        <v>0</v>
      </c>
      <c r="BG83" s="225">
        <f t="shared" si="156"/>
        <v>0</v>
      </c>
      <c r="BH83" s="225">
        <f t="shared" si="157"/>
        <v>0</v>
      </c>
      <c r="BI83" s="321" t="str">
        <f t="shared" si="158"/>
        <v/>
      </c>
      <c r="BJ83" s="284">
        <f t="shared" si="142"/>
        <v>0</v>
      </c>
      <c r="BK83" s="284" t="str">
        <f t="shared" si="136"/>
        <v/>
      </c>
      <c r="BL83" s="225" t="str">
        <f t="shared" si="143"/>
        <v xml:space="preserve">   + Người ra lệnh:</v>
      </c>
      <c r="BM83" s="225">
        <f t="shared" si="144"/>
        <v>0</v>
      </c>
      <c r="BN83" s="113" t="e">
        <f>VLOOKUP(BM83,[1]Sheet1!$B$3:$C$604,2,0)</f>
        <v>#N/A</v>
      </c>
      <c r="BO83" s="113" t="str">
        <f t="shared" si="145"/>
        <v/>
      </c>
      <c r="BP83" s="351" t="str">
        <f t="shared" si="137"/>
        <v/>
      </c>
      <c r="BT83" s="113" t="str">
        <f t="shared" si="146"/>
        <v>, 4 xe của Đức Tín, 3 xe của Đức Tín, 1 xe của Đức Tín</v>
      </c>
      <c r="BU83" s="113">
        <f t="shared" si="147"/>
        <v>100</v>
      </c>
      <c r="BV83" s="380" t="e">
        <f t="shared" si="148"/>
        <v>#N/A</v>
      </c>
      <c r="BW83" s="376" t="e">
        <f t="shared" si="149"/>
        <v>#N/A</v>
      </c>
    </row>
    <row r="84" spans="1:75" ht="15.6" x14ac:dyDescent="0.3">
      <c r="A84" s="113">
        <v>84</v>
      </c>
      <c r="B84" s="224" t="str">
        <f t="shared" si="159"/>
        <v>80Gỗ rời   + Khối lượng:</v>
      </c>
      <c r="C84" t="s">
        <v>15060</v>
      </c>
      <c r="D84" t="s">
        <v>15106</v>
      </c>
      <c r="E84"/>
      <c r="F84"/>
      <c r="M84" s="115"/>
      <c r="O84" s="115"/>
      <c r="P84" s="115"/>
      <c r="R84" s="225" t="str">
        <f>IF((RIGHT(G84,3)="rời"),VLOOKUP(RIGHT(Q84,9),[2]Khach_hangmoi!$J$3:$N$3854,2,0),LEFT(Q84,7))</f>
        <v/>
      </c>
      <c r="S84" s="225" t="e">
        <f>VLOOKUP(R84,[2]Khach_hangmoi!$A$3:$I$4325,2,0)</f>
        <v>#N/A</v>
      </c>
      <c r="T84" s="225" t="e">
        <f>IF(VLOOKUP(R84,[2]Khach_hangmoi!$A$3:$I$4325,5,0)=0,"",VLOOKUP(R84,[2]Khach_hangmoi!$A$3:$I$4325,5,0))</f>
        <v>#N/A</v>
      </c>
      <c r="U84" s="225" t="e">
        <f>VLOOKUP(R84,[2]Khach_hangmoi!$A$3:$I$4325,3,0)</f>
        <v>#N/A</v>
      </c>
      <c r="AE84" s="244" t="e">
        <f t="shared" si="138"/>
        <v>#N/A</v>
      </c>
      <c r="AV84" s="113" t="e">
        <f>VLOOKUP(BD84,giaroi!$D$6:$N$500,11,0)</f>
        <v>#N/A</v>
      </c>
      <c r="AW84" s="284">
        <f t="shared" si="139"/>
        <v>0</v>
      </c>
      <c r="AY84" s="284" t="str">
        <f t="shared" si="140"/>
        <v>=+0/</v>
      </c>
      <c r="AZ84" s="225">
        <f t="shared" si="150"/>
        <v>0</v>
      </c>
      <c r="BA84" s="127">
        <f t="shared" si="151"/>
        <v>0</v>
      </c>
      <c r="BB84" s="244">
        <f t="shared" si="152"/>
        <v>0</v>
      </c>
      <c r="BC84" s="225">
        <f t="shared" si="153"/>
        <v>0</v>
      </c>
      <c r="BD84" s="225">
        <f t="shared" si="154"/>
        <v>0</v>
      </c>
      <c r="BE84" s="225" t="str">
        <f t="shared" si="155"/>
        <v xml:space="preserve">   + Số lượng xe:</v>
      </c>
      <c r="BF84" s="225">
        <f t="shared" si="141"/>
        <v>0</v>
      </c>
      <c r="BG84" s="225">
        <f t="shared" si="156"/>
        <v>0</v>
      </c>
      <c r="BH84" s="225">
        <f t="shared" si="157"/>
        <v>0</v>
      </c>
      <c r="BI84" s="321" t="str">
        <f t="shared" si="158"/>
        <v/>
      </c>
      <c r="BJ84" s="284">
        <f t="shared" si="142"/>
        <v>0</v>
      </c>
      <c r="BK84" s="284" t="str">
        <f t="shared" si="136"/>
        <v/>
      </c>
      <c r="BL84" s="225" t="str">
        <f t="shared" si="143"/>
        <v xml:space="preserve">   + Người ra lệnh:</v>
      </c>
      <c r="BM84" s="225">
        <f t="shared" si="144"/>
        <v>0</v>
      </c>
      <c r="BN84" s="113" t="e">
        <f>VLOOKUP(BM84,[1]Sheet1!$B$3:$C$604,2,0)</f>
        <v>#N/A</v>
      </c>
      <c r="BO84" s="113" t="str">
        <f t="shared" si="145"/>
        <v/>
      </c>
      <c r="BP84" s="351" t="str">
        <f t="shared" si="137"/>
        <v/>
      </c>
      <c r="BT84" s="113" t="str">
        <f t="shared" si="146"/>
        <v>, 4 xe của Đức Tín, 3 xe của Đức Tín, 1 xe của Đức Tín</v>
      </c>
      <c r="BU84" s="113">
        <f t="shared" si="147"/>
        <v>100</v>
      </c>
      <c r="BV84" s="380" t="e">
        <f t="shared" si="148"/>
        <v>#N/A</v>
      </c>
      <c r="BW84" s="376" t="e">
        <f t="shared" si="149"/>
        <v>#N/A</v>
      </c>
    </row>
    <row r="85" spans="1:75" ht="15.6" x14ac:dyDescent="0.3">
      <c r="A85" s="113">
        <v>85</v>
      </c>
      <c r="B85" s="224" t="str">
        <f t="shared" si="159"/>
        <v>80Gỗ rời   + Số lượng xe:</v>
      </c>
      <c r="C85" t="s">
        <v>15062</v>
      </c>
      <c r="D85">
        <v>1</v>
      </c>
      <c r="E85" t="s">
        <v>15082</v>
      </c>
      <c r="F85"/>
      <c r="P85" s="115"/>
      <c r="R85" s="225" t="str">
        <f>IF((RIGHT(G85,3)="rời"),VLOOKUP(RIGHT(Q85,9),[2]Khach_hangmoi!$J$3:$N$3854,2,0),LEFT(Q85,7))</f>
        <v/>
      </c>
      <c r="S85" s="225" t="e">
        <f>VLOOKUP(R85,[2]Khach_hangmoi!$A$3:$I$4325,2,0)</f>
        <v>#N/A</v>
      </c>
      <c r="T85" s="225" t="e">
        <f>IF(VLOOKUP(R85,[2]Khach_hangmoi!$A$3:$I$4325,5,0)=0,"",VLOOKUP(R85,[2]Khach_hangmoi!$A$3:$I$4325,5,0))</f>
        <v>#N/A</v>
      </c>
      <c r="U85" s="225" t="e">
        <f>VLOOKUP(R85,[2]Khach_hangmoi!$A$3:$I$4325,3,0)</f>
        <v>#N/A</v>
      </c>
      <c r="AE85" s="244" t="e">
        <f t="shared" si="138"/>
        <v>#N/A</v>
      </c>
      <c r="AV85" s="113" t="e">
        <f>VLOOKUP(BD85,giaroi!$D$6:$N$500,11,0)</f>
        <v>#N/A</v>
      </c>
      <c r="AW85" s="284">
        <f t="shared" si="139"/>
        <v>0</v>
      </c>
      <c r="AY85" s="284" t="str">
        <f t="shared" si="140"/>
        <v>=+0/</v>
      </c>
      <c r="AZ85" s="225">
        <f t="shared" si="150"/>
        <v>0</v>
      </c>
      <c r="BA85" s="127">
        <f t="shared" si="151"/>
        <v>0</v>
      </c>
      <c r="BB85" s="244">
        <f t="shared" si="152"/>
        <v>0</v>
      </c>
      <c r="BC85" s="225">
        <f t="shared" si="153"/>
        <v>0</v>
      </c>
      <c r="BD85" s="225">
        <f t="shared" si="154"/>
        <v>0</v>
      </c>
      <c r="BE85" s="225" t="str">
        <f t="shared" si="155"/>
        <v xml:space="preserve">   + Số lượng xe:</v>
      </c>
      <c r="BF85" s="225">
        <f t="shared" si="141"/>
        <v>0</v>
      </c>
      <c r="BG85" s="225">
        <f t="shared" si="156"/>
        <v>0</v>
      </c>
      <c r="BH85" s="225">
        <f t="shared" si="157"/>
        <v>0</v>
      </c>
      <c r="BI85" s="321" t="str">
        <f t="shared" si="158"/>
        <v/>
      </c>
      <c r="BJ85" s="284">
        <f t="shared" si="142"/>
        <v>0</v>
      </c>
      <c r="BK85" s="284" t="str">
        <f t="shared" si="136"/>
        <v/>
      </c>
      <c r="BL85" s="225" t="str">
        <f t="shared" si="143"/>
        <v xml:space="preserve">   + Người ra lệnh:</v>
      </c>
      <c r="BM85" s="225">
        <f t="shared" si="144"/>
        <v>0</v>
      </c>
      <c r="BN85" s="113" t="e">
        <f>VLOOKUP(BM85,[1]Sheet1!$B$3:$C$604,2,0)</f>
        <v>#N/A</v>
      </c>
      <c r="BO85" s="113" t="str">
        <f t="shared" si="145"/>
        <v/>
      </c>
      <c r="BP85" s="351" t="str">
        <f t="shared" si="137"/>
        <v/>
      </c>
      <c r="BT85" s="113" t="str">
        <f t="shared" si="146"/>
        <v>, 4 xe của Đức Tín, 3 xe của Đức Tín, 1 xe của Đức Tín</v>
      </c>
      <c r="BU85" s="113">
        <f t="shared" si="147"/>
        <v>100</v>
      </c>
      <c r="BV85" s="380" t="e">
        <f t="shared" si="148"/>
        <v>#N/A</v>
      </c>
      <c r="BW85" s="376" t="e">
        <f t="shared" si="149"/>
        <v>#N/A</v>
      </c>
    </row>
    <row r="86" spans="1:75" ht="15.6" x14ac:dyDescent="0.3">
      <c r="A86" s="113">
        <v>86</v>
      </c>
      <c r="B86" s="224" t="str">
        <f t="shared" si="159"/>
        <v>80Gỗ rời   + Người nhận:</v>
      </c>
      <c r="C86" t="s">
        <v>15064</v>
      </c>
      <c r="D86" t="s">
        <v>15107</v>
      </c>
      <c r="E86"/>
      <c r="F86"/>
      <c r="P86" s="115"/>
      <c r="R86" s="225" t="str">
        <f>IF((RIGHT(G86,3)="rời"),VLOOKUP(RIGHT(Q86,9),[2]Khach_hangmoi!$J$3:$N$3854,2,0),LEFT(Q86,7))</f>
        <v/>
      </c>
      <c r="S86" s="225" t="e">
        <f>VLOOKUP(R86,[2]Khach_hangmoi!$A$3:$I$4325,2,0)</f>
        <v>#N/A</v>
      </c>
      <c r="T86" s="225" t="e">
        <f>IF(VLOOKUP(R86,[2]Khach_hangmoi!$A$3:$I$4325,5,0)=0,"",VLOOKUP(R86,[2]Khach_hangmoi!$A$3:$I$4325,5,0))</f>
        <v>#N/A</v>
      </c>
      <c r="U86" s="225" t="e">
        <f>VLOOKUP(R86,[2]Khach_hangmoi!$A$3:$I$4325,3,0)</f>
        <v>#N/A</v>
      </c>
      <c r="AE86" s="244" t="e">
        <f t="shared" si="138"/>
        <v>#N/A</v>
      </c>
      <c r="AV86" s="113" t="e">
        <f>VLOOKUP(BD86,giaroi!$D$6:$N$500,11,0)</f>
        <v>#N/A</v>
      </c>
      <c r="AW86" s="284">
        <f t="shared" si="139"/>
        <v>0</v>
      </c>
      <c r="AY86" s="284" t="str">
        <f t="shared" si="140"/>
        <v>=+0/</v>
      </c>
      <c r="AZ86" s="225">
        <f t="shared" si="150"/>
        <v>0</v>
      </c>
      <c r="BA86" s="127">
        <f t="shared" si="151"/>
        <v>0</v>
      </c>
      <c r="BB86" s="244">
        <f t="shared" si="152"/>
        <v>0</v>
      </c>
      <c r="BC86" s="225">
        <f t="shared" si="153"/>
        <v>0</v>
      </c>
      <c r="BD86" s="225">
        <f t="shared" si="154"/>
        <v>0</v>
      </c>
      <c r="BE86" s="225" t="str">
        <f t="shared" si="155"/>
        <v xml:space="preserve">   + Số lượng xe:</v>
      </c>
      <c r="BF86" s="225">
        <f t="shared" si="141"/>
        <v>0</v>
      </c>
      <c r="BG86" s="225">
        <f t="shared" si="156"/>
        <v>0</v>
      </c>
      <c r="BH86" s="225">
        <f t="shared" si="157"/>
        <v>0</v>
      </c>
      <c r="BI86" s="321" t="str">
        <f t="shared" si="158"/>
        <v/>
      </c>
      <c r="BJ86" s="284">
        <f t="shared" si="142"/>
        <v>0</v>
      </c>
      <c r="BK86" s="284" t="str">
        <f t="shared" si="136"/>
        <v/>
      </c>
      <c r="BL86" s="225" t="str">
        <f t="shared" si="143"/>
        <v xml:space="preserve">   + Người ra lệnh:</v>
      </c>
      <c r="BM86" s="225">
        <f t="shared" si="144"/>
        <v>0</v>
      </c>
      <c r="BN86" s="113" t="e">
        <f>VLOOKUP(BM86,[1]Sheet1!$B$3:$C$604,2,0)</f>
        <v>#N/A</v>
      </c>
      <c r="BO86" s="113" t="str">
        <f t="shared" si="145"/>
        <v/>
      </c>
      <c r="BP86" s="351" t="str">
        <f t="shared" si="137"/>
        <v/>
      </c>
      <c r="BT86" s="113" t="str">
        <f t="shared" si="146"/>
        <v>, 4 xe của Đức Tín, 3 xe của Đức Tín, 1 xe của Đức Tín</v>
      </c>
      <c r="BU86" s="113">
        <f t="shared" si="147"/>
        <v>100</v>
      </c>
      <c r="BV86" s="380" t="e">
        <f t="shared" si="148"/>
        <v>#N/A</v>
      </c>
      <c r="BW86" s="376" t="e">
        <f t="shared" si="149"/>
        <v>#N/A</v>
      </c>
    </row>
    <row r="87" spans="1:75" ht="15.6" x14ac:dyDescent="0.3">
      <c r="A87" s="113">
        <v>87</v>
      </c>
      <c r="B87" s="224" t="str">
        <f t="shared" si="159"/>
        <v>80Gỗ rời   + Nơi nhận:</v>
      </c>
      <c r="C87" t="s">
        <v>15065</v>
      </c>
      <c r="D87" t="s">
        <v>1587</v>
      </c>
      <c r="E87"/>
      <c r="F87"/>
      <c r="P87" s="115"/>
      <c r="R87" s="225" t="str">
        <f>IF((RIGHT(G87,3)="rời"),VLOOKUP(RIGHT(Q87,9),[2]Khach_hangmoi!$J$3:$N$3854,2,0),LEFT(Q87,7))</f>
        <v/>
      </c>
      <c r="S87" s="225" t="e">
        <f>VLOOKUP(R87,[2]Khach_hangmoi!$A$3:$I$4325,2,0)</f>
        <v>#N/A</v>
      </c>
      <c r="T87" s="225" t="e">
        <f>IF(VLOOKUP(R87,[2]Khach_hangmoi!$A$3:$I$4325,5,0)=0,"",VLOOKUP(R87,[2]Khach_hangmoi!$A$3:$I$4325,5,0))</f>
        <v>#N/A</v>
      </c>
      <c r="U87" s="225" t="e">
        <f>VLOOKUP(R87,[2]Khach_hangmoi!$A$3:$I$4325,3,0)</f>
        <v>#N/A</v>
      </c>
      <c r="AE87" s="244" t="e">
        <f t="shared" si="138"/>
        <v>#N/A</v>
      </c>
      <c r="AV87" s="113" t="e">
        <f>VLOOKUP(BD87,giaroi!$D$6:$N$500,11,0)</f>
        <v>#N/A</v>
      </c>
      <c r="AW87" s="284">
        <f t="shared" si="139"/>
        <v>0</v>
      </c>
      <c r="AY87" s="284" t="str">
        <f t="shared" si="140"/>
        <v>=+0/</v>
      </c>
      <c r="AZ87" s="225">
        <f t="shared" si="150"/>
        <v>0</v>
      </c>
      <c r="BA87" s="127">
        <f t="shared" si="151"/>
        <v>0</v>
      </c>
      <c r="BB87" s="244">
        <f t="shared" si="152"/>
        <v>0</v>
      </c>
      <c r="BC87" s="225">
        <f t="shared" si="153"/>
        <v>0</v>
      </c>
      <c r="BD87" s="225">
        <f t="shared" si="154"/>
        <v>0</v>
      </c>
      <c r="BE87" s="225" t="str">
        <f t="shared" si="155"/>
        <v xml:space="preserve">   + Số lượng xe:</v>
      </c>
      <c r="BF87" s="225">
        <f t="shared" si="141"/>
        <v>0</v>
      </c>
      <c r="BG87" s="225">
        <f t="shared" si="156"/>
        <v>0</v>
      </c>
      <c r="BH87" s="225">
        <f t="shared" si="157"/>
        <v>0</v>
      </c>
      <c r="BI87" s="321" t="str">
        <f t="shared" si="158"/>
        <v/>
      </c>
      <c r="BJ87" s="284">
        <f t="shared" si="142"/>
        <v>0</v>
      </c>
      <c r="BK87" s="284" t="str">
        <f t="shared" si="136"/>
        <v/>
      </c>
      <c r="BL87" s="225" t="str">
        <f t="shared" si="143"/>
        <v xml:space="preserve">   + Người ra lệnh:</v>
      </c>
      <c r="BM87" s="225">
        <f t="shared" si="144"/>
        <v>0</v>
      </c>
      <c r="BN87" s="113" t="e">
        <f>VLOOKUP(BM87,[1]Sheet1!$B$3:$C$604,2,0)</f>
        <v>#N/A</v>
      </c>
      <c r="BO87" s="113" t="str">
        <f t="shared" si="145"/>
        <v/>
      </c>
      <c r="BP87" s="351" t="str">
        <f t="shared" si="137"/>
        <v/>
      </c>
      <c r="BT87" s="113" t="str">
        <f t="shared" si="146"/>
        <v>, 4 xe của Đức Tín, 3 xe của Đức Tín, 1 xe của Đức Tín</v>
      </c>
      <c r="BU87" s="113">
        <f t="shared" si="147"/>
        <v>100</v>
      </c>
      <c r="BV87" s="380" t="e">
        <f t="shared" si="148"/>
        <v>#N/A</v>
      </c>
      <c r="BW87" s="376" t="e">
        <f t="shared" si="149"/>
        <v>#N/A</v>
      </c>
    </row>
    <row r="88" spans="1:75" ht="15.6" x14ac:dyDescent="0.3">
      <c r="A88" s="113">
        <v>88</v>
      </c>
      <c r="B88" s="224" t="str">
        <f t="shared" si="159"/>
        <v>80Gỗ rời</v>
      </c>
      <c r="C88"/>
      <c r="D88">
        <v>450</v>
      </c>
      <c r="E88" s="128">
        <v>1</v>
      </c>
      <c r="F88"/>
      <c r="P88" s="115"/>
      <c r="R88" s="225" t="str">
        <f>IF((RIGHT(G88,3)="rời"),VLOOKUP(RIGHT(Q88,9),[2]Khach_hangmoi!$J$3:$N$3854,2,0),LEFT(Q88,7))</f>
        <v/>
      </c>
      <c r="S88" s="225" t="e">
        <f>VLOOKUP(R88,[2]Khach_hangmoi!$A$3:$I$4325,2,0)</f>
        <v>#N/A</v>
      </c>
      <c r="T88" s="225" t="e">
        <f>IF(VLOOKUP(R88,[2]Khach_hangmoi!$A$3:$I$4325,5,0)=0,"",VLOOKUP(R88,[2]Khach_hangmoi!$A$3:$I$4325,5,0))</f>
        <v>#N/A</v>
      </c>
      <c r="U88" s="225" t="e">
        <f>VLOOKUP(R88,[2]Khach_hangmoi!$A$3:$I$4325,3,0)</f>
        <v>#N/A</v>
      </c>
      <c r="AE88" s="244" t="e">
        <f t="shared" si="138"/>
        <v>#N/A</v>
      </c>
      <c r="AV88" s="113" t="e">
        <f>VLOOKUP(BD88,giaroi!$D$6:$N$500,11,0)</f>
        <v>#N/A</v>
      </c>
      <c r="AW88" s="284">
        <f t="shared" si="139"/>
        <v>0</v>
      </c>
      <c r="AY88" s="284" t="str">
        <f t="shared" si="140"/>
        <v>=+0/</v>
      </c>
      <c r="AZ88" s="225">
        <f t="shared" si="150"/>
        <v>0</v>
      </c>
      <c r="BA88" s="127">
        <f t="shared" si="151"/>
        <v>0</v>
      </c>
      <c r="BB88" s="244">
        <f t="shared" si="152"/>
        <v>0</v>
      </c>
      <c r="BC88" s="225">
        <f t="shared" si="153"/>
        <v>0</v>
      </c>
      <c r="BD88" s="225">
        <f t="shared" si="154"/>
        <v>0</v>
      </c>
      <c r="BE88" s="225" t="str">
        <f t="shared" si="155"/>
        <v xml:space="preserve">   + Số lượng xe:</v>
      </c>
      <c r="BF88" s="225">
        <f t="shared" si="141"/>
        <v>0</v>
      </c>
      <c r="BG88" s="225">
        <f t="shared" si="156"/>
        <v>0</v>
      </c>
      <c r="BH88" s="225">
        <f t="shared" si="157"/>
        <v>0</v>
      </c>
      <c r="BI88" s="321" t="str">
        <f t="shared" si="158"/>
        <v/>
      </c>
      <c r="BJ88" s="284">
        <f t="shared" si="142"/>
        <v>0</v>
      </c>
      <c r="BK88" s="284" t="str">
        <f t="shared" si="136"/>
        <v/>
      </c>
      <c r="BL88" s="225" t="str">
        <f t="shared" si="143"/>
        <v xml:space="preserve">   + Người ra lệnh:</v>
      </c>
      <c r="BM88" s="225">
        <f t="shared" si="144"/>
        <v>0</v>
      </c>
      <c r="BN88" s="113" t="e">
        <f>VLOOKUP(BM88,[1]Sheet1!$B$3:$C$604,2,0)</f>
        <v>#N/A</v>
      </c>
      <c r="BO88" s="113" t="str">
        <f t="shared" si="145"/>
        <v/>
      </c>
      <c r="BP88" s="351" t="str">
        <f t="shared" si="137"/>
        <v/>
      </c>
      <c r="BT88" s="113" t="str">
        <f t="shared" si="146"/>
        <v>, 4 xe của Đức Tín, 3 xe của Đức Tín, 1 xe của Đức Tín</v>
      </c>
      <c r="BU88" s="113">
        <f t="shared" si="147"/>
        <v>100</v>
      </c>
      <c r="BV88" s="380" t="e">
        <f t="shared" si="148"/>
        <v>#N/A</v>
      </c>
      <c r="BW88" s="376" t="e">
        <f t="shared" si="149"/>
        <v>#N/A</v>
      </c>
    </row>
    <row r="89" spans="1:75" ht="15.6" x14ac:dyDescent="0.3">
      <c r="A89" s="113">
        <v>89</v>
      </c>
      <c r="B89" s="224" t="str">
        <f t="shared" si="159"/>
        <v>80Gỗ rời   + Tiền cước:</v>
      </c>
      <c r="C89" t="s">
        <v>15068</v>
      </c>
      <c r="D89" t="s">
        <v>15108</v>
      </c>
      <c r="E89" t="s">
        <v>15104</v>
      </c>
      <c r="F89"/>
      <c r="P89" s="115"/>
      <c r="R89" s="225" t="str">
        <f>IF((RIGHT(G89,3)="rời"),VLOOKUP(RIGHT(Q89,9),[2]Khach_hangmoi!$J$3:$N$3854,2,0),LEFT(Q89,7))</f>
        <v/>
      </c>
      <c r="S89" s="225" t="e">
        <f>VLOOKUP(R89,[2]Khach_hangmoi!$A$3:$I$4325,2,0)</f>
        <v>#N/A</v>
      </c>
      <c r="T89" s="225" t="e">
        <f>IF(VLOOKUP(R89,[2]Khach_hangmoi!$A$3:$I$4325,5,0)=0,"",VLOOKUP(R89,[2]Khach_hangmoi!$A$3:$I$4325,5,0))</f>
        <v>#N/A</v>
      </c>
      <c r="U89" s="225" t="e">
        <f>VLOOKUP(R89,[2]Khach_hangmoi!$A$3:$I$4325,3,0)</f>
        <v>#N/A</v>
      </c>
      <c r="AE89" s="244" t="e">
        <f t="shared" si="138"/>
        <v>#N/A</v>
      </c>
      <c r="AV89" s="113" t="e">
        <f>VLOOKUP(BD89,giaroi!$D$6:$N$500,11,0)</f>
        <v>#N/A</v>
      </c>
      <c r="AW89" s="284">
        <f t="shared" si="139"/>
        <v>0</v>
      </c>
      <c r="AY89" s="284" t="str">
        <f t="shared" si="140"/>
        <v>=+0/</v>
      </c>
      <c r="AZ89" s="225">
        <f t="shared" si="150"/>
        <v>0</v>
      </c>
      <c r="BA89" s="127">
        <f t="shared" si="151"/>
        <v>0</v>
      </c>
      <c r="BB89" s="244">
        <f t="shared" si="152"/>
        <v>0</v>
      </c>
      <c r="BC89" s="225">
        <f t="shared" si="153"/>
        <v>0</v>
      </c>
      <c r="BD89" s="225">
        <f t="shared" si="154"/>
        <v>0</v>
      </c>
      <c r="BE89" s="225" t="str">
        <f t="shared" si="155"/>
        <v xml:space="preserve">   + Số lượng xe:</v>
      </c>
      <c r="BF89" s="225">
        <f t="shared" si="141"/>
        <v>0</v>
      </c>
      <c r="BG89" s="225">
        <f t="shared" si="156"/>
        <v>0</v>
      </c>
      <c r="BH89" s="225">
        <f t="shared" si="157"/>
        <v>0</v>
      </c>
      <c r="BI89" s="321" t="str">
        <f t="shared" si="158"/>
        <v/>
      </c>
      <c r="BJ89" s="284">
        <f t="shared" si="142"/>
        <v>0</v>
      </c>
      <c r="BK89" s="284" t="str">
        <f t="shared" si="136"/>
        <v/>
      </c>
      <c r="BL89" s="225" t="str">
        <f t="shared" si="143"/>
        <v xml:space="preserve">   + Người ra lệnh:</v>
      </c>
      <c r="BM89" s="225">
        <f t="shared" si="144"/>
        <v>0</v>
      </c>
      <c r="BN89" s="113" t="e">
        <f>VLOOKUP(BM89,[1]Sheet1!$B$3:$C$604,2,0)</f>
        <v>#N/A</v>
      </c>
      <c r="BO89" s="113" t="str">
        <f t="shared" si="145"/>
        <v/>
      </c>
      <c r="BP89" s="351" t="str">
        <f t="shared" si="137"/>
        <v/>
      </c>
      <c r="BT89" s="113" t="str">
        <f t="shared" si="146"/>
        <v>, 4 xe của Đức Tín, 3 xe của Đức Tín, 1 xe của Đức Tín</v>
      </c>
      <c r="BU89" s="113">
        <f t="shared" si="147"/>
        <v>100</v>
      </c>
      <c r="BV89" s="380" t="e">
        <f t="shared" si="148"/>
        <v>#N/A</v>
      </c>
      <c r="BW89" s="376" t="e">
        <f t="shared" si="149"/>
        <v>#N/A</v>
      </c>
    </row>
    <row r="90" spans="1:75" ht="15.6" x14ac:dyDescent="0.3">
      <c r="A90" s="113">
        <v>90</v>
      </c>
      <c r="B90" s="224" t="str">
        <f t="shared" si="159"/>
        <v xml:space="preserve">80Gỗ rời </v>
      </c>
      <c r="C90" t="s">
        <v>15070</v>
      </c>
      <c r="D90" t="s">
        <v>15086</v>
      </c>
      <c r="E90"/>
      <c r="F90"/>
      <c r="P90" s="115"/>
      <c r="R90" s="225" t="str">
        <f>IF((RIGHT(G90,3)="rời"),VLOOKUP(RIGHT(Q90,9),[2]Khach_hangmoi!$J$3:$N$3854,2,0),LEFT(Q90,7))</f>
        <v/>
      </c>
      <c r="S90" s="225" t="e">
        <f>VLOOKUP(R90,[2]Khach_hangmoi!$A$3:$I$4325,2,0)</f>
        <v>#N/A</v>
      </c>
      <c r="T90" s="225" t="e">
        <f>IF(VLOOKUP(R90,[2]Khach_hangmoi!$A$3:$I$4325,5,0)=0,"",VLOOKUP(R90,[2]Khach_hangmoi!$A$3:$I$4325,5,0))</f>
        <v>#N/A</v>
      </c>
      <c r="U90" s="225" t="e">
        <f>VLOOKUP(R90,[2]Khach_hangmoi!$A$3:$I$4325,3,0)</f>
        <v>#N/A</v>
      </c>
      <c r="AE90" s="244" t="e">
        <f t="shared" si="138"/>
        <v>#N/A</v>
      </c>
      <c r="AV90" s="113" t="e">
        <f>VLOOKUP(BD90,giaroi!$D$6:$N$500,11,0)</f>
        <v>#N/A</v>
      </c>
      <c r="AW90" s="284">
        <f t="shared" si="139"/>
        <v>0</v>
      </c>
      <c r="AY90" s="284" t="str">
        <f t="shared" si="140"/>
        <v>=+0/</v>
      </c>
      <c r="AZ90" s="225">
        <f t="shared" si="150"/>
        <v>0</v>
      </c>
      <c r="BA90" s="127">
        <f t="shared" si="151"/>
        <v>0</v>
      </c>
      <c r="BB90" s="244">
        <f t="shared" si="152"/>
        <v>0</v>
      </c>
      <c r="BC90" s="225">
        <f t="shared" si="153"/>
        <v>0</v>
      </c>
      <c r="BD90" s="225">
        <f t="shared" si="154"/>
        <v>0</v>
      </c>
      <c r="BE90" s="225" t="str">
        <f t="shared" si="155"/>
        <v xml:space="preserve">   + Số lượng xe:</v>
      </c>
      <c r="BF90" s="225">
        <f t="shared" si="141"/>
        <v>0</v>
      </c>
      <c r="BG90" s="225">
        <f t="shared" si="156"/>
        <v>0</v>
      </c>
      <c r="BH90" s="225">
        <f t="shared" si="157"/>
        <v>0</v>
      </c>
      <c r="BI90" s="321" t="str">
        <f t="shared" si="158"/>
        <v/>
      </c>
      <c r="BJ90" s="284">
        <f t="shared" si="142"/>
        <v>0</v>
      </c>
      <c r="BK90" s="284" t="str">
        <f t="shared" si="136"/>
        <v/>
      </c>
      <c r="BL90" s="225" t="str">
        <f t="shared" si="143"/>
        <v xml:space="preserve">   + Người ra lệnh:</v>
      </c>
      <c r="BM90" s="225">
        <f t="shared" si="144"/>
        <v>0</v>
      </c>
      <c r="BN90" s="113" t="e">
        <f>VLOOKUP(BM90,[1]Sheet1!$B$3:$C$604,2,0)</f>
        <v>#N/A</v>
      </c>
      <c r="BO90" s="113" t="str">
        <f t="shared" si="145"/>
        <v/>
      </c>
      <c r="BP90" s="351" t="str">
        <f t="shared" si="137"/>
        <v/>
      </c>
      <c r="BT90" s="113" t="str">
        <f t="shared" si="146"/>
        <v>, 4 xe của Đức Tín, 3 xe của Đức Tín, 1 xe của Đức Tín</v>
      </c>
      <c r="BU90" s="113">
        <f t="shared" si="147"/>
        <v>100</v>
      </c>
      <c r="BV90" s="380" t="e">
        <f t="shared" si="148"/>
        <v>#N/A</v>
      </c>
      <c r="BW90" s="376" t="e">
        <f t="shared" si="149"/>
        <v>#N/A</v>
      </c>
    </row>
    <row r="91" spans="1:75" ht="15.6" x14ac:dyDescent="0.3">
      <c r="A91" s="113">
        <v>91</v>
      </c>
      <c r="B91" s="224" t="str">
        <f t="shared" si="159"/>
        <v>80Gỗ rời   + Tiền đường:</v>
      </c>
      <c r="C91" t="s">
        <v>15072</v>
      </c>
      <c r="D91" t="s">
        <v>15105</v>
      </c>
      <c r="E91" t="s">
        <v>15073</v>
      </c>
      <c r="F91"/>
      <c r="P91" s="115"/>
      <c r="R91" s="225" t="str">
        <f>IF((RIGHT(G91,3)="rời"),VLOOKUP(RIGHT(Q91,9),[2]Khach_hangmoi!$J$3:$N$3854,2,0),LEFT(Q91,7))</f>
        <v/>
      </c>
      <c r="S91" s="225" t="e">
        <f>VLOOKUP(R91,[2]Khach_hangmoi!$A$3:$I$4325,2,0)</f>
        <v>#N/A</v>
      </c>
      <c r="T91" s="225" t="e">
        <f>IF(VLOOKUP(R91,[2]Khach_hangmoi!$A$3:$I$4325,5,0)=0,"",VLOOKUP(R91,[2]Khach_hangmoi!$A$3:$I$4325,5,0))</f>
        <v>#N/A</v>
      </c>
      <c r="U91" s="225" t="e">
        <f>VLOOKUP(R91,[2]Khach_hangmoi!$A$3:$I$4325,3,0)</f>
        <v>#N/A</v>
      </c>
      <c r="AE91" s="244" t="e">
        <f t="shared" si="138"/>
        <v>#N/A</v>
      </c>
      <c r="AV91" s="113" t="e">
        <f>VLOOKUP(BD91,giaroi!$D$6:$N$500,11,0)</f>
        <v>#N/A</v>
      </c>
      <c r="AW91" s="284">
        <f t="shared" si="139"/>
        <v>0</v>
      </c>
      <c r="AY91" s="284" t="str">
        <f t="shared" si="140"/>
        <v>=+0/</v>
      </c>
      <c r="AZ91" s="225">
        <f t="shared" si="150"/>
        <v>0</v>
      </c>
      <c r="BA91" s="127">
        <f t="shared" si="151"/>
        <v>0</v>
      </c>
      <c r="BB91" s="244">
        <f t="shared" si="152"/>
        <v>0</v>
      </c>
      <c r="BC91" s="225">
        <f t="shared" si="153"/>
        <v>0</v>
      </c>
      <c r="BD91" s="225">
        <f t="shared" si="154"/>
        <v>0</v>
      </c>
      <c r="BE91" s="225" t="str">
        <f t="shared" si="155"/>
        <v xml:space="preserve">   + Số lượng xe:</v>
      </c>
      <c r="BF91" s="225">
        <f t="shared" si="141"/>
        <v>0</v>
      </c>
      <c r="BG91" s="225">
        <f t="shared" si="156"/>
        <v>0</v>
      </c>
      <c r="BH91" s="225">
        <f t="shared" si="157"/>
        <v>0</v>
      </c>
      <c r="BI91" s="321" t="str">
        <f t="shared" si="158"/>
        <v/>
      </c>
      <c r="BJ91" s="284">
        <f t="shared" si="142"/>
        <v>0</v>
      </c>
      <c r="BK91" s="284" t="str">
        <f t="shared" si="136"/>
        <v/>
      </c>
      <c r="BL91" s="225" t="str">
        <f t="shared" si="143"/>
        <v xml:space="preserve">   + Người ra lệnh:</v>
      </c>
      <c r="BM91" s="225">
        <f t="shared" si="144"/>
        <v>0</v>
      </c>
      <c r="BN91" s="113" t="e">
        <f>VLOOKUP(BM91,[1]Sheet1!$B$3:$C$604,2,0)</f>
        <v>#N/A</v>
      </c>
      <c r="BO91" s="113" t="str">
        <f t="shared" si="145"/>
        <v/>
      </c>
      <c r="BP91" s="351" t="str">
        <f t="shared" si="137"/>
        <v/>
      </c>
      <c r="BT91" s="113" t="str">
        <f t="shared" si="146"/>
        <v>, 4 xe của Đức Tín, 3 xe của Đức Tín, 1 xe của Đức Tín</v>
      </c>
      <c r="BU91" s="113">
        <f t="shared" si="147"/>
        <v>100</v>
      </c>
      <c r="BV91" s="380" t="e">
        <f t="shared" si="148"/>
        <v>#N/A</v>
      </c>
      <c r="BW91" s="376" t="e">
        <f t="shared" si="149"/>
        <v>#N/A</v>
      </c>
    </row>
    <row r="92" spans="1:75" ht="15.6" x14ac:dyDescent="0.3">
      <c r="A92" s="113">
        <v>92</v>
      </c>
      <c r="C92" t="s">
        <v>15123</v>
      </c>
      <c r="D92" t="s">
        <v>15123</v>
      </c>
      <c r="E92"/>
      <c r="F92"/>
      <c r="P92" s="115"/>
      <c r="R92" s="225" t="str">
        <f>IF((RIGHT(G92,3)="rời"),VLOOKUP(RIGHT(Q92,9),[2]Khach_hangmoi!$J$3:$N$3854,2,0),LEFT(Q92,7))</f>
        <v/>
      </c>
      <c r="S92" s="225" t="e">
        <f>VLOOKUP(R92,[2]Khach_hangmoi!$A$3:$I$4325,2,0)</f>
        <v>#N/A</v>
      </c>
      <c r="T92" s="225" t="e">
        <f>IF(VLOOKUP(R92,[2]Khach_hangmoi!$A$3:$I$4325,5,0)=0,"",VLOOKUP(R92,[2]Khach_hangmoi!$A$3:$I$4325,5,0))</f>
        <v>#N/A</v>
      </c>
      <c r="U92" s="225" t="e">
        <f>VLOOKUP(R92,[2]Khach_hangmoi!$A$3:$I$4325,3,0)</f>
        <v>#N/A</v>
      </c>
      <c r="AE92" s="244" t="e">
        <f t="shared" si="138"/>
        <v>#N/A</v>
      </c>
      <c r="AV92" s="113" t="e">
        <f>VLOOKUP(BD92,giaroi!$D$6:$N$500,11,0)</f>
        <v>#N/A</v>
      </c>
      <c r="AW92" s="284">
        <f t="shared" si="139"/>
        <v>0</v>
      </c>
      <c r="AY92" s="284" t="str">
        <f t="shared" si="140"/>
        <v>=+0/</v>
      </c>
      <c r="AZ92" s="225">
        <f t="shared" si="150"/>
        <v>0</v>
      </c>
      <c r="BA92" s="127">
        <f t="shared" si="151"/>
        <v>0</v>
      </c>
      <c r="BB92" s="244">
        <f t="shared" si="152"/>
        <v>0</v>
      </c>
      <c r="BC92" s="225">
        <f t="shared" si="153"/>
        <v>0</v>
      </c>
      <c r="BD92" s="225">
        <f t="shared" si="154"/>
        <v>0</v>
      </c>
      <c r="BE92" s="225" t="str">
        <f t="shared" si="155"/>
        <v xml:space="preserve">   + Số lượng xe:</v>
      </c>
      <c r="BF92" s="225">
        <f t="shared" si="141"/>
        <v>0</v>
      </c>
      <c r="BG92" s="225">
        <f t="shared" si="156"/>
        <v>0</v>
      </c>
      <c r="BH92" s="225">
        <f t="shared" si="157"/>
        <v>0</v>
      </c>
      <c r="BI92" s="321" t="str">
        <f t="shared" si="158"/>
        <v/>
      </c>
      <c r="BJ92" s="284">
        <f t="shared" si="142"/>
        <v>0</v>
      </c>
      <c r="BK92" s="284" t="str">
        <f t="shared" si="136"/>
        <v/>
      </c>
      <c r="BL92" s="225" t="str">
        <f t="shared" si="143"/>
        <v xml:space="preserve">   + Người ra lệnh:</v>
      </c>
      <c r="BM92" s="225">
        <f t="shared" si="144"/>
        <v>0</v>
      </c>
      <c r="BN92" s="113" t="e">
        <f>VLOOKUP(BM92,[1]Sheet1!$B$3:$C$604,2,0)</f>
        <v>#N/A</v>
      </c>
      <c r="BO92" s="113" t="str">
        <f t="shared" si="145"/>
        <v/>
      </c>
      <c r="BP92" s="351" t="str">
        <f t="shared" si="137"/>
        <v/>
      </c>
      <c r="BT92" s="113" t="str">
        <f t="shared" si="146"/>
        <v>, 4 xe của Đức Tín, 3 xe của Đức Tín, 1 xe của Đức Tín</v>
      </c>
      <c r="BU92" s="113">
        <f t="shared" si="147"/>
        <v>100</v>
      </c>
      <c r="BV92" s="380" t="e">
        <f t="shared" si="148"/>
        <v>#N/A</v>
      </c>
      <c r="BW92" s="376" t="e">
        <f t="shared" si="149"/>
        <v>#N/A</v>
      </c>
    </row>
    <row r="93" spans="1:75" ht="15.6" x14ac:dyDescent="0.3">
      <c r="A93" s="113">
        <v>93</v>
      </c>
      <c r="B93" s="113" t="str">
        <f>CONCATENATE($A$92,$C$92,C93)</f>
        <v>92Cont kéo về bãi Bình Phú rút. Lô 1x20' Hiệu   + Nơi lấy:</v>
      </c>
      <c r="C93" t="s">
        <v>15110</v>
      </c>
      <c r="D93" t="s">
        <v>13691</v>
      </c>
      <c r="E93"/>
      <c r="F93"/>
      <c r="P93" s="115"/>
      <c r="R93" s="225" t="str">
        <f>IF((RIGHT(G93,3)="rời"),VLOOKUP(RIGHT(Q93,9),[2]Khach_hangmoi!$J$3:$N$3854,2,0),LEFT(Q93,7))</f>
        <v/>
      </c>
      <c r="S93" s="225" t="e">
        <f>VLOOKUP(R93,[2]Khach_hangmoi!$A$3:$I$4325,2,0)</f>
        <v>#N/A</v>
      </c>
      <c r="T93" s="225" t="e">
        <f>IF(VLOOKUP(R93,[2]Khach_hangmoi!$A$3:$I$4325,5,0)=0,"",VLOOKUP(R93,[2]Khach_hangmoi!$A$3:$I$4325,5,0))</f>
        <v>#N/A</v>
      </c>
      <c r="U93" s="225" t="e">
        <f>VLOOKUP(R93,[2]Khach_hangmoi!$A$3:$I$4325,3,0)</f>
        <v>#N/A</v>
      </c>
      <c r="AE93" s="244" t="e">
        <f t="shared" si="138"/>
        <v>#N/A</v>
      </c>
      <c r="AV93" s="113" t="e">
        <f>VLOOKUP(BD93,giaroi!$D$6:$N$500,11,0)</f>
        <v>#N/A</v>
      </c>
      <c r="AW93" s="284">
        <f t="shared" si="139"/>
        <v>0</v>
      </c>
      <c r="AY93" s="284" t="str">
        <f t="shared" si="140"/>
        <v>=+0/</v>
      </c>
      <c r="AZ93" s="225">
        <f t="shared" si="150"/>
        <v>0</v>
      </c>
      <c r="BA93" s="127">
        <f t="shared" si="151"/>
        <v>0</v>
      </c>
      <c r="BB93" s="244">
        <f t="shared" si="152"/>
        <v>0</v>
      </c>
      <c r="BC93" s="225">
        <f t="shared" si="153"/>
        <v>0</v>
      </c>
      <c r="BD93" s="225">
        <f t="shared" si="154"/>
        <v>0</v>
      </c>
      <c r="BE93" s="225" t="str">
        <f t="shared" si="155"/>
        <v xml:space="preserve">   + Số lượng xe:</v>
      </c>
      <c r="BF93" s="225">
        <f t="shared" si="141"/>
        <v>0</v>
      </c>
      <c r="BG93" s="225">
        <f t="shared" si="156"/>
        <v>0</v>
      </c>
      <c r="BH93" s="225">
        <f t="shared" si="157"/>
        <v>0</v>
      </c>
      <c r="BI93" s="321" t="str">
        <f t="shared" si="158"/>
        <v/>
      </c>
      <c r="BJ93" s="284">
        <f t="shared" si="142"/>
        <v>0</v>
      </c>
      <c r="BK93" s="284" t="str">
        <f t="shared" si="136"/>
        <v/>
      </c>
      <c r="BL93" s="225" t="str">
        <f t="shared" si="143"/>
        <v xml:space="preserve">   + Người ra lệnh:</v>
      </c>
      <c r="BM93" s="225">
        <f t="shared" si="144"/>
        <v>0</v>
      </c>
      <c r="BN93" s="113" t="e">
        <f>VLOOKUP(BM93,[1]Sheet1!$B$3:$C$604,2,0)</f>
        <v>#N/A</v>
      </c>
      <c r="BO93" s="113" t="str">
        <f t="shared" si="145"/>
        <v/>
      </c>
      <c r="BP93" s="351" t="str">
        <f t="shared" si="137"/>
        <v/>
      </c>
      <c r="BT93" s="113" t="str">
        <f t="shared" si="146"/>
        <v>, 4 xe của Đức Tín, 3 xe của Đức Tín, 1 xe của Đức Tín</v>
      </c>
      <c r="BU93" s="113">
        <f t="shared" si="147"/>
        <v>100</v>
      </c>
      <c r="BV93" s="380" t="e">
        <f t="shared" si="148"/>
        <v>#N/A</v>
      </c>
      <c r="BW93" s="376" t="e">
        <f t="shared" si="149"/>
        <v>#N/A</v>
      </c>
    </row>
    <row r="94" spans="1:75" ht="15.6" x14ac:dyDescent="0.3">
      <c r="A94" s="113">
        <v>94</v>
      </c>
      <c r="B94" s="113" t="str">
        <f t="shared" ref="B94:B103" si="160">CONCATENATE($A$92,$C$92,C94)</f>
        <v>92Cont kéo về bãi Bình Phú rút. Lô 1x20' Hiệu     + Số cont:</v>
      </c>
      <c r="C94" t="s">
        <v>15111</v>
      </c>
      <c r="D94" t="s">
        <v>15112</v>
      </c>
      <c r="E94" s="128"/>
      <c r="F94"/>
      <c r="P94" s="115"/>
      <c r="R94" s="225" t="str">
        <f>IF((RIGHT(G94,3)="rời"),VLOOKUP(RIGHT(Q94,9),[2]Khach_hangmoi!$J$3:$N$3854,2,0),LEFT(Q94,7))</f>
        <v/>
      </c>
      <c r="S94" s="225" t="e">
        <f>VLOOKUP(R94,[2]Khach_hangmoi!$A$3:$I$4325,2,0)</f>
        <v>#N/A</v>
      </c>
      <c r="T94" s="225" t="e">
        <f>IF(VLOOKUP(R94,[2]Khach_hangmoi!$A$3:$I$4325,5,0)=0,"",VLOOKUP(R94,[2]Khach_hangmoi!$A$3:$I$4325,5,0))</f>
        <v>#N/A</v>
      </c>
      <c r="U94" s="225" t="e">
        <f>VLOOKUP(R94,[2]Khach_hangmoi!$A$3:$I$4325,3,0)</f>
        <v>#N/A</v>
      </c>
      <c r="AE94" s="244" t="e">
        <f t="shared" si="138"/>
        <v>#N/A</v>
      </c>
      <c r="AV94" s="113" t="e">
        <f>VLOOKUP(BD94,giaroi!$D$6:$N$500,11,0)</f>
        <v>#N/A</v>
      </c>
      <c r="AW94" s="284">
        <f t="shared" si="139"/>
        <v>0</v>
      </c>
      <c r="AY94" s="284" t="str">
        <f t="shared" si="140"/>
        <v>=+0/</v>
      </c>
      <c r="AZ94" s="225">
        <f t="shared" si="150"/>
        <v>0</v>
      </c>
      <c r="BA94" s="127">
        <f t="shared" si="151"/>
        <v>0</v>
      </c>
      <c r="BB94" s="244">
        <f t="shared" si="152"/>
        <v>0</v>
      </c>
      <c r="BC94" s="225">
        <f t="shared" si="153"/>
        <v>0</v>
      </c>
      <c r="BD94" s="225">
        <f t="shared" si="154"/>
        <v>0</v>
      </c>
      <c r="BE94" s="225" t="str">
        <f t="shared" si="155"/>
        <v xml:space="preserve">   + Số lượng xe:</v>
      </c>
      <c r="BF94" s="225">
        <f t="shared" si="141"/>
        <v>0</v>
      </c>
      <c r="BG94" s="225">
        <f t="shared" si="156"/>
        <v>0</v>
      </c>
      <c r="BH94" s="225">
        <f t="shared" si="157"/>
        <v>0</v>
      </c>
      <c r="BI94" s="321" t="str">
        <f t="shared" si="158"/>
        <v/>
      </c>
      <c r="BJ94" s="284">
        <f t="shared" si="142"/>
        <v>0</v>
      </c>
      <c r="BK94" s="284" t="str">
        <f t="shared" si="136"/>
        <v/>
      </c>
      <c r="BL94" s="225" t="str">
        <f t="shared" si="143"/>
        <v xml:space="preserve">   + Người ra lệnh:</v>
      </c>
      <c r="BM94" s="225">
        <f t="shared" si="144"/>
        <v>0</v>
      </c>
      <c r="BN94" s="113" t="e">
        <f>VLOOKUP(BM94,[1]Sheet1!$B$3:$C$604,2,0)</f>
        <v>#N/A</v>
      </c>
      <c r="BO94" s="113" t="str">
        <f t="shared" si="145"/>
        <v/>
      </c>
      <c r="BP94" s="351" t="str">
        <f t="shared" si="137"/>
        <v/>
      </c>
      <c r="BT94" s="113" t="str">
        <f t="shared" si="146"/>
        <v>, 4 xe của Đức Tín, 3 xe của Đức Tín, 1 xe của Đức Tín</v>
      </c>
      <c r="BU94" s="113">
        <f t="shared" si="147"/>
        <v>100</v>
      </c>
      <c r="BV94" s="380" t="e">
        <f t="shared" si="148"/>
        <v>#N/A</v>
      </c>
      <c r="BW94" s="376" t="e">
        <f t="shared" si="149"/>
        <v>#N/A</v>
      </c>
    </row>
    <row r="95" spans="1:75" ht="15.6" x14ac:dyDescent="0.3">
      <c r="A95" s="113">
        <v>95</v>
      </c>
      <c r="B95" s="113" t="str">
        <f t="shared" si="160"/>
        <v>92Cont kéo về bãi Bình Phú rút. Lô 1x20' Hiệu   + Liên hệ:</v>
      </c>
      <c r="C95" t="s">
        <v>15113</v>
      </c>
      <c r="D95" t="s">
        <v>15114</v>
      </c>
      <c r="E95" s="128"/>
      <c r="F95"/>
      <c r="R95" s="225" t="str">
        <f>IF((RIGHT(G95,3)="rời"),VLOOKUP(RIGHT(Q95,9),[2]Khach_hangmoi!$J$3:$N$3854,2,0),LEFT(Q95,7))</f>
        <v/>
      </c>
      <c r="S95" s="225" t="e">
        <f>VLOOKUP(R95,[2]Khach_hangmoi!$A$3:$I$4325,2,0)</f>
        <v>#N/A</v>
      </c>
      <c r="T95" s="225" t="e">
        <f>IF(VLOOKUP(R95,[2]Khach_hangmoi!$A$3:$I$4325,5,0)=0,"",VLOOKUP(R95,[2]Khach_hangmoi!$A$3:$I$4325,5,0))</f>
        <v>#N/A</v>
      </c>
      <c r="U95" s="225" t="e">
        <f>VLOOKUP(R95,[2]Khach_hangmoi!$A$3:$I$4325,3,0)</f>
        <v>#N/A</v>
      </c>
      <c r="AE95" s="244" t="e">
        <f t="shared" si="138"/>
        <v>#N/A</v>
      </c>
      <c r="AV95" s="113" t="e">
        <f>VLOOKUP(BD95,giaroi!$D$6:$N$500,11,0)</f>
        <v>#N/A</v>
      </c>
      <c r="AW95" s="284">
        <f t="shared" si="139"/>
        <v>0</v>
      </c>
      <c r="AY95" s="284" t="str">
        <f t="shared" si="140"/>
        <v>=+0/</v>
      </c>
      <c r="AZ95" s="225">
        <f t="shared" si="150"/>
        <v>0</v>
      </c>
      <c r="BA95" s="127">
        <f t="shared" si="151"/>
        <v>0</v>
      </c>
      <c r="BB95" s="244">
        <f t="shared" si="152"/>
        <v>0</v>
      </c>
      <c r="BC95" s="225">
        <f t="shared" si="153"/>
        <v>0</v>
      </c>
      <c r="BD95" s="225">
        <f t="shared" si="154"/>
        <v>0</v>
      </c>
      <c r="BE95" s="225" t="str">
        <f t="shared" si="155"/>
        <v xml:space="preserve">   + Số lượng xe:</v>
      </c>
      <c r="BF95" s="225">
        <f t="shared" si="141"/>
        <v>0</v>
      </c>
      <c r="BG95" s="225">
        <f t="shared" si="156"/>
        <v>0</v>
      </c>
      <c r="BH95" s="225">
        <f t="shared" si="157"/>
        <v>0</v>
      </c>
      <c r="BI95" s="321" t="str">
        <f t="shared" si="158"/>
        <v/>
      </c>
      <c r="BJ95" s="284">
        <f t="shared" si="142"/>
        <v>0</v>
      </c>
      <c r="BK95" s="284" t="str">
        <f t="shared" si="136"/>
        <v/>
      </c>
      <c r="BL95" s="225" t="str">
        <f t="shared" si="143"/>
        <v xml:space="preserve">   + Người ra lệnh:</v>
      </c>
      <c r="BM95" s="225">
        <f t="shared" si="144"/>
        <v>0</v>
      </c>
      <c r="BN95" s="113" t="e">
        <f>VLOOKUP(BM95,[1]Sheet1!$B$3:$C$604,2,0)</f>
        <v>#N/A</v>
      </c>
      <c r="BO95" s="113" t="str">
        <f t="shared" si="145"/>
        <v/>
      </c>
      <c r="BP95" s="351" t="str">
        <f t="shared" si="137"/>
        <v/>
      </c>
      <c r="BT95" s="113" t="str">
        <f t="shared" si="146"/>
        <v>, 4 xe của Đức Tín, 3 xe của Đức Tín, 1 xe của Đức Tín</v>
      </c>
      <c r="BU95" s="113">
        <f t="shared" si="147"/>
        <v>100</v>
      </c>
      <c r="BV95" s="380" t="e">
        <f t="shared" si="148"/>
        <v>#N/A</v>
      </c>
      <c r="BW95" s="376" t="e">
        <f t="shared" si="149"/>
        <v>#N/A</v>
      </c>
    </row>
    <row r="96" spans="1:75" ht="15.6" x14ac:dyDescent="0.3">
      <c r="A96" s="113">
        <v>96</v>
      </c>
      <c r="B96" s="113" t="str">
        <f t="shared" si="160"/>
        <v>92Cont kéo về bãi Bình Phú rút. Lô 1x20' Hiệu   + Trả cước:</v>
      </c>
      <c r="C96" t="s">
        <v>15115</v>
      </c>
      <c r="D96" t="s">
        <v>15114</v>
      </c>
      <c r="E96" s="128"/>
      <c r="F96"/>
      <c r="AE96" s="244" t="e">
        <f t="shared" si="138"/>
        <v>#N/A</v>
      </c>
      <c r="AV96" s="113" t="e">
        <f>VLOOKUP(BD96,giaroi!$D$6:$N$500,11,0)</f>
        <v>#N/A</v>
      </c>
      <c r="AW96" s="284">
        <f t="shared" si="139"/>
        <v>0</v>
      </c>
      <c r="AY96" s="284" t="str">
        <f t="shared" si="140"/>
        <v>=+0/</v>
      </c>
      <c r="AZ96" s="225">
        <f t="shared" si="150"/>
        <v>0</v>
      </c>
      <c r="BA96" s="127">
        <f t="shared" si="151"/>
        <v>0</v>
      </c>
      <c r="BB96" s="244">
        <f t="shared" si="152"/>
        <v>0</v>
      </c>
      <c r="BC96" s="225">
        <f t="shared" si="153"/>
        <v>0</v>
      </c>
      <c r="BD96" s="225">
        <f t="shared" si="154"/>
        <v>0</v>
      </c>
      <c r="BE96" s="225" t="str">
        <f t="shared" si="155"/>
        <v xml:space="preserve">   + Số lượng xe:</v>
      </c>
      <c r="BF96" s="225">
        <f t="shared" si="141"/>
        <v>0</v>
      </c>
      <c r="BG96" s="225">
        <f t="shared" si="156"/>
        <v>0</v>
      </c>
      <c r="BH96" s="225">
        <f t="shared" si="157"/>
        <v>0</v>
      </c>
      <c r="BI96" s="321" t="str">
        <f t="shared" si="158"/>
        <v/>
      </c>
      <c r="BJ96" s="284">
        <f t="shared" si="142"/>
        <v>0</v>
      </c>
      <c r="BK96" s="284" t="str">
        <f t="shared" si="136"/>
        <v/>
      </c>
      <c r="BL96" s="225" t="str">
        <f t="shared" si="143"/>
        <v xml:space="preserve">   + Người ra lệnh:</v>
      </c>
      <c r="BM96" s="225">
        <f t="shared" si="144"/>
        <v>0</v>
      </c>
      <c r="BN96" s="113" t="e">
        <f>VLOOKUP(BM96,[1]Sheet1!$B$3:$C$604,2,0)</f>
        <v>#N/A</v>
      </c>
      <c r="BO96" s="113" t="str">
        <f t="shared" si="145"/>
        <v/>
      </c>
      <c r="BP96" s="351" t="str">
        <f t="shared" si="137"/>
        <v/>
      </c>
      <c r="BT96" s="113" t="str">
        <f t="shared" si="146"/>
        <v>, 4 xe của Đức Tín, 3 xe của Đức Tín, 1 xe của Đức Tín</v>
      </c>
      <c r="BU96" s="113">
        <f t="shared" si="147"/>
        <v>100</v>
      </c>
      <c r="BV96" s="380" t="e">
        <f t="shared" si="148"/>
        <v>#N/A</v>
      </c>
      <c r="BW96" s="376" t="e">
        <f t="shared" si="149"/>
        <v>#N/A</v>
      </c>
    </row>
    <row r="97" spans="1:75" ht="15.6" x14ac:dyDescent="0.3">
      <c r="A97" s="113">
        <v>97</v>
      </c>
      <c r="B97" s="113" t="str">
        <f t="shared" si="160"/>
        <v>92Cont kéo về bãi Bình Phú rút. Lô 1x20' Hiệu   + Tiền cước:</v>
      </c>
      <c r="C97" t="s">
        <v>15068</v>
      </c>
      <c r="D97" t="s">
        <v>15116</v>
      </c>
      <c r="E97" t="s">
        <v>15117</v>
      </c>
      <c r="F97"/>
      <c r="AE97" s="244" t="e">
        <f t="shared" si="138"/>
        <v>#N/A</v>
      </c>
      <c r="AV97" s="113" t="e">
        <f>VLOOKUP(BD97,giaroi!$D$6:$N$500,11,0)</f>
        <v>#N/A</v>
      </c>
      <c r="AW97" s="284">
        <f t="shared" si="139"/>
        <v>0</v>
      </c>
      <c r="AY97" s="284" t="str">
        <f t="shared" si="140"/>
        <v>=+0/</v>
      </c>
      <c r="AZ97" s="225">
        <f t="shared" si="150"/>
        <v>0</v>
      </c>
      <c r="BA97" s="127">
        <f t="shared" si="151"/>
        <v>0</v>
      </c>
      <c r="BB97" s="244">
        <f t="shared" si="152"/>
        <v>0</v>
      </c>
      <c r="BC97" s="225">
        <f t="shared" si="153"/>
        <v>0</v>
      </c>
      <c r="BD97" s="225">
        <f t="shared" si="154"/>
        <v>0</v>
      </c>
      <c r="BE97" s="225" t="str">
        <f t="shared" si="155"/>
        <v xml:space="preserve">   + Số lượng xe:</v>
      </c>
      <c r="BF97" s="225">
        <f t="shared" si="141"/>
        <v>0</v>
      </c>
      <c r="BG97" s="225">
        <f t="shared" si="156"/>
        <v>0</v>
      </c>
      <c r="BH97" s="225">
        <f t="shared" si="157"/>
        <v>0</v>
      </c>
      <c r="BI97" s="321" t="str">
        <f t="shared" si="158"/>
        <v/>
      </c>
      <c r="BJ97" s="284">
        <f t="shared" si="142"/>
        <v>0</v>
      </c>
      <c r="BK97" s="284" t="str">
        <f t="shared" si="136"/>
        <v/>
      </c>
      <c r="BL97" s="225" t="str">
        <f t="shared" si="143"/>
        <v xml:space="preserve">   + Người ra lệnh:</v>
      </c>
      <c r="BM97" s="225">
        <f t="shared" si="144"/>
        <v>0</v>
      </c>
      <c r="BN97" s="113" t="e">
        <f>VLOOKUP(BM97,[1]Sheet1!$B$3:$C$604,2,0)</f>
        <v>#N/A</v>
      </c>
      <c r="BO97" s="113" t="str">
        <f t="shared" si="145"/>
        <v/>
      </c>
      <c r="BP97" s="351" t="str">
        <f t="shared" si="137"/>
        <v/>
      </c>
      <c r="BT97" s="113" t="str">
        <f t="shared" si="146"/>
        <v>, 4 xe của Đức Tín, 3 xe của Đức Tín, 1 xe của Đức Tín</v>
      </c>
      <c r="BU97" s="113">
        <f t="shared" si="147"/>
        <v>100</v>
      </c>
      <c r="BV97" s="380" t="e">
        <f t="shared" si="148"/>
        <v>#N/A</v>
      </c>
      <c r="BW97" s="376" t="e">
        <f t="shared" si="149"/>
        <v>#N/A</v>
      </c>
    </row>
    <row r="98" spans="1:75" ht="15.6" x14ac:dyDescent="0.3">
      <c r="A98" s="113">
        <v>98</v>
      </c>
      <c r="B98" s="113" t="str">
        <f t="shared" si="160"/>
        <v>92Cont kéo về bãi Bình Phú rút. Lô 1x20' Hiệu   + Tiền đường:</v>
      </c>
      <c r="C98" t="s">
        <v>15072</v>
      </c>
      <c r="D98">
        <v>150</v>
      </c>
      <c r="E98" s="128" t="s">
        <v>15073</v>
      </c>
      <c r="F98"/>
      <c r="AE98" s="244" t="e">
        <f t="shared" si="138"/>
        <v>#N/A</v>
      </c>
      <c r="AV98" s="113" t="e">
        <f>VLOOKUP(BD98,giaroi!$D$6:$N$500,11,0)</f>
        <v>#N/A</v>
      </c>
      <c r="AW98" s="284">
        <f t="shared" si="139"/>
        <v>0</v>
      </c>
      <c r="AY98" s="284" t="str">
        <f t="shared" si="140"/>
        <v>=+0/</v>
      </c>
      <c r="AZ98" s="225">
        <f t="shared" si="150"/>
        <v>0</v>
      </c>
      <c r="BA98" s="127">
        <f t="shared" si="151"/>
        <v>0</v>
      </c>
      <c r="BB98" s="244">
        <f t="shared" si="152"/>
        <v>0</v>
      </c>
      <c r="BC98" s="225">
        <f t="shared" si="153"/>
        <v>0</v>
      </c>
      <c r="BD98" s="225">
        <f t="shared" si="154"/>
        <v>0</v>
      </c>
      <c r="BE98" s="225" t="str">
        <f t="shared" si="155"/>
        <v xml:space="preserve">   + Số lượng xe:</v>
      </c>
      <c r="BF98" s="225">
        <f t="shared" si="141"/>
        <v>0</v>
      </c>
      <c r="BG98" s="225">
        <f t="shared" si="156"/>
        <v>0</v>
      </c>
      <c r="BH98" s="225">
        <f t="shared" si="157"/>
        <v>0</v>
      </c>
      <c r="BI98" s="321" t="str">
        <f t="shared" si="158"/>
        <v/>
      </c>
      <c r="BJ98" s="284">
        <f t="shared" si="142"/>
        <v>0</v>
      </c>
      <c r="BK98" s="284" t="str">
        <f t="shared" si="136"/>
        <v/>
      </c>
      <c r="BL98" s="225" t="str">
        <f t="shared" si="143"/>
        <v xml:space="preserve">   + Người ra lệnh:</v>
      </c>
      <c r="BM98" s="225">
        <f t="shared" si="144"/>
        <v>0</v>
      </c>
      <c r="BN98" s="113" t="e">
        <f>VLOOKUP(BM98,[1]Sheet1!$B$3:$C$604,2,0)</f>
        <v>#N/A</v>
      </c>
      <c r="BO98" s="113" t="str">
        <f t="shared" si="145"/>
        <v/>
      </c>
      <c r="BP98" s="351" t="str">
        <f t="shared" si="137"/>
        <v/>
      </c>
      <c r="BT98" s="113" t="str">
        <f t="shared" si="146"/>
        <v>, 4 xe của Đức Tín, 3 xe của Đức Tín, 1 xe của Đức Tín</v>
      </c>
      <c r="BU98" s="113">
        <f t="shared" si="147"/>
        <v>100</v>
      </c>
      <c r="BV98" s="380" t="e">
        <f t="shared" si="148"/>
        <v>#N/A</v>
      </c>
      <c r="BW98" s="376" t="e">
        <f t="shared" si="149"/>
        <v>#N/A</v>
      </c>
    </row>
    <row r="99" spans="1:75" ht="15.6" x14ac:dyDescent="0.3">
      <c r="A99" s="113">
        <v>99</v>
      </c>
      <c r="B99" s="113" t="str">
        <f t="shared" si="160"/>
        <v>92Cont kéo về bãi Bình Phú rút. Lô 1x20' Hiệu   + Lưu ý:</v>
      </c>
      <c r="C99" t="s">
        <v>15118</v>
      </c>
      <c r="D99" t="s">
        <v>15118</v>
      </c>
      <c r="E99"/>
      <c r="F99"/>
      <c r="AE99" s="244" t="e">
        <f t="shared" si="138"/>
        <v>#N/A</v>
      </c>
      <c r="AV99" s="113" t="e">
        <f>VLOOKUP(BD99,giaroi!$D$6:$N$500,11,0)</f>
        <v>#N/A</v>
      </c>
      <c r="AW99" s="284">
        <f t="shared" si="139"/>
        <v>0</v>
      </c>
      <c r="AY99" s="284" t="str">
        <f t="shared" si="140"/>
        <v>=+0/</v>
      </c>
      <c r="AZ99" s="225">
        <f t="shared" si="150"/>
        <v>0</v>
      </c>
      <c r="BA99" s="127">
        <f t="shared" si="151"/>
        <v>0</v>
      </c>
      <c r="BB99" s="244">
        <f t="shared" si="152"/>
        <v>0</v>
      </c>
      <c r="BC99" s="225">
        <f t="shared" si="153"/>
        <v>0</v>
      </c>
      <c r="BD99" s="225">
        <f t="shared" si="154"/>
        <v>0</v>
      </c>
      <c r="BE99" s="225" t="str">
        <f t="shared" si="155"/>
        <v xml:space="preserve">   + Số lượng xe:</v>
      </c>
      <c r="BF99" s="225">
        <f t="shared" si="141"/>
        <v>0</v>
      </c>
      <c r="BG99" s="225">
        <f t="shared" si="156"/>
        <v>0</v>
      </c>
      <c r="BH99" s="225">
        <f t="shared" si="157"/>
        <v>0</v>
      </c>
      <c r="BI99" s="321" t="str">
        <f t="shared" si="158"/>
        <v/>
      </c>
      <c r="BJ99" s="284">
        <f t="shared" si="142"/>
        <v>0</v>
      </c>
      <c r="BK99" s="284" t="str">
        <f t="shared" si="136"/>
        <v/>
      </c>
      <c r="BL99" s="225" t="str">
        <f t="shared" si="143"/>
        <v xml:space="preserve">   + Người ra lệnh:</v>
      </c>
      <c r="BM99" s="225">
        <f t="shared" si="144"/>
        <v>0</v>
      </c>
      <c r="BN99" s="113" t="e">
        <f>VLOOKUP(BM99,[1]Sheet1!$B$3:$C$604,2,0)</f>
        <v>#N/A</v>
      </c>
      <c r="BO99" s="113" t="str">
        <f t="shared" si="145"/>
        <v/>
      </c>
      <c r="BP99" s="351" t="str">
        <f t="shared" si="137"/>
        <v/>
      </c>
      <c r="BT99" s="113" t="str">
        <f t="shared" si="146"/>
        <v>, 4 xe của Đức Tín, 3 xe của Đức Tín, 1 xe của Đức Tín</v>
      </c>
      <c r="BU99" s="113">
        <f t="shared" si="147"/>
        <v>100</v>
      </c>
      <c r="BV99" s="380" t="e">
        <f t="shared" si="148"/>
        <v>#N/A</v>
      </c>
      <c r="BW99" s="376" t="e">
        <f t="shared" si="149"/>
        <v>#N/A</v>
      </c>
    </row>
    <row r="100" spans="1:75" ht="15.6" x14ac:dyDescent="0.3">
      <c r="A100" s="113">
        <v>100</v>
      </c>
      <c r="B100" s="113" t="str">
        <f t="shared" si="160"/>
        <v>92Cont kéo về bãi Bình Phú rút. Lô 1x20' Hiệu   + Loại gỗ</v>
      </c>
      <c r="C100" t="s">
        <v>15119</v>
      </c>
      <c r="D100" t="s">
        <v>15120</v>
      </c>
      <c r="E100" s="128"/>
      <c r="F100"/>
      <c r="AE100" s="244" t="e">
        <f t="shared" si="138"/>
        <v>#N/A</v>
      </c>
      <c r="AV100" s="113" t="e">
        <f>VLOOKUP(BD100,giaroi!$D$6:$N$500,11,0)</f>
        <v>#N/A</v>
      </c>
      <c r="AW100" s="284">
        <f t="shared" si="139"/>
        <v>0</v>
      </c>
      <c r="AY100" s="284" t="str">
        <f t="shared" si="140"/>
        <v>=+0/</v>
      </c>
      <c r="AZ100" s="225">
        <f t="shared" si="150"/>
        <v>0</v>
      </c>
      <c r="BA100" s="127">
        <f t="shared" si="151"/>
        <v>0</v>
      </c>
      <c r="BB100" s="244">
        <f t="shared" si="152"/>
        <v>0</v>
      </c>
      <c r="BC100" s="225">
        <f t="shared" si="153"/>
        <v>0</v>
      </c>
      <c r="BD100" s="225">
        <f t="shared" si="154"/>
        <v>0</v>
      </c>
      <c r="BE100" s="225" t="str">
        <f t="shared" si="155"/>
        <v xml:space="preserve">   + Số lượng xe:</v>
      </c>
      <c r="BF100" s="225">
        <f t="shared" si="141"/>
        <v>0</v>
      </c>
      <c r="BG100" s="225">
        <f t="shared" si="156"/>
        <v>0</v>
      </c>
      <c r="BH100" s="225">
        <f t="shared" si="157"/>
        <v>0</v>
      </c>
      <c r="BI100" s="321" t="str">
        <f t="shared" si="158"/>
        <v/>
      </c>
      <c r="BJ100" s="284">
        <f t="shared" si="142"/>
        <v>0</v>
      </c>
      <c r="BK100" s="284" t="str">
        <f t="shared" si="136"/>
        <v/>
      </c>
      <c r="BL100" s="225" t="str">
        <f t="shared" si="143"/>
        <v xml:space="preserve">   + Người ra lệnh:</v>
      </c>
      <c r="BM100" s="225">
        <f t="shared" si="144"/>
        <v>0</v>
      </c>
      <c r="BN100" s="113" t="e">
        <f>VLOOKUP(BM100,[1]Sheet1!$B$3:$C$604,2,0)</f>
        <v>#N/A</v>
      </c>
      <c r="BO100" s="113" t="str">
        <f t="shared" si="145"/>
        <v/>
      </c>
      <c r="BP100" s="351" t="str">
        <f t="shared" si="137"/>
        <v/>
      </c>
      <c r="BT100" s="113" t="str">
        <f t="shared" si="146"/>
        <v>, 4 xe của Đức Tín, 3 xe của Đức Tín, 1 xe của Đức Tín</v>
      </c>
      <c r="BU100" s="113">
        <f t="shared" si="147"/>
        <v>100</v>
      </c>
      <c r="BV100" s="380" t="e">
        <f t="shared" si="148"/>
        <v>#N/A</v>
      </c>
      <c r="BW100" s="376" t="e">
        <f t="shared" si="149"/>
        <v>#N/A</v>
      </c>
    </row>
    <row r="101" spans="1:75" ht="15.6" x14ac:dyDescent="0.3">
      <c r="A101" s="113">
        <v>101</v>
      </c>
      <c r="B101" s="113" t="str">
        <f t="shared" si="160"/>
        <v>92Cont kéo về bãi Bình Phú rút. Lô 1x20' Hiệu</v>
      </c>
      <c r="C101"/>
      <c r="D101"/>
      <c r="E101"/>
      <c r="F101"/>
      <c r="AE101" s="244" t="e">
        <f t="shared" si="138"/>
        <v>#N/A</v>
      </c>
      <c r="AV101" s="113" t="e">
        <f>VLOOKUP(BD101,giaroi!$D$6:$N$500,11,0)</f>
        <v>#N/A</v>
      </c>
      <c r="AW101" s="284">
        <f t="shared" si="139"/>
        <v>0</v>
      </c>
      <c r="AY101" s="284" t="str">
        <f t="shared" si="140"/>
        <v>=+0/</v>
      </c>
      <c r="AZ101" s="225">
        <f t="shared" si="150"/>
        <v>0</v>
      </c>
      <c r="BA101" s="127">
        <f t="shared" si="151"/>
        <v>0</v>
      </c>
      <c r="BB101" s="244">
        <f t="shared" si="152"/>
        <v>0</v>
      </c>
      <c r="BC101" s="225">
        <f t="shared" si="153"/>
        <v>0</v>
      </c>
      <c r="BD101" s="225">
        <f t="shared" si="154"/>
        <v>0</v>
      </c>
      <c r="BE101" s="225" t="str">
        <f t="shared" si="155"/>
        <v xml:space="preserve">   + Số lượng xe:</v>
      </c>
      <c r="BF101" s="225">
        <f t="shared" si="141"/>
        <v>0</v>
      </c>
      <c r="BG101" s="225">
        <f t="shared" si="156"/>
        <v>0</v>
      </c>
      <c r="BH101" s="225">
        <f t="shared" si="157"/>
        <v>0</v>
      </c>
      <c r="BI101" s="321" t="str">
        <f t="shared" si="158"/>
        <v/>
      </c>
      <c r="BJ101" s="284">
        <f t="shared" si="142"/>
        <v>0</v>
      </c>
      <c r="BK101" s="284" t="str">
        <f t="shared" si="136"/>
        <v/>
      </c>
      <c r="BL101" s="225" t="str">
        <f t="shared" si="143"/>
        <v xml:space="preserve">   + Người ra lệnh:</v>
      </c>
      <c r="BM101" s="225">
        <f t="shared" si="144"/>
        <v>0</v>
      </c>
      <c r="BN101" s="113" t="e">
        <f>VLOOKUP(BM101,[1]Sheet1!$B$3:$C$604,2,0)</f>
        <v>#N/A</v>
      </c>
      <c r="BO101" s="113" t="str">
        <f t="shared" si="145"/>
        <v/>
      </c>
      <c r="BP101" s="351" t="str">
        <f t="shared" si="137"/>
        <v/>
      </c>
      <c r="BT101" s="113" t="str">
        <f t="shared" si="146"/>
        <v>, 4 xe của Đức Tín, 3 xe của Đức Tín, 1 xe của Đức Tín</v>
      </c>
      <c r="BU101" s="113">
        <f t="shared" si="147"/>
        <v>100</v>
      </c>
      <c r="BV101" s="380" t="e">
        <f t="shared" si="148"/>
        <v>#N/A</v>
      </c>
    </row>
    <row r="102" spans="1:75" ht="15.6" x14ac:dyDescent="0.3">
      <c r="A102" s="113">
        <v>102</v>
      </c>
      <c r="B102" s="113" t="str">
        <f t="shared" si="160"/>
        <v>92Cont kéo về bãi Bình Phú rút. Lô 1x20' Hiệu</v>
      </c>
      <c r="C102"/>
      <c r="D102"/>
      <c r="E102"/>
      <c r="F102"/>
      <c r="AE102" s="244" t="e">
        <f t="shared" si="138"/>
        <v>#N/A</v>
      </c>
      <c r="AV102" s="113" t="e">
        <f>VLOOKUP(BD102,giaroi!$D$6:$N$500,11,0)</f>
        <v>#N/A</v>
      </c>
      <c r="AW102" s="284">
        <f t="shared" si="139"/>
        <v>0</v>
      </c>
      <c r="AY102" s="284" t="str">
        <f t="shared" si="140"/>
        <v>=+0/</v>
      </c>
      <c r="AZ102" s="225">
        <f t="shared" si="150"/>
        <v>0</v>
      </c>
      <c r="BA102" s="127">
        <f t="shared" si="151"/>
        <v>0</v>
      </c>
      <c r="BB102" s="244">
        <f t="shared" si="152"/>
        <v>0</v>
      </c>
      <c r="BC102" s="225">
        <f t="shared" si="153"/>
        <v>0</v>
      </c>
      <c r="BD102" s="225">
        <f t="shared" si="154"/>
        <v>0</v>
      </c>
      <c r="BE102" s="225" t="str">
        <f t="shared" si="155"/>
        <v xml:space="preserve">   + Số lượng xe:</v>
      </c>
      <c r="BF102" s="225">
        <f t="shared" si="141"/>
        <v>0</v>
      </c>
      <c r="BG102" s="225">
        <f t="shared" si="156"/>
        <v>0</v>
      </c>
      <c r="BH102" s="225">
        <f t="shared" si="157"/>
        <v>0</v>
      </c>
      <c r="BI102" s="321" t="str">
        <f t="shared" si="158"/>
        <v/>
      </c>
      <c r="BJ102" s="284">
        <f t="shared" si="142"/>
        <v>0</v>
      </c>
      <c r="BK102" s="284" t="str">
        <f t="shared" si="136"/>
        <v/>
      </c>
      <c r="BL102" s="225" t="str">
        <f t="shared" si="143"/>
        <v xml:space="preserve">   + Người ra lệnh:</v>
      </c>
      <c r="BM102" s="225">
        <f t="shared" si="144"/>
        <v>0</v>
      </c>
      <c r="BN102" s="113" t="e">
        <f>VLOOKUP(BM102,[1]Sheet1!$B$3:$C$604,2,0)</f>
        <v>#N/A</v>
      </c>
      <c r="BO102" s="113" t="str">
        <f t="shared" si="145"/>
        <v/>
      </c>
      <c r="BP102" s="351" t="str">
        <f t="shared" si="137"/>
        <v/>
      </c>
      <c r="BT102" s="113" t="str">
        <f t="shared" si="146"/>
        <v>, 4 xe của Đức Tín, 3 xe của Đức Tín, 1 xe của Đức Tín</v>
      </c>
      <c r="BU102" s="113">
        <f t="shared" si="147"/>
        <v>100</v>
      </c>
    </row>
    <row r="103" spans="1:75" ht="15.6" x14ac:dyDescent="0.3">
      <c r="A103" s="113">
        <v>103</v>
      </c>
      <c r="B103" s="113" t="str">
        <f t="shared" si="160"/>
        <v>92Cont kéo về bãi Bình Phú rút. Lô 1x20' Hiệu</v>
      </c>
      <c r="C103"/>
      <c r="D103"/>
      <c r="E103"/>
      <c r="F103"/>
      <c r="AE103" s="244" t="e">
        <f t="shared" si="138"/>
        <v>#N/A</v>
      </c>
      <c r="AV103" s="113" t="e">
        <f>VLOOKUP(BD103,giaroi!$D$6:$N$500,11,0)</f>
        <v>#N/A</v>
      </c>
      <c r="AW103" s="284">
        <f t="shared" si="139"/>
        <v>0</v>
      </c>
      <c r="AY103" s="284" t="str">
        <f t="shared" si="140"/>
        <v>=+0/</v>
      </c>
      <c r="AZ103" s="225">
        <f t="shared" si="150"/>
        <v>0</v>
      </c>
      <c r="BA103" s="127">
        <f t="shared" si="151"/>
        <v>0</v>
      </c>
      <c r="BB103" s="244">
        <f t="shared" si="152"/>
        <v>0</v>
      </c>
      <c r="BC103" s="225">
        <f t="shared" si="153"/>
        <v>0</v>
      </c>
      <c r="BD103" s="225">
        <f t="shared" si="154"/>
        <v>0</v>
      </c>
      <c r="BE103" s="225" t="str">
        <f t="shared" si="155"/>
        <v xml:space="preserve">   + Số lượng xe:</v>
      </c>
      <c r="BF103" s="225">
        <f t="shared" si="141"/>
        <v>0</v>
      </c>
      <c r="BG103" s="225">
        <f t="shared" si="156"/>
        <v>0</v>
      </c>
      <c r="BH103" s="225">
        <f t="shared" si="157"/>
        <v>0</v>
      </c>
      <c r="BI103" s="321" t="str">
        <f t="shared" si="158"/>
        <v/>
      </c>
      <c r="BJ103" s="284">
        <f t="shared" si="142"/>
        <v>0</v>
      </c>
      <c r="BK103" s="284" t="str">
        <f t="shared" si="136"/>
        <v/>
      </c>
      <c r="BL103" s="225" t="str">
        <f t="shared" si="143"/>
        <v xml:space="preserve">   + Người ra lệnh:</v>
      </c>
      <c r="BM103" s="225">
        <f t="shared" si="144"/>
        <v>0</v>
      </c>
      <c r="BN103" s="113" t="e">
        <f>VLOOKUP(BM103,[1]Sheet1!$B$3:$C$604,2,0)</f>
        <v>#N/A</v>
      </c>
      <c r="BO103" s="113" t="str">
        <f t="shared" si="145"/>
        <v/>
      </c>
      <c r="BP103" s="351" t="str">
        <f t="shared" si="137"/>
        <v/>
      </c>
    </row>
    <row r="104" spans="1:75" ht="15.6" x14ac:dyDescent="0.3">
      <c r="A104" s="113">
        <v>104</v>
      </c>
      <c r="C104" t="s">
        <v>15121</v>
      </c>
      <c r="D104"/>
      <c r="E104"/>
      <c r="F104"/>
      <c r="AE104" s="244" t="e">
        <f t="shared" si="138"/>
        <v>#N/A</v>
      </c>
      <c r="AV104" s="113" t="e">
        <f>VLOOKUP(BD104,giaroi!$D$6:$N$500,11,0)</f>
        <v>#N/A</v>
      </c>
      <c r="AW104" s="284">
        <f t="shared" si="139"/>
        <v>0</v>
      </c>
      <c r="AY104" s="284" t="str">
        <f t="shared" si="140"/>
        <v>=+0/</v>
      </c>
      <c r="AZ104" s="225">
        <f t="shared" si="150"/>
        <v>0</v>
      </c>
      <c r="BA104" s="127">
        <f t="shared" si="151"/>
        <v>0</v>
      </c>
      <c r="BB104" s="244">
        <f t="shared" si="152"/>
        <v>0</v>
      </c>
      <c r="BC104" s="225">
        <f t="shared" si="153"/>
        <v>0</v>
      </c>
      <c r="BD104" s="225">
        <f t="shared" si="154"/>
        <v>0</v>
      </c>
      <c r="BE104" s="225" t="str">
        <f t="shared" si="155"/>
        <v xml:space="preserve">   + Số lượng xe:</v>
      </c>
      <c r="BF104" s="225">
        <f t="shared" si="141"/>
        <v>0</v>
      </c>
      <c r="BG104" s="225">
        <f t="shared" si="156"/>
        <v>0</v>
      </c>
      <c r="BH104" s="225">
        <f t="shared" si="157"/>
        <v>0</v>
      </c>
      <c r="BI104" s="321" t="str">
        <f t="shared" si="158"/>
        <v/>
      </c>
      <c r="BJ104" s="284">
        <f t="shared" si="142"/>
        <v>0</v>
      </c>
      <c r="BK104" s="284" t="str">
        <f t="shared" si="136"/>
        <v/>
      </c>
      <c r="BL104" s="225" t="str">
        <f t="shared" si="143"/>
        <v xml:space="preserve">   + Người ra lệnh:</v>
      </c>
      <c r="BM104" s="225">
        <f t="shared" si="144"/>
        <v>0</v>
      </c>
      <c r="BN104" s="113" t="e">
        <f>VLOOKUP(BM104,[1]Sheet1!$B$3:$C$604,2,0)</f>
        <v>#N/A</v>
      </c>
      <c r="BO104" s="113" t="str">
        <f t="shared" si="145"/>
        <v/>
      </c>
      <c r="BP104" s="351" t="str">
        <f t="shared" si="137"/>
        <v/>
      </c>
    </row>
    <row r="105" spans="1:75" ht="15.6" x14ac:dyDescent="0.3">
      <c r="A105" s="113">
        <v>105</v>
      </c>
      <c r="B105" s="113" t="str">
        <f>CONCATENATE($A$104,$C$104,C105)</f>
        <v>104Gỗ rời   + Nâng gỗ</v>
      </c>
      <c r="C105" t="s">
        <v>15055</v>
      </c>
      <c r="D105" t="s">
        <v>232</v>
      </c>
      <c r="E105"/>
      <c r="F105"/>
      <c r="AE105" s="244" t="e">
        <f t="shared" si="138"/>
        <v>#N/A</v>
      </c>
      <c r="AV105" s="113" t="e">
        <f>VLOOKUP(BD105,giaroi!$D$6:$N$500,11,0)</f>
        <v>#N/A</v>
      </c>
      <c r="AW105" s="284">
        <f t="shared" si="139"/>
        <v>0</v>
      </c>
      <c r="AY105" s="284" t="str">
        <f t="shared" si="140"/>
        <v>=+0/</v>
      </c>
      <c r="AZ105" s="225">
        <f t="shared" si="150"/>
        <v>0</v>
      </c>
      <c r="BA105" s="127">
        <f t="shared" si="151"/>
        <v>0</v>
      </c>
      <c r="BB105" s="244">
        <f t="shared" si="152"/>
        <v>0</v>
      </c>
      <c r="BC105" s="225">
        <f t="shared" si="153"/>
        <v>0</v>
      </c>
      <c r="BD105" s="225">
        <f t="shared" si="154"/>
        <v>0</v>
      </c>
      <c r="BE105" s="225" t="str">
        <f t="shared" si="155"/>
        <v xml:space="preserve">   + Số lượng xe:</v>
      </c>
      <c r="BF105" s="225">
        <f t="shared" si="141"/>
        <v>0</v>
      </c>
      <c r="BG105" s="225">
        <f t="shared" si="156"/>
        <v>0</v>
      </c>
      <c r="BH105" s="225">
        <f t="shared" si="157"/>
        <v>0</v>
      </c>
      <c r="BI105" s="321" t="str">
        <f t="shared" si="158"/>
        <v/>
      </c>
      <c r="BJ105" s="284">
        <f t="shared" si="142"/>
        <v>0</v>
      </c>
      <c r="BK105" s="284" t="str">
        <f t="shared" si="136"/>
        <v/>
      </c>
      <c r="BL105" s="225" t="str">
        <f t="shared" si="143"/>
        <v xml:space="preserve">   + Người ra lệnh:</v>
      </c>
      <c r="BM105" s="225">
        <f t="shared" si="144"/>
        <v>0</v>
      </c>
      <c r="BN105" s="113" t="e">
        <f>VLOOKUP(BM105,[1]Sheet1!$B$3:$C$604,2,0)</f>
        <v>#N/A</v>
      </c>
      <c r="BO105" s="113" t="str">
        <f t="shared" si="145"/>
        <v/>
      </c>
      <c r="BP105" s="351" t="str">
        <f t="shared" si="137"/>
        <v/>
      </c>
    </row>
    <row r="106" spans="1:75" ht="15.6" x14ac:dyDescent="0.3">
      <c r="A106" s="113">
        <v>106</v>
      </c>
      <c r="B106" s="113" t="str">
        <f t="shared" ref="B106:B115" si="161">CONCATENATE($A$104,$C$104,C106)</f>
        <v>104Gỗ rời   + Người ra lệnh:</v>
      </c>
      <c r="C106" t="s">
        <v>15056</v>
      </c>
      <c r="D106" t="s">
        <v>15127</v>
      </c>
      <c r="E106"/>
      <c r="F106" s="128"/>
      <c r="AE106" s="244" t="e">
        <f t="shared" si="138"/>
        <v>#N/A</v>
      </c>
      <c r="AV106" s="113" t="e">
        <f>VLOOKUP(BD106,giaroi!$D$6:$N$500,11,0)</f>
        <v>#N/A</v>
      </c>
      <c r="AW106" s="284">
        <f t="shared" si="139"/>
        <v>0</v>
      </c>
      <c r="AY106" s="284" t="str">
        <f t="shared" si="140"/>
        <v>=+0/</v>
      </c>
      <c r="AZ106" s="225">
        <f t="shared" si="150"/>
        <v>0</v>
      </c>
      <c r="BA106" s="127">
        <f t="shared" si="151"/>
        <v>0</v>
      </c>
      <c r="BB106" s="244">
        <f t="shared" si="152"/>
        <v>0</v>
      </c>
      <c r="BC106" s="225">
        <f t="shared" si="153"/>
        <v>0</v>
      </c>
      <c r="BD106" s="225">
        <f t="shared" si="154"/>
        <v>0</v>
      </c>
      <c r="BE106" s="225" t="str">
        <f t="shared" si="155"/>
        <v xml:space="preserve">   + Số lượng xe:</v>
      </c>
      <c r="BF106" s="225">
        <f t="shared" si="141"/>
        <v>0</v>
      </c>
      <c r="BG106" s="225">
        <f t="shared" si="156"/>
        <v>0</v>
      </c>
      <c r="BH106" s="225">
        <f t="shared" si="157"/>
        <v>0</v>
      </c>
      <c r="BI106" s="321" t="str">
        <f t="shared" si="158"/>
        <v/>
      </c>
      <c r="BJ106" s="284">
        <f t="shared" si="142"/>
        <v>0</v>
      </c>
      <c r="BK106" s="284" t="str">
        <f t="shared" si="136"/>
        <v/>
      </c>
      <c r="BL106" s="225" t="str">
        <f t="shared" si="143"/>
        <v xml:space="preserve">   + Người ra lệnh:</v>
      </c>
      <c r="BM106" s="225">
        <f t="shared" si="144"/>
        <v>0</v>
      </c>
      <c r="BN106" s="113" t="e">
        <f>VLOOKUP(BM106,[1]Sheet1!$B$3:$C$604,2,0)</f>
        <v>#N/A</v>
      </c>
      <c r="BO106" s="113" t="str">
        <f t="shared" si="145"/>
        <v/>
      </c>
      <c r="BP106" s="351" t="str">
        <f t="shared" si="137"/>
        <v/>
      </c>
    </row>
    <row r="107" spans="1:75" ht="15.6" x14ac:dyDescent="0.3">
      <c r="A107" s="113">
        <v>107</v>
      </c>
      <c r="B107" s="113" t="str">
        <f t="shared" si="161"/>
        <v>104Gỗ rời   + Loại gỗ:</v>
      </c>
      <c r="C107" t="s">
        <v>15058</v>
      </c>
      <c r="D107" t="s">
        <v>15128</v>
      </c>
      <c r="E107"/>
      <c r="F107"/>
      <c r="AE107" s="244" t="e">
        <f t="shared" si="138"/>
        <v>#N/A</v>
      </c>
      <c r="AV107" s="113" t="e">
        <f>VLOOKUP(BD107,giaroi!$D$6:$N$500,11,0)</f>
        <v>#N/A</v>
      </c>
      <c r="AW107" s="284">
        <f t="shared" si="139"/>
        <v>0</v>
      </c>
      <c r="AY107" s="284" t="str">
        <f t="shared" si="140"/>
        <v>=+0/</v>
      </c>
      <c r="AZ107" s="225">
        <f t="shared" si="150"/>
        <v>0</v>
      </c>
      <c r="BA107" s="127">
        <f t="shared" si="151"/>
        <v>0</v>
      </c>
      <c r="BB107" s="244">
        <f t="shared" si="152"/>
        <v>0</v>
      </c>
      <c r="BC107" s="225">
        <f t="shared" si="153"/>
        <v>0</v>
      </c>
      <c r="BD107" s="225">
        <f t="shared" si="154"/>
        <v>0</v>
      </c>
      <c r="BE107" s="225" t="str">
        <f t="shared" si="155"/>
        <v xml:space="preserve">   + Số lượng xe:</v>
      </c>
      <c r="BF107" s="225">
        <f t="shared" si="141"/>
        <v>0</v>
      </c>
      <c r="BG107" s="225">
        <f t="shared" si="156"/>
        <v>0</v>
      </c>
      <c r="BH107" s="225">
        <f t="shared" si="157"/>
        <v>0</v>
      </c>
      <c r="BI107" s="321" t="str">
        <f t="shared" si="158"/>
        <v/>
      </c>
      <c r="BJ107" s="284">
        <f t="shared" si="142"/>
        <v>0</v>
      </c>
      <c r="BK107" s="284" t="str">
        <f t="shared" si="136"/>
        <v/>
      </c>
      <c r="BL107" s="225" t="str">
        <f t="shared" si="143"/>
        <v xml:space="preserve">   + Người ra lệnh:</v>
      </c>
      <c r="BM107" s="225">
        <f t="shared" si="144"/>
        <v>0</v>
      </c>
      <c r="BN107" s="113" t="e">
        <f>VLOOKUP(BM107,[1]Sheet1!$B$3:$C$604,2,0)</f>
        <v>#N/A</v>
      </c>
      <c r="BO107" s="113" t="str">
        <f t="shared" si="145"/>
        <v/>
      </c>
      <c r="BP107" s="351" t="str">
        <f t="shared" si="137"/>
        <v/>
      </c>
    </row>
    <row r="108" spans="1:75" ht="15.6" x14ac:dyDescent="0.3">
      <c r="A108" s="113">
        <v>108</v>
      </c>
      <c r="B108" s="113" t="str">
        <f t="shared" si="161"/>
        <v>104Gỗ rời   + Khối lượng:</v>
      </c>
      <c r="C108" t="s">
        <v>15060</v>
      </c>
      <c r="D108" t="s">
        <v>15129</v>
      </c>
      <c r="E108"/>
      <c r="F108" s="128"/>
      <c r="AE108" s="244" t="e">
        <f t="shared" si="138"/>
        <v>#N/A</v>
      </c>
      <c r="AV108" s="113" t="e">
        <f>VLOOKUP(BD108,giaroi!$D$6:$N$500,11,0)</f>
        <v>#N/A</v>
      </c>
      <c r="AW108" s="284">
        <f t="shared" si="139"/>
        <v>0</v>
      </c>
      <c r="AY108" s="284" t="str">
        <f t="shared" si="140"/>
        <v>=+0/</v>
      </c>
      <c r="AZ108" s="225">
        <f t="shared" si="150"/>
        <v>0</v>
      </c>
      <c r="BA108" s="127">
        <f t="shared" si="151"/>
        <v>0</v>
      </c>
      <c r="BB108" s="244">
        <f t="shared" si="152"/>
        <v>0</v>
      </c>
      <c r="BC108" s="225">
        <f t="shared" si="153"/>
        <v>0</v>
      </c>
      <c r="BD108" s="225">
        <f t="shared" si="154"/>
        <v>0</v>
      </c>
      <c r="BE108" s="225" t="str">
        <f t="shared" si="155"/>
        <v xml:space="preserve">   + Số lượng xe:</v>
      </c>
      <c r="BF108" s="225">
        <f t="shared" si="141"/>
        <v>0</v>
      </c>
      <c r="BG108" s="225">
        <f t="shared" si="156"/>
        <v>0</v>
      </c>
      <c r="BH108" s="225">
        <f t="shared" si="157"/>
        <v>0</v>
      </c>
      <c r="BI108" s="321" t="str">
        <f t="shared" si="158"/>
        <v/>
      </c>
      <c r="BJ108" s="284">
        <f t="shared" si="142"/>
        <v>0</v>
      </c>
      <c r="BK108" s="284" t="str">
        <f t="shared" si="136"/>
        <v/>
      </c>
      <c r="BL108" s="225" t="str">
        <f t="shared" si="143"/>
        <v xml:space="preserve">   + Người ra lệnh:</v>
      </c>
      <c r="BM108" s="225">
        <f t="shared" si="144"/>
        <v>0</v>
      </c>
      <c r="BN108" s="113" t="e">
        <f>VLOOKUP(BM108,[1]Sheet1!$B$3:$C$604,2,0)</f>
        <v>#N/A</v>
      </c>
      <c r="BO108" s="113" t="str">
        <f t="shared" si="145"/>
        <v/>
      </c>
      <c r="BP108" s="351" t="str">
        <f t="shared" si="137"/>
        <v/>
      </c>
    </row>
    <row r="109" spans="1:75" ht="15.6" x14ac:dyDescent="0.3">
      <c r="A109" s="113">
        <v>109</v>
      </c>
      <c r="B109" s="113" t="str">
        <f t="shared" si="161"/>
        <v>104Gỗ rời   + Số lượng xe:</v>
      </c>
      <c r="C109" t="s">
        <v>15062</v>
      </c>
      <c r="D109">
        <v>5</v>
      </c>
      <c r="E109" t="s">
        <v>15082</v>
      </c>
      <c r="F109"/>
      <c r="AE109" s="244" t="e">
        <f t="shared" si="138"/>
        <v>#N/A</v>
      </c>
      <c r="AV109" s="113" t="e">
        <f>VLOOKUP(BD109,giaroi!$D$6:$N$500,11,0)</f>
        <v>#N/A</v>
      </c>
      <c r="AW109" s="284">
        <f t="shared" si="139"/>
        <v>0</v>
      </c>
      <c r="AY109" s="284" t="str">
        <f t="shared" si="140"/>
        <v>=+0/</v>
      </c>
      <c r="AZ109" s="225">
        <f t="shared" si="150"/>
        <v>0</v>
      </c>
      <c r="BA109" s="127">
        <f t="shared" si="151"/>
        <v>0</v>
      </c>
      <c r="BB109" s="244">
        <f t="shared" si="152"/>
        <v>0</v>
      </c>
      <c r="BC109" s="225">
        <f t="shared" si="153"/>
        <v>0</v>
      </c>
      <c r="BD109" s="225">
        <f t="shared" si="154"/>
        <v>0</v>
      </c>
      <c r="BE109" s="225" t="str">
        <f t="shared" si="155"/>
        <v xml:space="preserve">   + Số lượng xe:</v>
      </c>
      <c r="BF109" s="225">
        <f t="shared" si="141"/>
        <v>0</v>
      </c>
      <c r="BG109" s="225">
        <f t="shared" si="156"/>
        <v>0</v>
      </c>
      <c r="BH109" s="225">
        <f t="shared" si="157"/>
        <v>0</v>
      </c>
      <c r="BI109" s="321" t="str">
        <f t="shared" si="158"/>
        <v/>
      </c>
      <c r="BJ109" s="284">
        <f t="shared" si="142"/>
        <v>0</v>
      </c>
      <c r="BK109" s="284" t="str">
        <f t="shared" si="136"/>
        <v/>
      </c>
      <c r="BL109" s="225" t="str">
        <f t="shared" si="143"/>
        <v xml:space="preserve">   + Người ra lệnh:</v>
      </c>
      <c r="BM109" s="225">
        <f t="shared" si="144"/>
        <v>0</v>
      </c>
      <c r="BN109" s="113" t="e">
        <f>VLOOKUP(BM109,[1]Sheet1!$B$3:$C$604,2,0)</f>
        <v>#N/A</v>
      </c>
      <c r="BO109" s="113" t="str">
        <f t="shared" si="145"/>
        <v/>
      </c>
      <c r="BP109" s="351" t="str">
        <f t="shared" si="137"/>
        <v/>
      </c>
    </row>
    <row r="110" spans="1:75" ht="15.6" x14ac:dyDescent="0.3">
      <c r="A110" s="113">
        <v>110</v>
      </c>
      <c r="B110" s="113" t="str">
        <f t="shared" si="161"/>
        <v>104Gỗ rời   + Người nhận:</v>
      </c>
      <c r="C110" t="s">
        <v>15064</v>
      </c>
      <c r="D110" t="s">
        <v>12772</v>
      </c>
      <c r="E110"/>
      <c r="F110"/>
      <c r="AV110" s="113" t="e">
        <f>VLOOKUP(BD110,giaroi!$D$6:$N$500,11,0)</f>
        <v>#N/A</v>
      </c>
      <c r="AW110" s="284">
        <f t="shared" si="139"/>
        <v>0</v>
      </c>
      <c r="AY110" s="284" t="str">
        <f t="shared" si="140"/>
        <v>=+0/</v>
      </c>
      <c r="AZ110" s="225">
        <f t="shared" si="150"/>
        <v>0</v>
      </c>
      <c r="BA110" s="127">
        <f t="shared" si="151"/>
        <v>0</v>
      </c>
      <c r="BB110" s="244">
        <f t="shared" si="152"/>
        <v>0</v>
      </c>
      <c r="BC110" s="225">
        <f t="shared" si="153"/>
        <v>0</v>
      </c>
      <c r="BD110" s="225">
        <f t="shared" si="154"/>
        <v>0</v>
      </c>
      <c r="BE110" s="225" t="str">
        <f t="shared" si="155"/>
        <v xml:space="preserve">   + Số lượng xe:</v>
      </c>
      <c r="BF110" s="225">
        <f t="shared" si="141"/>
        <v>0</v>
      </c>
      <c r="BG110" s="225">
        <f t="shared" si="156"/>
        <v>0</v>
      </c>
      <c r="BH110" s="225">
        <f t="shared" si="157"/>
        <v>0</v>
      </c>
      <c r="BI110" s="321" t="str">
        <f t="shared" si="158"/>
        <v/>
      </c>
      <c r="BJ110" s="284">
        <f t="shared" si="142"/>
        <v>0</v>
      </c>
      <c r="BK110" s="284" t="str">
        <f t="shared" si="136"/>
        <v/>
      </c>
      <c r="BL110" s="225" t="str">
        <f t="shared" si="143"/>
        <v xml:space="preserve">   + Người ra lệnh:</v>
      </c>
      <c r="BM110" s="225">
        <f t="shared" si="144"/>
        <v>0</v>
      </c>
      <c r="BN110" s="113" t="e">
        <f>VLOOKUP(BM110,[1]Sheet1!$B$3:$C$604,2,0)</f>
        <v>#N/A</v>
      </c>
      <c r="BO110" s="113" t="str">
        <f t="shared" si="145"/>
        <v/>
      </c>
      <c r="BP110" s="351" t="str">
        <f t="shared" si="137"/>
        <v/>
      </c>
    </row>
    <row r="111" spans="1:75" ht="15.6" x14ac:dyDescent="0.3">
      <c r="A111" s="113">
        <v>111</v>
      </c>
      <c r="B111" s="113" t="str">
        <f t="shared" si="161"/>
        <v>104Gỗ rời   + Nơi nhận:</v>
      </c>
      <c r="C111" t="s">
        <v>15065</v>
      </c>
      <c r="D111" t="s">
        <v>15130</v>
      </c>
      <c r="E111"/>
      <c r="F111"/>
      <c r="AV111" s="113" t="e">
        <f>VLOOKUP(BD111,giaroi!$D$6:$N$500,11,0)</f>
        <v>#N/A</v>
      </c>
      <c r="AW111" s="284">
        <f t="shared" si="139"/>
        <v>0</v>
      </c>
      <c r="AY111" s="284" t="str">
        <f t="shared" si="140"/>
        <v>=+0/</v>
      </c>
      <c r="AZ111" s="225">
        <f t="shared" si="150"/>
        <v>0</v>
      </c>
      <c r="BA111" s="127">
        <f t="shared" si="151"/>
        <v>0</v>
      </c>
      <c r="BB111" s="244">
        <f t="shared" si="152"/>
        <v>0</v>
      </c>
      <c r="BC111" s="225">
        <f t="shared" si="153"/>
        <v>0</v>
      </c>
      <c r="BD111" s="225">
        <f t="shared" si="154"/>
        <v>0</v>
      </c>
      <c r="BE111" s="225" t="str">
        <f t="shared" si="155"/>
        <v xml:space="preserve">   + Số lượng xe:</v>
      </c>
      <c r="BF111" s="225">
        <f t="shared" si="141"/>
        <v>0</v>
      </c>
      <c r="BG111" s="225">
        <f t="shared" si="156"/>
        <v>0</v>
      </c>
      <c r="BH111" s="225">
        <f t="shared" si="157"/>
        <v>0</v>
      </c>
      <c r="BI111" s="321" t="str">
        <f t="shared" si="158"/>
        <v/>
      </c>
      <c r="BJ111" s="284">
        <f t="shared" si="142"/>
        <v>0</v>
      </c>
      <c r="BK111" s="284" t="str">
        <f t="shared" si="136"/>
        <v/>
      </c>
      <c r="BL111" s="225" t="str">
        <f t="shared" si="143"/>
        <v xml:space="preserve">   + Người ra lệnh:</v>
      </c>
      <c r="BM111" s="225">
        <f t="shared" si="144"/>
        <v>0</v>
      </c>
      <c r="BN111" s="113" t="e">
        <f>VLOOKUP(BM111,[1]Sheet1!$B$3:$C$604,2,0)</f>
        <v>#N/A</v>
      </c>
      <c r="BO111" s="113" t="str">
        <f t="shared" si="145"/>
        <v/>
      </c>
      <c r="BP111" s="351" t="str">
        <f t="shared" si="137"/>
        <v/>
      </c>
    </row>
    <row r="112" spans="1:75" ht="15.6" x14ac:dyDescent="0.3">
      <c r="A112" s="113">
        <v>112</v>
      </c>
      <c r="B112" s="113" t="str">
        <f t="shared" si="161"/>
        <v>104Gỗ rời   + Đơn giá (đ/m3):</v>
      </c>
      <c r="C112" t="s">
        <v>15131</v>
      </c>
      <c r="D112">
        <v>200</v>
      </c>
      <c r="E112" s="128">
        <v>1</v>
      </c>
      <c r="F112"/>
      <c r="AV112" s="113" t="e">
        <f>VLOOKUP(BD112,giaroi!$D$6:$N$500,11,0)</f>
        <v>#N/A</v>
      </c>
      <c r="AW112" s="284">
        <f t="shared" si="139"/>
        <v>0</v>
      </c>
      <c r="AY112" s="284" t="str">
        <f t="shared" si="140"/>
        <v>=+0/</v>
      </c>
      <c r="AZ112" s="225">
        <f t="shared" si="150"/>
        <v>0</v>
      </c>
      <c r="BA112" s="127">
        <f t="shared" si="151"/>
        <v>0</v>
      </c>
      <c r="BB112" s="244">
        <f t="shared" si="152"/>
        <v>0</v>
      </c>
      <c r="BC112" s="225">
        <f t="shared" si="153"/>
        <v>0</v>
      </c>
      <c r="BD112" s="225">
        <f t="shared" si="154"/>
        <v>0</v>
      </c>
      <c r="BE112" s="225" t="str">
        <f t="shared" si="155"/>
        <v xml:space="preserve">   + Số lượng xe:</v>
      </c>
      <c r="BF112" s="225">
        <f t="shared" si="141"/>
        <v>0</v>
      </c>
      <c r="BG112" s="225">
        <f t="shared" si="156"/>
        <v>0</v>
      </c>
      <c r="BH112" s="225">
        <f t="shared" si="157"/>
        <v>0</v>
      </c>
      <c r="BI112" s="321" t="str">
        <f t="shared" si="158"/>
        <v/>
      </c>
      <c r="BJ112" s="284">
        <f t="shared" si="142"/>
        <v>0</v>
      </c>
      <c r="BK112" s="284" t="str">
        <f t="shared" si="136"/>
        <v/>
      </c>
      <c r="BL112" s="225" t="str">
        <f t="shared" si="143"/>
        <v xml:space="preserve">   + Người ra lệnh:</v>
      </c>
      <c r="BM112" s="225">
        <f t="shared" si="144"/>
        <v>0</v>
      </c>
      <c r="BN112" s="113" t="e">
        <f>VLOOKUP(BM112,[1]Sheet1!$B$3:$C$604,2,0)</f>
        <v>#N/A</v>
      </c>
      <c r="BO112" s="113" t="str">
        <f t="shared" si="145"/>
        <v/>
      </c>
      <c r="BP112" s="351" t="str">
        <f t="shared" si="137"/>
        <v/>
      </c>
    </row>
    <row r="113" spans="1:68" ht="15.6" x14ac:dyDescent="0.3">
      <c r="A113" s="113">
        <v>113</v>
      </c>
      <c r="B113" s="113" t="str">
        <f t="shared" si="161"/>
        <v>104Gỗ rời   + Tiền cước:</v>
      </c>
      <c r="C113" t="s">
        <v>15068</v>
      </c>
      <c r="D113"/>
      <c r="E113" t="s">
        <v>213</v>
      </c>
      <c r="F113" s="128"/>
      <c r="AV113" s="113" t="e">
        <f>VLOOKUP(BD113,giaroi!$D$6:$N$500,11,0)</f>
        <v>#N/A</v>
      </c>
      <c r="AW113" s="284">
        <f t="shared" si="139"/>
        <v>0</v>
      </c>
      <c r="AY113" s="284" t="str">
        <f t="shared" si="140"/>
        <v>=+0/</v>
      </c>
      <c r="AZ113" s="225">
        <f t="shared" si="150"/>
        <v>0</v>
      </c>
      <c r="BA113" s="127">
        <f t="shared" si="151"/>
        <v>0</v>
      </c>
      <c r="BB113" s="244">
        <f t="shared" si="152"/>
        <v>0</v>
      </c>
      <c r="BC113" s="225">
        <f t="shared" si="153"/>
        <v>0</v>
      </c>
      <c r="BD113" s="225">
        <f t="shared" si="154"/>
        <v>0</v>
      </c>
      <c r="BE113" s="225" t="str">
        <f t="shared" si="155"/>
        <v xml:space="preserve">   + Số lượng xe:</v>
      </c>
      <c r="BF113" s="225">
        <f t="shared" si="141"/>
        <v>0</v>
      </c>
      <c r="BG113" s="225">
        <f t="shared" si="156"/>
        <v>0</v>
      </c>
      <c r="BH113" s="225">
        <f t="shared" si="157"/>
        <v>0</v>
      </c>
      <c r="BI113" s="321" t="str">
        <f t="shared" si="158"/>
        <v/>
      </c>
      <c r="BJ113" s="284">
        <f t="shared" si="142"/>
        <v>0</v>
      </c>
      <c r="BK113" s="284" t="str">
        <f t="shared" si="136"/>
        <v/>
      </c>
      <c r="BL113" s="225" t="str">
        <f t="shared" si="143"/>
        <v xml:space="preserve">   + Người ra lệnh:</v>
      </c>
      <c r="BM113" s="225">
        <f t="shared" si="144"/>
        <v>0</v>
      </c>
      <c r="BN113" s="113" t="e">
        <f>VLOOKUP(BM113,[1]Sheet1!$B$3:$C$604,2,0)</f>
        <v>#N/A</v>
      </c>
      <c r="BO113" s="113" t="str">
        <f t="shared" si="145"/>
        <v/>
      </c>
      <c r="BP113" s="351" t="str">
        <f t="shared" si="137"/>
        <v/>
      </c>
    </row>
    <row r="114" spans="1:68" ht="15.6" x14ac:dyDescent="0.3">
      <c r="A114" s="113">
        <v>114</v>
      </c>
      <c r="B114" s="113" t="str">
        <f t="shared" si="161"/>
        <v xml:space="preserve">104Gỗ rời </v>
      </c>
      <c r="C114" t="s">
        <v>15070</v>
      </c>
      <c r="D114" t="s">
        <v>15132</v>
      </c>
      <c r="E114"/>
      <c r="F114" s="128"/>
      <c r="AV114" s="113" t="e">
        <f>VLOOKUP(BD114,giaroi!$D$6:$N$500,11,0)</f>
        <v>#N/A</v>
      </c>
      <c r="AW114" s="284">
        <f t="shared" si="139"/>
        <v>0</v>
      </c>
      <c r="AY114" s="284" t="str">
        <f t="shared" si="140"/>
        <v>=+0/</v>
      </c>
      <c r="AZ114" s="225">
        <f t="shared" si="150"/>
        <v>0</v>
      </c>
      <c r="BA114" s="127">
        <f t="shared" si="151"/>
        <v>0</v>
      </c>
      <c r="BB114" s="244">
        <f t="shared" si="152"/>
        <v>0</v>
      </c>
      <c r="BC114" s="225">
        <f t="shared" si="153"/>
        <v>0</v>
      </c>
      <c r="BD114" s="225">
        <f t="shared" si="154"/>
        <v>0</v>
      </c>
      <c r="BE114" s="225" t="str">
        <f t="shared" si="155"/>
        <v xml:space="preserve">   + Số lượng xe:</v>
      </c>
      <c r="BF114" s="225">
        <f t="shared" si="141"/>
        <v>0</v>
      </c>
      <c r="BG114" s="225">
        <f t="shared" si="156"/>
        <v>0</v>
      </c>
      <c r="BH114" s="225">
        <f t="shared" si="157"/>
        <v>0</v>
      </c>
      <c r="BI114" s="321" t="str">
        <f t="shared" si="158"/>
        <v/>
      </c>
      <c r="BJ114" s="284">
        <f t="shared" si="142"/>
        <v>0</v>
      </c>
      <c r="BK114" s="284" t="str">
        <f t="shared" si="136"/>
        <v/>
      </c>
      <c r="BL114" s="225" t="str">
        <f t="shared" si="143"/>
        <v xml:space="preserve">   + Người ra lệnh:</v>
      </c>
      <c r="BM114" s="225">
        <f t="shared" si="144"/>
        <v>0</v>
      </c>
      <c r="BN114" s="113" t="e">
        <f>VLOOKUP(BM114,[1]Sheet1!$B$3:$C$604,2,0)</f>
        <v>#N/A</v>
      </c>
      <c r="BO114" s="113" t="str">
        <f t="shared" si="145"/>
        <v/>
      </c>
      <c r="BP114" s="351" t="str">
        <f t="shared" si="137"/>
        <v/>
      </c>
    </row>
    <row r="115" spans="1:68" ht="15.6" x14ac:dyDescent="0.3">
      <c r="A115" s="113">
        <v>115</v>
      </c>
      <c r="B115" s="113" t="str">
        <f t="shared" si="161"/>
        <v>104Gỗ rời   + Tiền đường:</v>
      </c>
      <c r="C115" t="s">
        <v>15072</v>
      </c>
      <c r="D115">
        <v>100</v>
      </c>
      <c r="E115" t="s">
        <v>15073</v>
      </c>
      <c r="F115"/>
      <c r="AV115" s="113" t="e">
        <f>VLOOKUP(BD115,giaroi!$D$6:$N$500,11,0)</f>
        <v>#N/A</v>
      </c>
      <c r="AW115" s="284">
        <f t="shared" si="139"/>
        <v>0</v>
      </c>
      <c r="AY115" s="284" t="str">
        <f t="shared" si="140"/>
        <v>=+0/</v>
      </c>
      <c r="AZ115" s="225">
        <f t="shared" si="150"/>
        <v>0</v>
      </c>
      <c r="BA115" s="127">
        <f t="shared" si="151"/>
        <v>0</v>
      </c>
      <c r="BB115" s="244">
        <f t="shared" si="152"/>
        <v>0</v>
      </c>
      <c r="BC115" s="225">
        <f t="shared" si="153"/>
        <v>0</v>
      </c>
      <c r="BD115" s="225">
        <f t="shared" si="154"/>
        <v>0</v>
      </c>
      <c r="BE115" s="225" t="str">
        <f t="shared" si="155"/>
        <v xml:space="preserve">   + Số lượng xe:</v>
      </c>
      <c r="BF115" s="225">
        <f t="shared" si="141"/>
        <v>0</v>
      </c>
      <c r="BG115" s="225">
        <f t="shared" si="156"/>
        <v>0</v>
      </c>
      <c r="BH115" s="225">
        <f t="shared" si="157"/>
        <v>0</v>
      </c>
      <c r="BI115" s="321" t="str">
        <f t="shared" si="158"/>
        <v/>
      </c>
      <c r="BJ115" s="284">
        <f t="shared" si="142"/>
        <v>0</v>
      </c>
      <c r="BK115" s="284" t="str">
        <f t="shared" si="136"/>
        <v/>
      </c>
      <c r="BL115" s="225" t="str">
        <f t="shared" si="143"/>
        <v xml:space="preserve">   + Người ra lệnh:</v>
      </c>
      <c r="BM115" s="225">
        <f t="shared" si="144"/>
        <v>0</v>
      </c>
      <c r="BN115" s="113" t="e">
        <f>VLOOKUP(BM115,[1]Sheet1!$B$3:$C$604,2,0)</f>
        <v>#N/A</v>
      </c>
      <c r="BO115" s="113" t="str">
        <f t="shared" si="145"/>
        <v/>
      </c>
      <c r="BP115" s="351" t="str">
        <f t="shared" si="137"/>
        <v/>
      </c>
    </row>
    <row r="116" spans="1:68" ht="15.6" x14ac:dyDescent="0.3">
      <c r="A116" s="113">
        <v>116</v>
      </c>
      <c r="C116"/>
      <c r="D116"/>
      <c r="E116"/>
      <c r="F116"/>
      <c r="AV116" s="113" t="e">
        <f>VLOOKUP(BD116,giaroi!$D$6:$N$500,11,0)</f>
        <v>#N/A</v>
      </c>
      <c r="AW116" s="284">
        <f t="shared" si="139"/>
        <v>0</v>
      </c>
      <c r="AY116" s="284" t="str">
        <f t="shared" si="140"/>
        <v>=+0/</v>
      </c>
      <c r="AZ116" s="225">
        <f t="shared" si="150"/>
        <v>0</v>
      </c>
      <c r="BA116" s="127">
        <f t="shared" si="151"/>
        <v>0</v>
      </c>
      <c r="BB116" s="244">
        <f t="shared" si="152"/>
        <v>0</v>
      </c>
      <c r="BC116" s="225">
        <f t="shared" si="153"/>
        <v>0</v>
      </c>
      <c r="BD116" s="225">
        <f t="shared" si="154"/>
        <v>0</v>
      </c>
      <c r="BE116" s="225" t="str">
        <f t="shared" si="155"/>
        <v xml:space="preserve">   + Số lượng xe:</v>
      </c>
      <c r="BF116" s="225">
        <f t="shared" si="141"/>
        <v>0</v>
      </c>
      <c r="BG116" s="225">
        <f t="shared" si="156"/>
        <v>0</v>
      </c>
      <c r="BH116" s="225">
        <f t="shared" si="157"/>
        <v>0</v>
      </c>
      <c r="BI116" s="321" t="str">
        <f t="shared" si="158"/>
        <v/>
      </c>
      <c r="BJ116" s="284">
        <f t="shared" si="142"/>
        <v>0</v>
      </c>
      <c r="BK116" s="284" t="str">
        <f t="shared" si="136"/>
        <v/>
      </c>
      <c r="BL116" s="225" t="str">
        <f t="shared" si="143"/>
        <v xml:space="preserve">   + Người ra lệnh:</v>
      </c>
      <c r="BM116" s="225">
        <f t="shared" si="144"/>
        <v>0</v>
      </c>
      <c r="BN116" s="113" t="e">
        <f>VLOOKUP(BM116,[1]Sheet1!$B$3:$C$604,2,0)</f>
        <v>#N/A</v>
      </c>
      <c r="BO116" s="113" t="str">
        <f t="shared" si="145"/>
        <v/>
      </c>
      <c r="BP116" s="351" t="str">
        <f t="shared" si="137"/>
        <v/>
      </c>
    </row>
    <row r="117" spans="1:68" ht="15.6" x14ac:dyDescent="0.3">
      <c r="A117" s="113">
        <v>117</v>
      </c>
      <c r="B117" s="113" t="str">
        <f>CONCATENATE($A$116,$C$116,C117)</f>
        <v>116</v>
      </c>
      <c r="C117"/>
      <c r="D117"/>
      <c r="E117"/>
      <c r="F117"/>
      <c r="AV117" s="113" t="e">
        <f>VLOOKUP(BD117,giaroi!$D$6:$N$500,11,0)</f>
        <v>#N/A</v>
      </c>
      <c r="AW117" s="284">
        <f t="shared" si="139"/>
        <v>0</v>
      </c>
      <c r="AY117" s="284" t="str">
        <f t="shared" si="140"/>
        <v>=+0/</v>
      </c>
      <c r="AZ117" s="225">
        <f t="shared" si="150"/>
        <v>0</v>
      </c>
      <c r="BA117" s="127">
        <f t="shared" si="151"/>
        <v>0</v>
      </c>
      <c r="BB117" s="244">
        <f t="shared" si="152"/>
        <v>0</v>
      </c>
      <c r="BC117" s="225">
        <f t="shared" si="153"/>
        <v>0</v>
      </c>
      <c r="BD117" s="225">
        <f t="shared" si="154"/>
        <v>0</v>
      </c>
      <c r="BE117" s="225" t="str">
        <f t="shared" si="155"/>
        <v xml:space="preserve">   + Số lượng xe:</v>
      </c>
      <c r="BF117" s="225">
        <f t="shared" si="141"/>
        <v>0</v>
      </c>
      <c r="BG117" s="225">
        <f t="shared" si="156"/>
        <v>0</v>
      </c>
      <c r="BH117" s="225">
        <f t="shared" si="157"/>
        <v>0</v>
      </c>
      <c r="BI117" s="321" t="str">
        <f t="shared" si="158"/>
        <v/>
      </c>
      <c r="BJ117" s="284">
        <f t="shared" si="142"/>
        <v>0</v>
      </c>
      <c r="BK117" s="284" t="str">
        <f t="shared" si="136"/>
        <v/>
      </c>
      <c r="BL117" s="225" t="str">
        <f t="shared" si="143"/>
        <v xml:space="preserve">   + Người ra lệnh:</v>
      </c>
      <c r="BM117" s="225">
        <f t="shared" si="144"/>
        <v>0</v>
      </c>
      <c r="BN117" s="113" t="e">
        <f>VLOOKUP(BM117,[1]Sheet1!$B$3:$C$604,2,0)</f>
        <v>#N/A</v>
      </c>
      <c r="BO117" s="113" t="str">
        <f t="shared" si="145"/>
        <v/>
      </c>
      <c r="BP117" s="351" t="str">
        <f t="shared" si="137"/>
        <v/>
      </c>
    </row>
    <row r="118" spans="1:68" ht="15.6" x14ac:dyDescent="0.3">
      <c r="A118" s="113">
        <v>118</v>
      </c>
      <c r="B118" s="113" t="str">
        <f t="shared" ref="B118:B127" si="162">CONCATENATE($A$116,$C$116,C118)</f>
        <v>116</v>
      </c>
      <c r="C118"/>
      <c r="D118"/>
      <c r="E118"/>
      <c r="F118"/>
      <c r="AV118" s="113" t="e">
        <f>VLOOKUP(BD118,giaroi!$D$6:$N$500,11,0)</f>
        <v>#N/A</v>
      </c>
      <c r="AW118" s="284">
        <f t="shared" si="139"/>
        <v>0</v>
      </c>
      <c r="AY118" s="284" t="str">
        <f t="shared" si="140"/>
        <v>=+0/</v>
      </c>
      <c r="AZ118" s="225">
        <f t="shared" si="150"/>
        <v>0</v>
      </c>
      <c r="BA118" s="127">
        <f t="shared" si="151"/>
        <v>0</v>
      </c>
      <c r="BB118" s="244">
        <f t="shared" si="152"/>
        <v>0</v>
      </c>
      <c r="BC118" s="225">
        <f t="shared" si="153"/>
        <v>0</v>
      </c>
      <c r="BD118" s="225">
        <f t="shared" si="154"/>
        <v>0</v>
      </c>
      <c r="BE118" s="225" t="str">
        <f t="shared" si="155"/>
        <v xml:space="preserve">   + Số lượng xe:</v>
      </c>
      <c r="BF118" s="225">
        <f t="shared" si="141"/>
        <v>0</v>
      </c>
      <c r="BG118" s="225">
        <f t="shared" si="156"/>
        <v>0</v>
      </c>
      <c r="BH118" s="225">
        <f t="shared" si="157"/>
        <v>0</v>
      </c>
      <c r="BI118" s="321" t="str">
        <f t="shared" si="158"/>
        <v/>
      </c>
      <c r="BJ118" s="284">
        <f t="shared" si="142"/>
        <v>0</v>
      </c>
      <c r="BK118" s="284" t="str">
        <f t="shared" si="136"/>
        <v/>
      </c>
      <c r="BL118" s="225" t="str">
        <f t="shared" si="143"/>
        <v xml:space="preserve">   + Người ra lệnh:</v>
      </c>
      <c r="BM118" s="225">
        <f t="shared" si="144"/>
        <v>0</v>
      </c>
      <c r="BN118" s="113" t="e">
        <f>VLOOKUP(BM118,[1]Sheet1!$B$3:$C$604,2,0)</f>
        <v>#N/A</v>
      </c>
      <c r="BO118" s="113" t="str">
        <f t="shared" si="145"/>
        <v/>
      </c>
      <c r="BP118" s="351" t="str">
        <f t="shared" si="137"/>
        <v/>
      </c>
    </row>
    <row r="119" spans="1:68" ht="15.6" x14ac:dyDescent="0.3">
      <c r="A119" s="113">
        <v>119</v>
      </c>
      <c r="B119" s="113" t="str">
        <f t="shared" si="162"/>
        <v>116</v>
      </c>
      <c r="C119"/>
      <c r="D119"/>
      <c r="E119"/>
      <c r="F119" s="128"/>
      <c r="AV119" s="113" t="e">
        <f>VLOOKUP(BD119,giaroi!$D$6:$N$500,11,0)</f>
        <v>#N/A</v>
      </c>
      <c r="AW119" s="284">
        <f t="shared" si="139"/>
        <v>0</v>
      </c>
      <c r="AY119" s="284" t="str">
        <f t="shared" si="140"/>
        <v>=+0/</v>
      </c>
      <c r="AZ119" s="225">
        <f t="shared" si="150"/>
        <v>0</v>
      </c>
      <c r="BA119" s="127">
        <f t="shared" si="151"/>
        <v>0</v>
      </c>
      <c r="BB119" s="244">
        <f t="shared" si="152"/>
        <v>0</v>
      </c>
      <c r="BC119" s="225">
        <f t="shared" si="153"/>
        <v>0</v>
      </c>
      <c r="BD119" s="225">
        <f t="shared" si="154"/>
        <v>0</v>
      </c>
      <c r="BE119" s="225" t="str">
        <f t="shared" si="155"/>
        <v xml:space="preserve">   + Số lượng xe:</v>
      </c>
      <c r="BF119" s="225">
        <f t="shared" si="141"/>
        <v>0</v>
      </c>
      <c r="BG119" s="225">
        <f t="shared" si="156"/>
        <v>0</v>
      </c>
      <c r="BH119" s="225">
        <f t="shared" si="157"/>
        <v>0</v>
      </c>
      <c r="BI119" s="321" t="str">
        <f t="shared" si="158"/>
        <v/>
      </c>
      <c r="BJ119" s="284">
        <f t="shared" si="142"/>
        <v>0</v>
      </c>
      <c r="BK119" s="284" t="str">
        <f t="shared" si="136"/>
        <v/>
      </c>
      <c r="BL119" s="225" t="str">
        <f t="shared" si="143"/>
        <v xml:space="preserve">   + Người ra lệnh:</v>
      </c>
      <c r="BM119" s="225">
        <f t="shared" si="144"/>
        <v>0</v>
      </c>
      <c r="BN119" s="113" t="e">
        <f>VLOOKUP(BM119,[1]Sheet1!$B$3:$C$604,2,0)</f>
        <v>#N/A</v>
      </c>
      <c r="BO119" s="113" t="str">
        <f t="shared" si="145"/>
        <v/>
      </c>
      <c r="BP119" s="351" t="str">
        <f t="shared" si="137"/>
        <v/>
      </c>
    </row>
    <row r="120" spans="1:68" ht="15.6" x14ac:dyDescent="0.3">
      <c r="A120" s="113">
        <v>120</v>
      </c>
      <c r="B120" s="113" t="str">
        <f t="shared" si="162"/>
        <v>116</v>
      </c>
      <c r="C120"/>
      <c r="D120"/>
      <c r="E120"/>
      <c r="F120" s="128"/>
      <c r="AV120" s="113" t="e">
        <f>VLOOKUP(BD120,giaroi!$D$6:$N$500,11,0)</f>
        <v>#N/A</v>
      </c>
      <c r="AW120" s="284">
        <f t="shared" si="139"/>
        <v>0</v>
      </c>
      <c r="AY120" s="284" t="str">
        <f t="shared" si="140"/>
        <v>=+0/</v>
      </c>
      <c r="AZ120" s="225">
        <f t="shared" si="150"/>
        <v>0</v>
      </c>
      <c r="BA120" s="127">
        <f t="shared" si="151"/>
        <v>0</v>
      </c>
      <c r="BB120" s="244">
        <f t="shared" si="152"/>
        <v>0</v>
      </c>
      <c r="BC120" s="225">
        <f t="shared" si="153"/>
        <v>0</v>
      </c>
      <c r="BD120" s="225">
        <f t="shared" si="154"/>
        <v>0</v>
      </c>
      <c r="BE120" s="225" t="str">
        <f t="shared" si="155"/>
        <v xml:space="preserve">   + Số lượng xe:</v>
      </c>
      <c r="BF120" s="225">
        <f t="shared" si="141"/>
        <v>0</v>
      </c>
      <c r="BG120" s="225">
        <f t="shared" si="156"/>
        <v>0</v>
      </c>
      <c r="BH120" s="225">
        <f t="shared" si="157"/>
        <v>0</v>
      </c>
      <c r="BI120" s="321" t="str">
        <f t="shared" si="158"/>
        <v/>
      </c>
      <c r="BL120" s="225" t="str">
        <f t="shared" si="143"/>
        <v xml:space="preserve">   + Người ra lệnh:</v>
      </c>
      <c r="BM120" s="225">
        <f t="shared" si="144"/>
        <v>0</v>
      </c>
      <c r="BN120" s="113" t="e">
        <f>VLOOKUP(BM120,[1]Sheet1!$B$3:$C$604,2,0)</f>
        <v>#N/A</v>
      </c>
      <c r="BO120" s="113" t="str">
        <f t="shared" si="145"/>
        <v/>
      </c>
      <c r="BP120" s="351" t="str">
        <f t="shared" si="137"/>
        <v/>
      </c>
    </row>
    <row r="121" spans="1:68" ht="15.6" x14ac:dyDescent="0.3">
      <c r="A121" s="113">
        <v>121</v>
      </c>
      <c r="B121" s="113" t="str">
        <f t="shared" si="162"/>
        <v>116</v>
      </c>
      <c r="C121"/>
      <c r="D121"/>
      <c r="E121"/>
      <c r="F121"/>
      <c r="AV121" s="113" t="e">
        <f>VLOOKUP(BD121,giaroi!$D$6:$N$500,11,0)</f>
        <v>#N/A</v>
      </c>
      <c r="AW121" s="284">
        <f t="shared" si="139"/>
        <v>0</v>
      </c>
      <c r="AY121" s="284" t="str">
        <f t="shared" si="140"/>
        <v>=+0/</v>
      </c>
      <c r="AZ121" s="225">
        <f t="shared" si="150"/>
        <v>0</v>
      </c>
      <c r="BA121" s="127">
        <f t="shared" si="151"/>
        <v>0</v>
      </c>
      <c r="BB121" s="244">
        <f t="shared" si="152"/>
        <v>0</v>
      </c>
      <c r="BC121" s="225">
        <f t="shared" si="153"/>
        <v>0</v>
      </c>
      <c r="BD121" s="225">
        <f t="shared" si="154"/>
        <v>0</v>
      </c>
      <c r="BE121" s="225" t="str">
        <f t="shared" si="155"/>
        <v xml:space="preserve">   + Số lượng xe:</v>
      </c>
      <c r="BF121" s="225">
        <f t="shared" si="141"/>
        <v>0</v>
      </c>
      <c r="BG121" s="225">
        <f t="shared" si="156"/>
        <v>0</v>
      </c>
      <c r="BH121" s="225">
        <f t="shared" si="157"/>
        <v>0</v>
      </c>
      <c r="BI121" s="321" t="str">
        <f t="shared" si="158"/>
        <v/>
      </c>
      <c r="BL121" s="225" t="str">
        <f t="shared" si="143"/>
        <v xml:space="preserve">   + Người ra lệnh:</v>
      </c>
      <c r="BM121" s="225">
        <f t="shared" si="144"/>
        <v>0</v>
      </c>
      <c r="BN121" s="113" t="e">
        <f>VLOOKUP(BM121,[1]Sheet1!$B$3:$C$604,2,0)</f>
        <v>#N/A</v>
      </c>
      <c r="BO121" s="113" t="str">
        <f t="shared" si="145"/>
        <v/>
      </c>
      <c r="BP121" s="351" t="str">
        <f t="shared" si="137"/>
        <v/>
      </c>
    </row>
    <row r="122" spans="1:68" ht="15.6" x14ac:dyDescent="0.3">
      <c r="A122" s="113">
        <v>122</v>
      </c>
      <c r="B122" s="113" t="str">
        <f t="shared" si="162"/>
        <v>116</v>
      </c>
      <c r="C122"/>
      <c r="D122"/>
      <c r="E122"/>
      <c r="F122"/>
      <c r="AV122" s="113" t="e">
        <f>VLOOKUP(BD122,giaroi!$D$6:$N$500,11,0)</f>
        <v>#N/A</v>
      </c>
      <c r="AW122" s="284">
        <f t="shared" si="139"/>
        <v>0</v>
      </c>
      <c r="AY122" s="284" t="str">
        <f t="shared" si="140"/>
        <v>=+0/</v>
      </c>
      <c r="AZ122" s="225">
        <f t="shared" si="150"/>
        <v>0</v>
      </c>
      <c r="BA122" s="127">
        <f t="shared" si="151"/>
        <v>0</v>
      </c>
      <c r="BB122" s="244">
        <f t="shared" si="152"/>
        <v>0</v>
      </c>
      <c r="BC122" s="225">
        <f t="shared" si="153"/>
        <v>0</v>
      </c>
      <c r="BD122" s="225">
        <f t="shared" si="154"/>
        <v>0</v>
      </c>
      <c r="BE122" s="225" t="str">
        <f t="shared" si="155"/>
        <v xml:space="preserve">   + Số lượng xe:</v>
      </c>
      <c r="BF122" s="225">
        <f t="shared" si="141"/>
        <v>0</v>
      </c>
      <c r="BG122" s="225">
        <f t="shared" si="156"/>
        <v>0</v>
      </c>
      <c r="BH122" s="225">
        <f t="shared" si="157"/>
        <v>0</v>
      </c>
      <c r="BI122" s="321" t="str">
        <f t="shared" si="158"/>
        <v/>
      </c>
      <c r="BL122" s="225" t="str">
        <f t="shared" si="143"/>
        <v xml:space="preserve">   + Người ra lệnh:</v>
      </c>
      <c r="BM122" s="225">
        <f t="shared" si="144"/>
        <v>0</v>
      </c>
      <c r="BN122" s="113" t="e">
        <f>VLOOKUP(BM122,[1]Sheet1!$B$3:$C$604,2,0)</f>
        <v>#N/A</v>
      </c>
      <c r="BO122" s="113" t="str">
        <f t="shared" si="145"/>
        <v/>
      </c>
      <c r="BP122" s="351" t="str">
        <f t="shared" si="137"/>
        <v/>
      </c>
    </row>
    <row r="123" spans="1:68" ht="15.6" x14ac:dyDescent="0.3">
      <c r="A123" s="113">
        <v>123</v>
      </c>
      <c r="B123" s="113" t="str">
        <f t="shared" si="162"/>
        <v>116</v>
      </c>
      <c r="C123"/>
      <c r="D123"/>
      <c r="E123"/>
      <c r="F123"/>
      <c r="AV123" s="113" t="e">
        <f>VLOOKUP(BD123,giaroi!$D$6:$N$500,11,0)</f>
        <v>#N/A</v>
      </c>
      <c r="AW123" s="284">
        <f t="shared" si="139"/>
        <v>0</v>
      </c>
      <c r="AY123" s="284" t="str">
        <f t="shared" si="140"/>
        <v>=+0/</v>
      </c>
      <c r="AZ123" s="225">
        <f t="shared" si="150"/>
        <v>0</v>
      </c>
      <c r="BA123" s="127">
        <f t="shared" si="151"/>
        <v>0</v>
      </c>
      <c r="BB123" s="244">
        <f t="shared" si="152"/>
        <v>0</v>
      </c>
      <c r="BC123" s="225">
        <f t="shared" si="153"/>
        <v>0</v>
      </c>
      <c r="BD123" s="225">
        <f t="shared" si="154"/>
        <v>0</v>
      </c>
      <c r="BE123" s="225" t="str">
        <f t="shared" si="155"/>
        <v xml:space="preserve">   + Số lượng xe:</v>
      </c>
      <c r="BF123" s="225">
        <f t="shared" si="141"/>
        <v>0</v>
      </c>
      <c r="BG123" s="225">
        <f t="shared" si="156"/>
        <v>0</v>
      </c>
      <c r="BH123" s="225">
        <f t="shared" si="157"/>
        <v>0</v>
      </c>
      <c r="BI123" s="321" t="str">
        <f t="shared" si="158"/>
        <v/>
      </c>
      <c r="BL123" s="225" t="str">
        <f t="shared" si="143"/>
        <v xml:space="preserve">   + Người ra lệnh:</v>
      </c>
      <c r="BM123" s="225">
        <f t="shared" si="144"/>
        <v>0</v>
      </c>
      <c r="BN123" s="113" t="e">
        <f>VLOOKUP(BM123,[1]Sheet1!$B$3:$C$604,2,0)</f>
        <v>#N/A</v>
      </c>
      <c r="BO123" s="113" t="str">
        <f t="shared" si="145"/>
        <v/>
      </c>
      <c r="BP123" s="351" t="str">
        <f t="shared" si="137"/>
        <v/>
      </c>
    </row>
    <row r="124" spans="1:68" ht="15.6" x14ac:dyDescent="0.3">
      <c r="A124" s="113">
        <v>124</v>
      </c>
      <c r="B124" s="113" t="str">
        <f t="shared" si="162"/>
        <v>116</v>
      </c>
      <c r="C124"/>
      <c r="D124"/>
      <c r="E124"/>
      <c r="F124"/>
      <c r="AV124" s="113" t="e">
        <f>VLOOKUP(BD124,giaroi!$D$6:$N$500,11,0)</f>
        <v>#N/A</v>
      </c>
      <c r="AZ124" s="225">
        <f t="shared" si="150"/>
        <v>0</v>
      </c>
      <c r="BA124" s="127">
        <f t="shared" si="151"/>
        <v>0</v>
      </c>
      <c r="BB124" s="244">
        <f t="shared" si="152"/>
        <v>0</v>
      </c>
      <c r="BC124" s="225">
        <f t="shared" si="153"/>
        <v>0</v>
      </c>
      <c r="BD124" s="225">
        <f t="shared" si="154"/>
        <v>0</v>
      </c>
      <c r="BE124" s="225" t="str">
        <f t="shared" si="155"/>
        <v xml:space="preserve">   + Số lượng xe:</v>
      </c>
      <c r="BF124" s="225">
        <f t="shared" si="141"/>
        <v>0</v>
      </c>
      <c r="BG124" s="225">
        <f t="shared" si="156"/>
        <v>0</v>
      </c>
      <c r="BH124" s="225">
        <f t="shared" si="157"/>
        <v>0</v>
      </c>
      <c r="BI124" s="321" t="str">
        <f t="shared" si="158"/>
        <v/>
      </c>
      <c r="BL124" s="225" t="str">
        <f t="shared" si="143"/>
        <v xml:space="preserve">   + Người ra lệnh:</v>
      </c>
      <c r="BM124" s="225">
        <f t="shared" si="144"/>
        <v>0</v>
      </c>
      <c r="BN124" s="113" t="e">
        <f>VLOOKUP(BM124,[1]Sheet1!$B$3:$C$604,2,0)</f>
        <v>#N/A</v>
      </c>
      <c r="BO124" s="113" t="str">
        <f t="shared" si="145"/>
        <v/>
      </c>
      <c r="BP124" s="351" t="str">
        <f t="shared" si="137"/>
        <v/>
      </c>
    </row>
    <row r="125" spans="1:68" ht="15.6" x14ac:dyDescent="0.3">
      <c r="A125" s="113">
        <v>125</v>
      </c>
      <c r="B125" s="113" t="str">
        <f t="shared" si="162"/>
        <v>116</v>
      </c>
      <c r="C125"/>
      <c r="D125"/>
      <c r="E125"/>
      <c r="F125"/>
      <c r="AV125" s="113" t="e">
        <f>VLOOKUP(BD125,giaroi!$D$6:$N$500,11,0)</f>
        <v>#N/A</v>
      </c>
      <c r="AZ125" s="225">
        <f t="shared" si="150"/>
        <v>0</v>
      </c>
      <c r="BA125" s="127">
        <f t="shared" si="151"/>
        <v>0</v>
      </c>
      <c r="BB125" s="244">
        <f t="shared" si="152"/>
        <v>0</v>
      </c>
      <c r="BC125" s="225">
        <f t="shared" si="153"/>
        <v>0</v>
      </c>
      <c r="BD125" s="225">
        <f t="shared" si="154"/>
        <v>0</v>
      </c>
      <c r="BE125" s="225" t="str">
        <f t="shared" si="155"/>
        <v xml:space="preserve">   + Số lượng xe:</v>
      </c>
      <c r="BF125" s="225">
        <f t="shared" si="141"/>
        <v>0</v>
      </c>
      <c r="BG125" s="225">
        <f t="shared" si="156"/>
        <v>0</v>
      </c>
      <c r="BH125" s="225">
        <f t="shared" si="157"/>
        <v>0</v>
      </c>
      <c r="BI125" s="321" t="str">
        <f t="shared" si="158"/>
        <v/>
      </c>
      <c r="BL125" s="225" t="str">
        <f t="shared" si="143"/>
        <v xml:space="preserve">   + Người ra lệnh:</v>
      </c>
      <c r="BM125" s="225">
        <f t="shared" si="144"/>
        <v>0</v>
      </c>
      <c r="BN125" s="113" t="e">
        <f>VLOOKUP(BM125,[1]Sheet1!$B$3:$C$604,2,0)</f>
        <v>#N/A</v>
      </c>
      <c r="BO125" s="113" t="str">
        <f t="shared" si="145"/>
        <v/>
      </c>
      <c r="BP125" s="351" t="str">
        <f t="shared" si="137"/>
        <v/>
      </c>
    </row>
    <row r="126" spans="1:68" ht="15.6" x14ac:dyDescent="0.3">
      <c r="A126" s="113">
        <v>126</v>
      </c>
      <c r="B126" s="113" t="str">
        <f t="shared" si="162"/>
        <v>116</v>
      </c>
      <c r="C126"/>
      <c r="D126"/>
      <c r="E126"/>
      <c r="F126"/>
      <c r="AV126" s="113" t="e">
        <f>VLOOKUP(BD126,giaroi!$D$6:$N$500,11,0)</f>
        <v>#N/A</v>
      </c>
      <c r="AZ126" s="225">
        <f t="shared" si="150"/>
        <v>0</v>
      </c>
      <c r="BA126" s="127">
        <f t="shared" si="151"/>
        <v>0</v>
      </c>
      <c r="BB126" s="244">
        <f t="shared" si="152"/>
        <v>0</v>
      </c>
      <c r="BC126" s="225">
        <f t="shared" si="153"/>
        <v>0</v>
      </c>
      <c r="BD126" s="225">
        <f t="shared" si="154"/>
        <v>0</v>
      </c>
      <c r="BE126" s="225" t="str">
        <f t="shared" si="155"/>
        <v xml:space="preserve">   + Số lượng xe:</v>
      </c>
      <c r="BF126" s="225">
        <f t="shared" si="141"/>
        <v>0</v>
      </c>
      <c r="BG126" s="225">
        <f t="shared" si="156"/>
        <v>0</v>
      </c>
      <c r="BH126" s="225">
        <f t="shared" si="157"/>
        <v>0</v>
      </c>
      <c r="BI126" s="321" t="str">
        <f t="shared" si="158"/>
        <v/>
      </c>
      <c r="BL126" s="225" t="str">
        <f t="shared" si="143"/>
        <v xml:space="preserve">   + Người ra lệnh:</v>
      </c>
      <c r="BM126" s="225">
        <f t="shared" si="144"/>
        <v>0</v>
      </c>
      <c r="BN126" s="113" t="e">
        <f>VLOOKUP(BM126,[1]Sheet1!$B$3:$C$604,2,0)</f>
        <v>#N/A</v>
      </c>
      <c r="BO126" s="113" t="str">
        <f t="shared" si="145"/>
        <v/>
      </c>
      <c r="BP126" s="351" t="str">
        <f t="shared" si="137"/>
        <v/>
      </c>
    </row>
    <row r="127" spans="1:68" ht="15.6" x14ac:dyDescent="0.3">
      <c r="A127" s="113">
        <v>127</v>
      </c>
      <c r="B127" s="113" t="str">
        <f t="shared" si="162"/>
        <v>116</v>
      </c>
      <c r="C127"/>
      <c r="D127"/>
      <c r="E127"/>
      <c r="F127"/>
      <c r="AV127" s="113" t="e">
        <f>VLOOKUP(BD127,giaroi!$D$6:$N$500,11,0)</f>
        <v>#N/A</v>
      </c>
      <c r="AZ127" s="225">
        <f t="shared" si="150"/>
        <v>0</v>
      </c>
      <c r="BA127" s="127">
        <f t="shared" si="151"/>
        <v>0</v>
      </c>
      <c r="BB127" s="244">
        <f t="shared" si="152"/>
        <v>0</v>
      </c>
      <c r="BC127" s="225">
        <f t="shared" si="153"/>
        <v>0</v>
      </c>
      <c r="BD127" s="225">
        <f t="shared" si="154"/>
        <v>0</v>
      </c>
      <c r="BE127" s="225" t="str">
        <f t="shared" si="155"/>
        <v xml:space="preserve">   + Số lượng xe:</v>
      </c>
      <c r="BF127" s="225">
        <f t="shared" si="141"/>
        <v>0</v>
      </c>
      <c r="BG127" s="225">
        <f t="shared" si="156"/>
        <v>0</v>
      </c>
      <c r="BH127" s="225">
        <f t="shared" si="157"/>
        <v>0</v>
      </c>
      <c r="BI127" s="321" t="str">
        <f t="shared" si="158"/>
        <v/>
      </c>
      <c r="BL127" s="225" t="str">
        <f t="shared" si="143"/>
        <v xml:space="preserve">   + Người ra lệnh:</v>
      </c>
      <c r="BM127" s="225">
        <f t="shared" si="144"/>
        <v>0</v>
      </c>
      <c r="BN127" s="113" t="e">
        <f>VLOOKUP(BM127,[1]Sheet1!$B$3:$C$604,2,0)</f>
        <v>#N/A</v>
      </c>
      <c r="BO127" s="113" t="str">
        <f t="shared" si="145"/>
        <v/>
      </c>
      <c r="BP127" s="351" t="str">
        <f t="shared" si="137"/>
        <v/>
      </c>
    </row>
    <row r="128" spans="1:68" ht="15.6" x14ac:dyDescent="0.3">
      <c r="A128" s="113">
        <v>128</v>
      </c>
      <c r="C128"/>
      <c r="D128"/>
      <c r="E128"/>
      <c r="F128"/>
      <c r="AV128" s="113" t="e">
        <f>VLOOKUP(BD128,giaroi!$D$6:$N$500,11,0)</f>
        <v>#N/A</v>
      </c>
      <c r="AZ128" s="225">
        <f t="shared" si="150"/>
        <v>0</v>
      </c>
      <c r="BA128" s="127">
        <f t="shared" si="151"/>
        <v>0</v>
      </c>
      <c r="BB128" s="244">
        <f t="shared" si="152"/>
        <v>0</v>
      </c>
      <c r="BC128" s="225">
        <f t="shared" si="153"/>
        <v>0</v>
      </c>
      <c r="BD128" s="225">
        <f t="shared" si="154"/>
        <v>0</v>
      </c>
      <c r="BE128" s="225" t="str">
        <f t="shared" si="155"/>
        <v xml:space="preserve">   + Số lượng xe:</v>
      </c>
      <c r="BF128" s="225">
        <f t="shared" si="141"/>
        <v>0</v>
      </c>
      <c r="BG128" s="225">
        <f t="shared" si="156"/>
        <v>0</v>
      </c>
      <c r="BH128" s="225">
        <f t="shared" si="157"/>
        <v>0</v>
      </c>
      <c r="BI128" s="321" t="str">
        <f t="shared" si="158"/>
        <v/>
      </c>
      <c r="BL128" s="225" t="str">
        <f t="shared" si="143"/>
        <v xml:space="preserve">   + Người ra lệnh:</v>
      </c>
      <c r="BM128" s="225">
        <f t="shared" si="144"/>
        <v>0</v>
      </c>
      <c r="BN128" s="113" t="e">
        <f>VLOOKUP(BM128,[1]Sheet1!$B$3:$C$604,2,0)</f>
        <v>#N/A</v>
      </c>
      <c r="BO128" s="113" t="str">
        <f t="shared" si="145"/>
        <v/>
      </c>
      <c r="BP128" s="351" t="str">
        <f t="shared" si="137"/>
        <v/>
      </c>
    </row>
    <row r="129" spans="1:68" ht="15.6" x14ac:dyDescent="0.3">
      <c r="A129" s="113">
        <v>129</v>
      </c>
      <c r="B129" s="113" t="str">
        <f>CONCATENATE($A$128,$C$128,C129)</f>
        <v>128</v>
      </c>
      <c r="C129"/>
      <c r="D129"/>
      <c r="E129"/>
      <c r="F129"/>
      <c r="AV129" s="113" t="e">
        <f>VLOOKUP(BD129,giaroi!$D$6:$N$500,11,0)</f>
        <v>#N/A</v>
      </c>
      <c r="AZ129" s="225">
        <f t="shared" si="150"/>
        <v>0</v>
      </c>
      <c r="BA129" s="127">
        <f t="shared" si="151"/>
        <v>0</v>
      </c>
      <c r="BB129" s="244">
        <f t="shared" si="152"/>
        <v>0</v>
      </c>
      <c r="BC129" s="225">
        <f t="shared" si="153"/>
        <v>0</v>
      </c>
      <c r="BD129" s="225">
        <f t="shared" si="154"/>
        <v>0</v>
      </c>
      <c r="BE129" s="225" t="str">
        <f t="shared" si="155"/>
        <v xml:space="preserve">   + Số lượng xe:</v>
      </c>
      <c r="BF129" s="225">
        <f t="shared" si="141"/>
        <v>0</v>
      </c>
      <c r="BG129" s="225">
        <f t="shared" si="156"/>
        <v>0</v>
      </c>
      <c r="BH129" s="225">
        <f t="shared" si="157"/>
        <v>0</v>
      </c>
      <c r="BI129" s="321" t="str">
        <f t="shared" si="158"/>
        <v/>
      </c>
      <c r="BL129" s="225" t="str">
        <f t="shared" si="143"/>
        <v xml:space="preserve">   + Người ra lệnh:</v>
      </c>
      <c r="BM129" s="225">
        <f t="shared" si="144"/>
        <v>0</v>
      </c>
      <c r="BN129" s="113" t="e">
        <f>VLOOKUP(BM129,[1]Sheet1!$B$3:$C$604,2,0)</f>
        <v>#N/A</v>
      </c>
      <c r="BO129" s="113" t="str">
        <f t="shared" si="145"/>
        <v/>
      </c>
      <c r="BP129" s="351" t="str">
        <f t="shared" si="137"/>
        <v/>
      </c>
    </row>
    <row r="130" spans="1:68" ht="15.6" x14ac:dyDescent="0.3">
      <c r="A130" s="113">
        <v>130</v>
      </c>
      <c r="B130" s="113" t="str">
        <f t="shared" ref="B130:B139" si="163">CONCATENATE($A$128,$C$128,C130)</f>
        <v>128</v>
      </c>
      <c r="C130"/>
      <c r="D130"/>
      <c r="E130"/>
      <c r="F130"/>
      <c r="AV130" s="113" t="e">
        <f>VLOOKUP(BD130,giaroi!$D$6:$N$500,11,0)</f>
        <v>#N/A</v>
      </c>
      <c r="AZ130" s="225">
        <f t="shared" si="150"/>
        <v>0</v>
      </c>
      <c r="BA130" s="127">
        <f t="shared" si="151"/>
        <v>0</v>
      </c>
      <c r="BB130" s="244">
        <f t="shared" si="152"/>
        <v>0</v>
      </c>
      <c r="BC130" s="225">
        <f t="shared" si="153"/>
        <v>0</v>
      </c>
      <c r="BD130" s="225">
        <f t="shared" si="154"/>
        <v>0</v>
      </c>
      <c r="BE130" s="225" t="str">
        <f t="shared" si="155"/>
        <v xml:space="preserve">   + Số lượng xe:</v>
      </c>
      <c r="BF130" s="225">
        <f t="shared" si="141"/>
        <v>0</v>
      </c>
      <c r="BG130" s="225">
        <f t="shared" si="156"/>
        <v>0</v>
      </c>
      <c r="BH130" s="225">
        <f t="shared" si="157"/>
        <v>0</v>
      </c>
      <c r="BI130" s="321" t="str">
        <f t="shared" si="158"/>
        <v/>
      </c>
      <c r="BL130" s="225" t="str">
        <f t="shared" si="143"/>
        <v xml:space="preserve">   + Người ra lệnh:</v>
      </c>
      <c r="BM130" s="225">
        <f t="shared" si="144"/>
        <v>0</v>
      </c>
      <c r="BN130" s="113" t="e">
        <f>VLOOKUP(BM130,[1]Sheet1!$B$3:$C$604,2,0)</f>
        <v>#N/A</v>
      </c>
      <c r="BO130" s="113" t="str">
        <f t="shared" si="145"/>
        <v/>
      </c>
      <c r="BP130" s="351" t="str">
        <f t="shared" si="137"/>
        <v/>
      </c>
    </row>
    <row r="131" spans="1:68" ht="15.6" x14ac:dyDescent="0.3">
      <c r="A131" s="113">
        <v>131</v>
      </c>
      <c r="B131" s="113" t="str">
        <f t="shared" si="163"/>
        <v>128</v>
      </c>
      <c r="C131"/>
      <c r="D131"/>
      <c r="E131"/>
      <c r="F131" s="128"/>
      <c r="AV131" s="113" t="e">
        <f>VLOOKUP(BD131,giaroi!$D$6:$N$500,11,0)</f>
        <v>#N/A</v>
      </c>
      <c r="AZ131" s="225">
        <f t="shared" si="150"/>
        <v>0</v>
      </c>
      <c r="BA131" s="127">
        <f t="shared" si="151"/>
        <v>0</v>
      </c>
      <c r="BB131" s="244">
        <f t="shared" si="152"/>
        <v>0</v>
      </c>
      <c r="BC131" s="225">
        <f t="shared" si="153"/>
        <v>0</v>
      </c>
      <c r="BD131" s="225">
        <f t="shared" si="154"/>
        <v>0</v>
      </c>
      <c r="BE131" s="225" t="str">
        <f t="shared" si="155"/>
        <v xml:space="preserve">   + Số lượng xe:</v>
      </c>
      <c r="BF131" s="225">
        <f t="shared" si="141"/>
        <v>0</v>
      </c>
      <c r="BG131" s="225">
        <f t="shared" si="156"/>
        <v>0</v>
      </c>
      <c r="BH131" s="225">
        <f t="shared" si="157"/>
        <v>0</v>
      </c>
      <c r="BI131" s="321" t="str">
        <f t="shared" si="158"/>
        <v/>
      </c>
      <c r="BL131" s="225" t="str">
        <f t="shared" si="143"/>
        <v xml:space="preserve">   + Người ra lệnh:</v>
      </c>
      <c r="BM131" s="225">
        <f t="shared" si="144"/>
        <v>0</v>
      </c>
      <c r="BN131" s="113" t="e">
        <f>VLOOKUP(BM131,[1]Sheet1!$B$3:$C$604,2,0)</f>
        <v>#N/A</v>
      </c>
      <c r="BO131" s="113" t="str">
        <f t="shared" si="145"/>
        <v/>
      </c>
      <c r="BP131" s="351" t="str">
        <f t="shared" si="137"/>
        <v/>
      </c>
    </row>
    <row r="132" spans="1:68" ht="15.6" x14ac:dyDescent="0.3">
      <c r="A132" s="113">
        <v>132</v>
      </c>
      <c r="B132" s="113" t="str">
        <f t="shared" si="163"/>
        <v>128</v>
      </c>
      <c r="C132"/>
      <c r="D132"/>
      <c r="E132"/>
      <c r="F132"/>
      <c r="AV132" s="113" t="e">
        <f>VLOOKUP(BD132,giaroi!$D$6:$N$500,11,0)</f>
        <v>#N/A</v>
      </c>
      <c r="AZ132" s="225">
        <f t="shared" si="150"/>
        <v>0</v>
      </c>
      <c r="BA132" s="127">
        <f t="shared" si="151"/>
        <v>0</v>
      </c>
      <c r="BB132" s="244">
        <f t="shared" si="152"/>
        <v>0</v>
      </c>
      <c r="BC132" s="225">
        <f t="shared" si="153"/>
        <v>0</v>
      </c>
      <c r="BD132" s="225">
        <f t="shared" si="154"/>
        <v>0</v>
      </c>
      <c r="BE132" s="225" t="str">
        <f t="shared" si="155"/>
        <v xml:space="preserve">   + Số lượng xe:</v>
      </c>
      <c r="BF132" s="225">
        <f t="shared" si="141"/>
        <v>0</v>
      </c>
      <c r="BG132" s="225">
        <f t="shared" si="156"/>
        <v>0</v>
      </c>
      <c r="BH132" s="225">
        <f t="shared" si="157"/>
        <v>0</v>
      </c>
      <c r="BI132" s="321" t="str">
        <f t="shared" si="158"/>
        <v/>
      </c>
      <c r="BL132" s="225" t="str">
        <f t="shared" si="143"/>
        <v xml:space="preserve">   + Người ra lệnh:</v>
      </c>
      <c r="BM132" s="225">
        <f t="shared" si="144"/>
        <v>0</v>
      </c>
      <c r="BN132" s="113" t="e">
        <f>VLOOKUP(BM132,[1]Sheet1!$B$3:$C$604,2,0)</f>
        <v>#N/A</v>
      </c>
      <c r="BO132" s="113" t="str">
        <f t="shared" si="145"/>
        <v/>
      </c>
      <c r="BP132" s="351" t="str">
        <f t="shared" si="137"/>
        <v/>
      </c>
    </row>
    <row r="133" spans="1:68" ht="15.6" x14ac:dyDescent="0.3">
      <c r="A133" s="113">
        <v>133</v>
      </c>
      <c r="B133" s="113" t="str">
        <f t="shared" si="163"/>
        <v>128</v>
      </c>
      <c r="C133"/>
      <c r="D133"/>
      <c r="E133"/>
      <c r="F133"/>
      <c r="AV133" s="113" t="e">
        <f>VLOOKUP(BD133,giaroi!$D$6:$N$500,11,0)</f>
        <v>#N/A</v>
      </c>
      <c r="AZ133" s="225">
        <f t="shared" si="150"/>
        <v>0</v>
      </c>
      <c r="BA133" s="127">
        <f t="shared" si="151"/>
        <v>0</v>
      </c>
      <c r="BB133" s="244">
        <f t="shared" si="152"/>
        <v>0</v>
      </c>
      <c r="BC133" s="225">
        <f t="shared" si="153"/>
        <v>0</v>
      </c>
      <c r="BD133" s="225">
        <f t="shared" si="154"/>
        <v>0</v>
      </c>
      <c r="BE133" s="225" t="str">
        <f t="shared" si="155"/>
        <v xml:space="preserve">   + Số lượng xe:</v>
      </c>
      <c r="BF133" s="225">
        <f t="shared" si="141"/>
        <v>0</v>
      </c>
      <c r="BG133" s="225">
        <f t="shared" si="156"/>
        <v>0</v>
      </c>
      <c r="BH133" s="225">
        <f t="shared" si="157"/>
        <v>0</v>
      </c>
      <c r="BI133" s="321" t="str">
        <f t="shared" si="158"/>
        <v/>
      </c>
      <c r="BL133" s="225" t="str">
        <f t="shared" si="143"/>
        <v xml:space="preserve">   + Người ra lệnh:</v>
      </c>
      <c r="BM133" s="225">
        <f t="shared" si="144"/>
        <v>0</v>
      </c>
      <c r="BN133" s="113" t="e">
        <f>VLOOKUP(BM133,[1]Sheet1!$B$3:$C$604,2,0)</f>
        <v>#N/A</v>
      </c>
      <c r="BO133" s="113" t="str">
        <f t="shared" si="145"/>
        <v/>
      </c>
      <c r="BP133" s="351" t="str">
        <f t="shared" si="137"/>
        <v/>
      </c>
    </row>
    <row r="134" spans="1:68" ht="15.6" x14ac:dyDescent="0.3">
      <c r="A134" s="113">
        <v>134</v>
      </c>
      <c r="B134" s="113" t="str">
        <f t="shared" si="163"/>
        <v>128</v>
      </c>
      <c r="C134"/>
      <c r="D134"/>
      <c r="E134"/>
      <c r="F134"/>
      <c r="AV134" s="113" t="e">
        <f>VLOOKUP(BD134,giaroi!$D$6:$N$500,11,0)</f>
        <v>#N/A</v>
      </c>
      <c r="AZ134" s="225">
        <f t="shared" si="150"/>
        <v>0</v>
      </c>
      <c r="BA134" s="127">
        <f t="shared" si="151"/>
        <v>0</v>
      </c>
      <c r="BB134" s="244">
        <f t="shared" si="152"/>
        <v>0</v>
      </c>
      <c r="BC134" s="225">
        <f t="shared" si="153"/>
        <v>0</v>
      </c>
      <c r="BD134" s="225">
        <f t="shared" si="154"/>
        <v>0</v>
      </c>
      <c r="BE134" s="225" t="str">
        <f t="shared" si="155"/>
        <v xml:space="preserve">   + Số lượng xe:</v>
      </c>
      <c r="BF134" s="225">
        <f t="shared" si="141"/>
        <v>0</v>
      </c>
      <c r="BG134" s="225">
        <f t="shared" si="156"/>
        <v>0</v>
      </c>
      <c r="BH134" s="225">
        <f t="shared" si="157"/>
        <v>0</v>
      </c>
      <c r="BI134" s="321" t="str">
        <f t="shared" si="158"/>
        <v/>
      </c>
      <c r="BL134" s="225" t="str">
        <f t="shared" si="143"/>
        <v xml:space="preserve">   + Người ra lệnh:</v>
      </c>
      <c r="BM134" s="225">
        <f t="shared" si="144"/>
        <v>0</v>
      </c>
      <c r="BN134" s="113" t="e">
        <f>VLOOKUP(BM134,[1]Sheet1!$B$3:$C$604,2,0)</f>
        <v>#N/A</v>
      </c>
      <c r="BO134" s="113" t="str">
        <f t="shared" si="145"/>
        <v/>
      </c>
      <c r="BP134" s="351" t="str">
        <f t="shared" si="137"/>
        <v/>
      </c>
    </row>
    <row r="135" spans="1:68" ht="15.6" x14ac:dyDescent="0.3">
      <c r="A135" s="113">
        <v>135</v>
      </c>
      <c r="B135" s="113" t="str">
        <f t="shared" si="163"/>
        <v>128</v>
      </c>
      <c r="C135"/>
      <c r="D135"/>
      <c r="E135"/>
      <c r="F135"/>
      <c r="AV135" s="113" t="e">
        <f>VLOOKUP(BD135,giaroi!$D$6:$N$500,11,0)</f>
        <v>#N/A</v>
      </c>
      <c r="BN135" s="113" t="e">
        <f>VLOOKUP(BM135,[1]Sheet1!$B$3:$C$604,2,0)</f>
        <v>#N/A</v>
      </c>
      <c r="BO135" s="113" t="str">
        <f t="shared" si="145"/>
        <v/>
      </c>
      <c r="BP135" s="351" t="str">
        <f t="shared" si="137"/>
        <v/>
      </c>
    </row>
    <row r="136" spans="1:68" ht="15.6" x14ac:dyDescent="0.3">
      <c r="A136" s="113">
        <v>136</v>
      </c>
      <c r="B136" s="113" t="str">
        <f t="shared" si="163"/>
        <v>128</v>
      </c>
      <c r="C136"/>
      <c r="D136"/>
      <c r="E136"/>
      <c r="F136"/>
      <c r="AV136" s="113" t="e">
        <f>VLOOKUP(BD136,giaroi!$D$6:$N$500,11,0)</f>
        <v>#N/A</v>
      </c>
      <c r="BN136" s="113" t="e">
        <f>VLOOKUP(BM136,[1]Sheet1!$B$3:$C$604,2,0)</f>
        <v>#N/A</v>
      </c>
      <c r="BO136" s="113" t="str">
        <f t="shared" si="145"/>
        <v/>
      </c>
      <c r="BP136" s="351" t="str">
        <f t="shared" ref="BP136:BP138" si="164">IF(BF136&lt;&gt;0,CONCATENATE(SUMIF($BN$8:$BN$147,BN136,$BF$8:$BF$134), " xe của ", BN136),"")</f>
        <v/>
      </c>
    </row>
    <row r="137" spans="1:68" ht="15.6" x14ac:dyDescent="0.3">
      <c r="A137" s="113">
        <v>137</v>
      </c>
      <c r="B137" s="113" t="str">
        <f t="shared" si="163"/>
        <v>128</v>
      </c>
      <c r="C137"/>
      <c r="D137"/>
      <c r="E137"/>
      <c r="F137"/>
      <c r="AV137" s="113" t="e">
        <f>VLOOKUP(BD137,giaroi!$D$6:$N$500,11,0)</f>
        <v>#N/A</v>
      </c>
      <c r="BN137" s="113" t="e">
        <f>VLOOKUP(BM137,[1]Sheet1!$B$3:$C$604,2,0)</f>
        <v>#N/A</v>
      </c>
      <c r="BO137" s="113" t="str">
        <f t="shared" ref="BO137:BO147" si="165">IF(BF137&lt;&gt;0,CONCATENATE(BF137, " xe của ", BN137),"")</f>
        <v/>
      </c>
      <c r="BP137" s="351" t="str">
        <f t="shared" si="164"/>
        <v/>
      </c>
    </row>
    <row r="138" spans="1:68" ht="15.6" x14ac:dyDescent="0.3">
      <c r="A138" s="113">
        <v>138</v>
      </c>
      <c r="B138" s="113" t="str">
        <f t="shared" si="163"/>
        <v>128</v>
      </c>
      <c r="C138"/>
      <c r="D138"/>
      <c r="E138"/>
      <c r="F138"/>
      <c r="AV138" s="113" t="e">
        <f>VLOOKUP(BD138,giaroi!$D$6:$N$500,11,0)</f>
        <v>#N/A</v>
      </c>
      <c r="BN138" s="113" t="e">
        <f>VLOOKUP(BM138,[1]Sheet1!$B$3:$C$604,2,0)</f>
        <v>#N/A</v>
      </c>
      <c r="BO138" s="113" t="str">
        <f t="shared" si="165"/>
        <v/>
      </c>
      <c r="BP138" s="351" t="str">
        <f t="shared" si="164"/>
        <v/>
      </c>
    </row>
    <row r="139" spans="1:68" ht="15.6" x14ac:dyDescent="0.3">
      <c r="A139" s="113">
        <v>139</v>
      </c>
      <c r="B139" s="113" t="str">
        <f t="shared" si="163"/>
        <v>128</v>
      </c>
      <c r="C139"/>
      <c r="D139"/>
      <c r="E139"/>
      <c r="F139" s="128"/>
      <c r="AV139" s="113" t="e">
        <f>VLOOKUP(BD139,giaroi!$D$6:$N$500,11,0)</f>
        <v>#N/A</v>
      </c>
      <c r="BN139" s="113" t="e">
        <f>VLOOKUP(BM139,[1]Sheet1!$B$3:$C$604,2,0)</f>
        <v>#N/A</v>
      </c>
      <c r="BO139" s="113" t="str">
        <f t="shared" si="165"/>
        <v/>
      </c>
    </row>
    <row r="140" spans="1:68" ht="15.6" x14ac:dyDescent="0.3">
      <c r="A140" s="113">
        <v>140</v>
      </c>
      <c r="C140"/>
      <c r="D140"/>
      <c r="E140"/>
      <c r="F140"/>
      <c r="AV140" s="113" t="e">
        <f>VLOOKUP(BD140,giaroi!$D$6:$N$500,11,0)</f>
        <v>#N/A</v>
      </c>
      <c r="BN140" s="113" t="e">
        <f>VLOOKUP(BM140,[1]Sheet1!$B$3:$C$604,2,0)</f>
        <v>#N/A</v>
      </c>
      <c r="BO140" s="113" t="str">
        <f t="shared" si="165"/>
        <v/>
      </c>
    </row>
    <row r="141" spans="1:68" ht="15.6" x14ac:dyDescent="0.3">
      <c r="A141" s="113">
        <v>141</v>
      </c>
      <c r="B141" s="113" t="str">
        <f>CONCATENATE($A$140,$C$140,C141)</f>
        <v>140</v>
      </c>
      <c r="C141"/>
      <c r="D141"/>
      <c r="E141"/>
      <c r="F141"/>
      <c r="AV141" s="113" t="e">
        <f>VLOOKUP(BD141,giaroi!$D$6:$N$500,11,0)</f>
        <v>#N/A</v>
      </c>
      <c r="BN141" s="113" t="e">
        <f>VLOOKUP(BM141,[1]Sheet1!$B$3:$C$604,2,0)</f>
        <v>#N/A</v>
      </c>
      <c r="BO141" s="113" t="str">
        <f t="shared" si="165"/>
        <v/>
      </c>
    </row>
    <row r="142" spans="1:68" ht="15.6" x14ac:dyDescent="0.3">
      <c r="A142" s="113">
        <v>142</v>
      </c>
      <c r="B142" s="113" t="str">
        <f t="shared" ref="B142:B151" si="166">CONCATENATE($A$140,$C$140,C142)</f>
        <v>140</v>
      </c>
      <c r="C142"/>
      <c r="D142"/>
      <c r="E142"/>
      <c r="F142"/>
      <c r="AV142" s="113" t="e">
        <f>VLOOKUP(BD142,giaroi!$D$6:$N$500,11,0)</f>
        <v>#N/A</v>
      </c>
      <c r="BN142" s="113" t="e">
        <f>VLOOKUP(BM142,[1]Sheet1!$B$3:$C$604,2,0)</f>
        <v>#N/A</v>
      </c>
      <c r="BO142" s="113" t="str">
        <f t="shared" si="165"/>
        <v/>
      </c>
    </row>
    <row r="143" spans="1:68" ht="15.6" x14ac:dyDescent="0.3">
      <c r="A143" s="113">
        <v>143</v>
      </c>
      <c r="B143" s="113" t="str">
        <f t="shared" si="166"/>
        <v>140</v>
      </c>
      <c r="C143"/>
      <c r="D143"/>
      <c r="E143"/>
      <c r="F143" s="128"/>
      <c r="AV143" s="113" t="e">
        <f>VLOOKUP(BD143,giaroi!$D$6:$N$500,11,0)</f>
        <v>#N/A</v>
      </c>
      <c r="BN143" s="113" t="e">
        <f>VLOOKUP(BM143,[1]Sheet1!$B$3:$C$604,2,0)</f>
        <v>#N/A</v>
      </c>
      <c r="BO143" s="113" t="str">
        <f t="shared" si="165"/>
        <v/>
      </c>
    </row>
    <row r="144" spans="1:68" ht="15.6" x14ac:dyDescent="0.3">
      <c r="A144" s="113">
        <v>144</v>
      </c>
      <c r="B144" s="113" t="str">
        <f t="shared" si="166"/>
        <v>140</v>
      </c>
      <c r="C144"/>
      <c r="D144"/>
      <c r="E144"/>
      <c r="F144" s="128"/>
      <c r="AV144" s="113" t="e">
        <f>VLOOKUP(BD144,giaroi!$D$6:$N$500,11,0)</f>
        <v>#N/A</v>
      </c>
      <c r="BN144" s="113" t="e">
        <f>VLOOKUP(BM144,[1]Sheet1!$B$3:$C$604,2,0)</f>
        <v>#N/A</v>
      </c>
      <c r="BO144" s="113" t="str">
        <f t="shared" si="165"/>
        <v/>
      </c>
    </row>
    <row r="145" spans="1:67" ht="15.6" x14ac:dyDescent="0.3">
      <c r="A145" s="113">
        <v>145</v>
      </c>
      <c r="B145" s="113" t="str">
        <f t="shared" si="166"/>
        <v>140</v>
      </c>
      <c r="C145"/>
      <c r="D145"/>
      <c r="E145"/>
      <c r="F145"/>
      <c r="AV145" s="113" t="e">
        <f>VLOOKUP(BD145,giaroi!$D$6:$N$500,11,0)</f>
        <v>#N/A</v>
      </c>
      <c r="BN145" s="113" t="e">
        <f>VLOOKUP(BM145,[1]Sheet1!$B$3:$C$604,2,0)</f>
        <v>#N/A</v>
      </c>
      <c r="BO145" s="113" t="str">
        <f t="shared" si="165"/>
        <v/>
      </c>
    </row>
    <row r="146" spans="1:67" ht="15.6" x14ac:dyDescent="0.3">
      <c r="A146" s="113">
        <v>146</v>
      </c>
      <c r="B146" s="113" t="str">
        <f t="shared" si="166"/>
        <v>140</v>
      </c>
      <c r="C146"/>
      <c r="D146"/>
      <c r="E146"/>
      <c r="F146"/>
      <c r="AV146" s="113" t="e">
        <f>VLOOKUP(BD146,giaroi!$D$6:$N$500,11,0)</f>
        <v>#N/A</v>
      </c>
      <c r="BN146" s="113" t="e">
        <f>VLOOKUP(BM146,[1]Sheet1!$B$3:$C$604,2,0)</f>
        <v>#N/A</v>
      </c>
      <c r="BO146" s="113" t="str">
        <f t="shared" si="165"/>
        <v/>
      </c>
    </row>
    <row r="147" spans="1:67" ht="15.6" x14ac:dyDescent="0.3">
      <c r="A147" s="113">
        <v>147</v>
      </c>
      <c r="B147" s="113" t="str">
        <f t="shared" si="166"/>
        <v>140</v>
      </c>
      <c r="C147"/>
      <c r="D147"/>
      <c r="E147"/>
      <c r="F147" s="128"/>
      <c r="AV147" s="113" t="e">
        <f>VLOOKUP(BD147,giaroi!$D$6:$N$500,11,0)</f>
        <v>#N/A</v>
      </c>
      <c r="BN147" s="113" t="e">
        <f>VLOOKUP(BM147,[1]Sheet1!$B$3:$C$604,2,0)</f>
        <v>#N/A</v>
      </c>
      <c r="BO147" s="113" t="str">
        <f t="shared" si="165"/>
        <v/>
      </c>
    </row>
    <row r="148" spans="1:67" ht="15.6" x14ac:dyDescent="0.3">
      <c r="A148" s="113">
        <v>148</v>
      </c>
      <c r="B148" s="113" t="str">
        <f t="shared" si="166"/>
        <v>140</v>
      </c>
      <c r="C148"/>
      <c r="D148"/>
      <c r="E148"/>
      <c r="F148"/>
      <c r="AV148" s="113" t="e">
        <f>VLOOKUP(BD148,giaroi!$D$6:$N$500,11,0)</f>
        <v>#N/A</v>
      </c>
    </row>
    <row r="149" spans="1:67" ht="15.6" x14ac:dyDescent="0.3">
      <c r="A149" s="113">
        <v>149</v>
      </c>
      <c r="B149" s="113" t="str">
        <f t="shared" si="166"/>
        <v>140</v>
      </c>
      <c r="C149"/>
      <c r="D149"/>
      <c r="E149"/>
      <c r="F149"/>
      <c r="AV149" s="113" t="e">
        <f>VLOOKUP(BD149,giaroi!$D$6:$N$500,11,0)</f>
        <v>#N/A</v>
      </c>
    </row>
    <row r="150" spans="1:67" ht="15.6" x14ac:dyDescent="0.3">
      <c r="A150" s="113">
        <v>150</v>
      </c>
      <c r="B150" s="113" t="str">
        <f t="shared" si="166"/>
        <v>140</v>
      </c>
      <c r="C150"/>
      <c r="D150"/>
      <c r="E150"/>
      <c r="F150"/>
      <c r="AV150" s="113" t="e">
        <f>VLOOKUP(BD150,giaroi!$D$6:$N$500,11,0)</f>
        <v>#N/A</v>
      </c>
    </row>
    <row r="151" spans="1:67" ht="15.6" x14ac:dyDescent="0.3">
      <c r="A151" s="113">
        <v>151</v>
      </c>
      <c r="B151" s="113" t="str">
        <f t="shared" si="166"/>
        <v>140</v>
      </c>
      <c r="C151"/>
      <c r="D151"/>
      <c r="E151"/>
      <c r="F151"/>
      <c r="AV151" s="113" t="e">
        <f>VLOOKUP(BD151,giaroi!$D$6:$N$500,11,0)</f>
        <v>#N/A</v>
      </c>
    </row>
    <row r="152" spans="1:67" ht="15.6" x14ac:dyDescent="0.3">
      <c r="A152" s="113">
        <v>152</v>
      </c>
      <c r="C152"/>
      <c r="D152"/>
      <c r="E152"/>
      <c r="F152"/>
      <c r="AV152" s="113" t="e">
        <f>VLOOKUP(BD152,giaroi!$D$6:$N$500,11,0)</f>
        <v>#N/A</v>
      </c>
    </row>
    <row r="153" spans="1:67" ht="15.6" x14ac:dyDescent="0.3">
      <c r="A153" s="113">
        <v>153</v>
      </c>
      <c r="B153" s="113" t="str">
        <f>CONCATENATE($A$152,$C$152,C153)</f>
        <v>152</v>
      </c>
      <c r="C153"/>
      <c r="D153"/>
      <c r="E153"/>
      <c r="F153"/>
      <c r="AV153" s="113" t="e">
        <f>VLOOKUP(BD153,giaroi!$D$6:$N$500,11,0)</f>
        <v>#N/A</v>
      </c>
    </row>
    <row r="154" spans="1:67" ht="15.6" x14ac:dyDescent="0.3">
      <c r="A154" s="113">
        <v>154</v>
      </c>
      <c r="B154" s="113" t="str">
        <f t="shared" ref="B154:B163" si="167">CONCATENATE($A$152,$C$152,C154)</f>
        <v>152</v>
      </c>
      <c r="C154"/>
      <c r="D154"/>
      <c r="E154"/>
      <c r="F154"/>
      <c r="AV154" s="113" t="e">
        <f>VLOOKUP(BD154,giaroi!$D$6:$N$500,11,0)</f>
        <v>#N/A</v>
      </c>
    </row>
    <row r="155" spans="1:67" ht="15.6" x14ac:dyDescent="0.3">
      <c r="A155" s="113">
        <v>155</v>
      </c>
      <c r="B155" s="113" t="str">
        <f t="shared" si="167"/>
        <v>152</v>
      </c>
      <c r="C155"/>
      <c r="D155"/>
      <c r="E155"/>
      <c r="F155" s="128"/>
      <c r="AV155" s="113" t="e">
        <f>VLOOKUP(BD155,giaroi!$D$6:$N$500,11,0)</f>
        <v>#N/A</v>
      </c>
    </row>
    <row r="156" spans="1:67" ht="15.6" x14ac:dyDescent="0.3">
      <c r="A156" s="113">
        <v>156</v>
      </c>
      <c r="B156" s="113" t="str">
        <f t="shared" si="167"/>
        <v>152</v>
      </c>
      <c r="C156"/>
      <c r="D156"/>
      <c r="E156"/>
      <c r="F156"/>
      <c r="AV156" s="113" t="e">
        <f>VLOOKUP(BD156,giaroi!$D$6:$N$500,11,0)</f>
        <v>#N/A</v>
      </c>
    </row>
    <row r="157" spans="1:67" ht="15.6" x14ac:dyDescent="0.3">
      <c r="A157" s="113">
        <v>157</v>
      </c>
      <c r="B157" s="113" t="str">
        <f t="shared" si="167"/>
        <v>152</v>
      </c>
      <c r="C157"/>
      <c r="D157"/>
      <c r="E157"/>
      <c r="F157"/>
      <c r="AV157" s="113" t="e">
        <f>VLOOKUP(BD157,giaroi!$D$6:$N$500,11,0)</f>
        <v>#N/A</v>
      </c>
    </row>
    <row r="158" spans="1:67" ht="15.6" x14ac:dyDescent="0.3">
      <c r="A158" s="113">
        <v>158</v>
      </c>
      <c r="B158" s="113" t="str">
        <f t="shared" si="167"/>
        <v>152</v>
      </c>
      <c r="C158"/>
      <c r="D158"/>
      <c r="E158"/>
      <c r="F158"/>
      <c r="AV158" s="113" t="e">
        <f>VLOOKUP(BD158,giaroi!$D$6:$N$500,11,0)</f>
        <v>#N/A</v>
      </c>
    </row>
    <row r="159" spans="1:67" ht="15.6" x14ac:dyDescent="0.3">
      <c r="A159" s="113">
        <v>159</v>
      </c>
      <c r="B159" s="113" t="str">
        <f t="shared" si="167"/>
        <v>152</v>
      </c>
      <c r="C159"/>
      <c r="D159"/>
      <c r="E159"/>
      <c r="F159"/>
      <c r="AV159" s="113" t="e">
        <f>VLOOKUP(BD159,giaroi!$D$6:$N$500,11,0)</f>
        <v>#N/A</v>
      </c>
    </row>
    <row r="160" spans="1:67" ht="15.6" x14ac:dyDescent="0.3">
      <c r="A160" s="113">
        <v>160</v>
      </c>
      <c r="B160" s="113" t="str">
        <f t="shared" si="167"/>
        <v>152</v>
      </c>
      <c r="C160"/>
      <c r="D160"/>
      <c r="E160"/>
      <c r="F160"/>
      <c r="AV160" s="113" t="e">
        <f>VLOOKUP(BD160,giaroi!$D$6:$N$500,11,0)</f>
        <v>#N/A</v>
      </c>
    </row>
    <row r="161" spans="1:48" ht="15.6" x14ac:dyDescent="0.3">
      <c r="A161" s="113">
        <v>161</v>
      </c>
      <c r="B161" s="113" t="str">
        <f t="shared" si="167"/>
        <v>152</v>
      </c>
      <c r="C161"/>
      <c r="D161"/>
      <c r="E161"/>
      <c r="F161"/>
      <c r="AV161" s="113" t="e">
        <f>VLOOKUP(BD161,giaroi!$D$6:$N$500,11,0)</f>
        <v>#N/A</v>
      </c>
    </row>
    <row r="162" spans="1:48" ht="15.6" x14ac:dyDescent="0.3">
      <c r="A162" s="113">
        <v>162</v>
      </c>
      <c r="B162" s="113" t="str">
        <f t="shared" si="167"/>
        <v>152</v>
      </c>
      <c r="C162"/>
      <c r="D162"/>
      <c r="E162"/>
      <c r="F162"/>
      <c r="AV162" s="113" t="e">
        <f>VLOOKUP(BD162,giaroi!$D$6:$N$500,11,0)</f>
        <v>#N/A</v>
      </c>
    </row>
    <row r="163" spans="1:48" ht="15.6" x14ac:dyDescent="0.3">
      <c r="A163" s="113">
        <v>163</v>
      </c>
      <c r="B163" s="113" t="str">
        <f t="shared" si="167"/>
        <v>152</v>
      </c>
      <c r="C163"/>
      <c r="D163"/>
      <c r="E163"/>
      <c r="F163"/>
      <c r="AV163" s="113" t="e">
        <f>VLOOKUP(BD163,giaroi!$D$6:$N$500,11,0)</f>
        <v>#N/A</v>
      </c>
    </row>
    <row r="164" spans="1:48" ht="15.6" x14ac:dyDescent="0.3">
      <c r="A164" s="113">
        <v>164</v>
      </c>
      <c r="C164"/>
      <c r="D164"/>
      <c r="E164"/>
      <c r="F164"/>
      <c r="AV164" s="113" t="e">
        <f>VLOOKUP(BD164,giaroi!$D$6:$N$500,11,0)</f>
        <v>#N/A</v>
      </c>
    </row>
    <row r="165" spans="1:48" ht="15.6" x14ac:dyDescent="0.3">
      <c r="A165" s="113">
        <v>165</v>
      </c>
      <c r="B165" s="113" t="str">
        <f>CONCATENATE($A$164,$C$164,C165)</f>
        <v>164</v>
      </c>
      <c r="C165"/>
      <c r="D165"/>
      <c r="E165"/>
      <c r="F165"/>
      <c r="AV165" s="113" t="e">
        <f>VLOOKUP(BD165,giaroi!$D$6:$N$500,11,0)</f>
        <v>#N/A</v>
      </c>
    </row>
    <row r="166" spans="1:48" ht="15.6" x14ac:dyDescent="0.3">
      <c r="A166" s="113">
        <v>166</v>
      </c>
      <c r="B166" s="113" t="str">
        <f t="shared" ref="B166:B175" si="168">CONCATENATE($A$164,$C$164,C166)</f>
        <v>164</v>
      </c>
      <c r="C166"/>
      <c r="D166"/>
      <c r="E166"/>
      <c r="F166"/>
      <c r="AV166" s="113" t="e">
        <f>VLOOKUP(BD166,giaroi!$D$6:$N$500,11,0)</f>
        <v>#N/A</v>
      </c>
    </row>
    <row r="167" spans="1:48" ht="15.6" x14ac:dyDescent="0.3">
      <c r="A167" s="113">
        <v>167</v>
      </c>
      <c r="B167" s="113" t="str">
        <f t="shared" si="168"/>
        <v>164</v>
      </c>
      <c r="C167"/>
      <c r="D167"/>
      <c r="E167"/>
      <c r="F167" s="128"/>
      <c r="AV167" s="113" t="e">
        <f>VLOOKUP(BD167,giaroi!$D$6:$N$500,11,0)</f>
        <v>#N/A</v>
      </c>
    </row>
    <row r="168" spans="1:48" ht="15.6" x14ac:dyDescent="0.3">
      <c r="A168" s="113">
        <v>168</v>
      </c>
      <c r="B168" s="113" t="str">
        <f t="shared" si="168"/>
        <v>164</v>
      </c>
      <c r="C168"/>
      <c r="D168"/>
      <c r="E168"/>
      <c r="F168"/>
      <c r="AV168" s="113" t="e">
        <f>VLOOKUP(BD168,giaroi!$D$6:$N$500,11,0)</f>
        <v>#N/A</v>
      </c>
    </row>
    <row r="169" spans="1:48" ht="15.6" x14ac:dyDescent="0.3">
      <c r="A169" s="113">
        <v>169</v>
      </c>
      <c r="B169" s="113" t="str">
        <f t="shared" si="168"/>
        <v>164</v>
      </c>
      <c r="C169"/>
      <c r="D169"/>
      <c r="E169"/>
      <c r="F169"/>
      <c r="AV169" s="113" t="e">
        <f>VLOOKUP(BD169,giaroi!$D$6:$N$500,11,0)</f>
        <v>#N/A</v>
      </c>
    </row>
    <row r="170" spans="1:48" ht="15.6" x14ac:dyDescent="0.3">
      <c r="A170" s="113">
        <v>170</v>
      </c>
      <c r="B170" s="113" t="str">
        <f t="shared" si="168"/>
        <v>164</v>
      </c>
      <c r="C170"/>
      <c r="D170"/>
      <c r="E170"/>
      <c r="F170"/>
      <c r="AV170" s="113" t="e">
        <f>VLOOKUP(BD170,giaroi!$D$6:$N$500,11,0)</f>
        <v>#N/A</v>
      </c>
    </row>
    <row r="171" spans="1:48" ht="15.6" x14ac:dyDescent="0.3">
      <c r="A171" s="113">
        <v>171</v>
      </c>
      <c r="B171" s="113" t="str">
        <f t="shared" si="168"/>
        <v>164</v>
      </c>
      <c r="C171"/>
      <c r="D171"/>
      <c r="E171"/>
      <c r="F171" s="128"/>
      <c r="AV171" s="113" t="e">
        <f>VLOOKUP(BD171,giaroi!$D$6:$N$500,11,0)</f>
        <v>#N/A</v>
      </c>
    </row>
    <row r="172" spans="1:48" ht="15.6" x14ac:dyDescent="0.3">
      <c r="A172" s="113">
        <v>172</v>
      </c>
      <c r="B172" s="113" t="str">
        <f t="shared" si="168"/>
        <v>164</v>
      </c>
      <c r="C172"/>
      <c r="D172"/>
      <c r="E172"/>
      <c r="F172"/>
      <c r="AV172" s="113" t="e">
        <f>VLOOKUP(BD172,giaroi!$D$6:$N$500,11,0)</f>
        <v>#N/A</v>
      </c>
    </row>
    <row r="173" spans="1:48" ht="15.6" x14ac:dyDescent="0.3">
      <c r="A173" s="113">
        <v>173</v>
      </c>
      <c r="B173" s="113" t="str">
        <f t="shared" si="168"/>
        <v>164</v>
      </c>
      <c r="C173"/>
      <c r="D173"/>
      <c r="E173"/>
      <c r="F173"/>
      <c r="AV173" s="113" t="e">
        <f>VLOOKUP(BD173,giaroi!$D$6:$N$500,11,0)</f>
        <v>#N/A</v>
      </c>
    </row>
    <row r="174" spans="1:48" ht="15.6" x14ac:dyDescent="0.3">
      <c r="A174" s="113">
        <v>174</v>
      </c>
      <c r="B174" s="113" t="str">
        <f t="shared" si="168"/>
        <v>164</v>
      </c>
      <c r="C174"/>
      <c r="D174"/>
      <c r="E174"/>
      <c r="F174"/>
      <c r="AV174" s="113" t="e">
        <f>VLOOKUP(BD174,giaroi!$D$6:$N$500,11,0)</f>
        <v>#N/A</v>
      </c>
    </row>
    <row r="175" spans="1:48" ht="15.6" x14ac:dyDescent="0.3">
      <c r="A175" s="113">
        <v>175</v>
      </c>
      <c r="B175" s="113" t="str">
        <f t="shared" si="168"/>
        <v>164</v>
      </c>
      <c r="C175"/>
      <c r="D175"/>
      <c r="E175"/>
      <c r="F175"/>
      <c r="AV175" s="113" t="e">
        <f>VLOOKUP(BD175,giaroi!$D$6:$N$500,11,0)</f>
        <v>#N/A</v>
      </c>
    </row>
    <row r="176" spans="1:48" ht="15.6" x14ac:dyDescent="0.3">
      <c r="A176" s="113">
        <v>176</v>
      </c>
      <c r="C176"/>
      <c r="D176"/>
      <c r="E176"/>
      <c r="F176"/>
      <c r="AV176" s="113" t="e">
        <f>VLOOKUP(BD176,giaroi!$D$6:$N$500,11,0)</f>
        <v>#N/A</v>
      </c>
    </row>
    <row r="177" spans="1:6" ht="15.6" x14ac:dyDescent="0.3">
      <c r="A177" s="113">
        <v>177</v>
      </c>
      <c r="B177" s="113" t="str">
        <f>CONCATENATE($A$176,$C$176,C177)</f>
        <v>176</v>
      </c>
      <c r="C177"/>
      <c r="D177"/>
      <c r="E177"/>
      <c r="F177"/>
    </row>
    <row r="178" spans="1:6" ht="15.6" x14ac:dyDescent="0.3">
      <c r="A178" s="113">
        <v>178</v>
      </c>
      <c r="B178" s="113" t="str">
        <f t="shared" ref="B178:B187" si="169">CONCATENATE($A$176,$C$176,C178)</f>
        <v>176</v>
      </c>
      <c r="C178"/>
      <c r="D178"/>
      <c r="E178"/>
      <c r="F178" s="128"/>
    </row>
    <row r="179" spans="1:6" ht="15.6" x14ac:dyDescent="0.3">
      <c r="A179" s="113">
        <v>179</v>
      </c>
      <c r="B179" s="113" t="str">
        <f t="shared" si="169"/>
        <v>176</v>
      </c>
      <c r="C179"/>
      <c r="D179"/>
      <c r="E179"/>
      <c r="F179" s="128"/>
    </row>
    <row r="180" spans="1:6" ht="15.6" x14ac:dyDescent="0.3">
      <c r="A180" s="113">
        <v>180</v>
      </c>
      <c r="B180" s="113" t="str">
        <f t="shared" si="169"/>
        <v>176</v>
      </c>
      <c r="C180" s="223"/>
      <c r="D180" s="223"/>
      <c r="E180"/>
      <c r="F180"/>
    </row>
    <row r="181" spans="1:6" ht="15.6" x14ac:dyDescent="0.3">
      <c r="A181" s="113">
        <v>181</v>
      </c>
      <c r="B181" s="113" t="str">
        <f t="shared" si="169"/>
        <v>176</v>
      </c>
      <c r="C181"/>
      <c r="D181"/>
      <c r="E181"/>
      <c r="F181" s="128"/>
    </row>
    <row r="182" spans="1:6" ht="15.6" x14ac:dyDescent="0.3">
      <c r="A182" s="113">
        <v>182</v>
      </c>
      <c r="B182" s="113" t="str">
        <f t="shared" si="169"/>
        <v>176</v>
      </c>
      <c r="C182"/>
      <c r="D182"/>
      <c r="E182"/>
      <c r="F182"/>
    </row>
    <row r="183" spans="1:6" ht="15.6" x14ac:dyDescent="0.3">
      <c r="A183" s="113">
        <v>183</v>
      </c>
      <c r="B183" s="113" t="str">
        <f t="shared" si="169"/>
        <v>176</v>
      </c>
      <c r="C183"/>
      <c r="D183"/>
      <c r="E183"/>
      <c r="F183" s="128"/>
    </row>
    <row r="184" spans="1:6" ht="15.6" x14ac:dyDescent="0.3">
      <c r="A184" s="113">
        <v>184</v>
      </c>
      <c r="B184" s="113" t="str">
        <f t="shared" si="169"/>
        <v>176</v>
      </c>
      <c r="C184"/>
      <c r="D184"/>
      <c r="E184"/>
      <c r="F184"/>
    </row>
    <row r="185" spans="1:6" ht="15.6" x14ac:dyDescent="0.3">
      <c r="A185" s="113">
        <v>185</v>
      </c>
      <c r="B185" s="113" t="str">
        <f t="shared" si="169"/>
        <v>176</v>
      </c>
      <c r="C185"/>
      <c r="D185"/>
      <c r="E185"/>
      <c r="F185"/>
    </row>
    <row r="186" spans="1:6" ht="15.6" x14ac:dyDescent="0.3">
      <c r="A186" s="113">
        <v>186</v>
      </c>
      <c r="B186" s="113" t="str">
        <f t="shared" si="169"/>
        <v>176</v>
      </c>
      <c r="C186"/>
      <c r="D186"/>
      <c r="E186"/>
      <c r="F186"/>
    </row>
    <row r="187" spans="1:6" ht="15.6" x14ac:dyDescent="0.3">
      <c r="A187" s="113">
        <v>187</v>
      </c>
      <c r="B187" s="113" t="str">
        <f t="shared" si="169"/>
        <v>176</v>
      </c>
      <c r="C187"/>
      <c r="D187"/>
      <c r="E187"/>
      <c r="F187"/>
    </row>
    <row r="188" spans="1:6" ht="15.6" x14ac:dyDescent="0.3">
      <c r="A188" s="113">
        <v>188</v>
      </c>
      <c r="C188"/>
      <c r="D188"/>
      <c r="E188"/>
      <c r="F188"/>
    </row>
    <row r="189" spans="1:6" ht="15.6" x14ac:dyDescent="0.3">
      <c r="A189" s="113">
        <v>189</v>
      </c>
      <c r="B189" s="113" t="str">
        <f>CONCATENATE($A$188,$C$188,C189)</f>
        <v>188</v>
      </c>
      <c r="C189"/>
      <c r="D189"/>
      <c r="E189"/>
      <c r="F189"/>
    </row>
    <row r="190" spans="1:6" ht="15.6" x14ac:dyDescent="0.3">
      <c r="A190" s="113">
        <v>190</v>
      </c>
      <c r="B190" s="113" t="str">
        <f t="shared" ref="B190:B199" si="170">CONCATENATE($A$188,$C$188,C190)</f>
        <v>188</v>
      </c>
      <c r="C190"/>
      <c r="D190"/>
      <c r="E190"/>
      <c r="F190"/>
    </row>
    <row r="191" spans="1:6" ht="15.6" x14ac:dyDescent="0.3">
      <c r="A191" s="113">
        <v>191</v>
      </c>
      <c r="B191" s="113" t="str">
        <f t="shared" si="170"/>
        <v>188</v>
      </c>
      <c r="C191"/>
      <c r="D191"/>
      <c r="E191"/>
      <c r="F191" s="128"/>
    </row>
    <row r="192" spans="1:6" ht="15.6" x14ac:dyDescent="0.3">
      <c r="A192" s="113">
        <v>192</v>
      </c>
      <c r="B192" s="113" t="str">
        <f t="shared" si="170"/>
        <v>188</v>
      </c>
      <c r="C192"/>
      <c r="D192"/>
      <c r="E192"/>
      <c r="F192"/>
    </row>
    <row r="193" spans="1:6" ht="15.6" x14ac:dyDescent="0.3">
      <c r="A193" s="113">
        <v>193</v>
      </c>
      <c r="B193" s="113" t="str">
        <f t="shared" si="170"/>
        <v>188</v>
      </c>
      <c r="C193"/>
      <c r="D193"/>
      <c r="E193"/>
      <c r="F193"/>
    </row>
    <row r="194" spans="1:6" ht="15.6" x14ac:dyDescent="0.3">
      <c r="A194" s="113">
        <v>194</v>
      </c>
      <c r="B194" s="113" t="str">
        <f t="shared" si="170"/>
        <v>188</v>
      </c>
      <c r="C194"/>
      <c r="D194"/>
      <c r="E194"/>
      <c r="F194"/>
    </row>
    <row r="195" spans="1:6" ht="15.6" x14ac:dyDescent="0.3">
      <c r="A195" s="113">
        <v>195</v>
      </c>
      <c r="B195" s="113" t="str">
        <f t="shared" si="170"/>
        <v>188</v>
      </c>
      <c r="C195"/>
      <c r="D195"/>
      <c r="E195"/>
      <c r="F195" s="128"/>
    </row>
    <row r="196" spans="1:6" ht="15.6" x14ac:dyDescent="0.3">
      <c r="A196" s="113">
        <v>196</v>
      </c>
      <c r="B196" s="113" t="str">
        <f t="shared" si="170"/>
        <v>188</v>
      </c>
      <c r="C196"/>
      <c r="D196"/>
      <c r="E196"/>
      <c r="F196"/>
    </row>
    <row r="197" spans="1:6" ht="15.6" x14ac:dyDescent="0.3">
      <c r="A197" s="113">
        <v>197</v>
      </c>
      <c r="B197" s="113" t="str">
        <f t="shared" si="170"/>
        <v>188</v>
      </c>
      <c r="C197"/>
      <c r="D197"/>
      <c r="E197"/>
      <c r="F197"/>
    </row>
    <row r="198" spans="1:6" ht="15.6" x14ac:dyDescent="0.3">
      <c r="A198" s="113">
        <v>198</v>
      </c>
      <c r="B198" s="113" t="str">
        <f t="shared" si="170"/>
        <v>188</v>
      </c>
      <c r="C198"/>
      <c r="D198"/>
      <c r="E198"/>
      <c r="F198"/>
    </row>
    <row r="199" spans="1:6" ht="15.6" x14ac:dyDescent="0.3">
      <c r="A199" s="113">
        <v>199</v>
      </c>
      <c r="B199" s="113" t="str">
        <f t="shared" si="170"/>
        <v>188</v>
      </c>
      <c r="C199"/>
      <c r="D199"/>
      <c r="E199"/>
      <c r="F199"/>
    </row>
    <row r="200" spans="1:6" ht="15.6" x14ac:dyDescent="0.3">
      <c r="A200" s="113">
        <v>200</v>
      </c>
      <c r="C200"/>
      <c r="D200"/>
      <c r="E200"/>
      <c r="F200"/>
    </row>
    <row r="201" spans="1:6" ht="15.6" x14ac:dyDescent="0.3">
      <c r="A201" s="113">
        <v>201</v>
      </c>
      <c r="B201" s="113" t="str">
        <f>CONCATENATE($A$200,$C$200,C201)</f>
        <v>200</v>
      </c>
      <c r="C201"/>
      <c r="D201"/>
      <c r="E201"/>
      <c r="F201"/>
    </row>
    <row r="202" spans="1:6" ht="15.6" x14ac:dyDescent="0.3">
      <c r="A202" s="113">
        <v>202</v>
      </c>
      <c r="B202" s="113" t="str">
        <f t="shared" ref="B202:B211" si="171">CONCATENATE($A$200,$C$200,C202)</f>
        <v>200</v>
      </c>
      <c r="C202"/>
      <c r="D202"/>
      <c r="E202"/>
      <c r="F202" s="128"/>
    </row>
    <row r="203" spans="1:6" ht="15.6" x14ac:dyDescent="0.3">
      <c r="A203" s="113">
        <v>203</v>
      </c>
      <c r="B203" s="113" t="str">
        <f t="shared" si="171"/>
        <v>200</v>
      </c>
      <c r="C203"/>
      <c r="D203"/>
      <c r="E203"/>
      <c r="F203" s="128"/>
    </row>
    <row r="204" spans="1:6" ht="15.6" x14ac:dyDescent="0.3">
      <c r="A204" s="113">
        <v>204</v>
      </c>
      <c r="B204" s="113" t="str">
        <f t="shared" si="171"/>
        <v>200</v>
      </c>
      <c r="C204"/>
      <c r="D204"/>
      <c r="E204"/>
      <c r="F204"/>
    </row>
    <row r="205" spans="1:6" ht="15.6" x14ac:dyDescent="0.3">
      <c r="A205" s="113">
        <v>205</v>
      </c>
      <c r="B205" s="113" t="str">
        <f t="shared" si="171"/>
        <v>200</v>
      </c>
      <c r="C205"/>
      <c r="D205"/>
      <c r="E205"/>
      <c r="F205" s="128"/>
    </row>
    <row r="206" spans="1:6" ht="15.6" x14ac:dyDescent="0.3">
      <c r="A206" s="113">
        <v>206</v>
      </c>
      <c r="B206" s="113" t="str">
        <f t="shared" si="171"/>
        <v>200</v>
      </c>
      <c r="C206"/>
      <c r="D206"/>
      <c r="E206"/>
      <c r="F206"/>
    </row>
    <row r="207" spans="1:6" ht="15.6" x14ac:dyDescent="0.3">
      <c r="A207" s="113">
        <v>207</v>
      </c>
      <c r="B207" s="113" t="str">
        <f t="shared" si="171"/>
        <v>200</v>
      </c>
      <c r="C207"/>
      <c r="D207"/>
      <c r="E207"/>
      <c r="F207"/>
    </row>
    <row r="208" spans="1:6" ht="15.6" x14ac:dyDescent="0.3">
      <c r="A208" s="113">
        <v>208</v>
      </c>
      <c r="B208" s="113" t="str">
        <f t="shared" si="171"/>
        <v>200</v>
      </c>
      <c r="C208"/>
      <c r="D208"/>
      <c r="E208"/>
      <c r="F208"/>
    </row>
    <row r="209" spans="1:6" ht="15.6" x14ac:dyDescent="0.3">
      <c r="A209" s="113">
        <v>209</v>
      </c>
      <c r="B209" s="113" t="str">
        <f t="shared" si="171"/>
        <v>200</v>
      </c>
      <c r="C209"/>
      <c r="D209"/>
      <c r="E209"/>
      <c r="F209"/>
    </row>
    <row r="210" spans="1:6" ht="15.6" x14ac:dyDescent="0.3">
      <c r="A210" s="113">
        <v>210</v>
      </c>
      <c r="B210" s="113" t="str">
        <f t="shared" si="171"/>
        <v>200</v>
      </c>
      <c r="C210"/>
      <c r="D210"/>
      <c r="E210"/>
      <c r="F210"/>
    </row>
    <row r="211" spans="1:6" ht="15.6" x14ac:dyDescent="0.3">
      <c r="A211" s="113">
        <v>211</v>
      </c>
      <c r="B211" s="113" t="str">
        <f t="shared" si="171"/>
        <v>200</v>
      </c>
      <c r="C211"/>
      <c r="D211"/>
      <c r="E211"/>
      <c r="F211"/>
    </row>
    <row r="212" spans="1:6" ht="15.6" x14ac:dyDescent="0.3">
      <c r="A212" s="113">
        <v>212</v>
      </c>
      <c r="C212"/>
      <c r="D212"/>
      <c r="E212"/>
      <c r="F212"/>
    </row>
    <row r="213" spans="1:6" ht="15.6" x14ac:dyDescent="0.3">
      <c r="A213" s="113">
        <v>213</v>
      </c>
      <c r="B213" s="113" t="str">
        <f>CONCATENATE($A$212,$C$212,C213)</f>
        <v>212</v>
      </c>
      <c r="C213"/>
      <c r="D213"/>
      <c r="E213"/>
      <c r="F213"/>
    </row>
    <row r="214" spans="1:6" ht="15.6" x14ac:dyDescent="0.3">
      <c r="A214" s="113">
        <v>214</v>
      </c>
      <c r="B214" s="113" t="str">
        <f t="shared" ref="B214:B223" si="172">CONCATENATE($A$212,$C$212,C214)</f>
        <v>212</v>
      </c>
      <c r="C214"/>
      <c r="D214"/>
      <c r="E214"/>
      <c r="F214" s="128"/>
    </row>
    <row r="215" spans="1:6" ht="15.6" x14ac:dyDescent="0.3">
      <c r="A215" s="113">
        <v>215</v>
      </c>
      <c r="B215" s="113" t="str">
        <f t="shared" si="172"/>
        <v>212</v>
      </c>
      <c r="C215"/>
      <c r="D215"/>
      <c r="E215"/>
      <c r="F215"/>
    </row>
    <row r="216" spans="1:6" ht="15.6" x14ac:dyDescent="0.3">
      <c r="A216" s="113">
        <v>216</v>
      </c>
      <c r="B216" s="113" t="str">
        <f t="shared" si="172"/>
        <v>212</v>
      </c>
      <c r="C216"/>
      <c r="D216"/>
      <c r="E216"/>
      <c r="F216"/>
    </row>
    <row r="217" spans="1:6" ht="15.6" x14ac:dyDescent="0.3">
      <c r="A217" s="113">
        <v>217</v>
      </c>
      <c r="B217" s="113" t="str">
        <f t="shared" si="172"/>
        <v>212</v>
      </c>
      <c r="C217"/>
      <c r="D217"/>
      <c r="E217"/>
      <c r="F217"/>
    </row>
    <row r="218" spans="1:6" ht="15.6" x14ac:dyDescent="0.3">
      <c r="A218" s="113">
        <v>218</v>
      </c>
      <c r="B218" s="113" t="str">
        <f t="shared" si="172"/>
        <v>212</v>
      </c>
      <c r="C218"/>
      <c r="D218"/>
      <c r="E218"/>
      <c r="F218"/>
    </row>
    <row r="219" spans="1:6" ht="15.6" x14ac:dyDescent="0.3">
      <c r="A219" s="113">
        <v>219</v>
      </c>
      <c r="B219" s="113" t="str">
        <f t="shared" si="172"/>
        <v>212</v>
      </c>
      <c r="C219"/>
      <c r="D219"/>
      <c r="E219"/>
      <c r="F219" s="128"/>
    </row>
    <row r="220" spans="1:6" ht="15.6" x14ac:dyDescent="0.3">
      <c r="A220" s="113">
        <v>220</v>
      </c>
      <c r="B220" s="113" t="str">
        <f t="shared" si="172"/>
        <v>212</v>
      </c>
      <c r="C220"/>
      <c r="D220"/>
      <c r="E220"/>
      <c r="F220"/>
    </row>
    <row r="221" spans="1:6" ht="15.6" x14ac:dyDescent="0.3">
      <c r="A221" s="113">
        <v>221</v>
      </c>
      <c r="B221" s="113" t="str">
        <f t="shared" si="172"/>
        <v>212</v>
      </c>
      <c r="C221"/>
      <c r="D221"/>
      <c r="E221"/>
      <c r="F221"/>
    </row>
    <row r="222" spans="1:6" ht="15.6" x14ac:dyDescent="0.3">
      <c r="A222" s="113">
        <v>222</v>
      </c>
      <c r="B222" s="113" t="str">
        <f t="shared" si="172"/>
        <v>212</v>
      </c>
      <c r="C222"/>
      <c r="D222"/>
      <c r="E222"/>
      <c r="F222"/>
    </row>
    <row r="223" spans="1:6" ht="15.6" x14ac:dyDescent="0.3">
      <c r="A223" s="113">
        <v>223</v>
      </c>
      <c r="B223" s="113" t="str">
        <f t="shared" si="172"/>
        <v>212</v>
      </c>
      <c r="C223"/>
      <c r="D223"/>
      <c r="E223"/>
      <c r="F223"/>
    </row>
    <row r="224" spans="1:6" ht="15.6" x14ac:dyDescent="0.3">
      <c r="A224" s="113">
        <v>224</v>
      </c>
      <c r="C224"/>
      <c r="D224"/>
      <c r="E224"/>
      <c r="F224"/>
    </row>
    <row r="225" spans="1:6" ht="15.6" x14ac:dyDescent="0.3">
      <c r="A225" s="113">
        <v>225</v>
      </c>
      <c r="B225" s="113" t="str">
        <f>CONCATENATE($A$224,$C$224,C225)</f>
        <v>224</v>
      </c>
      <c r="C225"/>
      <c r="D225"/>
      <c r="E225"/>
      <c r="F225"/>
    </row>
    <row r="226" spans="1:6" ht="15.6" x14ac:dyDescent="0.3">
      <c r="A226" s="113">
        <v>226</v>
      </c>
      <c r="B226" s="113" t="str">
        <f t="shared" ref="B226:B235" si="173">CONCATENATE($A$224,$C$224,C226)</f>
        <v>224</v>
      </c>
      <c r="C226"/>
      <c r="D226"/>
      <c r="E226"/>
      <c r="F226"/>
    </row>
    <row r="227" spans="1:6" ht="15.6" x14ac:dyDescent="0.3">
      <c r="A227" s="113">
        <v>227</v>
      </c>
      <c r="B227" s="113" t="str">
        <f t="shared" si="173"/>
        <v>224</v>
      </c>
      <c r="C227"/>
      <c r="D227"/>
      <c r="E227"/>
      <c r="F227" s="128"/>
    </row>
    <row r="228" spans="1:6" ht="15.6" x14ac:dyDescent="0.3">
      <c r="A228" s="113">
        <v>228</v>
      </c>
      <c r="B228" s="113" t="str">
        <f t="shared" si="173"/>
        <v>224</v>
      </c>
      <c r="C228"/>
      <c r="D228"/>
      <c r="E228"/>
      <c r="F228" s="128"/>
    </row>
    <row r="229" spans="1:6" ht="15.6" x14ac:dyDescent="0.3">
      <c r="A229" s="113">
        <v>229</v>
      </c>
      <c r="B229" s="113" t="str">
        <f t="shared" si="173"/>
        <v>224</v>
      </c>
      <c r="C229"/>
      <c r="D229"/>
      <c r="E229"/>
      <c r="F229"/>
    </row>
    <row r="230" spans="1:6" ht="15.6" x14ac:dyDescent="0.3">
      <c r="A230" s="113">
        <v>230</v>
      </c>
      <c r="B230" s="113" t="str">
        <f t="shared" si="173"/>
        <v>224</v>
      </c>
      <c r="C230"/>
      <c r="D230"/>
      <c r="E230"/>
      <c r="F230"/>
    </row>
    <row r="231" spans="1:6" ht="15.6" x14ac:dyDescent="0.3">
      <c r="A231" s="113">
        <v>231</v>
      </c>
      <c r="B231" s="113" t="str">
        <f t="shared" si="173"/>
        <v>224</v>
      </c>
      <c r="C231"/>
      <c r="D231"/>
      <c r="E231"/>
      <c r="F231" s="128"/>
    </row>
    <row r="232" spans="1:6" ht="15.6" x14ac:dyDescent="0.3">
      <c r="A232" s="113">
        <v>232</v>
      </c>
      <c r="B232" s="113" t="str">
        <f t="shared" si="173"/>
        <v>224</v>
      </c>
      <c r="C232"/>
      <c r="D232"/>
      <c r="E232"/>
      <c r="F232"/>
    </row>
    <row r="233" spans="1:6" ht="15.6" x14ac:dyDescent="0.3">
      <c r="A233" s="113">
        <v>233</v>
      </c>
      <c r="B233" s="113" t="str">
        <f t="shared" si="173"/>
        <v>224</v>
      </c>
      <c r="C233"/>
      <c r="D233"/>
      <c r="E233"/>
      <c r="F233"/>
    </row>
    <row r="234" spans="1:6" ht="15.6" x14ac:dyDescent="0.3">
      <c r="A234" s="113">
        <v>234</v>
      </c>
      <c r="B234" s="113" t="str">
        <f t="shared" si="173"/>
        <v>224</v>
      </c>
      <c r="C234"/>
      <c r="D234"/>
      <c r="E234"/>
      <c r="F234"/>
    </row>
    <row r="235" spans="1:6" ht="15.6" x14ac:dyDescent="0.3">
      <c r="A235" s="113">
        <v>235</v>
      </c>
      <c r="B235" s="113" t="str">
        <f t="shared" si="173"/>
        <v>224</v>
      </c>
      <c r="C235"/>
      <c r="D235"/>
      <c r="E235"/>
      <c r="F235"/>
    </row>
    <row r="236" spans="1:6" ht="15.6" x14ac:dyDescent="0.3">
      <c r="A236" s="113">
        <v>236</v>
      </c>
      <c r="C236"/>
      <c r="D236"/>
      <c r="E236"/>
      <c r="F236"/>
    </row>
    <row r="237" spans="1:6" ht="15.6" x14ac:dyDescent="0.3">
      <c r="A237" s="113">
        <v>237</v>
      </c>
      <c r="B237" s="113" t="str">
        <f>CONCATENATE($A$236,$C$236,C237)</f>
        <v>236</v>
      </c>
      <c r="C237"/>
      <c r="D237"/>
      <c r="E237"/>
      <c r="F237"/>
    </row>
    <row r="238" spans="1:6" ht="15.6" x14ac:dyDescent="0.3">
      <c r="A238" s="113">
        <v>238</v>
      </c>
      <c r="B238" s="113" t="str">
        <f t="shared" ref="B238:B247" si="174">CONCATENATE($A$236,$C$236,C238)</f>
        <v>236</v>
      </c>
      <c r="C238"/>
      <c r="D238"/>
      <c r="E238"/>
      <c r="F238"/>
    </row>
    <row r="239" spans="1:6" ht="15.6" x14ac:dyDescent="0.3">
      <c r="A239" s="113">
        <v>239</v>
      </c>
      <c r="B239" s="113" t="str">
        <f t="shared" si="174"/>
        <v>236</v>
      </c>
      <c r="C239"/>
      <c r="D239"/>
      <c r="E239"/>
      <c r="F239" s="128"/>
    </row>
    <row r="240" spans="1:6" ht="15.6" x14ac:dyDescent="0.3">
      <c r="A240" s="113">
        <v>240</v>
      </c>
      <c r="B240" s="113" t="str">
        <f t="shared" si="174"/>
        <v>236</v>
      </c>
      <c r="C240"/>
      <c r="D240"/>
      <c r="E240"/>
      <c r="F240" s="128"/>
    </row>
    <row r="241" spans="1:6" ht="15.6" x14ac:dyDescent="0.3">
      <c r="A241" s="113">
        <v>241</v>
      </c>
      <c r="B241" s="113" t="str">
        <f t="shared" si="174"/>
        <v>236</v>
      </c>
      <c r="C241"/>
      <c r="D241"/>
      <c r="E241"/>
      <c r="F241"/>
    </row>
    <row r="242" spans="1:6" ht="15.6" x14ac:dyDescent="0.3">
      <c r="A242" s="113">
        <v>242</v>
      </c>
      <c r="B242" s="113" t="str">
        <f t="shared" si="174"/>
        <v>236</v>
      </c>
      <c r="C242"/>
      <c r="D242"/>
      <c r="E242"/>
      <c r="F242" s="128"/>
    </row>
    <row r="243" spans="1:6" ht="15.6" x14ac:dyDescent="0.3">
      <c r="A243" s="113">
        <v>243</v>
      </c>
      <c r="B243" s="113" t="str">
        <f t="shared" si="174"/>
        <v>236</v>
      </c>
      <c r="C243"/>
      <c r="D243"/>
      <c r="E243"/>
      <c r="F243"/>
    </row>
    <row r="244" spans="1:6" ht="15.6" x14ac:dyDescent="0.3">
      <c r="A244" s="113">
        <v>244</v>
      </c>
      <c r="B244" s="113" t="str">
        <f t="shared" si="174"/>
        <v>236</v>
      </c>
      <c r="C244"/>
      <c r="D244"/>
      <c r="E244"/>
      <c r="F244"/>
    </row>
    <row r="245" spans="1:6" ht="15.6" x14ac:dyDescent="0.3">
      <c r="A245" s="113">
        <v>245</v>
      </c>
      <c r="B245" s="113" t="str">
        <f t="shared" si="174"/>
        <v>236</v>
      </c>
      <c r="C245"/>
      <c r="D245"/>
      <c r="E245"/>
      <c r="F245"/>
    </row>
    <row r="246" spans="1:6" ht="15.6" x14ac:dyDescent="0.3">
      <c r="A246" s="113">
        <v>246</v>
      </c>
      <c r="B246" s="113" t="str">
        <f t="shared" si="174"/>
        <v>236</v>
      </c>
      <c r="C246"/>
      <c r="D246"/>
      <c r="E246"/>
      <c r="F246"/>
    </row>
    <row r="247" spans="1:6" ht="15.6" x14ac:dyDescent="0.3">
      <c r="A247" s="113">
        <v>247</v>
      </c>
      <c r="B247" s="113" t="str">
        <f t="shared" si="174"/>
        <v>236</v>
      </c>
      <c r="C247"/>
      <c r="D247"/>
      <c r="E247"/>
      <c r="F247"/>
    </row>
    <row r="248" spans="1:6" ht="15.6" x14ac:dyDescent="0.3">
      <c r="A248" s="113">
        <v>248</v>
      </c>
      <c r="C248"/>
      <c r="D248"/>
      <c r="E248"/>
      <c r="F248"/>
    </row>
    <row r="249" spans="1:6" ht="15.6" x14ac:dyDescent="0.3">
      <c r="A249" s="113">
        <v>249</v>
      </c>
      <c r="B249" s="113" t="str">
        <f>CONCATENATE($A$248,$C$248,C249)</f>
        <v>248</v>
      </c>
      <c r="C249"/>
      <c r="D249"/>
      <c r="E249"/>
      <c r="F249"/>
    </row>
    <row r="250" spans="1:6" ht="15.6" x14ac:dyDescent="0.3">
      <c r="A250" s="113">
        <v>250</v>
      </c>
      <c r="B250" s="113" t="str">
        <f t="shared" ref="B250:B259" si="175">CONCATENATE($A$248,$C$248,C250)</f>
        <v>248</v>
      </c>
      <c r="C250"/>
      <c r="D250"/>
      <c r="E250"/>
      <c r="F250"/>
    </row>
    <row r="251" spans="1:6" ht="15.6" x14ac:dyDescent="0.3">
      <c r="A251" s="113">
        <v>251</v>
      </c>
      <c r="B251" s="113" t="str">
        <f t="shared" si="175"/>
        <v>248</v>
      </c>
      <c r="C251"/>
      <c r="D251"/>
      <c r="E251"/>
      <c r="F251"/>
    </row>
    <row r="252" spans="1:6" ht="15.6" x14ac:dyDescent="0.3">
      <c r="A252" s="113">
        <v>252</v>
      </c>
      <c r="B252" s="113" t="str">
        <f t="shared" si="175"/>
        <v>248</v>
      </c>
      <c r="C252"/>
      <c r="D252"/>
      <c r="E252"/>
      <c r="F252"/>
    </row>
    <row r="253" spans="1:6" ht="15.6" x14ac:dyDescent="0.3">
      <c r="A253" s="113">
        <v>253</v>
      </c>
      <c r="B253" s="113" t="str">
        <f t="shared" si="175"/>
        <v>248</v>
      </c>
      <c r="C253"/>
      <c r="D253"/>
      <c r="E253"/>
      <c r="F253"/>
    </row>
    <row r="254" spans="1:6" ht="15.6" x14ac:dyDescent="0.3">
      <c r="A254" s="113">
        <v>254</v>
      </c>
      <c r="B254" s="113" t="str">
        <f t="shared" si="175"/>
        <v>248</v>
      </c>
      <c r="C254"/>
      <c r="D254"/>
      <c r="E254"/>
      <c r="F254"/>
    </row>
    <row r="255" spans="1:6" ht="15.6" x14ac:dyDescent="0.3">
      <c r="A255" s="113">
        <v>255</v>
      </c>
      <c r="B255" s="113" t="str">
        <f t="shared" si="175"/>
        <v>248</v>
      </c>
      <c r="C255"/>
      <c r="D255"/>
      <c r="E255"/>
      <c r="F255"/>
    </row>
    <row r="256" spans="1:6" ht="15.6" x14ac:dyDescent="0.3">
      <c r="A256" s="113">
        <v>256</v>
      </c>
      <c r="B256" s="113" t="str">
        <f t="shared" si="175"/>
        <v>248</v>
      </c>
      <c r="C256"/>
      <c r="D256"/>
      <c r="E256"/>
      <c r="F256"/>
    </row>
    <row r="257" spans="1:6" ht="15.6" x14ac:dyDescent="0.3">
      <c r="A257" s="113">
        <v>257</v>
      </c>
      <c r="B257" s="113" t="str">
        <f t="shared" si="175"/>
        <v>248</v>
      </c>
      <c r="C257"/>
      <c r="D257"/>
      <c r="E257"/>
      <c r="F257"/>
    </row>
    <row r="258" spans="1:6" ht="15.6" x14ac:dyDescent="0.3">
      <c r="A258" s="113">
        <v>258</v>
      </c>
      <c r="B258" s="113" t="str">
        <f t="shared" si="175"/>
        <v>248</v>
      </c>
      <c r="C258"/>
      <c r="D258"/>
      <c r="E258"/>
      <c r="F258"/>
    </row>
    <row r="259" spans="1:6" ht="15.6" x14ac:dyDescent="0.3">
      <c r="A259" s="113">
        <v>259</v>
      </c>
      <c r="B259" s="113" t="str">
        <f t="shared" si="175"/>
        <v>248</v>
      </c>
      <c r="C259"/>
      <c r="D259"/>
      <c r="E259"/>
      <c r="F259"/>
    </row>
    <row r="260" spans="1:6" ht="15.6" x14ac:dyDescent="0.3">
      <c r="A260" s="113">
        <v>260</v>
      </c>
      <c r="C260"/>
      <c r="D260"/>
      <c r="E260"/>
      <c r="F260"/>
    </row>
    <row r="261" spans="1:6" ht="15.6" x14ac:dyDescent="0.3">
      <c r="A261" s="113">
        <v>261</v>
      </c>
      <c r="B261" s="113" t="str">
        <f>CONCATENATE($A$260,$C$260,C261)</f>
        <v>260</v>
      </c>
      <c r="C261"/>
      <c r="D261"/>
      <c r="E261"/>
      <c r="F261"/>
    </row>
    <row r="262" spans="1:6" ht="15.6" x14ac:dyDescent="0.3">
      <c r="A262" s="113">
        <v>262</v>
      </c>
      <c r="B262" s="113" t="str">
        <f t="shared" ref="B262:B271" si="176">CONCATENATE($A$260,$C$260,C262)</f>
        <v>260</v>
      </c>
      <c r="C262"/>
      <c r="D262"/>
      <c r="E262"/>
      <c r="F262"/>
    </row>
    <row r="263" spans="1:6" ht="15.6" x14ac:dyDescent="0.3">
      <c r="A263" s="113">
        <v>263</v>
      </c>
      <c r="B263" s="113" t="str">
        <f t="shared" si="176"/>
        <v>260</v>
      </c>
      <c r="C263"/>
      <c r="D263"/>
      <c r="E263"/>
      <c r="F263"/>
    </row>
    <row r="264" spans="1:6" ht="15.6" x14ac:dyDescent="0.3">
      <c r="A264" s="113">
        <v>264</v>
      </c>
      <c r="B264" s="113" t="str">
        <f t="shared" si="176"/>
        <v>260</v>
      </c>
      <c r="C264"/>
      <c r="D264"/>
      <c r="E264"/>
      <c r="F264"/>
    </row>
    <row r="265" spans="1:6" ht="15.6" x14ac:dyDescent="0.3">
      <c r="A265" s="113">
        <v>265</v>
      </c>
      <c r="B265" s="113" t="str">
        <f t="shared" si="176"/>
        <v>260</v>
      </c>
      <c r="C265"/>
      <c r="D265"/>
      <c r="E265"/>
      <c r="F265"/>
    </row>
    <row r="266" spans="1:6" ht="15.6" x14ac:dyDescent="0.3">
      <c r="A266" s="113">
        <v>266</v>
      </c>
      <c r="B266" s="113" t="str">
        <f t="shared" si="176"/>
        <v>260</v>
      </c>
      <c r="C266"/>
      <c r="D266"/>
      <c r="E266"/>
      <c r="F266"/>
    </row>
    <row r="267" spans="1:6" ht="15.6" x14ac:dyDescent="0.3">
      <c r="A267" s="113">
        <v>267</v>
      </c>
      <c r="B267" s="113" t="str">
        <f t="shared" si="176"/>
        <v>260</v>
      </c>
      <c r="C267"/>
      <c r="D267"/>
      <c r="E267"/>
      <c r="F267"/>
    </row>
    <row r="268" spans="1:6" ht="15.6" x14ac:dyDescent="0.3">
      <c r="A268" s="113">
        <v>268</v>
      </c>
      <c r="B268" s="113" t="str">
        <f t="shared" si="176"/>
        <v>260</v>
      </c>
      <c r="C268"/>
      <c r="D268"/>
      <c r="E268"/>
      <c r="F268" s="128"/>
    </row>
    <row r="269" spans="1:6" ht="15.6" x14ac:dyDescent="0.3">
      <c r="A269" s="113">
        <v>269</v>
      </c>
      <c r="B269" s="113" t="str">
        <f t="shared" si="176"/>
        <v>260</v>
      </c>
      <c r="C269"/>
      <c r="D269"/>
      <c r="E269"/>
      <c r="F269"/>
    </row>
    <row r="270" spans="1:6" ht="15.6" x14ac:dyDescent="0.3">
      <c r="A270" s="113">
        <v>270</v>
      </c>
      <c r="B270" s="113" t="str">
        <f t="shared" si="176"/>
        <v>260</v>
      </c>
      <c r="C270"/>
      <c r="D270"/>
      <c r="E270"/>
      <c r="F270"/>
    </row>
    <row r="271" spans="1:6" ht="15.6" x14ac:dyDescent="0.3">
      <c r="A271" s="113">
        <v>271</v>
      </c>
      <c r="B271" s="113" t="str">
        <f t="shared" si="176"/>
        <v>260</v>
      </c>
      <c r="C271"/>
      <c r="D271"/>
      <c r="E271"/>
      <c r="F271"/>
    </row>
    <row r="272" spans="1:6" ht="15.6" x14ac:dyDescent="0.3">
      <c r="A272" s="113">
        <v>272</v>
      </c>
      <c r="C272"/>
      <c r="D272"/>
      <c r="E272"/>
      <c r="F272"/>
    </row>
    <row r="273" spans="1:6" ht="15.6" x14ac:dyDescent="0.3">
      <c r="A273" s="113">
        <v>273</v>
      </c>
      <c r="B273" s="113" t="str">
        <f>CONCATENATE($A$272,$C$272,C273)</f>
        <v>272</v>
      </c>
      <c r="C273"/>
      <c r="D273"/>
      <c r="E273"/>
      <c r="F273"/>
    </row>
    <row r="274" spans="1:6" ht="15.6" x14ac:dyDescent="0.3">
      <c r="A274" s="113">
        <v>274</v>
      </c>
      <c r="B274" s="113" t="str">
        <f t="shared" ref="B274:B283" si="177">CONCATENATE($A$272,$C$272,C274)</f>
        <v>272</v>
      </c>
      <c r="C274"/>
      <c r="D274"/>
      <c r="E274"/>
      <c r="F274"/>
    </row>
    <row r="275" spans="1:6" ht="15.6" x14ac:dyDescent="0.3">
      <c r="A275" s="113">
        <v>275</v>
      </c>
      <c r="B275" s="113" t="str">
        <f t="shared" si="177"/>
        <v>272</v>
      </c>
      <c r="C275"/>
      <c r="D275"/>
      <c r="E275"/>
      <c r="F275" s="128"/>
    </row>
    <row r="276" spans="1:6" ht="15.6" x14ac:dyDescent="0.3">
      <c r="A276" s="113">
        <v>276</v>
      </c>
      <c r="B276" s="113" t="str">
        <f t="shared" si="177"/>
        <v>272</v>
      </c>
      <c r="C276"/>
      <c r="D276"/>
      <c r="E276"/>
      <c r="F276"/>
    </row>
    <row r="277" spans="1:6" ht="15.6" x14ac:dyDescent="0.3">
      <c r="A277" s="113">
        <v>277</v>
      </c>
      <c r="B277" s="113" t="str">
        <f t="shared" si="177"/>
        <v>272</v>
      </c>
      <c r="C277"/>
      <c r="D277"/>
      <c r="E277"/>
      <c r="F277"/>
    </row>
    <row r="278" spans="1:6" ht="15.6" x14ac:dyDescent="0.3">
      <c r="A278" s="113">
        <v>278</v>
      </c>
      <c r="B278" s="113" t="str">
        <f t="shared" si="177"/>
        <v>272</v>
      </c>
      <c r="C278"/>
      <c r="D278"/>
      <c r="E278"/>
      <c r="F278"/>
    </row>
    <row r="279" spans="1:6" ht="15.6" x14ac:dyDescent="0.3">
      <c r="A279" s="113">
        <v>279</v>
      </c>
      <c r="B279" s="113" t="str">
        <f t="shared" si="177"/>
        <v>272</v>
      </c>
      <c r="C279"/>
      <c r="D279"/>
      <c r="E279"/>
      <c r="F279"/>
    </row>
    <row r="280" spans="1:6" ht="15.6" x14ac:dyDescent="0.3">
      <c r="A280" s="113">
        <v>280</v>
      </c>
      <c r="B280" s="113" t="str">
        <f t="shared" si="177"/>
        <v>272</v>
      </c>
      <c r="C280"/>
      <c r="D280"/>
      <c r="E280"/>
      <c r="F280"/>
    </row>
    <row r="281" spans="1:6" ht="15.6" x14ac:dyDescent="0.3">
      <c r="A281" s="113">
        <v>281</v>
      </c>
      <c r="B281" s="113" t="str">
        <f t="shared" si="177"/>
        <v>272</v>
      </c>
      <c r="C281"/>
      <c r="D281"/>
      <c r="E281"/>
      <c r="F281"/>
    </row>
    <row r="282" spans="1:6" ht="15.6" x14ac:dyDescent="0.3">
      <c r="A282" s="113">
        <v>282</v>
      </c>
      <c r="B282" s="113" t="str">
        <f t="shared" si="177"/>
        <v>272</v>
      </c>
      <c r="C282"/>
      <c r="D282"/>
      <c r="E282"/>
      <c r="F282"/>
    </row>
    <row r="283" spans="1:6" ht="15.6" x14ac:dyDescent="0.3">
      <c r="A283" s="113">
        <v>283</v>
      </c>
      <c r="B283" s="113" t="str">
        <f t="shared" si="177"/>
        <v>272</v>
      </c>
      <c r="C283"/>
      <c r="D283"/>
      <c r="E283"/>
      <c r="F283"/>
    </row>
    <row r="284" spans="1:6" ht="15.6" x14ac:dyDescent="0.3">
      <c r="A284" s="113">
        <v>284</v>
      </c>
      <c r="C284"/>
      <c r="D284"/>
      <c r="E284"/>
      <c r="F284"/>
    </row>
    <row r="285" spans="1:6" ht="15.6" x14ac:dyDescent="0.3">
      <c r="A285" s="113">
        <v>285</v>
      </c>
      <c r="B285" s="113" t="str">
        <f>CONCATENATE($A$284,$C$284,C285)</f>
        <v>284</v>
      </c>
      <c r="C285"/>
      <c r="D285"/>
      <c r="E285"/>
      <c r="F285"/>
    </row>
    <row r="286" spans="1:6" ht="15.6" x14ac:dyDescent="0.3">
      <c r="A286" s="113">
        <v>286</v>
      </c>
      <c r="B286" s="113" t="str">
        <f t="shared" ref="B286:B295" si="178">CONCATENATE($A$284,$C$284,C286)</f>
        <v>284</v>
      </c>
      <c r="C286"/>
      <c r="D286"/>
      <c r="E286"/>
      <c r="F286"/>
    </row>
    <row r="287" spans="1:6" ht="15.6" x14ac:dyDescent="0.3">
      <c r="A287" s="113">
        <v>287</v>
      </c>
      <c r="B287" s="113" t="str">
        <f t="shared" si="178"/>
        <v>284</v>
      </c>
      <c r="C287"/>
      <c r="D287"/>
      <c r="E287"/>
      <c r="F287" s="128"/>
    </row>
    <row r="288" spans="1:6" ht="15.6" x14ac:dyDescent="0.3">
      <c r="A288" s="113">
        <v>288</v>
      </c>
      <c r="B288" s="113" t="str">
        <f t="shared" si="178"/>
        <v>284</v>
      </c>
      <c r="C288"/>
      <c r="D288"/>
      <c r="E288"/>
      <c r="F288"/>
    </row>
    <row r="289" spans="1:6" ht="15.6" x14ac:dyDescent="0.3">
      <c r="A289" s="113">
        <v>289</v>
      </c>
      <c r="B289" s="113" t="str">
        <f t="shared" si="178"/>
        <v>284</v>
      </c>
      <c r="C289"/>
      <c r="D289"/>
      <c r="E289"/>
      <c r="F289"/>
    </row>
    <row r="290" spans="1:6" ht="15.6" x14ac:dyDescent="0.3">
      <c r="A290" s="113">
        <v>290</v>
      </c>
      <c r="B290" s="113" t="str">
        <f t="shared" si="178"/>
        <v>284</v>
      </c>
      <c r="C290"/>
      <c r="D290"/>
      <c r="E290"/>
      <c r="F290" s="128"/>
    </row>
    <row r="291" spans="1:6" ht="15.6" x14ac:dyDescent="0.3">
      <c r="A291" s="113">
        <v>291</v>
      </c>
      <c r="B291" s="113" t="str">
        <f t="shared" si="178"/>
        <v>284</v>
      </c>
      <c r="C291"/>
      <c r="D291"/>
      <c r="E291"/>
      <c r="F291"/>
    </row>
    <row r="292" spans="1:6" ht="15.6" x14ac:dyDescent="0.3">
      <c r="A292" s="113">
        <v>292</v>
      </c>
      <c r="B292" s="113" t="str">
        <f t="shared" si="178"/>
        <v>284</v>
      </c>
      <c r="C292"/>
      <c r="D292"/>
      <c r="E292"/>
      <c r="F292"/>
    </row>
    <row r="293" spans="1:6" ht="15.6" x14ac:dyDescent="0.3">
      <c r="A293" s="113">
        <v>293</v>
      </c>
      <c r="B293" s="113" t="str">
        <f t="shared" si="178"/>
        <v>284</v>
      </c>
      <c r="C293"/>
      <c r="D293"/>
      <c r="E293"/>
      <c r="F293"/>
    </row>
    <row r="294" spans="1:6" ht="15.6" x14ac:dyDescent="0.3">
      <c r="A294" s="113">
        <v>294</v>
      </c>
      <c r="B294" s="113" t="str">
        <f t="shared" si="178"/>
        <v>284</v>
      </c>
      <c r="C294"/>
      <c r="D294"/>
      <c r="E294"/>
      <c r="F294"/>
    </row>
    <row r="295" spans="1:6" ht="15.6" x14ac:dyDescent="0.3">
      <c r="A295" s="113">
        <v>295</v>
      </c>
      <c r="B295" s="113" t="str">
        <f t="shared" si="178"/>
        <v>284</v>
      </c>
      <c r="C295"/>
      <c r="D295"/>
      <c r="E295"/>
      <c r="F295"/>
    </row>
    <row r="296" spans="1:6" ht="15.6" x14ac:dyDescent="0.3">
      <c r="A296" s="113">
        <v>296</v>
      </c>
      <c r="C296"/>
      <c r="D296"/>
      <c r="E296"/>
      <c r="F296"/>
    </row>
    <row r="297" spans="1:6" ht="15.6" x14ac:dyDescent="0.3">
      <c r="A297" s="113">
        <v>297</v>
      </c>
      <c r="B297" s="113" t="str">
        <f>CONCATENATE($A$296,$C$296,C297)</f>
        <v>296</v>
      </c>
      <c r="C297"/>
      <c r="D297"/>
      <c r="E297"/>
      <c r="F297"/>
    </row>
    <row r="298" spans="1:6" ht="15.6" x14ac:dyDescent="0.3">
      <c r="A298" s="113">
        <v>298</v>
      </c>
      <c r="B298" s="113" t="str">
        <f t="shared" ref="B298:B307" si="179">CONCATENATE($A$296,$C$296,C298)</f>
        <v>296</v>
      </c>
      <c r="C298"/>
      <c r="D298"/>
      <c r="E298"/>
      <c r="F298"/>
    </row>
    <row r="299" spans="1:6" ht="15.6" x14ac:dyDescent="0.3">
      <c r="A299" s="113">
        <v>299</v>
      </c>
      <c r="B299" s="113" t="str">
        <f t="shared" si="179"/>
        <v>296</v>
      </c>
      <c r="C299"/>
      <c r="D299"/>
      <c r="E299"/>
      <c r="F299"/>
    </row>
    <row r="300" spans="1:6" ht="15.6" x14ac:dyDescent="0.3">
      <c r="A300" s="113">
        <v>300</v>
      </c>
      <c r="B300" s="113" t="str">
        <f t="shared" si="179"/>
        <v>296</v>
      </c>
      <c r="C300"/>
      <c r="D300"/>
      <c r="E300"/>
      <c r="F300"/>
    </row>
    <row r="301" spans="1:6" ht="15.6" x14ac:dyDescent="0.3">
      <c r="A301" s="113">
        <v>301</v>
      </c>
      <c r="B301" s="113" t="str">
        <f t="shared" si="179"/>
        <v>296</v>
      </c>
      <c r="C301"/>
      <c r="D301"/>
      <c r="E301"/>
      <c r="F301"/>
    </row>
    <row r="302" spans="1:6" ht="15.6" x14ac:dyDescent="0.3">
      <c r="A302" s="113">
        <v>302</v>
      </c>
      <c r="B302" s="113" t="str">
        <f t="shared" si="179"/>
        <v>296</v>
      </c>
      <c r="C302"/>
      <c r="D302"/>
      <c r="E302"/>
      <c r="F302"/>
    </row>
    <row r="303" spans="1:6" ht="15.6" x14ac:dyDescent="0.3">
      <c r="A303" s="113">
        <v>303</v>
      </c>
      <c r="B303" s="113" t="str">
        <f t="shared" si="179"/>
        <v>296</v>
      </c>
      <c r="C303"/>
      <c r="D303"/>
      <c r="E303"/>
      <c r="F303"/>
    </row>
    <row r="304" spans="1:6" ht="15.6" x14ac:dyDescent="0.3">
      <c r="A304" s="113">
        <v>304</v>
      </c>
      <c r="B304" s="113" t="str">
        <f t="shared" si="179"/>
        <v>296</v>
      </c>
      <c r="C304"/>
      <c r="D304"/>
      <c r="E304"/>
      <c r="F304"/>
    </row>
    <row r="305" spans="1:6" ht="15.6" x14ac:dyDescent="0.3">
      <c r="A305" s="113">
        <v>305</v>
      </c>
      <c r="B305" s="113" t="str">
        <f t="shared" si="179"/>
        <v>296</v>
      </c>
      <c r="C305"/>
      <c r="D305"/>
      <c r="E305"/>
      <c r="F305"/>
    </row>
    <row r="306" spans="1:6" ht="15.6" x14ac:dyDescent="0.3">
      <c r="A306" s="113">
        <v>306</v>
      </c>
      <c r="B306" s="113" t="str">
        <f t="shared" si="179"/>
        <v>296</v>
      </c>
      <c r="C306"/>
      <c r="D306"/>
      <c r="E306"/>
      <c r="F306"/>
    </row>
    <row r="307" spans="1:6" ht="15.6" x14ac:dyDescent="0.3">
      <c r="A307" s="113">
        <v>307</v>
      </c>
      <c r="B307" s="113" t="str">
        <f t="shared" si="179"/>
        <v>296</v>
      </c>
      <c r="C307"/>
      <c r="D307"/>
      <c r="E307"/>
      <c r="F307"/>
    </row>
    <row r="308" spans="1:6" ht="15.6" x14ac:dyDescent="0.3">
      <c r="A308" s="113">
        <v>308</v>
      </c>
      <c r="C308"/>
      <c r="D308"/>
      <c r="E308"/>
      <c r="F308"/>
    </row>
    <row r="309" spans="1:6" ht="15.6" x14ac:dyDescent="0.3">
      <c r="A309" s="113">
        <v>309</v>
      </c>
      <c r="B309" s="113" t="str">
        <f>CONCATENATE($A$308,$C$308,C309)</f>
        <v>308</v>
      </c>
      <c r="C309"/>
      <c r="D309"/>
      <c r="E309"/>
      <c r="F309"/>
    </row>
    <row r="310" spans="1:6" ht="15.6" x14ac:dyDescent="0.3">
      <c r="A310" s="113">
        <v>310</v>
      </c>
      <c r="B310" s="113" t="str">
        <f t="shared" ref="B310:B319" si="180">CONCATENATE($A$308,$C$308,C310)</f>
        <v>308</v>
      </c>
      <c r="C310"/>
      <c r="D310"/>
      <c r="E310"/>
      <c r="F310"/>
    </row>
    <row r="311" spans="1:6" ht="15.6" x14ac:dyDescent="0.3">
      <c r="A311" s="113">
        <v>311</v>
      </c>
      <c r="B311" s="113" t="str">
        <f t="shared" si="180"/>
        <v>308</v>
      </c>
      <c r="C311"/>
      <c r="D311"/>
      <c r="E311"/>
      <c r="F311" s="128"/>
    </row>
    <row r="312" spans="1:6" ht="15.6" x14ac:dyDescent="0.3">
      <c r="A312" s="113">
        <v>312</v>
      </c>
      <c r="B312" s="113" t="str">
        <f t="shared" si="180"/>
        <v>308</v>
      </c>
      <c r="C312"/>
      <c r="D312"/>
      <c r="E312"/>
      <c r="F312"/>
    </row>
    <row r="313" spans="1:6" ht="15.6" x14ac:dyDescent="0.3">
      <c r="A313" s="113">
        <v>313</v>
      </c>
      <c r="B313" s="113" t="str">
        <f t="shared" si="180"/>
        <v>308</v>
      </c>
      <c r="C313"/>
      <c r="D313"/>
      <c r="E313"/>
      <c r="F313"/>
    </row>
    <row r="314" spans="1:6" ht="15.6" x14ac:dyDescent="0.3">
      <c r="A314" s="113">
        <v>314</v>
      </c>
      <c r="B314" s="113" t="str">
        <f t="shared" si="180"/>
        <v>308</v>
      </c>
      <c r="C314"/>
      <c r="D314"/>
      <c r="E314"/>
      <c r="F314"/>
    </row>
    <row r="315" spans="1:6" ht="15.6" x14ac:dyDescent="0.3">
      <c r="A315" s="113">
        <v>315</v>
      </c>
      <c r="B315" s="113" t="str">
        <f t="shared" si="180"/>
        <v>308</v>
      </c>
      <c r="C315"/>
      <c r="D315"/>
      <c r="E315"/>
      <c r="F315"/>
    </row>
    <row r="316" spans="1:6" ht="15.6" x14ac:dyDescent="0.3">
      <c r="A316" s="113">
        <v>316</v>
      </c>
      <c r="B316" s="113" t="str">
        <f t="shared" si="180"/>
        <v>308</v>
      </c>
      <c r="C316"/>
      <c r="D316"/>
      <c r="E316"/>
      <c r="F316"/>
    </row>
    <row r="317" spans="1:6" ht="15.6" x14ac:dyDescent="0.3">
      <c r="A317" s="113">
        <v>317</v>
      </c>
      <c r="B317" s="113" t="str">
        <f t="shared" si="180"/>
        <v>308</v>
      </c>
      <c r="C317"/>
      <c r="D317"/>
      <c r="E317"/>
      <c r="F317"/>
    </row>
    <row r="318" spans="1:6" ht="15.6" x14ac:dyDescent="0.3">
      <c r="A318" s="113">
        <v>318</v>
      </c>
      <c r="B318" s="113" t="str">
        <f t="shared" si="180"/>
        <v>308</v>
      </c>
      <c r="C318"/>
      <c r="D318"/>
      <c r="E318"/>
      <c r="F318"/>
    </row>
    <row r="319" spans="1:6" ht="15.6" x14ac:dyDescent="0.3">
      <c r="A319" s="113">
        <v>319</v>
      </c>
      <c r="B319" s="113" t="str">
        <f t="shared" si="180"/>
        <v>308</v>
      </c>
      <c r="C319"/>
      <c r="D319"/>
      <c r="E319"/>
      <c r="F319"/>
    </row>
    <row r="320" spans="1:6" ht="15.6" x14ac:dyDescent="0.3">
      <c r="A320" s="113">
        <v>320</v>
      </c>
      <c r="C320"/>
      <c r="D320"/>
      <c r="E320"/>
      <c r="F320"/>
    </row>
    <row r="321" spans="1:6" ht="15.6" x14ac:dyDescent="0.3">
      <c r="A321" s="113">
        <v>321</v>
      </c>
      <c r="B321" s="113" t="str">
        <f>CONCATENATE($A$320,$C$320,C321)</f>
        <v>320</v>
      </c>
      <c r="C321"/>
      <c r="D321"/>
      <c r="E321"/>
      <c r="F321"/>
    </row>
    <row r="322" spans="1:6" ht="15.6" x14ac:dyDescent="0.3">
      <c r="A322" s="113">
        <v>322</v>
      </c>
      <c r="B322" s="113" t="str">
        <f t="shared" ref="B322:B331" si="181">CONCATENATE($A$320,$C$320,C322)</f>
        <v>320</v>
      </c>
      <c r="C322"/>
      <c r="D322"/>
      <c r="E322"/>
      <c r="F322"/>
    </row>
    <row r="323" spans="1:6" ht="15.6" x14ac:dyDescent="0.3">
      <c r="A323" s="113">
        <v>323</v>
      </c>
      <c r="B323" s="113" t="str">
        <f t="shared" si="181"/>
        <v>320</v>
      </c>
      <c r="C323"/>
      <c r="D323"/>
      <c r="E323"/>
      <c r="F323"/>
    </row>
    <row r="324" spans="1:6" ht="15.6" x14ac:dyDescent="0.3">
      <c r="A324" s="113">
        <v>324</v>
      </c>
      <c r="B324" s="113" t="str">
        <f t="shared" si="181"/>
        <v>320</v>
      </c>
      <c r="C324"/>
      <c r="D324"/>
      <c r="E324"/>
      <c r="F324"/>
    </row>
    <row r="325" spans="1:6" ht="15.6" x14ac:dyDescent="0.3">
      <c r="A325" s="113">
        <v>325</v>
      </c>
      <c r="B325" s="113" t="str">
        <f t="shared" si="181"/>
        <v>320</v>
      </c>
      <c r="C325"/>
      <c r="D325"/>
      <c r="E325"/>
      <c r="F325"/>
    </row>
    <row r="326" spans="1:6" ht="15.6" x14ac:dyDescent="0.3">
      <c r="A326" s="113">
        <v>326</v>
      </c>
      <c r="B326" s="113" t="str">
        <f t="shared" si="181"/>
        <v>320</v>
      </c>
      <c r="C326"/>
      <c r="D326"/>
      <c r="E326"/>
      <c r="F326"/>
    </row>
    <row r="327" spans="1:6" ht="15.6" x14ac:dyDescent="0.3">
      <c r="A327" s="113">
        <v>327</v>
      </c>
      <c r="B327" s="113" t="str">
        <f t="shared" si="181"/>
        <v>320</v>
      </c>
      <c r="C327"/>
      <c r="D327"/>
      <c r="E327"/>
      <c r="F327"/>
    </row>
    <row r="328" spans="1:6" ht="15.6" x14ac:dyDescent="0.3">
      <c r="A328" s="113">
        <v>328</v>
      </c>
      <c r="B328" s="113" t="str">
        <f t="shared" si="181"/>
        <v>320</v>
      </c>
      <c r="C328"/>
      <c r="D328"/>
      <c r="E328"/>
      <c r="F328"/>
    </row>
    <row r="329" spans="1:6" ht="15.6" x14ac:dyDescent="0.3">
      <c r="A329" s="113">
        <v>329</v>
      </c>
      <c r="B329" s="113" t="str">
        <f t="shared" si="181"/>
        <v>320</v>
      </c>
      <c r="C329"/>
      <c r="D329"/>
      <c r="E329"/>
      <c r="F329"/>
    </row>
    <row r="330" spans="1:6" ht="15.6" x14ac:dyDescent="0.3">
      <c r="A330" s="113">
        <v>330</v>
      </c>
      <c r="B330" s="113" t="str">
        <f t="shared" si="181"/>
        <v>320</v>
      </c>
      <c r="C330"/>
      <c r="D330"/>
      <c r="E330"/>
      <c r="F330"/>
    </row>
    <row r="331" spans="1:6" ht="15.6" x14ac:dyDescent="0.3">
      <c r="A331" s="113">
        <v>331</v>
      </c>
      <c r="B331" s="113" t="str">
        <f t="shared" si="181"/>
        <v>320</v>
      </c>
      <c r="C331"/>
      <c r="D331"/>
      <c r="E331"/>
      <c r="F331"/>
    </row>
    <row r="332" spans="1:6" ht="15.6" x14ac:dyDescent="0.3">
      <c r="A332" s="113">
        <v>332</v>
      </c>
      <c r="C332"/>
      <c r="D332"/>
      <c r="E332"/>
      <c r="F332"/>
    </row>
    <row r="333" spans="1:6" ht="15.6" x14ac:dyDescent="0.3">
      <c r="A333" s="113">
        <v>333</v>
      </c>
      <c r="B333" s="113" t="str">
        <f>CONCATENATE($A$332,$C$332,C333)</f>
        <v>332</v>
      </c>
      <c r="C333"/>
      <c r="D333"/>
      <c r="E333"/>
      <c r="F333"/>
    </row>
    <row r="334" spans="1:6" ht="15.6" x14ac:dyDescent="0.3">
      <c r="A334" s="113">
        <v>334</v>
      </c>
      <c r="B334" s="113" t="str">
        <f t="shared" ref="B334:B343" si="182">CONCATENATE($A$332,$C$332,C334)</f>
        <v>332</v>
      </c>
      <c r="C334"/>
      <c r="D334"/>
      <c r="E334"/>
      <c r="F334"/>
    </row>
    <row r="335" spans="1:6" ht="15.6" x14ac:dyDescent="0.3">
      <c r="A335" s="113">
        <v>335</v>
      </c>
      <c r="B335" s="113" t="str">
        <f t="shared" si="182"/>
        <v>332</v>
      </c>
      <c r="C335"/>
      <c r="D335"/>
      <c r="E335"/>
      <c r="F335"/>
    </row>
    <row r="336" spans="1:6" ht="15.6" x14ac:dyDescent="0.3">
      <c r="A336" s="113">
        <v>336</v>
      </c>
      <c r="B336" s="113" t="str">
        <f t="shared" si="182"/>
        <v>332</v>
      </c>
      <c r="C336"/>
      <c r="D336"/>
      <c r="E336"/>
      <c r="F336"/>
    </row>
    <row r="337" spans="1:6" ht="15.6" x14ac:dyDescent="0.3">
      <c r="A337" s="113">
        <v>337</v>
      </c>
      <c r="B337" s="113" t="str">
        <f t="shared" si="182"/>
        <v>332</v>
      </c>
      <c r="C337"/>
      <c r="D337"/>
      <c r="E337"/>
      <c r="F337"/>
    </row>
    <row r="338" spans="1:6" ht="15.6" x14ac:dyDescent="0.3">
      <c r="A338" s="113">
        <v>338</v>
      </c>
      <c r="B338" s="113" t="str">
        <f t="shared" si="182"/>
        <v>332</v>
      </c>
      <c r="C338"/>
      <c r="D338"/>
      <c r="E338"/>
      <c r="F338" s="128"/>
    </row>
    <row r="339" spans="1:6" ht="15.6" x14ac:dyDescent="0.3">
      <c r="A339" s="113">
        <v>339</v>
      </c>
      <c r="B339" s="113" t="str">
        <f t="shared" si="182"/>
        <v>332</v>
      </c>
      <c r="C339"/>
      <c r="D339"/>
      <c r="E339"/>
      <c r="F339"/>
    </row>
    <row r="340" spans="1:6" ht="15.6" x14ac:dyDescent="0.3">
      <c r="A340" s="113">
        <v>340</v>
      </c>
      <c r="B340" s="113" t="str">
        <f t="shared" si="182"/>
        <v>332</v>
      </c>
      <c r="C340"/>
      <c r="D340"/>
      <c r="E340"/>
      <c r="F340"/>
    </row>
    <row r="341" spans="1:6" ht="15.6" x14ac:dyDescent="0.3">
      <c r="A341" s="113">
        <v>341</v>
      </c>
      <c r="B341" s="113" t="str">
        <f t="shared" si="182"/>
        <v>332</v>
      </c>
      <c r="C341"/>
      <c r="D341"/>
      <c r="E341"/>
      <c r="F341"/>
    </row>
    <row r="342" spans="1:6" ht="15.6" x14ac:dyDescent="0.3">
      <c r="A342" s="113">
        <v>342</v>
      </c>
      <c r="B342" s="113" t="str">
        <f t="shared" si="182"/>
        <v>332</v>
      </c>
      <c r="C342"/>
      <c r="D342"/>
      <c r="E342"/>
      <c r="F342"/>
    </row>
    <row r="343" spans="1:6" ht="15.6" x14ac:dyDescent="0.3">
      <c r="A343" s="113">
        <v>343</v>
      </c>
      <c r="B343" s="113" t="str">
        <f t="shared" si="182"/>
        <v>332</v>
      </c>
      <c r="C343"/>
      <c r="D343"/>
      <c r="E343"/>
      <c r="F343"/>
    </row>
    <row r="344" spans="1:6" ht="15.6" x14ac:dyDescent="0.3">
      <c r="A344" s="113">
        <v>344</v>
      </c>
      <c r="C344"/>
      <c r="D344"/>
      <c r="E344"/>
      <c r="F344"/>
    </row>
    <row r="345" spans="1:6" ht="15.6" x14ac:dyDescent="0.3">
      <c r="A345" s="113">
        <v>345</v>
      </c>
      <c r="B345" s="113" t="str">
        <f>CONCATENATE($A$344,$C$344,C345)</f>
        <v>344</v>
      </c>
      <c r="C345"/>
      <c r="D345"/>
      <c r="E345"/>
      <c r="F345"/>
    </row>
    <row r="346" spans="1:6" ht="15.6" x14ac:dyDescent="0.3">
      <c r="A346" s="113">
        <v>346</v>
      </c>
      <c r="B346" s="113" t="str">
        <f t="shared" ref="B346:B355" si="183">CONCATENATE($A$344,$C$344,C346)</f>
        <v>344</v>
      </c>
      <c r="C346"/>
      <c r="D346"/>
      <c r="E346"/>
      <c r="F346"/>
    </row>
    <row r="347" spans="1:6" ht="15.6" x14ac:dyDescent="0.3">
      <c r="A347" s="113">
        <v>347</v>
      </c>
      <c r="B347" s="113" t="str">
        <f t="shared" si="183"/>
        <v>344</v>
      </c>
      <c r="C347"/>
      <c r="D347"/>
      <c r="E347"/>
      <c r="F347"/>
    </row>
    <row r="348" spans="1:6" ht="15.6" x14ac:dyDescent="0.3">
      <c r="A348" s="113">
        <v>348</v>
      </c>
      <c r="B348" s="113" t="str">
        <f t="shared" si="183"/>
        <v>344</v>
      </c>
      <c r="C348"/>
      <c r="D348"/>
      <c r="E348"/>
      <c r="F348"/>
    </row>
    <row r="349" spans="1:6" ht="15.6" x14ac:dyDescent="0.3">
      <c r="A349" s="113">
        <v>349</v>
      </c>
      <c r="B349" s="113" t="str">
        <f t="shared" si="183"/>
        <v>344</v>
      </c>
      <c r="C349"/>
      <c r="D349"/>
      <c r="E349"/>
      <c r="F349"/>
    </row>
    <row r="350" spans="1:6" ht="15.6" x14ac:dyDescent="0.3">
      <c r="A350" s="113">
        <v>350</v>
      </c>
      <c r="B350" s="113" t="str">
        <f t="shared" si="183"/>
        <v>344</v>
      </c>
      <c r="C350"/>
      <c r="D350"/>
      <c r="E350"/>
      <c r="F350"/>
    </row>
    <row r="351" spans="1:6" ht="15.6" x14ac:dyDescent="0.3">
      <c r="A351" s="113">
        <v>351</v>
      </c>
      <c r="B351" s="113" t="str">
        <f t="shared" si="183"/>
        <v>344</v>
      </c>
      <c r="C351"/>
      <c r="D351"/>
      <c r="E351"/>
      <c r="F351"/>
    </row>
    <row r="352" spans="1:6" ht="15.6" x14ac:dyDescent="0.3">
      <c r="A352" s="113">
        <v>352</v>
      </c>
      <c r="B352" s="113" t="str">
        <f t="shared" si="183"/>
        <v>344</v>
      </c>
      <c r="C352"/>
      <c r="D352"/>
      <c r="E352"/>
      <c r="F352"/>
    </row>
    <row r="353" spans="1:6" ht="15.6" x14ac:dyDescent="0.3">
      <c r="A353" s="113">
        <v>353</v>
      </c>
      <c r="B353" s="113" t="str">
        <f t="shared" si="183"/>
        <v>344</v>
      </c>
      <c r="C353"/>
      <c r="D353"/>
      <c r="E353"/>
      <c r="F353"/>
    </row>
    <row r="354" spans="1:6" ht="15.6" x14ac:dyDescent="0.3">
      <c r="A354" s="113">
        <v>354</v>
      </c>
      <c r="B354" s="113" t="str">
        <f t="shared" si="183"/>
        <v>344</v>
      </c>
      <c r="C354"/>
      <c r="D354"/>
      <c r="E354"/>
      <c r="F354"/>
    </row>
    <row r="355" spans="1:6" ht="15.6" x14ac:dyDescent="0.3">
      <c r="A355" s="113">
        <v>355</v>
      </c>
      <c r="B355" s="113" t="str">
        <f t="shared" si="183"/>
        <v>344</v>
      </c>
      <c r="C355"/>
      <c r="D355"/>
      <c r="E355"/>
      <c r="F355"/>
    </row>
    <row r="356" spans="1:6" ht="15.6" x14ac:dyDescent="0.3">
      <c r="A356" s="113">
        <v>356</v>
      </c>
      <c r="C356"/>
      <c r="D356"/>
      <c r="E356"/>
      <c r="F356"/>
    </row>
    <row r="357" spans="1:6" ht="15.6" x14ac:dyDescent="0.3">
      <c r="A357" s="113">
        <v>357</v>
      </c>
      <c r="B357" s="113" t="str">
        <f>CONCATENATE($A$356,$C$356,C357)</f>
        <v>356</v>
      </c>
      <c r="C357"/>
      <c r="D357"/>
      <c r="E357"/>
      <c r="F357"/>
    </row>
    <row r="358" spans="1:6" ht="15.6" x14ac:dyDescent="0.3">
      <c r="A358" s="113">
        <v>358</v>
      </c>
      <c r="B358" s="113" t="str">
        <f t="shared" ref="B358:B367" si="184">CONCATENATE($A$356,$C$356,C358)</f>
        <v>356</v>
      </c>
      <c r="C358"/>
      <c r="D358"/>
      <c r="E358"/>
      <c r="F358"/>
    </row>
    <row r="359" spans="1:6" ht="15.6" x14ac:dyDescent="0.3">
      <c r="A359" s="113">
        <v>359</v>
      </c>
      <c r="B359" s="113" t="str">
        <f t="shared" si="184"/>
        <v>356</v>
      </c>
      <c r="C359"/>
      <c r="D359"/>
      <c r="E359"/>
      <c r="F359"/>
    </row>
    <row r="360" spans="1:6" ht="15.6" x14ac:dyDescent="0.3">
      <c r="A360" s="113">
        <v>360</v>
      </c>
      <c r="B360" s="113" t="str">
        <f t="shared" si="184"/>
        <v>356</v>
      </c>
      <c r="C360"/>
      <c r="D360"/>
      <c r="E360"/>
      <c r="F360"/>
    </row>
    <row r="361" spans="1:6" ht="15.6" x14ac:dyDescent="0.3">
      <c r="A361" s="113">
        <v>361</v>
      </c>
      <c r="B361" s="113" t="str">
        <f t="shared" si="184"/>
        <v>356</v>
      </c>
      <c r="C361"/>
      <c r="D361"/>
      <c r="E361"/>
      <c r="F361"/>
    </row>
    <row r="362" spans="1:6" ht="15.6" x14ac:dyDescent="0.3">
      <c r="A362" s="113">
        <v>362</v>
      </c>
      <c r="B362" s="113" t="str">
        <f t="shared" si="184"/>
        <v>356</v>
      </c>
      <c r="C362"/>
      <c r="D362"/>
      <c r="E362"/>
      <c r="F362"/>
    </row>
    <row r="363" spans="1:6" ht="15.6" x14ac:dyDescent="0.3">
      <c r="A363" s="113">
        <v>363</v>
      </c>
      <c r="B363" s="113" t="str">
        <f t="shared" si="184"/>
        <v>356</v>
      </c>
      <c r="C363"/>
      <c r="D363"/>
      <c r="E363"/>
      <c r="F363"/>
    </row>
    <row r="364" spans="1:6" ht="15.6" x14ac:dyDescent="0.3">
      <c r="A364" s="113">
        <v>364</v>
      </c>
      <c r="B364" s="113" t="str">
        <f t="shared" si="184"/>
        <v>356</v>
      </c>
      <c r="C364"/>
      <c r="D364"/>
      <c r="E364"/>
      <c r="F364"/>
    </row>
    <row r="365" spans="1:6" ht="15.6" x14ac:dyDescent="0.3">
      <c r="A365" s="113">
        <v>365</v>
      </c>
      <c r="B365" s="113" t="str">
        <f t="shared" si="184"/>
        <v>356</v>
      </c>
      <c r="C365"/>
      <c r="D365"/>
      <c r="E365"/>
      <c r="F365"/>
    </row>
    <row r="366" spans="1:6" ht="15.6" x14ac:dyDescent="0.3">
      <c r="A366" s="113">
        <v>366</v>
      </c>
      <c r="B366" s="113" t="str">
        <f t="shared" si="184"/>
        <v>356</v>
      </c>
      <c r="C366"/>
      <c r="D366"/>
      <c r="E366"/>
      <c r="F366"/>
    </row>
    <row r="367" spans="1:6" ht="15.6" x14ac:dyDescent="0.3">
      <c r="A367" s="113">
        <v>367</v>
      </c>
      <c r="B367" s="113" t="str">
        <f t="shared" si="184"/>
        <v>356</v>
      </c>
      <c r="C367"/>
      <c r="D367"/>
      <c r="E367"/>
      <c r="F367"/>
    </row>
    <row r="368" spans="1:6" ht="15.6" x14ac:dyDescent="0.3">
      <c r="A368" s="113">
        <v>368</v>
      </c>
      <c r="C368"/>
      <c r="D368"/>
      <c r="E368"/>
      <c r="F368"/>
    </row>
    <row r="369" spans="1:6" ht="15.6" x14ac:dyDescent="0.3">
      <c r="A369" s="113">
        <v>369</v>
      </c>
      <c r="B369" s="113" t="str">
        <f t="shared" ref="B369:B379" si="185">CONCATENATE($A$368,$C$368,C369)</f>
        <v>368</v>
      </c>
      <c r="C369"/>
      <c r="D369"/>
      <c r="E369"/>
      <c r="F369"/>
    </row>
    <row r="370" spans="1:6" ht="15.6" x14ac:dyDescent="0.3">
      <c r="A370" s="113">
        <v>370</v>
      </c>
      <c r="B370" s="113" t="str">
        <f t="shared" si="185"/>
        <v>368</v>
      </c>
      <c r="C370"/>
      <c r="D370"/>
      <c r="E370"/>
      <c r="F370"/>
    </row>
    <row r="371" spans="1:6" ht="15.6" x14ac:dyDescent="0.3">
      <c r="A371" s="113">
        <v>371</v>
      </c>
      <c r="B371" s="113" t="str">
        <f t="shared" si="185"/>
        <v>368</v>
      </c>
      <c r="C371"/>
      <c r="D371"/>
      <c r="E371"/>
      <c r="F371"/>
    </row>
    <row r="372" spans="1:6" ht="15.6" x14ac:dyDescent="0.3">
      <c r="A372" s="113">
        <v>372</v>
      </c>
      <c r="B372" s="113" t="str">
        <f t="shared" si="185"/>
        <v>368</v>
      </c>
      <c r="C372"/>
      <c r="D372"/>
      <c r="E372"/>
      <c r="F372"/>
    </row>
    <row r="373" spans="1:6" ht="15.6" x14ac:dyDescent="0.3">
      <c r="A373" s="113">
        <v>373</v>
      </c>
      <c r="B373" s="113" t="str">
        <f t="shared" si="185"/>
        <v>368</v>
      </c>
      <c r="C373"/>
      <c r="D373"/>
      <c r="E373"/>
      <c r="F373"/>
    </row>
    <row r="374" spans="1:6" ht="15.6" x14ac:dyDescent="0.3">
      <c r="A374" s="113">
        <v>374</v>
      </c>
      <c r="B374" s="113" t="str">
        <f t="shared" si="185"/>
        <v>368</v>
      </c>
      <c r="C374"/>
      <c r="D374"/>
      <c r="E374"/>
      <c r="F374"/>
    </row>
    <row r="375" spans="1:6" ht="15.6" x14ac:dyDescent="0.3">
      <c r="A375" s="113">
        <v>375</v>
      </c>
      <c r="B375" s="113" t="str">
        <f t="shared" si="185"/>
        <v>368</v>
      </c>
      <c r="C375"/>
      <c r="D375"/>
      <c r="E375"/>
      <c r="F375"/>
    </row>
    <row r="376" spans="1:6" ht="15.6" x14ac:dyDescent="0.3">
      <c r="A376" s="113">
        <v>376</v>
      </c>
      <c r="B376" s="113" t="str">
        <f t="shared" si="185"/>
        <v>368</v>
      </c>
      <c r="C376"/>
      <c r="D376"/>
      <c r="E376"/>
      <c r="F376"/>
    </row>
    <row r="377" spans="1:6" ht="15.6" x14ac:dyDescent="0.3">
      <c r="A377" s="113">
        <v>377</v>
      </c>
      <c r="B377" s="113" t="str">
        <f t="shared" si="185"/>
        <v>368</v>
      </c>
      <c r="C377"/>
      <c r="D377"/>
      <c r="E377"/>
      <c r="F377"/>
    </row>
    <row r="378" spans="1:6" ht="15.6" x14ac:dyDescent="0.3">
      <c r="A378" s="113">
        <v>378</v>
      </c>
      <c r="B378" s="113" t="str">
        <f t="shared" si="185"/>
        <v>368</v>
      </c>
      <c r="C378"/>
      <c r="D378"/>
      <c r="E378"/>
      <c r="F378"/>
    </row>
    <row r="379" spans="1:6" ht="15.6" x14ac:dyDescent="0.3">
      <c r="A379" s="113">
        <v>379</v>
      </c>
      <c r="B379" s="113" t="str">
        <f t="shared" si="185"/>
        <v>368</v>
      </c>
      <c r="C379"/>
      <c r="D379"/>
      <c r="E379"/>
      <c r="F379"/>
    </row>
    <row r="380" spans="1:6" ht="15.6" x14ac:dyDescent="0.3">
      <c r="A380" s="113">
        <v>380</v>
      </c>
      <c r="C380"/>
      <c r="D380"/>
      <c r="E380"/>
      <c r="F380"/>
    </row>
    <row r="381" spans="1:6" ht="15.6" x14ac:dyDescent="0.3">
      <c r="A381" s="113">
        <v>381</v>
      </c>
      <c r="B381" s="113" t="str">
        <f t="shared" ref="B381:B391" si="186">CONCATENATE($A$380,$C$380,C381)</f>
        <v>380</v>
      </c>
      <c r="C381"/>
      <c r="D381"/>
      <c r="E381"/>
      <c r="F381"/>
    </row>
    <row r="382" spans="1:6" ht="15.6" x14ac:dyDescent="0.3">
      <c r="A382" s="113">
        <v>382</v>
      </c>
      <c r="B382" s="113" t="str">
        <f t="shared" si="186"/>
        <v>380</v>
      </c>
      <c r="C382"/>
      <c r="D382"/>
      <c r="E382"/>
      <c r="F382"/>
    </row>
    <row r="383" spans="1:6" ht="15.6" x14ac:dyDescent="0.3">
      <c r="A383" s="113">
        <v>383</v>
      </c>
      <c r="B383" s="113" t="str">
        <f t="shared" si="186"/>
        <v>380</v>
      </c>
      <c r="C383"/>
      <c r="D383"/>
      <c r="E383"/>
      <c r="F383"/>
    </row>
    <row r="384" spans="1:6" ht="15.6" x14ac:dyDescent="0.3">
      <c r="A384" s="113">
        <v>384</v>
      </c>
      <c r="B384" s="113" t="str">
        <f t="shared" si="186"/>
        <v>380</v>
      </c>
      <c r="C384"/>
      <c r="D384"/>
      <c r="E384"/>
      <c r="F384"/>
    </row>
    <row r="385" spans="1:6" ht="15.6" x14ac:dyDescent="0.3">
      <c r="A385" s="113">
        <v>385</v>
      </c>
      <c r="B385" s="113" t="str">
        <f t="shared" si="186"/>
        <v>380</v>
      </c>
      <c r="C385"/>
      <c r="D385"/>
      <c r="E385"/>
      <c r="F385"/>
    </row>
    <row r="386" spans="1:6" ht="15.6" x14ac:dyDescent="0.3">
      <c r="A386" s="113">
        <v>386</v>
      </c>
      <c r="B386" s="113" t="str">
        <f t="shared" si="186"/>
        <v>380</v>
      </c>
      <c r="C386"/>
      <c r="D386"/>
      <c r="E386"/>
      <c r="F386"/>
    </row>
    <row r="387" spans="1:6" ht="15.6" x14ac:dyDescent="0.3">
      <c r="A387" s="113">
        <v>387</v>
      </c>
      <c r="B387" s="113" t="str">
        <f t="shared" si="186"/>
        <v>380</v>
      </c>
      <c r="C387"/>
      <c r="D387"/>
      <c r="E387"/>
      <c r="F387"/>
    </row>
    <row r="388" spans="1:6" ht="15.6" x14ac:dyDescent="0.3">
      <c r="A388" s="113">
        <v>388</v>
      </c>
      <c r="B388" s="113" t="str">
        <f t="shared" si="186"/>
        <v>380</v>
      </c>
      <c r="C388"/>
      <c r="D388"/>
      <c r="E388"/>
      <c r="F388"/>
    </row>
    <row r="389" spans="1:6" ht="15.6" x14ac:dyDescent="0.3">
      <c r="A389" s="113">
        <v>389</v>
      </c>
      <c r="B389" s="113" t="str">
        <f t="shared" si="186"/>
        <v>380</v>
      </c>
      <c r="C389"/>
      <c r="D389"/>
      <c r="E389"/>
      <c r="F389"/>
    </row>
    <row r="390" spans="1:6" ht="15.6" x14ac:dyDescent="0.3">
      <c r="A390" s="113">
        <v>390</v>
      </c>
      <c r="B390" s="113" t="str">
        <f t="shared" si="186"/>
        <v>380</v>
      </c>
      <c r="C390"/>
      <c r="D390"/>
      <c r="E390"/>
      <c r="F390"/>
    </row>
    <row r="391" spans="1:6" ht="15.6" x14ac:dyDescent="0.3">
      <c r="A391" s="113">
        <v>391</v>
      </c>
      <c r="B391" s="113" t="str">
        <f t="shared" si="186"/>
        <v>380</v>
      </c>
      <c r="C391"/>
      <c r="D391"/>
      <c r="E391"/>
      <c r="F391"/>
    </row>
    <row r="392" spans="1:6" ht="15.6" x14ac:dyDescent="0.3">
      <c r="A392" s="113">
        <v>392</v>
      </c>
      <c r="C392"/>
      <c r="D392"/>
      <c r="E392"/>
      <c r="F392"/>
    </row>
    <row r="393" spans="1:6" ht="15.6" x14ac:dyDescent="0.3">
      <c r="A393" s="113">
        <v>393</v>
      </c>
      <c r="B393" s="113" t="str">
        <f t="shared" ref="B393:B403" si="187">CONCATENATE($A$392,$C$392,C393)</f>
        <v>392</v>
      </c>
      <c r="C393"/>
      <c r="D393"/>
      <c r="E393"/>
      <c r="F393"/>
    </row>
    <row r="394" spans="1:6" ht="15.6" x14ac:dyDescent="0.3">
      <c r="A394" s="113">
        <v>394</v>
      </c>
      <c r="B394" s="113" t="str">
        <f t="shared" si="187"/>
        <v>392</v>
      </c>
      <c r="C394"/>
      <c r="D394"/>
      <c r="E394"/>
      <c r="F394"/>
    </row>
    <row r="395" spans="1:6" ht="15.6" x14ac:dyDescent="0.3">
      <c r="A395" s="113">
        <v>395</v>
      </c>
      <c r="B395" s="113" t="str">
        <f t="shared" si="187"/>
        <v>392</v>
      </c>
      <c r="C395"/>
      <c r="D395"/>
      <c r="E395"/>
      <c r="F395"/>
    </row>
    <row r="396" spans="1:6" ht="15.6" x14ac:dyDescent="0.3">
      <c r="A396" s="113">
        <v>396</v>
      </c>
      <c r="B396" s="113" t="str">
        <f t="shared" si="187"/>
        <v>392</v>
      </c>
      <c r="C396"/>
      <c r="D396"/>
      <c r="E396"/>
      <c r="F396"/>
    </row>
    <row r="397" spans="1:6" ht="15.6" x14ac:dyDescent="0.3">
      <c r="A397" s="113">
        <v>397</v>
      </c>
      <c r="B397" s="113" t="str">
        <f t="shared" si="187"/>
        <v>392</v>
      </c>
      <c r="C397"/>
      <c r="D397"/>
      <c r="E397"/>
      <c r="F397"/>
    </row>
    <row r="398" spans="1:6" ht="15.6" x14ac:dyDescent="0.3">
      <c r="A398" s="113">
        <v>398</v>
      </c>
      <c r="B398" s="113" t="str">
        <f t="shared" si="187"/>
        <v>392</v>
      </c>
      <c r="C398"/>
      <c r="D398"/>
      <c r="E398"/>
      <c r="F398"/>
    </row>
    <row r="399" spans="1:6" ht="15.6" x14ac:dyDescent="0.3">
      <c r="A399" s="113">
        <v>399</v>
      </c>
      <c r="B399" s="113" t="str">
        <f t="shared" si="187"/>
        <v>392</v>
      </c>
      <c r="C399"/>
      <c r="D399"/>
      <c r="E399"/>
      <c r="F399"/>
    </row>
    <row r="400" spans="1:6" ht="15.6" x14ac:dyDescent="0.3">
      <c r="A400" s="113">
        <v>400</v>
      </c>
      <c r="B400" s="113" t="str">
        <f t="shared" si="187"/>
        <v>392</v>
      </c>
      <c r="C400"/>
      <c r="D400"/>
      <c r="E400"/>
      <c r="F400"/>
    </row>
    <row r="401" spans="1:6" ht="15.6" x14ac:dyDescent="0.3">
      <c r="A401" s="113">
        <v>401</v>
      </c>
      <c r="B401" s="113" t="str">
        <f t="shared" si="187"/>
        <v>392</v>
      </c>
      <c r="C401"/>
      <c r="D401"/>
      <c r="E401"/>
      <c r="F401"/>
    </row>
    <row r="402" spans="1:6" ht="15.6" x14ac:dyDescent="0.3">
      <c r="A402" s="113">
        <v>402</v>
      </c>
      <c r="B402" s="113" t="str">
        <f t="shared" si="187"/>
        <v>392</v>
      </c>
      <c r="C402"/>
      <c r="D402"/>
      <c r="E402"/>
      <c r="F402"/>
    </row>
    <row r="403" spans="1:6" ht="15.6" x14ac:dyDescent="0.3">
      <c r="A403" s="113">
        <v>403</v>
      </c>
      <c r="B403" s="113" t="str">
        <f t="shared" si="187"/>
        <v>392</v>
      </c>
      <c r="C403"/>
      <c r="D403"/>
      <c r="E403"/>
      <c r="F403"/>
    </row>
    <row r="404" spans="1:6" ht="15.6" x14ac:dyDescent="0.3">
      <c r="A404" s="113">
        <v>404</v>
      </c>
      <c r="C404"/>
      <c r="D404"/>
      <c r="E404"/>
      <c r="F404"/>
    </row>
    <row r="405" spans="1:6" ht="15.6" x14ac:dyDescent="0.3">
      <c r="A405" s="113">
        <v>405</v>
      </c>
      <c r="B405" s="113" t="str">
        <f t="shared" ref="B405:B415" si="188">CONCATENATE($A$404,$C$404,C405)</f>
        <v>404</v>
      </c>
      <c r="C405"/>
      <c r="D405"/>
      <c r="E405"/>
      <c r="F405"/>
    </row>
    <row r="406" spans="1:6" ht="15.6" x14ac:dyDescent="0.3">
      <c r="A406" s="113">
        <v>406</v>
      </c>
      <c r="B406" s="113" t="str">
        <f t="shared" si="188"/>
        <v>404</v>
      </c>
      <c r="C406"/>
      <c r="D406"/>
      <c r="E406"/>
      <c r="F406"/>
    </row>
    <row r="407" spans="1:6" ht="15.6" x14ac:dyDescent="0.3">
      <c r="A407" s="113">
        <v>407</v>
      </c>
      <c r="B407" s="113" t="str">
        <f t="shared" si="188"/>
        <v>404</v>
      </c>
      <c r="C407"/>
      <c r="D407"/>
      <c r="E407"/>
      <c r="F407"/>
    </row>
    <row r="408" spans="1:6" ht="15.6" x14ac:dyDescent="0.3">
      <c r="A408" s="113">
        <v>408</v>
      </c>
      <c r="B408" s="113" t="str">
        <f t="shared" si="188"/>
        <v>404</v>
      </c>
      <c r="C408"/>
      <c r="D408"/>
      <c r="E408"/>
      <c r="F408"/>
    </row>
    <row r="409" spans="1:6" ht="15.6" x14ac:dyDescent="0.3">
      <c r="A409" s="113">
        <v>409</v>
      </c>
      <c r="B409" s="113" t="str">
        <f t="shared" si="188"/>
        <v>404</v>
      </c>
      <c r="C409"/>
      <c r="D409"/>
      <c r="E409"/>
      <c r="F409"/>
    </row>
    <row r="410" spans="1:6" ht="15.6" x14ac:dyDescent="0.3">
      <c r="A410" s="113">
        <v>410</v>
      </c>
      <c r="B410" s="113" t="str">
        <f t="shared" si="188"/>
        <v>404</v>
      </c>
      <c r="C410"/>
      <c r="D410"/>
      <c r="E410"/>
      <c r="F410"/>
    </row>
    <row r="411" spans="1:6" ht="15.6" x14ac:dyDescent="0.3">
      <c r="A411" s="113">
        <v>411</v>
      </c>
      <c r="B411" s="113" t="str">
        <f t="shared" si="188"/>
        <v>404</v>
      </c>
      <c r="C411"/>
      <c r="D411"/>
      <c r="E411"/>
      <c r="F411"/>
    </row>
    <row r="412" spans="1:6" ht="15.6" x14ac:dyDescent="0.3">
      <c r="A412" s="113">
        <v>412</v>
      </c>
      <c r="B412" s="113" t="str">
        <f t="shared" si="188"/>
        <v>404</v>
      </c>
      <c r="C412"/>
      <c r="D412"/>
      <c r="E412"/>
      <c r="F412"/>
    </row>
    <row r="413" spans="1:6" ht="15.6" x14ac:dyDescent="0.3">
      <c r="A413" s="113">
        <v>413</v>
      </c>
      <c r="B413" s="113" t="str">
        <f t="shared" si="188"/>
        <v>404</v>
      </c>
      <c r="C413"/>
      <c r="D413"/>
      <c r="E413"/>
      <c r="F413"/>
    </row>
    <row r="414" spans="1:6" ht="15.6" x14ac:dyDescent="0.3">
      <c r="A414" s="113">
        <v>414</v>
      </c>
      <c r="B414" s="113" t="str">
        <f t="shared" si="188"/>
        <v>404</v>
      </c>
      <c r="C414"/>
      <c r="D414"/>
      <c r="E414"/>
      <c r="F414"/>
    </row>
    <row r="415" spans="1:6" ht="15.6" x14ac:dyDescent="0.3">
      <c r="A415" s="113">
        <v>415</v>
      </c>
      <c r="B415" s="113" t="str">
        <f t="shared" si="188"/>
        <v>404</v>
      </c>
      <c r="C415"/>
      <c r="D415"/>
      <c r="E415"/>
      <c r="F415"/>
    </row>
    <row r="416" spans="1:6" ht="15.6" x14ac:dyDescent="0.3">
      <c r="A416" s="113">
        <v>416</v>
      </c>
      <c r="C416"/>
      <c r="D416"/>
      <c r="E416"/>
      <c r="F416"/>
    </row>
    <row r="417" spans="1:6" ht="15.6" x14ac:dyDescent="0.3">
      <c r="A417" s="113">
        <v>417</v>
      </c>
      <c r="B417" s="113" t="str">
        <f t="shared" ref="B417:B427" si="189">CONCATENATE($A$416,$C$416,C417)</f>
        <v>416</v>
      </c>
      <c r="C417"/>
      <c r="D417"/>
      <c r="E417"/>
      <c r="F417"/>
    </row>
    <row r="418" spans="1:6" ht="15.6" x14ac:dyDescent="0.3">
      <c r="A418" s="113">
        <v>418</v>
      </c>
      <c r="B418" s="113" t="str">
        <f t="shared" si="189"/>
        <v>416</v>
      </c>
      <c r="C418"/>
      <c r="D418"/>
      <c r="E418"/>
      <c r="F418"/>
    </row>
    <row r="419" spans="1:6" ht="15.6" x14ac:dyDescent="0.3">
      <c r="A419" s="113">
        <v>419</v>
      </c>
      <c r="B419" s="113" t="str">
        <f t="shared" si="189"/>
        <v>416</v>
      </c>
      <c r="C419"/>
      <c r="D419"/>
      <c r="E419"/>
      <c r="F419"/>
    </row>
    <row r="420" spans="1:6" ht="15.6" x14ac:dyDescent="0.3">
      <c r="A420" s="113">
        <v>420</v>
      </c>
      <c r="B420" s="113" t="str">
        <f t="shared" si="189"/>
        <v>416</v>
      </c>
      <c r="C420"/>
      <c r="D420"/>
      <c r="E420"/>
      <c r="F420"/>
    </row>
    <row r="421" spans="1:6" ht="15.6" x14ac:dyDescent="0.3">
      <c r="A421" s="113">
        <v>421</v>
      </c>
      <c r="B421" s="113" t="str">
        <f t="shared" si="189"/>
        <v>416</v>
      </c>
      <c r="C421"/>
      <c r="D421"/>
      <c r="E421"/>
      <c r="F421"/>
    </row>
    <row r="422" spans="1:6" ht="15.6" x14ac:dyDescent="0.3">
      <c r="A422" s="113">
        <v>422</v>
      </c>
      <c r="B422" s="113" t="str">
        <f t="shared" si="189"/>
        <v>416</v>
      </c>
      <c r="C422"/>
      <c r="D422"/>
      <c r="E422"/>
      <c r="F422"/>
    </row>
    <row r="423" spans="1:6" ht="15.6" x14ac:dyDescent="0.3">
      <c r="A423" s="113">
        <v>423</v>
      </c>
      <c r="B423" s="113" t="str">
        <f t="shared" si="189"/>
        <v>416</v>
      </c>
      <c r="C423"/>
      <c r="D423"/>
      <c r="E423"/>
      <c r="F423"/>
    </row>
    <row r="424" spans="1:6" ht="15.6" x14ac:dyDescent="0.3">
      <c r="A424" s="113">
        <v>424</v>
      </c>
      <c r="B424" s="113" t="str">
        <f t="shared" si="189"/>
        <v>416</v>
      </c>
      <c r="C424"/>
      <c r="D424"/>
      <c r="E424"/>
      <c r="F424"/>
    </row>
    <row r="425" spans="1:6" ht="15.6" x14ac:dyDescent="0.3">
      <c r="A425" s="113">
        <v>425</v>
      </c>
      <c r="B425" s="113" t="str">
        <f t="shared" si="189"/>
        <v>416</v>
      </c>
      <c r="C425"/>
      <c r="D425"/>
      <c r="E425"/>
      <c r="F425"/>
    </row>
    <row r="426" spans="1:6" ht="15.6" x14ac:dyDescent="0.3">
      <c r="A426" s="113">
        <v>426</v>
      </c>
      <c r="B426" s="113" t="str">
        <f t="shared" si="189"/>
        <v>416</v>
      </c>
      <c r="C426"/>
      <c r="D426"/>
      <c r="E426"/>
      <c r="F426"/>
    </row>
    <row r="427" spans="1:6" ht="15.6" x14ac:dyDescent="0.3">
      <c r="A427" s="113">
        <v>427</v>
      </c>
      <c r="B427" s="113" t="str">
        <f t="shared" si="189"/>
        <v>416</v>
      </c>
      <c r="C427"/>
      <c r="D427"/>
      <c r="E427"/>
      <c r="F427"/>
    </row>
    <row r="428" spans="1:6" ht="15.6" x14ac:dyDescent="0.3">
      <c r="A428" s="113">
        <v>428</v>
      </c>
      <c r="C428"/>
      <c r="D428"/>
      <c r="E428"/>
      <c r="F428"/>
    </row>
    <row r="429" spans="1:6" ht="15.6" x14ac:dyDescent="0.3">
      <c r="A429" s="113">
        <v>429</v>
      </c>
      <c r="B429" s="113" t="str">
        <f t="shared" ref="B429:B439" si="190">CONCATENATE($A$428,$C$428,C429)</f>
        <v>428</v>
      </c>
      <c r="C429"/>
      <c r="D429"/>
      <c r="E429"/>
      <c r="F429"/>
    </row>
    <row r="430" spans="1:6" ht="15.6" x14ac:dyDescent="0.3">
      <c r="A430" s="113">
        <v>430</v>
      </c>
      <c r="B430" s="113" t="str">
        <f t="shared" si="190"/>
        <v>428</v>
      </c>
      <c r="C430"/>
      <c r="D430"/>
      <c r="E430"/>
      <c r="F430"/>
    </row>
    <row r="431" spans="1:6" ht="15.6" x14ac:dyDescent="0.3">
      <c r="A431" s="113">
        <v>431</v>
      </c>
      <c r="B431" s="113" t="str">
        <f t="shared" si="190"/>
        <v>428</v>
      </c>
      <c r="C431"/>
      <c r="D431"/>
      <c r="E431"/>
      <c r="F431"/>
    </row>
    <row r="432" spans="1:6" ht="15.6" x14ac:dyDescent="0.3">
      <c r="A432" s="113">
        <v>432</v>
      </c>
      <c r="B432" s="113" t="str">
        <f t="shared" si="190"/>
        <v>428</v>
      </c>
      <c r="C432"/>
      <c r="D432"/>
      <c r="E432"/>
      <c r="F432"/>
    </row>
    <row r="433" spans="1:6" ht="15.6" x14ac:dyDescent="0.3">
      <c r="A433" s="113">
        <v>433</v>
      </c>
      <c r="B433" s="113" t="str">
        <f t="shared" si="190"/>
        <v>428</v>
      </c>
      <c r="C433"/>
      <c r="D433"/>
      <c r="E433"/>
      <c r="F433"/>
    </row>
    <row r="434" spans="1:6" ht="15.6" x14ac:dyDescent="0.3">
      <c r="A434" s="113">
        <v>434</v>
      </c>
      <c r="B434" s="113" t="str">
        <f t="shared" si="190"/>
        <v>428</v>
      </c>
      <c r="C434"/>
      <c r="D434"/>
      <c r="E434"/>
      <c r="F434"/>
    </row>
    <row r="435" spans="1:6" ht="15.6" x14ac:dyDescent="0.3">
      <c r="A435" s="113">
        <v>435</v>
      </c>
      <c r="B435" s="113" t="str">
        <f t="shared" si="190"/>
        <v>428</v>
      </c>
      <c r="C435"/>
      <c r="D435"/>
      <c r="E435"/>
      <c r="F435"/>
    </row>
    <row r="436" spans="1:6" ht="15.6" x14ac:dyDescent="0.3">
      <c r="A436" s="113">
        <v>436</v>
      </c>
      <c r="B436" s="113" t="str">
        <f t="shared" si="190"/>
        <v>428</v>
      </c>
      <c r="C436"/>
      <c r="D436"/>
      <c r="E436"/>
      <c r="F436"/>
    </row>
    <row r="437" spans="1:6" ht="15.6" x14ac:dyDescent="0.3">
      <c r="A437" s="113">
        <v>437</v>
      </c>
      <c r="B437" s="113" t="str">
        <f t="shared" si="190"/>
        <v>428</v>
      </c>
      <c r="C437"/>
      <c r="D437"/>
      <c r="E437"/>
      <c r="F437"/>
    </row>
    <row r="438" spans="1:6" ht="15.6" x14ac:dyDescent="0.3">
      <c r="A438" s="113">
        <v>438</v>
      </c>
      <c r="B438" s="113" t="str">
        <f t="shared" si="190"/>
        <v>428</v>
      </c>
      <c r="C438"/>
      <c r="D438"/>
      <c r="E438"/>
      <c r="F438"/>
    </row>
    <row r="439" spans="1:6" ht="15.6" x14ac:dyDescent="0.3">
      <c r="A439" s="113">
        <v>439</v>
      </c>
      <c r="B439" s="113" t="str">
        <f t="shared" si="190"/>
        <v>428</v>
      </c>
      <c r="C439"/>
      <c r="D439"/>
      <c r="E439"/>
      <c r="F439"/>
    </row>
    <row r="440" spans="1:6" ht="15.6" x14ac:dyDescent="0.3">
      <c r="A440" s="113">
        <v>440</v>
      </c>
      <c r="C440"/>
      <c r="D440"/>
      <c r="E440"/>
      <c r="F440"/>
    </row>
    <row r="441" spans="1:6" ht="15.6" x14ac:dyDescent="0.3">
      <c r="A441" s="113">
        <v>441</v>
      </c>
      <c r="B441" s="113" t="str">
        <f t="shared" ref="B441:B451" si="191">CONCATENATE($A$440,$C$440,C441)</f>
        <v>440</v>
      </c>
      <c r="C441"/>
      <c r="D441"/>
      <c r="E441"/>
      <c r="F441"/>
    </row>
    <row r="442" spans="1:6" ht="15.6" x14ac:dyDescent="0.3">
      <c r="A442" s="113">
        <v>442</v>
      </c>
      <c r="B442" s="113" t="str">
        <f t="shared" si="191"/>
        <v>440</v>
      </c>
      <c r="C442"/>
      <c r="D442"/>
      <c r="E442"/>
      <c r="F442"/>
    </row>
    <row r="443" spans="1:6" ht="15.6" x14ac:dyDescent="0.3">
      <c r="A443" s="113">
        <v>443</v>
      </c>
      <c r="B443" s="113" t="str">
        <f t="shared" si="191"/>
        <v>440</v>
      </c>
      <c r="C443"/>
      <c r="D443"/>
      <c r="E443"/>
      <c r="F443"/>
    </row>
    <row r="444" spans="1:6" ht="15.6" x14ac:dyDescent="0.3">
      <c r="A444" s="113">
        <v>444</v>
      </c>
      <c r="B444" s="113" t="str">
        <f t="shared" si="191"/>
        <v>440</v>
      </c>
      <c r="C444"/>
      <c r="D444"/>
      <c r="E444"/>
      <c r="F444"/>
    </row>
    <row r="445" spans="1:6" ht="15.6" x14ac:dyDescent="0.3">
      <c r="A445" s="113">
        <v>445</v>
      </c>
      <c r="B445" s="113" t="str">
        <f t="shared" si="191"/>
        <v>440</v>
      </c>
      <c r="C445"/>
      <c r="D445"/>
      <c r="E445"/>
      <c r="F445"/>
    </row>
    <row r="446" spans="1:6" ht="15.6" x14ac:dyDescent="0.3">
      <c r="A446" s="113">
        <v>446</v>
      </c>
      <c r="B446" s="113" t="str">
        <f t="shared" si="191"/>
        <v>440</v>
      </c>
      <c r="C446"/>
      <c r="D446"/>
      <c r="E446"/>
      <c r="F446"/>
    </row>
    <row r="447" spans="1:6" ht="15.6" x14ac:dyDescent="0.3">
      <c r="A447" s="113">
        <v>447</v>
      </c>
      <c r="B447" s="113" t="str">
        <f t="shared" si="191"/>
        <v>440</v>
      </c>
      <c r="C447"/>
      <c r="D447"/>
      <c r="E447"/>
      <c r="F447"/>
    </row>
    <row r="448" spans="1:6" ht="15.6" x14ac:dyDescent="0.3">
      <c r="A448" s="113">
        <v>448</v>
      </c>
      <c r="B448" s="113" t="str">
        <f t="shared" si="191"/>
        <v>440</v>
      </c>
      <c r="C448"/>
      <c r="D448"/>
      <c r="E448"/>
      <c r="F448"/>
    </row>
    <row r="449" spans="1:6" ht="15.6" x14ac:dyDescent="0.3">
      <c r="A449" s="113">
        <v>449</v>
      </c>
      <c r="B449" s="113" t="str">
        <f t="shared" si="191"/>
        <v>440</v>
      </c>
      <c r="C449"/>
      <c r="D449"/>
      <c r="E449"/>
      <c r="F449"/>
    </row>
    <row r="450" spans="1:6" ht="15.6" x14ac:dyDescent="0.3">
      <c r="A450" s="113">
        <v>450</v>
      </c>
      <c r="B450" s="113" t="str">
        <f t="shared" si="191"/>
        <v>440</v>
      </c>
      <c r="C450"/>
      <c r="D450"/>
      <c r="E450"/>
      <c r="F450"/>
    </row>
    <row r="451" spans="1:6" ht="15.6" x14ac:dyDescent="0.3">
      <c r="A451" s="113">
        <v>451</v>
      </c>
      <c r="B451" s="113" t="str">
        <f t="shared" si="191"/>
        <v>440</v>
      </c>
      <c r="C451"/>
      <c r="D451"/>
      <c r="E451"/>
      <c r="F451"/>
    </row>
    <row r="452" spans="1:6" ht="15.6" x14ac:dyDescent="0.3">
      <c r="A452" s="113">
        <v>452</v>
      </c>
      <c r="C452"/>
      <c r="D452"/>
      <c r="E452"/>
      <c r="F452"/>
    </row>
    <row r="453" spans="1:6" ht="15.6" x14ac:dyDescent="0.3">
      <c r="A453" s="113">
        <v>453</v>
      </c>
      <c r="B453" s="113" t="str">
        <f t="shared" ref="B453:B463" si="192">CONCATENATE($A$452,$C$452,C453)</f>
        <v>452</v>
      </c>
      <c r="C453"/>
      <c r="D453"/>
      <c r="E453"/>
      <c r="F453"/>
    </row>
    <row r="454" spans="1:6" ht="15.6" x14ac:dyDescent="0.3">
      <c r="A454" s="113">
        <v>454</v>
      </c>
      <c r="B454" s="113" t="str">
        <f t="shared" si="192"/>
        <v>452</v>
      </c>
      <c r="C454"/>
      <c r="D454"/>
      <c r="E454"/>
      <c r="F454"/>
    </row>
    <row r="455" spans="1:6" ht="15.6" x14ac:dyDescent="0.3">
      <c r="A455" s="113">
        <v>455</v>
      </c>
      <c r="B455" s="113" t="str">
        <f t="shared" si="192"/>
        <v>452</v>
      </c>
      <c r="C455"/>
      <c r="D455"/>
      <c r="E455"/>
      <c r="F455"/>
    </row>
    <row r="456" spans="1:6" ht="15.6" x14ac:dyDescent="0.3">
      <c r="A456" s="113">
        <v>456</v>
      </c>
      <c r="B456" s="113" t="str">
        <f t="shared" si="192"/>
        <v>452</v>
      </c>
      <c r="C456"/>
      <c r="D456"/>
      <c r="E456"/>
      <c r="F456"/>
    </row>
    <row r="457" spans="1:6" ht="15.6" x14ac:dyDescent="0.3">
      <c r="A457" s="113">
        <v>457</v>
      </c>
      <c r="B457" s="113" t="str">
        <f t="shared" si="192"/>
        <v>452</v>
      </c>
      <c r="C457"/>
      <c r="D457"/>
      <c r="E457"/>
      <c r="F457"/>
    </row>
    <row r="458" spans="1:6" ht="15.6" x14ac:dyDescent="0.3">
      <c r="A458" s="113">
        <v>458</v>
      </c>
      <c r="B458" s="113" t="str">
        <f t="shared" si="192"/>
        <v>452</v>
      </c>
      <c r="C458"/>
      <c r="D458"/>
      <c r="E458"/>
      <c r="F458"/>
    </row>
    <row r="459" spans="1:6" ht="15.6" x14ac:dyDescent="0.3">
      <c r="A459" s="113">
        <v>459</v>
      </c>
      <c r="B459" s="113" t="str">
        <f t="shared" si="192"/>
        <v>452</v>
      </c>
      <c r="C459"/>
      <c r="D459"/>
      <c r="E459"/>
      <c r="F459"/>
    </row>
    <row r="460" spans="1:6" ht="15.6" x14ac:dyDescent="0.3">
      <c r="A460" s="113">
        <v>460</v>
      </c>
      <c r="B460" s="113" t="str">
        <f t="shared" si="192"/>
        <v>452</v>
      </c>
      <c r="C460"/>
      <c r="D460"/>
      <c r="E460"/>
      <c r="F460"/>
    </row>
    <row r="461" spans="1:6" ht="15.6" x14ac:dyDescent="0.3">
      <c r="A461" s="113">
        <v>461</v>
      </c>
      <c r="B461" s="113" t="str">
        <f t="shared" si="192"/>
        <v>452</v>
      </c>
      <c r="C461"/>
      <c r="D461"/>
      <c r="E461"/>
      <c r="F461"/>
    </row>
    <row r="462" spans="1:6" ht="15.6" x14ac:dyDescent="0.3">
      <c r="A462" s="113">
        <v>462</v>
      </c>
      <c r="B462" s="113" t="str">
        <f t="shared" si="192"/>
        <v>452</v>
      </c>
      <c r="C462"/>
      <c r="D462"/>
      <c r="E462"/>
      <c r="F462"/>
    </row>
    <row r="463" spans="1:6" ht="15.6" x14ac:dyDescent="0.3">
      <c r="A463" s="113">
        <v>463</v>
      </c>
      <c r="B463" s="113" t="str">
        <f t="shared" si="192"/>
        <v>452</v>
      </c>
      <c r="C463"/>
      <c r="D463"/>
      <c r="E463"/>
      <c r="F463"/>
    </row>
    <row r="464" spans="1:6" ht="15.6" x14ac:dyDescent="0.3">
      <c r="A464" s="113">
        <v>464</v>
      </c>
      <c r="C464"/>
      <c r="D464"/>
      <c r="E464"/>
      <c r="F464"/>
    </row>
    <row r="465" spans="1:6" ht="15.6" x14ac:dyDescent="0.3">
      <c r="A465" s="113">
        <v>465</v>
      </c>
      <c r="B465" s="113" t="str">
        <f t="shared" ref="B465:B475" si="193">CONCATENATE($A$464,$C$464,C465)</f>
        <v>464</v>
      </c>
      <c r="C465"/>
      <c r="D465"/>
      <c r="E465"/>
      <c r="F465"/>
    </row>
    <row r="466" spans="1:6" ht="15.6" x14ac:dyDescent="0.3">
      <c r="A466" s="113">
        <v>466</v>
      </c>
      <c r="B466" s="113" t="str">
        <f t="shared" si="193"/>
        <v>464</v>
      </c>
      <c r="C466"/>
      <c r="D466"/>
      <c r="E466"/>
      <c r="F466"/>
    </row>
    <row r="467" spans="1:6" ht="15.6" x14ac:dyDescent="0.3">
      <c r="A467" s="113">
        <v>467</v>
      </c>
      <c r="B467" s="113" t="str">
        <f t="shared" si="193"/>
        <v>464</v>
      </c>
      <c r="C467"/>
      <c r="D467"/>
      <c r="E467"/>
      <c r="F467"/>
    </row>
    <row r="468" spans="1:6" ht="15.6" x14ac:dyDescent="0.3">
      <c r="A468" s="113">
        <v>468</v>
      </c>
      <c r="B468" s="113" t="str">
        <f t="shared" si="193"/>
        <v>464</v>
      </c>
      <c r="C468"/>
      <c r="D468"/>
      <c r="E468"/>
      <c r="F468"/>
    </row>
    <row r="469" spans="1:6" ht="15.6" x14ac:dyDescent="0.3">
      <c r="A469" s="113">
        <v>469</v>
      </c>
      <c r="B469" s="113" t="str">
        <f t="shared" si="193"/>
        <v>464</v>
      </c>
      <c r="C469"/>
      <c r="D469"/>
      <c r="E469"/>
      <c r="F469"/>
    </row>
    <row r="470" spans="1:6" ht="15.6" x14ac:dyDescent="0.3">
      <c r="A470" s="113">
        <v>470</v>
      </c>
      <c r="B470" s="113" t="str">
        <f t="shared" si="193"/>
        <v>464</v>
      </c>
      <c r="C470"/>
      <c r="D470"/>
      <c r="E470"/>
      <c r="F470"/>
    </row>
    <row r="471" spans="1:6" ht="15.6" x14ac:dyDescent="0.3">
      <c r="A471" s="113">
        <v>471</v>
      </c>
      <c r="B471" s="113" t="str">
        <f t="shared" si="193"/>
        <v>464</v>
      </c>
      <c r="C471"/>
      <c r="D471"/>
      <c r="E471"/>
      <c r="F471"/>
    </row>
    <row r="472" spans="1:6" ht="15.6" x14ac:dyDescent="0.3">
      <c r="A472" s="113">
        <v>472</v>
      </c>
      <c r="B472" s="113" t="str">
        <f t="shared" si="193"/>
        <v>464</v>
      </c>
      <c r="C472"/>
      <c r="D472"/>
      <c r="E472"/>
      <c r="F472"/>
    </row>
    <row r="473" spans="1:6" ht="15.6" x14ac:dyDescent="0.3">
      <c r="A473" s="113">
        <v>473</v>
      </c>
      <c r="B473" s="113" t="str">
        <f t="shared" si="193"/>
        <v>464</v>
      </c>
      <c r="C473"/>
      <c r="D473"/>
      <c r="E473"/>
      <c r="F473"/>
    </row>
    <row r="474" spans="1:6" ht="15.6" x14ac:dyDescent="0.3">
      <c r="A474" s="113">
        <v>474</v>
      </c>
      <c r="B474" s="113" t="str">
        <f t="shared" si="193"/>
        <v>464</v>
      </c>
      <c r="C474"/>
      <c r="D474"/>
      <c r="E474"/>
      <c r="F474"/>
    </row>
    <row r="475" spans="1:6" ht="15.6" x14ac:dyDescent="0.3">
      <c r="A475" s="113">
        <v>475</v>
      </c>
      <c r="B475" s="113" t="str">
        <f t="shared" si="193"/>
        <v>464</v>
      </c>
      <c r="C475"/>
      <c r="D475"/>
      <c r="E475"/>
      <c r="F475"/>
    </row>
    <row r="476" spans="1:6" ht="15.6" x14ac:dyDescent="0.3">
      <c r="A476" s="113">
        <v>476</v>
      </c>
      <c r="C476"/>
      <c r="D476"/>
      <c r="E476"/>
      <c r="F476"/>
    </row>
    <row r="477" spans="1:6" ht="15.6" x14ac:dyDescent="0.3">
      <c r="A477" s="113">
        <v>477</v>
      </c>
      <c r="B477" s="113" t="str">
        <f t="shared" ref="B477:B487" si="194">CONCATENATE($A$476,$C$476,C477)</f>
        <v>476</v>
      </c>
      <c r="C477"/>
      <c r="D477"/>
      <c r="E477"/>
      <c r="F477"/>
    </row>
    <row r="478" spans="1:6" ht="15.6" x14ac:dyDescent="0.3">
      <c r="A478" s="113">
        <v>478</v>
      </c>
      <c r="B478" s="113" t="str">
        <f t="shared" si="194"/>
        <v>476</v>
      </c>
      <c r="C478"/>
      <c r="D478"/>
      <c r="E478"/>
      <c r="F478"/>
    </row>
    <row r="479" spans="1:6" ht="15.6" x14ac:dyDescent="0.3">
      <c r="A479" s="113">
        <v>479</v>
      </c>
      <c r="B479" s="113" t="str">
        <f t="shared" si="194"/>
        <v>476</v>
      </c>
      <c r="C479"/>
      <c r="D479"/>
      <c r="E479"/>
      <c r="F479"/>
    </row>
    <row r="480" spans="1:6" ht="15.6" x14ac:dyDescent="0.3">
      <c r="A480" s="113">
        <v>480</v>
      </c>
      <c r="B480" s="113" t="str">
        <f t="shared" si="194"/>
        <v>476</v>
      </c>
      <c r="C480"/>
      <c r="D480"/>
      <c r="E480"/>
      <c r="F480"/>
    </row>
    <row r="481" spans="1:6" ht="15.6" x14ac:dyDescent="0.3">
      <c r="A481" s="113">
        <v>481</v>
      </c>
      <c r="B481" s="113" t="str">
        <f t="shared" si="194"/>
        <v>476</v>
      </c>
      <c r="C481"/>
      <c r="D481"/>
      <c r="E481"/>
      <c r="F481"/>
    </row>
    <row r="482" spans="1:6" ht="15.6" x14ac:dyDescent="0.3">
      <c r="A482" s="113">
        <v>482</v>
      </c>
      <c r="B482" s="113" t="str">
        <f t="shared" si="194"/>
        <v>476</v>
      </c>
      <c r="C482"/>
      <c r="D482"/>
      <c r="E482"/>
      <c r="F482"/>
    </row>
    <row r="483" spans="1:6" ht="15.6" x14ac:dyDescent="0.3">
      <c r="A483" s="113">
        <v>483</v>
      </c>
      <c r="B483" s="113" t="str">
        <f t="shared" si="194"/>
        <v>476</v>
      </c>
      <c r="C483"/>
      <c r="D483"/>
      <c r="E483"/>
      <c r="F483"/>
    </row>
    <row r="484" spans="1:6" ht="15.6" x14ac:dyDescent="0.3">
      <c r="A484" s="113">
        <v>484</v>
      </c>
      <c r="B484" s="113" t="str">
        <f t="shared" si="194"/>
        <v>476</v>
      </c>
      <c r="C484"/>
      <c r="D484"/>
      <c r="E484"/>
      <c r="F484"/>
    </row>
    <row r="485" spans="1:6" ht="15.6" x14ac:dyDescent="0.3">
      <c r="A485" s="113">
        <v>485</v>
      </c>
      <c r="B485" s="113" t="str">
        <f t="shared" si="194"/>
        <v>476</v>
      </c>
      <c r="C485"/>
      <c r="D485"/>
      <c r="E485"/>
      <c r="F485"/>
    </row>
    <row r="486" spans="1:6" ht="15.6" x14ac:dyDescent="0.3">
      <c r="A486" s="113">
        <v>486</v>
      </c>
      <c r="B486" s="113" t="str">
        <f t="shared" si="194"/>
        <v>476</v>
      </c>
      <c r="C486"/>
      <c r="D486"/>
      <c r="E486"/>
      <c r="F486"/>
    </row>
    <row r="487" spans="1:6" ht="15.6" x14ac:dyDescent="0.3">
      <c r="A487" s="113">
        <v>487</v>
      </c>
      <c r="B487" s="113" t="str">
        <f t="shared" si="194"/>
        <v>476</v>
      </c>
      <c r="C487"/>
      <c r="D487"/>
      <c r="E487"/>
      <c r="F487"/>
    </row>
    <row r="488" spans="1:6" ht="15.6" x14ac:dyDescent="0.3">
      <c r="A488" s="113">
        <v>488</v>
      </c>
      <c r="C488"/>
      <c r="D488"/>
      <c r="E488"/>
      <c r="F488"/>
    </row>
    <row r="489" spans="1:6" ht="15.6" x14ac:dyDescent="0.3">
      <c r="A489" s="113">
        <v>489</v>
      </c>
      <c r="B489" s="113" t="str">
        <f t="shared" ref="B489:B499" si="195">CONCATENATE($A$488,$C$488,C489)</f>
        <v>488</v>
      </c>
      <c r="C489"/>
      <c r="D489"/>
      <c r="E489"/>
      <c r="F489"/>
    </row>
    <row r="490" spans="1:6" ht="15.6" x14ac:dyDescent="0.3">
      <c r="A490" s="113">
        <v>490</v>
      </c>
      <c r="B490" s="113" t="str">
        <f t="shared" si="195"/>
        <v>488</v>
      </c>
      <c r="C490"/>
      <c r="D490"/>
      <c r="E490"/>
      <c r="F490"/>
    </row>
    <row r="491" spans="1:6" ht="15.6" x14ac:dyDescent="0.3">
      <c r="A491" s="113">
        <v>491</v>
      </c>
      <c r="B491" s="113" t="str">
        <f t="shared" si="195"/>
        <v>488</v>
      </c>
      <c r="C491"/>
      <c r="D491"/>
      <c r="E491"/>
      <c r="F491"/>
    </row>
    <row r="492" spans="1:6" ht="15.6" x14ac:dyDescent="0.3">
      <c r="A492" s="113">
        <v>492</v>
      </c>
      <c r="B492" s="113" t="str">
        <f t="shared" si="195"/>
        <v>488</v>
      </c>
      <c r="C492"/>
      <c r="D492"/>
      <c r="E492"/>
      <c r="F492"/>
    </row>
    <row r="493" spans="1:6" ht="15.6" x14ac:dyDescent="0.3">
      <c r="A493" s="113">
        <v>493</v>
      </c>
      <c r="B493" s="113" t="str">
        <f t="shared" si="195"/>
        <v>488</v>
      </c>
      <c r="C493"/>
      <c r="D493"/>
      <c r="E493"/>
      <c r="F493"/>
    </row>
    <row r="494" spans="1:6" ht="15.6" x14ac:dyDescent="0.3">
      <c r="A494" s="113">
        <v>494</v>
      </c>
      <c r="B494" s="113" t="str">
        <f t="shared" si="195"/>
        <v>488</v>
      </c>
      <c r="C494"/>
      <c r="D494"/>
      <c r="E494"/>
      <c r="F494"/>
    </row>
    <row r="495" spans="1:6" ht="15.6" x14ac:dyDescent="0.3">
      <c r="A495" s="113">
        <v>495</v>
      </c>
      <c r="B495" s="113" t="str">
        <f t="shared" si="195"/>
        <v>488</v>
      </c>
      <c r="C495"/>
      <c r="D495"/>
      <c r="E495"/>
      <c r="F495"/>
    </row>
    <row r="496" spans="1:6" ht="15.6" x14ac:dyDescent="0.3">
      <c r="A496" s="113">
        <v>496</v>
      </c>
      <c r="B496" s="113" t="str">
        <f t="shared" si="195"/>
        <v>488</v>
      </c>
      <c r="C496"/>
      <c r="D496"/>
      <c r="E496"/>
      <c r="F496"/>
    </row>
    <row r="497" spans="1:6" ht="15.6" x14ac:dyDescent="0.3">
      <c r="A497" s="113">
        <v>497</v>
      </c>
      <c r="B497" s="113" t="str">
        <f t="shared" si="195"/>
        <v>488</v>
      </c>
      <c r="C497"/>
      <c r="D497"/>
      <c r="E497"/>
      <c r="F497"/>
    </row>
    <row r="498" spans="1:6" ht="15.6" x14ac:dyDescent="0.3">
      <c r="A498" s="113">
        <v>498</v>
      </c>
      <c r="B498" s="113" t="str">
        <f t="shared" si="195"/>
        <v>488</v>
      </c>
      <c r="C498"/>
      <c r="D498"/>
      <c r="E498"/>
      <c r="F498"/>
    </row>
    <row r="499" spans="1:6" ht="15.6" x14ac:dyDescent="0.3">
      <c r="A499" s="113">
        <v>499</v>
      </c>
      <c r="B499" s="113" t="str">
        <f t="shared" si="195"/>
        <v>488</v>
      </c>
      <c r="C499"/>
      <c r="D499"/>
      <c r="E499"/>
      <c r="F499"/>
    </row>
    <row r="500" spans="1:6" ht="15.6" x14ac:dyDescent="0.3">
      <c r="A500" s="113">
        <v>500</v>
      </c>
      <c r="C500"/>
      <c r="D500"/>
      <c r="E500"/>
      <c r="F500"/>
    </row>
    <row r="501" spans="1:6" ht="15.6" x14ac:dyDescent="0.3">
      <c r="A501" s="113">
        <v>501</v>
      </c>
      <c r="B501" s="113" t="str">
        <f t="shared" ref="B501:B511" si="196">CONCATENATE($A$500,$C$500,C501)</f>
        <v>500</v>
      </c>
      <c r="C501"/>
      <c r="D501"/>
      <c r="E501"/>
      <c r="F501"/>
    </row>
    <row r="502" spans="1:6" ht="15.6" x14ac:dyDescent="0.3">
      <c r="A502" s="113">
        <v>502</v>
      </c>
      <c r="B502" s="113" t="str">
        <f t="shared" si="196"/>
        <v>500</v>
      </c>
      <c r="C502"/>
      <c r="D502"/>
      <c r="E502"/>
      <c r="F502"/>
    </row>
    <row r="503" spans="1:6" ht="15.6" x14ac:dyDescent="0.3">
      <c r="A503" s="113">
        <v>503</v>
      </c>
      <c r="B503" s="113" t="str">
        <f t="shared" si="196"/>
        <v>500</v>
      </c>
      <c r="C503"/>
      <c r="D503"/>
      <c r="E503"/>
      <c r="F503"/>
    </row>
    <row r="504" spans="1:6" ht="15.6" x14ac:dyDescent="0.3">
      <c r="A504" s="113">
        <v>504</v>
      </c>
      <c r="B504" s="113" t="str">
        <f t="shared" si="196"/>
        <v>500</v>
      </c>
      <c r="C504"/>
      <c r="D504"/>
      <c r="E504"/>
      <c r="F504"/>
    </row>
    <row r="505" spans="1:6" ht="15.6" x14ac:dyDescent="0.3">
      <c r="A505" s="113">
        <v>505</v>
      </c>
      <c r="B505" s="113" t="str">
        <f t="shared" si="196"/>
        <v>500</v>
      </c>
      <c r="C505"/>
      <c r="D505"/>
      <c r="E505"/>
      <c r="F505"/>
    </row>
    <row r="506" spans="1:6" ht="15.6" x14ac:dyDescent="0.3">
      <c r="A506" s="113">
        <v>506</v>
      </c>
      <c r="B506" s="113" t="str">
        <f t="shared" si="196"/>
        <v>500</v>
      </c>
      <c r="C506"/>
      <c r="D506"/>
      <c r="E506"/>
      <c r="F506"/>
    </row>
    <row r="507" spans="1:6" ht="15.6" x14ac:dyDescent="0.3">
      <c r="A507" s="113">
        <v>507</v>
      </c>
      <c r="B507" s="113" t="str">
        <f t="shared" si="196"/>
        <v>500</v>
      </c>
      <c r="C507"/>
      <c r="D507"/>
      <c r="E507"/>
      <c r="F507"/>
    </row>
    <row r="508" spans="1:6" x14ac:dyDescent="0.3">
      <c r="A508" s="113">
        <v>508</v>
      </c>
      <c r="B508" s="113" t="str">
        <f t="shared" si="196"/>
        <v>500</v>
      </c>
    </row>
    <row r="509" spans="1:6" x14ac:dyDescent="0.3">
      <c r="A509" s="113">
        <v>509</v>
      </c>
      <c r="B509" s="113" t="str">
        <f t="shared" si="196"/>
        <v>500</v>
      </c>
    </row>
    <row r="510" spans="1:6" x14ac:dyDescent="0.3">
      <c r="A510" s="113">
        <v>510</v>
      </c>
      <c r="B510" s="113" t="str">
        <f t="shared" si="196"/>
        <v>500</v>
      </c>
    </row>
    <row r="511" spans="1:6" x14ac:dyDescent="0.3">
      <c r="A511" s="113">
        <v>511</v>
      </c>
      <c r="B511" s="113" t="str">
        <f t="shared" si="196"/>
        <v>500</v>
      </c>
    </row>
    <row r="512" spans="1:6" x14ac:dyDescent="0.3">
      <c r="A512" s="113">
        <v>512</v>
      </c>
    </row>
    <row r="513" spans="1:2" x14ac:dyDescent="0.3">
      <c r="A513" s="113">
        <v>513</v>
      </c>
      <c r="B513" s="113" t="str">
        <f t="shared" ref="B513:B523" si="197">CONCATENATE($A$512,$C$512,C513)</f>
        <v>512</v>
      </c>
    </row>
    <row r="514" spans="1:2" x14ac:dyDescent="0.3">
      <c r="A514" s="113">
        <v>514</v>
      </c>
      <c r="B514" s="113" t="str">
        <f t="shared" si="197"/>
        <v>512</v>
      </c>
    </row>
    <row r="515" spans="1:2" x14ac:dyDescent="0.3">
      <c r="A515" s="113">
        <v>515</v>
      </c>
      <c r="B515" s="113" t="str">
        <f t="shared" si="197"/>
        <v>512</v>
      </c>
    </row>
    <row r="516" spans="1:2" x14ac:dyDescent="0.3">
      <c r="A516" s="113">
        <v>516</v>
      </c>
      <c r="B516" s="113" t="str">
        <f t="shared" si="197"/>
        <v>512</v>
      </c>
    </row>
    <row r="517" spans="1:2" x14ac:dyDescent="0.3">
      <c r="A517" s="113">
        <v>517</v>
      </c>
      <c r="B517" s="113" t="str">
        <f t="shared" si="197"/>
        <v>512</v>
      </c>
    </row>
    <row r="518" spans="1:2" x14ac:dyDescent="0.3">
      <c r="A518" s="113">
        <v>518</v>
      </c>
      <c r="B518" s="113" t="str">
        <f t="shared" si="197"/>
        <v>512</v>
      </c>
    </row>
    <row r="519" spans="1:2" x14ac:dyDescent="0.3">
      <c r="A519" s="113">
        <v>519</v>
      </c>
      <c r="B519" s="113" t="str">
        <f t="shared" si="197"/>
        <v>512</v>
      </c>
    </row>
    <row r="520" spans="1:2" x14ac:dyDescent="0.3">
      <c r="A520" s="113">
        <v>520</v>
      </c>
      <c r="B520" s="113" t="str">
        <f t="shared" si="197"/>
        <v>512</v>
      </c>
    </row>
    <row r="521" spans="1:2" x14ac:dyDescent="0.3">
      <c r="A521" s="113">
        <v>521</v>
      </c>
      <c r="B521" s="113" t="str">
        <f t="shared" si="197"/>
        <v>512</v>
      </c>
    </row>
    <row r="522" spans="1:2" x14ac:dyDescent="0.3">
      <c r="A522" s="113">
        <v>522</v>
      </c>
      <c r="B522" s="113" t="str">
        <f t="shared" si="197"/>
        <v>512</v>
      </c>
    </row>
    <row r="523" spans="1:2" x14ac:dyDescent="0.3">
      <c r="A523" s="113">
        <v>523</v>
      </c>
      <c r="B523" s="113" t="str">
        <f t="shared" si="197"/>
        <v>512</v>
      </c>
    </row>
    <row r="524" spans="1:2" x14ac:dyDescent="0.3">
      <c r="A524" s="113">
        <v>524</v>
      </c>
    </row>
    <row r="525" spans="1:2" x14ac:dyDescent="0.3">
      <c r="A525" s="113">
        <v>525</v>
      </c>
      <c r="B525" s="319" t="str">
        <f>CONCATENATE($A$524,$C$524,C525)</f>
        <v>524</v>
      </c>
    </row>
    <row r="526" spans="1:2" x14ac:dyDescent="0.3">
      <c r="A526" s="113">
        <v>526</v>
      </c>
      <c r="B526" s="113" t="str">
        <f t="shared" ref="B526:B535" si="198">CONCATENATE($A$524,$C$524,C526)</f>
        <v>524</v>
      </c>
    </row>
    <row r="527" spans="1:2" x14ac:dyDescent="0.3">
      <c r="A527" s="113">
        <v>527</v>
      </c>
      <c r="B527" s="113" t="str">
        <f t="shared" si="198"/>
        <v>524</v>
      </c>
    </row>
    <row r="528" spans="1:2" x14ac:dyDescent="0.3">
      <c r="A528" s="113">
        <v>528</v>
      </c>
      <c r="B528" s="113" t="str">
        <f t="shared" si="198"/>
        <v>524</v>
      </c>
    </row>
    <row r="529" spans="1:2" x14ac:dyDescent="0.3">
      <c r="A529" s="113">
        <v>529</v>
      </c>
      <c r="B529" s="113" t="str">
        <f t="shared" si="198"/>
        <v>524</v>
      </c>
    </row>
    <row r="530" spans="1:2" x14ac:dyDescent="0.3">
      <c r="A530" s="113">
        <v>530</v>
      </c>
      <c r="B530" s="113" t="str">
        <f t="shared" si="198"/>
        <v>524</v>
      </c>
    </row>
    <row r="531" spans="1:2" x14ac:dyDescent="0.3">
      <c r="A531" s="113">
        <v>531</v>
      </c>
      <c r="B531" s="113" t="str">
        <f t="shared" si="198"/>
        <v>524</v>
      </c>
    </row>
    <row r="532" spans="1:2" x14ac:dyDescent="0.3">
      <c r="A532" s="113">
        <v>532</v>
      </c>
      <c r="B532" s="113" t="str">
        <f t="shared" si="198"/>
        <v>524</v>
      </c>
    </row>
    <row r="533" spans="1:2" x14ac:dyDescent="0.3">
      <c r="A533" s="113">
        <v>533</v>
      </c>
      <c r="B533" s="113" t="str">
        <f t="shared" si="198"/>
        <v>524</v>
      </c>
    </row>
    <row r="534" spans="1:2" x14ac:dyDescent="0.3">
      <c r="A534" s="113">
        <v>534</v>
      </c>
      <c r="B534" s="113" t="str">
        <f t="shared" si="198"/>
        <v>524</v>
      </c>
    </row>
    <row r="535" spans="1:2" x14ac:dyDescent="0.3">
      <c r="A535" s="113">
        <v>535</v>
      </c>
      <c r="B535" s="113" t="str">
        <f t="shared" si="198"/>
        <v>524</v>
      </c>
    </row>
    <row r="536" spans="1:2" x14ac:dyDescent="0.3">
      <c r="A536" s="113">
        <v>536</v>
      </c>
    </row>
    <row r="537" spans="1:2" x14ac:dyDescent="0.3">
      <c r="A537" s="113">
        <v>537</v>
      </c>
      <c r="B537" s="115" t="str">
        <f>CONCATENATE($A$536,$C$536,C537)</f>
        <v>536</v>
      </c>
    </row>
    <row r="538" spans="1:2" x14ac:dyDescent="0.3">
      <c r="A538" s="113">
        <v>538</v>
      </c>
      <c r="B538" s="115" t="str">
        <f t="shared" ref="B538:B547" si="199">CONCATENATE($A$536,$C$536,C538)</f>
        <v>536</v>
      </c>
    </row>
    <row r="539" spans="1:2" x14ac:dyDescent="0.3">
      <c r="A539" s="113">
        <v>539</v>
      </c>
      <c r="B539" s="115" t="str">
        <f t="shared" si="199"/>
        <v>536</v>
      </c>
    </row>
    <row r="540" spans="1:2" x14ac:dyDescent="0.3">
      <c r="A540" s="113">
        <v>540</v>
      </c>
      <c r="B540" s="115" t="str">
        <f t="shared" si="199"/>
        <v>536</v>
      </c>
    </row>
    <row r="541" spans="1:2" x14ac:dyDescent="0.3">
      <c r="A541" s="113">
        <v>541</v>
      </c>
      <c r="B541" s="115" t="str">
        <f t="shared" si="199"/>
        <v>536</v>
      </c>
    </row>
    <row r="542" spans="1:2" x14ac:dyDescent="0.3">
      <c r="A542" s="113">
        <v>542</v>
      </c>
      <c r="B542" s="115" t="str">
        <f t="shared" si="199"/>
        <v>536</v>
      </c>
    </row>
    <row r="543" spans="1:2" x14ac:dyDescent="0.3">
      <c r="A543" s="113">
        <v>543</v>
      </c>
      <c r="B543" s="115" t="str">
        <f t="shared" si="199"/>
        <v>536</v>
      </c>
    </row>
    <row r="544" spans="1:2" x14ac:dyDescent="0.3">
      <c r="A544" s="113">
        <v>544</v>
      </c>
      <c r="B544" s="115" t="str">
        <f t="shared" si="199"/>
        <v>536</v>
      </c>
    </row>
    <row r="545" spans="1:2" x14ac:dyDescent="0.3">
      <c r="A545" s="113">
        <v>545</v>
      </c>
      <c r="B545" s="115" t="str">
        <f t="shared" si="199"/>
        <v>536</v>
      </c>
    </row>
    <row r="546" spans="1:2" x14ac:dyDescent="0.3">
      <c r="A546" s="113">
        <v>546</v>
      </c>
      <c r="B546" s="115" t="str">
        <f t="shared" si="199"/>
        <v>536</v>
      </c>
    </row>
    <row r="547" spans="1:2" x14ac:dyDescent="0.3">
      <c r="A547" s="113">
        <v>547</v>
      </c>
      <c r="B547" s="115" t="str">
        <f t="shared" si="199"/>
        <v>536</v>
      </c>
    </row>
    <row r="548" spans="1:2" x14ac:dyDescent="0.3">
      <c r="A548" s="113">
        <v>548</v>
      </c>
    </row>
    <row r="549" spans="1:2" x14ac:dyDescent="0.3">
      <c r="A549" s="113">
        <v>549</v>
      </c>
      <c r="B549" s="115" t="str">
        <f>CONCATENATE($A$548,$C$548,C549)</f>
        <v>548</v>
      </c>
    </row>
    <row r="550" spans="1:2" x14ac:dyDescent="0.3">
      <c r="A550" s="113">
        <v>550</v>
      </c>
      <c r="B550" s="115" t="str">
        <f t="shared" ref="B550:B559" si="200">CONCATENATE($A$548,$C$548,C550)</f>
        <v>548</v>
      </c>
    </row>
    <row r="551" spans="1:2" x14ac:dyDescent="0.3">
      <c r="A551" s="113">
        <v>551</v>
      </c>
      <c r="B551" s="115" t="str">
        <f t="shared" si="200"/>
        <v>548</v>
      </c>
    </row>
    <row r="552" spans="1:2" x14ac:dyDescent="0.3">
      <c r="A552" s="113">
        <v>552</v>
      </c>
      <c r="B552" s="115" t="str">
        <f t="shared" si="200"/>
        <v>548</v>
      </c>
    </row>
    <row r="553" spans="1:2" x14ac:dyDescent="0.3">
      <c r="A553" s="113">
        <v>553</v>
      </c>
      <c r="B553" s="115" t="str">
        <f t="shared" si="200"/>
        <v>548</v>
      </c>
    </row>
    <row r="554" spans="1:2" x14ac:dyDescent="0.3">
      <c r="A554" s="113">
        <v>554</v>
      </c>
      <c r="B554" s="115" t="str">
        <f t="shared" si="200"/>
        <v>548</v>
      </c>
    </row>
    <row r="555" spans="1:2" x14ac:dyDescent="0.3">
      <c r="A555" s="113">
        <v>555</v>
      </c>
      <c r="B555" s="115" t="str">
        <f t="shared" si="200"/>
        <v>548</v>
      </c>
    </row>
    <row r="556" spans="1:2" x14ac:dyDescent="0.3">
      <c r="A556" s="113">
        <v>556</v>
      </c>
      <c r="B556" s="115" t="str">
        <f t="shared" si="200"/>
        <v>548</v>
      </c>
    </row>
    <row r="557" spans="1:2" x14ac:dyDescent="0.3">
      <c r="A557" s="113">
        <v>557</v>
      </c>
      <c r="B557" s="115" t="str">
        <f t="shared" si="200"/>
        <v>548</v>
      </c>
    </row>
    <row r="558" spans="1:2" x14ac:dyDescent="0.3">
      <c r="A558" s="113">
        <v>558</v>
      </c>
      <c r="B558" s="115" t="str">
        <f t="shared" si="200"/>
        <v>548</v>
      </c>
    </row>
    <row r="559" spans="1:2" x14ac:dyDescent="0.3">
      <c r="A559" s="113">
        <v>559</v>
      </c>
      <c r="B559" s="115" t="str">
        <f t="shared" si="200"/>
        <v>548</v>
      </c>
    </row>
    <row r="560" spans="1:2" x14ac:dyDescent="0.3">
      <c r="A560" s="113">
        <v>560</v>
      </c>
    </row>
    <row r="561" spans="1:2" x14ac:dyDescent="0.3">
      <c r="A561" s="113">
        <v>561</v>
      </c>
      <c r="B561" s="115" t="str">
        <f>CONCATENATE($A$560,$C$560,C561)</f>
        <v>560</v>
      </c>
    </row>
    <row r="562" spans="1:2" x14ac:dyDescent="0.3">
      <c r="A562" s="113">
        <v>562</v>
      </c>
      <c r="B562" s="115" t="str">
        <f t="shared" ref="B562:B571" si="201">CONCATENATE($A$560,$C$560,C562)</f>
        <v>560</v>
      </c>
    </row>
    <row r="563" spans="1:2" x14ac:dyDescent="0.3">
      <c r="A563" s="113">
        <v>563</v>
      </c>
      <c r="B563" s="115" t="str">
        <f t="shared" si="201"/>
        <v>560</v>
      </c>
    </row>
    <row r="564" spans="1:2" x14ac:dyDescent="0.3">
      <c r="A564" s="113">
        <v>564</v>
      </c>
      <c r="B564" s="115" t="str">
        <f t="shared" si="201"/>
        <v>560</v>
      </c>
    </row>
    <row r="565" spans="1:2" x14ac:dyDescent="0.3">
      <c r="A565" s="113">
        <v>565</v>
      </c>
      <c r="B565" s="115" t="str">
        <f t="shared" si="201"/>
        <v>560</v>
      </c>
    </row>
    <row r="566" spans="1:2" x14ac:dyDescent="0.3">
      <c r="A566" s="113">
        <v>566</v>
      </c>
      <c r="B566" s="115" t="str">
        <f t="shared" si="201"/>
        <v>560</v>
      </c>
    </row>
    <row r="567" spans="1:2" x14ac:dyDescent="0.3">
      <c r="A567" s="113">
        <v>567</v>
      </c>
      <c r="B567" s="115" t="str">
        <f t="shared" si="201"/>
        <v>560</v>
      </c>
    </row>
    <row r="568" spans="1:2" x14ac:dyDescent="0.3">
      <c r="A568" s="113">
        <v>568</v>
      </c>
      <c r="B568" s="115" t="str">
        <f t="shared" si="201"/>
        <v>560</v>
      </c>
    </row>
    <row r="569" spans="1:2" x14ac:dyDescent="0.3">
      <c r="A569" s="113">
        <v>569</v>
      </c>
      <c r="B569" s="115" t="str">
        <f t="shared" si="201"/>
        <v>560</v>
      </c>
    </row>
    <row r="570" spans="1:2" x14ac:dyDescent="0.3">
      <c r="A570" s="113">
        <v>570</v>
      </c>
      <c r="B570" s="115" t="str">
        <f t="shared" si="201"/>
        <v>560</v>
      </c>
    </row>
    <row r="571" spans="1:2" x14ac:dyDescent="0.3">
      <c r="A571" s="113">
        <v>571</v>
      </c>
      <c r="B571" s="115" t="str">
        <f t="shared" si="201"/>
        <v>560</v>
      </c>
    </row>
    <row r="572" spans="1:2" x14ac:dyDescent="0.3">
      <c r="A572" s="113">
        <v>572</v>
      </c>
      <c r="B572" s="115"/>
    </row>
    <row r="573" spans="1:2" x14ac:dyDescent="0.3">
      <c r="A573" s="113">
        <v>573</v>
      </c>
      <c r="B573" s="115" t="str">
        <f>CONCATENATE($A$572,$C$572,C573)</f>
        <v>572</v>
      </c>
    </row>
    <row r="574" spans="1:2" x14ac:dyDescent="0.3">
      <c r="A574" s="113">
        <v>574</v>
      </c>
      <c r="B574" s="115" t="str">
        <f t="shared" ref="B574:B583" si="202">CONCATENATE($A$572,$C$572,C574)</f>
        <v>572</v>
      </c>
    </row>
    <row r="575" spans="1:2" x14ac:dyDescent="0.3">
      <c r="A575" s="113">
        <v>575</v>
      </c>
      <c r="B575" s="115" t="str">
        <f t="shared" si="202"/>
        <v>572</v>
      </c>
    </row>
    <row r="576" spans="1:2" x14ac:dyDescent="0.3">
      <c r="A576" s="113">
        <v>576</v>
      </c>
      <c r="B576" s="115" t="str">
        <f t="shared" si="202"/>
        <v>572</v>
      </c>
    </row>
    <row r="577" spans="1:2" x14ac:dyDescent="0.3">
      <c r="A577" s="113">
        <v>577</v>
      </c>
      <c r="B577" s="115" t="str">
        <f t="shared" si="202"/>
        <v>572</v>
      </c>
    </row>
    <row r="578" spans="1:2" x14ac:dyDescent="0.3">
      <c r="A578" s="113">
        <v>578</v>
      </c>
      <c r="B578" s="115" t="str">
        <f t="shared" si="202"/>
        <v>572</v>
      </c>
    </row>
    <row r="579" spans="1:2" x14ac:dyDescent="0.3">
      <c r="A579" s="113">
        <v>579</v>
      </c>
      <c r="B579" s="115" t="str">
        <f t="shared" si="202"/>
        <v>572</v>
      </c>
    </row>
    <row r="580" spans="1:2" x14ac:dyDescent="0.3">
      <c r="A580" s="113">
        <v>580</v>
      </c>
      <c r="B580" s="115" t="str">
        <f t="shared" si="202"/>
        <v>572</v>
      </c>
    </row>
    <row r="581" spans="1:2" x14ac:dyDescent="0.3">
      <c r="A581" s="113">
        <v>581</v>
      </c>
      <c r="B581" s="115" t="str">
        <f t="shared" si="202"/>
        <v>572</v>
      </c>
    </row>
    <row r="582" spans="1:2" x14ac:dyDescent="0.3">
      <c r="A582" s="113">
        <v>582</v>
      </c>
      <c r="B582" s="115" t="str">
        <f t="shared" si="202"/>
        <v>572</v>
      </c>
    </row>
    <row r="583" spans="1:2" x14ac:dyDescent="0.3">
      <c r="A583" s="113">
        <v>583</v>
      </c>
      <c r="B583" s="115" t="str">
        <f t="shared" si="202"/>
        <v>572</v>
      </c>
    </row>
    <row r="584" spans="1:2" x14ac:dyDescent="0.3">
      <c r="A584" s="113">
        <v>584</v>
      </c>
    </row>
    <row r="585" spans="1:2" x14ac:dyDescent="0.3">
      <c r="A585" s="113">
        <v>585</v>
      </c>
      <c r="B585" s="115" t="str">
        <f>CONCATENATE($A$584,$C$584,C585)</f>
        <v>584</v>
      </c>
    </row>
    <row r="586" spans="1:2" x14ac:dyDescent="0.3">
      <c r="A586" s="113">
        <v>586</v>
      </c>
      <c r="B586" s="115" t="str">
        <f t="shared" ref="B586:B595" si="203">CONCATENATE($A$584,$C$584,C586)</f>
        <v>584</v>
      </c>
    </row>
    <row r="587" spans="1:2" x14ac:dyDescent="0.3">
      <c r="A587" s="113">
        <v>587</v>
      </c>
      <c r="B587" s="115" t="str">
        <f t="shared" si="203"/>
        <v>584</v>
      </c>
    </row>
    <row r="588" spans="1:2" x14ac:dyDescent="0.3">
      <c r="A588" s="113">
        <v>588</v>
      </c>
      <c r="B588" s="115" t="str">
        <f t="shared" si="203"/>
        <v>584</v>
      </c>
    </row>
    <row r="589" spans="1:2" x14ac:dyDescent="0.3">
      <c r="A589" s="113">
        <v>589</v>
      </c>
      <c r="B589" s="115" t="str">
        <f t="shared" si="203"/>
        <v>584</v>
      </c>
    </row>
    <row r="590" spans="1:2" x14ac:dyDescent="0.3">
      <c r="A590" s="113">
        <v>590</v>
      </c>
      <c r="B590" s="115" t="str">
        <f t="shared" si="203"/>
        <v>584</v>
      </c>
    </row>
    <row r="591" spans="1:2" x14ac:dyDescent="0.3">
      <c r="A591" s="113">
        <v>591</v>
      </c>
      <c r="B591" s="115" t="str">
        <f t="shared" si="203"/>
        <v>584</v>
      </c>
    </row>
    <row r="592" spans="1:2" x14ac:dyDescent="0.3">
      <c r="A592" s="113">
        <v>592</v>
      </c>
      <c r="B592" s="115" t="str">
        <f t="shared" si="203"/>
        <v>584</v>
      </c>
    </row>
    <row r="593" spans="1:2" x14ac:dyDescent="0.3">
      <c r="A593" s="113">
        <v>593</v>
      </c>
      <c r="B593" s="115" t="str">
        <f t="shared" si="203"/>
        <v>584</v>
      </c>
    </row>
    <row r="594" spans="1:2" x14ac:dyDescent="0.3">
      <c r="A594" s="113">
        <v>594</v>
      </c>
      <c r="B594" s="115" t="str">
        <f t="shared" si="203"/>
        <v>584</v>
      </c>
    </row>
    <row r="595" spans="1:2" x14ac:dyDescent="0.3">
      <c r="A595" s="113">
        <v>595</v>
      </c>
      <c r="B595" s="115" t="str">
        <f t="shared" si="203"/>
        <v>584</v>
      </c>
    </row>
    <row r="596" spans="1:2" x14ac:dyDescent="0.3">
      <c r="A596" s="113">
        <v>596</v>
      </c>
    </row>
    <row r="597" spans="1:2" x14ac:dyDescent="0.3">
      <c r="A597" s="113">
        <v>597</v>
      </c>
      <c r="B597" s="115" t="str">
        <f>CONCATENATE($A$596,$C$596,C597)</f>
        <v>596</v>
      </c>
    </row>
    <row r="598" spans="1:2" x14ac:dyDescent="0.3">
      <c r="A598" s="113">
        <v>598</v>
      </c>
      <c r="B598" s="115" t="str">
        <f t="shared" ref="B598:B607" si="204">CONCATENATE($A$596,$C$596,C598)</f>
        <v>596</v>
      </c>
    </row>
    <row r="599" spans="1:2" x14ac:dyDescent="0.3">
      <c r="A599" s="113">
        <v>599</v>
      </c>
      <c r="B599" s="115" t="str">
        <f t="shared" si="204"/>
        <v>596</v>
      </c>
    </row>
    <row r="600" spans="1:2" x14ac:dyDescent="0.3">
      <c r="A600" s="113">
        <v>600</v>
      </c>
      <c r="B600" s="115" t="str">
        <f t="shared" si="204"/>
        <v>596</v>
      </c>
    </row>
    <row r="601" spans="1:2" x14ac:dyDescent="0.3">
      <c r="A601" s="113">
        <v>601</v>
      </c>
      <c r="B601" s="115" t="str">
        <f t="shared" si="204"/>
        <v>596</v>
      </c>
    </row>
    <row r="602" spans="1:2" x14ac:dyDescent="0.3">
      <c r="A602" s="113">
        <v>602</v>
      </c>
      <c r="B602" s="115" t="str">
        <f t="shared" si="204"/>
        <v>596</v>
      </c>
    </row>
    <row r="603" spans="1:2" x14ac:dyDescent="0.3">
      <c r="A603" s="113">
        <v>603</v>
      </c>
      <c r="B603" s="115" t="str">
        <f t="shared" si="204"/>
        <v>596</v>
      </c>
    </row>
    <row r="604" spans="1:2" x14ac:dyDescent="0.3">
      <c r="A604" s="113">
        <v>604</v>
      </c>
      <c r="B604" s="115" t="str">
        <f t="shared" si="204"/>
        <v>596</v>
      </c>
    </row>
    <row r="605" spans="1:2" x14ac:dyDescent="0.3">
      <c r="A605" s="113">
        <v>605</v>
      </c>
      <c r="B605" s="115" t="str">
        <f t="shared" si="204"/>
        <v>596</v>
      </c>
    </row>
    <row r="606" spans="1:2" x14ac:dyDescent="0.3">
      <c r="A606" s="113">
        <v>606</v>
      </c>
      <c r="B606" s="115" t="str">
        <f t="shared" si="204"/>
        <v>596</v>
      </c>
    </row>
    <row r="607" spans="1:2" x14ac:dyDescent="0.3">
      <c r="A607" s="113">
        <v>607</v>
      </c>
      <c r="B607" s="115" t="str">
        <f t="shared" si="204"/>
        <v>596</v>
      </c>
    </row>
    <row r="608" spans="1:2" x14ac:dyDescent="0.3">
      <c r="A608" s="113">
        <v>608</v>
      </c>
    </row>
    <row r="609" spans="1:2" x14ac:dyDescent="0.3">
      <c r="A609" s="113">
        <v>609</v>
      </c>
      <c r="B609" s="115" t="str">
        <f>CONCATENATE($A$608,$C$608,C609)</f>
        <v>608</v>
      </c>
    </row>
    <row r="610" spans="1:2" x14ac:dyDescent="0.3">
      <c r="A610" s="113">
        <v>610</v>
      </c>
      <c r="B610" s="115" t="str">
        <f t="shared" ref="B610:B619" si="205">CONCATENATE($A$608,$C$608,C610)</f>
        <v>608</v>
      </c>
    </row>
    <row r="611" spans="1:2" x14ac:dyDescent="0.3">
      <c r="A611" s="113">
        <v>611</v>
      </c>
      <c r="B611" s="115" t="str">
        <f t="shared" si="205"/>
        <v>608</v>
      </c>
    </row>
    <row r="612" spans="1:2" x14ac:dyDescent="0.3">
      <c r="A612" s="113">
        <v>612</v>
      </c>
      <c r="B612" s="115" t="str">
        <f t="shared" si="205"/>
        <v>608</v>
      </c>
    </row>
    <row r="613" spans="1:2" x14ac:dyDescent="0.3">
      <c r="A613" s="113">
        <v>613</v>
      </c>
      <c r="B613" s="115" t="str">
        <f t="shared" si="205"/>
        <v>608</v>
      </c>
    </row>
    <row r="614" spans="1:2" x14ac:dyDescent="0.3">
      <c r="A614" s="113">
        <v>614</v>
      </c>
      <c r="B614" s="115" t="str">
        <f t="shared" si="205"/>
        <v>608</v>
      </c>
    </row>
    <row r="615" spans="1:2" x14ac:dyDescent="0.3">
      <c r="A615" s="113">
        <v>615</v>
      </c>
      <c r="B615" s="115" t="str">
        <f t="shared" si="205"/>
        <v>608</v>
      </c>
    </row>
    <row r="616" spans="1:2" x14ac:dyDescent="0.3">
      <c r="A616" s="113">
        <v>616</v>
      </c>
      <c r="B616" s="115" t="str">
        <f t="shared" si="205"/>
        <v>608</v>
      </c>
    </row>
    <row r="617" spans="1:2" x14ac:dyDescent="0.3">
      <c r="A617" s="113">
        <v>617</v>
      </c>
      <c r="B617" s="115" t="str">
        <f t="shared" si="205"/>
        <v>608</v>
      </c>
    </row>
    <row r="618" spans="1:2" x14ac:dyDescent="0.3">
      <c r="A618" s="113">
        <v>618</v>
      </c>
      <c r="B618" s="115" t="str">
        <f t="shared" si="205"/>
        <v>608</v>
      </c>
    </row>
    <row r="619" spans="1:2" x14ac:dyDescent="0.3">
      <c r="A619" s="113">
        <v>619</v>
      </c>
      <c r="B619" s="115" t="str">
        <f t="shared" si="205"/>
        <v>608</v>
      </c>
    </row>
    <row r="620" spans="1:2" x14ac:dyDescent="0.3">
      <c r="A620" s="113">
        <v>620</v>
      </c>
    </row>
    <row r="621" spans="1:2" x14ac:dyDescent="0.3">
      <c r="A621" s="113">
        <v>621</v>
      </c>
      <c r="B621" s="115" t="str">
        <f>CONCATENATE($A$620,$C$620,C621)</f>
        <v>620</v>
      </c>
    </row>
    <row r="622" spans="1:2" x14ac:dyDescent="0.3">
      <c r="A622" s="113">
        <v>622</v>
      </c>
      <c r="B622" s="115" t="str">
        <f t="shared" ref="B622:B631" si="206">CONCATENATE($A$620,$C$620,C622)</f>
        <v>620</v>
      </c>
    </row>
    <row r="623" spans="1:2" x14ac:dyDescent="0.3">
      <c r="A623" s="113">
        <v>623</v>
      </c>
      <c r="B623" s="115" t="str">
        <f t="shared" si="206"/>
        <v>620</v>
      </c>
    </row>
    <row r="624" spans="1:2" x14ac:dyDescent="0.3">
      <c r="A624" s="113">
        <v>624</v>
      </c>
      <c r="B624" s="115" t="str">
        <f t="shared" si="206"/>
        <v>620</v>
      </c>
    </row>
    <row r="625" spans="1:2" x14ac:dyDescent="0.3">
      <c r="A625" s="113">
        <v>625</v>
      </c>
      <c r="B625" s="115" t="str">
        <f t="shared" si="206"/>
        <v>620</v>
      </c>
    </row>
    <row r="626" spans="1:2" x14ac:dyDescent="0.3">
      <c r="A626" s="113">
        <v>626</v>
      </c>
      <c r="B626" s="115" t="str">
        <f t="shared" si="206"/>
        <v>620</v>
      </c>
    </row>
    <row r="627" spans="1:2" x14ac:dyDescent="0.3">
      <c r="A627" s="113">
        <v>627</v>
      </c>
      <c r="B627" s="115" t="str">
        <f t="shared" si="206"/>
        <v>620</v>
      </c>
    </row>
    <row r="628" spans="1:2" x14ac:dyDescent="0.3">
      <c r="A628" s="113">
        <v>628</v>
      </c>
      <c r="B628" s="115" t="str">
        <f t="shared" si="206"/>
        <v>620</v>
      </c>
    </row>
    <row r="629" spans="1:2" x14ac:dyDescent="0.3">
      <c r="A629" s="113">
        <v>629</v>
      </c>
      <c r="B629" s="115" t="str">
        <f t="shared" si="206"/>
        <v>620</v>
      </c>
    </row>
    <row r="630" spans="1:2" x14ac:dyDescent="0.3">
      <c r="A630" s="113">
        <v>630</v>
      </c>
      <c r="B630" s="115" t="str">
        <f t="shared" si="206"/>
        <v>620</v>
      </c>
    </row>
    <row r="631" spans="1:2" x14ac:dyDescent="0.3">
      <c r="A631" s="113">
        <v>631</v>
      </c>
      <c r="B631" s="115" t="str">
        <f t="shared" si="206"/>
        <v>620</v>
      </c>
    </row>
    <row r="632" spans="1:2" x14ac:dyDescent="0.3">
      <c r="A632" s="113">
        <v>632</v>
      </c>
    </row>
    <row r="633" spans="1:2" x14ac:dyDescent="0.3">
      <c r="A633" s="113">
        <v>633</v>
      </c>
      <c r="B633" s="115" t="str">
        <f>CONCATENATE($A$632,$C$632,C633)</f>
        <v>632</v>
      </c>
    </row>
    <row r="634" spans="1:2" x14ac:dyDescent="0.3">
      <c r="A634" s="113">
        <v>634</v>
      </c>
      <c r="B634" s="115" t="str">
        <f t="shared" ref="B634:B643" si="207">CONCATENATE($A$632,$C$632,C634)</f>
        <v>632</v>
      </c>
    </row>
    <row r="635" spans="1:2" x14ac:dyDescent="0.3">
      <c r="A635" s="113">
        <v>635</v>
      </c>
      <c r="B635" s="115" t="str">
        <f t="shared" si="207"/>
        <v>632</v>
      </c>
    </row>
    <row r="636" spans="1:2" x14ac:dyDescent="0.3">
      <c r="A636" s="113">
        <v>636</v>
      </c>
      <c r="B636" s="115" t="str">
        <f t="shared" si="207"/>
        <v>632</v>
      </c>
    </row>
    <row r="637" spans="1:2" x14ac:dyDescent="0.3">
      <c r="A637" s="113">
        <v>637</v>
      </c>
      <c r="B637" s="115" t="str">
        <f t="shared" si="207"/>
        <v>632</v>
      </c>
    </row>
    <row r="638" spans="1:2" x14ac:dyDescent="0.3">
      <c r="A638" s="113">
        <v>638</v>
      </c>
      <c r="B638" s="115" t="str">
        <f t="shared" si="207"/>
        <v>632</v>
      </c>
    </row>
    <row r="639" spans="1:2" x14ac:dyDescent="0.3">
      <c r="A639" s="113">
        <v>639</v>
      </c>
      <c r="B639" s="115" t="str">
        <f t="shared" si="207"/>
        <v>632</v>
      </c>
    </row>
    <row r="640" spans="1:2" x14ac:dyDescent="0.3">
      <c r="A640" s="113">
        <v>640</v>
      </c>
      <c r="B640" s="115" t="str">
        <f t="shared" si="207"/>
        <v>632</v>
      </c>
    </row>
    <row r="641" spans="1:2" x14ac:dyDescent="0.3">
      <c r="A641" s="113">
        <v>641</v>
      </c>
      <c r="B641" s="115" t="str">
        <f t="shared" si="207"/>
        <v>632</v>
      </c>
    </row>
    <row r="642" spans="1:2" x14ac:dyDescent="0.3">
      <c r="A642" s="113">
        <v>642</v>
      </c>
      <c r="B642" s="115" t="str">
        <f t="shared" si="207"/>
        <v>632</v>
      </c>
    </row>
    <row r="643" spans="1:2" x14ac:dyDescent="0.3">
      <c r="A643" s="113">
        <v>643</v>
      </c>
      <c r="B643" s="115" t="str">
        <f t="shared" si="207"/>
        <v>632</v>
      </c>
    </row>
    <row r="644" spans="1:2" x14ac:dyDescent="0.3">
      <c r="A644" s="113">
        <v>644</v>
      </c>
    </row>
    <row r="645" spans="1:2" x14ac:dyDescent="0.3">
      <c r="A645" s="113">
        <v>645</v>
      </c>
      <c r="B645" s="115" t="str">
        <f>CONCATENATE($A$644,$C$644,C645)</f>
        <v>644</v>
      </c>
    </row>
    <row r="646" spans="1:2" x14ac:dyDescent="0.3">
      <c r="A646" s="113">
        <v>646</v>
      </c>
      <c r="B646" s="115" t="str">
        <f t="shared" ref="B646:B655" si="208">CONCATENATE($A$644,$C$644,C646)</f>
        <v>644</v>
      </c>
    </row>
    <row r="647" spans="1:2" x14ac:dyDescent="0.3">
      <c r="A647" s="113">
        <v>647</v>
      </c>
      <c r="B647" s="115" t="str">
        <f t="shared" si="208"/>
        <v>644</v>
      </c>
    </row>
    <row r="648" spans="1:2" x14ac:dyDescent="0.3">
      <c r="A648" s="113">
        <v>648</v>
      </c>
      <c r="B648" s="115" t="str">
        <f t="shared" si="208"/>
        <v>644</v>
      </c>
    </row>
    <row r="649" spans="1:2" x14ac:dyDescent="0.3">
      <c r="A649" s="113">
        <v>649</v>
      </c>
      <c r="B649" s="115" t="str">
        <f t="shared" si="208"/>
        <v>644</v>
      </c>
    </row>
    <row r="650" spans="1:2" x14ac:dyDescent="0.3">
      <c r="A650" s="113">
        <v>650</v>
      </c>
      <c r="B650" s="115" t="str">
        <f t="shared" si="208"/>
        <v>644</v>
      </c>
    </row>
    <row r="651" spans="1:2" x14ac:dyDescent="0.3">
      <c r="A651" s="113">
        <v>651</v>
      </c>
      <c r="B651" s="115" t="str">
        <f t="shared" si="208"/>
        <v>644</v>
      </c>
    </row>
    <row r="652" spans="1:2" x14ac:dyDescent="0.3">
      <c r="A652" s="113">
        <v>652</v>
      </c>
      <c r="B652" s="115" t="str">
        <f t="shared" si="208"/>
        <v>644</v>
      </c>
    </row>
    <row r="653" spans="1:2" x14ac:dyDescent="0.3">
      <c r="A653" s="113">
        <v>653</v>
      </c>
      <c r="B653" s="115" t="str">
        <f t="shared" si="208"/>
        <v>644</v>
      </c>
    </row>
    <row r="654" spans="1:2" x14ac:dyDescent="0.3">
      <c r="A654" s="113">
        <v>654</v>
      </c>
      <c r="B654" s="115" t="str">
        <f t="shared" si="208"/>
        <v>644</v>
      </c>
    </row>
    <row r="655" spans="1:2" x14ac:dyDescent="0.3">
      <c r="A655" s="113">
        <v>655</v>
      </c>
      <c r="B655" s="115" t="str">
        <f t="shared" si="208"/>
        <v>644</v>
      </c>
    </row>
    <row r="656" spans="1:2" x14ac:dyDescent="0.3">
      <c r="A656" s="113">
        <v>656</v>
      </c>
    </row>
    <row r="657" spans="1:2" x14ac:dyDescent="0.3">
      <c r="A657" s="113">
        <v>657</v>
      </c>
      <c r="B657" s="115" t="str">
        <f>CONCATENATE($A$656,$C$656,C657)</f>
        <v>656</v>
      </c>
    </row>
    <row r="658" spans="1:2" x14ac:dyDescent="0.3">
      <c r="A658" s="113">
        <v>658</v>
      </c>
      <c r="B658" s="115" t="str">
        <f t="shared" ref="B658:B667" si="209">CONCATENATE($A$656,$C$656,C658)</f>
        <v>656</v>
      </c>
    </row>
    <row r="659" spans="1:2" x14ac:dyDescent="0.3">
      <c r="A659" s="113">
        <v>659</v>
      </c>
      <c r="B659" s="115" t="str">
        <f t="shared" si="209"/>
        <v>656</v>
      </c>
    </row>
    <row r="660" spans="1:2" x14ac:dyDescent="0.3">
      <c r="A660" s="113">
        <v>660</v>
      </c>
      <c r="B660" s="115" t="str">
        <f t="shared" si="209"/>
        <v>656</v>
      </c>
    </row>
    <row r="661" spans="1:2" x14ac:dyDescent="0.3">
      <c r="A661" s="113">
        <v>661</v>
      </c>
      <c r="B661" s="115" t="str">
        <f t="shared" si="209"/>
        <v>656</v>
      </c>
    </row>
    <row r="662" spans="1:2" x14ac:dyDescent="0.3">
      <c r="A662" s="113">
        <v>662</v>
      </c>
      <c r="B662" s="115" t="str">
        <f t="shared" si="209"/>
        <v>656</v>
      </c>
    </row>
    <row r="663" spans="1:2" x14ac:dyDescent="0.3">
      <c r="A663" s="113">
        <v>663</v>
      </c>
      <c r="B663" s="115" t="str">
        <f t="shared" si="209"/>
        <v>656</v>
      </c>
    </row>
    <row r="664" spans="1:2" x14ac:dyDescent="0.3">
      <c r="A664" s="113">
        <v>664</v>
      </c>
      <c r="B664" s="115" t="str">
        <f t="shared" si="209"/>
        <v>656</v>
      </c>
    </row>
    <row r="665" spans="1:2" x14ac:dyDescent="0.3">
      <c r="A665" s="113">
        <v>665</v>
      </c>
      <c r="B665" s="115" t="str">
        <f t="shared" si="209"/>
        <v>656</v>
      </c>
    </row>
    <row r="666" spans="1:2" x14ac:dyDescent="0.3">
      <c r="A666" s="113">
        <v>666</v>
      </c>
      <c r="B666" s="115" t="str">
        <f t="shared" si="209"/>
        <v>656</v>
      </c>
    </row>
    <row r="667" spans="1:2" x14ac:dyDescent="0.3">
      <c r="A667" s="113">
        <v>667</v>
      </c>
      <c r="B667" s="115" t="str">
        <f t="shared" si="209"/>
        <v>656</v>
      </c>
    </row>
    <row r="668" spans="1:2" x14ac:dyDescent="0.3">
      <c r="A668" s="113">
        <v>668</v>
      </c>
    </row>
    <row r="669" spans="1:2" x14ac:dyDescent="0.3">
      <c r="A669" s="113">
        <v>669</v>
      </c>
      <c r="B669" s="115" t="str">
        <f>CONCATENATE($A$668,$C$668,C669)</f>
        <v>668</v>
      </c>
    </row>
    <row r="670" spans="1:2" x14ac:dyDescent="0.3">
      <c r="A670" s="113">
        <v>670</v>
      </c>
      <c r="B670" s="115" t="str">
        <f t="shared" ref="B670:B679" si="210">CONCATENATE($A$668,$C$668,C670)</f>
        <v>668</v>
      </c>
    </row>
    <row r="671" spans="1:2" x14ac:dyDescent="0.3">
      <c r="A671" s="113">
        <v>671</v>
      </c>
      <c r="B671" s="115" t="str">
        <f t="shared" si="210"/>
        <v>668</v>
      </c>
    </row>
    <row r="672" spans="1:2" x14ac:dyDescent="0.3">
      <c r="A672" s="113">
        <v>672</v>
      </c>
      <c r="B672" s="115" t="str">
        <f t="shared" si="210"/>
        <v>668</v>
      </c>
    </row>
    <row r="673" spans="1:2" x14ac:dyDescent="0.3">
      <c r="A673" s="113">
        <v>673</v>
      </c>
      <c r="B673" s="115" t="str">
        <f t="shared" si="210"/>
        <v>668</v>
      </c>
    </row>
    <row r="674" spans="1:2" x14ac:dyDescent="0.3">
      <c r="A674" s="113">
        <v>674</v>
      </c>
      <c r="B674" s="115" t="str">
        <f t="shared" si="210"/>
        <v>668</v>
      </c>
    </row>
    <row r="675" spans="1:2" x14ac:dyDescent="0.3">
      <c r="A675" s="113">
        <v>675</v>
      </c>
      <c r="B675" s="115" t="str">
        <f t="shared" si="210"/>
        <v>668</v>
      </c>
    </row>
    <row r="676" spans="1:2" x14ac:dyDescent="0.3">
      <c r="A676" s="113">
        <v>676</v>
      </c>
      <c r="B676" s="115" t="str">
        <f t="shared" si="210"/>
        <v>668</v>
      </c>
    </row>
    <row r="677" spans="1:2" x14ac:dyDescent="0.3">
      <c r="A677" s="113">
        <v>677</v>
      </c>
      <c r="B677" s="115" t="str">
        <f t="shared" si="210"/>
        <v>668</v>
      </c>
    </row>
    <row r="678" spans="1:2" x14ac:dyDescent="0.3">
      <c r="A678" s="113">
        <v>678</v>
      </c>
      <c r="B678" s="115" t="str">
        <f t="shared" si="210"/>
        <v>668</v>
      </c>
    </row>
    <row r="679" spans="1:2" x14ac:dyDescent="0.3">
      <c r="A679" s="113">
        <v>679</v>
      </c>
      <c r="B679" s="115" t="str">
        <f t="shared" si="210"/>
        <v>668</v>
      </c>
    </row>
    <row r="680" spans="1:2" x14ac:dyDescent="0.3">
      <c r="A680" s="113">
        <v>680</v>
      </c>
    </row>
    <row r="681" spans="1:2" x14ac:dyDescent="0.3">
      <c r="A681" s="113">
        <v>681</v>
      </c>
      <c r="B681" s="115" t="str">
        <f>CONCATENATE($A$680,$C$680,C681)</f>
        <v>680</v>
      </c>
    </row>
    <row r="682" spans="1:2" x14ac:dyDescent="0.3">
      <c r="A682" s="113">
        <v>682</v>
      </c>
      <c r="B682" s="115" t="str">
        <f t="shared" ref="B682:B691" si="211">CONCATENATE($A$680,$C$680,C682)</f>
        <v>680</v>
      </c>
    </row>
    <row r="683" spans="1:2" x14ac:dyDescent="0.3">
      <c r="A683" s="113">
        <v>683</v>
      </c>
      <c r="B683" s="115" t="str">
        <f t="shared" si="211"/>
        <v>680</v>
      </c>
    </row>
    <row r="684" spans="1:2" x14ac:dyDescent="0.3">
      <c r="A684" s="113">
        <v>684</v>
      </c>
      <c r="B684" s="115" t="str">
        <f t="shared" si="211"/>
        <v>680</v>
      </c>
    </row>
    <row r="685" spans="1:2" x14ac:dyDescent="0.3">
      <c r="A685" s="113">
        <v>685</v>
      </c>
      <c r="B685" s="115" t="str">
        <f t="shared" si="211"/>
        <v>680</v>
      </c>
    </row>
    <row r="686" spans="1:2" x14ac:dyDescent="0.3">
      <c r="A686" s="113">
        <v>686</v>
      </c>
      <c r="B686" s="115" t="str">
        <f t="shared" si="211"/>
        <v>680</v>
      </c>
    </row>
    <row r="687" spans="1:2" x14ac:dyDescent="0.3">
      <c r="A687" s="113">
        <v>687</v>
      </c>
      <c r="B687" s="115" t="str">
        <f t="shared" si="211"/>
        <v>680</v>
      </c>
    </row>
    <row r="688" spans="1:2" x14ac:dyDescent="0.3">
      <c r="A688" s="113">
        <v>688</v>
      </c>
      <c r="B688" s="115" t="str">
        <f t="shared" si="211"/>
        <v>680</v>
      </c>
    </row>
    <row r="689" spans="1:2" x14ac:dyDescent="0.3">
      <c r="A689" s="113">
        <v>689</v>
      </c>
      <c r="B689" s="115" t="str">
        <f t="shared" si="211"/>
        <v>680</v>
      </c>
    </row>
    <row r="690" spans="1:2" x14ac:dyDescent="0.3">
      <c r="A690" s="113">
        <v>690</v>
      </c>
      <c r="B690" s="115" t="str">
        <f t="shared" si="211"/>
        <v>680</v>
      </c>
    </row>
    <row r="691" spans="1:2" x14ac:dyDescent="0.3">
      <c r="A691" s="113">
        <v>691</v>
      </c>
      <c r="B691" s="115" t="str">
        <f t="shared" si="211"/>
        <v>680</v>
      </c>
    </row>
    <row r="692" spans="1:2" x14ac:dyDescent="0.3">
      <c r="A692" s="113">
        <v>692</v>
      </c>
    </row>
    <row r="693" spans="1:2" x14ac:dyDescent="0.3">
      <c r="A693" s="113">
        <v>693</v>
      </c>
      <c r="B693" s="115" t="str">
        <f>CONCATENATE($A$692,$C$692,C693)</f>
        <v>692</v>
      </c>
    </row>
    <row r="694" spans="1:2" x14ac:dyDescent="0.3">
      <c r="A694" s="113">
        <v>694</v>
      </c>
      <c r="B694" s="115" t="str">
        <f t="shared" ref="B694:B703" si="212">CONCATENATE($A$692,$C$692,C694)</f>
        <v>692</v>
      </c>
    </row>
    <row r="695" spans="1:2" x14ac:dyDescent="0.3">
      <c r="A695" s="113">
        <v>695</v>
      </c>
      <c r="B695" s="115" t="str">
        <f t="shared" si="212"/>
        <v>692</v>
      </c>
    </row>
    <row r="696" spans="1:2" x14ac:dyDescent="0.3">
      <c r="A696" s="113">
        <v>696</v>
      </c>
      <c r="B696" s="115" t="str">
        <f t="shared" si="212"/>
        <v>692</v>
      </c>
    </row>
    <row r="697" spans="1:2" x14ac:dyDescent="0.3">
      <c r="A697" s="113">
        <v>697</v>
      </c>
      <c r="B697" s="115" t="str">
        <f t="shared" si="212"/>
        <v>692</v>
      </c>
    </row>
    <row r="698" spans="1:2" x14ac:dyDescent="0.3">
      <c r="A698" s="113">
        <v>698</v>
      </c>
      <c r="B698" s="115" t="str">
        <f t="shared" si="212"/>
        <v>692</v>
      </c>
    </row>
    <row r="699" spans="1:2" x14ac:dyDescent="0.3">
      <c r="A699" s="113">
        <v>699</v>
      </c>
      <c r="B699" s="115" t="str">
        <f t="shared" si="212"/>
        <v>692</v>
      </c>
    </row>
    <row r="700" spans="1:2" x14ac:dyDescent="0.3">
      <c r="A700" s="113">
        <v>700</v>
      </c>
      <c r="B700" s="115" t="str">
        <f t="shared" si="212"/>
        <v>692</v>
      </c>
    </row>
    <row r="701" spans="1:2" x14ac:dyDescent="0.3">
      <c r="A701" s="113">
        <v>701</v>
      </c>
      <c r="B701" s="115" t="str">
        <f t="shared" si="212"/>
        <v>692</v>
      </c>
    </row>
    <row r="702" spans="1:2" x14ac:dyDescent="0.3">
      <c r="A702" s="113">
        <v>702</v>
      </c>
      <c r="B702" s="115" t="str">
        <f t="shared" si="212"/>
        <v>692</v>
      </c>
    </row>
    <row r="703" spans="1:2" x14ac:dyDescent="0.3">
      <c r="A703" s="113">
        <v>703</v>
      </c>
      <c r="B703" s="115" t="str">
        <f t="shared" si="212"/>
        <v>692</v>
      </c>
    </row>
    <row r="704" spans="1:2" x14ac:dyDescent="0.3">
      <c r="A704" s="113">
        <v>704</v>
      </c>
    </row>
    <row r="705" spans="1:1" x14ac:dyDescent="0.3">
      <c r="A705" s="113">
        <v>705</v>
      </c>
    </row>
    <row r="706" spans="1:1" x14ac:dyDescent="0.3">
      <c r="A706" s="113">
        <v>706</v>
      </c>
    </row>
    <row r="707" spans="1:1" x14ac:dyDescent="0.3">
      <c r="A707" s="113">
        <v>707</v>
      </c>
    </row>
    <row r="708" spans="1:1" x14ac:dyDescent="0.3">
      <c r="A708" s="113">
        <v>708</v>
      </c>
    </row>
    <row r="709" spans="1:1" x14ac:dyDescent="0.3">
      <c r="A709" s="113">
        <v>709</v>
      </c>
    </row>
    <row r="710" spans="1:1" x14ac:dyDescent="0.3">
      <c r="A710" s="113">
        <v>710</v>
      </c>
    </row>
    <row r="711" spans="1:1" x14ac:dyDescent="0.3">
      <c r="A711" s="113">
        <v>711</v>
      </c>
    </row>
    <row r="712" spans="1:1" x14ac:dyDescent="0.3">
      <c r="A712" s="113">
        <v>712</v>
      </c>
    </row>
    <row r="713" spans="1:1" x14ac:dyDescent="0.3">
      <c r="A713" s="113">
        <v>713</v>
      </c>
    </row>
    <row r="714" spans="1:1" x14ac:dyDescent="0.3">
      <c r="A714" s="113">
        <v>714</v>
      </c>
    </row>
    <row r="715" spans="1:1" x14ac:dyDescent="0.3">
      <c r="A715" s="113">
        <v>715</v>
      </c>
    </row>
    <row r="716" spans="1:1" x14ac:dyDescent="0.3">
      <c r="A716" s="113">
        <v>716</v>
      </c>
    </row>
    <row r="717" spans="1:1" x14ac:dyDescent="0.3">
      <c r="A717" s="113">
        <v>717</v>
      </c>
    </row>
    <row r="718" spans="1:1" x14ac:dyDescent="0.3">
      <c r="A718" s="113">
        <v>718</v>
      </c>
    </row>
    <row r="719" spans="1:1" x14ac:dyDescent="0.3">
      <c r="A719" s="113">
        <v>719</v>
      </c>
    </row>
    <row r="720" spans="1:1" x14ac:dyDescent="0.3">
      <c r="A720" s="113">
        <v>720</v>
      </c>
    </row>
    <row r="721" spans="1:1" x14ac:dyDescent="0.3">
      <c r="A721" s="113">
        <v>721</v>
      </c>
    </row>
    <row r="722" spans="1:1" x14ac:dyDescent="0.3">
      <c r="A722" s="113">
        <v>722</v>
      </c>
    </row>
    <row r="723" spans="1:1" x14ac:dyDescent="0.3">
      <c r="A723" s="113">
        <v>723</v>
      </c>
    </row>
  </sheetData>
  <autoFilter ref="F7:AU7" xr:uid="{00000000-0009-0000-0000-00000000000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52" r:id="rId4" name="Button 8">
              <controlPr defaultSize="0" print="0" autoFill="0" autoPict="0" macro="[0]!MacroCopyKHsangHT">
                <anchor moveWithCells="1" sizeWithCells="1">
                  <from>
                    <xdr:col>17</xdr:col>
                    <xdr:colOff>106680</xdr:colOff>
                    <xdr:row>2</xdr:row>
                    <xdr:rowOff>137160</xdr:rowOff>
                  </from>
                  <to>
                    <xdr:col>22</xdr:col>
                    <xdr:colOff>144780</xdr:colOff>
                    <xdr:row>3</xdr:row>
                    <xdr:rowOff>83820</xdr:rowOff>
                  </to>
                </anchor>
              </controlPr>
            </control>
          </mc:Choice>
        </mc:AlternateContent>
        <mc:AlternateContent xmlns:mc="http://schemas.openxmlformats.org/markup-compatibility/2006">
          <mc:Choice Requires="x14">
            <control shapeId="31753" r:id="rId5" name="Button 9">
              <controlPr defaultSize="0" print="0" autoFill="0" autoPict="0" macro="[0]!DienNgayLuuTen">
                <anchor moveWithCells="1" sizeWithCells="1">
                  <from>
                    <xdr:col>5</xdr:col>
                    <xdr:colOff>342900</xdr:colOff>
                    <xdr:row>1</xdr:row>
                    <xdr:rowOff>121920</xdr:rowOff>
                  </from>
                  <to>
                    <xdr:col>6</xdr:col>
                    <xdr:colOff>312420</xdr:colOff>
                    <xdr:row>2</xdr:row>
                    <xdr:rowOff>83820</xdr:rowOff>
                  </to>
                </anchor>
              </controlPr>
            </control>
          </mc:Choice>
        </mc:AlternateContent>
        <mc:AlternateContent xmlns:mc="http://schemas.openxmlformats.org/markup-compatibility/2006">
          <mc:Choice Requires="x14">
            <control shapeId="31754" r:id="rId6" name="Button 10">
              <controlPr defaultSize="0" print="0" autoFill="0" autoPict="0" macro="[0]!Macro3DiChuyenKH">
                <anchor moveWithCells="1" sizeWithCells="1">
                  <from>
                    <xdr:col>5</xdr:col>
                    <xdr:colOff>45720</xdr:colOff>
                    <xdr:row>90</xdr:row>
                    <xdr:rowOff>175260</xdr:rowOff>
                  </from>
                  <to>
                    <xdr:col>5</xdr:col>
                    <xdr:colOff>213360</xdr:colOff>
                    <xdr:row>188</xdr:row>
                    <xdr:rowOff>38100</xdr:rowOff>
                  </to>
                </anchor>
              </controlPr>
            </control>
          </mc:Choice>
        </mc:AlternateContent>
        <mc:AlternateContent xmlns:mc="http://schemas.openxmlformats.org/markup-compatibility/2006">
          <mc:Choice Requires="x14">
            <control shapeId="31755" r:id="rId7" name="Button 11">
              <controlPr defaultSize="0" print="0" autoFill="0" autoPict="0" macro="[0]!Macro3DiChuyenKH">
                <anchor moveWithCells="1" sizeWithCells="1">
                  <from>
                    <xdr:col>5</xdr:col>
                    <xdr:colOff>45720</xdr:colOff>
                    <xdr:row>211</xdr:row>
                    <xdr:rowOff>175260</xdr:rowOff>
                  </from>
                  <to>
                    <xdr:col>5</xdr:col>
                    <xdr:colOff>213360</xdr:colOff>
                    <xdr:row>309</xdr:row>
                    <xdr:rowOff>38100</xdr:rowOff>
                  </to>
                </anchor>
              </controlPr>
            </control>
          </mc:Choice>
        </mc:AlternateContent>
        <mc:AlternateContent xmlns:mc="http://schemas.openxmlformats.org/markup-compatibility/2006">
          <mc:Choice Requires="x14">
            <control shapeId="31756" r:id="rId8" name="Button 12">
              <controlPr defaultSize="0" print="0" autoFill="0" autoPict="0" macro="[0]!Macro3DiChuyenKH">
                <anchor moveWithCells="1" sizeWithCells="1">
                  <from>
                    <xdr:col>5</xdr:col>
                    <xdr:colOff>45720</xdr:colOff>
                    <xdr:row>234</xdr:row>
                    <xdr:rowOff>175260</xdr:rowOff>
                  </from>
                  <to>
                    <xdr:col>5</xdr:col>
                    <xdr:colOff>213360</xdr:colOff>
                    <xdr:row>332</xdr:row>
                    <xdr:rowOff>38100</xdr:rowOff>
                  </to>
                </anchor>
              </controlPr>
            </control>
          </mc:Choice>
        </mc:AlternateContent>
        <mc:AlternateContent xmlns:mc="http://schemas.openxmlformats.org/markup-compatibility/2006">
          <mc:Choice Requires="x14">
            <control shapeId="31757" r:id="rId9" name="Button 13">
              <controlPr defaultSize="0" print="0" autoFill="0" autoPict="0" macro="[0]!Macro3DiChuyenKH">
                <anchor moveWithCells="1" sizeWithCells="1">
                  <from>
                    <xdr:col>5</xdr:col>
                    <xdr:colOff>45720</xdr:colOff>
                    <xdr:row>236</xdr:row>
                    <xdr:rowOff>175260</xdr:rowOff>
                  </from>
                  <to>
                    <xdr:col>5</xdr:col>
                    <xdr:colOff>213360</xdr:colOff>
                    <xdr:row>334</xdr:row>
                    <xdr:rowOff>38100</xdr:rowOff>
                  </to>
                </anchor>
              </controlPr>
            </control>
          </mc:Choice>
        </mc:AlternateContent>
        <mc:AlternateContent xmlns:mc="http://schemas.openxmlformats.org/markup-compatibility/2006">
          <mc:Choice Requires="x14">
            <control shapeId="31758" r:id="rId10" name="Button 14">
              <controlPr defaultSize="0" print="0" autoFill="0" autoPict="0" macro="[0]!Macro3DiChuyenKH">
                <anchor moveWithCells="1" sizeWithCells="1">
                  <from>
                    <xdr:col>5</xdr:col>
                    <xdr:colOff>45720</xdr:colOff>
                    <xdr:row>238</xdr:row>
                    <xdr:rowOff>175260</xdr:rowOff>
                  </from>
                  <to>
                    <xdr:col>5</xdr:col>
                    <xdr:colOff>213360</xdr:colOff>
                    <xdr:row>336</xdr:row>
                    <xdr:rowOff>38100</xdr:rowOff>
                  </to>
                </anchor>
              </controlPr>
            </control>
          </mc:Choice>
        </mc:AlternateContent>
        <mc:AlternateContent xmlns:mc="http://schemas.openxmlformats.org/markup-compatibility/2006">
          <mc:Choice Requires="x14">
            <control shapeId="31759" r:id="rId11" name="Button 15">
              <controlPr defaultSize="0" print="0" autoFill="0" autoPict="0" macro="[0]!Macro3DiChuyenKH">
                <anchor moveWithCells="1" sizeWithCells="1">
                  <from>
                    <xdr:col>5</xdr:col>
                    <xdr:colOff>45720</xdr:colOff>
                    <xdr:row>8</xdr:row>
                    <xdr:rowOff>175260</xdr:rowOff>
                  </from>
                  <to>
                    <xdr:col>5</xdr:col>
                    <xdr:colOff>213360</xdr:colOff>
                    <xdr:row>70</xdr:row>
                    <xdr:rowOff>38100</xdr:rowOff>
                  </to>
                </anchor>
              </controlPr>
            </control>
          </mc:Choice>
        </mc:AlternateContent>
        <mc:AlternateContent xmlns:mc="http://schemas.openxmlformats.org/markup-compatibility/2006">
          <mc:Choice Requires="x14">
            <control shapeId="31760" r:id="rId12" name="Button 16">
              <controlPr defaultSize="0" print="0" autoFill="0" autoPict="0" macro="[0]!Macro3DiChuyenKH">
                <anchor moveWithCells="1" sizeWithCells="1">
                  <from>
                    <xdr:col>5</xdr:col>
                    <xdr:colOff>45720</xdr:colOff>
                    <xdr:row>240</xdr:row>
                    <xdr:rowOff>175260</xdr:rowOff>
                  </from>
                  <to>
                    <xdr:col>5</xdr:col>
                    <xdr:colOff>213360</xdr:colOff>
                    <xdr:row>338</xdr:row>
                    <xdr:rowOff>38100</xdr:rowOff>
                  </to>
                </anchor>
              </controlPr>
            </control>
          </mc:Choice>
        </mc:AlternateContent>
        <mc:AlternateContent xmlns:mc="http://schemas.openxmlformats.org/markup-compatibility/2006">
          <mc:Choice Requires="x14">
            <control shapeId="31761" r:id="rId13" name="Button 17">
              <controlPr defaultSize="0" print="0" autoFill="0" autoPict="0" macro="[0]!Macro3DiChuyenKH">
                <anchor moveWithCells="1" sizeWithCells="1">
                  <from>
                    <xdr:col>5</xdr:col>
                    <xdr:colOff>45720</xdr:colOff>
                    <xdr:row>8</xdr:row>
                    <xdr:rowOff>175260</xdr:rowOff>
                  </from>
                  <to>
                    <xdr:col>5</xdr:col>
                    <xdr:colOff>213360</xdr:colOff>
                    <xdr:row>70</xdr:row>
                    <xdr:rowOff>38100</xdr:rowOff>
                  </to>
                </anchor>
              </controlPr>
            </control>
          </mc:Choice>
        </mc:AlternateContent>
        <mc:AlternateContent xmlns:mc="http://schemas.openxmlformats.org/markup-compatibility/2006">
          <mc:Choice Requires="x14">
            <control shapeId="31762" r:id="rId14" name="Button 18">
              <controlPr defaultSize="0" print="0" autoFill="0" autoPict="0" macro="[0]!Macro3DiChuyenKH">
                <anchor moveWithCells="1" sizeWithCells="1">
                  <from>
                    <xdr:col>5</xdr:col>
                    <xdr:colOff>45720</xdr:colOff>
                    <xdr:row>241</xdr:row>
                    <xdr:rowOff>175260</xdr:rowOff>
                  </from>
                  <to>
                    <xdr:col>5</xdr:col>
                    <xdr:colOff>213360</xdr:colOff>
                    <xdr:row>339</xdr:row>
                    <xdr:rowOff>38100</xdr:rowOff>
                  </to>
                </anchor>
              </controlPr>
            </control>
          </mc:Choice>
        </mc:AlternateContent>
        <mc:AlternateContent xmlns:mc="http://schemas.openxmlformats.org/markup-compatibility/2006">
          <mc:Choice Requires="x14">
            <control shapeId="31763" r:id="rId15" name="Button 19">
              <controlPr defaultSize="0" print="0" autoFill="0" autoPict="0" macro="[0]!Macro3DiChuyenKH">
                <anchor moveWithCells="1" sizeWithCells="1">
                  <from>
                    <xdr:col>5</xdr:col>
                    <xdr:colOff>45720</xdr:colOff>
                    <xdr:row>8</xdr:row>
                    <xdr:rowOff>175260</xdr:rowOff>
                  </from>
                  <to>
                    <xdr:col>5</xdr:col>
                    <xdr:colOff>213360</xdr:colOff>
                    <xdr:row>70</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tabColor rgb="FF00B0F0"/>
  </sheetPr>
  <dimension ref="A1:BZ29"/>
  <sheetViews>
    <sheetView zoomScale="115" zoomScaleNormal="115" workbookViewId="0">
      <pane ySplit="8" topLeftCell="A15" activePane="bottomLeft" state="frozen"/>
      <selection activeCell="C14" sqref="C14"/>
      <selection pane="bottomLeft" activeCell="V18" sqref="V18:V20"/>
    </sheetView>
  </sheetViews>
  <sheetFormatPr defaultColWidth="9" defaultRowHeight="21.9" customHeight="1" x14ac:dyDescent="0.3"/>
  <cols>
    <col min="1" max="1" width="2.59765625" style="134" bestFit="1" customWidth="1"/>
    <col min="2" max="2" width="5.3984375" style="134" customWidth="1"/>
    <col min="3" max="3" width="5.69921875" style="15" bestFit="1" customWidth="1"/>
    <col min="4" max="4" width="9.69921875" style="135" customWidth="1"/>
    <col min="5" max="5" width="5" style="136" bestFit="1" customWidth="1"/>
    <col min="6" max="6" width="18.3984375" style="135" bestFit="1" customWidth="1"/>
    <col min="7" max="7" width="3.3984375" style="135" bestFit="1" customWidth="1"/>
    <col min="8" max="8" width="4.3984375" style="15" bestFit="1" customWidth="1"/>
    <col min="9" max="9" width="4.3984375" style="15" customWidth="1"/>
    <col min="10" max="10" width="4.69921875" style="15" customWidth="1"/>
    <col min="11" max="11" width="5.09765625" style="137" bestFit="1" customWidth="1"/>
    <col min="12" max="12" width="10.19921875" style="134" customWidth="1"/>
    <col min="13" max="13" width="7.3984375" style="15" customWidth="1"/>
    <col min="14" max="14" width="4.8984375" style="15" bestFit="1" customWidth="1"/>
    <col min="15" max="15" width="5.09765625" style="15" bestFit="1" customWidth="1"/>
    <col min="16" max="16" width="8" style="138" hidden="1" customWidth="1"/>
    <col min="17" max="17" width="2" style="15" bestFit="1" customWidth="1"/>
    <col min="18" max="19" width="3.09765625" style="15" bestFit="1" customWidth="1"/>
    <col min="20" max="20" width="4.09765625" style="134" bestFit="1" customWidth="1"/>
    <col min="21" max="21" width="3.59765625" style="139" bestFit="1" customWidth="1"/>
    <col min="22" max="22" width="4.5" style="140" customWidth="1"/>
    <col min="23" max="23" width="4.8984375" style="141" customWidth="1"/>
    <col min="24" max="24" width="5.8984375" style="142" bestFit="1" customWidth="1"/>
    <col min="25" max="25" width="3.3984375" style="142" bestFit="1" customWidth="1"/>
    <col min="26" max="26" width="2.8984375" style="142" bestFit="1" customWidth="1"/>
    <col min="27" max="27" width="3.19921875" style="142" bestFit="1" customWidth="1"/>
    <col min="28" max="28" width="6.3984375" style="142" bestFit="1" customWidth="1"/>
    <col min="29" max="29" width="2.09765625" style="143" bestFit="1" customWidth="1"/>
    <col min="30" max="30" width="1.8984375" style="134" bestFit="1" customWidth="1"/>
    <col min="31" max="31" width="4.3984375" style="15" bestFit="1" customWidth="1"/>
    <col min="32" max="32" width="12.8984375" style="135" bestFit="1" customWidth="1"/>
    <col min="33" max="33" width="4.5" style="15" customWidth="1"/>
    <col min="34" max="34" width="4.8984375" style="15" bestFit="1" customWidth="1"/>
    <col min="35" max="35" width="3.8984375" style="140" bestFit="1" customWidth="1"/>
    <col min="36" max="36" width="4.3984375" style="141" bestFit="1" customWidth="1"/>
    <col min="37" max="37" width="5.8984375" style="142" bestFit="1" customWidth="1"/>
    <col min="38" max="38" width="3.19921875" style="142" bestFit="1" customWidth="1"/>
    <col min="39" max="40" width="6.3984375" style="142" bestFit="1" customWidth="1"/>
    <col min="41" max="41" width="5.8984375" style="142" bestFit="1" customWidth="1"/>
    <col min="42" max="42" width="3.8984375" style="143" bestFit="1" customWidth="1"/>
    <col min="43" max="43" width="4.3984375" style="140" bestFit="1" customWidth="1"/>
    <col min="44" max="44" width="0.8984375" style="140" customWidth="1"/>
    <col min="45" max="45" width="6.59765625" style="141" customWidth="1"/>
    <col min="46" max="46" width="5.8984375" style="141" bestFit="1" customWidth="1"/>
    <col min="47" max="47" width="7.3984375" style="141" customWidth="1"/>
    <col min="48" max="48" width="2.09765625" style="141" bestFit="1" customWidth="1"/>
    <col min="49" max="49" width="2.8984375" style="152" hidden="1" customWidth="1"/>
    <col min="50" max="50" width="1.19921875" style="152" hidden="1" customWidth="1"/>
    <col min="51" max="52" width="4.3984375" style="152" hidden="1" customWidth="1"/>
    <col min="53" max="53" width="3.59765625" style="152" hidden="1" customWidth="1"/>
    <col min="54" max="54" width="5" style="142" hidden="1" customWidth="1"/>
    <col min="55" max="55" width="5.09765625" style="142" hidden="1" customWidth="1"/>
    <col min="56" max="56" width="6" style="142" hidden="1" customWidth="1"/>
    <col min="57" max="57" width="3.5" style="142" hidden="1" customWidth="1"/>
    <col min="58" max="58" width="3.3984375" style="142" hidden="1" customWidth="1"/>
    <col min="59" max="61" width="3.8984375" style="142" hidden="1" customWidth="1"/>
    <col min="62" max="62" width="10.3984375" style="142" hidden="1" customWidth="1"/>
    <col min="63" max="63" width="3.8984375" style="142" hidden="1" customWidth="1"/>
    <col min="64" max="64" width="3.3984375" style="145" hidden="1" customWidth="1"/>
    <col min="65" max="65" width="9.19921875" style="134" customWidth="1"/>
    <col min="66" max="16384" width="9" style="134"/>
  </cols>
  <sheetData>
    <row r="1" spans="1:78" s="131" customFormat="1" ht="30" customHeight="1" x14ac:dyDescent="0.3">
      <c r="A1" s="421" t="s">
        <v>12685</v>
      </c>
      <c r="B1" s="421"/>
      <c r="C1" s="421"/>
      <c r="D1" s="421"/>
      <c r="E1" s="421"/>
      <c r="F1" s="421"/>
      <c r="G1" s="421"/>
      <c r="H1" s="421"/>
      <c r="I1" s="421"/>
      <c r="J1" s="421"/>
      <c r="K1" s="421"/>
      <c r="L1" s="421"/>
      <c r="M1" s="14"/>
      <c r="N1" s="14"/>
      <c r="O1" s="14"/>
      <c r="P1" s="129"/>
      <c r="Q1" s="14"/>
      <c r="R1" s="14"/>
      <c r="S1" s="14"/>
      <c r="T1" s="14"/>
      <c r="U1" s="130"/>
      <c r="V1" s="421" t="s">
        <v>12686</v>
      </c>
      <c r="W1" s="421"/>
      <c r="X1" s="421"/>
      <c r="Y1" s="421"/>
      <c r="Z1" s="421"/>
      <c r="AA1" s="421"/>
      <c r="AB1" s="421"/>
      <c r="AC1" s="421"/>
      <c r="AD1" s="421" t="s">
        <v>12685</v>
      </c>
      <c r="AE1" s="421"/>
      <c r="AF1" s="421"/>
      <c r="AG1" s="421"/>
      <c r="AH1" s="421"/>
      <c r="AI1" s="421"/>
      <c r="AM1" s="132"/>
      <c r="AN1" s="421" t="s">
        <v>12686</v>
      </c>
      <c r="AO1" s="421"/>
      <c r="AP1" s="421"/>
      <c r="AQ1" s="421"/>
      <c r="AR1" s="421"/>
      <c r="AS1" s="421"/>
      <c r="AT1" s="421"/>
      <c r="AU1" s="421"/>
      <c r="AV1" s="421"/>
      <c r="AW1" s="14"/>
      <c r="AX1" s="14"/>
      <c r="AY1" s="14"/>
      <c r="AZ1" s="14"/>
      <c r="BA1" s="14"/>
      <c r="BB1" s="14"/>
      <c r="BC1" s="14"/>
      <c r="BD1" s="14"/>
      <c r="BE1" s="14"/>
      <c r="BF1" s="14"/>
      <c r="BG1" s="14"/>
      <c r="BH1" s="14"/>
      <c r="BI1" s="14"/>
      <c r="BJ1" s="14"/>
      <c r="BK1" s="14"/>
      <c r="BL1" s="133"/>
      <c r="BM1" s="212" t="s">
        <v>12191</v>
      </c>
      <c r="BN1" s="212" t="s">
        <v>12181</v>
      </c>
      <c r="BO1" s="131" t="s">
        <v>11104</v>
      </c>
      <c r="BQ1" s="134" t="s">
        <v>11542</v>
      </c>
      <c r="BR1" s="131" t="s">
        <v>12614</v>
      </c>
      <c r="BS1" s="212" t="s">
        <v>12028</v>
      </c>
      <c r="BT1" s="131" t="s">
        <v>13264</v>
      </c>
    </row>
    <row r="2" spans="1:78" ht="9.9" customHeight="1" x14ac:dyDescent="0.3">
      <c r="AW2" s="144"/>
      <c r="AX2" s="144"/>
      <c r="AY2" s="144"/>
      <c r="AZ2" s="144"/>
      <c r="BA2" s="144"/>
    </row>
    <row r="3" spans="1:78" ht="15.6" customHeight="1" x14ac:dyDescent="0.3">
      <c r="A3" s="422" t="s">
        <v>12687</v>
      </c>
      <c r="B3" s="422"/>
      <c r="C3" s="422"/>
      <c r="D3" s="422"/>
      <c r="E3" s="422"/>
      <c r="F3" s="422"/>
      <c r="G3" s="422"/>
      <c r="H3" s="422"/>
      <c r="I3" s="422"/>
      <c r="J3" s="422"/>
      <c r="K3" s="422"/>
      <c r="L3" s="422"/>
      <c r="M3" s="422"/>
      <c r="N3" s="422"/>
      <c r="O3" s="422"/>
      <c r="P3" s="422"/>
      <c r="Q3" s="422"/>
      <c r="R3" s="422"/>
      <c r="S3" s="422"/>
      <c r="T3" s="422"/>
      <c r="U3" s="422"/>
      <c r="V3" s="422"/>
      <c r="W3" s="422"/>
      <c r="X3" s="422"/>
      <c r="Y3" s="422"/>
      <c r="Z3" s="422"/>
      <c r="AA3" s="422"/>
      <c r="AB3" s="422"/>
      <c r="AC3" s="422"/>
      <c r="AD3" s="422" t="s">
        <v>12688</v>
      </c>
      <c r="AE3" s="422"/>
      <c r="AF3" s="422"/>
      <c r="AG3" s="422"/>
      <c r="AH3" s="422"/>
      <c r="AI3" s="422"/>
      <c r="AJ3" s="422"/>
      <c r="AK3" s="422"/>
      <c r="AL3" s="422"/>
      <c r="AM3" s="422"/>
      <c r="AN3" s="422"/>
      <c r="AO3" s="422"/>
      <c r="AP3" s="422"/>
      <c r="AQ3" s="422"/>
      <c r="AR3" s="422"/>
      <c r="AS3" s="422"/>
      <c r="AT3" s="422"/>
      <c r="AU3" s="422"/>
      <c r="AV3" s="422"/>
      <c r="AW3" s="408" t="s">
        <v>12689</v>
      </c>
      <c r="AX3" s="408"/>
      <c r="AY3" s="408"/>
      <c r="AZ3" s="408"/>
      <c r="BA3" s="408"/>
      <c r="BB3" s="408"/>
      <c r="BC3" s="408"/>
      <c r="BD3" s="408"/>
      <c r="BE3" s="408"/>
      <c r="BF3" s="408"/>
      <c r="BG3" s="408"/>
      <c r="BH3" s="408"/>
      <c r="BI3" s="408"/>
      <c r="BJ3" s="408"/>
      <c r="BK3" s="408"/>
      <c r="BM3" s="131" t="s">
        <v>13716</v>
      </c>
      <c r="BN3" s="134" t="s">
        <v>13266</v>
      </c>
      <c r="BO3" s="131" t="s">
        <v>13263</v>
      </c>
      <c r="BP3" s="131" t="s">
        <v>11478</v>
      </c>
      <c r="BQ3" s="212" t="s">
        <v>11410</v>
      </c>
      <c r="BR3" s="131" t="s">
        <v>11708</v>
      </c>
      <c r="BT3" s="113" t="s">
        <v>6771</v>
      </c>
      <c r="BU3" s="113" t="s">
        <v>12768</v>
      </c>
    </row>
    <row r="4" spans="1:78" s="15" customFormat="1" ht="21" customHeight="1" x14ac:dyDescent="0.3">
      <c r="A4" s="131"/>
      <c r="B4" s="131"/>
      <c r="C4" s="131"/>
      <c r="D4" s="131"/>
      <c r="E4" s="146"/>
      <c r="F4" s="131"/>
      <c r="G4" s="131"/>
      <c r="H4" s="131"/>
      <c r="I4" s="131"/>
      <c r="J4" s="131"/>
      <c r="K4" s="409" t="s">
        <v>19</v>
      </c>
      <c r="L4" s="409"/>
      <c r="M4" s="147">
        <v>45490</v>
      </c>
      <c r="N4" s="131"/>
      <c r="O4" s="131"/>
      <c r="P4" s="148"/>
      <c r="Q4" s="131"/>
      <c r="R4" s="131"/>
      <c r="S4" s="131"/>
      <c r="T4" s="131"/>
      <c r="U4" s="131"/>
      <c r="V4" s="131"/>
      <c r="W4" s="131"/>
      <c r="X4" s="131"/>
      <c r="Y4" s="131"/>
      <c r="Z4" s="131"/>
      <c r="AA4" s="131"/>
      <c r="AB4" s="131"/>
      <c r="AC4" s="149"/>
      <c r="AD4" s="131"/>
      <c r="AE4" s="131"/>
      <c r="AF4" s="149"/>
      <c r="AG4" s="131"/>
      <c r="AH4" s="131"/>
      <c r="AI4" s="409" t="str">
        <f>K4</f>
        <v>Ngày, tháng, năm:</v>
      </c>
      <c r="AJ4" s="409"/>
      <c r="AK4" s="409"/>
      <c r="AL4" s="409"/>
      <c r="AM4" s="150">
        <v>44440</v>
      </c>
      <c r="AN4" s="132"/>
      <c r="AO4" s="132"/>
      <c r="AP4" s="149"/>
      <c r="AQ4" s="409"/>
      <c r="AR4" s="409"/>
      <c r="AS4" s="409"/>
      <c r="AT4" s="131"/>
      <c r="AU4" s="131"/>
      <c r="AV4" s="131"/>
      <c r="AW4" s="151"/>
      <c r="AX4" s="151"/>
      <c r="AY4" s="131"/>
      <c r="AZ4" s="131"/>
      <c r="BA4" s="131"/>
      <c r="BB4" s="14"/>
      <c r="BC4" s="14"/>
      <c r="BD4" s="14"/>
      <c r="BE4" s="14"/>
      <c r="BF4" s="14"/>
      <c r="BG4" s="14"/>
      <c r="BH4" s="14"/>
      <c r="BI4" s="14"/>
      <c r="BJ4" s="14"/>
      <c r="BK4" s="14"/>
      <c r="BL4" s="145"/>
      <c r="BM4" s="134" t="s">
        <v>13717</v>
      </c>
      <c r="BN4" s="15" t="s">
        <v>13267</v>
      </c>
      <c r="BP4" s="134" t="s">
        <v>13265</v>
      </c>
    </row>
    <row r="5" spans="1:78" ht="5.0999999999999996" customHeight="1" x14ac:dyDescent="0.3">
      <c r="A5" s="15"/>
      <c r="B5" s="15"/>
      <c r="AD5" s="15"/>
    </row>
    <row r="6" spans="1:78" s="156" customFormat="1" ht="21.6" customHeight="1" x14ac:dyDescent="0.3">
      <c r="A6" s="399" t="s">
        <v>12690</v>
      </c>
      <c r="B6" s="418" t="s">
        <v>12691</v>
      </c>
      <c r="C6" s="399" t="s">
        <v>12692</v>
      </c>
      <c r="D6" s="420" t="s">
        <v>12693</v>
      </c>
      <c r="E6" s="420"/>
      <c r="F6" s="420"/>
      <c r="G6" s="420"/>
      <c r="H6" s="397" t="s">
        <v>12694</v>
      </c>
      <c r="I6" s="410" t="s">
        <v>12695</v>
      </c>
      <c r="J6" s="411"/>
      <c r="K6" s="411"/>
      <c r="L6" s="412"/>
      <c r="M6" s="399" t="s">
        <v>12696</v>
      </c>
      <c r="N6" s="399"/>
      <c r="O6" s="397" t="s">
        <v>12697</v>
      </c>
      <c r="P6" s="413" t="s">
        <v>12698</v>
      </c>
      <c r="Q6" s="397" t="s">
        <v>12699</v>
      </c>
      <c r="R6" s="406" t="s">
        <v>12700</v>
      </c>
      <c r="S6" s="406" t="s">
        <v>12701</v>
      </c>
      <c r="T6" s="397" t="s">
        <v>12702</v>
      </c>
      <c r="U6" s="404" t="s">
        <v>12703</v>
      </c>
      <c r="V6" s="404"/>
      <c r="W6" s="404"/>
      <c r="X6" s="404"/>
      <c r="Y6" s="400" t="s">
        <v>12704</v>
      </c>
      <c r="Z6" s="400" t="s">
        <v>12705</v>
      </c>
      <c r="AA6" s="400" t="s">
        <v>12706</v>
      </c>
      <c r="AB6" s="400" t="s">
        <v>12707</v>
      </c>
      <c r="AC6" s="400" t="s">
        <v>12708</v>
      </c>
      <c r="AD6" s="399" t="s">
        <v>12709</v>
      </c>
      <c r="AE6" s="397" t="s">
        <v>12694</v>
      </c>
      <c r="AF6" s="397" t="s">
        <v>12695</v>
      </c>
      <c r="AG6" s="399" t="s">
        <v>12710</v>
      </c>
      <c r="AH6" s="399"/>
      <c r="AI6" s="415" t="s">
        <v>12703</v>
      </c>
      <c r="AJ6" s="416"/>
      <c r="AK6" s="417"/>
      <c r="AL6" s="400" t="s">
        <v>12711</v>
      </c>
      <c r="AM6" s="400" t="s">
        <v>12707</v>
      </c>
      <c r="AN6" s="400" t="s">
        <v>12712</v>
      </c>
      <c r="AO6" s="400" t="s">
        <v>12713</v>
      </c>
      <c r="AP6" s="400" t="s">
        <v>12714</v>
      </c>
      <c r="AQ6" s="402" t="s">
        <v>12715</v>
      </c>
      <c r="AR6" s="153"/>
      <c r="AS6" s="404" t="s">
        <v>12716</v>
      </c>
      <c r="AT6" s="404"/>
      <c r="AU6" s="404" t="s">
        <v>12717</v>
      </c>
      <c r="AV6" s="404" t="s">
        <v>12708</v>
      </c>
      <c r="AW6" s="405"/>
      <c r="AX6" s="154"/>
      <c r="AY6" s="154"/>
      <c r="AZ6" s="154"/>
      <c r="BA6" s="154"/>
      <c r="BB6" s="395" t="s">
        <v>12718</v>
      </c>
      <c r="BC6" s="395" t="s">
        <v>12719</v>
      </c>
      <c r="BD6" s="395" t="s">
        <v>12720</v>
      </c>
      <c r="BE6" s="395" t="s">
        <v>12721</v>
      </c>
      <c r="BF6" s="395" t="s">
        <v>12722</v>
      </c>
      <c r="BG6" s="395" t="s">
        <v>12723</v>
      </c>
      <c r="BH6" s="395" t="s">
        <v>12724</v>
      </c>
      <c r="BI6" s="155"/>
      <c r="BJ6" s="395" t="s">
        <v>12725</v>
      </c>
      <c r="BK6" s="395" t="s">
        <v>12726</v>
      </c>
      <c r="BL6" s="396" t="s">
        <v>12727</v>
      </c>
    </row>
    <row r="7" spans="1:78" s="156" customFormat="1" ht="42.6" customHeight="1" x14ac:dyDescent="0.3">
      <c r="A7" s="399"/>
      <c r="B7" s="419"/>
      <c r="C7" s="399"/>
      <c r="D7" s="157" t="s">
        <v>12728</v>
      </c>
      <c r="E7" s="158" t="s">
        <v>242</v>
      </c>
      <c r="F7" s="157" t="s">
        <v>12729</v>
      </c>
      <c r="G7" s="157" t="s">
        <v>12730</v>
      </c>
      <c r="H7" s="398"/>
      <c r="I7" s="157" t="s">
        <v>13170</v>
      </c>
      <c r="J7" s="157" t="s">
        <v>13171</v>
      </c>
      <c r="K7" s="157" t="s">
        <v>12731</v>
      </c>
      <c r="L7" s="157" t="s">
        <v>12732</v>
      </c>
      <c r="M7" s="159" t="s">
        <v>12733</v>
      </c>
      <c r="N7" s="157" t="s">
        <v>237</v>
      </c>
      <c r="O7" s="398"/>
      <c r="P7" s="414"/>
      <c r="Q7" s="398"/>
      <c r="R7" s="407"/>
      <c r="S7" s="407"/>
      <c r="T7" s="398"/>
      <c r="U7" s="160" t="s">
        <v>12734</v>
      </c>
      <c r="V7" s="161" t="s">
        <v>12735</v>
      </c>
      <c r="W7" s="162" t="s">
        <v>4</v>
      </c>
      <c r="X7" s="163" t="s">
        <v>5</v>
      </c>
      <c r="Y7" s="401"/>
      <c r="Z7" s="401"/>
      <c r="AA7" s="401"/>
      <c r="AB7" s="401"/>
      <c r="AC7" s="401"/>
      <c r="AD7" s="399"/>
      <c r="AE7" s="398"/>
      <c r="AF7" s="398"/>
      <c r="AG7" s="159" t="s">
        <v>12736</v>
      </c>
      <c r="AH7" s="157" t="s">
        <v>237</v>
      </c>
      <c r="AI7" s="161" t="s">
        <v>12735</v>
      </c>
      <c r="AJ7" s="162" t="s">
        <v>4</v>
      </c>
      <c r="AK7" s="164" t="s">
        <v>5</v>
      </c>
      <c r="AL7" s="401"/>
      <c r="AM7" s="401"/>
      <c r="AN7" s="401"/>
      <c r="AO7" s="401"/>
      <c r="AP7" s="401"/>
      <c r="AQ7" s="403"/>
      <c r="AR7" s="165"/>
      <c r="AS7" s="162" t="s">
        <v>4</v>
      </c>
      <c r="AT7" s="162" t="s">
        <v>5</v>
      </c>
      <c r="AU7" s="404"/>
      <c r="AV7" s="404"/>
      <c r="AW7" s="405"/>
      <c r="AX7" s="154"/>
      <c r="AY7" s="154"/>
      <c r="AZ7" s="154"/>
      <c r="BA7" s="154"/>
      <c r="BB7" s="395"/>
      <c r="BC7" s="395"/>
      <c r="BD7" s="395"/>
      <c r="BE7" s="395"/>
      <c r="BF7" s="395"/>
      <c r="BG7" s="395"/>
      <c r="BH7" s="395"/>
      <c r="BI7" s="155"/>
      <c r="BJ7" s="395"/>
      <c r="BK7" s="395"/>
      <c r="BL7" s="396"/>
    </row>
    <row r="8" spans="1:78" s="156" customFormat="1" ht="20.100000000000001" customHeight="1" x14ac:dyDescent="0.3">
      <c r="A8" s="157" t="s">
        <v>8</v>
      </c>
      <c r="B8" s="163" t="s">
        <v>9</v>
      </c>
      <c r="C8" s="157" t="s">
        <v>12737</v>
      </c>
      <c r="D8" s="157" t="s">
        <v>12738</v>
      </c>
      <c r="E8" s="158" t="s">
        <v>12739</v>
      </c>
      <c r="F8" s="157" t="s">
        <v>12740</v>
      </c>
      <c r="G8" s="157" t="s">
        <v>12741</v>
      </c>
      <c r="H8" s="157" t="s">
        <v>12742</v>
      </c>
      <c r="I8" s="157" t="s">
        <v>12743</v>
      </c>
      <c r="J8" s="157" t="s">
        <v>13172</v>
      </c>
      <c r="K8" s="157" t="s">
        <v>12744</v>
      </c>
      <c r="L8" s="157" t="s">
        <v>12745</v>
      </c>
      <c r="M8" s="159" t="s">
        <v>12746</v>
      </c>
      <c r="N8" s="157" t="s">
        <v>12747</v>
      </c>
      <c r="O8" s="157" t="s">
        <v>12748</v>
      </c>
      <c r="P8" s="166"/>
      <c r="Q8" s="157" t="s">
        <v>12749</v>
      </c>
      <c r="R8" s="159" t="s">
        <v>12750</v>
      </c>
      <c r="S8" s="159" t="s">
        <v>12751</v>
      </c>
      <c r="T8" s="157" t="s">
        <v>12753</v>
      </c>
      <c r="U8" s="162">
        <v>1</v>
      </c>
      <c r="V8" s="162">
        <v>2</v>
      </c>
      <c r="W8" s="162">
        <v>3</v>
      </c>
      <c r="X8" s="167" t="s">
        <v>12752</v>
      </c>
      <c r="Y8" s="162" t="s">
        <v>12754</v>
      </c>
      <c r="Z8" s="162" t="s">
        <v>12755</v>
      </c>
      <c r="AA8" s="162" t="s">
        <v>13173</v>
      </c>
      <c r="AB8" s="162">
        <v>5</v>
      </c>
      <c r="AC8" s="162" t="s">
        <v>12756</v>
      </c>
      <c r="AD8" s="157" t="s">
        <v>8</v>
      </c>
      <c r="AE8" s="157" t="s">
        <v>9</v>
      </c>
      <c r="AF8" s="157" t="s">
        <v>12737</v>
      </c>
      <c r="AG8" s="157" t="s">
        <v>12738</v>
      </c>
      <c r="AH8" s="157" t="s">
        <v>12739</v>
      </c>
      <c r="AI8" s="162">
        <v>1</v>
      </c>
      <c r="AJ8" s="162">
        <v>2</v>
      </c>
      <c r="AK8" s="162" t="s">
        <v>12757</v>
      </c>
      <c r="AL8" s="162" t="s">
        <v>12740</v>
      </c>
      <c r="AM8" s="162">
        <v>4</v>
      </c>
      <c r="AN8" s="162">
        <v>5</v>
      </c>
      <c r="AO8" s="162" t="s">
        <v>12758</v>
      </c>
      <c r="AP8" s="162" t="s">
        <v>12741</v>
      </c>
      <c r="AQ8" s="162" t="s">
        <v>12759</v>
      </c>
      <c r="AR8" s="162"/>
      <c r="AS8" s="162">
        <v>8</v>
      </c>
      <c r="AT8" s="162" t="s">
        <v>12760</v>
      </c>
      <c r="AU8" s="162">
        <v>10</v>
      </c>
      <c r="AV8" s="162" t="s">
        <v>12742</v>
      </c>
      <c r="AW8" s="154"/>
      <c r="AX8" s="154"/>
      <c r="AY8" s="154"/>
      <c r="AZ8" s="154"/>
      <c r="BA8" s="154"/>
      <c r="BB8" s="155"/>
      <c r="BC8" s="155"/>
      <c r="BD8" s="155"/>
      <c r="BE8" s="155"/>
      <c r="BF8" s="155"/>
      <c r="BG8" s="155"/>
      <c r="BH8" s="168"/>
      <c r="BI8" s="169"/>
      <c r="BJ8" s="169"/>
      <c r="BK8" s="168"/>
      <c r="BL8" s="170"/>
    </row>
    <row r="9" spans="1:78" s="190" customFormat="1" ht="20.100000000000001" customHeight="1" x14ac:dyDescent="0.3">
      <c r="A9" s="171"/>
      <c r="B9" s="172"/>
      <c r="C9" s="171"/>
      <c r="D9" s="173"/>
      <c r="E9" s="174"/>
      <c r="F9" s="173"/>
      <c r="G9" s="173"/>
      <c r="H9" s="171"/>
      <c r="I9" s="171"/>
      <c r="J9" s="171"/>
      <c r="K9" s="175"/>
      <c r="L9" s="176"/>
      <c r="M9" s="177"/>
      <c r="N9" s="178"/>
      <c r="O9" s="178"/>
      <c r="P9" s="179"/>
      <c r="Q9" s="178"/>
      <c r="R9" s="177"/>
      <c r="S9" s="177"/>
      <c r="T9" s="180"/>
      <c r="U9" s="181">
        <f>SUBTOTAL(9,U11:U111230)</f>
        <v>191</v>
      </c>
      <c r="V9" s="182">
        <f>SUBTOTAL(9,V11:V111230)</f>
        <v>428.51599999999996</v>
      </c>
      <c r="W9" s="181"/>
      <c r="X9" s="183">
        <f>SUBTOTAL(9,X11:X111230)</f>
        <v>164365500</v>
      </c>
      <c r="Y9" s="178"/>
      <c r="Z9" s="178"/>
      <c r="AA9" s="178"/>
      <c r="AB9" s="181">
        <f>SUBTOTAL(9,AB11:AB111230)</f>
        <v>26950000</v>
      </c>
      <c r="AC9" s="184"/>
      <c r="AD9" s="171"/>
      <c r="AE9" s="171"/>
      <c r="AF9" s="171"/>
      <c r="AG9" s="178"/>
      <c r="AH9" s="178"/>
      <c r="AI9" s="182">
        <f>SUBTOTAL(9,AI11:AI111221)</f>
        <v>428.51599999999996</v>
      </c>
      <c r="AJ9" s="181"/>
      <c r="AK9" s="181">
        <f>SUBTOTAL(9,AK11:AK111221)</f>
        <v>164365500</v>
      </c>
      <c r="AL9" s="181"/>
      <c r="AM9" s="181">
        <f>SUBTOTAL(9,AM11:AM111230)</f>
        <v>26950000</v>
      </c>
      <c r="AN9" s="181">
        <f>SUBTOTAL(9,AN11:AN111230)</f>
        <v>25950000</v>
      </c>
      <c r="AO9" s="181">
        <f>SUBTOTAL(9,AO11:AO111230)</f>
        <v>1000000</v>
      </c>
      <c r="AP9" s="178"/>
      <c r="AQ9" s="182">
        <f>SUBTOTAL(9,AQ11:AQ111221)</f>
        <v>407.29020000000014</v>
      </c>
      <c r="AR9" s="182"/>
      <c r="AS9" s="181"/>
      <c r="AT9" s="181">
        <f>SUBTOTAL(9,AT11:AT111221)</f>
        <v>116689612</v>
      </c>
      <c r="AU9" s="181">
        <f>SUBTOTAL(9,AU11:AU111221)</f>
        <v>47675888.000000007</v>
      </c>
      <c r="AV9" s="181"/>
      <c r="AW9" s="185"/>
      <c r="AX9" s="185"/>
      <c r="AY9" s="185"/>
      <c r="AZ9" s="185"/>
      <c r="BA9" s="185"/>
      <c r="BB9" s="186"/>
      <c r="BC9" s="186"/>
      <c r="BD9" s="186"/>
      <c r="BE9" s="186"/>
      <c r="BF9" s="186"/>
      <c r="BG9" s="186"/>
      <c r="BH9" s="187"/>
      <c r="BI9" s="188"/>
      <c r="BJ9" s="188"/>
      <c r="BK9" s="187"/>
      <c r="BL9" s="189"/>
      <c r="BT9" s="190" t="s">
        <v>14938</v>
      </c>
      <c r="BU9" s="190" t="s">
        <v>14939</v>
      </c>
      <c r="BX9" s="190" t="s">
        <v>14581</v>
      </c>
      <c r="BY9" s="190" t="s">
        <v>14582</v>
      </c>
      <c r="BZ9" s="190" t="s">
        <v>14583</v>
      </c>
    </row>
    <row r="10" spans="1:78" s="190" customFormat="1" ht="20.100000000000001" customHeight="1" x14ac:dyDescent="0.3">
      <c r="A10" s="171"/>
      <c r="B10" s="172"/>
      <c r="C10" s="171"/>
      <c r="D10" s="173"/>
      <c r="E10" s="174"/>
      <c r="F10" s="173"/>
      <c r="G10" s="173"/>
      <c r="H10" s="171"/>
      <c r="I10" s="171"/>
      <c r="J10" s="171"/>
      <c r="K10" s="175"/>
      <c r="L10" s="176"/>
      <c r="M10" s="177"/>
      <c r="N10" s="178"/>
      <c r="O10" s="178"/>
      <c r="P10" s="179"/>
      <c r="Q10" s="178"/>
      <c r="R10" s="177"/>
      <c r="S10" s="177"/>
      <c r="T10" s="180"/>
      <c r="U10" s="181"/>
      <c r="V10" s="182"/>
      <c r="W10" s="181"/>
      <c r="X10" s="183"/>
      <c r="Y10" s="178"/>
      <c r="Z10" s="178"/>
      <c r="AA10" s="178"/>
      <c r="AB10" s="178"/>
      <c r="AC10" s="184"/>
      <c r="AD10" s="171"/>
      <c r="AE10" s="171"/>
      <c r="AF10" s="173"/>
      <c r="AG10" s="178"/>
      <c r="AH10" s="178"/>
      <c r="AI10" s="182"/>
      <c r="AJ10" s="181"/>
      <c r="AK10" s="181"/>
      <c r="AL10" s="181"/>
      <c r="AM10" s="181"/>
      <c r="AN10" s="181"/>
      <c r="AO10" s="181"/>
      <c r="AP10" s="184"/>
      <c r="AQ10" s="182"/>
      <c r="AR10" s="182"/>
      <c r="AS10" s="181"/>
      <c r="AT10" s="181"/>
      <c r="AU10" s="181"/>
      <c r="AV10" s="181"/>
      <c r="AW10" s="185"/>
      <c r="AX10" s="185"/>
      <c r="AY10" s="185"/>
      <c r="AZ10" s="185"/>
      <c r="BA10" s="185"/>
      <c r="BB10" s="186"/>
      <c r="BC10" s="186"/>
      <c r="BD10" s="186"/>
      <c r="BE10" s="186"/>
      <c r="BF10" s="186"/>
      <c r="BG10" s="186"/>
      <c r="BH10" s="187"/>
      <c r="BI10" s="188"/>
      <c r="BJ10" s="188"/>
      <c r="BK10" s="187"/>
      <c r="BL10" s="189"/>
      <c r="BY10" s="349"/>
      <c r="BZ10" s="350"/>
    </row>
    <row r="11" spans="1:78" s="212" customFormat="1" ht="20.100000000000001" customHeight="1" x14ac:dyDescent="0.3">
      <c r="A11" s="191">
        <v>1</v>
      </c>
      <c r="B11" s="192">
        <v>45490</v>
      </c>
      <c r="C11" s="191" t="s">
        <v>427</v>
      </c>
      <c r="D11" s="193" t="s">
        <v>2950</v>
      </c>
      <c r="E11" s="194" t="s">
        <v>55</v>
      </c>
      <c r="F11" s="193" t="s">
        <v>416</v>
      </c>
      <c r="G11" s="193"/>
      <c r="H11" s="191" t="s">
        <v>12765</v>
      </c>
      <c r="I11" s="191" t="s">
        <v>10448</v>
      </c>
      <c r="J11" s="191" t="s">
        <v>15135</v>
      </c>
      <c r="K11" s="195" t="s">
        <v>10844</v>
      </c>
      <c r="L11" s="196" t="s">
        <v>10845</v>
      </c>
      <c r="M11" s="197" t="str">
        <f t="shared" ref="M11" si="0">IF(OR(N11="15C-25029",N11="15C-07321",N11="15C-07437",N11="15C-10691",N11="15C-10812",N11="15C-11200",N11="15C-11486",N11="15C-12812",N11="15C-12832",N11="15C-12874",N11="15C-12876",N11="15C-13616",N11="15C-13840",N11="15C-15237",N11="15C-06125",N11="15C-25555",N11="15C-11549",N11="15C-11732",N11="15C-11856",N11="15C-12593",N11="15C-12643",N11="15C-13368",N11="15C-13568",N11="15C-13959",N11="15C-13969",N11="15C-13958",N11="15C-03426"),"Hoàng Sơn",IF(N11="15C-03470","Hoàng Sơn",IF(OR(N11="15C-25418",N11="15C-01889",N11="15C-01584"),"Yến Tuân",IF(N11="15C-13036","Cậu Mợ","Tên CX"))))</f>
        <v>Hoàng Sơn</v>
      </c>
      <c r="N11" s="123" t="s">
        <v>95</v>
      </c>
      <c r="O11" s="198" t="str">
        <f>IF(N11="15C-03470","Ngô Quang Hưng",IF(N11="15C-01889","Nguyễn Đắt Đạt",IF(N11="15C-25418","Ngụy Văn Toàn",IF(N11="15C-11549","Lê Anh Tân",IF(N11="15C-11732","Bùi Quang Duy",IF(N11="15C-11856","Đinh Minh Dũng",IF(N11="15C-12593","Bùi Bá Thành",IF(N11="15C-12643","Lại Văn Ngân",IF(N11="15C-13368","Vũ Đức Chiến",IF(N11="15C-13568","Trần Quốc Đại",IF(N11="15C-13959","Phạm Viết Thành",IF(N11="15C-13969","Lê Anh Tân",IF(N11="15C-13958","Vũ Đình Hà",IF(N11="15C-07321","Lại Văn Ngân",IF(N11="15C-07437","Trương Văn Cao",IF(N11="15C-10691","Đoàn Văn Hà",IF(N11="15C-10812","Lại Văn Ngân",IF(N11="15C-11200","Phạm Văn Thịnh",IF(N11="15C-11486","Bùi Đức Thành",IF(N11="15C-12812","Mai Văn Sơn",IF(N11="15C-12832","Trần Văn Hiển",IF(N11="15C-12874","Phạm Đức Lợi",IF(N11="15C-12876","Trương Văn Sỹ",IF(N11="15C-13616","Đặng Thanh Sơn",IF(N11="15C-13840","Trương Văn Cao",IF(N11="15C-15237","Lưu Xuân Thành",IF(N11="15C-06125","Đồng Ngọc Điểm",IF(N11="15C-25029","Phạm Văn Hai",IF(N11="15C-25555","Đoàn Văn Hà",IF(N11="15C-03426","Phạm Hoàng Quyết",IF(N11="15C-01584","Nguyễn Đắc Đạt",IF(N11="15C-13036","Nguyễn Ngọc Anh","Tên LX"))))))))))))))))))))))))))))))))</f>
        <v>Trương Văn Cao</v>
      </c>
      <c r="P11" s="197" t="str">
        <f t="shared" ref="P11" si="1">RIGHT(H11,2)</f>
        <v>HS</v>
      </c>
      <c r="Q11" s="199" t="str">
        <f t="shared" ref="Q11" si="2">IF(P11="TC",189,P11)</f>
        <v>HS</v>
      </c>
      <c r="R11" s="197">
        <v>0</v>
      </c>
      <c r="S11" s="197" t="s">
        <v>55</v>
      </c>
      <c r="T11" s="200" t="s">
        <v>15059</v>
      </c>
      <c r="U11" s="201"/>
      <c r="V11" s="202">
        <v>1</v>
      </c>
      <c r="W11" s="203">
        <v>1200000</v>
      </c>
      <c r="X11" s="204">
        <f t="shared" ref="X11" si="3">V11*W11</f>
        <v>1200000</v>
      </c>
      <c r="Y11" s="199" t="s">
        <v>37</v>
      </c>
      <c r="Z11" s="199" t="str">
        <f t="shared" ref="Z11" si="4">IF(Y11="RLL","OK/NO",0)</f>
        <v>OK/NO</v>
      </c>
      <c r="AA11" s="199" t="str">
        <f>LEFT(L11,3)</f>
        <v>DKG</v>
      </c>
      <c r="AB11" s="205">
        <v>150000</v>
      </c>
      <c r="AC11" s="198" t="s">
        <v>55</v>
      </c>
      <c r="AD11" s="206">
        <f t="shared" ref="AD11" si="5">A11</f>
        <v>1</v>
      </c>
      <c r="AE11" s="206" t="str">
        <f t="shared" ref="AE11" si="6">H11</f>
        <v>HS</v>
      </c>
      <c r="AF11" s="207" t="str">
        <f t="shared" ref="AF11" si="7">L11</f>
        <v>DKG&lt;-&gt;Chuyển tải khu vực CĐV-HS</v>
      </c>
      <c r="AG11" s="199" t="str">
        <f>IF(OR(N11="15C-12593",N11="15C-25555",N11="15C-07321",N11="15C-07437",N11="15C-10691",N11="15C-10812",N11="15C-11200",N11="15C-11486",N11="15C-12812",N11="15C-12832",N11="15C-12874",N11="15C-12876",N11="15C-13616",N11="15C-13840",N11="15C-15237",N11="15C-06125",N11="15C-11549",N11="15C-11732",N11="15C-11856",N11="15C-12643",N11="15C-13368",N11="15C-13568",N11="15C-13959",N11="15C-13969",N11="15C-13958"),"CX001",IF(N11="15C-03426","CX003",IF(N11="15C-03470","CX002",IF(N11="15C-01584","CX009",IF(N11="15C-25418","CX008",IF(N11="15C-01889","CX004",IF(N11="15C-13036","CX006",IF(M11="Châu Thành Phát","CX007",IF(M11="Anh Sức","CX014",IF(M11="Tùng (Nam Khang)","CS00006",IF(M11="Tùng Khánh","CX015","Mã CX")))))))))))</f>
        <v>CX001</v>
      </c>
      <c r="AH11" s="199" t="str">
        <f t="shared" ref="AH11" si="8">N11</f>
        <v>15C-13840</v>
      </c>
      <c r="AI11" s="202">
        <f t="shared" ref="AI11:AK11" si="9">V11</f>
        <v>1</v>
      </c>
      <c r="AJ11" s="205">
        <f t="shared" si="9"/>
        <v>1200000</v>
      </c>
      <c r="AK11" s="205">
        <f t="shared" si="9"/>
        <v>1200000</v>
      </c>
      <c r="AL11" s="199" t="str">
        <f t="shared" ref="AL11:AM11" si="10">AA11</f>
        <v>DKG</v>
      </c>
      <c r="AM11" s="205">
        <f t="shared" si="10"/>
        <v>150000</v>
      </c>
      <c r="AN11" s="205">
        <f>IF(AND(AM11&gt;0,K11="HS.HA"),AM11,IF(AND(AM11&gt;0,K11="CB.DKG"),AM11,IF(AND(AM11&gt;0,H11="Cont"),AM11,IF(AND(AM11&gt;0,K11="HA.HS"),AM11,IF(AND(AM11&gt;0,K11="CHP.HS"),AM11,IF(AND(AM11&gt;0,K11="CDV.HS"),AM11,IF(AND(AM11&gt;0,K11="CLH.HS"),AM11,IF(AM11&gt;0,AM11-100000,))))))))</f>
        <v>150000</v>
      </c>
      <c r="AO11" s="205">
        <f t="shared" ref="AO11" si="11">AM11-AN11</f>
        <v>0</v>
      </c>
      <c r="AP11" s="198"/>
      <c r="AQ11" s="202">
        <f t="shared" ref="AQ11" si="12">IF(V11&lt;=1,V11,AI11*95%)</f>
        <v>1</v>
      </c>
      <c r="AR11" s="202"/>
      <c r="AS11" s="205">
        <f>IF(AND(AA11="DKG",H11="Cont",K11="VD.HN.DKG"),4000000/AQ11,IF(AND(AA11="DKG",A11&gt;=1,K11="CLH.HS"),700000,IF(AND(AA11="DKG",A11&gt;=1,K11="CDV.HS"),550000,IF(AND(AA11="DKG",A11&gt;=1,K11="HS.HA"),800000/AQ11,IF(AND(AA11="DKG",A11&gt;=1,K11="CHP.HS"),500000/AQ11,IF(AND(AA11="DKG",A11&gt;=1,K11="KH.DKG"),X11-1000000,IF(AA11="DKG",AJ11-65000,IF(AA11="THG",AJ11,0))))))))</f>
        <v>550000</v>
      </c>
      <c r="AT11" s="205">
        <f t="shared" ref="AT11" si="13">AQ11*AS11</f>
        <v>550000</v>
      </c>
      <c r="AU11" s="205">
        <f t="shared" ref="AU11" si="14">AK11-AT11</f>
        <v>650000</v>
      </c>
      <c r="AV11" s="198" t="str">
        <f t="shared" ref="AV11" si="15">AC11</f>
        <v/>
      </c>
      <c r="AW11" s="208">
        <f t="shared" ref="AW11" si="16">IF(AI11-AQ11=0,AQ11,IF(AI11-AQ11&gt;0,AI11-AQ11))</f>
        <v>1</v>
      </c>
      <c r="AX11" s="208"/>
      <c r="AY11" s="209">
        <f t="shared" ref="AY11" si="17">(AK11-AT11)/AW11</f>
        <v>650000</v>
      </c>
      <c r="AZ11" s="209">
        <f t="shared" ref="AZ11" si="18">AW11*AY11</f>
        <v>650000</v>
      </c>
      <c r="BA11" s="209">
        <f t="shared" ref="BA11" si="19">X11-AT11-AZ11</f>
        <v>0</v>
      </c>
      <c r="BB11" s="210">
        <f>IF(AND(AG11="CX001",N11="15C-03426"),512140,IF(AND(AG11="CX001",N11="15C-23521"),512141,IF(AND(AG11="CX001",N11="15C-07321"),512101,IF(AND(AG11="CX001",N11="15C-07437"),512102,IF(AND(AG11="CX001",N11="15C-10691"),512109,IF(AND(AG11="CX001",N11="15C-10812"),512110,IF(AND(AG11="CX001",N11="15C-11200"),512111,IF(AND(AG11="CX001",N11="15C-11486"),512112,IF(AND(AG11="CX001",N11="15C-12812"),512113,IF(AND(AG11="CX001",N11="15C-12832"),512114,IF(AND(AG11="CX001",N11="15C-12874"),512115,IF(AND(AG11="CX001",N11="15C-12876"),512116,IF(AND(AG11="CX001",N11="15C-13616"),512117,IF(AND(AG11="CX001",N11="15C-13840"),512118,IF(AND(AG11="CX001",N11="15C-15237"),512119,IF(AND(AG11="CX001",N11="15C-06125"),512121,IF(AND(AG11="CX040",N11="15C-25029"),51226,IF(AND(AG11="CX001",N11="15C-25029"),512124,IF(AND(AG11="CX001",N11="15C-25555"),512127,IF(AND(AG11="CX001",N11="15C-11549"),512130,IF(AND(AG11="CX001",N11="15C-11732"),512131,IF(AND(AG11="CX001",N11="15C-11856"),512132,IF(AND(AG11="CX001",N11="15C-12593"),512133,IF(AND(AG11="CX001",N11="15C-12643"),512134,IF(AND(AG11="CX001",N11="15C-13368"),512135,IF(AND(AG11="CX001",N11="15C-13568"),512136,IF(AND(AG11="CX001",N11="15C-13959"),512137,IF(AND(AG11="CX001",N11="15C-13969"),512138,IF(AND(AG11="CX001",N11="15C-13958"),512139,IF(AND(AG11="CX055",N11="15C-03426"),512213,IF(AND(AG11="CX002",N11="15C-03470"),512212,IF(AND(AG11="CX057",N11="15C-01584"),512223,IF(AND(AG11="CX056",N11="15C-25418"),512222,IF(AND(AG11="CX004",N11="15C-01889"),512221,IF(AND(AG11="CX006",N11="15C-13036"),51224,51225)))))))))))))))))))))))))))))))))))</f>
        <v>512118</v>
      </c>
      <c r="BC11" s="210">
        <f t="shared" ref="BC11" si="20">IF(AA11="DKG",511301,IF(AA11="THG",511302,0))</f>
        <v>511301</v>
      </c>
      <c r="BD11" s="210">
        <f t="shared" ref="BD11" si="21">IF(AA11="DKG",5123,IF(AA11="THG",522,0))</f>
        <v>5123</v>
      </c>
      <c r="BE11" s="210">
        <f t="shared" ref="BE11" si="22">IF(AP11="Phú","NV018",IF(AP11="Giang","NV006",IF(AP11="Quang","NV024",IF(AP11="Kỳ","NV222",0))))</f>
        <v>0</v>
      </c>
      <c r="BF11" s="210">
        <f t="shared" ref="BF11" si="23">IF(AG11="CX001",0,331)</f>
        <v>0</v>
      </c>
      <c r="BG11" s="210">
        <f t="shared" ref="BG11" si="24">IF(AG11="CX001",15401,IF(OR(AG11="CX055",AG11="CX039",AG11="CX040",AG11="CX002",AG11="CX003",AG11="CX004",AG11="CX005",AG11="CX006",AG11="CX056",AG11="CX057"),331,0))</f>
        <v>15401</v>
      </c>
      <c r="BH11" s="211">
        <f>IF(AND(AG11="CX001",N11="15C-03426"),6121140,IF(AND(AG11="CX001",N11="15C-23521"),6121141,IF(AND(AG11="CX001",N11="15C-11549"),6121130,IF(AND(AG11="CX001",N11="15C-11732"),6121131,IF(AND(AG11="CX001",N11="15C-11856"),6121132,IF(AND(AG11="CX001",N11="15C-12593"),6121133,IF(AND(AG11="CX001",N11="15C-12643"),6121134,IF(AND(AG11="CX001",N11="15C-13368"),6121135,IF(AND(AG11="CX001",N11="15C-13568"),6121136,IF(AND(AG11="CX001",N11="15C-13959"),6121137,IF(AND(AG11="CX001",N11="15C-13969"),6121138,IF(AND(AG11="CX001",N11="15C-13958"),6121139,IF(AND(AG11="CX001",N11="15C-07321"),6121101,IF(AND(AG11="CX001",N11="15C-07437"),6121102,IF(AND(AG11="CX001",N11="15C-10691"),6121109,IF(AND(AG11="CX001",N11="15C-10812"),6121110,IF(AND(AG11="CX001",N11="15C-11200"),6121111,IF(AND(AG11="CX001",N11="15C-11486"),6121112,IF(AND(AG11="CX001",N11="15C-12812"),6121113,IF(AND(AG11="CX001",N11="15C-12832"),6121114,IF(AND(AG11="CX001",N11="15C-12874"),6121115,IF(AND(AG11="CX001",N11="15C-12876"),6121116,IF(AND(AG11="CX001",N11="15C-13616"),6121117,IF(AND(AG11="CX001",N11="15C-13840"),6121118,IF(AND(AG11="CX001",N11="15C-15237"),6121119,IF(AND(AG11="CX001",N11="15C-06125"),6121121,IF(AND(AG11="CX001",N11="15C-25029"),6121124,IF(AND(AG11="CX001",N11="15C-25555"),6121127,0))))))))))))))))))))))))))))</f>
        <v>6121118</v>
      </c>
      <c r="BI11" s="169" t="s">
        <v>12763</v>
      </c>
      <c r="BJ11" s="169" t="str">
        <f t="shared" ref="BJ11" si="25">CONCATENATE(BI11,N11)</f>
        <v>TDG xe 15C-13840</v>
      </c>
      <c r="BK11" s="211" t="str">
        <f t="shared" ref="BK11" si="26">IF(AA11="THG","T",IF(AA11="DKG","G",0))</f>
        <v>G</v>
      </c>
      <c r="BL11" s="170" t="str">
        <f ca="1">IF(Y11="CGN",TODAY(),"")</f>
        <v/>
      </c>
      <c r="BM11" s="212" t="str">
        <f t="shared" ref="BM11" si="27">+C11</f>
        <v>CG00052</v>
      </c>
      <c r="BN11" s="212" t="str">
        <f>I11</f>
        <v>NH</v>
      </c>
      <c r="BO11" s="212" t="str">
        <f t="shared" ref="BO11" si="28">+C11</f>
        <v>CG00052</v>
      </c>
      <c r="BP11" s="212" t="str">
        <f t="shared" ref="BP11" si="29">+D11</f>
        <v>Tuấn Phúc (HDHN) 0912766567</v>
      </c>
      <c r="BQ11" s="212" t="str">
        <f t="shared" ref="BQ11" si="30">+L11</f>
        <v>DKG&lt;-&gt;Chuyển tải khu vực CĐV-HS</v>
      </c>
      <c r="BS11" s="209">
        <f t="shared" ref="BS11" si="31">+W11</f>
        <v>1200000</v>
      </c>
      <c r="BT11" s="222" t="b">
        <f>IF(OR(BM11="CG00047",BM11="Dong Duong",BM11="CG00073",BM11="CG00078",BM11="CG00045"),VLOOKUP(BQ11,'gia3'!$D$7:$T$206,4,0),IF(OR(BM11="CG00088",BM11="CG00044",),VLOOKUP(BQ11,'gia3'!$D$7:$T$206,6,0),IF(BM11="Đinh Gia",VLOOKUP(BQ11,'gia3'!$D$7:$T$206,8,0),IF(OR(BM11="Greeensky",BM11="CG..."),VLOOKUP(BQ11,'gia3'!$D$7:$T$206,10,0),IF(OR(BM11="Đại Huu",BM11="Vietj Mỹ"),VLOOKUP(BQ11,'gia3'!$D$7:$T$206,14,0) )))))</f>
        <v>0</v>
      </c>
      <c r="BU11" s="222" t="b">
        <f>IF(OR(BM11="CG00047",BM11="Dong Duong",BM11="CG00073",BM11="CG00078",BM11="CG00045"),VLOOKUP(BQ11,'gia3'!$D$7:$T$206,5,0),IF(OR(BM11="CG00088",BM11="CG00044",),VLOOKUP(BQ11,'gia3'!$D$7:$T$206,7,0),IF(BM11="Đinh Gia",VLOOKUP(BQ11,'gia3'!$D$7:$T$206,9,0),IF(OR(BM11="Greeensky",BM11="CG..."),VLOOKUP(BQ11,'gia3'!$D$7:$T$206,11,0),IF(OR(BM11="Đại Huu",BM11="Vietj Mỹ"),VLOOKUP(BQ11,'gia3'!$D$7:$T$206,15,0) )))))</f>
        <v>0</v>
      </c>
      <c r="BV11" s="212" t="str">
        <f>IF(BS11-BT11=500000,BU11+400000,IF(BT11=BS11,BU11,"saiiiiiiiiiiiiiiiii"))</f>
        <v>saiiiiiiiiiiiiiiiii</v>
      </c>
      <c r="BX11" s="340" t="e">
        <f>VLOOKUP(BQ11,[5]gia3!$D$7:$W$256,19,0)</f>
        <v>#N/A</v>
      </c>
      <c r="BY11" s="349" t="e">
        <f t="shared" ref="BY11:BY29" si="32">IF(BN11="","",IF(BN11="LH",BX11+300000,BX11))</f>
        <v>#N/A</v>
      </c>
      <c r="BZ11" s="350" t="e">
        <f t="shared" ref="BZ11:BZ29" si="33">+BY11-AS11</f>
        <v>#N/A</v>
      </c>
    </row>
    <row r="12" spans="1:78" s="212" customFormat="1" ht="20.100000000000001" customHeight="1" x14ac:dyDescent="0.3">
      <c r="A12" s="191">
        <f>MAX($A$11:A11)+1</f>
        <v>2</v>
      </c>
      <c r="B12" s="192">
        <v>45490</v>
      </c>
      <c r="C12" s="191" t="s">
        <v>427</v>
      </c>
      <c r="D12" s="193" t="s">
        <v>2950</v>
      </c>
      <c r="E12" s="194" t="s">
        <v>55</v>
      </c>
      <c r="F12" s="193" t="s">
        <v>416</v>
      </c>
      <c r="G12" s="193"/>
      <c r="H12" s="191" t="s">
        <v>12765</v>
      </c>
      <c r="I12" s="191" t="s">
        <v>10448</v>
      </c>
      <c r="J12" s="191" t="s">
        <v>15136</v>
      </c>
      <c r="K12" s="195" t="s">
        <v>10844</v>
      </c>
      <c r="L12" s="196" t="s">
        <v>10845</v>
      </c>
      <c r="M12" s="197" t="str">
        <f t="shared" ref="M12" si="34">IF(OR(N12="15C-25029",N12="15C-07321",N12="15C-07437",N12="15C-10691",N12="15C-10812",N12="15C-11200",N12="15C-11486",N12="15C-12812",N12="15C-12832",N12="15C-12874",N12="15C-12876",N12="15C-13616",N12="15C-13840",N12="15C-15237",N12="15C-06125",N12="15C-25555",N12="15C-11549",N12="15C-11732",N12="15C-11856",N12="15C-12593",N12="15C-12643",N12="15C-13368",N12="15C-13568",N12="15C-13959",N12="15C-13969",N12="15C-13958",N12="15C-03426"),"Hoàng Sơn",IF(N12="15C-03470","Hoàng Sơn",IF(OR(N12="15C-25418",N12="15C-01889",N12="15C-01584"),"Yến Tuân",IF(N12="15C-13036","Cậu Mợ","Tên CX"))))</f>
        <v>Hoàng Sơn</v>
      </c>
      <c r="N12" s="123" t="s">
        <v>118</v>
      </c>
      <c r="O12" s="198" t="str">
        <f>IF(N12="15C-03470","Ngô Quang Hưng",IF(N12="15C-01889","Nguyễn Đắt Đạt",IF(N12="15C-25418","Ngụy Văn Toàn",IF(N12="15C-11549","Lê Anh Tân",IF(N12="15C-11732","Bùi Quang Duy",IF(N12="15C-11856","Đinh Minh Dũng",IF(N12="15C-12593","Bùi Bá Thành",IF(N12="15C-12643","Lại Văn Ngân",IF(N12="15C-13368","Vũ Đức Chiến",IF(N12="15C-13568","Trần Quốc Đại",IF(N12="15C-13959","Phạm Viết Thành",IF(N12="15C-13969","Lê Anh Tân",IF(N12="15C-13958","Vũ Đình Hà",IF(N12="15C-07321","Lại Văn Ngân",IF(N12="15C-07437","Trương Văn Cao",IF(N12="15C-10691","Đoàn Văn Hà",IF(N12="15C-10812","Lại Văn Ngân",IF(N12="15C-11200","Phạm Văn Thịnh",IF(N12="15C-11486","Bùi Đức Thành",IF(N12="15C-12812","Mai Văn Sơn",IF(N12="15C-12832","Trần Văn Hiển",IF(N12="15C-12874","Phạm Đức Lợi",IF(N12="15C-12876","Trương Văn Sỹ",IF(N12="15C-13616","Đặng Thanh Sơn",IF(N12="15C-13840","Trương Văn Cao",IF(N12="15C-15237","Lưu Xuân Thành",IF(N12="15C-06125","Đồng Ngọc Điểm",IF(N12="15C-25029","Phạm Văn Hai",IF(N12="15C-25555","Đoàn Văn Hà",IF(N12="15C-03426","Phạm Hoàng Quyết",IF(N12="15C-01584","Nguyễn Đắc Đạt",IF(N12="15C-13036","Nguyễn Ngọc Anh","Tên LX"))))))))))))))))))))))))))))))))</f>
        <v>Lê Anh Tân</v>
      </c>
      <c r="P12" s="197" t="str">
        <f t="shared" ref="P12" si="35">RIGHT(H12,2)</f>
        <v>HS</v>
      </c>
      <c r="Q12" s="199" t="str">
        <f t="shared" ref="Q12" si="36">IF(P12="TC",189,P12)</f>
        <v>HS</v>
      </c>
      <c r="R12" s="197">
        <v>0</v>
      </c>
      <c r="S12" s="197" t="s">
        <v>55</v>
      </c>
      <c r="T12" s="200" t="s">
        <v>15059</v>
      </c>
      <c r="U12" s="201"/>
      <c r="V12" s="202">
        <v>1</v>
      </c>
      <c r="W12" s="203">
        <v>1200000</v>
      </c>
      <c r="X12" s="204">
        <f t="shared" ref="X12" si="37">V12*W12</f>
        <v>1200000</v>
      </c>
      <c r="Y12" s="199" t="s">
        <v>37</v>
      </c>
      <c r="Z12" s="199" t="str">
        <f t="shared" ref="Z12" si="38">IF(Y12="RLL","OK/NO",0)</f>
        <v>OK/NO</v>
      </c>
      <c r="AA12" s="199" t="str">
        <f>LEFT(L12,3)</f>
        <v>DKG</v>
      </c>
      <c r="AB12" s="205">
        <v>150000</v>
      </c>
      <c r="AC12" s="198" t="s">
        <v>55</v>
      </c>
      <c r="AD12" s="206">
        <f t="shared" ref="AD12" si="39">A12</f>
        <v>2</v>
      </c>
      <c r="AE12" s="206" t="str">
        <f t="shared" ref="AE12" si="40">H12</f>
        <v>HS</v>
      </c>
      <c r="AF12" s="207" t="str">
        <f t="shared" ref="AF12" si="41">L12</f>
        <v>DKG&lt;-&gt;Chuyển tải khu vực CĐV-HS</v>
      </c>
      <c r="AG12" s="199" t="str">
        <f>IF(OR(N12="15C-12593",N12="15C-25555",N12="15C-07321",N12="15C-07437",N12="15C-10691",N12="15C-10812",N12="15C-11200",N12="15C-11486",N12="15C-12812",N12="15C-12832",N12="15C-12874",N12="15C-12876",N12="15C-13616",N12="15C-13840",N12="15C-15237",N12="15C-06125",N12="15C-11549",N12="15C-11732",N12="15C-11856",N12="15C-12643",N12="15C-13368",N12="15C-13568",N12="15C-13959",N12="15C-13969",N12="15C-13958"),"CX001",IF(N12="15C-03426","CX003",IF(N12="15C-03470","CX002",IF(N12="15C-01584","CX009",IF(N12="15C-25418","CX008",IF(N12="15C-01889","CX004",IF(N12="15C-13036","CX006",IF(M12="Châu Thành Phát","CX007",IF(M12="Anh Sức","CX014",IF(M12="Tùng (Nam Khang)","CS00006",IF(M12="Tùng Khánh","CX015","Mã CX")))))))))))</f>
        <v>CX001</v>
      </c>
      <c r="AH12" s="199" t="str">
        <f t="shared" ref="AH12" si="42">N12</f>
        <v>15C-13969</v>
      </c>
      <c r="AI12" s="202">
        <f t="shared" ref="AI12" si="43">V12</f>
        <v>1</v>
      </c>
      <c r="AJ12" s="205">
        <f t="shared" ref="AJ12" si="44">W12</f>
        <v>1200000</v>
      </c>
      <c r="AK12" s="205">
        <f t="shared" ref="AK12" si="45">X12</f>
        <v>1200000</v>
      </c>
      <c r="AL12" s="199" t="str">
        <f t="shared" ref="AL12" si="46">AA12</f>
        <v>DKG</v>
      </c>
      <c r="AM12" s="205">
        <f t="shared" ref="AM12" si="47">AB12</f>
        <v>150000</v>
      </c>
      <c r="AN12" s="205">
        <f>IF(AND(AM12&gt;0,K12="HS.HA"),AM12,IF(AND(AM12&gt;0,K12="CB.DKG"),AM12,IF(AND(AM12&gt;0,H12="Cont"),AM12,IF(AND(AM12&gt;0,K12="HA.HS"),AM12,IF(AND(AM12&gt;0,K12="CHP.HS"),AM12,IF(AND(AM12&gt;0,K12="CDV.HS"),AM12,IF(AND(AM12&gt;0,K12="CLH.HS"),AM12,IF(AM12&gt;0,AM12-100000,))))))))</f>
        <v>150000</v>
      </c>
      <c r="AO12" s="205">
        <f t="shared" ref="AO12" si="48">AM12-AN12</f>
        <v>0</v>
      </c>
      <c r="AP12" s="198"/>
      <c r="AQ12" s="202">
        <f t="shared" ref="AQ12" si="49">IF(V12&lt;=1,V12,AI12*95%)</f>
        <v>1</v>
      </c>
      <c r="AR12" s="202"/>
      <c r="AS12" s="205">
        <f>IF(AND(AA12="DKG",H12="Cont",K12="VD.HN.DKG"),4000000/AQ12,IF(AND(AA12="DKG",A12&gt;=1,K12="CLH.HS"),700000,IF(AND(AA12="DKG",A12&gt;=1,K12="CDV.HS"),550000,IF(AND(AA12="DKG",A12&gt;=1,K12="HS.HA"),800000/AQ12,IF(AND(AA12="DKG",A12&gt;=1,K12="CHP.HS"),500000/AQ12,IF(AND(AA12="DKG",A12&gt;=1,K12="KH.DKG"),X12-1000000,IF(AA12="DKG",AJ12-65000,IF(AA12="THG",AJ12,0))))))))</f>
        <v>550000</v>
      </c>
      <c r="AT12" s="205">
        <f t="shared" ref="AT12" si="50">AQ12*AS12</f>
        <v>550000</v>
      </c>
      <c r="AU12" s="205">
        <f t="shared" ref="AU12" si="51">AK12-AT12</f>
        <v>650000</v>
      </c>
      <c r="AV12" s="198" t="str">
        <f t="shared" ref="AV12" si="52">AC12</f>
        <v/>
      </c>
      <c r="AW12" s="208">
        <f t="shared" ref="AW12" si="53">IF(AI12-AQ12=0,AQ12,IF(AI12-AQ12&gt;0,AI12-AQ12))</f>
        <v>1</v>
      </c>
      <c r="AX12" s="208"/>
      <c r="AY12" s="209">
        <f t="shared" ref="AY12" si="54">(AK12-AT12)/AW12</f>
        <v>650000</v>
      </c>
      <c r="AZ12" s="209">
        <f t="shared" ref="AZ12" si="55">AW12*AY12</f>
        <v>650000</v>
      </c>
      <c r="BA12" s="209">
        <f t="shared" ref="BA12" si="56">X12-AT12-AZ12</f>
        <v>0</v>
      </c>
      <c r="BB12" s="210">
        <f>IF(AND(AG12="CX001",N12="15C-03426"),512140,IF(AND(AG12="CX001",N12="15C-23521"),512141,IF(AND(AG12="CX001",N12="15C-07321"),512101,IF(AND(AG12="CX001",N12="15C-07437"),512102,IF(AND(AG12="CX001",N12="15C-10691"),512109,IF(AND(AG12="CX001",N12="15C-10812"),512110,IF(AND(AG12="CX001",N12="15C-11200"),512111,IF(AND(AG12="CX001",N12="15C-11486"),512112,IF(AND(AG12="CX001",N12="15C-12812"),512113,IF(AND(AG12="CX001",N12="15C-12832"),512114,IF(AND(AG12="CX001",N12="15C-12874"),512115,IF(AND(AG12="CX001",N12="15C-12876"),512116,IF(AND(AG12="CX001",N12="15C-13616"),512117,IF(AND(AG12="CX001",N12="15C-13840"),512118,IF(AND(AG12="CX001",N12="15C-15237"),512119,IF(AND(AG12="CX001",N12="15C-06125"),512121,IF(AND(AG12="CX040",N12="15C-25029"),51226,IF(AND(AG12="CX001",N12="15C-25029"),512124,IF(AND(AG12="CX001",N12="15C-25555"),512127,IF(AND(AG12="CX001",N12="15C-11549"),512130,IF(AND(AG12="CX001",N12="15C-11732"),512131,IF(AND(AG12="CX001",N12="15C-11856"),512132,IF(AND(AG12="CX001",N12="15C-12593"),512133,IF(AND(AG12="CX001",N12="15C-12643"),512134,IF(AND(AG12="CX001",N12="15C-13368"),512135,IF(AND(AG12="CX001",N12="15C-13568"),512136,IF(AND(AG12="CX001",N12="15C-13959"),512137,IF(AND(AG12="CX001",N12="15C-13969"),512138,IF(AND(AG12="CX001",N12="15C-13958"),512139,IF(AND(AG12="CX055",N12="15C-03426"),512213,IF(AND(AG12="CX002",N12="15C-03470"),512212,IF(AND(AG12="CX057",N12="15C-01584"),512223,IF(AND(AG12="CX056",N12="15C-25418"),512222,IF(AND(AG12="CX004",N12="15C-01889"),512221,IF(AND(AG12="CX006",N12="15C-13036"),51224,51225)))))))))))))))))))))))))))))))))))</f>
        <v>512138</v>
      </c>
      <c r="BC12" s="210">
        <f t="shared" ref="BC12" si="57">IF(AA12="DKG",511301,IF(AA12="THG",511302,0))</f>
        <v>511301</v>
      </c>
      <c r="BD12" s="210">
        <f t="shared" ref="BD12" si="58">IF(AA12="DKG",5123,IF(AA12="THG",522,0))</f>
        <v>5123</v>
      </c>
      <c r="BE12" s="210">
        <f t="shared" ref="BE12" si="59">IF(AP12="Phú","NV018",IF(AP12="Giang","NV006",IF(AP12="Quang","NV024",IF(AP12="Kỳ","NV222",0))))</f>
        <v>0</v>
      </c>
      <c r="BF12" s="210">
        <f t="shared" ref="BF12" si="60">IF(AG12="CX001",0,331)</f>
        <v>0</v>
      </c>
      <c r="BG12" s="210">
        <f t="shared" ref="BG12" si="61">IF(AG12="CX001",15401,IF(OR(AG12="CX055",AG12="CX039",AG12="CX040",AG12="CX002",AG12="CX003",AG12="CX004",AG12="CX005",AG12="CX006",AG12="CX056",AG12="CX057"),331,0))</f>
        <v>15401</v>
      </c>
      <c r="BH12" s="211">
        <f>IF(AND(AG12="CX001",N12="15C-03426"),6121140,IF(AND(AG12="CX001",N12="15C-23521"),6121141,IF(AND(AG12="CX001",N12="15C-11549"),6121130,IF(AND(AG12="CX001",N12="15C-11732"),6121131,IF(AND(AG12="CX001",N12="15C-11856"),6121132,IF(AND(AG12="CX001",N12="15C-12593"),6121133,IF(AND(AG12="CX001",N12="15C-12643"),6121134,IF(AND(AG12="CX001",N12="15C-13368"),6121135,IF(AND(AG12="CX001",N12="15C-13568"),6121136,IF(AND(AG12="CX001",N12="15C-13959"),6121137,IF(AND(AG12="CX001",N12="15C-13969"),6121138,IF(AND(AG12="CX001",N12="15C-13958"),6121139,IF(AND(AG12="CX001",N12="15C-07321"),6121101,IF(AND(AG12="CX001",N12="15C-07437"),6121102,IF(AND(AG12="CX001",N12="15C-10691"),6121109,IF(AND(AG12="CX001",N12="15C-10812"),6121110,IF(AND(AG12="CX001",N12="15C-11200"),6121111,IF(AND(AG12="CX001",N12="15C-11486"),6121112,IF(AND(AG12="CX001",N12="15C-12812"),6121113,IF(AND(AG12="CX001",N12="15C-12832"),6121114,IF(AND(AG12="CX001",N12="15C-12874"),6121115,IF(AND(AG12="CX001",N12="15C-12876"),6121116,IF(AND(AG12="CX001",N12="15C-13616"),6121117,IF(AND(AG12="CX001",N12="15C-13840"),6121118,IF(AND(AG12="CX001",N12="15C-15237"),6121119,IF(AND(AG12="CX001",N12="15C-06125"),6121121,IF(AND(AG12="CX001",N12="15C-25029"),6121124,IF(AND(AG12="CX001",N12="15C-25555"),6121127,0))))))))))))))))))))))))))))</f>
        <v>6121138</v>
      </c>
      <c r="BI12" s="169" t="s">
        <v>12763</v>
      </c>
      <c r="BJ12" s="169" t="str">
        <f t="shared" ref="BJ12" si="62">CONCATENATE(BI12,N12)</f>
        <v>TDG xe 15C-13969</v>
      </c>
      <c r="BK12" s="211" t="str">
        <f t="shared" ref="BK12" si="63">IF(AA12="THG","T",IF(AA12="DKG","G",0))</f>
        <v>G</v>
      </c>
      <c r="BL12" s="170" t="str">
        <f ca="1">IF(Y12="CGN",TODAY(),"")</f>
        <v/>
      </c>
      <c r="BM12" s="212" t="str">
        <f>+C12</f>
        <v>CG00052</v>
      </c>
      <c r="BN12" s="212" t="str">
        <f t="shared" ref="BN12:BN29" si="64">I12</f>
        <v>NH</v>
      </c>
      <c r="BO12" s="212" t="str">
        <f>+C12</f>
        <v>CG00052</v>
      </c>
      <c r="BP12" s="212" t="str">
        <f>+D12</f>
        <v>Tuấn Phúc (HDHN) 0912766567</v>
      </c>
      <c r="BQ12" s="212" t="str">
        <f>+L12</f>
        <v>DKG&lt;-&gt;Chuyển tải khu vực CĐV-HS</v>
      </c>
      <c r="BS12" s="209">
        <f>+W12</f>
        <v>1200000</v>
      </c>
      <c r="BT12" s="222" t="b">
        <f>IF(OR(BM12="CG00047",BM12="Dong Duong",BM12="CG00073",BM12="CG00078",BM12="CG00045"),VLOOKUP(BQ12,'gia3'!$D$7:$T$206,4,0),IF(OR(BM12="CG00088",BM12="CG00044",),VLOOKUP(BQ12,'gia3'!$D$7:$T$206,6,0),IF(BM12="Đinh Gia",VLOOKUP(BQ12,'gia3'!$D$7:$T$206,8,0),IF(OR(BM12="Greeensky",BM12="CG..."),VLOOKUP(BQ12,'gia3'!$D$7:$T$206,10,0),IF(OR(BM12="Đại Huu",BM12="Vietj Mỹ"),VLOOKUP(BQ12,'gia3'!$D$7:$T$206,14,0) )))))</f>
        <v>0</v>
      </c>
      <c r="BU12" s="222" t="b">
        <f>IF(OR(BM12="CG00047",BM12="Dong Duong",BM12="CG00073",BM12="CG00078",BM12="CG00045"),VLOOKUP(BQ12,'gia3'!$D$7:$T$206,5,0),IF(OR(BM12="CG00088",BM12="CG00044",),VLOOKUP(BQ12,'gia3'!$D$7:$T$206,7,0),IF(BM12="Đinh Gia",VLOOKUP(BQ12,'gia3'!$D$7:$T$206,9,0),IF(OR(BM12="Greeensky",BM12="CG..."),VLOOKUP(BQ12,'gia3'!$D$7:$T$206,11,0),IF(OR(BM12="Đại Huu",BM12="Vietj Mỹ"),VLOOKUP(BQ12,'gia3'!$D$7:$T$206,15,0) )))))</f>
        <v>0</v>
      </c>
      <c r="BV12" s="212" t="str">
        <f t="shared" ref="BV12:BV29" si="65">IF(BS12-BT12=500000,BU12+400000,IF(BT12=BS12,BU12,"saiiiiiiiiiiiiiiiii"))</f>
        <v>saiiiiiiiiiiiiiiiii</v>
      </c>
      <c r="BW12" s="212" t="str">
        <f>I12</f>
        <v>NH</v>
      </c>
      <c r="BX12" s="340" t="e">
        <f>VLOOKUP(BQ12,[5]gia3!$D$7:$W$256,19,0)</f>
        <v>#N/A</v>
      </c>
      <c r="BY12" s="349" t="e">
        <f t="shared" si="32"/>
        <v>#N/A</v>
      </c>
      <c r="BZ12" s="350" t="e">
        <f t="shared" si="33"/>
        <v>#N/A</v>
      </c>
    </row>
    <row r="13" spans="1:78" s="212" customFormat="1" ht="20.100000000000001" customHeight="1" x14ac:dyDescent="0.3">
      <c r="A13" s="191">
        <f>MAX($A$11:A12)+1</f>
        <v>3</v>
      </c>
      <c r="B13" s="192">
        <v>45490</v>
      </c>
      <c r="C13" s="191" t="s">
        <v>427</v>
      </c>
      <c r="D13" s="193" t="s">
        <v>2950</v>
      </c>
      <c r="E13" s="194" t="s">
        <v>55</v>
      </c>
      <c r="F13" s="193" t="s">
        <v>416</v>
      </c>
      <c r="G13" s="193"/>
      <c r="H13" s="191" t="s">
        <v>12765</v>
      </c>
      <c r="I13" s="191" t="s">
        <v>10448</v>
      </c>
      <c r="J13" s="191" t="s">
        <v>15137</v>
      </c>
      <c r="K13" s="195" t="s">
        <v>10844</v>
      </c>
      <c r="L13" s="196" t="s">
        <v>10845</v>
      </c>
      <c r="M13" s="197" t="str">
        <f t="shared" ref="M13:M29" si="66">IF(OR(N13="15C-25029",N13="15C-07321",N13="15C-07437",N13="15C-10691",N13="15C-10812",N13="15C-11200",N13="15C-11486",N13="15C-12812",N13="15C-12832",N13="15C-12874",N13="15C-12876",N13="15C-13616",N13="15C-13840",N13="15C-15237",N13="15C-06125",N13="15C-25555",N13="15C-11549",N13="15C-11732",N13="15C-11856",N13="15C-12593",N13="15C-12643",N13="15C-13368",N13="15C-13568",N13="15C-13959",N13="15C-13969",N13="15C-13958",N13="15C-03426"),"Hoàng Sơn",IF(N13="15C-03470","Hoàng Sơn",IF(OR(N13="15C-25418",N13="15C-01889",N13="15C-01584"),"Yến Tuân",IF(N13="15C-13036","Cậu Mợ","Tên CX"))))</f>
        <v>Hoàng Sơn</v>
      </c>
      <c r="N13" s="123" t="s">
        <v>90</v>
      </c>
      <c r="O13" s="198" t="str">
        <f>IF(N13="15C-03470","Ngô Quang Hưng",IF(N13="15C-01889","Nguyễn Đắt Đạt",IF(N13="15C-25418","Ngụy Văn Toàn",IF(N13="15C-11549","Lê Anh Tân",IF(N13="15C-11732","Bùi Quang Duy",IF(N13="15C-11856","Đinh Minh Dũng",IF(N13="15C-12593","Bùi Bá Thành",IF(N13="15C-12643","Lại Văn Ngân",IF(N13="15C-13368","Vũ Đức Chiến",IF(N13="15C-13568","Trần Quốc Đại",IF(N13="15C-13959","Phạm Viết Thành",IF(N13="15C-13969","Lê Anh Tân",IF(N13="15C-13958","Vũ Đình Hà",IF(N13="15C-07321","Lại Văn Ngân",IF(N13="15C-07437","Trương Văn Cao",IF(N13="15C-10691","Đoàn Văn Hà",IF(N13="15C-10812","Lại Văn Ngân",IF(N13="15C-11200","Phạm Văn Thịnh",IF(N13="15C-11486","Bùi Đức Thành",IF(N13="15C-12812","Mai Văn Sơn",IF(N13="15C-12832","Trần Văn Hiển",IF(N13="15C-12874","Phạm Đức Lợi",IF(N13="15C-12876","Trương Văn Sỹ",IF(N13="15C-13616","Đặng Thanh Sơn",IF(N13="15C-13840","Trương Văn Cao",IF(N13="15C-15237","Lưu Xuân Thành",IF(N13="15C-06125","Đồng Ngọc Điểm",IF(N13="15C-25029","Phạm Văn Hai",IF(N13="15C-25555","Đoàn Văn Hà",IF(N13="15C-03426","Phạm Hoàng Quyết",IF(N13="15C-01584","Nguyễn Đắc Đạt",IF(N13="15C-13036","Nguyễn Ngọc Anh","Tên LX"))))))))))))))))))))))))))))))))</f>
        <v>Bùi Đức Thành</v>
      </c>
      <c r="P13" s="197" t="str">
        <f t="shared" ref="P13:P29" si="67">RIGHT(H13,2)</f>
        <v>HS</v>
      </c>
      <c r="Q13" s="199" t="str">
        <f t="shared" ref="Q13:Q29" si="68">IF(P13="TC",189,P13)</f>
        <v>HS</v>
      </c>
      <c r="R13" s="197">
        <v>0</v>
      </c>
      <c r="S13" s="197" t="s">
        <v>55</v>
      </c>
      <c r="T13" s="200" t="s">
        <v>15059</v>
      </c>
      <c r="U13" s="201"/>
      <c r="V13" s="202">
        <v>1</v>
      </c>
      <c r="W13" s="203">
        <v>1200000</v>
      </c>
      <c r="X13" s="204">
        <f t="shared" ref="X13:X29" si="69">V13*W13</f>
        <v>1200000</v>
      </c>
      <c r="Y13" s="199" t="s">
        <v>37</v>
      </c>
      <c r="Z13" s="199" t="str">
        <f t="shared" ref="Z13:Z29" si="70">IF(Y13="RLL","OK/NO",0)</f>
        <v>OK/NO</v>
      </c>
      <c r="AA13" s="199" t="str">
        <f>LEFT(L13,3)</f>
        <v>DKG</v>
      </c>
      <c r="AB13" s="205">
        <v>150000</v>
      </c>
      <c r="AC13" s="198" t="s">
        <v>55</v>
      </c>
      <c r="AD13" s="206">
        <f t="shared" ref="AD13:AD29" si="71">A13</f>
        <v>3</v>
      </c>
      <c r="AE13" s="206" t="str">
        <f t="shared" ref="AE13:AE29" si="72">H13</f>
        <v>HS</v>
      </c>
      <c r="AF13" s="207" t="str">
        <f t="shared" ref="AF13:AF29" si="73">L13</f>
        <v>DKG&lt;-&gt;Chuyển tải khu vực CĐV-HS</v>
      </c>
      <c r="AG13" s="199" t="str">
        <f>IF(OR(N13="15C-12593",N13="15C-25555",N13="15C-07321",N13="15C-07437",N13="15C-10691",N13="15C-10812",N13="15C-11200",N13="15C-11486",N13="15C-12812",N13="15C-12832",N13="15C-12874",N13="15C-12876",N13="15C-13616",N13="15C-13840",N13="15C-15237",N13="15C-06125",N13="15C-11549",N13="15C-11732",N13="15C-11856",N13="15C-12643",N13="15C-13368",N13="15C-13568",N13="15C-13959",N13="15C-13969",N13="15C-13958"),"CX001",IF(N13="15C-03426","CX003",IF(N13="15C-03470","CX002",IF(N13="15C-01584","CX009",IF(N13="15C-25418","CX008",IF(N13="15C-01889","CX004",IF(N13="15C-13036","CX006",IF(M13="Châu Thành Phát","CX007",IF(M13="Anh Sức","CX014",IF(M13="Tùng (Nam Khang)","CS00006",IF(M13="Tùng Khánh","CX015","Mã CX")))))))))))</f>
        <v>CX001</v>
      </c>
      <c r="AH13" s="199" t="str">
        <f t="shared" ref="AH13:AH29" si="74">N13</f>
        <v>15C-11486</v>
      </c>
      <c r="AI13" s="202">
        <f t="shared" ref="AI13" si="75">V13</f>
        <v>1</v>
      </c>
      <c r="AJ13" s="205">
        <f t="shared" ref="AJ13" si="76">W13</f>
        <v>1200000</v>
      </c>
      <c r="AK13" s="205">
        <f t="shared" ref="AK13" si="77">X13</f>
        <v>1200000</v>
      </c>
      <c r="AL13" s="199" t="str">
        <f t="shared" ref="AL13" si="78">AA13</f>
        <v>DKG</v>
      </c>
      <c r="AM13" s="205">
        <f t="shared" ref="AM13" si="79">AB13</f>
        <v>150000</v>
      </c>
      <c r="AN13" s="205">
        <f>IF(AND(AM13&gt;0,K13="HS.HA"),AM13,IF(AND(AM13&gt;0,K13="CB.DKG"),AM13,IF(AND(AM13&gt;0,H13="Cont"),AM13,IF(AND(AM13&gt;0,K13="HA.HS"),AM13,IF(AND(AM13&gt;0,K13="CHP.HS"),AM13,IF(AND(AM13&gt;0,K13="CDV.HS"),AM13,IF(AND(AM13&gt;0,K13="CLH.HS"),AM13,IF(AM13&gt;0,AM13-100000,))))))))</f>
        <v>150000</v>
      </c>
      <c r="AO13" s="205">
        <f t="shared" ref="AO13:AO29" si="80">AM13-AN13</f>
        <v>0</v>
      </c>
      <c r="AP13" s="198"/>
      <c r="AQ13" s="202">
        <f t="shared" ref="AQ13:AQ29" si="81">IF(V13&lt;=1,V13,AI13*95%)</f>
        <v>1</v>
      </c>
      <c r="AR13" s="202"/>
      <c r="AS13" s="205">
        <f>IF(AND(AA13="DKG",H13="Cont",K13="VD.HN.DKG"),4000000/AQ13,IF(AND(AA13="DKG",A13&gt;=1,K13="CLH.HS"),700000,IF(AND(AA13="DKG",A13&gt;=1,K13="CDV.HS"),550000,IF(AND(AA13="DKG",A13&gt;=1,K13="HS.HA"),800000/AQ13,IF(AND(AA13="DKG",A13&gt;=1,K13="CHP.HS"),500000/AQ13,IF(AND(AA13="DKG",A13&gt;=1,K13="KH.DKG"),X13-1000000,IF(AA13="DKG",AJ13-65000,IF(AA13="THG",AJ13,0))))))))</f>
        <v>550000</v>
      </c>
      <c r="AT13" s="205">
        <f t="shared" ref="AT13:AT29" si="82">AQ13*AS13</f>
        <v>550000</v>
      </c>
      <c r="AU13" s="205">
        <f t="shared" ref="AU13:AU29" si="83">AK13-AT13</f>
        <v>650000</v>
      </c>
      <c r="AV13" s="198" t="str">
        <f t="shared" ref="AV13:AV29" si="84">AC13</f>
        <v/>
      </c>
      <c r="AW13" s="208">
        <f t="shared" ref="AW13:AW29" si="85">IF(AI13-AQ13=0,AQ13,IF(AI13-AQ13&gt;0,AI13-AQ13))</f>
        <v>1</v>
      </c>
      <c r="AX13" s="208"/>
      <c r="AY13" s="209">
        <f t="shared" ref="AY13:AY29" si="86">(AK13-AT13)/AW13</f>
        <v>650000</v>
      </c>
      <c r="AZ13" s="209">
        <f t="shared" ref="AZ13:AZ29" si="87">AW13*AY13</f>
        <v>650000</v>
      </c>
      <c r="BA13" s="209">
        <f t="shared" ref="BA13:BA29" si="88">X13-AT13-AZ13</f>
        <v>0</v>
      </c>
      <c r="BB13" s="210">
        <f>IF(AND(AG13="CX001",N13="15C-03426"),512140,IF(AND(AG13="CX001",N13="15C-23521"),512141,IF(AND(AG13="CX001",N13="15C-07321"),512101,IF(AND(AG13="CX001",N13="15C-07437"),512102,IF(AND(AG13="CX001",N13="15C-10691"),512109,IF(AND(AG13="CX001",N13="15C-10812"),512110,IF(AND(AG13="CX001",N13="15C-11200"),512111,IF(AND(AG13="CX001",N13="15C-11486"),512112,IF(AND(AG13="CX001",N13="15C-12812"),512113,IF(AND(AG13="CX001",N13="15C-12832"),512114,IF(AND(AG13="CX001",N13="15C-12874"),512115,IF(AND(AG13="CX001",N13="15C-12876"),512116,IF(AND(AG13="CX001",N13="15C-13616"),512117,IF(AND(AG13="CX001",N13="15C-13840"),512118,IF(AND(AG13="CX001",N13="15C-15237"),512119,IF(AND(AG13="CX001",N13="15C-06125"),512121,IF(AND(AG13="CX040",N13="15C-25029"),51226,IF(AND(AG13="CX001",N13="15C-25029"),512124,IF(AND(AG13="CX001",N13="15C-25555"),512127,IF(AND(AG13="CX001",N13="15C-11549"),512130,IF(AND(AG13="CX001",N13="15C-11732"),512131,IF(AND(AG13="CX001",N13="15C-11856"),512132,IF(AND(AG13="CX001",N13="15C-12593"),512133,IF(AND(AG13="CX001",N13="15C-12643"),512134,IF(AND(AG13="CX001",N13="15C-13368"),512135,IF(AND(AG13="CX001",N13="15C-13568"),512136,IF(AND(AG13="CX001",N13="15C-13959"),512137,IF(AND(AG13="CX001",N13="15C-13969"),512138,IF(AND(AG13="CX001",N13="15C-13958"),512139,IF(AND(AG13="CX055",N13="15C-03426"),512213,IF(AND(AG13="CX002",N13="15C-03470"),512212,IF(AND(AG13="CX057",N13="15C-01584"),512223,IF(AND(AG13="CX056",N13="15C-25418"),512222,IF(AND(AG13="CX004",N13="15C-01889"),512221,IF(AND(AG13="CX006",N13="15C-13036"),51224,51225)))))))))))))))))))))))))))))))))))</f>
        <v>512112</v>
      </c>
      <c r="BC13" s="210">
        <f t="shared" ref="BC13:BC29" si="89">IF(AA13="DKG",511301,IF(AA13="THG",511302,0))</f>
        <v>511301</v>
      </c>
      <c r="BD13" s="210">
        <f t="shared" ref="BD13:BD29" si="90">IF(AA13="DKG",5123,IF(AA13="THG",522,0))</f>
        <v>5123</v>
      </c>
      <c r="BE13" s="210">
        <f t="shared" ref="BE13:BE29" si="91">IF(AP13="Phú","NV018",IF(AP13="Giang","NV006",IF(AP13="Quang","NV024",IF(AP13="Kỳ","NV222",0))))</f>
        <v>0</v>
      </c>
      <c r="BF13" s="210">
        <f t="shared" ref="BF13:BF29" si="92">IF(AG13="CX001",0,331)</f>
        <v>0</v>
      </c>
      <c r="BG13" s="210">
        <f t="shared" ref="BG13:BG29" si="93">IF(AG13="CX001",15401,IF(OR(AG13="CX055",AG13="CX039",AG13="CX040",AG13="CX002",AG13="CX003",AG13="CX004",AG13="CX005",AG13="CX006",AG13="CX056",AG13="CX057"),331,0))</f>
        <v>15401</v>
      </c>
      <c r="BH13" s="211">
        <f>IF(AND(AG13="CX001",N13="15C-03426"),6121140,IF(AND(AG13="CX001",N13="15C-23521"),6121141,IF(AND(AG13="CX001",N13="15C-11549"),6121130,IF(AND(AG13="CX001",N13="15C-11732"),6121131,IF(AND(AG13="CX001",N13="15C-11856"),6121132,IF(AND(AG13="CX001",N13="15C-12593"),6121133,IF(AND(AG13="CX001",N13="15C-12643"),6121134,IF(AND(AG13="CX001",N13="15C-13368"),6121135,IF(AND(AG13="CX001",N13="15C-13568"),6121136,IF(AND(AG13="CX001",N13="15C-13959"),6121137,IF(AND(AG13="CX001",N13="15C-13969"),6121138,IF(AND(AG13="CX001",N13="15C-13958"),6121139,IF(AND(AG13="CX001",N13="15C-07321"),6121101,IF(AND(AG13="CX001",N13="15C-07437"),6121102,IF(AND(AG13="CX001",N13="15C-10691"),6121109,IF(AND(AG13="CX001",N13="15C-10812"),6121110,IF(AND(AG13="CX001",N13="15C-11200"),6121111,IF(AND(AG13="CX001",N13="15C-11486"),6121112,IF(AND(AG13="CX001",N13="15C-12812"),6121113,IF(AND(AG13="CX001",N13="15C-12832"),6121114,IF(AND(AG13="CX001",N13="15C-12874"),6121115,IF(AND(AG13="CX001",N13="15C-12876"),6121116,IF(AND(AG13="CX001",N13="15C-13616"),6121117,IF(AND(AG13="CX001",N13="15C-13840"),6121118,IF(AND(AG13="CX001",N13="15C-15237"),6121119,IF(AND(AG13="CX001",N13="15C-06125"),6121121,IF(AND(AG13="CX001",N13="15C-25029"),6121124,IF(AND(AG13="CX001",N13="15C-25555"),6121127,0))))))))))))))))))))))))))))</f>
        <v>6121112</v>
      </c>
      <c r="BI13" s="169" t="s">
        <v>12763</v>
      </c>
      <c r="BJ13" s="169" t="str">
        <f t="shared" ref="BJ13:BJ29" si="94">CONCATENATE(BI13,N13)</f>
        <v>TDG xe 15C-11486</v>
      </c>
      <c r="BK13" s="211" t="str">
        <f t="shared" ref="BK13:BK29" si="95">IF(AA13="THG","T",IF(AA13="DKG","G",0))</f>
        <v>G</v>
      </c>
      <c r="BL13" s="170" t="str">
        <f ca="1">IF(Y13="CGN",TODAY(),"")</f>
        <v/>
      </c>
      <c r="BM13" s="212" t="str">
        <f t="shared" ref="BM13:BM29" si="96">+C13</f>
        <v>CG00052</v>
      </c>
      <c r="BN13" s="212" t="str">
        <f t="shared" si="64"/>
        <v>NH</v>
      </c>
      <c r="BO13" s="212" t="str">
        <f t="shared" ref="BO13:BO29" si="97">+C13</f>
        <v>CG00052</v>
      </c>
      <c r="BP13" s="212" t="str">
        <f t="shared" ref="BP13:BP29" si="98">+D13</f>
        <v>Tuấn Phúc (HDHN) 0912766567</v>
      </c>
      <c r="BQ13" s="212" t="str">
        <f t="shared" ref="BQ13:BQ29" si="99">+L13</f>
        <v>DKG&lt;-&gt;Chuyển tải khu vực CĐV-HS</v>
      </c>
      <c r="BS13" s="209">
        <f t="shared" ref="BS13:BS29" si="100">+W13</f>
        <v>1200000</v>
      </c>
      <c r="BT13" s="222" t="b">
        <f>IF(OR(BM13="CG00047",BM13="Dong Duong",BM13="CG00073",BM13="CG00078",BM13="CG00045"),VLOOKUP(BQ13,'gia3'!$D$7:$T$206,4,0),IF(OR(BM13="CG00088",BM13="CG00044",),VLOOKUP(BQ13,'gia3'!$D$7:$T$206,6,0),IF(BM13="Đinh Gia",VLOOKUP(BQ13,'gia3'!$D$7:$T$206,8,0),IF(OR(BM13="Greeensky",BM13="CG..."),VLOOKUP(BQ13,'gia3'!$D$7:$T$206,10,0),IF(OR(BM13="Đại Huu",BM13="Vietj Mỹ"),VLOOKUP(BQ13,'gia3'!$D$7:$T$206,14,0) )))))</f>
        <v>0</v>
      </c>
      <c r="BU13" s="222" t="b">
        <f>IF(OR(BM13="CG00047",BM13="Dong Duong",BM13="CG00073",BM13="CG00078",BM13="CG00045"),VLOOKUP(BQ13,'gia3'!$D$7:$T$206,5,0),IF(OR(BM13="CG00088",BM13="CG00044",),VLOOKUP(BQ13,'gia3'!$D$7:$T$206,7,0),IF(BM13="Đinh Gia",VLOOKUP(BQ13,'gia3'!$D$7:$T$206,9,0),IF(OR(BM13="Greeensky",BM13="CG..."),VLOOKUP(BQ13,'gia3'!$D$7:$T$206,11,0),IF(OR(BM13="Đại Huu",BM13="Vietj Mỹ"),VLOOKUP(BQ13,'gia3'!$D$7:$T$206,15,0) )))))</f>
        <v>0</v>
      </c>
      <c r="BV13" s="212" t="str">
        <f t="shared" si="65"/>
        <v>saiiiiiiiiiiiiiiiii</v>
      </c>
      <c r="BX13" s="340" t="e">
        <f>VLOOKUP(BQ13,[5]gia3!$D$7:$W$256,19,0)</f>
        <v>#N/A</v>
      </c>
      <c r="BY13" s="349" t="e">
        <f t="shared" si="32"/>
        <v>#N/A</v>
      </c>
      <c r="BZ13" s="350" t="e">
        <f t="shared" si="33"/>
        <v>#N/A</v>
      </c>
    </row>
    <row r="14" spans="1:78" s="212" customFormat="1" ht="20.100000000000001" customHeight="1" x14ac:dyDescent="0.3">
      <c r="A14" s="191">
        <f>MAX($A$11:A13)+1</f>
        <v>4</v>
      </c>
      <c r="B14" s="192">
        <v>45490</v>
      </c>
      <c r="C14" s="191" t="s">
        <v>299</v>
      </c>
      <c r="D14" s="193" t="s">
        <v>13054</v>
      </c>
      <c r="E14" s="194" t="s">
        <v>13169</v>
      </c>
      <c r="F14" s="193" t="s">
        <v>13055</v>
      </c>
      <c r="G14" s="193"/>
      <c r="H14" s="191" t="s">
        <v>12765</v>
      </c>
      <c r="I14" s="191"/>
      <c r="J14" s="191"/>
      <c r="K14" s="195" t="s">
        <v>199</v>
      </c>
      <c r="L14" s="196" t="s">
        <v>200</v>
      </c>
      <c r="M14" s="197" t="str">
        <f t="shared" si="66"/>
        <v>Hoàng Sơn</v>
      </c>
      <c r="N14" s="123" t="s">
        <v>115</v>
      </c>
      <c r="O14" s="198" t="str">
        <f t="shared" ref="O14:O29" si="101">IF(N14="15C-03470","Ngô Quang Hưng",IF(N14="15C-01889","Nguyễn Đắt Đạt",IF(N14="15C-25418","Ngụy Văn Toàn",IF(N14="15C-11549","Lê Anh Tân",IF(N14="15C-11732","Bùi Quang Duy",IF(N14="15C-11856","Đinh Minh Dũng",IF(N14="15C-12593","Bùi Bá Thành",IF(N14="15C-12643","Lại Văn Ngân",IF(N14="15C-13368","Vũ Đức Chiến",IF(N14="15C-13568","Trần Quốc Đại",IF(N14="15C-13959","Phạm Viết Thành",IF(N14="15C-13969","Lê Anh Tân",IF(N14="15C-13958","Vũ Đình Hà",IF(N14="15C-07321","Lại Văn Ngân",IF(N14="15C-07437","Trương Văn Cao",IF(N14="15C-10691","Đoàn Văn Hà",IF(N14="15C-10812","Lại Văn Ngân",IF(N14="15C-11200","Phạm Văn Thịnh",IF(N14="15C-11486","Bùi Đức Thành",IF(N14="15C-12812","Mai Văn Sơn",IF(N14="15C-12832","Trần Văn Hiển",IF(N14="15C-12874","Phạm Đức Lợi",IF(N14="15C-12876","Phạm Văn Thượng",IF(N14="15C-13616","Đặng Thanh Sơn",IF(N14="15C-13840","Trương Văn Cao",IF(N14="15C-15237","Lưu Xuân Thành",IF(N14="15C-06125","Đồng Ngọc Điểm",IF(N14="15C-25029","Phạm Văn Hai",IF(N14="15C-25555","Đoàn Văn Hà",IF(N14="15C-03426","Phạm Hoàng Quyết",IF(N14="15C-01584","Nguyễn Đắc Đạt",IF(N14="15C-13036","Nguyễn Ngọc Anh","Tên LX"))))))))))))))))))))))))))))))))</f>
        <v>Trần Quốc Đại</v>
      </c>
      <c r="P14" s="197" t="str">
        <f t="shared" si="67"/>
        <v>HS</v>
      </c>
      <c r="Q14" s="199" t="str">
        <f t="shared" si="68"/>
        <v>HS</v>
      </c>
      <c r="R14" s="197" t="s">
        <v>14952</v>
      </c>
      <c r="S14" s="197" t="s">
        <v>15139</v>
      </c>
      <c r="T14" s="200" t="s">
        <v>15080</v>
      </c>
      <c r="U14" s="201">
        <v>6</v>
      </c>
      <c r="V14" s="202">
        <v>30.582999999999998</v>
      </c>
      <c r="W14" s="203">
        <v>450000</v>
      </c>
      <c r="X14" s="204">
        <f t="shared" si="69"/>
        <v>13762350</v>
      </c>
      <c r="Y14" s="199" t="s">
        <v>37</v>
      </c>
      <c r="Z14" s="199" t="str">
        <f t="shared" si="70"/>
        <v>OK/NO</v>
      </c>
      <c r="AA14" s="199" t="str">
        <f t="shared" ref="AA14:AA29" si="102">LEFT(L14,3)</f>
        <v>DKG</v>
      </c>
      <c r="AB14" s="205">
        <v>2650000</v>
      </c>
      <c r="AC14" s="198" t="s">
        <v>55</v>
      </c>
      <c r="AD14" s="206">
        <f t="shared" si="71"/>
        <v>4</v>
      </c>
      <c r="AE14" s="206" t="str">
        <f t="shared" si="72"/>
        <v>HS</v>
      </c>
      <c r="AF14" s="207" t="str">
        <f t="shared" si="73"/>
        <v>DKG&lt;-&gt;Ý Yên, Nam Định</v>
      </c>
      <c r="AG14" s="199" t="str">
        <f t="shared" ref="AG14:AG29" si="103">IF(OR(N14="15C-12593",N14="15C-25555",N14="15C-07321",N14="15C-07437",N14="15C-10691",N14="15C-10812",N14="15C-11200",N14="15C-11486",N14="15C-12812",N14="15C-12832",N14="15C-12874",N14="15C-12876",N14="15C-13616",N14="15C-13840",N14="15C-15237",N14="15C-06125",N14="15C-11549",N14="15C-11732",N14="15C-11856",N14="15C-12643",N14="15C-13368",N14="15C-13568",N14="15C-13959",N14="15C-13969",N14="15C-13958"),"CX001",IF(N14="15C-03426","CX003",IF(N14="15C-03470","CX002",IF(N14="15C-01584","CX009",IF(N14="15C-25418","CX008",IF(N14="15C-01889","CX004",IF(N14="15C-13036","CX006",IF(M14="Châu Thành Phát","CX007",IF(M14="Anh Sức","CX014",IF(M14="Tùng (Nam Khang)","CS00006",IF(M14="Tùng Khánh","CX015","Mã CX")))))))))))</f>
        <v>CX001</v>
      </c>
      <c r="AH14" s="199" t="str">
        <f t="shared" si="74"/>
        <v>15C-13568</v>
      </c>
      <c r="AI14" s="202">
        <f t="shared" ref="AI14:AI29" si="104">V14</f>
        <v>30.582999999999998</v>
      </c>
      <c r="AJ14" s="205">
        <f t="shared" ref="AJ14:AJ29" si="105">W14</f>
        <v>450000</v>
      </c>
      <c r="AK14" s="205">
        <f t="shared" ref="AK14:AK29" si="106">X14</f>
        <v>13762350</v>
      </c>
      <c r="AL14" s="199" t="str">
        <f t="shared" ref="AL14:AL29" si="107">AA14</f>
        <v>DKG</v>
      </c>
      <c r="AM14" s="205">
        <f t="shared" ref="AM14:AM29" si="108">AB14</f>
        <v>2650000</v>
      </c>
      <c r="AN14" s="205">
        <f t="shared" ref="AN14:AN29" si="109">IF(AND(AM14&gt;0,K14="HS.HA"),AM14,IF(AND(AM14&gt;0,K14="CB.DKG"),AM14,IF(AND(AM14&gt;0,H14="Cont"),AM14,IF(AND(AM14&gt;0,K14="HA.HS"),AM14,IF(AND(AM14&gt;0,K14="CHP.HS"),AM14,IF(AND(AM14&gt;0,K14="CDV.HS"),AM14,IF(AND(AM14&gt;0,K14="CLH.HS"),AM14,IF(AM14&gt;0,AM14-100000,))))))))</f>
        <v>2550000</v>
      </c>
      <c r="AO14" s="205">
        <f t="shared" si="80"/>
        <v>100000</v>
      </c>
      <c r="AP14" s="198"/>
      <c r="AQ14" s="202">
        <f t="shared" si="81"/>
        <v>29.053849999999997</v>
      </c>
      <c r="AR14" s="202"/>
      <c r="AS14" s="205">
        <f t="shared" ref="AS14:AS29" si="110">IF(AND(AA14="DKG",H14="Cont",K14="VD.HN.DKG"),4000000/AQ14,IF(AND(AA14="DKG",A14&gt;=1,K14="CLH.HS"),700000,IF(AND(AA14="DKG",A14&gt;=1,K14="CDV.HS"),550000,IF(AND(AA14="DKG",A14&gt;=1,K14="HS.HA"),800000/AQ14,IF(AND(AA14="DKG",A14&gt;=1,K14="CHP.HS"),500000/AQ14,IF(AND(AA14="DKG",A14&gt;=1,K14="KH.DKG"),X14-1000000,IF(AA14="DKG",AJ14-65000,IF(AA14="THG",AJ14,0))))))))</f>
        <v>385000</v>
      </c>
      <c r="AT14" s="205">
        <f t="shared" si="82"/>
        <v>11185732.249999998</v>
      </c>
      <c r="AU14" s="205">
        <f t="shared" si="83"/>
        <v>2576617.7500000019</v>
      </c>
      <c r="AV14" s="198" t="str">
        <f t="shared" si="84"/>
        <v/>
      </c>
      <c r="AW14" s="208">
        <f t="shared" si="85"/>
        <v>1.5291500000000013</v>
      </c>
      <c r="AX14" s="208"/>
      <c r="AY14" s="209">
        <f t="shared" si="86"/>
        <v>1684999.9999999998</v>
      </c>
      <c r="AZ14" s="209">
        <f t="shared" si="87"/>
        <v>2576617.7500000019</v>
      </c>
      <c r="BA14" s="209">
        <f t="shared" si="88"/>
        <v>0</v>
      </c>
      <c r="BB14" s="210">
        <f t="shared" ref="BB14:BB29" si="111">IF(AND(AG14="CX001",N14="15C-03426"),512140,IF(AND(AG14="CX001",N14="15C-23521"),512141,IF(AND(AG14="CX001",N14="15C-07321"),512101,IF(AND(AG14="CX001",N14="15C-07437"),512102,IF(AND(AG14="CX001",N14="15C-10691"),512109,IF(AND(AG14="CX001",N14="15C-10812"),512110,IF(AND(AG14="CX001",N14="15C-11200"),512111,IF(AND(AG14="CX001",N14="15C-11486"),512112,IF(AND(AG14="CX001",N14="15C-12812"),512113,IF(AND(AG14="CX001",N14="15C-12832"),512114,IF(AND(AG14="CX001",N14="15C-12874"),512115,IF(AND(AG14="CX001",N14="15C-12876"),512116,IF(AND(AG14="CX001",N14="15C-13616"),512117,IF(AND(AG14="CX001",N14="15C-13840"),512118,IF(AND(AG14="CX001",N14="15C-15237"),512119,IF(AND(AG14="CX001",N14="15C-06125"),512121,IF(AND(AG14="CX040",N14="15C-25029"),51226,IF(AND(AG14="CX001",N14="15C-25029"),512124,IF(AND(AG14="CX001",N14="15C-25555"),512127,IF(AND(AG14="CX001",N14="15C-11549"),512130,IF(AND(AG14="CX001",N14="15C-11732"),512131,IF(AND(AG14="CX001",N14="15C-11856"),512132,IF(AND(AG14="CX001",N14="15C-12593"),512133,IF(AND(AG14="CX001",N14="15C-12643"),512134,IF(AND(AG14="CX001",N14="15C-13368"),512135,IF(AND(AG14="CX001",N14="15C-13568"),512136,IF(AND(AG14="CX001",N14="15C-13959"),512137,IF(AND(AG14="CX001",N14="15C-13969"),512138,IF(AND(AG14="CX001",N14="15C-13958"),512139,IF(AND(AG14="CX055",N14="15C-03426"),512213,IF(AND(AG14="CX002",N14="15C-03470"),512212,IF(AND(AG14="CX057",N14="15C-01584"),512223,IF(AND(AG14="CX056",N14="15C-25418"),512222,IF(AND(AG14="CX004",N14="15C-01889"),512221,IF(AND(AG14="CX006",N14="15C-13036"),51224,51225)))))))))))))))))))))))))))))))))))</f>
        <v>512136</v>
      </c>
      <c r="BC14" s="210">
        <f t="shared" si="89"/>
        <v>511301</v>
      </c>
      <c r="BD14" s="210">
        <f t="shared" si="90"/>
        <v>5123</v>
      </c>
      <c r="BE14" s="210">
        <f t="shared" si="91"/>
        <v>0</v>
      </c>
      <c r="BF14" s="210">
        <f t="shared" si="92"/>
        <v>0</v>
      </c>
      <c r="BG14" s="210">
        <f t="shared" si="93"/>
        <v>15401</v>
      </c>
      <c r="BH14" s="211">
        <f t="shared" ref="BH14:BH29" si="112">IF(AND(AG14="CX001",N14="15C-03426"),6121140,IF(AND(AG14="CX001",N14="15C-23521"),6121141,IF(AND(AG14="CX001",N14="15C-11549"),6121130,IF(AND(AG14="CX001",N14="15C-11732"),6121131,IF(AND(AG14="CX001",N14="15C-11856"),6121132,IF(AND(AG14="CX001",N14="15C-12593"),6121133,IF(AND(AG14="CX001",N14="15C-12643"),6121134,IF(AND(AG14="CX001",N14="15C-13368"),6121135,IF(AND(AG14="CX001",N14="15C-13568"),6121136,IF(AND(AG14="CX001",N14="15C-13959"),6121137,IF(AND(AG14="CX001",N14="15C-13969"),6121138,IF(AND(AG14="CX001",N14="15C-13958"),6121139,IF(AND(AG14="CX001",N14="15C-07321"),6121101,IF(AND(AG14="CX001",N14="15C-07437"),6121102,IF(AND(AG14="CX001",N14="15C-10691"),6121109,IF(AND(AG14="CX001",N14="15C-10812"),6121110,IF(AND(AG14="CX001",N14="15C-11200"),6121111,IF(AND(AG14="CX001",N14="15C-11486"),6121112,IF(AND(AG14="CX001",N14="15C-12812"),6121113,IF(AND(AG14="CX001",N14="15C-12832"),6121114,IF(AND(AG14="CX001",N14="15C-12874"),6121115,IF(AND(AG14="CX001",N14="15C-12876"),6121116,IF(AND(AG14="CX001",N14="15C-13616"),6121117,IF(AND(AG14="CX001",N14="15C-13840"),6121118,IF(AND(AG14="CX001",N14="15C-15237"),6121119,IF(AND(AG14="CX001",N14="15C-06125"),6121121,IF(AND(AG14="CX001",N14="15C-25029"),6121124,IF(AND(AG14="CX001",N14="15C-25555"),6121127,0))))))))))))))))))))))))))))</f>
        <v>6121136</v>
      </c>
      <c r="BI14" s="169" t="s">
        <v>12763</v>
      </c>
      <c r="BJ14" s="169" t="str">
        <f t="shared" si="94"/>
        <v>TDG xe 15C-13568</v>
      </c>
      <c r="BK14" s="211" t="str">
        <f t="shared" si="95"/>
        <v>G</v>
      </c>
      <c r="BL14" s="170" t="str">
        <f t="shared" ref="BL14:BL29" ca="1" si="113">IF(Y14="CGN",TODAY(),"")</f>
        <v/>
      </c>
      <c r="BM14" s="212" t="str">
        <f t="shared" si="96"/>
        <v>CG00013</v>
      </c>
      <c r="BN14" s="212">
        <f t="shared" si="64"/>
        <v>0</v>
      </c>
      <c r="BO14" s="212" t="str">
        <f t="shared" si="97"/>
        <v>CG00013</v>
      </c>
      <c r="BP14" s="212" t="str">
        <f t="shared" si="98"/>
        <v>Công ty TNHH Sản xuất và Thương mại Đức Tín (HDHN) 0913010067</v>
      </c>
      <c r="BQ14" s="212" t="str">
        <f t="shared" si="99"/>
        <v>DKG&lt;-&gt;Ý Yên, Nam Định</v>
      </c>
      <c r="BS14" s="209">
        <f t="shared" si="100"/>
        <v>450000</v>
      </c>
      <c r="BT14" s="222" t="b">
        <f>IF(OR(BM14="CG00047",BM14="Dong Duong",BM14="CG00073",BM14="CG00078",BM14="CG00045"),VLOOKUP(BQ14,'gia3'!$D$7:$T$206,4,0),IF(OR(BM14="CG00088",BM14="CG00044",),VLOOKUP(BQ14,'gia3'!$D$7:$T$206,6,0),IF(BM14="Đinh Gia",VLOOKUP(BQ14,'gia3'!$D$7:$T$206,8,0),IF(OR(BM14="Greeensky",BM14="CG..."),VLOOKUP(BQ14,'gia3'!$D$7:$T$206,10,0),IF(OR(BM14="Đại Huu",BM14="Vietj Mỹ"),VLOOKUP(BQ14,'gia3'!$D$7:$T$206,14,0) )))))</f>
        <v>0</v>
      </c>
      <c r="BU14" s="222" t="b">
        <f>IF(OR(BM14="CG00047",BM14="Dong Duong",BM14="CG00073",BM14="CG00078",BM14="CG00045"),VLOOKUP(BQ14,'gia3'!$D$7:$T$206,5,0),IF(OR(BM14="CG00088",BM14="CG00044",),VLOOKUP(BQ14,'gia3'!$D$7:$T$206,7,0),IF(BM14="Đinh Gia",VLOOKUP(BQ14,'gia3'!$D$7:$T$206,9,0),IF(OR(BM14="Greeensky",BM14="CG..."),VLOOKUP(BQ14,'gia3'!$D$7:$T$206,11,0),IF(OR(BM14="Đại Huu",BM14="Vietj Mỹ"),VLOOKUP(BQ14,'gia3'!$D$7:$T$206,15,0) )))))</f>
        <v>0</v>
      </c>
      <c r="BV14" s="212" t="str">
        <f t="shared" si="65"/>
        <v>saiiiiiiiiiiiiiiiii</v>
      </c>
      <c r="BX14" s="340">
        <f>VLOOKUP(BQ14,[5]gia3!$D$7:$W$256,19,0)</f>
        <v>4600000</v>
      </c>
      <c r="BY14" s="349">
        <f t="shared" si="32"/>
        <v>4600000</v>
      </c>
      <c r="BZ14" s="350">
        <f t="shared" si="33"/>
        <v>4215000</v>
      </c>
    </row>
    <row r="15" spans="1:78" s="212" customFormat="1" ht="20.100000000000001" customHeight="1" x14ac:dyDescent="0.3">
      <c r="A15" s="191">
        <f>MAX($A$11:A14)+1</f>
        <v>5</v>
      </c>
      <c r="B15" s="192">
        <v>45490</v>
      </c>
      <c r="C15" s="191" t="s">
        <v>299</v>
      </c>
      <c r="D15" s="193" t="s">
        <v>13054</v>
      </c>
      <c r="E15" s="194" t="s">
        <v>13169</v>
      </c>
      <c r="F15" s="193" t="s">
        <v>13055</v>
      </c>
      <c r="G15" s="193"/>
      <c r="H15" s="191" t="s">
        <v>12765</v>
      </c>
      <c r="I15" s="191"/>
      <c r="J15" s="191"/>
      <c r="K15" s="195" t="s">
        <v>199</v>
      </c>
      <c r="L15" s="196" t="s">
        <v>200</v>
      </c>
      <c r="M15" s="197" t="str">
        <f t="shared" si="66"/>
        <v>Hoàng Sơn</v>
      </c>
      <c r="N15" s="123" t="s">
        <v>107</v>
      </c>
      <c r="O15" s="198" t="str">
        <f t="shared" si="101"/>
        <v>Bùi Quang Duy</v>
      </c>
      <c r="P15" s="197" t="str">
        <f t="shared" si="67"/>
        <v>HS</v>
      </c>
      <c r="Q15" s="199" t="str">
        <f t="shared" si="68"/>
        <v>HS</v>
      </c>
      <c r="R15" s="197" t="s">
        <v>14953</v>
      </c>
      <c r="S15" s="197" t="s">
        <v>15139</v>
      </c>
      <c r="T15" s="200" t="s">
        <v>15080</v>
      </c>
      <c r="U15" s="201">
        <v>5</v>
      </c>
      <c r="V15" s="202">
        <v>31.28</v>
      </c>
      <c r="W15" s="203">
        <v>450000</v>
      </c>
      <c r="X15" s="204">
        <f t="shared" si="69"/>
        <v>14076000</v>
      </c>
      <c r="Y15" s="199" t="s">
        <v>37</v>
      </c>
      <c r="Z15" s="199" t="str">
        <f t="shared" si="70"/>
        <v>OK/NO</v>
      </c>
      <c r="AA15" s="199" t="str">
        <f t="shared" si="102"/>
        <v>DKG</v>
      </c>
      <c r="AB15" s="205">
        <v>2650000</v>
      </c>
      <c r="AC15" s="198" t="s">
        <v>55</v>
      </c>
      <c r="AD15" s="206">
        <f t="shared" si="71"/>
        <v>5</v>
      </c>
      <c r="AE15" s="206" t="str">
        <f t="shared" si="72"/>
        <v>HS</v>
      </c>
      <c r="AF15" s="207" t="str">
        <f t="shared" si="73"/>
        <v>DKG&lt;-&gt;Ý Yên, Nam Định</v>
      </c>
      <c r="AG15" s="199" t="str">
        <f t="shared" si="103"/>
        <v>CX001</v>
      </c>
      <c r="AH15" s="199" t="str">
        <f t="shared" si="74"/>
        <v>15C-11732</v>
      </c>
      <c r="AI15" s="202">
        <f t="shared" si="104"/>
        <v>31.28</v>
      </c>
      <c r="AJ15" s="205">
        <f t="shared" si="105"/>
        <v>450000</v>
      </c>
      <c r="AK15" s="205">
        <f t="shared" si="106"/>
        <v>14076000</v>
      </c>
      <c r="AL15" s="199" t="str">
        <f t="shared" si="107"/>
        <v>DKG</v>
      </c>
      <c r="AM15" s="205">
        <f t="shared" si="108"/>
        <v>2650000</v>
      </c>
      <c r="AN15" s="205">
        <f t="shared" si="109"/>
        <v>2550000</v>
      </c>
      <c r="AO15" s="205">
        <f t="shared" si="80"/>
        <v>100000</v>
      </c>
      <c r="AP15" s="198"/>
      <c r="AQ15" s="202">
        <f t="shared" si="81"/>
        <v>29.716000000000001</v>
      </c>
      <c r="AR15" s="202"/>
      <c r="AS15" s="205">
        <f t="shared" si="110"/>
        <v>385000</v>
      </c>
      <c r="AT15" s="205">
        <f t="shared" si="82"/>
        <v>11440660</v>
      </c>
      <c r="AU15" s="205">
        <f t="shared" si="83"/>
        <v>2635340</v>
      </c>
      <c r="AV15" s="198" t="str">
        <f t="shared" si="84"/>
        <v/>
      </c>
      <c r="AW15" s="208">
        <f t="shared" si="85"/>
        <v>1.5640000000000001</v>
      </c>
      <c r="AX15" s="208"/>
      <c r="AY15" s="209">
        <f t="shared" si="86"/>
        <v>1685000</v>
      </c>
      <c r="AZ15" s="209">
        <f t="shared" si="87"/>
        <v>2635340</v>
      </c>
      <c r="BA15" s="209">
        <f t="shared" si="88"/>
        <v>0</v>
      </c>
      <c r="BB15" s="210">
        <f t="shared" si="111"/>
        <v>512131</v>
      </c>
      <c r="BC15" s="210">
        <f t="shared" si="89"/>
        <v>511301</v>
      </c>
      <c r="BD15" s="210">
        <f t="shared" si="90"/>
        <v>5123</v>
      </c>
      <c r="BE15" s="210">
        <f t="shared" si="91"/>
        <v>0</v>
      </c>
      <c r="BF15" s="210">
        <f t="shared" si="92"/>
        <v>0</v>
      </c>
      <c r="BG15" s="210">
        <f t="shared" si="93"/>
        <v>15401</v>
      </c>
      <c r="BH15" s="211">
        <f t="shared" si="112"/>
        <v>6121131</v>
      </c>
      <c r="BI15" s="169" t="s">
        <v>12763</v>
      </c>
      <c r="BJ15" s="169" t="str">
        <f t="shared" si="94"/>
        <v>TDG xe 15C-11732</v>
      </c>
      <c r="BK15" s="211" t="str">
        <f t="shared" si="95"/>
        <v>G</v>
      </c>
      <c r="BL15" s="170" t="str">
        <f t="shared" ca="1" si="113"/>
        <v/>
      </c>
      <c r="BM15" s="212" t="str">
        <f t="shared" si="96"/>
        <v>CG00013</v>
      </c>
      <c r="BN15" s="212">
        <f t="shared" si="64"/>
        <v>0</v>
      </c>
      <c r="BO15" s="212" t="str">
        <f t="shared" si="97"/>
        <v>CG00013</v>
      </c>
      <c r="BP15" s="212" t="str">
        <f t="shared" si="98"/>
        <v>Công ty TNHH Sản xuất và Thương mại Đức Tín (HDHN) 0913010067</v>
      </c>
      <c r="BQ15" s="212" t="str">
        <f t="shared" si="99"/>
        <v>DKG&lt;-&gt;Ý Yên, Nam Định</v>
      </c>
      <c r="BS15" s="209">
        <f t="shared" si="100"/>
        <v>450000</v>
      </c>
      <c r="BT15" s="222" t="b">
        <f>IF(OR(BM15="CG00047",BM15="Dong Duong",BM15="CG00073",BM15="CG00078",BM15="CG00045"),VLOOKUP(BQ15,'gia3'!$D$7:$T$206,4,0),IF(OR(BM15="CG00088",BM15="CG00044",),VLOOKUP(BQ15,'gia3'!$D$7:$T$206,6,0),IF(BM15="Đinh Gia",VLOOKUP(BQ15,'gia3'!$D$7:$T$206,8,0),IF(OR(BM15="Greeensky",BM15="CG..."),VLOOKUP(BQ15,'gia3'!$D$7:$T$206,10,0),IF(OR(BM15="Đại Huu",BM15="Vietj Mỹ"),VLOOKUP(BQ15,'gia3'!$D$7:$T$206,14,0) )))))</f>
        <v>0</v>
      </c>
      <c r="BU15" s="222" t="b">
        <f>IF(OR(BM15="CG00047",BM15="Dong Duong",BM15="CG00073",BM15="CG00078",BM15="CG00045"),VLOOKUP(BQ15,'gia3'!$D$7:$T$206,5,0),IF(OR(BM15="CG00088",BM15="CG00044",),VLOOKUP(BQ15,'gia3'!$D$7:$T$206,7,0),IF(BM15="Đinh Gia",VLOOKUP(BQ15,'gia3'!$D$7:$T$206,9,0),IF(OR(BM15="Greeensky",BM15="CG..."),VLOOKUP(BQ15,'gia3'!$D$7:$T$206,11,0),IF(OR(BM15="Đại Huu",BM15="Vietj Mỹ"),VLOOKUP(BQ15,'gia3'!$D$7:$T$206,15,0) )))))</f>
        <v>0</v>
      </c>
      <c r="BV15" s="212" t="str">
        <f t="shared" si="65"/>
        <v>saiiiiiiiiiiiiiiiii</v>
      </c>
      <c r="BX15" s="340">
        <f>VLOOKUP(BQ15,[5]gia3!$D$7:$W$256,19,0)</f>
        <v>4600000</v>
      </c>
      <c r="BY15" s="349">
        <f t="shared" si="32"/>
        <v>4600000</v>
      </c>
      <c r="BZ15" s="350">
        <f t="shared" si="33"/>
        <v>4215000</v>
      </c>
    </row>
    <row r="16" spans="1:78" s="212" customFormat="1" ht="20.100000000000001" customHeight="1" x14ac:dyDescent="0.3">
      <c r="A16" s="191">
        <f>MAX($A$11:A15)+1</f>
        <v>6</v>
      </c>
      <c r="B16" s="192">
        <v>45490</v>
      </c>
      <c r="C16" s="191" t="s">
        <v>299</v>
      </c>
      <c r="D16" s="193" t="s">
        <v>13054</v>
      </c>
      <c r="E16" s="194" t="s">
        <v>13169</v>
      </c>
      <c r="F16" s="193" t="s">
        <v>13055</v>
      </c>
      <c r="G16" s="193"/>
      <c r="H16" s="191" t="s">
        <v>12765</v>
      </c>
      <c r="I16" s="191"/>
      <c r="J16" s="191"/>
      <c r="K16" s="195" t="s">
        <v>199</v>
      </c>
      <c r="L16" s="196" t="s">
        <v>200</v>
      </c>
      <c r="M16" s="197" t="str">
        <f t="shared" si="66"/>
        <v>Hoàng Sơn</v>
      </c>
      <c r="N16" s="123" t="s">
        <v>91</v>
      </c>
      <c r="O16" s="198" t="str">
        <f t="shared" si="101"/>
        <v>Mai Văn Sơn</v>
      </c>
      <c r="P16" s="197" t="str">
        <f t="shared" si="67"/>
        <v>HS</v>
      </c>
      <c r="Q16" s="199" t="str">
        <f t="shared" si="68"/>
        <v>HS</v>
      </c>
      <c r="R16" s="197" t="s">
        <v>14953</v>
      </c>
      <c r="S16" s="197" t="s">
        <v>15139</v>
      </c>
      <c r="T16" s="200" t="s">
        <v>15080</v>
      </c>
      <c r="U16" s="201">
        <v>6</v>
      </c>
      <c r="V16" s="202">
        <v>31.018000000000001</v>
      </c>
      <c r="W16" s="203">
        <v>450000</v>
      </c>
      <c r="X16" s="204">
        <f t="shared" si="69"/>
        <v>13958100</v>
      </c>
      <c r="Y16" s="199" t="s">
        <v>37</v>
      </c>
      <c r="Z16" s="199" t="str">
        <f t="shared" si="70"/>
        <v>OK/NO</v>
      </c>
      <c r="AA16" s="199" t="str">
        <f t="shared" si="102"/>
        <v>DKG</v>
      </c>
      <c r="AB16" s="205">
        <v>2650000</v>
      </c>
      <c r="AC16" s="198" t="s">
        <v>55</v>
      </c>
      <c r="AD16" s="206">
        <f t="shared" si="71"/>
        <v>6</v>
      </c>
      <c r="AE16" s="206" t="str">
        <f t="shared" si="72"/>
        <v>HS</v>
      </c>
      <c r="AF16" s="207" t="str">
        <f t="shared" si="73"/>
        <v>DKG&lt;-&gt;Ý Yên, Nam Định</v>
      </c>
      <c r="AG16" s="199" t="str">
        <f t="shared" si="103"/>
        <v>CX001</v>
      </c>
      <c r="AH16" s="199" t="str">
        <f t="shared" si="74"/>
        <v>15C-12812</v>
      </c>
      <c r="AI16" s="202">
        <f t="shared" si="104"/>
        <v>31.018000000000001</v>
      </c>
      <c r="AJ16" s="205">
        <f t="shared" si="105"/>
        <v>450000</v>
      </c>
      <c r="AK16" s="205">
        <f t="shared" si="106"/>
        <v>13958100</v>
      </c>
      <c r="AL16" s="199" t="str">
        <f t="shared" si="107"/>
        <v>DKG</v>
      </c>
      <c r="AM16" s="205">
        <f t="shared" si="108"/>
        <v>2650000</v>
      </c>
      <c r="AN16" s="205">
        <f t="shared" si="109"/>
        <v>2550000</v>
      </c>
      <c r="AO16" s="205">
        <f t="shared" si="80"/>
        <v>100000</v>
      </c>
      <c r="AP16" s="198"/>
      <c r="AQ16" s="202">
        <f t="shared" si="81"/>
        <v>29.467099999999999</v>
      </c>
      <c r="AR16" s="202"/>
      <c r="AS16" s="205">
        <f t="shared" si="110"/>
        <v>385000</v>
      </c>
      <c r="AT16" s="205">
        <f t="shared" si="82"/>
        <v>11344833.5</v>
      </c>
      <c r="AU16" s="205">
        <f t="shared" si="83"/>
        <v>2613266.5</v>
      </c>
      <c r="AV16" s="198" t="str">
        <f t="shared" si="84"/>
        <v/>
      </c>
      <c r="AW16" s="208">
        <f t="shared" si="85"/>
        <v>1.5509000000000022</v>
      </c>
      <c r="AX16" s="208"/>
      <c r="AY16" s="209">
        <f t="shared" si="86"/>
        <v>1684999.9999999977</v>
      </c>
      <c r="AZ16" s="209">
        <f t="shared" si="87"/>
        <v>2613266.5</v>
      </c>
      <c r="BA16" s="209">
        <f t="shared" si="88"/>
        <v>0</v>
      </c>
      <c r="BB16" s="210">
        <f t="shared" si="111"/>
        <v>512113</v>
      </c>
      <c r="BC16" s="210">
        <f t="shared" si="89"/>
        <v>511301</v>
      </c>
      <c r="BD16" s="210">
        <f t="shared" si="90"/>
        <v>5123</v>
      </c>
      <c r="BE16" s="210">
        <f t="shared" si="91"/>
        <v>0</v>
      </c>
      <c r="BF16" s="210">
        <f t="shared" si="92"/>
        <v>0</v>
      </c>
      <c r="BG16" s="210">
        <f t="shared" si="93"/>
        <v>15401</v>
      </c>
      <c r="BH16" s="211">
        <f t="shared" si="112"/>
        <v>6121113</v>
      </c>
      <c r="BI16" s="169" t="s">
        <v>12763</v>
      </c>
      <c r="BJ16" s="169" t="str">
        <f t="shared" si="94"/>
        <v>TDG xe 15C-12812</v>
      </c>
      <c r="BK16" s="211" t="str">
        <f t="shared" si="95"/>
        <v>G</v>
      </c>
      <c r="BL16" s="170" t="str">
        <f t="shared" ca="1" si="113"/>
        <v/>
      </c>
      <c r="BM16" s="212" t="str">
        <f t="shared" si="96"/>
        <v>CG00013</v>
      </c>
      <c r="BN16" s="212">
        <f t="shared" si="64"/>
        <v>0</v>
      </c>
      <c r="BO16" s="212" t="str">
        <f t="shared" si="97"/>
        <v>CG00013</v>
      </c>
      <c r="BP16" s="212" t="str">
        <f t="shared" si="98"/>
        <v>Công ty TNHH Sản xuất và Thương mại Đức Tín (HDHN) 0913010067</v>
      </c>
      <c r="BQ16" s="212" t="str">
        <f t="shared" si="99"/>
        <v>DKG&lt;-&gt;Ý Yên, Nam Định</v>
      </c>
      <c r="BS16" s="209">
        <f t="shared" si="100"/>
        <v>450000</v>
      </c>
      <c r="BT16" s="222" t="b">
        <f>IF(OR(BM16="CG00047",BM16="Dong Duong",BM16="CG00073",BM16="CG00078",BM16="CG00045"),VLOOKUP(BQ16,'gia3'!$D$7:$T$206,4,0),IF(OR(BM16="CG00088",BM16="CG00044",),VLOOKUP(BQ16,'gia3'!$D$7:$T$206,6,0),IF(BM16="Đinh Gia",VLOOKUP(BQ16,'gia3'!$D$7:$T$206,8,0),IF(OR(BM16="Greeensky",BM16="CG..."),VLOOKUP(BQ16,'gia3'!$D$7:$T$206,10,0),IF(OR(BM16="Đại Huu",BM16="Vietj Mỹ"),VLOOKUP(BQ16,'gia3'!$D$7:$T$206,14,0) )))))</f>
        <v>0</v>
      </c>
      <c r="BU16" s="222" t="b">
        <f>IF(OR(BM16="CG00047",BM16="Dong Duong",BM16="CG00073",BM16="CG00078",BM16="CG00045"),VLOOKUP(BQ16,'gia3'!$D$7:$T$206,5,0),IF(OR(BM16="CG00088",BM16="CG00044",),VLOOKUP(BQ16,'gia3'!$D$7:$T$206,7,0),IF(BM16="Đinh Gia",VLOOKUP(BQ16,'gia3'!$D$7:$T$206,9,0),IF(OR(BM16="Greeensky",BM16="CG..."),VLOOKUP(BQ16,'gia3'!$D$7:$T$206,11,0),IF(OR(BM16="Đại Huu",BM16="Vietj Mỹ"),VLOOKUP(BQ16,'gia3'!$D$7:$T$206,15,0) )))))</f>
        <v>0</v>
      </c>
      <c r="BV16" s="212" t="str">
        <f t="shared" si="65"/>
        <v>saiiiiiiiiiiiiiiiii</v>
      </c>
      <c r="BX16" s="340">
        <f>VLOOKUP(BQ16,[5]gia3!$D$7:$W$256,19,0)</f>
        <v>4600000</v>
      </c>
      <c r="BY16" s="349">
        <f t="shared" si="32"/>
        <v>4600000</v>
      </c>
      <c r="BZ16" s="350">
        <f t="shared" si="33"/>
        <v>4215000</v>
      </c>
    </row>
    <row r="17" spans="1:78" s="212" customFormat="1" ht="20.100000000000001" customHeight="1" x14ac:dyDescent="0.3">
      <c r="A17" s="191">
        <f>MAX($A$11:A16)+1</f>
        <v>7</v>
      </c>
      <c r="B17" s="192">
        <v>45490</v>
      </c>
      <c r="C17" s="191" t="s">
        <v>299</v>
      </c>
      <c r="D17" s="193" t="s">
        <v>13054</v>
      </c>
      <c r="E17" s="194" t="s">
        <v>13169</v>
      </c>
      <c r="F17" s="193" t="s">
        <v>13055</v>
      </c>
      <c r="G17" s="193"/>
      <c r="H17" s="191" t="s">
        <v>12765</v>
      </c>
      <c r="I17" s="191"/>
      <c r="J17" s="191"/>
      <c r="K17" s="195" t="s">
        <v>199</v>
      </c>
      <c r="L17" s="196" t="s">
        <v>200</v>
      </c>
      <c r="M17" s="197" t="str">
        <f t="shared" si="66"/>
        <v>Hoàng Sơn</v>
      </c>
      <c r="N17" s="123" t="s">
        <v>89</v>
      </c>
      <c r="O17" s="198" t="str">
        <f t="shared" si="101"/>
        <v>Phạm Văn Thịnh</v>
      </c>
      <c r="P17" s="197" t="str">
        <f t="shared" si="67"/>
        <v>HS</v>
      </c>
      <c r="Q17" s="199" t="str">
        <f t="shared" si="68"/>
        <v>HS</v>
      </c>
      <c r="R17" s="197" t="s">
        <v>14953</v>
      </c>
      <c r="S17" s="197" t="s">
        <v>15139</v>
      </c>
      <c r="T17" s="200" t="s">
        <v>15080</v>
      </c>
      <c r="U17" s="201">
        <v>6</v>
      </c>
      <c r="V17" s="202">
        <v>30.966999999999999</v>
      </c>
      <c r="W17" s="203">
        <v>450000</v>
      </c>
      <c r="X17" s="204">
        <f t="shared" si="69"/>
        <v>13935150</v>
      </c>
      <c r="Y17" s="199" t="s">
        <v>37</v>
      </c>
      <c r="Z17" s="199" t="str">
        <f t="shared" si="70"/>
        <v>OK/NO</v>
      </c>
      <c r="AA17" s="199" t="str">
        <f t="shared" si="102"/>
        <v>DKG</v>
      </c>
      <c r="AB17" s="205">
        <v>2650000</v>
      </c>
      <c r="AC17" s="198" t="s">
        <v>55</v>
      </c>
      <c r="AD17" s="206">
        <f t="shared" si="71"/>
        <v>7</v>
      </c>
      <c r="AE17" s="206" t="str">
        <f t="shared" si="72"/>
        <v>HS</v>
      </c>
      <c r="AF17" s="207" t="str">
        <f t="shared" si="73"/>
        <v>DKG&lt;-&gt;Ý Yên, Nam Định</v>
      </c>
      <c r="AG17" s="199" t="str">
        <f t="shared" si="103"/>
        <v>CX001</v>
      </c>
      <c r="AH17" s="199" t="str">
        <f t="shared" si="74"/>
        <v>15C-11200</v>
      </c>
      <c r="AI17" s="202">
        <f t="shared" si="104"/>
        <v>30.966999999999999</v>
      </c>
      <c r="AJ17" s="205">
        <f t="shared" si="105"/>
        <v>450000</v>
      </c>
      <c r="AK17" s="205">
        <f t="shared" si="106"/>
        <v>13935150</v>
      </c>
      <c r="AL17" s="199" t="str">
        <f t="shared" si="107"/>
        <v>DKG</v>
      </c>
      <c r="AM17" s="205">
        <f t="shared" si="108"/>
        <v>2650000</v>
      </c>
      <c r="AN17" s="205">
        <f t="shared" si="109"/>
        <v>2550000</v>
      </c>
      <c r="AO17" s="205">
        <f t="shared" si="80"/>
        <v>100000</v>
      </c>
      <c r="AP17" s="198"/>
      <c r="AQ17" s="202">
        <f t="shared" si="81"/>
        <v>29.418649999999996</v>
      </c>
      <c r="AR17" s="202"/>
      <c r="AS17" s="205">
        <f t="shared" si="110"/>
        <v>385000</v>
      </c>
      <c r="AT17" s="205">
        <f t="shared" si="82"/>
        <v>11326180.249999998</v>
      </c>
      <c r="AU17" s="205">
        <f t="shared" si="83"/>
        <v>2608969.7500000019</v>
      </c>
      <c r="AV17" s="198" t="str">
        <f t="shared" si="84"/>
        <v/>
      </c>
      <c r="AW17" s="208">
        <f t="shared" si="85"/>
        <v>1.5483500000000028</v>
      </c>
      <c r="AX17" s="208"/>
      <c r="AY17" s="209">
        <f t="shared" si="86"/>
        <v>1684999.9999999981</v>
      </c>
      <c r="AZ17" s="209">
        <f t="shared" si="87"/>
        <v>2608969.7500000019</v>
      </c>
      <c r="BA17" s="209">
        <f t="shared" si="88"/>
        <v>0</v>
      </c>
      <c r="BB17" s="210">
        <f t="shared" si="111"/>
        <v>512111</v>
      </c>
      <c r="BC17" s="210">
        <f t="shared" si="89"/>
        <v>511301</v>
      </c>
      <c r="BD17" s="210">
        <f t="shared" si="90"/>
        <v>5123</v>
      </c>
      <c r="BE17" s="210">
        <f t="shared" si="91"/>
        <v>0</v>
      </c>
      <c r="BF17" s="210">
        <f t="shared" si="92"/>
        <v>0</v>
      </c>
      <c r="BG17" s="210">
        <f t="shared" si="93"/>
        <v>15401</v>
      </c>
      <c r="BH17" s="211">
        <f t="shared" si="112"/>
        <v>6121111</v>
      </c>
      <c r="BI17" s="169" t="s">
        <v>12763</v>
      </c>
      <c r="BJ17" s="169" t="str">
        <f t="shared" si="94"/>
        <v>TDG xe 15C-11200</v>
      </c>
      <c r="BK17" s="211" t="str">
        <f t="shared" si="95"/>
        <v>G</v>
      </c>
      <c r="BL17" s="170" t="str">
        <f t="shared" ca="1" si="113"/>
        <v/>
      </c>
      <c r="BM17" s="212" t="str">
        <f t="shared" si="96"/>
        <v>CG00013</v>
      </c>
      <c r="BN17" s="212">
        <f t="shared" si="64"/>
        <v>0</v>
      </c>
      <c r="BO17" s="212" t="str">
        <f t="shared" si="97"/>
        <v>CG00013</v>
      </c>
      <c r="BP17" s="212" t="str">
        <f t="shared" si="98"/>
        <v>Công ty TNHH Sản xuất và Thương mại Đức Tín (HDHN) 0913010067</v>
      </c>
      <c r="BQ17" s="212" t="str">
        <f t="shared" si="99"/>
        <v>DKG&lt;-&gt;Ý Yên, Nam Định</v>
      </c>
      <c r="BS17" s="209">
        <f t="shared" si="100"/>
        <v>450000</v>
      </c>
      <c r="BT17" s="222" t="b">
        <f>IF(OR(BM17="CG00047",BM17="Dong Duong",BM17="CG00073",BM17="CG00078",BM17="CG00045"),VLOOKUP(BQ17,'gia3'!$D$7:$T$206,4,0),IF(OR(BM17="CG00088",BM17="CG00044",),VLOOKUP(BQ17,'gia3'!$D$7:$T$206,6,0),IF(BM17="Đinh Gia",VLOOKUP(BQ17,'gia3'!$D$7:$T$206,8,0),IF(OR(BM17="Greeensky",BM17="CG..."),VLOOKUP(BQ17,'gia3'!$D$7:$T$206,10,0),IF(OR(BM17="Đại Huu",BM17="Vietj Mỹ"),VLOOKUP(BQ17,'gia3'!$D$7:$T$206,14,0) )))))</f>
        <v>0</v>
      </c>
      <c r="BU17" s="222" t="b">
        <f>IF(OR(BM17="CG00047",BM17="Dong Duong",BM17="CG00073",BM17="CG00078",BM17="CG00045"),VLOOKUP(BQ17,'gia3'!$D$7:$T$206,5,0),IF(OR(BM17="CG00088",BM17="CG00044",),VLOOKUP(BQ17,'gia3'!$D$7:$T$206,7,0),IF(BM17="Đinh Gia",VLOOKUP(BQ17,'gia3'!$D$7:$T$206,9,0),IF(OR(BM17="Greeensky",BM17="CG..."),VLOOKUP(BQ17,'gia3'!$D$7:$T$206,11,0),IF(OR(BM17="Đại Huu",BM17="Vietj Mỹ"),VLOOKUP(BQ17,'gia3'!$D$7:$T$206,15,0) )))))</f>
        <v>0</v>
      </c>
      <c r="BV17" s="212" t="str">
        <f t="shared" si="65"/>
        <v>saiiiiiiiiiiiiiiiii</v>
      </c>
      <c r="BX17" s="340">
        <f>VLOOKUP(BQ17,[5]gia3!$D$7:$W$256,19,0)</f>
        <v>4600000</v>
      </c>
      <c r="BY17" s="349">
        <f t="shared" si="32"/>
        <v>4600000</v>
      </c>
      <c r="BZ17" s="350">
        <f t="shared" si="33"/>
        <v>4215000</v>
      </c>
    </row>
    <row r="18" spans="1:78" s="212" customFormat="1" ht="20.100000000000001" customHeight="1" x14ac:dyDescent="0.3">
      <c r="A18" s="191">
        <f>MAX($A$11:A17)+1</f>
        <v>8</v>
      </c>
      <c r="B18" s="192">
        <v>45490</v>
      </c>
      <c r="C18" s="191" t="s">
        <v>299</v>
      </c>
      <c r="D18" s="193" t="s">
        <v>13054</v>
      </c>
      <c r="E18" s="194" t="s">
        <v>13169</v>
      </c>
      <c r="F18" s="193" t="s">
        <v>13055</v>
      </c>
      <c r="G18" s="193"/>
      <c r="H18" s="191" t="s">
        <v>12765</v>
      </c>
      <c r="I18" s="191"/>
      <c r="J18" s="191"/>
      <c r="K18" s="195" t="s">
        <v>199</v>
      </c>
      <c r="L18" s="196" t="s">
        <v>200</v>
      </c>
      <c r="M18" s="197" t="str">
        <f t="shared" si="66"/>
        <v>Hoàng Sơn</v>
      </c>
      <c r="N18" s="123" t="s">
        <v>67</v>
      </c>
      <c r="O18" s="198" t="str">
        <f t="shared" si="101"/>
        <v>Phạm Đức Lợi</v>
      </c>
      <c r="P18" s="197" t="str">
        <f t="shared" si="67"/>
        <v>HS</v>
      </c>
      <c r="Q18" s="199" t="str">
        <f t="shared" si="68"/>
        <v>HS</v>
      </c>
      <c r="R18" s="197" t="s">
        <v>14952</v>
      </c>
      <c r="S18" s="197" t="s">
        <v>15139</v>
      </c>
      <c r="T18" s="200" t="s">
        <v>15080</v>
      </c>
      <c r="U18" s="201">
        <v>8</v>
      </c>
      <c r="V18" s="202">
        <v>35.212000000000003</v>
      </c>
      <c r="W18" s="203">
        <v>450000</v>
      </c>
      <c r="X18" s="204">
        <f t="shared" si="69"/>
        <v>15845400.000000002</v>
      </c>
      <c r="Y18" s="199" t="s">
        <v>15124</v>
      </c>
      <c r="Z18" s="199">
        <f t="shared" si="70"/>
        <v>0</v>
      </c>
      <c r="AA18" s="199" t="str">
        <f t="shared" si="102"/>
        <v>DKG</v>
      </c>
      <c r="AB18" s="205">
        <v>2650000</v>
      </c>
      <c r="AC18" s="198" t="s">
        <v>55</v>
      </c>
      <c r="AD18" s="206">
        <f t="shared" si="71"/>
        <v>8</v>
      </c>
      <c r="AE18" s="206" t="str">
        <f t="shared" si="72"/>
        <v>HS</v>
      </c>
      <c r="AF18" s="207" t="str">
        <f t="shared" si="73"/>
        <v>DKG&lt;-&gt;Ý Yên, Nam Định</v>
      </c>
      <c r="AG18" s="199" t="str">
        <f t="shared" si="103"/>
        <v>CX001</v>
      </c>
      <c r="AH18" s="199" t="str">
        <f t="shared" si="74"/>
        <v>15C-12874</v>
      </c>
      <c r="AI18" s="202">
        <f t="shared" si="104"/>
        <v>35.212000000000003</v>
      </c>
      <c r="AJ18" s="205">
        <f t="shared" si="105"/>
        <v>450000</v>
      </c>
      <c r="AK18" s="205">
        <f t="shared" si="106"/>
        <v>15845400.000000002</v>
      </c>
      <c r="AL18" s="199" t="str">
        <f t="shared" si="107"/>
        <v>DKG</v>
      </c>
      <c r="AM18" s="205">
        <f t="shared" si="108"/>
        <v>2650000</v>
      </c>
      <c r="AN18" s="205">
        <f t="shared" si="109"/>
        <v>2550000</v>
      </c>
      <c r="AO18" s="205">
        <f t="shared" si="80"/>
        <v>100000</v>
      </c>
      <c r="AP18" s="198"/>
      <c r="AQ18" s="202">
        <f t="shared" si="81"/>
        <v>33.4514</v>
      </c>
      <c r="AR18" s="202"/>
      <c r="AS18" s="205">
        <f t="shared" si="110"/>
        <v>385000</v>
      </c>
      <c r="AT18" s="205">
        <f t="shared" si="82"/>
        <v>12878789</v>
      </c>
      <c r="AU18" s="205">
        <f t="shared" si="83"/>
        <v>2966611.0000000019</v>
      </c>
      <c r="AV18" s="198" t="str">
        <f t="shared" si="84"/>
        <v/>
      </c>
      <c r="AW18" s="208">
        <f t="shared" si="85"/>
        <v>1.7606000000000037</v>
      </c>
      <c r="AX18" s="208"/>
      <c r="AY18" s="209">
        <f t="shared" si="86"/>
        <v>1684999.9999999974</v>
      </c>
      <c r="AZ18" s="209">
        <f t="shared" si="87"/>
        <v>2966611.0000000019</v>
      </c>
      <c r="BA18" s="209">
        <f t="shared" si="88"/>
        <v>0</v>
      </c>
      <c r="BB18" s="210">
        <f t="shared" si="111"/>
        <v>512115</v>
      </c>
      <c r="BC18" s="210">
        <f t="shared" si="89"/>
        <v>511301</v>
      </c>
      <c r="BD18" s="210">
        <f t="shared" si="90"/>
        <v>5123</v>
      </c>
      <c r="BE18" s="210">
        <f t="shared" si="91"/>
        <v>0</v>
      </c>
      <c r="BF18" s="210">
        <f t="shared" si="92"/>
        <v>0</v>
      </c>
      <c r="BG18" s="210">
        <f t="shared" si="93"/>
        <v>15401</v>
      </c>
      <c r="BH18" s="211">
        <f t="shared" si="112"/>
        <v>6121115</v>
      </c>
      <c r="BI18" s="169" t="s">
        <v>12763</v>
      </c>
      <c r="BJ18" s="169" t="str">
        <f t="shared" si="94"/>
        <v>TDG xe 15C-12874</v>
      </c>
      <c r="BK18" s="211" t="str">
        <f t="shared" si="95"/>
        <v>G</v>
      </c>
      <c r="BL18" s="170" t="str">
        <f t="shared" ca="1" si="113"/>
        <v/>
      </c>
      <c r="BM18" s="212" t="str">
        <f t="shared" si="96"/>
        <v>CG00013</v>
      </c>
      <c r="BN18" s="212">
        <f t="shared" si="64"/>
        <v>0</v>
      </c>
      <c r="BO18" s="212" t="str">
        <f t="shared" si="97"/>
        <v>CG00013</v>
      </c>
      <c r="BP18" s="212" t="str">
        <f t="shared" si="98"/>
        <v>Công ty TNHH Sản xuất và Thương mại Đức Tín (HDHN) 0913010067</v>
      </c>
      <c r="BQ18" s="212" t="str">
        <f t="shared" si="99"/>
        <v>DKG&lt;-&gt;Ý Yên, Nam Định</v>
      </c>
      <c r="BS18" s="209">
        <f t="shared" si="100"/>
        <v>450000</v>
      </c>
      <c r="BT18" s="222" t="b">
        <f>IF(OR(BM18="CG00047",BM18="Dong Duong",BM18="CG00073",BM18="CG00078",BM18="CG00045"),VLOOKUP(BQ18,'gia3'!$D$7:$T$206,4,0),IF(OR(BM18="CG00088",BM18="CG00044",),VLOOKUP(BQ18,'gia3'!$D$7:$T$206,6,0),IF(BM18="Đinh Gia",VLOOKUP(BQ18,'gia3'!$D$7:$T$206,8,0),IF(OR(BM18="Greeensky",BM18="CG..."),VLOOKUP(BQ18,'gia3'!$D$7:$T$206,10,0),IF(OR(BM18="Đại Huu",BM18="Vietj Mỹ"),VLOOKUP(BQ18,'gia3'!$D$7:$T$206,14,0) )))))</f>
        <v>0</v>
      </c>
      <c r="BU18" s="222" t="b">
        <f>IF(OR(BM18="CG00047",BM18="Dong Duong",BM18="CG00073",BM18="CG00078",BM18="CG00045"),VLOOKUP(BQ18,'gia3'!$D$7:$T$206,5,0),IF(OR(BM18="CG00088",BM18="CG00044",),VLOOKUP(BQ18,'gia3'!$D$7:$T$206,7,0),IF(BM18="Đinh Gia",VLOOKUP(BQ18,'gia3'!$D$7:$T$206,9,0),IF(OR(BM18="Greeensky",BM18="CG..."),VLOOKUP(BQ18,'gia3'!$D$7:$T$206,11,0),IF(OR(BM18="Đại Huu",BM18="Vietj Mỹ"),VLOOKUP(BQ18,'gia3'!$D$7:$T$206,15,0) )))))</f>
        <v>0</v>
      </c>
      <c r="BV18" s="212" t="str">
        <f t="shared" si="65"/>
        <v>saiiiiiiiiiiiiiiiii</v>
      </c>
      <c r="BX18" s="340">
        <f>VLOOKUP(BQ18,[5]gia3!$D$7:$W$256,19,0)</f>
        <v>4600000</v>
      </c>
      <c r="BY18" s="349">
        <f t="shared" si="32"/>
        <v>4600000</v>
      </c>
      <c r="BZ18" s="350">
        <f t="shared" si="33"/>
        <v>4215000</v>
      </c>
    </row>
    <row r="19" spans="1:78" s="212" customFormat="1" ht="20.100000000000001" customHeight="1" x14ac:dyDescent="0.3">
      <c r="A19" s="191">
        <f>MAX($A$11:A18)+1</f>
        <v>9</v>
      </c>
      <c r="B19" s="192">
        <v>45490</v>
      </c>
      <c r="C19" s="191" t="s">
        <v>299</v>
      </c>
      <c r="D19" s="193" t="s">
        <v>13054</v>
      </c>
      <c r="E19" s="194" t="s">
        <v>13169</v>
      </c>
      <c r="F19" s="193" t="s">
        <v>13055</v>
      </c>
      <c r="G19" s="193"/>
      <c r="H19" s="191" t="s">
        <v>12765</v>
      </c>
      <c r="I19" s="191"/>
      <c r="J19" s="191"/>
      <c r="K19" s="195" t="s">
        <v>199</v>
      </c>
      <c r="L19" s="196" t="s">
        <v>200</v>
      </c>
      <c r="M19" s="197" t="str">
        <f t="shared" si="66"/>
        <v>Hoàng Sơn</v>
      </c>
      <c r="N19" s="123" t="s">
        <v>117</v>
      </c>
      <c r="O19" s="198" t="str">
        <f t="shared" si="101"/>
        <v>Phạm Viết Thành</v>
      </c>
      <c r="P19" s="197" t="str">
        <f t="shared" si="67"/>
        <v>HS</v>
      </c>
      <c r="Q19" s="199" t="str">
        <f t="shared" si="68"/>
        <v>HS</v>
      </c>
      <c r="R19" s="197" t="s">
        <v>14952</v>
      </c>
      <c r="S19" s="197" t="s">
        <v>15139</v>
      </c>
      <c r="T19" s="200" t="s">
        <v>15080</v>
      </c>
      <c r="U19" s="201">
        <v>6</v>
      </c>
      <c r="V19" s="202">
        <v>34.289000000000001</v>
      </c>
      <c r="W19" s="203">
        <v>450000</v>
      </c>
      <c r="X19" s="204">
        <f t="shared" si="69"/>
        <v>15430050</v>
      </c>
      <c r="Y19" s="199" t="s">
        <v>15124</v>
      </c>
      <c r="Z19" s="199">
        <f t="shared" si="70"/>
        <v>0</v>
      </c>
      <c r="AA19" s="199" t="str">
        <f t="shared" si="102"/>
        <v>DKG</v>
      </c>
      <c r="AB19" s="205">
        <v>2650000</v>
      </c>
      <c r="AC19" s="198" t="s">
        <v>55</v>
      </c>
      <c r="AD19" s="206">
        <f t="shared" si="71"/>
        <v>9</v>
      </c>
      <c r="AE19" s="206" t="str">
        <f t="shared" si="72"/>
        <v>HS</v>
      </c>
      <c r="AF19" s="207" t="str">
        <f t="shared" si="73"/>
        <v>DKG&lt;-&gt;Ý Yên, Nam Định</v>
      </c>
      <c r="AG19" s="199" t="str">
        <f t="shared" si="103"/>
        <v>CX001</v>
      </c>
      <c r="AH19" s="199" t="str">
        <f t="shared" si="74"/>
        <v>15C-13959</v>
      </c>
      <c r="AI19" s="202">
        <f t="shared" si="104"/>
        <v>34.289000000000001</v>
      </c>
      <c r="AJ19" s="205">
        <f t="shared" si="105"/>
        <v>450000</v>
      </c>
      <c r="AK19" s="205">
        <f t="shared" si="106"/>
        <v>15430050</v>
      </c>
      <c r="AL19" s="199" t="str">
        <f t="shared" si="107"/>
        <v>DKG</v>
      </c>
      <c r="AM19" s="205">
        <f t="shared" si="108"/>
        <v>2650000</v>
      </c>
      <c r="AN19" s="205">
        <f t="shared" si="109"/>
        <v>2550000</v>
      </c>
      <c r="AO19" s="205">
        <f t="shared" si="80"/>
        <v>100000</v>
      </c>
      <c r="AP19" s="198"/>
      <c r="AQ19" s="202">
        <f t="shared" si="81"/>
        <v>32.574550000000002</v>
      </c>
      <c r="AR19" s="202"/>
      <c r="AS19" s="205">
        <f t="shared" si="110"/>
        <v>385000</v>
      </c>
      <c r="AT19" s="205">
        <f t="shared" si="82"/>
        <v>12541201.75</v>
      </c>
      <c r="AU19" s="205">
        <f t="shared" si="83"/>
        <v>2888848.25</v>
      </c>
      <c r="AV19" s="198" t="str">
        <f t="shared" si="84"/>
        <v/>
      </c>
      <c r="AW19" s="208">
        <f t="shared" si="85"/>
        <v>1.7144499999999994</v>
      </c>
      <c r="AX19" s="208"/>
      <c r="AY19" s="209">
        <f t="shared" si="86"/>
        <v>1685000.0000000007</v>
      </c>
      <c r="AZ19" s="209">
        <f t="shared" si="87"/>
        <v>2888848.25</v>
      </c>
      <c r="BA19" s="209">
        <f t="shared" si="88"/>
        <v>0</v>
      </c>
      <c r="BB19" s="210">
        <f t="shared" si="111"/>
        <v>512137</v>
      </c>
      <c r="BC19" s="210">
        <f t="shared" si="89"/>
        <v>511301</v>
      </c>
      <c r="BD19" s="210">
        <f t="shared" si="90"/>
        <v>5123</v>
      </c>
      <c r="BE19" s="210">
        <f t="shared" si="91"/>
        <v>0</v>
      </c>
      <c r="BF19" s="210">
        <f t="shared" si="92"/>
        <v>0</v>
      </c>
      <c r="BG19" s="210">
        <f t="shared" si="93"/>
        <v>15401</v>
      </c>
      <c r="BH19" s="211">
        <f t="shared" si="112"/>
        <v>6121137</v>
      </c>
      <c r="BI19" s="169" t="s">
        <v>12763</v>
      </c>
      <c r="BJ19" s="169" t="str">
        <f t="shared" si="94"/>
        <v>TDG xe 15C-13959</v>
      </c>
      <c r="BK19" s="211" t="str">
        <f t="shared" si="95"/>
        <v>G</v>
      </c>
      <c r="BL19" s="170" t="str">
        <f t="shared" ca="1" si="113"/>
        <v/>
      </c>
      <c r="BM19" s="212" t="str">
        <f t="shared" si="96"/>
        <v>CG00013</v>
      </c>
      <c r="BN19" s="212">
        <f t="shared" si="64"/>
        <v>0</v>
      </c>
      <c r="BO19" s="212" t="str">
        <f t="shared" si="97"/>
        <v>CG00013</v>
      </c>
      <c r="BP19" s="212" t="str">
        <f t="shared" si="98"/>
        <v>Công ty TNHH Sản xuất và Thương mại Đức Tín (HDHN) 0913010067</v>
      </c>
      <c r="BQ19" s="212" t="str">
        <f t="shared" si="99"/>
        <v>DKG&lt;-&gt;Ý Yên, Nam Định</v>
      </c>
      <c r="BS19" s="209">
        <f t="shared" si="100"/>
        <v>450000</v>
      </c>
      <c r="BT19" s="222" t="b">
        <f>IF(OR(BM19="CG00047",BM19="Dong Duong",BM19="CG00073",BM19="CG00078",BM19="CG00045"),VLOOKUP(BQ19,'gia3'!$D$7:$T$206,4,0),IF(OR(BM19="CG00088",BM19="CG00044",),VLOOKUP(BQ19,'gia3'!$D$7:$T$206,6,0),IF(BM19="Đinh Gia",VLOOKUP(BQ19,'gia3'!$D$7:$T$206,8,0),IF(OR(BM19="Greeensky",BM19="CG..."),VLOOKUP(BQ19,'gia3'!$D$7:$T$206,10,0),IF(OR(BM19="Đại Huu",BM19="Vietj Mỹ"),VLOOKUP(BQ19,'gia3'!$D$7:$T$206,14,0) )))))</f>
        <v>0</v>
      </c>
      <c r="BU19" s="222" t="b">
        <f>IF(OR(BM19="CG00047",BM19="Dong Duong",BM19="CG00073",BM19="CG00078",BM19="CG00045"),VLOOKUP(BQ19,'gia3'!$D$7:$T$206,5,0),IF(OR(BM19="CG00088",BM19="CG00044",),VLOOKUP(BQ19,'gia3'!$D$7:$T$206,7,0),IF(BM19="Đinh Gia",VLOOKUP(BQ19,'gia3'!$D$7:$T$206,9,0),IF(OR(BM19="Greeensky",BM19="CG..."),VLOOKUP(BQ19,'gia3'!$D$7:$T$206,11,0),IF(OR(BM19="Đại Huu",BM19="Vietj Mỹ"),VLOOKUP(BQ19,'gia3'!$D$7:$T$206,15,0) )))))</f>
        <v>0</v>
      </c>
      <c r="BV19" s="212" t="str">
        <f t="shared" si="65"/>
        <v>saiiiiiiiiiiiiiiiii</v>
      </c>
      <c r="BX19" s="340">
        <f>VLOOKUP(BQ19,[5]gia3!$D$7:$W$256,19,0)</f>
        <v>4600000</v>
      </c>
      <c r="BY19" s="349">
        <f t="shared" si="32"/>
        <v>4600000</v>
      </c>
      <c r="BZ19" s="350">
        <f t="shared" si="33"/>
        <v>4215000</v>
      </c>
    </row>
    <row r="20" spans="1:78" s="212" customFormat="1" ht="20.100000000000001" customHeight="1" x14ac:dyDescent="0.3">
      <c r="A20" s="191">
        <f>MAX($A$11:A19)+1</f>
        <v>10</v>
      </c>
      <c r="B20" s="192">
        <v>45490</v>
      </c>
      <c r="C20" s="191" t="s">
        <v>299</v>
      </c>
      <c r="D20" s="193" t="s">
        <v>13054</v>
      </c>
      <c r="E20" s="194" t="s">
        <v>13169</v>
      </c>
      <c r="F20" s="193" t="s">
        <v>13055</v>
      </c>
      <c r="G20" s="193"/>
      <c r="H20" s="191" t="s">
        <v>12765</v>
      </c>
      <c r="I20" s="191"/>
      <c r="J20" s="191"/>
      <c r="K20" s="195" t="s">
        <v>199</v>
      </c>
      <c r="L20" s="196" t="s">
        <v>200</v>
      </c>
      <c r="M20" s="197" t="str">
        <f t="shared" si="66"/>
        <v>Hoàng Sơn</v>
      </c>
      <c r="N20" s="123" t="s">
        <v>109</v>
      </c>
      <c r="O20" s="198" t="str">
        <f t="shared" si="101"/>
        <v>Đinh Minh Dũng</v>
      </c>
      <c r="P20" s="197" t="str">
        <f t="shared" si="67"/>
        <v>HS</v>
      </c>
      <c r="Q20" s="199" t="str">
        <f t="shared" si="68"/>
        <v>HS</v>
      </c>
      <c r="R20" s="197" t="s">
        <v>14952</v>
      </c>
      <c r="S20" s="197" t="s">
        <v>15139</v>
      </c>
      <c r="T20" s="200" t="s">
        <v>15080</v>
      </c>
      <c r="U20" s="201">
        <v>7</v>
      </c>
      <c r="V20" s="202">
        <v>35.011000000000003</v>
      </c>
      <c r="W20" s="203">
        <v>450000</v>
      </c>
      <c r="X20" s="204">
        <f t="shared" si="69"/>
        <v>15754950.000000002</v>
      </c>
      <c r="Y20" s="199" t="s">
        <v>15124</v>
      </c>
      <c r="Z20" s="199">
        <f t="shared" si="70"/>
        <v>0</v>
      </c>
      <c r="AA20" s="199" t="str">
        <f t="shared" si="102"/>
        <v>DKG</v>
      </c>
      <c r="AB20" s="205">
        <v>2650000</v>
      </c>
      <c r="AC20" s="198" t="s">
        <v>55</v>
      </c>
      <c r="AD20" s="206">
        <f t="shared" si="71"/>
        <v>10</v>
      </c>
      <c r="AE20" s="206" t="str">
        <f t="shared" si="72"/>
        <v>HS</v>
      </c>
      <c r="AF20" s="207" t="str">
        <f t="shared" si="73"/>
        <v>DKG&lt;-&gt;Ý Yên, Nam Định</v>
      </c>
      <c r="AG20" s="199" t="str">
        <f t="shared" si="103"/>
        <v>CX001</v>
      </c>
      <c r="AH20" s="199" t="str">
        <f t="shared" si="74"/>
        <v>15C-11856</v>
      </c>
      <c r="AI20" s="202">
        <f t="shared" si="104"/>
        <v>35.011000000000003</v>
      </c>
      <c r="AJ20" s="205">
        <f t="shared" si="105"/>
        <v>450000</v>
      </c>
      <c r="AK20" s="205">
        <f t="shared" si="106"/>
        <v>15754950.000000002</v>
      </c>
      <c r="AL20" s="199" t="str">
        <f t="shared" si="107"/>
        <v>DKG</v>
      </c>
      <c r="AM20" s="205">
        <f t="shared" si="108"/>
        <v>2650000</v>
      </c>
      <c r="AN20" s="205">
        <f t="shared" si="109"/>
        <v>2550000</v>
      </c>
      <c r="AO20" s="205">
        <f t="shared" si="80"/>
        <v>100000</v>
      </c>
      <c r="AP20" s="198"/>
      <c r="AQ20" s="202">
        <f t="shared" si="81"/>
        <v>33.260449999999999</v>
      </c>
      <c r="AR20" s="202"/>
      <c r="AS20" s="205">
        <f t="shared" si="110"/>
        <v>385000</v>
      </c>
      <c r="AT20" s="205">
        <f t="shared" si="82"/>
        <v>12805273.25</v>
      </c>
      <c r="AU20" s="205">
        <f t="shared" si="83"/>
        <v>2949676.7500000019</v>
      </c>
      <c r="AV20" s="198" t="str">
        <f t="shared" si="84"/>
        <v/>
      </c>
      <c r="AW20" s="208">
        <f t="shared" si="85"/>
        <v>1.750550000000004</v>
      </c>
      <c r="AX20" s="208"/>
      <c r="AY20" s="209">
        <f t="shared" si="86"/>
        <v>1684999.9999999972</v>
      </c>
      <c r="AZ20" s="209">
        <f t="shared" si="87"/>
        <v>2949676.7500000019</v>
      </c>
      <c r="BA20" s="209">
        <f t="shared" si="88"/>
        <v>0</v>
      </c>
      <c r="BB20" s="210">
        <f t="shared" si="111"/>
        <v>512132</v>
      </c>
      <c r="BC20" s="210">
        <f t="shared" si="89"/>
        <v>511301</v>
      </c>
      <c r="BD20" s="210">
        <f t="shared" si="90"/>
        <v>5123</v>
      </c>
      <c r="BE20" s="210">
        <f t="shared" si="91"/>
        <v>0</v>
      </c>
      <c r="BF20" s="210">
        <f t="shared" si="92"/>
        <v>0</v>
      </c>
      <c r="BG20" s="210">
        <f t="shared" si="93"/>
        <v>15401</v>
      </c>
      <c r="BH20" s="211">
        <f t="shared" si="112"/>
        <v>6121132</v>
      </c>
      <c r="BI20" s="169" t="s">
        <v>12763</v>
      </c>
      <c r="BJ20" s="169" t="str">
        <f t="shared" si="94"/>
        <v>TDG xe 15C-11856</v>
      </c>
      <c r="BK20" s="211" t="str">
        <f t="shared" si="95"/>
        <v>G</v>
      </c>
      <c r="BL20" s="170" t="str">
        <f t="shared" ca="1" si="113"/>
        <v/>
      </c>
      <c r="BM20" s="212" t="str">
        <f t="shared" si="96"/>
        <v>CG00013</v>
      </c>
      <c r="BN20" s="212">
        <f t="shared" si="64"/>
        <v>0</v>
      </c>
      <c r="BO20" s="212" t="str">
        <f t="shared" si="97"/>
        <v>CG00013</v>
      </c>
      <c r="BP20" s="212" t="str">
        <f t="shared" si="98"/>
        <v>Công ty TNHH Sản xuất và Thương mại Đức Tín (HDHN) 0913010067</v>
      </c>
      <c r="BQ20" s="212" t="str">
        <f t="shared" si="99"/>
        <v>DKG&lt;-&gt;Ý Yên, Nam Định</v>
      </c>
      <c r="BS20" s="209">
        <f t="shared" si="100"/>
        <v>450000</v>
      </c>
      <c r="BT20" s="222" t="b">
        <f>IF(OR(BM20="CG00047",BM20="Dong Duong",BM20="CG00073",BM20="CG00078",BM20="CG00045"),VLOOKUP(BQ20,'gia3'!$D$7:$T$206,4,0),IF(OR(BM20="CG00088",BM20="CG00044",),VLOOKUP(BQ20,'gia3'!$D$7:$T$206,6,0),IF(BM20="Đinh Gia",VLOOKUP(BQ20,'gia3'!$D$7:$T$206,8,0),IF(OR(BM20="Greeensky",BM20="CG..."),VLOOKUP(BQ20,'gia3'!$D$7:$T$206,10,0),IF(OR(BM20="Đại Huu",BM20="Vietj Mỹ"),VLOOKUP(BQ20,'gia3'!$D$7:$T$206,14,0) )))))</f>
        <v>0</v>
      </c>
      <c r="BU20" s="222" t="b">
        <f>IF(OR(BM20="CG00047",BM20="Dong Duong",BM20="CG00073",BM20="CG00078",BM20="CG00045"),VLOOKUP(BQ20,'gia3'!$D$7:$T$206,5,0),IF(OR(BM20="CG00088",BM20="CG00044",),VLOOKUP(BQ20,'gia3'!$D$7:$T$206,7,0),IF(BM20="Đinh Gia",VLOOKUP(BQ20,'gia3'!$D$7:$T$206,9,0),IF(OR(BM20="Greeensky",BM20="CG..."),VLOOKUP(BQ20,'gia3'!$D$7:$T$206,11,0),IF(OR(BM20="Đại Huu",BM20="Vietj Mỹ"),VLOOKUP(BQ20,'gia3'!$D$7:$T$206,15,0) )))))</f>
        <v>0</v>
      </c>
      <c r="BV20" s="212" t="str">
        <f t="shared" si="65"/>
        <v>saiiiiiiiiiiiiiiiii</v>
      </c>
      <c r="BX20" s="340">
        <f>VLOOKUP(BQ20,[5]gia3!$D$7:$W$256,19,0)</f>
        <v>4600000</v>
      </c>
      <c r="BY20" s="349">
        <f t="shared" si="32"/>
        <v>4600000</v>
      </c>
      <c r="BZ20" s="350">
        <f t="shared" si="33"/>
        <v>4215000</v>
      </c>
    </row>
    <row r="21" spans="1:78" s="212" customFormat="1" ht="20.100000000000001" customHeight="1" x14ac:dyDescent="0.3">
      <c r="A21" s="191">
        <f>MAX($A$11:A20)+1</f>
        <v>11</v>
      </c>
      <c r="B21" s="192">
        <v>45490</v>
      </c>
      <c r="C21" s="191" t="s">
        <v>299</v>
      </c>
      <c r="D21" s="193" t="s">
        <v>13054</v>
      </c>
      <c r="E21" s="194" t="s">
        <v>13169</v>
      </c>
      <c r="F21" s="193" t="s">
        <v>13055</v>
      </c>
      <c r="G21" s="193"/>
      <c r="H21" s="191" t="s">
        <v>12765</v>
      </c>
      <c r="I21" s="191"/>
      <c r="J21" s="191"/>
      <c r="K21" s="195" t="s">
        <v>10846</v>
      </c>
      <c r="L21" s="196" t="s">
        <v>10847</v>
      </c>
      <c r="M21" s="197" t="str">
        <f t="shared" si="66"/>
        <v>Hoàng Sơn</v>
      </c>
      <c r="N21" s="123" t="s">
        <v>120</v>
      </c>
      <c r="O21" s="198" t="str">
        <f t="shared" si="101"/>
        <v>Vũ Đình Hà</v>
      </c>
      <c r="P21" s="197" t="str">
        <f t="shared" si="67"/>
        <v>HS</v>
      </c>
      <c r="Q21" s="199" t="str">
        <f t="shared" si="68"/>
        <v>HS</v>
      </c>
      <c r="R21" s="197" t="s">
        <v>14953</v>
      </c>
      <c r="S21" s="197" t="s">
        <v>15139</v>
      </c>
      <c r="T21" s="200" t="s">
        <v>15092</v>
      </c>
      <c r="U21" s="201">
        <v>6</v>
      </c>
      <c r="V21" s="202">
        <v>30.167000000000002</v>
      </c>
      <c r="W21" s="203">
        <v>350000</v>
      </c>
      <c r="X21" s="204">
        <f t="shared" si="69"/>
        <v>10558450</v>
      </c>
      <c r="Y21" s="199" t="s">
        <v>15124</v>
      </c>
      <c r="Z21" s="199">
        <f t="shared" si="70"/>
        <v>0</v>
      </c>
      <c r="AA21" s="199" t="str">
        <f t="shared" si="102"/>
        <v>DKG</v>
      </c>
      <c r="AB21" s="205">
        <v>1400000</v>
      </c>
      <c r="AC21" s="198" t="s">
        <v>15140</v>
      </c>
      <c r="AD21" s="206">
        <f t="shared" si="71"/>
        <v>11</v>
      </c>
      <c r="AE21" s="206" t="str">
        <f t="shared" si="72"/>
        <v>HS</v>
      </c>
      <c r="AF21" s="207" t="str">
        <f t="shared" si="73"/>
        <v>DKG&lt;-&gt;Cẩm Giàng, Hải Dương</v>
      </c>
      <c r="AG21" s="199" t="str">
        <f t="shared" si="103"/>
        <v>CX001</v>
      </c>
      <c r="AH21" s="199" t="str">
        <f t="shared" si="74"/>
        <v>15C-13958</v>
      </c>
      <c r="AI21" s="202">
        <f t="shared" si="104"/>
        <v>30.167000000000002</v>
      </c>
      <c r="AJ21" s="205">
        <f t="shared" si="105"/>
        <v>350000</v>
      </c>
      <c r="AK21" s="205">
        <f t="shared" si="106"/>
        <v>10558450</v>
      </c>
      <c r="AL21" s="199" t="str">
        <f t="shared" si="107"/>
        <v>DKG</v>
      </c>
      <c r="AM21" s="205">
        <f t="shared" si="108"/>
        <v>1400000</v>
      </c>
      <c r="AN21" s="205">
        <f t="shared" si="109"/>
        <v>1300000</v>
      </c>
      <c r="AO21" s="205">
        <f t="shared" si="80"/>
        <v>100000</v>
      </c>
      <c r="AP21" s="198"/>
      <c r="AQ21" s="202">
        <f t="shared" si="81"/>
        <v>28.658650000000002</v>
      </c>
      <c r="AR21" s="202"/>
      <c r="AS21" s="205">
        <f t="shared" si="110"/>
        <v>285000</v>
      </c>
      <c r="AT21" s="205">
        <f t="shared" si="82"/>
        <v>8167715.25</v>
      </c>
      <c r="AU21" s="205">
        <f t="shared" si="83"/>
        <v>2390734.75</v>
      </c>
      <c r="AV21" s="198" t="str">
        <f t="shared" si="84"/>
        <v>Trả Cẩm Giàng, Tính cước 350 cho Đức Tín</v>
      </c>
      <c r="AW21" s="208">
        <f t="shared" si="85"/>
        <v>1.5083500000000001</v>
      </c>
      <c r="AX21" s="208"/>
      <c r="AY21" s="209">
        <f t="shared" si="86"/>
        <v>1585000</v>
      </c>
      <c r="AZ21" s="209">
        <f t="shared" si="87"/>
        <v>2390734.75</v>
      </c>
      <c r="BA21" s="209">
        <f t="shared" si="88"/>
        <v>0</v>
      </c>
      <c r="BB21" s="210">
        <f t="shared" si="111"/>
        <v>512139</v>
      </c>
      <c r="BC21" s="210">
        <f t="shared" si="89"/>
        <v>511301</v>
      </c>
      <c r="BD21" s="210">
        <f t="shared" si="90"/>
        <v>5123</v>
      </c>
      <c r="BE21" s="210">
        <f t="shared" si="91"/>
        <v>0</v>
      </c>
      <c r="BF21" s="210">
        <f t="shared" si="92"/>
        <v>0</v>
      </c>
      <c r="BG21" s="210">
        <f t="shared" si="93"/>
        <v>15401</v>
      </c>
      <c r="BH21" s="211">
        <f t="shared" si="112"/>
        <v>6121139</v>
      </c>
      <c r="BI21" s="169" t="s">
        <v>12763</v>
      </c>
      <c r="BJ21" s="169" t="str">
        <f t="shared" si="94"/>
        <v>TDG xe 15C-13958</v>
      </c>
      <c r="BK21" s="211" t="str">
        <f t="shared" si="95"/>
        <v>G</v>
      </c>
      <c r="BL21" s="170" t="str">
        <f t="shared" ca="1" si="113"/>
        <v/>
      </c>
      <c r="BM21" s="212" t="str">
        <f t="shared" si="96"/>
        <v>CG00013</v>
      </c>
      <c r="BN21" s="212">
        <f t="shared" si="64"/>
        <v>0</v>
      </c>
      <c r="BO21" s="212" t="str">
        <f t="shared" si="97"/>
        <v>CG00013</v>
      </c>
      <c r="BP21" s="212" t="str">
        <f t="shared" si="98"/>
        <v>Công ty TNHH Sản xuất và Thương mại Đức Tín (HDHN) 0913010067</v>
      </c>
      <c r="BQ21" s="212" t="str">
        <f t="shared" si="99"/>
        <v>DKG&lt;-&gt;Cẩm Giàng, Hải Dương</v>
      </c>
      <c r="BS21" s="209">
        <f t="shared" si="100"/>
        <v>350000</v>
      </c>
      <c r="BT21" s="222" t="b">
        <f>IF(OR(BM21="CG00047",BM21="Dong Duong",BM21="CG00073",BM21="CG00078",BM21="CG00045"),VLOOKUP(BQ21,'gia3'!$D$7:$T$206,4,0),IF(OR(BM21="CG00088",BM21="CG00044",),VLOOKUP(BQ21,'gia3'!$D$7:$T$206,6,0),IF(BM21="Đinh Gia",VLOOKUP(BQ21,'gia3'!$D$7:$T$206,8,0),IF(OR(BM21="Greeensky",BM21="CG..."),VLOOKUP(BQ21,'gia3'!$D$7:$T$206,10,0),IF(OR(BM21="Đại Huu",BM21="Vietj Mỹ"),VLOOKUP(BQ21,'gia3'!$D$7:$T$206,14,0) )))))</f>
        <v>0</v>
      </c>
      <c r="BU21" s="222" t="b">
        <f>IF(OR(BM21="CG00047",BM21="Dong Duong",BM21="CG00073",BM21="CG00078",BM21="CG00045"),VLOOKUP(BQ21,'gia3'!$D$7:$T$206,5,0),IF(OR(BM21="CG00088",BM21="CG00044",),VLOOKUP(BQ21,'gia3'!$D$7:$T$206,7,0),IF(BM21="Đinh Gia",VLOOKUP(BQ21,'gia3'!$D$7:$T$206,9,0),IF(OR(BM21="Greeensky",BM21="CG..."),VLOOKUP(BQ21,'gia3'!$D$7:$T$206,11,0),IF(OR(BM21="Đại Huu",BM21="Vietj Mỹ"),VLOOKUP(BQ21,'gia3'!$D$7:$T$206,15,0) )))))</f>
        <v>0</v>
      </c>
      <c r="BV21" s="212" t="str">
        <f t="shared" si="65"/>
        <v>saiiiiiiiiiiiiiiiii</v>
      </c>
      <c r="BX21" s="340">
        <f>VLOOKUP(BQ21,[5]gia3!$D$7:$W$256,19,0)</f>
        <v>0</v>
      </c>
      <c r="BY21" s="349">
        <f t="shared" si="32"/>
        <v>0</v>
      </c>
      <c r="BZ21" s="350">
        <f t="shared" si="33"/>
        <v>-285000</v>
      </c>
    </row>
    <row r="22" spans="1:78" s="212" customFormat="1" ht="20.100000000000001" customHeight="1" x14ac:dyDescent="0.3">
      <c r="A22" s="191">
        <f>MAX($A$11:A21)+1</f>
        <v>12</v>
      </c>
      <c r="B22" s="192">
        <v>45490</v>
      </c>
      <c r="C22" s="191" t="s">
        <v>437</v>
      </c>
      <c r="D22" s="193" t="s">
        <v>3085</v>
      </c>
      <c r="E22" s="194" t="s">
        <v>3087</v>
      </c>
      <c r="F22" s="193" t="s">
        <v>3086</v>
      </c>
      <c r="G22" s="193"/>
      <c r="H22" s="191" t="s">
        <v>12765</v>
      </c>
      <c r="I22" s="191"/>
      <c r="J22" s="191"/>
      <c r="K22" s="195" t="s">
        <v>11477</v>
      </c>
      <c r="L22" s="196" t="s">
        <v>11478</v>
      </c>
      <c r="M22" s="197" t="str">
        <f t="shared" si="66"/>
        <v>Hoàng Sơn</v>
      </c>
      <c r="N22" s="123" t="s">
        <v>113</v>
      </c>
      <c r="O22" s="198" t="str">
        <f t="shared" si="101"/>
        <v>Vũ Đức Chiến</v>
      </c>
      <c r="P22" s="197" t="str">
        <f t="shared" si="67"/>
        <v>HS</v>
      </c>
      <c r="Q22" s="199" t="str">
        <f t="shared" si="68"/>
        <v>HS</v>
      </c>
      <c r="R22" s="197" t="s">
        <v>14951</v>
      </c>
      <c r="S22" s="197" t="s">
        <v>15139</v>
      </c>
      <c r="T22" s="200" t="s">
        <v>15100</v>
      </c>
      <c r="U22" s="201">
        <v>12</v>
      </c>
      <c r="V22" s="202">
        <v>25.632000000000001</v>
      </c>
      <c r="W22" s="203">
        <v>450000</v>
      </c>
      <c r="X22" s="204">
        <f t="shared" si="69"/>
        <v>11534400</v>
      </c>
      <c r="Y22" s="199" t="s">
        <v>15124</v>
      </c>
      <c r="Z22" s="199">
        <f t="shared" si="70"/>
        <v>0</v>
      </c>
      <c r="AA22" s="199" t="str">
        <f t="shared" si="102"/>
        <v>DKG</v>
      </c>
      <c r="AB22" s="205">
        <v>2950000</v>
      </c>
      <c r="AC22" s="198" t="s">
        <v>55</v>
      </c>
      <c r="AD22" s="206">
        <f t="shared" si="71"/>
        <v>12</v>
      </c>
      <c r="AE22" s="206" t="str">
        <f t="shared" si="72"/>
        <v>HS</v>
      </c>
      <c r="AF22" s="207" t="str">
        <f t="shared" si="73"/>
        <v>DKG&lt;-&gt;Kim Sơn, Ninh Bình</v>
      </c>
      <c r="AG22" s="199" t="str">
        <f t="shared" si="103"/>
        <v>CX001</v>
      </c>
      <c r="AH22" s="199" t="str">
        <f t="shared" si="74"/>
        <v>15C-13368</v>
      </c>
      <c r="AI22" s="202">
        <f t="shared" si="104"/>
        <v>25.632000000000001</v>
      </c>
      <c r="AJ22" s="205">
        <f t="shared" si="105"/>
        <v>450000</v>
      </c>
      <c r="AK22" s="205">
        <f t="shared" si="106"/>
        <v>11534400</v>
      </c>
      <c r="AL22" s="199" t="str">
        <f t="shared" si="107"/>
        <v>DKG</v>
      </c>
      <c r="AM22" s="205">
        <f t="shared" si="108"/>
        <v>2950000</v>
      </c>
      <c r="AN22" s="205">
        <f t="shared" si="109"/>
        <v>2850000</v>
      </c>
      <c r="AO22" s="205">
        <f t="shared" si="80"/>
        <v>100000</v>
      </c>
      <c r="AP22" s="198"/>
      <c r="AQ22" s="202">
        <f t="shared" si="81"/>
        <v>24.3504</v>
      </c>
      <c r="AR22" s="202"/>
      <c r="AS22" s="205">
        <f t="shared" si="110"/>
        <v>385000</v>
      </c>
      <c r="AT22" s="205">
        <f t="shared" si="82"/>
        <v>9374904</v>
      </c>
      <c r="AU22" s="205">
        <f t="shared" si="83"/>
        <v>2159496</v>
      </c>
      <c r="AV22" s="198" t="str">
        <f t="shared" si="84"/>
        <v/>
      </c>
      <c r="AW22" s="208">
        <f t="shared" si="85"/>
        <v>1.281600000000001</v>
      </c>
      <c r="AX22" s="208"/>
      <c r="AY22" s="209">
        <f t="shared" si="86"/>
        <v>1684999.9999999988</v>
      </c>
      <c r="AZ22" s="209">
        <f t="shared" si="87"/>
        <v>2159496</v>
      </c>
      <c r="BA22" s="209">
        <f t="shared" si="88"/>
        <v>0</v>
      </c>
      <c r="BB22" s="210">
        <f t="shared" si="111"/>
        <v>512135</v>
      </c>
      <c r="BC22" s="210">
        <f t="shared" si="89"/>
        <v>511301</v>
      </c>
      <c r="BD22" s="210">
        <f t="shared" si="90"/>
        <v>5123</v>
      </c>
      <c r="BE22" s="210">
        <f t="shared" si="91"/>
        <v>0</v>
      </c>
      <c r="BF22" s="210">
        <f t="shared" si="92"/>
        <v>0</v>
      </c>
      <c r="BG22" s="210">
        <f t="shared" si="93"/>
        <v>15401</v>
      </c>
      <c r="BH22" s="211">
        <f t="shared" si="112"/>
        <v>6121135</v>
      </c>
      <c r="BI22" s="169" t="s">
        <v>12763</v>
      </c>
      <c r="BJ22" s="169" t="str">
        <f t="shared" si="94"/>
        <v>TDG xe 15C-13368</v>
      </c>
      <c r="BK22" s="211" t="str">
        <f t="shared" si="95"/>
        <v>G</v>
      </c>
      <c r="BL22" s="170" t="str">
        <f t="shared" ca="1" si="113"/>
        <v/>
      </c>
      <c r="BM22" s="212" t="str">
        <f t="shared" si="96"/>
        <v>CG00055</v>
      </c>
      <c r="BN22" s="212">
        <f t="shared" si="64"/>
        <v>0</v>
      </c>
      <c r="BO22" s="212" t="str">
        <f t="shared" si="97"/>
        <v>CG00055</v>
      </c>
      <c r="BP22" s="212" t="str">
        <f t="shared" si="98"/>
        <v>Công ty TNHH Thương mại Đại Lợi (YMHY) 0984883883</v>
      </c>
      <c r="BQ22" s="212" t="str">
        <f t="shared" si="99"/>
        <v>DKG&lt;-&gt;Kim Sơn, Ninh Bình</v>
      </c>
      <c r="BS22" s="209">
        <f t="shared" si="100"/>
        <v>450000</v>
      </c>
      <c r="BT22" s="222" t="b">
        <f>IF(OR(BM22="CG00047",BM22="Dong Duong",BM22="CG00073",BM22="CG00078",BM22="CG00045"),VLOOKUP(BQ22,'gia3'!$D$7:$T$206,4,0),IF(OR(BM22="CG00088",BM22="CG00044",),VLOOKUP(BQ22,'gia3'!$D$7:$T$206,6,0),IF(BM22="Đinh Gia",VLOOKUP(BQ22,'gia3'!$D$7:$T$206,8,0),IF(OR(BM22="Greeensky",BM22="CG..."),VLOOKUP(BQ22,'gia3'!$D$7:$T$206,10,0),IF(OR(BM22="Đại Huu",BM22="Vietj Mỹ"),VLOOKUP(BQ22,'gia3'!$D$7:$T$206,14,0) )))))</f>
        <v>0</v>
      </c>
      <c r="BU22" s="222" t="b">
        <f>IF(OR(BM22="CG00047",BM22="Dong Duong",BM22="CG00073",BM22="CG00078",BM22="CG00045"),VLOOKUP(BQ22,'gia3'!$D$7:$T$206,5,0),IF(OR(BM22="CG00088",BM22="CG00044",),VLOOKUP(BQ22,'gia3'!$D$7:$T$206,7,0),IF(BM22="Đinh Gia",VLOOKUP(BQ22,'gia3'!$D$7:$T$206,9,0),IF(OR(BM22="Greeensky",BM22="CG..."),VLOOKUP(BQ22,'gia3'!$D$7:$T$206,11,0),IF(OR(BM22="Đại Huu",BM22="Vietj Mỹ"),VLOOKUP(BQ22,'gia3'!$D$7:$T$206,15,0) )))))</f>
        <v>0</v>
      </c>
      <c r="BV22" s="212" t="str">
        <f t="shared" si="65"/>
        <v>saiiiiiiiiiiiiiiiii</v>
      </c>
      <c r="BX22" s="340">
        <f>VLOOKUP(BQ22,[5]gia3!$D$7:$W$256,19,0)</f>
        <v>0</v>
      </c>
      <c r="BY22" s="349">
        <f t="shared" si="32"/>
        <v>0</v>
      </c>
      <c r="BZ22" s="350">
        <f t="shared" si="33"/>
        <v>-385000</v>
      </c>
    </row>
    <row r="23" spans="1:78" s="212" customFormat="1" ht="20.100000000000001" customHeight="1" x14ac:dyDescent="0.3">
      <c r="A23" s="191">
        <f>MAX($A$11:A22)+1</f>
        <v>13</v>
      </c>
      <c r="B23" s="192">
        <v>45490</v>
      </c>
      <c r="C23" s="191" t="s">
        <v>437</v>
      </c>
      <c r="D23" s="193" t="s">
        <v>3085</v>
      </c>
      <c r="E23" s="194" t="s">
        <v>3087</v>
      </c>
      <c r="F23" s="193" t="s">
        <v>3086</v>
      </c>
      <c r="G23" s="193"/>
      <c r="H23" s="191" t="s">
        <v>12765</v>
      </c>
      <c r="I23" s="191"/>
      <c r="J23" s="191"/>
      <c r="K23" s="195" t="s">
        <v>12116</v>
      </c>
      <c r="L23" s="196" t="s">
        <v>13626</v>
      </c>
      <c r="M23" s="197" t="str">
        <f t="shared" si="66"/>
        <v>Hoàng Sơn</v>
      </c>
      <c r="N23" s="123" t="s">
        <v>131</v>
      </c>
      <c r="O23" s="198" t="str">
        <f t="shared" si="101"/>
        <v>Phạm Hoàng Quyết</v>
      </c>
      <c r="P23" s="197" t="str">
        <f t="shared" si="67"/>
        <v>HS</v>
      </c>
      <c r="Q23" s="199" t="str">
        <f t="shared" si="68"/>
        <v>HS</v>
      </c>
      <c r="R23" s="197" t="s">
        <v>14951</v>
      </c>
      <c r="S23" s="197" t="s">
        <v>15139</v>
      </c>
      <c r="T23" s="200" t="s">
        <v>15100</v>
      </c>
      <c r="U23" s="201">
        <v>11</v>
      </c>
      <c r="V23" s="202">
        <v>25.356999999999999</v>
      </c>
      <c r="W23" s="203">
        <v>450000</v>
      </c>
      <c r="X23" s="204">
        <f t="shared" si="69"/>
        <v>11410650</v>
      </c>
      <c r="Y23" s="199" t="s">
        <v>15124</v>
      </c>
      <c r="Z23" s="199">
        <f t="shared" si="70"/>
        <v>0</v>
      </c>
      <c r="AA23" s="199" t="str">
        <f t="shared" si="102"/>
        <v>DKG</v>
      </c>
      <c r="AB23" s="205">
        <v>2950000</v>
      </c>
      <c r="AC23" s="198" t="s">
        <v>55</v>
      </c>
      <c r="AD23" s="206">
        <f t="shared" si="71"/>
        <v>13</v>
      </c>
      <c r="AE23" s="206" t="str">
        <f t="shared" si="72"/>
        <v>HS</v>
      </c>
      <c r="AF23" s="207" t="str">
        <f t="shared" si="73"/>
        <v>DKG&lt;-&gt;TP. Ninh Bình, Ninh Bình</v>
      </c>
      <c r="AG23" s="199" t="str">
        <f t="shared" si="103"/>
        <v>CX003</v>
      </c>
      <c r="AH23" s="199" t="str">
        <f t="shared" si="74"/>
        <v>15C-03426</v>
      </c>
      <c r="AI23" s="202">
        <f t="shared" si="104"/>
        <v>25.356999999999999</v>
      </c>
      <c r="AJ23" s="205">
        <f t="shared" si="105"/>
        <v>450000</v>
      </c>
      <c r="AK23" s="205">
        <f t="shared" si="106"/>
        <v>11410650</v>
      </c>
      <c r="AL23" s="199" t="str">
        <f t="shared" si="107"/>
        <v>DKG</v>
      </c>
      <c r="AM23" s="205">
        <f t="shared" si="108"/>
        <v>2950000</v>
      </c>
      <c r="AN23" s="205">
        <f t="shared" si="109"/>
        <v>2850000</v>
      </c>
      <c r="AO23" s="205">
        <f t="shared" si="80"/>
        <v>100000</v>
      </c>
      <c r="AP23" s="198"/>
      <c r="AQ23" s="202">
        <f t="shared" si="81"/>
        <v>24.089149999999997</v>
      </c>
      <c r="AR23" s="202"/>
      <c r="AS23" s="205">
        <f t="shared" si="110"/>
        <v>385000</v>
      </c>
      <c r="AT23" s="205">
        <f t="shared" si="82"/>
        <v>9274322.7499999981</v>
      </c>
      <c r="AU23" s="205">
        <f t="shared" si="83"/>
        <v>2136327.2500000019</v>
      </c>
      <c r="AV23" s="198" t="str">
        <f t="shared" si="84"/>
        <v/>
      </c>
      <c r="AW23" s="208">
        <f t="shared" si="85"/>
        <v>1.2678500000000028</v>
      </c>
      <c r="AX23" s="208"/>
      <c r="AY23" s="209">
        <f t="shared" si="86"/>
        <v>1684999.9999999977</v>
      </c>
      <c r="AZ23" s="209">
        <f t="shared" si="87"/>
        <v>2136327.2500000019</v>
      </c>
      <c r="BA23" s="209">
        <f t="shared" si="88"/>
        <v>0</v>
      </c>
      <c r="BB23" s="210">
        <f t="shared" si="111"/>
        <v>51225</v>
      </c>
      <c r="BC23" s="210">
        <f t="shared" si="89"/>
        <v>511301</v>
      </c>
      <c r="BD23" s="210">
        <f t="shared" si="90"/>
        <v>5123</v>
      </c>
      <c r="BE23" s="210">
        <f t="shared" si="91"/>
        <v>0</v>
      </c>
      <c r="BF23" s="210">
        <f t="shared" si="92"/>
        <v>331</v>
      </c>
      <c r="BG23" s="210">
        <f t="shared" si="93"/>
        <v>331</v>
      </c>
      <c r="BH23" s="211">
        <f t="shared" si="112"/>
        <v>0</v>
      </c>
      <c r="BI23" s="169" t="s">
        <v>12763</v>
      </c>
      <c r="BJ23" s="169" t="str">
        <f t="shared" si="94"/>
        <v>TDG xe 15C-03426</v>
      </c>
      <c r="BK23" s="211" t="str">
        <f t="shared" si="95"/>
        <v>G</v>
      </c>
      <c r="BL23" s="170" t="str">
        <f t="shared" ca="1" si="113"/>
        <v/>
      </c>
      <c r="BM23" s="212" t="str">
        <f t="shared" si="96"/>
        <v>CG00055</v>
      </c>
      <c r="BN23" s="212">
        <f t="shared" si="64"/>
        <v>0</v>
      </c>
      <c r="BO23" s="212" t="str">
        <f t="shared" si="97"/>
        <v>CG00055</v>
      </c>
      <c r="BP23" s="212" t="str">
        <f t="shared" si="98"/>
        <v>Công ty TNHH Thương mại Đại Lợi (YMHY) 0984883883</v>
      </c>
      <c r="BQ23" s="212" t="str">
        <f t="shared" si="99"/>
        <v>DKG&lt;-&gt;TP. Ninh Bình, Ninh Bình</v>
      </c>
      <c r="BS23" s="209">
        <f t="shared" si="100"/>
        <v>450000</v>
      </c>
      <c r="BT23" s="222" t="b">
        <f>IF(OR(BM23="CG00047",BM23="Dong Duong",BM23="CG00073",BM23="CG00078",BM23="CG00045"),VLOOKUP(BQ23,'gia3'!$D$7:$T$206,4,0),IF(OR(BM23="CG00088",BM23="CG00044",),VLOOKUP(BQ23,'gia3'!$D$7:$T$206,6,0),IF(BM23="Đinh Gia",VLOOKUP(BQ23,'gia3'!$D$7:$T$206,8,0),IF(OR(BM23="Greeensky",BM23="CG..."),VLOOKUP(BQ23,'gia3'!$D$7:$T$206,10,0),IF(OR(BM23="Đại Huu",BM23="Vietj Mỹ"),VLOOKUP(BQ23,'gia3'!$D$7:$T$206,14,0) )))))</f>
        <v>0</v>
      </c>
      <c r="BU23" s="222" t="b">
        <f>IF(OR(BM23="CG00047",BM23="Dong Duong",BM23="CG00073",BM23="CG00078",BM23="CG00045"),VLOOKUP(BQ23,'gia3'!$D$7:$T$206,5,0),IF(OR(BM23="CG00088",BM23="CG00044",),VLOOKUP(BQ23,'gia3'!$D$7:$T$206,7,0),IF(BM23="Đinh Gia",VLOOKUP(BQ23,'gia3'!$D$7:$T$206,9,0),IF(OR(BM23="Greeensky",BM23="CG..."),VLOOKUP(BQ23,'gia3'!$D$7:$T$206,11,0),IF(OR(BM23="Đại Huu",BM23="Vietj Mỹ"),VLOOKUP(BQ23,'gia3'!$D$7:$T$206,15,0) )))))</f>
        <v>0</v>
      </c>
      <c r="BV23" s="212" t="str">
        <f t="shared" si="65"/>
        <v>saiiiiiiiiiiiiiiiii</v>
      </c>
      <c r="BX23" s="340" t="e">
        <f>VLOOKUP(BQ23,[5]gia3!$D$7:$W$256,19,0)</f>
        <v>#N/A</v>
      </c>
      <c r="BY23" s="349" t="e">
        <f t="shared" si="32"/>
        <v>#N/A</v>
      </c>
      <c r="BZ23" s="350" t="e">
        <f t="shared" si="33"/>
        <v>#N/A</v>
      </c>
    </row>
    <row r="24" spans="1:78" s="212" customFormat="1" ht="20.100000000000001" customHeight="1" x14ac:dyDescent="0.3">
      <c r="A24" s="191">
        <f>MAX($A$11:A23)+1</f>
        <v>14</v>
      </c>
      <c r="B24" s="192">
        <v>45490</v>
      </c>
      <c r="C24" s="191" t="s">
        <v>345</v>
      </c>
      <c r="D24" s="193" t="s">
        <v>1458</v>
      </c>
      <c r="E24" s="194" t="s">
        <v>55</v>
      </c>
      <c r="F24" s="193" t="s">
        <v>1459</v>
      </c>
      <c r="G24" s="193"/>
      <c r="H24" s="191" t="s">
        <v>12761</v>
      </c>
      <c r="I24" s="191" t="s">
        <v>13277</v>
      </c>
      <c r="J24" s="191" t="s">
        <v>15112</v>
      </c>
      <c r="K24" s="195" t="s">
        <v>10896</v>
      </c>
      <c r="L24" s="196" t="s">
        <v>10897</v>
      </c>
      <c r="M24" s="197" t="str">
        <f t="shared" si="66"/>
        <v>Yến Tuân</v>
      </c>
      <c r="N24" s="123" t="s">
        <v>125</v>
      </c>
      <c r="O24" s="198" t="str">
        <f t="shared" si="101"/>
        <v>Nguyễn Đắt Đạt</v>
      </c>
      <c r="P24" s="197" t="str">
        <f t="shared" si="67"/>
        <v>CT</v>
      </c>
      <c r="Q24" s="199" t="str">
        <f t="shared" si="68"/>
        <v>CT</v>
      </c>
      <c r="R24" s="197">
        <v>0</v>
      </c>
      <c r="S24" s="197" t="s">
        <v>55</v>
      </c>
      <c r="T24" s="200" t="s">
        <v>15138</v>
      </c>
      <c r="U24" s="201"/>
      <c r="V24" s="202">
        <v>1</v>
      </c>
      <c r="W24" s="203">
        <v>1500000</v>
      </c>
      <c r="X24" s="204">
        <f t="shared" si="69"/>
        <v>1500000</v>
      </c>
      <c r="Y24" s="199" t="s">
        <v>15124</v>
      </c>
      <c r="Z24" s="199">
        <f t="shared" si="70"/>
        <v>0</v>
      </c>
      <c r="AA24" s="199" t="str">
        <f t="shared" si="102"/>
        <v>DKG</v>
      </c>
      <c r="AB24" s="205">
        <v>150000</v>
      </c>
      <c r="AC24" s="198"/>
      <c r="AD24" s="206">
        <f t="shared" si="71"/>
        <v>14</v>
      </c>
      <c r="AE24" s="206" t="str">
        <f t="shared" si="72"/>
        <v>CT</v>
      </c>
      <c r="AF24" s="207" t="str">
        <f t="shared" si="73"/>
        <v>DKG&lt;-&gt;Chuyển tải khu vực CLH-HS</v>
      </c>
      <c r="AG24" s="199" t="str">
        <f t="shared" si="103"/>
        <v>CX004</v>
      </c>
      <c r="AH24" s="199" t="str">
        <f t="shared" si="74"/>
        <v>15C-01889</v>
      </c>
      <c r="AI24" s="202">
        <f t="shared" si="104"/>
        <v>1</v>
      </c>
      <c r="AJ24" s="205">
        <f t="shared" si="105"/>
        <v>1500000</v>
      </c>
      <c r="AK24" s="205">
        <f t="shared" si="106"/>
        <v>1500000</v>
      </c>
      <c r="AL24" s="199" t="str">
        <f t="shared" si="107"/>
        <v>DKG</v>
      </c>
      <c r="AM24" s="205">
        <f t="shared" si="108"/>
        <v>150000</v>
      </c>
      <c r="AN24" s="205">
        <f t="shared" si="109"/>
        <v>150000</v>
      </c>
      <c r="AO24" s="205">
        <f t="shared" si="80"/>
        <v>0</v>
      </c>
      <c r="AP24" s="198"/>
      <c r="AQ24" s="202">
        <f t="shared" si="81"/>
        <v>1</v>
      </c>
      <c r="AR24" s="202"/>
      <c r="AS24" s="205">
        <f t="shared" si="110"/>
        <v>700000</v>
      </c>
      <c r="AT24" s="205">
        <f t="shared" si="82"/>
        <v>700000</v>
      </c>
      <c r="AU24" s="205">
        <f t="shared" si="83"/>
        <v>800000</v>
      </c>
      <c r="AV24" s="198">
        <f t="shared" si="84"/>
        <v>0</v>
      </c>
      <c r="AW24" s="208">
        <f t="shared" si="85"/>
        <v>1</v>
      </c>
      <c r="AX24" s="208"/>
      <c r="AY24" s="209">
        <f t="shared" si="86"/>
        <v>800000</v>
      </c>
      <c r="AZ24" s="209">
        <f t="shared" si="87"/>
        <v>800000</v>
      </c>
      <c r="BA24" s="209">
        <f t="shared" si="88"/>
        <v>0</v>
      </c>
      <c r="BB24" s="210">
        <f t="shared" si="111"/>
        <v>512221</v>
      </c>
      <c r="BC24" s="210">
        <f t="shared" si="89"/>
        <v>511301</v>
      </c>
      <c r="BD24" s="210">
        <f t="shared" si="90"/>
        <v>5123</v>
      </c>
      <c r="BE24" s="210">
        <f t="shared" si="91"/>
        <v>0</v>
      </c>
      <c r="BF24" s="210">
        <f t="shared" si="92"/>
        <v>331</v>
      </c>
      <c r="BG24" s="210">
        <f t="shared" si="93"/>
        <v>331</v>
      </c>
      <c r="BH24" s="211">
        <f t="shared" si="112"/>
        <v>0</v>
      </c>
      <c r="BI24" s="169" t="s">
        <v>12763</v>
      </c>
      <c r="BJ24" s="169" t="str">
        <f t="shared" si="94"/>
        <v>TDG xe 15C-01889</v>
      </c>
      <c r="BK24" s="211" t="str">
        <f t="shared" si="95"/>
        <v>G</v>
      </c>
      <c r="BL24" s="170" t="str">
        <f t="shared" ca="1" si="113"/>
        <v/>
      </c>
      <c r="BM24" s="212" t="str">
        <f t="shared" si="96"/>
        <v>CG00027</v>
      </c>
      <c r="BN24" s="212" t="str">
        <f t="shared" si="64"/>
        <v>LH</v>
      </c>
      <c r="BO24" s="212" t="str">
        <f t="shared" si="97"/>
        <v>CG00027</v>
      </c>
      <c r="BP24" s="212" t="str">
        <f t="shared" si="98"/>
        <v>Chủ lẻ gỗ (CLG)</v>
      </c>
      <c r="BQ24" s="212" t="str">
        <f t="shared" si="99"/>
        <v>DKG&lt;-&gt;Chuyển tải khu vực CLH-HS</v>
      </c>
      <c r="BS24" s="209">
        <f t="shared" si="100"/>
        <v>1500000</v>
      </c>
      <c r="BT24" s="222" t="b">
        <f>IF(OR(BM24="CG00047",BM24="Dong Duong",BM24="CG00073",BM24="CG00078",BM24="CG00045"),VLOOKUP(BQ24,'gia3'!$D$7:$T$206,4,0),IF(OR(BM24="CG00088",BM24="CG00044",),VLOOKUP(BQ24,'gia3'!$D$7:$T$206,6,0),IF(BM24="Đinh Gia",VLOOKUP(BQ24,'gia3'!$D$7:$T$206,8,0),IF(OR(BM24="Greeensky",BM24="CG..."),VLOOKUP(BQ24,'gia3'!$D$7:$T$206,10,0),IF(OR(BM24="Đại Huu",BM24="Vietj Mỹ"),VLOOKUP(BQ24,'gia3'!$D$7:$T$206,14,0) )))))</f>
        <v>0</v>
      </c>
      <c r="BU24" s="222" t="b">
        <f>IF(OR(BM24="CG00047",BM24="Dong Duong",BM24="CG00073",BM24="CG00078",BM24="CG00045"),VLOOKUP(BQ24,'gia3'!$D$7:$T$206,5,0),IF(OR(BM24="CG00088",BM24="CG00044",),VLOOKUP(BQ24,'gia3'!$D$7:$T$206,7,0),IF(BM24="Đinh Gia",VLOOKUP(BQ24,'gia3'!$D$7:$T$206,9,0),IF(OR(BM24="Greeensky",BM24="CG..."),VLOOKUP(BQ24,'gia3'!$D$7:$T$206,11,0),IF(OR(BM24="Đại Huu",BM24="Vietj Mỹ"),VLOOKUP(BQ24,'gia3'!$D$7:$T$206,15,0) )))))</f>
        <v>0</v>
      </c>
      <c r="BV24" s="212" t="str">
        <f t="shared" si="65"/>
        <v>saiiiiiiiiiiiiiiiii</v>
      </c>
      <c r="BX24" s="340" t="e">
        <f>VLOOKUP(BQ24,[5]gia3!$D$7:$W$256,19,0)</f>
        <v>#N/A</v>
      </c>
      <c r="BY24" s="349" t="e">
        <f t="shared" si="32"/>
        <v>#N/A</v>
      </c>
      <c r="BZ24" s="350" t="e">
        <f t="shared" si="33"/>
        <v>#N/A</v>
      </c>
    </row>
    <row r="25" spans="1:78" s="212" customFormat="1" ht="20.100000000000001" customHeight="1" x14ac:dyDescent="0.3">
      <c r="A25" s="191">
        <f>MAX($A$11:A24)+1</f>
        <v>15</v>
      </c>
      <c r="B25" s="192">
        <v>45490</v>
      </c>
      <c r="C25" s="191" t="s">
        <v>403</v>
      </c>
      <c r="D25" s="193" t="s">
        <v>2435</v>
      </c>
      <c r="E25" s="194" t="s">
        <v>12790</v>
      </c>
      <c r="F25" s="193" t="s">
        <v>2436</v>
      </c>
      <c r="G25" s="193"/>
      <c r="H25" s="191" t="s">
        <v>12765</v>
      </c>
      <c r="I25" s="191"/>
      <c r="J25" s="191"/>
      <c r="K25" s="195" t="s">
        <v>11401</v>
      </c>
      <c r="L25" s="196" t="s">
        <v>15005</v>
      </c>
      <c r="M25" s="197" t="str">
        <f t="shared" si="66"/>
        <v>Hoàng Sơn</v>
      </c>
      <c r="N25" s="123" t="s">
        <v>91</v>
      </c>
      <c r="O25" s="198" t="str">
        <f t="shared" si="101"/>
        <v>Mai Văn Sơn</v>
      </c>
      <c r="P25" s="197" t="str">
        <f t="shared" si="67"/>
        <v>HS</v>
      </c>
      <c r="Q25" s="199" t="str">
        <f t="shared" si="68"/>
        <v>HS</v>
      </c>
      <c r="R25" s="197" t="s">
        <v>14951</v>
      </c>
      <c r="S25" s="197" t="s">
        <v>15139</v>
      </c>
      <c r="T25" s="200" t="s">
        <v>15128</v>
      </c>
      <c r="U25" s="201">
        <v>24</v>
      </c>
      <c r="V25" s="202">
        <v>23</v>
      </c>
      <c r="W25" s="203">
        <v>200000</v>
      </c>
      <c r="X25" s="204">
        <f t="shared" si="69"/>
        <v>4600000</v>
      </c>
      <c r="Y25" s="199" t="s">
        <v>37</v>
      </c>
      <c r="Z25" s="199" t="str">
        <f t="shared" si="70"/>
        <v>OK/NO</v>
      </c>
      <c r="AA25" s="199" t="str">
        <f t="shared" si="102"/>
        <v>DKG</v>
      </c>
      <c r="AB25" s="205">
        <v>100000</v>
      </c>
      <c r="AC25" s="198" t="s">
        <v>55</v>
      </c>
      <c r="AD25" s="206">
        <f t="shared" si="71"/>
        <v>15</v>
      </c>
      <c r="AE25" s="206" t="str">
        <f t="shared" si="72"/>
        <v>HS</v>
      </c>
      <c r="AF25" s="207" t="str">
        <f t="shared" si="73"/>
        <v>DKG&lt;-&gt;Bãi Namtraco</v>
      </c>
      <c r="AG25" s="199" t="str">
        <f t="shared" si="103"/>
        <v>CX001</v>
      </c>
      <c r="AH25" s="199" t="str">
        <f t="shared" si="74"/>
        <v>15C-12812</v>
      </c>
      <c r="AI25" s="202">
        <f t="shared" si="104"/>
        <v>23</v>
      </c>
      <c r="AJ25" s="205">
        <f t="shared" si="105"/>
        <v>200000</v>
      </c>
      <c r="AK25" s="205">
        <f t="shared" si="106"/>
        <v>4600000</v>
      </c>
      <c r="AL25" s="199" t="str">
        <f t="shared" si="107"/>
        <v>DKG</v>
      </c>
      <c r="AM25" s="205">
        <f t="shared" si="108"/>
        <v>100000</v>
      </c>
      <c r="AN25" s="205">
        <f t="shared" si="109"/>
        <v>100000</v>
      </c>
      <c r="AO25" s="205">
        <f t="shared" si="80"/>
        <v>0</v>
      </c>
      <c r="AP25" s="198"/>
      <c r="AQ25" s="202">
        <f t="shared" si="81"/>
        <v>21.849999999999998</v>
      </c>
      <c r="AR25" s="202"/>
      <c r="AS25" s="205">
        <f t="shared" si="110"/>
        <v>36613.272311212815</v>
      </c>
      <c r="AT25" s="205">
        <f t="shared" si="82"/>
        <v>799999.99999999988</v>
      </c>
      <c r="AU25" s="205">
        <f t="shared" si="83"/>
        <v>3800000</v>
      </c>
      <c r="AV25" s="198" t="str">
        <f t="shared" si="84"/>
        <v/>
      </c>
      <c r="AW25" s="208">
        <f t="shared" si="85"/>
        <v>1.1500000000000021</v>
      </c>
      <c r="AX25" s="208"/>
      <c r="AY25" s="209">
        <f t="shared" si="86"/>
        <v>3304347.8260869505</v>
      </c>
      <c r="AZ25" s="209">
        <f t="shared" si="87"/>
        <v>3800000</v>
      </c>
      <c r="BA25" s="209">
        <f t="shared" si="88"/>
        <v>0</v>
      </c>
      <c r="BB25" s="210">
        <f t="shared" si="111"/>
        <v>512113</v>
      </c>
      <c r="BC25" s="210">
        <f t="shared" si="89"/>
        <v>511301</v>
      </c>
      <c r="BD25" s="210">
        <f t="shared" si="90"/>
        <v>5123</v>
      </c>
      <c r="BE25" s="210">
        <f t="shared" si="91"/>
        <v>0</v>
      </c>
      <c r="BF25" s="210">
        <f t="shared" si="92"/>
        <v>0</v>
      </c>
      <c r="BG25" s="210">
        <f t="shared" si="93"/>
        <v>15401</v>
      </c>
      <c r="BH25" s="211">
        <f t="shared" si="112"/>
        <v>6121113</v>
      </c>
      <c r="BI25" s="169" t="s">
        <v>12763</v>
      </c>
      <c r="BJ25" s="169" t="str">
        <f t="shared" si="94"/>
        <v>TDG xe 15C-12812</v>
      </c>
      <c r="BK25" s="211" t="str">
        <f t="shared" si="95"/>
        <v>G</v>
      </c>
      <c r="BL25" s="170" t="str">
        <f t="shared" ca="1" si="113"/>
        <v/>
      </c>
      <c r="BM25" s="212" t="str">
        <f t="shared" si="96"/>
        <v>CG00044</v>
      </c>
      <c r="BN25" s="212">
        <f t="shared" si="64"/>
        <v>0</v>
      </c>
      <c r="BO25" s="212" t="str">
        <f t="shared" si="97"/>
        <v>CG00044</v>
      </c>
      <c r="BP25" s="212" t="str">
        <f t="shared" si="98"/>
        <v>Công ty TNHH Thương mại và Sản xuất Trí Dũng (QOHN) 0905557788</v>
      </c>
      <c r="BQ25" s="212" t="str">
        <f t="shared" si="99"/>
        <v>DKG&lt;-&gt;Bãi Namtraco</v>
      </c>
      <c r="BS25" s="209">
        <f t="shared" si="100"/>
        <v>200000</v>
      </c>
      <c r="BT25" s="222" t="e">
        <f>IF(OR(BM25="CG00047",BM25="Dong Duong",BM25="CG00073",BM25="CG00078",BM25="CG00045"),VLOOKUP(BQ25,'gia3'!$D$7:$T$206,4,0),IF(OR(BM25="CG00088",BM25="CG00044",),VLOOKUP(BQ25,'gia3'!$D$7:$T$206,6,0),IF(BM25="Đinh Gia",VLOOKUP(BQ25,'gia3'!$D$7:$T$206,8,0),IF(OR(BM25="Greeensky",BM25="CG..."),VLOOKUP(BQ25,'gia3'!$D$7:$T$206,10,0),IF(OR(BM25="Đại Huu",BM25="Vietj Mỹ"),VLOOKUP(BQ25,'gia3'!$D$7:$T$206,14,0) )))))</f>
        <v>#N/A</v>
      </c>
      <c r="BU25" s="222" t="e">
        <f>IF(OR(BM25="CG00047",BM25="Dong Duong",BM25="CG00073",BM25="CG00078",BM25="CG00045"),VLOOKUP(BQ25,'gia3'!$D$7:$T$206,5,0),IF(OR(BM25="CG00088",BM25="CG00044",),VLOOKUP(BQ25,'gia3'!$D$7:$T$206,7,0),IF(BM25="Đinh Gia",VLOOKUP(BQ25,'gia3'!$D$7:$T$206,9,0),IF(OR(BM25="Greeensky",BM25="CG..."),VLOOKUP(BQ25,'gia3'!$D$7:$T$206,11,0),IF(OR(BM25="Đại Huu",BM25="Vietj Mỹ"),VLOOKUP(BQ25,'gia3'!$D$7:$T$206,15,0) )))))</f>
        <v>#N/A</v>
      </c>
      <c r="BV25" s="212" t="e">
        <f t="shared" si="65"/>
        <v>#N/A</v>
      </c>
      <c r="BX25" s="340" t="e">
        <f>VLOOKUP(BQ25,[5]gia3!$D$7:$W$256,19,0)</f>
        <v>#N/A</v>
      </c>
      <c r="BY25" s="349" t="e">
        <f t="shared" si="32"/>
        <v>#N/A</v>
      </c>
      <c r="BZ25" s="350" t="e">
        <f t="shared" si="33"/>
        <v>#N/A</v>
      </c>
    </row>
    <row r="26" spans="1:78" s="212" customFormat="1" ht="20.100000000000001" customHeight="1" x14ac:dyDescent="0.3">
      <c r="A26" s="191">
        <f>MAX($A$11:A25)+1</f>
        <v>16</v>
      </c>
      <c r="B26" s="192">
        <v>45490</v>
      </c>
      <c r="C26" s="191" t="s">
        <v>403</v>
      </c>
      <c r="D26" s="193" t="s">
        <v>2435</v>
      </c>
      <c r="E26" s="194" t="s">
        <v>12790</v>
      </c>
      <c r="F26" s="193" t="s">
        <v>2436</v>
      </c>
      <c r="G26" s="193"/>
      <c r="H26" s="191" t="s">
        <v>12765</v>
      </c>
      <c r="I26" s="191" t="s">
        <v>55</v>
      </c>
      <c r="J26" s="191"/>
      <c r="K26" s="195" t="s">
        <v>11401</v>
      </c>
      <c r="L26" s="196" t="s">
        <v>15005</v>
      </c>
      <c r="M26" s="197" t="str">
        <f t="shared" si="66"/>
        <v>Hoàng Sơn</v>
      </c>
      <c r="N26" s="123" t="s">
        <v>91</v>
      </c>
      <c r="O26" s="198" t="str">
        <f t="shared" si="101"/>
        <v>Mai Văn Sơn</v>
      </c>
      <c r="P26" s="197" t="str">
        <f t="shared" si="67"/>
        <v>HS</v>
      </c>
      <c r="Q26" s="199" t="str">
        <f t="shared" si="68"/>
        <v>HS</v>
      </c>
      <c r="R26" s="197" t="s">
        <v>14951</v>
      </c>
      <c r="S26" s="197" t="s">
        <v>15139</v>
      </c>
      <c r="T26" s="200" t="s">
        <v>15128</v>
      </c>
      <c r="U26" s="201">
        <v>25</v>
      </c>
      <c r="V26" s="202">
        <v>23</v>
      </c>
      <c r="W26" s="203">
        <v>200000</v>
      </c>
      <c r="X26" s="204">
        <f t="shared" si="69"/>
        <v>4600000</v>
      </c>
      <c r="Y26" s="199" t="s">
        <v>37</v>
      </c>
      <c r="Z26" s="199" t="str">
        <f t="shared" si="70"/>
        <v>OK/NO</v>
      </c>
      <c r="AA26" s="199" t="str">
        <f t="shared" si="102"/>
        <v>DKG</v>
      </c>
      <c r="AB26" s="205">
        <v>100000</v>
      </c>
      <c r="AC26" s="198" t="s">
        <v>55</v>
      </c>
      <c r="AD26" s="206">
        <f t="shared" si="71"/>
        <v>16</v>
      </c>
      <c r="AE26" s="206" t="str">
        <f t="shared" si="72"/>
        <v>HS</v>
      </c>
      <c r="AF26" s="207" t="str">
        <f t="shared" si="73"/>
        <v>DKG&lt;-&gt;Bãi Namtraco</v>
      </c>
      <c r="AG26" s="199" t="str">
        <f t="shared" si="103"/>
        <v>CX001</v>
      </c>
      <c r="AH26" s="199" t="str">
        <f t="shared" si="74"/>
        <v>15C-12812</v>
      </c>
      <c r="AI26" s="202">
        <f t="shared" si="104"/>
        <v>23</v>
      </c>
      <c r="AJ26" s="205">
        <f t="shared" si="105"/>
        <v>200000</v>
      </c>
      <c r="AK26" s="205">
        <f t="shared" si="106"/>
        <v>4600000</v>
      </c>
      <c r="AL26" s="199" t="str">
        <f t="shared" si="107"/>
        <v>DKG</v>
      </c>
      <c r="AM26" s="205">
        <f t="shared" si="108"/>
        <v>100000</v>
      </c>
      <c r="AN26" s="205">
        <f t="shared" si="109"/>
        <v>100000</v>
      </c>
      <c r="AO26" s="205">
        <f t="shared" si="80"/>
        <v>0</v>
      </c>
      <c r="AP26" s="198"/>
      <c r="AQ26" s="202">
        <f t="shared" si="81"/>
        <v>21.849999999999998</v>
      </c>
      <c r="AR26" s="202"/>
      <c r="AS26" s="205">
        <f t="shared" si="110"/>
        <v>36613.272311212815</v>
      </c>
      <c r="AT26" s="205">
        <f t="shared" si="82"/>
        <v>799999.99999999988</v>
      </c>
      <c r="AU26" s="205">
        <f t="shared" si="83"/>
        <v>3800000</v>
      </c>
      <c r="AV26" s="198" t="str">
        <f t="shared" si="84"/>
        <v/>
      </c>
      <c r="AW26" s="208">
        <f t="shared" si="85"/>
        <v>1.1500000000000021</v>
      </c>
      <c r="AX26" s="208"/>
      <c r="AY26" s="209">
        <f t="shared" si="86"/>
        <v>3304347.8260869505</v>
      </c>
      <c r="AZ26" s="209">
        <f t="shared" si="87"/>
        <v>3800000</v>
      </c>
      <c r="BA26" s="209">
        <f t="shared" si="88"/>
        <v>0</v>
      </c>
      <c r="BB26" s="210">
        <f t="shared" si="111"/>
        <v>512113</v>
      </c>
      <c r="BC26" s="210">
        <f t="shared" si="89"/>
        <v>511301</v>
      </c>
      <c r="BD26" s="210">
        <f t="shared" si="90"/>
        <v>5123</v>
      </c>
      <c r="BE26" s="210">
        <f t="shared" si="91"/>
        <v>0</v>
      </c>
      <c r="BF26" s="210">
        <f t="shared" si="92"/>
        <v>0</v>
      </c>
      <c r="BG26" s="210">
        <f t="shared" si="93"/>
        <v>15401</v>
      </c>
      <c r="BH26" s="211">
        <f t="shared" si="112"/>
        <v>6121113</v>
      </c>
      <c r="BI26" s="169" t="s">
        <v>12763</v>
      </c>
      <c r="BJ26" s="169" t="str">
        <f t="shared" si="94"/>
        <v>TDG xe 15C-12812</v>
      </c>
      <c r="BK26" s="211" t="str">
        <f t="shared" si="95"/>
        <v>G</v>
      </c>
      <c r="BL26" s="170" t="str">
        <f t="shared" ca="1" si="113"/>
        <v/>
      </c>
      <c r="BM26" s="212" t="str">
        <f t="shared" si="96"/>
        <v>CG00044</v>
      </c>
      <c r="BN26" s="212" t="str">
        <f t="shared" si="64"/>
        <v/>
      </c>
      <c r="BO26" s="212" t="str">
        <f t="shared" si="97"/>
        <v>CG00044</v>
      </c>
      <c r="BP26" s="212" t="str">
        <f t="shared" si="98"/>
        <v>Công ty TNHH Thương mại và Sản xuất Trí Dũng (QOHN) 0905557788</v>
      </c>
      <c r="BQ26" s="212" t="str">
        <f t="shared" si="99"/>
        <v>DKG&lt;-&gt;Bãi Namtraco</v>
      </c>
      <c r="BS26" s="209">
        <f t="shared" si="100"/>
        <v>200000</v>
      </c>
      <c r="BT26" s="222" t="e">
        <f>IF(OR(BM26="CG00047",BM26="Dong Duong",BM26="CG00073",BM26="CG00078",BM26="CG00045"),VLOOKUP(BQ26,'gia3'!$D$7:$T$206,4,0),IF(OR(BM26="CG00088",BM26="CG00044",),VLOOKUP(BQ26,'gia3'!$D$7:$T$206,6,0),IF(BM26="Đinh Gia",VLOOKUP(BQ26,'gia3'!$D$7:$T$206,8,0),IF(OR(BM26="Greeensky",BM26="CG..."),VLOOKUP(BQ26,'gia3'!$D$7:$T$206,10,0),IF(OR(BM26="Đại Huu",BM26="Vietj Mỹ"),VLOOKUP(BQ26,'gia3'!$D$7:$T$206,14,0) )))))</f>
        <v>#N/A</v>
      </c>
      <c r="BU26" s="222" t="e">
        <f>IF(OR(BM26="CG00047",BM26="Dong Duong",BM26="CG00073",BM26="CG00078",BM26="CG00045"),VLOOKUP(BQ26,'gia3'!$D$7:$T$206,5,0),IF(OR(BM26="CG00088",BM26="CG00044",),VLOOKUP(BQ26,'gia3'!$D$7:$T$206,7,0),IF(BM26="Đinh Gia",VLOOKUP(BQ26,'gia3'!$D$7:$T$206,9,0),IF(OR(BM26="Greeensky",BM26="CG..."),VLOOKUP(BQ26,'gia3'!$D$7:$T$206,11,0),IF(OR(BM26="Đại Huu",BM26="Vietj Mỹ"),VLOOKUP(BQ26,'gia3'!$D$7:$T$206,15,0) )))))</f>
        <v>#N/A</v>
      </c>
      <c r="BV26" s="212" t="e">
        <f t="shared" si="65"/>
        <v>#N/A</v>
      </c>
      <c r="BX26" s="340" t="e">
        <f>VLOOKUP(BQ26,[5]gia3!$D$7:$W$256,19,0)</f>
        <v>#N/A</v>
      </c>
      <c r="BY26" s="349" t="str">
        <f t="shared" si="32"/>
        <v/>
      </c>
      <c r="BZ26" s="350" t="e">
        <f t="shared" si="33"/>
        <v>#VALUE!</v>
      </c>
    </row>
    <row r="27" spans="1:78" s="212" customFormat="1" ht="20.100000000000001" customHeight="1" x14ac:dyDescent="0.3">
      <c r="A27" s="191">
        <f>MAX($A$11:A26)+1</f>
        <v>17</v>
      </c>
      <c r="B27" s="192">
        <v>45490</v>
      </c>
      <c r="C27" s="191" t="s">
        <v>403</v>
      </c>
      <c r="D27" s="193" t="s">
        <v>2435</v>
      </c>
      <c r="E27" s="194" t="s">
        <v>12790</v>
      </c>
      <c r="F27" s="193" t="s">
        <v>2436</v>
      </c>
      <c r="G27" s="193"/>
      <c r="H27" s="191" t="s">
        <v>12765</v>
      </c>
      <c r="I27" s="191" t="s">
        <v>55</v>
      </c>
      <c r="J27" s="191"/>
      <c r="K27" s="195" t="s">
        <v>11401</v>
      </c>
      <c r="L27" s="196" t="s">
        <v>15005</v>
      </c>
      <c r="M27" s="197" t="str">
        <f t="shared" si="66"/>
        <v>Hoàng Sơn</v>
      </c>
      <c r="N27" s="123" t="s">
        <v>131</v>
      </c>
      <c r="O27" s="198" t="str">
        <f t="shared" si="101"/>
        <v>Phạm Hoàng Quyết</v>
      </c>
      <c r="P27" s="197" t="str">
        <f t="shared" si="67"/>
        <v>HS</v>
      </c>
      <c r="Q27" s="199" t="str">
        <f t="shared" si="68"/>
        <v>HS</v>
      </c>
      <c r="R27" s="197" t="s">
        <v>14951</v>
      </c>
      <c r="S27" s="197" t="s">
        <v>15139</v>
      </c>
      <c r="T27" s="200" t="s">
        <v>15128</v>
      </c>
      <c r="U27" s="201">
        <v>23</v>
      </c>
      <c r="V27" s="202">
        <v>23</v>
      </c>
      <c r="W27" s="203">
        <v>200000</v>
      </c>
      <c r="X27" s="204">
        <f t="shared" si="69"/>
        <v>4600000</v>
      </c>
      <c r="Y27" s="199" t="s">
        <v>37</v>
      </c>
      <c r="Z27" s="199" t="str">
        <f t="shared" si="70"/>
        <v>OK/NO</v>
      </c>
      <c r="AA27" s="199" t="str">
        <f t="shared" si="102"/>
        <v>DKG</v>
      </c>
      <c r="AB27" s="205">
        <v>100000</v>
      </c>
      <c r="AC27" s="198" t="s">
        <v>55</v>
      </c>
      <c r="AD27" s="206">
        <f t="shared" si="71"/>
        <v>17</v>
      </c>
      <c r="AE27" s="206" t="str">
        <f t="shared" si="72"/>
        <v>HS</v>
      </c>
      <c r="AF27" s="207" t="str">
        <f t="shared" si="73"/>
        <v>DKG&lt;-&gt;Bãi Namtraco</v>
      </c>
      <c r="AG27" s="199" t="str">
        <f t="shared" si="103"/>
        <v>CX003</v>
      </c>
      <c r="AH27" s="199" t="str">
        <f t="shared" si="74"/>
        <v>15C-03426</v>
      </c>
      <c r="AI27" s="202">
        <f t="shared" si="104"/>
        <v>23</v>
      </c>
      <c r="AJ27" s="205">
        <f t="shared" si="105"/>
        <v>200000</v>
      </c>
      <c r="AK27" s="205">
        <f t="shared" si="106"/>
        <v>4600000</v>
      </c>
      <c r="AL27" s="199" t="str">
        <f t="shared" si="107"/>
        <v>DKG</v>
      </c>
      <c r="AM27" s="205">
        <f t="shared" si="108"/>
        <v>100000</v>
      </c>
      <c r="AN27" s="205">
        <f t="shared" si="109"/>
        <v>100000</v>
      </c>
      <c r="AO27" s="205">
        <f t="shared" si="80"/>
        <v>0</v>
      </c>
      <c r="AP27" s="198"/>
      <c r="AQ27" s="202">
        <f t="shared" si="81"/>
        <v>21.849999999999998</v>
      </c>
      <c r="AR27" s="202"/>
      <c r="AS27" s="205">
        <f t="shared" si="110"/>
        <v>36613.272311212815</v>
      </c>
      <c r="AT27" s="205">
        <f t="shared" si="82"/>
        <v>799999.99999999988</v>
      </c>
      <c r="AU27" s="205">
        <f t="shared" si="83"/>
        <v>3800000</v>
      </c>
      <c r="AV27" s="198" t="str">
        <f t="shared" si="84"/>
        <v/>
      </c>
      <c r="AW27" s="208">
        <f t="shared" si="85"/>
        <v>1.1500000000000021</v>
      </c>
      <c r="AX27" s="208"/>
      <c r="AY27" s="209">
        <f t="shared" si="86"/>
        <v>3304347.8260869505</v>
      </c>
      <c r="AZ27" s="209">
        <f t="shared" si="87"/>
        <v>3800000</v>
      </c>
      <c r="BA27" s="209">
        <f t="shared" si="88"/>
        <v>0</v>
      </c>
      <c r="BB27" s="210">
        <f t="shared" si="111"/>
        <v>51225</v>
      </c>
      <c r="BC27" s="210">
        <f t="shared" si="89"/>
        <v>511301</v>
      </c>
      <c r="BD27" s="210">
        <f t="shared" si="90"/>
        <v>5123</v>
      </c>
      <c r="BE27" s="210">
        <f t="shared" si="91"/>
        <v>0</v>
      </c>
      <c r="BF27" s="210">
        <f t="shared" si="92"/>
        <v>331</v>
      </c>
      <c r="BG27" s="210">
        <f t="shared" si="93"/>
        <v>331</v>
      </c>
      <c r="BH27" s="211">
        <f t="shared" si="112"/>
        <v>0</v>
      </c>
      <c r="BI27" s="169" t="s">
        <v>12763</v>
      </c>
      <c r="BJ27" s="169" t="str">
        <f t="shared" si="94"/>
        <v>TDG xe 15C-03426</v>
      </c>
      <c r="BK27" s="211" t="str">
        <f t="shared" si="95"/>
        <v>G</v>
      </c>
      <c r="BL27" s="170" t="str">
        <f t="shared" ca="1" si="113"/>
        <v/>
      </c>
      <c r="BM27" s="212" t="str">
        <f t="shared" si="96"/>
        <v>CG00044</v>
      </c>
      <c r="BN27" s="212" t="str">
        <f t="shared" si="64"/>
        <v/>
      </c>
      <c r="BO27" s="212" t="str">
        <f t="shared" si="97"/>
        <v>CG00044</v>
      </c>
      <c r="BP27" s="212" t="str">
        <f t="shared" si="98"/>
        <v>Công ty TNHH Thương mại và Sản xuất Trí Dũng (QOHN) 0905557788</v>
      </c>
      <c r="BQ27" s="212" t="str">
        <f t="shared" si="99"/>
        <v>DKG&lt;-&gt;Bãi Namtraco</v>
      </c>
      <c r="BS27" s="209">
        <f t="shared" si="100"/>
        <v>200000</v>
      </c>
      <c r="BT27" s="222" t="e">
        <f>IF(OR(BM27="CG00047",BM27="Dong Duong",BM27="CG00073",BM27="CG00078",BM27="CG00045"),VLOOKUP(BQ27,'gia3'!$D$7:$T$206,4,0),IF(OR(BM27="CG00088",BM27="CG00044",),VLOOKUP(BQ27,'gia3'!$D$7:$T$206,6,0),IF(BM27="Đinh Gia",VLOOKUP(BQ27,'gia3'!$D$7:$T$206,8,0),IF(OR(BM27="Greeensky",BM27="CG..."),VLOOKUP(BQ27,'gia3'!$D$7:$T$206,10,0),IF(OR(BM27="Đại Huu",BM27="Vietj Mỹ"),VLOOKUP(BQ27,'gia3'!$D$7:$T$206,14,0) )))))</f>
        <v>#N/A</v>
      </c>
      <c r="BU27" s="222" t="e">
        <f>IF(OR(BM27="CG00047",BM27="Dong Duong",BM27="CG00073",BM27="CG00078",BM27="CG00045"),VLOOKUP(BQ27,'gia3'!$D$7:$T$206,5,0),IF(OR(BM27="CG00088",BM27="CG00044",),VLOOKUP(BQ27,'gia3'!$D$7:$T$206,7,0),IF(BM27="Đinh Gia",VLOOKUP(BQ27,'gia3'!$D$7:$T$206,9,0),IF(OR(BM27="Greeensky",BM27="CG..."),VLOOKUP(BQ27,'gia3'!$D$7:$T$206,11,0),IF(OR(BM27="Đại Huu",BM27="Vietj Mỹ"),VLOOKUP(BQ27,'gia3'!$D$7:$T$206,15,0) )))))</f>
        <v>#N/A</v>
      </c>
      <c r="BV27" s="212" t="e">
        <f t="shared" si="65"/>
        <v>#N/A</v>
      </c>
      <c r="BX27" s="340" t="e">
        <f>VLOOKUP(BQ27,[5]gia3!$D$7:$W$256,19,0)</f>
        <v>#N/A</v>
      </c>
      <c r="BY27" s="349" t="str">
        <f t="shared" si="32"/>
        <v/>
      </c>
      <c r="BZ27" s="350" t="e">
        <f t="shared" si="33"/>
        <v>#VALUE!</v>
      </c>
    </row>
    <row r="28" spans="1:78" s="212" customFormat="1" ht="20.100000000000001" customHeight="1" x14ac:dyDescent="0.3">
      <c r="A28" s="191">
        <f>MAX($A$11:A27)+1</f>
        <v>18</v>
      </c>
      <c r="B28" s="192">
        <v>45490</v>
      </c>
      <c r="C28" s="191" t="s">
        <v>403</v>
      </c>
      <c r="D28" s="193" t="s">
        <v>2435</v>
      </c>
      <c r="E28" s="194" t="s">
        <v>12790</v>
      </c>
      <c r="F28" s="193" t="s">
        <v>2436</v>
      </c>
      <c r="G28" s="193"/>
      <c r="H28" s="191" t="s">
        <v>12765</v>
      </c>
      <c r="I28" s="191" t="s">
        <v>55</v>
      </c>
      <c r="J28" s="191"/>
      <c r="K28" s="195" t="s">
        <v>11401</v>
      </c>
      <c r="L28" s="196" t="s">
        <v>15005</v>
      </c>
      <c r="M28" s="197" t="str">
        <f t="shared" si="66"/>
        <v>Hoàng Sơn</v>
      </c>
      <c r="N28" s="123" t="s">
        <v>95</v>
      </c>
      <c r="O28" s="198" t="str">
        <f t="shared" si="101"/>
        <v>Trương Văn Cao</v>
      </c>
      <c r="P28" s="197" t="str">
        <f t="shared" si="67"/>
        <v>HS</v>
      </c>
      <c r="Q28" s="199" t="str">
        <f t="shared" si="68"/>
        <v>HS</v>
      </c>
      <c r="R28" s="197" t="s">
        <v>14951</v>
      </c>
      <c r="S28" s="197" t="s">
        <v>15139</v>
      </c>
      <c r="T28" s="200" t="s">
        <v>15128</v>
      </c>
      <c r="U28" s="201">
        <v>22</v>
      </c>
      <c r="V28" s="202">
        <v>23</v>
      </c>
      <c r="W28" s="203">
        <v>200000</v>
      </c>
      <c r="X28" s="204">
        <f t="shared" si="69"/>
        <v>4600000</v>
      </c>
      <c r="Y28" s="199" t="s">
        <v>37</v>
      </c>
      <c r="Z28" s="199" t="str">
        <f t="shared" si="70"/>
        <v>OK/NO</v>
      </c>
      <c r="AA28" s="199" t="str">
        <f t="shared" si="102"/>
        <v>DKG</v>
      </c>
      <c r="AB28" s="205">
        <v>100000</v>
      </c>
      <c r="AC28" s="198" t="s">
        <v>55</v>
      </c>
      <c r="AD28" s="206">
        <f t="shared" si="71"/>
        <v>18</v>
      </c>
      <c r="AE28" s="206" t="str">
        <f t="shared" si="72"/>
        <v>HS</v>
      </c>
      <c r="AF28" s="207" t="str">
        <f t="shared" si="73"/>
        <v>DKG&lt;-&gt;Bãi Namtraco</v>
      </c>
      <c r="AG28" s="199" t="str">
        <f t="shared" si="103"/>
        <v>CX001</v>
      </c>
      <c r="AH28" s="199" t="str">
        <f t="shared" si="74"/>
        <v>15C-13840</v>
      </c>
      <c r="AI28" s="202">
        <f t="shared" si="104"/>
        <v>23</v>
      </c>
      <c r="AJ28" s="205">
        <f t="shared" si="105"/>
        <v>200000</v>
      </c>
      <c r="AK28" s="205">
        <f t="shared" si="106"/>
        <v>4600000</v>
      </c>
      <c r="AL28" s="199" t="str">
        <f t="shared" si="107"/>
        <v>DKG</v>
      </c>
      <c r="AM28" s="205">
        <f t="shared" si="108"/>
        <v>100000</v>
      </c>
      <c r="AN28" s="205">
        <f t="shared" si="109"/>
        <v>100000</v>
      </c>
      <c r="AO28" s="205">
        <f t="shared" si="80"/>
        <v>0</v>
      </c>
      <c r="AP28" s="198"/>
      <c r="AQ28" s="202">
        <f t="shared" si="81"/>
        <v>21.849999999999998</v>
      </c>
      <c r="AR28" s="202"/>
      <c r="AS28" s="205">
        <f t="shared" si="110"/>
        <v>36613.272311212815</v>
      </c>
      <c r="AT28" s="205">
        <f t="shared" si="82"/>
        <v>799999.99999999988</v>
      </c>
      <c r="AU28" s="205">
        <f t="shared" si="83"/>
        <v>3800000</v>
      </c>
      <c r="AV28" s="198" t="str">
        <f t="shared" si="84"/>
        <v/>
      </c>
      <c r="AW28" s="208">
        <f t="shared" si="85"/>
        <v>1.1500000000000021</v>
      </c>
      <c r="AX28" s="208"/>
      <c r="AY28" s="209">
        <f t="shared" si="86"/>
        <v>3304347.8260869505</v>
      </c>
      <c r="AZ28" s="209">
        <f t="shared" si="87"/>
        <v>3800000</v>
      </c>
      <c r="BA28" s="209">
        <f t="shared" si="88"/>
        <v>0</v>
      </c>
      <c r="BB28" s="210">
        <f t="shared" si="111"/>
        <v>512118</v>
      </c>
      <c r="BC28" s="210">
        <f t="shared" si="89"/>
        <v>511301</v>
      </c>
      <c r="BD28" s="210">
        <f t="shared" si="90"/>
        <v>5123</v>
      </c>
      <c r="BE28" s="210">
        <f t="shared" si="91"/>
        <v>0</v>
      </c>
      <c r="BF28" s="210">
        <f t="shared" si="92"/>
        <v>0</v>
      </c>
      <c r="BG28" s="210">
        <f t="shared" si="93"/>
        <v>15401</v>
      </c>
      <c r="BH28" s="211">
        <f t="shared" si="112"/>
        <v>6121118</v>
      </c>
      <c r="BI28" s="169" t="s">
        <v>12763</v>
      </c>
      <c r="BJ28" s="169" t="str">
        <f t="shared" si="94"/>
        <v>TDG xe 15C-13840</v>
      </c>
      <c r="BK28" s="211" t="str">
        <f t="shared" si="95"/>
        <v>G</v>
      </c>
      <c r="BL28" s="170" t="str">
        <f t="shared" ca="1" si="113"/>
        <v/>
      </c>
      <c r="BM28" s="212" t="str">
        <f t="shared" si="96"/>
        <v>CG00044</v>
      </c>
      <c r="BN28" s="212" t="str">
        <f t="shared" si="64"/>
        <v/>
      </c>
      <c r="BO28" s="212" t="str">
        <f t="shared" si="97"/>
        <v>CG00044</v>
      </c>
      <c r="BP28" s="212" t="str">
        <f t="shared" si="98"/>
        <v>Công ty TNHH Thương mại và Sản xuất Trí Dũng (QOHN) 0905557788</v>
      </c>
      <c r="BQ28" s="212" t="str">
        <f t="shared" si="99"/>
        <v>DKG&lt;-&gt;Bãi Namtraco</v>
      </c>
      <c r="BS28" s="209">
        <f t="shared" si="100"/>
        <v>200000</v>
      </c>
      <c r="BT28" s="222" t="e">
        <f>IF(OR(BM28="CG00047",BM28="Dong Duong",BM28="CG00073",BM28="CG00078",BM28="CG00045"),VLOOKUP(BQ28,'gia3'!$D$7:$T$206,4,0),IF(OR(BM28="CG00088",BM28="CG00044",),VLOOKUP(BQ28,'gia3'!$D$7:$T$206,6,0),IF(BM28="Đinh Gia",VLOOKUP(BQ28,'gia3'!$D$7:$T$206,8,0),IF(OR(BM28="Greeensky",BM28="CG..."),VLOOKUP(BQ28,'gia3'!$D$7:$T$206,10,0),IF(OR(BM28="Đại Huu",BM28="Vietj Mỹ"),VLOOKUP(BQ28,'gia3'!$D$7:$T$206,14,0) )))))</f>
        <v>#N/A</v>
      </c>
      <c r="BU28" s="222" t="e">
        <f>IF(OR(BM28="CG00047",BM28="Dong Duong",BM28="CG00073",BM28="CG00078",BM28="CG00045"),VLOOKUP(BQ28,'gia3'!$D$7:$T$206,5,0),IF(OR(BM28="CG00088",BM28="CG00044",),VLOOKUP(BQ28,'gia3'!$D$7:$T$206,7,0),IF(BM28="Đinh Gia",VLOOKUP(BQ28,'gia3'!$D$7:$T$206,9,0),IF(OR(BM28="Greeensky",BM28="CG..."),VLOOKUP(BQ28,'gia3'!$D$7:$T$206,11,0),IF(OR(BM28="Đại Huu",BM28="Vietj Mỹ"),VLOOKUP(BQ28,'gia3'!$D$7:$T$206,15,0) )))))</f>
        <v>#N/A</v>
      </c>
      <c r="BV28" s="212" t="e">
        <f t="shared" si="65"/>
        <v>#N/A</v>
      </c>
      <c r="BX28" s="340" t="e">
        <f>VLOOKUP(BQ28,[5]gia3!$D$7:$W$256,19,0)</f>
        <v>#N/A</v>
      </c>
      <c r="BY28" s="349" t="str">
        <f t="shared" si="32"/>
        <v/>
      </c>
      <c r="BZ28" s="350" t="e">
        <f t="shared" si="33"/>
        <v>#VALUE!</v>
      </c>
    </row>
    <row r="29" spans="1:78" s="212" customFormat="1" ht="20.100000000000001" customHeight="1" x14ac:dyDescent="0.3">
      <c r="A29" s="191">
        <f>MAX($A$11:A28)+1</f>
        <v>19</v>
      </c>
      <c r="B29" s="192">
        <v>45490</v>
      </c>
      <c r="C29" s="191" t="s">
        <v>403</v>
      </c>
      <c r="D29" s="193" t="s">
        <v>2435</v>
      </c>
      <c r="E29" s="194" t="s">
        <v>12790</v>
      </c>
      <c r="F29" s="193" t="s">
        <v>2436</v>
      </c>
      <c r="G29" s="193"/>
      <c r="H29" s="191" t="s">
        <v>12765</v>
      </c>
      <c r="I29" s="191" t="s">
        <v>55</v>
      </c>
      <c r="J29" s="191"/>
      <c r="K29" s="195" t="s">
        <v>11401</v>
      </c>
      <c r="L29" s="196" t="s">
        <v>15005</v>
      </c>
      <c r="M29" s="197" t="str">
        <f t="shared" si="66"/>
        <v>Hoàng Sơn</v>
      </c>
      <c r="N29" s="123" t="s">
        <v>97</v>
      </c>
      <c r="O29" s="198" t="str">
        <f t="shared" si="101"/>
        <v>Đặng Thanh Sơn</v>
      </c>
      <c r="P29" s="197" t="str">
        <f t="shared" si="67"/>
        <v>HS</v>
      </c>
      <c r="Q29" s="199" t="str">
        <f t="shared" si="68"/>
        <v>HS</v>
      </c>
      <c r="R29" s="197" t="s">
        <v>14951</v>
      </c>
      <c r="S29" s="197" t="s">
        <v>15139</v>
      </c>
      <c r="T29" s="200" t="s">
        <v>15128</v>
      </c>
      <c r="U29" s="201">
        <v>24</v>
      </c>
      <c r="V29" s="202">
        <v>23</v>
      </c>
      <c r="W29" s="203">
        <v>200000</v>
      </c>
      <c r="X29" s="204">
        <f t="shared" si="69"/>
        <v>4600000</v>
      </c>
      <c r="Y29" s="199" t="s">
        <v>37</v>
      </c>
      <c r="Z29" s="199" t="str">
        <f t="shared" si="70"/>
        <v>OK/NO</v>
      </c>
      <c r="AA29" s="199" t="str">
        <f t="shared" si="102"/>
        <v>DKG</v>
      </c>
      <c r="AB29" s="205">
        <v>100000</v>
      </c>
      <c r="AC29" s="198" t="s">
        <v>55</v>
      </c>
      <c r="AD29" s="206">
        <f t="shared" si="71"/>
        <v>19</v>
      </c>
      <c r="AE29" s="206" t="str">
        <f t="shared" si="72"/>
        <v>HS</v>
      </c>
      <c r="AF29" s="207" t="str">
        <f t="shared" si="73"/>
        <v>DKG&lt;-&gt;Bãi Namtraco</v>
      </c>
      <c r="AG29" s="199" t="str">
        <f t="shared" si="103"/>
        <v>CX001</v>
      </c>
      <c r="AH29" s="199" t="str">
        <f t="shared" si="74"/>
        <v>15C-13616</v>
      </c>
      <c r="AI29" s="202">
        <f t="shared" si="104"/>
        <v>23</v>
      </c>
      <c r="AJ29" s="205">
        <f t="shared" si="105"/>
        <v>200000</v>
      </c>
      <c r="AK29" s="205">
        <f t="shared" si="106"/>
        <v>4600000</v>
      </c>
      <c r="AL29" s="199" t="str">
        <f t="shared" si="107"/>
        <v>DKG</v>
      </c>
      <c r="AM29" s="205">
        <f t="shared" si="108"/>
        <v>100000</v>
      </c>
      <c r="AN29" s="205">
        <f t="shared" si="109"/>
        <v>100000</v>
      </c>
      <c r="AO29" s="205">
        <f t="shared" si="80"/>
        <v>0</v>
      </c>
      <c r="AP29" s="198"/>
      <c r="AQ29" s="202">
        <f t="shared" si="81"/>
        <v>21.849999999999998</v>
      </c>
      <c r="AR29" s="202"/>
      <c r="AS29" s="205">
        <f t="shared" si="110"/>
        <v>36613.272311212815</v>
      </c>
      <c r="AT29" s="205">
        <f t="shared" si="82"/>
        <v>799999.99999999988</v>
      </c>
      <c r="AU29" s="205">
        <f t="shared" si="83"/>
        <v>3800000</v>
      </c>
      <c r="AV29" s="198" t="str">
        <f t="shared" si="84"/>
        <v/>
      </c>
      <c r="AW29" s="208">
        <f t="shared" si="85"/>
        <v>1.1500000000000021</v>
      </c>
      <c r="AX29" s="208"/>
      <c r="AY29" s="209">
        <f t="shared" si="86"/>
        <v>3304347.8260869505</v>
      </c>
      <c r="AZ29" s="209">
        <f t="shared" si="87"/>
        <v>3800000</v>
      </c>
      <c r="BA29" s="209">
        <f t="shared" si="88"/>
        <v>0</v>
      </c>
      <c r="BB29" s="210">
        <f t="shared" si="111"/>
        <v>512117</v>
      </c>
      <c r="BC29" s="210">
        <f t="shared" si="89"/>
        <v>511301</v>
      </c>
      <c r="BD29" s="210">
        <f t="shared" si="90"/>
        <v>5123</v>
      </c>
      <c r="BE29" s="210">
        <f t="shared" si="91"/>
        <v>0</v>
      </c>
      <c r="BF29" s="210">
        <f t="shared" si="92"/>
        <v>0</v>
      </c>
      <c r="BG29" s="210">
        <f t="shared" si="93"/>
        <v>15401</v>
      </c>
      <c r="BH29" s="211">
        <f t="shared" si="112"/>
        <v>6121117</v>
      </c>
      <c r="BI29" s="169" t="s">
        <v>12763</v>
      </c>
      <c r="BJ29" s="169" t="str">
        <f t="shared" si="94"/>
        <v>TDG xe 15C-13616</v>
      </c>
      <c r="BK29" s="211" t="str">
        <f t="shared" si="95"/>
        <v>G</v>
      </c>
      <c r="BL29" s="170" t="str">
        <f t="shared" ca="1" si="113"/>
        <v/>
      </c>
      <c r="BM29" s="212" t="str">
        <f t="shared" si="96"/>
        <v>CG00044</v>
      </c>
      <c r="BN29" s="212" t="str">
        <f t="shared" si="64"/>
        <v/>
      </c>
      <c r="BO29" s="212" t="str">
        <f t="shared" si="97"/>
        <v>CG00044</v>
      </c>
      <c r="BP29" s="212" t="str">
        <f t="shared" si="98"/>
        <v>Công ty TNHH Thương mại và Sản xuất Trí Dũng (QOHN) 0905557788</v>
      </c>
      <c r="BQ29" s="212" t="str">
        <f t="shared" si="99"/>
        <v>DKG&lt;-&gt;Bãi Namtraco</v>
      </c>
      <c r="BS29" s="209">
        <f t="shared" si="100"/>
        <v>200000</v>
      </c>
      <c r="BT29" s="222" t="e">
        <f>IF(OR(BM29="CG00047",BM29="Dong Duong",BM29="CG00073",BM29="CG00078",BM29="CG00045"),VLOOKUP(BQ29,'gia3'!$D$7:$T$206,4,0),IF(OR(BM29="CG00088",BM29="CG00044",),VLOOKUP(BQ29,'gia3'!$D$7:$T$206,6,0),IF(BM29="Đinh Gia",VLOOKUP(BQ29,'gia3'!$D$7:$T$206,8,0),IF(OR(BM29="Greeensky",BM29="CG..."),VLOOKUP(BQ29,'gia3'!$D$7:$T$206,10,0),IF(OR(BM29="Đại Huu",BM29="Vietj Mỹ"),VLOOKUP(BQ29,'gia3'!$D$7:$T$206,14,0) )))))</f>
        <v>#N/A</v>
      </c>
      <c r="BU29" s="222" t="e">
        <f>IF(OR(BM29="CG00047",BM29="Dong Duong",BM29="CG00073",BM29="CG00078",BM29="CG00045"),VLOOKUP(BQ29,'gia3'!$D$7:$T$206,5,0),IF(OR(BM29="CG00088",BM29="CG00044",),VLOOKUP(BQ29,'gia3'!$D$7:$T$206,7,0),IF(BM29="Đinh Gia",VLOOKUP(BQ29,'gia3'!$D$7:$T$206,9,0),IF(OR(BM29="Greeensky",BM29="CG..."),VLOOKUP(BQ29,'gia3'!$D$7:$T$206,11,0),IF(OR(BM29="Đại Huu",BM29="Vietj Mỹ"),VLOOKUP(BQ29,'gia3'!$D$7:$T$206,15,0) )))))</f>
        <v>#N/A</v>
      </c>
      <c r="BV29" s="212" t="e">
        <f t="shared" si="65"/>
        <v>#N/A</v>
      </c>
      <c r="BX29" s="340" t="e">
        <f>VLOOKUP(BQ29,[5]gia3!$D$7:$W$256,19,0)</f>
        <v>#N/A</v>
      </c>
      <c r="BY29" s="349" t="str">
        <f t="shared" si="32"/>
        <v/>
      </c>
      <c r="BZ29" s="350" t="e">
        <f t="shared" si="33"/>
        <v>#VALUE!</v>
      </c>
    </row>
  </sheetData>
  <autoFilter ref="A10:BL18" xr:uid="{00000000-0009-0000-0000-000001000000}"/>
  <mergeCells count="54">
    <mergeCell ref="A1:L1"/>
    <mergeCell ref="V1:AC1"/>
    <mergeCell ref="AD1:AI1"/>
    <mergeCell ref="AN1:AV1"/>
    <mergeCell ref="A3:AC3"/>
    <mergeCell ref="AD3:AV3"/>
    <mergeCell ref="A6:A7"/>
    <mergeCell ref="B6:B7"/>
    <mergeCell ref="C6:C7"/>
    <mergeCell ref="D6:G6"/>
    <mergeCell ref="H6:H7"/>
    <mergeCell ref="S6:S7"/>
    <mergeCell ref="AW3:BK3"/>
    <mergeCell ref="K4:L4"/>
    <mergeCell ref="AI4:AL4"/>
    <mergeCell ref="AQ4:AS4"/>
    <mergeCell ref="I6:L6"/>
    <mergeCell ref="M6:N6"/>
    <mergeCell ref="O6:O7"/>
    <mergeCell ref="P6:P7"/>
    <mergeCell ref="Q6:Q7"/>
    <mergeCell ref="R6:R7"/>
    <mergeCell ref="AI6:AK6"/>
    <mergeCell ref="T6:T7"/>
    <mergeCell ref="U6:X6"/>
    <mergeCell ref="Y6:Y7"/>
    <mergeCell ref="Z6:Z7"/>
    <mergeCell ref="AA6:AA7"/>
    <mergeCell ref="AB6:AB7"/>
    <mergeCell ref="AC6:AC7"/>
    <mergeCell ref="AD6:AD7"/>
    <mergeCell ref="AE6:AE7"/>
    <mergeCell ref="AF6:AF7"/>
    <mergeCell ref="AG6:AH6"/>
    <mergeCell ref="BC6:BC7"/>
    <mergeCell ref="AL6:AL7"/>
    <mergeCell ref="AM6:AM7"/>
    <mergeCell ref="AN6:AN7"/>
    <mergeCell ref="AO6:AO7"/>
    <mergeCell ref="AP6:AP7"/>
    <mergeCell ref="AQ6:AQ7"/>
    <mergeCell ref="AS6:AT6"/>
    <mergeCell ref="AU6:AU7"/>
    <mergeCell ref="AV6:AV7"/>
    <mergeCell ref="AW6:AW7"/>
    <mergeCell ref="BB6:BB7"/>
    <mergeCell ref="BK6:BK7"/>
    <mergeCell ref="BL6:BL7"/>
    <mergeCell ref="BD6:BD7"/>
    <mergeCell ref="BE6:BE7"/>
    <mergeCell ref="BF6:BF7"/>
    <mergeCell ref="BG6:BG7"/>
    <mergeCell ref="BH6:BH7"/>
    <mergeCell ref="BJ6:BJ7"/>
  </mergeCells>
  <printOptions horizontalCentered="1"/>
  <pageMargins left="0" right="0" top="0.25" bottom="0.5" header="0.25" footer="0.25"/>
  <pageSetup paperSize="9" orientation="landscape" r:id="rId1"/>
  <headerFooter>
    <oddFooter>&amp;R&amp;P/2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3CopyHT">
                <anchor moveWithCells="1" sizeWithCells="1">
                  <from>
                    <xdr:col>0</xdr:col>
                    <xdr:colOff>175260</xdr:colOff>
                    <xdr:row>1</xdr:row>
                    <xdr:rowOff>0</xdr:rowOff>
                  </from>
                  <to>
                    <xdr:col>3</xdr:col>
                    <xdr:colOff>60960</xdr:colOff>
                    <xdr:row>1</xdr:row>
                    <xdr:rowOff>60960</xdr:rowOff>
                  </to>
                </anchor>
              </controlPr>
            </control>
          </mc:Choice>
        </mc:AlternateContent>
        <mc:AlternateContent xmlns:mc="http://schemas.openxmlformats.org/markup-compatibility/2006">
          <mc:Choice Requires="x14">
            <control shapeId="50178" r:id="rId5" name="Button 2">
              <controlPr defaultSize="0" print="0" autoFill="0" autoPict="0" macro="[0]!Macro3XoaDongHT">
                <anchor moveWithCells="1" sizeWithCells="1">
                  <from>
                    <xdr:col>3</xdr:col>
                    <xdr:colOff>144780</xdr:colOff>
                    <xdr:row>1</xdr:row>
                    <xdr:rowOff>0</xdr:rowOff>
                  </from>
                  <to>
                    <xdr:col>5</xdr:col>
                    <xdr:colOff>30480</xdr:colOff>
                    <xdr:row>1</xdr:row>
                    <xdr:rowOff>45720</xdr:rowOff>
                  </to>
                </anchor>
              </controlPr>
            </control>
          </mc:Choice>
        </mc:AlternateContent>
        <mc:AlternateContent xmlns:mc="http://schemas.openxmlformats.org/markup-compatibility/2006">
          <mc:Choice Requires="x14">
            <control shapeId="50180" r:id="rId6" name="thutien">
              <controlPr defaultSize="0" print="0" autoFill="0" autoPict="0" macro="[0]!Sheet10.taoSheetThuTienHT">
                <anchor moveWithCells="1" sizeWithCells="1">
                  <from>
                    <xdr:col>21</xdr:col>
                    <xdr:colOff>114300</xdr:colOff>
                    <xdr:row>1</xdr:row>
                    <xdr:rowOff>0</xdr:rowOff>
                  </from>
                  <to>
                    <xdr:col>21</xdr:col>
                    <xdr:colOff>175260</xdr:colOff>
                    <xdr:row>1</xdr:row>
                    <xdr:rowOff>0</xdr:rowOff>
                  </to>
                </anchor>
              </controlPr>
            </control>
          </mc:Choice>
        </mc:AlternateContent>
        <mc:AlternateContent xmlns:mc="http://schemas.openxmlformats.org/markup-compatibility/2006">
          <mc:Choice Requires="x14">
            <control shapeId="50181" r:id="rId7" name="Button 5">
              <controlPr defaultSize="0" print="0" autoFill="0" autoPict="0" macro="[0]!copySoxe">
                <anchor moveWithCells="1" sizeWithCells="1">
                  <from>
                    <xdr:col>5</xdr:col>
                    <xdr:colOff>38100</xdr:colOff>
                    <xdr:row>0</xdr:row>
                    <xdr:rowOff>365760</xdr:rowOff>
                  </from>
                  <to>
                    <xdr:col>5</xdr:col>
                    <xdr:colOff>320040</xdr:colOff>
                    <xdr:row>1</xdr:row>
                    <xdr:rowOff>60960</xdr:rowOff>
                  </to>
                </anchor>
              </controlPr>
            </control>
          </mc:Choice>
        </mc:AlternateContent>
        <mc:AlternateContent xmlns:mc="http://schemas.openxmlformats.org/markup-compatibility/2006">
          <mc:Choice Requires="x14">
            <control shapeId="50183" r:id="rId8" name="Button 7">
              <controlPr defaultSize="0" print="0" autoFill="0" autoPict="0" macro="[0]!SaveAs">
                <anchor moveWithCells="1" sizeWithCells="1">
                  <from>
                    <xdr:col>5</xdr:col>
                    <xdr:colOff>350520</xdr:colOff>
                    <xdr:row>0</xdr:row>
                    <xdr:rowOff>373380</xdr:rowOff>
                  </from>
                  <to>
                    <xdr:col>5</xdr:col>
                    <xdr:colOff>830580</xdr:colOff>
                    <xdr:row>1</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D61"/>
  <sheetViews>
    <sheetView zoomScale="80" zoomScaleNormal="80" workbookViewId="0">
      <selection activeCell="S5" sqref="S5"/>
    </sheetView>
  </sheetViews>
  <sheetFormatPr defaultColWidth="9" defaultRowHeight="20.100000000000001" customHeight="1" x14ac:dyDescent="0.3"/>
  <cols>
    <col min="1" max="1" width="30.09765625" style="1" customWidth="1"/>
    <col min="2" max="2" width="11.5" style="1" customWidth="1"/>
    <col min="3" max="3" width="7.09765625" style="2" bestFit="1" customWidth="1"/>
    <col min="4" max="4" width="13" style="2" customWidth="1"/>
    <col min="5" max="5" width="8" style="1" customWidth="1"/>
    <col min="6" max="6" width="12.3984375" style="1" customWidth="1"/>
    <col min="7" max="7" width="4.3984375" style="1" customWidth="1"/>
    <col min="8" max="8" width="8" style="1" customWidth="1"/>
    <col min="9" max="9" width="2.796875" style="1" customWidth="1"/>
    <col min="10" max="10" width="9" style="1"/>
    <col min="11" max="11" width="8" style="1" customWidth="1"/>
    <col min="12" max="12" width="11.796875" style="1" customWidth="1"/>
    <col min="13" max="15" width="0" style="1" hidden="1" customWidth="1"/>
    <col min="16" max="16" width="5.3984375" style="1" customWidth="1"/>
    <col min="17" max="17" width="9" style="1" hidden="1" customWidth="1"/>
    <col min="18" max="18" width="20.296875" style="1" customWidth="1"/>
    <col min="19" max="19" width="17" style="1" customWidth="1"/>
    <col min="20" max="20" width="9" style="1" hidden="1" customWidth="1"/>
    <col min="21" max="21" width="7.19921875" style="1" customWidth="1"/>
    <col min="22" max="22" width="9" style="1" hidden="1" customWidth="1"/>
    <col min="23" max="23" width="9" style="1"/>
    <col min="24" max="24" width="6.69921875" style="1" customWidth="1"/>
    <col min="25" max="25" width="6.09765625" style="1" customWidth="1"/>
    <col min="26" max="26" width="7.8984375" style="1" customWidth="1"/>
    <col min="27" max="27" width="5.69921875" style="1" customWidth="1"/>
    <col min="28" max="16384" width="9" style="1"/>
  </cols>
  <sheetData>
    <row r="1" spans="1:30" s="109" customFormat="1" ht="48.75" customHeight="1" x14ac:dyDescent="0.35">
      <c r="A1" s="108"/>
      <c r="B1" s="434" t="s">
        <v>15142</v>
      </c>
      <c r="C1" s="434"/>
      <c r="D1" s="434"/>
      <c r="E1" s="434"/>
      <c r="F1" s="435" t="s">
        <v>24</v>
      </c>
      <c r="G1" s="436"/>
      <c r="I1" s="368" t="s">
        <v>13581</v>
      </c>
      <c r="J1" s="369" t="str">
        <f>VLOOKUP($H$2,I3:R42,2,0)</f>
        <v>Chú Minh: 0948248047</v>
      </c>
      <c r="K1" s="428" t="str">
        <f>CONCATENATE("Nhà ",LEFT(J1,SEARCH("0",J1)-1)," ở ",SUBSTITUTE(VLOOKUP(J1,KH.!$Q$8:$BX$131,9,0),"DKG&lt;-&gt;","")," , mai anh chờ chuyển khoản mới hạ hàng nhé, liên hệ người bán: ",VLOOKUP(J1,KH.!$Q$8:$BX$131,49,0))</f>
        <v>Nhà Chú Minh:  ở Ý Yên, Nam Định , mai anh chờ chuyển khoản mới hạ hàng nhé, liên hệ người bán: Hưng: 0966689440</v>
      </c>
      <c r="L1" s="428"/>
    </row>
    <row r="2" spans="1:30" ht="27.9" customHeight="1" x14ac:dyDescent="0.3">
      <c r="A2" s="15"/>
      <c r="B2" s="431" t="s">
        <v>19</v>
      </c>
      <c r="C2" s="431"/>
      <c r="D2" s="17">
        <v>45492</v>
      </c>
      <c r="F2" s="16"/>
      <c r="G2" s="16"/>
      <c r="H2" s="366">
        <v>3</v>
      </c>
      <c r="I2" s="363"/>
      <c r="K2" s="364" t="str">
        <f>KH.!R2</f>
        <v>MÃ KH</v>
      </c>
      <c r="L2" s="364" t="str">
        <f>KH.!S2</f>
        <v>họ tên dd</v>
      </c>
      <c r="M2" s="364" t="str">
        <f>KH.!T2</f>
        <v>Số CMND</v>
      </c>
      <c r="N2" s="364" t="str">
        <f>KH.!U2</f>
        <v>Địa chỉ XPQH</v>
      </c>
      <c r="O2" s="364" t="str">
        <f>KH.!V2</f>
        <v>Hàng av…</v>
      </c>
      <c r="P2" s="364" t="str">
        <f>KH.!W2</f>
        <v>SốLệnh</v>
      </c>
      <c r="Q2" s="364" t="str">
        <f>KH.!X2</f>
        <v>Mã Tuyến</v>
      </c>
      <c r="R2" s="364" t="str">
        <f>KH.!Y2</f>
        <v>Tên Tuyến</v>
      </c>
      <c r="S2" s="364" t="str">
        <f>KH.!Z2</f>
        <v>BKS xe</v>
      </c>
      <c r="T2" s="364" t="str">
        <f>KH.!AA2</f>
        <v>tên lô</v>
      </c>
      <c r="U2" s="364" t="str">
        <f>KH.!AB2</f>
        <v>tên lô</v>
      </c>
      <c r="V2" s="364" t="str">
        <f>KH.!AC2</f>
        <v>số cây</v>
      </c>
      <c r="W2" s="364" t="str">
        <f>KH.!AD2</f>
        <v>kl</v>
      </c>
      <c r="X2" s="364" t="str">
        <f>KH.!AE2</f>
        <v>Đơn Giá</v>
      </c>
      <c r="Y2" s="367" t="str">
        <f>KH.!AF2</f>
        <v>Điều khoản TT</v>
      </c>
      <c r="Z2" s="364" t="str">
        <f>KH.!AG2</f>
        <v>Tiền đường</v>
      </c>
      <c r="AA2" s="364" t="str">
        <f>KH.!AH2</f>
        <v>Ghi chú</v>
      </c>
      <c r="AB2" s="364" t="str">
        <f>KH.!AI2</f>
        <v>KT tiền cước</v>
      </c>
      <c r="AC2" s="364"/>
      <c r="AD2" s="364"/>
    </row>
    <row r="3" spans="1:30" ht="18.899999999999999" customHeight="1" x14ac:dyDescent="0.3">
      <c r="A3" s="18" t="s">
        <v>20</v>
      </c>
      <c r="B3" s="432" t="str">
        <f>VLOOKUP($H$2,I3:R42,4,0)</f>
        <v>Chú Minh: 0948248047</v>
      </c>
      <c r="C3" s="432"/>
      <c r="D3" s="432"/>
      <c r="E3" s="432"/>
      <c r="F3" s="432"/>
      <c r="G3" s="432"/>
      <c r="I3" s="363">
        <v>1</v>
      </c>
      <c r="J3" s="365" t="str">
        <f>KH.!Q8</f>
        <v xml:space="preserve">   + Người nhận:</v>
      </c>
      <c r="K3" s="365" t="str">
        <f>KH.!R8</f>
        <v>CG00052</v>
      </c>
      <c r="L3" s="365" t="str">
        <f>KH.!S8</f>
        <v>Tuấn Phúc (HDHN) 0912766567</v>
      </c>
      <c r="M3" s="365" t="str">
        <f>KH.!T8</f>
        <v/>
      </c>
      <c r="N3" s="365" t="str">
        <f>KH.!U8</f>
        <v>Hà Đông, Hà Nội</v>
      </c>
      <c r="O3" s="365">
        <f>KH.!V8</f>
        <v>0</v>
      </c>
      <c r="P3" s="365" t="str">
        <f>KH.!W8</f>
        <v>HS</v>
      </c>
      <c r="Q3" s="365" t="e">
        <f>KH.!X8</f>
        <v>#N/A</v>
      </c>
      <c r="R3" s="365" t="str">
        <f>KH.!Y8</f>
        <v>DKG&lt;-&gt;Bà Rịa Vũng Tàu</v>
      </c>
      <c r="S3" s="365">
        <f>KH.!Z8</f>
        <v>0</v>
      </c>
      <c r="T3" s="365" t="str">
        <f>KH.!AA8</f>
        <v>Gỗ Tali tròn (Đại Lợi)</v>
      </c>
      <c r="U3" s="365" t="str">
        <f>KH.!AB8</f>
        <v>Gỗ Tali tròn (Đại Lợi)</v>
      </c>
      <c r="V3" s="365">
        <f>KH.!AC8</f>
        <v>0</v>
      </c>
      <c r="W3" s="365" t="str">
        <f>KH.!AD8</f>
        <v>Chờ list</v>
      </c>
      <c r="X3" s="365" t="e">
        <f>KH.!AE8</f>
        <v>#N/A</v>
      </c>
      <c r="Y3" s="365" t="str">
        <f>KH.!AF8</f>
        <v>RLL</v>
      </c>
      <c r="Z3" s="365">
        <f>KH.!AG8</f>
        <v>150000</v>
      </c>
      <c r="AA3" s="365" t="str">
        <f>KH.!AH8</f>
        <v/>
      </c>
      <c r="AB3" s="365" t="str">
        <f>KH.!AI8</f>
        <v xml:space="preserve">   + Tiền cước:</v>
      </c>
      <c r="AC3" s="365">
        <f>KH.!AJ8</f>
        <v>0</v>
      </c>
      <c r="AD3" s="1" t="str">
        <f>KH.!BM8</f>
        <v>Đông: 0986439690</v>
      </c>
    </row>
    <row r="4" spans="1:30" ht="18.899999999999999" customHeight="1" x14ac:dyDescent="0.3">
      <c r="A4" s="19" t="s">
        <v>22</v>
      </c>
      <c r="B4" s="423" t="str">
        <f>REPLACE(VLOOKUP(B3,KH.!$S$8:$AI$73,7,0),1,6,"")</f>
        <v>Ý Yên, Nam Định</v>
      </c>
      <c r="C4" s="423"/>
      <c r="D4" s="423"/>
      <c r="E4" s="423"/>
      <c r="F4" s="423"/>
      <c r="G4" s="423"/>
      <c r="H4" s="1" t="str">
        <f>VLOOKUP(B3,KH.!$S$8:$AI$73,7,0)</f>
        <v>DKG&lt;-&gt;Ý Yên, Nam Định</v>
      </c>
      <c r="I4" s="363">
        <v>2</v>
      </c>
      <c r="J4" s="365" t="str">
        <f>KH.!Q9</f>
        <v xml:space="preserve">   + Người nhận:</v>
      </c>
      <c r="K4" s="365" t="str">
        <f>KH.!R9</f>
        <v>CG00013</v>
      </c>
      <c r="L4" s="365" t="str">
        <f>KH.!S9</f>
        <v>Công ty TNHH Sản xuất và Thương mại Đức Tín (HDHN) 0913010067</v>
      </c>
      <c r="M4" s="365" t="str">
        <f>KH.!T9</f>
        <v>0500556797</v>
      </c>
      <c r="N4" s="365" t="str">
        <f>KH.!U9</f>
        <v>Tổ dân phố Trung Bình, Phường Dương Nội, Quận Hà Đông, Hà Nội</v>
      </c>
      <c r="O4" s="365">
        <f>KH.!V9</f>
        <v>0</v>
      </c>
      <c r="P4" s="365" t="str">
        <f>KH.!W9</f>
        <v>HS</v>
      </c>
      <c r="Q4" s="365" t="e">
        <f>KH.!X9</f>
        <v>#N/A</v>
      </c>
      <c r="R4" s="365" t="str">
        <f>KH.!Y9</f>
        <v>DKG&lt;-&gt;Bình Định</v>
      </c>
      <c r="S4" s="365">
        <f>KH.!Z9</f>
        <v>0</v>
      </c>
      <c r="T4" s="365" t="str">
        <f>KH.!AA9</f>
        <v>Gỗ Pachy tròn (Phú Lân)</v>
      </c>
      <c r="U4" s="365" t="str">
        <f>KH.!AB9</f>
        <v>Gỗ Pachy tròn (Phú Lân)</v>
      </c>
      <c r="V4" s="365">
        <f>KH.!AC9</f>
        <v>0</v>
      </c>
      <c r="W4" s="365" t="str">
        <f>KH.!AD9</f>
        <v>Chờ list</v>
      </c>
      <c r="X4" s="365" t="e">
        <f>KH.!AE9</f>
        <v>#N/A</v>
      </c>
      <c r="Y4" s="365" t="str">
        <f>KH.!AF9</f>
        <v>Đức Tín trả tiền xe ngoài</v>
      </c>
      <c r="Z4" s="365" t="e">
        <f>KH.!AG9</f>
        <v>#VALUE!</v>
      </c>
      <c r="AA4" s="365" t="str">
        <f>KH.!AH9</f>
        <v/>
      </c>
      <c r="AB4" s="365" t="str">
        <f>KH.!AI9</f>
        <v xml:space="preserve">   + Tiền cước:</v>
      </c>
      <c r="AC4" s="365">
        <f>KH.!AJ9</f>
        <v>0</v>
      </c>
      <c r="AD4" s="1" t="str">
        <f>KH.!BM9</f>
        <v>Hưng: 0966689440</v>
      </c>
    </row>
    <row r="5" spans="1:30" s="2" customFormat="1" ht="27.9" customHeight="1" x14ac:dyDescent="0.3">
      <c r="A5" s="7" t="s">
        <v>2</v>
      </c>
      <c r="B5" s="8" t="s">
        <v>35</v>
      </c>
      <c r="C5" s="8" t="s">
        <v>3</v>
      </c>
      <c r="D5" s="8" t="s">
        <v>32</v>
      </c>
      <c r="E5" s="8" t="s">
        <v>4</v>
      </c>
      <c r="F5" s="8" t="s">
        <v>5</v>
      </c>
      <c r="G5" s="8" t="s">
        <v>6</v>
      </c>
      <c r="H5" s="2">
        <f>IFERROR(IF(OR(FIND("xẻ",H9,1)&gt;0),100,97),IF(MOD(B7,22)=0,100,97))</f>
        <v>97</v>
      </c>
      <c r="I5" s="363">
        <v>3</v>
      </c>
      <c r="J5" s="365" t="str">
        <f>KH.!Q10</f>
        <v>Chú Minh: 0948248047</v>
      </c>
      <c r="K5" s="365" t="str">
        <f>KH.!R10</f>
        <v>CG00013</v>
      </c>
      <c r="L5" s="365" t="str">
        <f>KH.!S10</f>
        <v>Chú Minh: 0948248047</v>
      </c>
      <c r="M5" s="365" t="str">
        <f>KH.!T10</f>
        <v>0500556797</v>
      </c>
      <c r="N5" s="365" t="str">
        <f>KH.!U10</f>
        <v>Tổ dân phố Trung Bình, Phường Dương Nội, Quận Hà Đông, Hà Nội</v>
      </c>
      <c r="O5" s="365">
        <f>KH.!V10</f>
        <v>0</v>
      </c>
      <c r="P5" s="365" t="str">
        <f>KH.!W10</f>
        <v>HS</v>
      </c>
      <c r="Q5" s="365" t="str">
        <f>KH.!X10</f>
        <v>YY.ND.DKG</v>
      </c>
      <c r="R5" s="365" t="str">
        <f>KH.!Y10</f>
        <v>DKG&lt;-&gt;Ý Yên, Nam Định</v>
      </c>
      <c r="S5" s="365" t="str">
        <f>KH.!Z10</f>
        <v>13568 11732 12812 11200</v>
      </c>
      <c r="T5" s="365" t="str">
        <f>KH.!AA10</f>
        <v>Gỗ padouk tròn (Phú Lân)</v>
      </c>
      <c r="U5" s="365" t="str">
        <f>KH.!AB10</f>
        <v>Gỗ padouk tròn (Phú Lân)</v>
      </c>
      <c r="V5" s="365">
        <f>KH.!AC10</f>
        <v>0</v>
      </c>
      <c r="W5" s="365">
        <f>KH.!AD10</f>
        <v>123.846</v>
      </c>
      <c r="X5" s="365">
        <f>KH.!AE10</f>
        <v>450000</v>
      </c>
      <c r="Y5" s="365" t="str">
        <f>KH.!AF10</f>
        <v>RLL</v>
      </c>
      <c r="Z5" s="365">
        <f>KH.!AG10</f>
        <v>2650000</v>
      </c>
      <c r="AA5" s="365" t="str">
        <f>KH.!AH10</f>
        <v/>
      </c>
      <c r="AB5" s="365" t="str">
        <f>KH.!AI10</f>
        <v xml:space="preserve">54,050,000đồng </v>
      </c>
      <c r="AC5" s="365">
        <f>KH.!AJ10</f>
        <v>0</v>
      </c>
      <c r="AD5" s="1" t="str">
        <f>KH.!BM10</f>
        <v>Hưng: 0966689440</v>
      </c>
    </row>
    <row r="6" spans="1:30" s="2" customFormat="1" ht="18.899999999999999" customHeight="1" x14ac:dyDescent="0.3">
      <c r="A6" s="7" t="s">
        <v>8</v>
      </c>
      <c r="B6" s="8">
        <v>1</v>
      </c>
      <c r="C6" s="8">
        <v>2</v>
      </c>
      <c r="D6" s="8" t="s">
        <v>33</v>
      </c>
      <c r="E6" s="8">
        <v>4</v>
      </c>
      <c r="F6" s="8" t="s">
        <v>34</v>
      </c>
      <c r="G6" s="7" t="s">
        <v>9</v>
      </c>
      <c r="H6" s="278" t="str">
        <f>VLOOKUP(H4,giaroi!$D$6:$M$537,10,0)</f>
        <v>Ý Yên</v>
      </c>
      <c r="I6" s="363">
        <v>4</v>
      </c>
      <c r="J6" s="365" t="e">
        <f>KH.!Q11</f>
        <v>#N/A</v>
      </c>
      <c r="K6" s="365" t="str">
        <f>KH.!R11</f>
        <v>CG00013</v>
      </c>
      <c r="L6" s="365" t="str">
        <f>KH.!S11</f>
        <v>Thuận</v>
      </c>
      <c r="M6" s="365" t="str">
        <f>KH.!T11</f>
        <v>0500556797</v>
      </c>
      <c r="N6" s="365" t="str">
        <f>KH.!U11</f>
        <v>Tổ dân phố Trung Bình, Phường Dương Nội, Quận Hà Đông, Hà Nội</v>
      </c>
      <c r="O6" s="365">
        <f>KH.!V11</f>
        <v>0</v>
      </c>
      <c r="P6" s="365" t="str">
        <f>KH.!W11</f>
        <v>HS</v>
      </c>
      <c r="Q6" s="365" t="str">
        <f>KH.!X11</f>
        <v>YY.ND.DKG</v>
      </c>
      <c r="R6" s="365" t="str">
        <f>KH.!Y11</f>
        <v>DKG&lt;-&gt;Ý Yên, Nam Định</v>
      </c>
      <c r="S6" s="365" t="str">
        <f>KH.!Z11</f>
        <v>12874 13959 11856</v>
      </c>
      <c r="T6" s="365" t="str">
        <f>KH.!AA11</f>
        <v>Gỗ padouk tròn (Phú Lân)</v>
      </c>
      <c r="U6" s="365" t="str">
        <f>KH.!AB11</f>
        <v>Gỗ padouk tròn (Phú Lân)</v>
      </c>
      <c r="V6" s="365">
        <f>KH.!AC11</f>
        <v>0</v>
      </c>
      <c r="W6" s="365">
        <f>KH.!AD11</f>
        <v>104.511</v>
      </c>
      <c r="X6" s="365">
        <f>KH.!AE11</f>
        <v>450000</v>
      </c>
      <c r="Y6" s="365" t="str">
        <f>KH.!AF11</f>
        <v>CGL</v>
      </c>
      <c r="Z6" s="365">
        <f>KH.!AG11</f>
        <v>2650000</v>
      </c>
      <c r="AA6" s="365" t="str">
        <f>KH.!AH11</f>
        <v/>
      </c>
      <c r="AB6" s="365" t="str">
        <f>KH.!AI11</f>
        <v xml:space="preserve">   + Tiền cước:</v>
      </c>
      <c r="AC6" s="365">
        <f>KH.!AJ11</f>
        <v>0</v>
      </c>
      <c r="AD6" s="1" t="str">
        <f>KH.!BM11</f>
        <v>Hưng: 0966689440</v>
      </c>
    </row>
    <row r="7" spans="1:30" ht="18.899999999999999" customHeight="1" x14ac:dyDescent="0.3">
      <c r="A7" s="5" t="s">
        <v>7</v>
      </c>
      <c r="B7" s="33">
        <f>VLOOKUP(B3,KH.!$S$8:$AI$73,12,0)</f>
        <v>123.846</v>
      </c>
      <c r="C7" s="6">
        <v>95</v>
      </c>
      <c r="D7" s="32">
        <f>+C7*B7/100</f>
        <v>117.65370000000001</v>
      </c>
      <c r="E7" s="22">
        <f>VLOOKUP(B3,KH.!$S$8:$AI$73,13,0)</f>
        <v>450000</v>
      </c>
      <c r="F7" s="23">
        <f>+E7*D7</f>
        <v>52944165.000000007</v>
      </c>
      <c r="G7" s="5"/>
      <c r="H7" s="1">
        <f>VLOOKUP(H4,giaroi!$D$6:$N$537,3,0)</f>
        <v>450</v>
      </c>
      <c r="I7" s="363">
        <v>5</v>
      </c>
      <c r="J7" s="365" t="str">
        <f>KH.!Q12</f>
        <v>Vũ Đình Khải : 0973034055</v>
      </c>
      <c r="K7" s="365" t="str">
        <f>KH.!R12</f>
        <v>CG00013</v>
      </c>
      <c r="L7" s="365" t="str">
        <f>KH.!S12</f>
        <v>Vũ Đình Khải : 0973034055</v>
      </c>
      <c r="M7" s="365" t="str">
        <f>KH.!T12</f>
        <v>0500556797</v>
      </c>
      <c r="N7" s="365" t="str">
        <f>KH.!U12</f>
        <v>Tổ dân phố Trung Bình, Phường Dương Nội, Quận Hà Đông, Hà Nội</v>
      </c>
      <c r="O7" s="365">
        <f>KH.!V12</f>
        <v>0</v>
      </c>
      <c r="P7" s="365" t="str">
        <f>KH.!W12</f>
        <v>HS</v>
      </c>
      <c r="Q7" s="365" t="str">
        <f>KH.!X12</f>
        <v>QG.HD.DKG</v>
      </c>
      <c r="R7" s="365" t="str">
        <f>KH.!Y12</f>
        <v>DKG&lt;-&gt;Quán Gỏi, Hải Dương</v>
      </c>
      <c r="S7" s="365">
        <f>KH.!Z12</f>
        <v>13958</v>
      </c>
      <c r="T7" s="365" t="str">
        <f>KH.!AA12</f>
        <v>Gỗ padouk tròn (Phú Lân) + pachy tròn (ghép Namtraco)</v>
      </c>
      <c r="U7" s="365" t="str">
        <f>KH.!AB12</f>
        <v>Gỗ padouk tròn (Phú Lân) + pachy tròn (ghép Namtraco)</v>
      </c>
      <c r="V7" s="365">
        <f>KH.!AC12</f>
        <v>6</v>
      </c>
      <c r="W7" s="365">
        <f>KH.!AD12</f>
        <v>30.167000000000002</v>
      </c>
      <c r="X7" s="365">
        <f>KH.!AE12</f>
        <v>350000</v>
      </c>
      <c r="Y7" s="365" t="str">
        <f>KH.!AF12</f>
        <v>CGL</v>
      </c>
      <c r="Z7" s="365">
        <f>KH.!AG12</f>
        <v>1250000</v>
      </c>
      <c r="AA7" s="365" t="str">
        <f>KH.!AH12</f>
        <v/>
      </c>
      <c r="AB7" s="365" t="str">
        <f>KH.!AI12</f>
        <v xml:space="preserve">10,250,000đồng </v>
      </c>
      <c r="AC7" s="365">
        <f>KH.!AJ12</f>
        <v>0</v>
      </c>
      <c r="AD7" s="1" t="str">
        <f>KH.!BM12</f>
        <v>Hưng: 0966689440</v>
      </c>
    </row>
    <row r="8" spans="1:30" ht="18.899999999999999" customHeight="1" x14ac:dyDescent="0.3">
      <c r="A8" s="4" t="s">
        <v>14942</v>
      </c>
      <c r="B8" s="4"/>
      <c r="C8" s="6"/>
      <c r="D8" s="6"/>
      <c r="E8" s="23"/>
      <c r="F8" s="23">
        <f>+E8*D8</f>
        <v>0</v>
      </c>
      <c r="G8" s="4"/>
      <c r="H8" s="1">
        <f>VLOOKUP(H4,giaroi!$D$6:$N$537,11,0)</f>
        <v>1100000</v>
      </c>
      <c r="I8" s="363">
        <v>6</v>
      </c>
      <c r="J8" s="365" t="str">
        <f>KH.!Q13</f>
        <v>Nguyễn Văn Toại : 0914640216</v>
      </c>
      <c r="K8" s="365" t="str">
        <f>KH.!R13</f>
        <v>CG00055</v>
      </c>
      <c r="L8" s="365" t="str">
        <f>KH.!S13</f>
        <v>Công ty TNHH Thương mại Đại Lợi (YMHY) 0984883883</v>
      </c>
      <c r="M8" s="365" t="str">
        <f>KH.!T13</f>
        <v>0900220978</v>
      </c>
      <c r="N8" s="365" t="str">
        <f>KH.!U13</f>
        <v>Quảng Uyên, xã Minh Châu, huyện Yên Mỹ, tỉnh Hưng Yên</v>
      </c>
      <c r="O8" s="365">
        <f>KH.!V13</f>
        <v>0</v>
      </c>
      <c r="P8" s="365" t="str">
        <f>KH.!W13</f>
        <v>HS</v>
      </c>
      <c r="Q8" s="365" t="str">
        <f>KH.!X13</f>
        <v>KS.NB.DKG</v>
      </c>
      <c r="R8" s="365" t="str">
        <f>KH.!Y13</f>
        <v>DKG&lt;-&gt;Kim Sơn, Ninh Bình</v>
      </c>
      <c r="S8" s="365">
        <f>KH.!Z13</f>
        <v>13368</v>
      </c>
      <c r="T8" s="365" t="str">
        <f>KH.!AA13</f>
        <v>Gỗ lim xẻ (Đại Lợi)</v>
      </c>
      <c r="U8" s="365" t="str">
        <f>KH.!AB13</f>
        <v>Gỗ lim xẻ (Đại Lợi)</v>
      </c>
      <c r="V8" s="365">
        <f>KH.!AC13</f>
        <v>12</v>
      </c>
      <c r="W8" s="365">
        <f>KH.!AD13</f>
        <v>25.632000000000001</v>
      </c>
      <c r="X8" s="365">
        <f>KH.!AE13</f>
        <v>450000</v>
      </c>
      <c r="Y8" s="365" t="str">
        <f>KH.!AF13</f>
        <v>CGL</v>
      </c>
      <c r="Z8" s="365">
        <f>KH.!AG13</f>
        <v>2950000</v>
      </c>
      <c r="AA8" s="365" t="str">
        <f>KH.!AH13</f>
        <v/>
      </c>
      <c r="AB8" s="365" t="str">
        <f>KH.!AI13</f>
        <v>11,550,000đồng + Phụ thu: 700000 đồng/xe</v>
      </c>
      <c r="AC8" s="365">
        <f>KH.!AJ13</f>
        <v>0</v>
      </c>
      <c r="AD8" s="1" t="str">
        <f>KH.!BM13</f>
        <v>Nam: 0335838899</v>
      </c>
    </row>
    <row r="9" spans="1:30" ht="18.899999999999999" customHeight="1" x14ac:dyDescent="0.3">
      <c r="A9" s="9" t="s">
        <v>23</v>
      </c>
      <c r="B9" s="9"/>
      <c r="C9" s="10"/>
      <c r="D9" s="10"/>
      <c r="E9" s="25"/>
      <c r="F9" s="23">
        <f>+E9*D9</f>
        <v>0</v>
      </c>
      <c r="G9" s="9"/>
      <c r="H9" s="1" t="str">
        <f>VLOOKUP(B3,KH.!$S$8:$AI$73,10,0)</f>
        <v>Gỗ padouk tròn (Phú Lân)</v>
      </c>
      <c r="I9" s="363">
        <v>7</v>
      </c>
      <c r="J9" s="365" t="str">
        <f>KH.!Q14</f>
        <v>Phạm Văn Long : 0834706011</v>
      </c>
      <c r="K9" s="365" t="str">
        <f>KH.!R14</f>
        <v>CG00055</v>
      </c>
      <c r="L9" s="365" t="str">
        <f>KH.!S14</f>
        <v>Công ty TNHH Thương mại Đại Lợi (YMHY) 0984883883</v>
      </c>
      <c r="M9" s="365" t="str">
        <f>KH.!T14</f>
        <v>0900220978</v>
      </c>
      <c r="N9" s="365" t="str">
        <f>KH.!U14</f>
        <v>Quảng Uyên, xã Minh Châu, huyện Yên Mỹ, tỉnh Hưng Yên</v>
      </c>
      <c r="O9" s="365">
        <f>KH.!V14</f>
        <v>0</v>
      </c>
      <c r="P9" s="365" t="str">
        <f>KH.!W14</f>
        <v>HS</v>
      </c>
      <c r="Q9" s="365" t="str">
        <f>KH.!X14</f>
        <v>TP.NB.DKG</v>
      </c>
      <c r="R9" s="365" t="str">
        <f>KH.!Y14</f>
        <v>DKG&lt;-&gt;TP. Ninh Bình, Ninh Bình</v>
      </c>
      <c r="S9" s="365">
        <f>KH.!Z14</f>
        <v>3426</v>
      </c>
      <c r="T9" s="365" t="str">
        <f>KH.!AA14</f>
        <v>Gỗ lim xẻ (Đại Lợi)</v>
      </c>
      <c r="U9" s="365" t="str">
        <f>KH.!AB14</f>
        <v>Gỗ lim xẻ (Đại Lợi)</v>
      </c>
      <c r="V9" s="365">
        <f>KH.!AC14</f>
        <v>11</v>
      </c>
      <c r="W9" s="365">
        <f>KH.!AD14</f>
        <v>25.356999999999999</v>
      </c>
      <c r="X9" s="365">
        <f>KH.!AE14</f>
        <v>450000</v>
      </c>
      <c r="Y9" s="365" t="str">
        <f>KH.!AF14</f>
        <v>CGL</v>
      </c>
      <c r="Z9" s="365">
        <f>KH.!AG14</f>
        <v>2950000</v>
      </c>
      <c r="AA9" s="365" t="str">
        <f>KH.!AH14</f>
        <v/>
      </c>
      <c r="AB9" s="365" t="str">
        <f>KH.!AI14</f>
        <v>11,400,000đồng + Phụ thu: 700000 đồng/xe</v>
      </c>
      <c r="AC9" s="365">
        <f>KH.!AJ14</f>
        <v>0</v>
      </c>
      <c r="AD9" s="1" t="str">
        <f>KH.!BM14</f>
        <v>Nam: 0335838899</v>
      </c>
    </row>
    <row r="10" spans="1:30" s="3" customFormat="1" ht="18.899999999999999" customHeight="1" x14ac:dyDescent="0.3">
      <c r="A10" s="11" t="s">
        <v>36</v>
      </c>
      <c r="B10" s="12" t="s">
        <v>13</v>
      </c>
      <c r="C10" s="12" t="s">
        <v>13</v>
      </c>
      <c r="D10" s="26" t="s">
        <v>13</v>
      </c>
      <c r="E10" s="26" t="s">
        <v>13</v>
      </c>
      <c r="F10" s="27">
        <f>SUM(F7:F9)</f>
        <v>52944165.000000007</v>
      </c>
      <c r="G10" s="12" t="s">
        <v>13</v>
      </c>
      <c r="H10" s="1" t="s">
        <v>229</v>
      </c>
      <c r="I10" s="363">
        <v>8</v>
      </c>
      <c r="J10" s="365" t="str">
        <f>KH.!Q15</f>
        <v>Hiệu: 0904133533</v>
      </c>
      <c r="K10" s="365" t="str">
        <f>KH.!R15</f>
        <v>CG00027</v>
      </c>
      <c r="L10" s="365" t="str">
        <f>KH.!S15</f>
        <v>Chủ lẻ gỗ (CLG)</v>
      </c>
      <c r="M10" s="365" t="str">
        <f>KH.!T15</f>
        <v/>
      </c>
      <c r="N10" s="365" t="str">
        <f>KH.!U15</f>
        <v>Chủ lẻ gỗ</v>
      </c>
      <c r="O10" s="365">
        <f>KH.!V15</f>
        <v>0</v>
      </c>
      <c r="P10" s="365" t="str">
        <f>KH.!W15</f>
        <v>CT</v>
      </c>
      <c r="Q10" s="365" t="str">
        <f>KH.!X15</f>
        <v>CLH.HS</v>
      </c>
      <c r="R10" s="365" t="str">
        <f>KH.!Y15</f>
        <v>DKG&lt;-&gt;Chuyển tải khu vực CLH-HS</v>
      </c>
      <c r="S10" s="365">
        <f>KH.!Z15</f>
        <v>0</v>
      </c>
      <c r="T10" s="365" t="e">
        <f>KH.!AA15</f>
        <v>#N/A</v>
      </c>
      <c r="U10" s="365" t="e">
        <f>KH.!AB15</f>
        <v>#N/A</v>
      </c>
      <c r="V10" s="365">
        <f>KH.!AC15</f>
        <v>0</v>
      </c>
      <c r="W10" s="365" t="e">
        <f>KH.!AD15</f>
        <v>#N/A</v>
      </c>
      <c r="X10" s="365">
        <f>KH.!AE15</f>
        <v>1500000</v>
      </c>
      <c r="Y10" s="365" t="str">
        <f>KH.!AF15</f>
        <v>CGL</v>
      </c>
      <c r="Z10" s="365">
        <f>KH.!AG15</f>
        <v>150000</v>
      </c>
      <c r="AA10" s="365" t="e">
        <f>KH.!AH15</f>
        <v>#N/A</v>
      </c>
      <c r="AB10" s="365" t="str">
        <f>KH.!AI15</f>
        <v>1,500,000đồng/cont</v>
      </c>
      <c r="AC10" s="365">
        <f>KH.!AJ15</f>
        <v>0</v>
      </c>
      <c r="AD10" s="1">
        <f>KH.!BM15</f>
        <v>0</v>
      </c>
    </row>
    <row r="11" spans="1:30" s="3" customFormat="1" ht="18.899999999999999" customHeight="1" x14ac:dyDescent="0.3">
      <c r="A11" s="11" t="s">
        <v>202</v>
      </c>
      <c r="B11" s="12" t="s">
        <v>13</v>
      </c>
      <c r="C11" s="12" t="s">
        <v>13</v>
      </c>
      <c r="D11" s="26" t="s">
        <v>13</v>
      </c>
      <c r="E11" s="26" t="s">
        <v>13</v>
      </c>
      <c r="F11" s="27">
        <f>IF(ROUNDDOWN(ROUNDDOWN((SUM(F7:F9))/50000,0)*50000,6)-ROUNDDOWN((SUM(F7:F9))/50000,0)*50000=50000,ROUNDDOWN((SUM(F7:F9))/50000,0)*50000+50000,+ROUNDDOWN((SUM(F7:F9))/50000,0)*50000)</f>
        <v>52900000</v>
      </c>
      <c r="G11" s="12" t="s">
        <v>13</v>
      </c>
      <c r="H11" s="1" t="str">
        <f>VLOOKUP(B3,KH.!$S$8:$AI$73,17,0)</f>
        <v xml:space="preserve">54,050,000đồng </v>
      </c>
      <c r="I11" s="363">
        <v>9</v>
      </c>
      <c r="J11" s="365" t="str">
        <f>KH.!Q16</f>
        <v>Trí Dũng</v>
      </c>
      <c r="K11" s="365" t="str">
        <f>KH.!R16</f>
        <v>CG00044</v>
      </c>
      <c r="L11" s="365" t="str">
        <f>KH.!S16</f>
        <v>Công ty TNHH Thương mại và Sản xuất Trí Dũng (QOHN) 0905557788</v>
      </c>
      <c r="M11" s="365" t="str">
        <f>KH.!T16</f>
        <v>0101453895</v>
      </c>
      <c r="N11" s="365" t="str">
        <f>KH.!U16</f>
        <v>Thôn Ngọc Phúc, xã Ngọc Liệp, huyện Quốc Oai, thành phố Hà Nội</v>
      </c>
      <c r="O11" s="365">
        <f>KH.!V16</f>
        <v>0</v>
      </c>
      <c r="P11" s="365" t="str">
        <f>KH.!W16</f>
        <v>HS</v>
      </c>
      <c r="Q11" s="365" t="str">
        <f>KH.!X16</f>
        <v>HS.HA</v>
      </c>
      <c r="R11" s="365" t="str">
        <f>KH.!Y16</f>
        <v>DKG&lt;-&gt;Bãi Namtraco</v>
      </c>
      <c r="S11" s="365">
        <f>KH.!Z16</f>
        <v>0</v>
      </c>
      <c r="T11" s="365" t="str">
        <f>KH.!AA16</f>
        <v>Gỗ xẻ (Trí Dũng)</v>
      </c>
      <c r="U11" s="365" t="str">
        <f>KH.!AB16</f>
        <v>Gỗ xẻ (Trí Dũng)</v>
      </c>
      <c r="V11" s="365">
        <f>KH.!AC16</f>
        <v>0</v>
      </c>
      <c r="W11" s="365" t="str">
        <f>KH.!AD16</f>
        <v xml:space="preserve"> chờ list</v>
      </c>
      <c r="X11" s="365">
        <f>KH.!AE16</f>
        <v>200000</v>
      </c>
      <c r="Y11" s="365" t="str">
        <f>KH.!AF16</f>
        <v>RLL</v>
      </c>
      <c r="Z11" s="365">
        <f>KH.!AG16</f>
        <v>100000</v>
      </c>
      <c r="AA11" s="365" t="str">
        <f>KH.!AH16</f>
        <v/>
      </c>
      <c r="AB11" s="365" t="str">
        <f>KH.!AI16</f>
        <v>đồng</v>
      </c>
      <c r="AC11" s="365">
        <f>KH.!AJ16</f>
        <v>0</v>
      </c>
      <c r="AD11" s="1" t="str">
        <f>KH.!BM16</f>
        <v>Trường: 0941898699</v>
      </c>
    </row>
    <row r="12" spans="1:30" ht="18.899999999999999" customHeight="1" x14ac:dyDescent="0.3">
      <c r="A12" s="28" t="s">
        <v>26</v>
      </c>
      <c r="B12" s="424" t="str">
        <f>+sochu!B7</f>
        <v>Năm mươi hai triệu chín trăm ngàn đồng chẵn./.</v>
      </c>
      <c r="C12" s="424"/>
      <c r="D12" s="424"/>
      <c r="E12" s="424"/>
      <c r="F12" s="424"/>
      <c r="G12" s="424"/>
      <c r="I12" s="363">
        <v>10</v>
      </c>
      <c r="J12" s="365" t="e">
        <f>KH.!Q17</f>
        <v>#N/A</v>
      </c>
      <c r="K12" s="365" t="e">
        <f>KH.!R17</f>
        <v>#N/A</v>
      </c>
      <c r="L12" s="365" t="e">
        <f>KH.!S17</f>
        <v>#N/A</v>
      </c>
      <c r="M12" s="365" t="e">
        <f>KH.!T17</f>
        <v>#N/A</v>
      </c>
      <c r="N12" s="365" t="e">
        <f>KH.!U17</f>
        <v>#N/A</v>
      </c>
      <c r="O12" s="365">
        <f>KH.!V17</f>
        <v>0</v>
      </c>
      <c r="P12" s="365" t="e">
        <f>KH.!W17</f>
        <v>#N/A</v>
      </c>
      <c r="Q12" s="365" t="e">
        <f>KH.!X17</f>
        <v>#N/A</v>
      </c>
      <c r="R12" s="365" t="e">
        <f>KH.!Y17</f>
        <v>#N/A</v>
      </c>
      <c r="S12" s="365">
        <f>KH.!Z17</f>
        <v>0</v>
      </c>
      <c r="T12" s="365" t="e">
        <f>KH.!AA17</f>
        <v>#N/A</v>
      </c>
      <c r="U12" s="365" t="e">
        <f>KH.!AB17</f>
        <v>#N/A</v>
      </c>
      <c r="V12" s="365">
        <f>KH.!AC17</f>
        <v>0</v>
      </c>
      <c r="W12" s="365" t="e">
        <f>KH.!AD17</f>
        <v>#N/A</v>
      </c>
      <c r="X12" s="365" t="e">
        <f>KH.!AE17</f>
        <v>#N/A</v>
      </c>
      <c r="Y12" s="365" t="e">
        <f>KH.!AF17</f>
        <v>#N/A</v>
      </c>
      <c r="Z12" s="365" t="e">
        <f>KH.!AG17</f>
        <v>#N/A</v>
      </c>
      <c r="AA12" s="365" t="e">
        <f>KH.!AH17</f>
        <v>#N/A</v>
      </c>
      <c r="AB12" s="365" t="e">
        <f>KH.!AI17</f>
        <v>#N/A</v>
      </c>
      <c r="AC12" s="365">
        <f>KH.!AJ17</f>
        <v>0</v>
      </c>
      <c r="AD12" s="1">
        <f>KH.!BM17</f>
        <v>0</v>
      </c>
    </row>
    <row r="13" spans="1:30" ht="18.899999999999999" customHeight="1" x14ac:dyDescent="0.3">
      <c r="A13" s="425"/>
      <c r="B13" s="425"/>
      <c r="C13" s="425"/>
      <c r="D13" s="425"/>
      <c r="E13" s="425"/>
      <c r="F13" s="425"/>
      <c r="G13" s="425"/>
      <c r="I13" s="363">
        <v>11</v>
      </c>
      <c r="J13" s="365" t="e">
        <f>KH.!Q18</f>
        <v>#N/A</v>
      </c>
      <c r="K13" s="365" t="e">
        <f>KH.!R18</f>
        <v>#N/A</v>
      </c>
      <c r="L13" s="365" t="e">
        <f>KH.!S18</f>
        <v>#N/A</v>
      </c>
      <c r="M13" s="365" t="e">
        <f>KH.!T18</f>
        <v>#N/A</v>
      </c>
      <c r="N13" s="365" t="e">
        <f>KH.!U18</f>
        <v>#N/A</v>
      </c>
      <c r="O13" s="365">
        <f>KH.!V18</f>
        <v>0</v>
      </c>
      <c r="P13" s="365" t="e">
        <f>KH.!W18</f>
        <v>#N/A</v>
      </c>
      <c r="Q13" s="365" t="e">
        <f>KH.!X18</f>
        <v>#N/A</v>
      </c>
      <c r="R13" s="365" t="e">
        <f>KH.!Y18</f>
        <v>#N/A</v>
      </c>
      <c r="S13" s="365">
        <f>KH.!Z18</f>
        <v>0</v>
      </c>
      <c r="T13" s="365" t="e">
        <f>KH.!AA18</f>
        <v>#N/A</v>
      </c>
      <c r="U13" s="365" t="e">
        <f>KH.!AB18</f>
        <v>#N/A</v>
      </c>
      <c r="V13" s="365">
        <f>KH.!AC18</f>
        <v>0</v>
      </c>
      <c r="W13" s="365" t="e">
        <f>KH.!AD18</f>
        <v>#N/A</v>
      </c>
      <c r="X13" s="365" t="e">
        <f>KH.!AE18</f>
        <v>#N/A</v>
      </c>
      <c r="Y13" s="365" t="e">
        <f>KH.!AF18</f>
        <v>#N/A</v>
      </c>
      <c r="Z13" s="365" t="e">
        <f>KH.!AG18</f>
        <v>#N/A</v>
      </c>
      <c r="AA13" s="365" t="e">
        <f>KH.!AH18</f>
        <v>#N/A</v>
      </c>
      <c r="AB13" s="365" t="e">
        <f>KH.!AI18</f>
        <v>#N/A</v>
      </c>
      <c r="AC13" s="365">
        <f>KH.!AJ18</f>
        <v>0</v>
      </c>
      <c r="AD13" s="1">
        <f>KH.!BM18</f>
        <v>0</v>
      </c>
    </row>
    <row r="14" spans="1:30" s="13" customFormat="1" ht="31.5" customHeight="1" x14ac:dyDescent="0.3">
      <c r="A14" s="111" t="s">
        <v>15</v>
      </c>
      <c r="B14" s="426" t="s">
        <v>18</v>
      </c>
      <c r="C14" s="426"/>
      <c r="D14" s="427"/>
      <c r="E14" s="427"/>
      <c r="F14" s="427" t="s">
        <v>14</v>
      </c>
      <c r="G14" s="427"/>
      <c r="I14" s="363">
        <v>12</v>
      </c>
      <c r="J14" s="365" t="e">
        <f>KH.!Q19</f>
        <v>#N/A</v>
      </c>
      <c r="K14" s="365" t="e">
        <f>KH.!R19</f>
        <v>#N/A</v>
      </c>
      <c r="L14" s="365" t="e">
        <f>KH.!S19</f>
        <v>#N/A</v>
      </c>
      <c r="M14" s="365" t="e">
        <f>KH.!T19</f>
        <v>#N/A</v>
      </c>
      <c r="N14" s="365" t="e">
        <f>KH.!U19</f>
        <v>#N/A</v>
      </c>
      <c r="O14" s="365">
        <f>KH.!V19</f>
        <v>0</v>
      </c>
      <c r="P14" s="365" t="e">
        <f>KH.!W19</f>
        <v>#N/A</v>
      </c>
      <c r="Q14" s="365" t="e">
        <f>KH.!X19</f>
        <v>#N/A</v>
      </c>
      <c r="R14" s="365" t="e">
        <f>KH.!Y19</f>
        <v>#N/A</v>
      </c>
      <c r="S14" s="365">
        <f>KH.!Z19</f>
        <v>0</v>
      </c>
      <c r="T14" s="365" t="e">
        <f>KH.!AA19</f>
        <v>#N/A</v>
      </c>
      <c r="U14" s="365" t="e">
        <f>KH.!AB19</f>
        <v>#N/A</v>
      </c>
      <c r="V14" s="365">
        <f>KH.!AC19</f>
        <v>0</v>
      </c>
      <c r="W14" s="365" t="e">
        <f>KH.!AD19</f>
        <v>#N/A</v>
      </c>
      <c r="X14" s="365" t="e">
        <f>KH.!AE19</f>
        <v>#N/A</v>
      </c>
      <c r="Y14" s="365" t="e">
        <f>KH.!AF19</f>
        <v>#N/A</v>
      </c>
      <c r="Z14" s="365" t="e">
        <f>KH.!AG19</f>
        <v>#N/A</v>
      </c>
      <c r="AA14" s="365" t="e">
        <f>KH.!AH19</f>
        <v>#N/A</v>
      </c>
      <c r="AB14" s="365" t="e">
        <f>KH.!AI19</f>
        <v>#N/A</v>
      </c>
      <c r="AC14" s="365">
        <f>KH.!AJ19</f>
        <v>0</v>
      </c>
      <c r="AD14" s="1">
        <f>KH.!BM19</f>
        <v>0</v>
      </c>
    </row>
    <row r="15" spans="1:30" ht="18" customHeight="1" x14ac:dyDescent="0.3">
      <c r="I15" s="363">
        <v>13</v>
      </c>
      <c r="J15" s="365" t="e">
        <f>KH.!Q20</f>
        <v>#N/A</v>
      </c>
      <c r="K15" s="365" t="e">
        <f>KH.!R20</f>
        <v>#N/A</v>
      </c>
      <c r="L15" s="365" t="e">
        <f>KH.!S20</f>
        <v>#N/A</v>
      </c>
      <c r="M15" s="365" t="e">
        <f>KH.!T20</f>
        <v>#N/A</v>
      </c>
      <c r="N15" s="365" t="e">
        <f>KH.!U20</f>
        <v>#N/A</v>
      </c>
      <c r="O15" s="365">
        <f>KH.!V20</f>
        <v>0</v>
      </c>
      <c r="P15" s="365" t="e">
        <f>KH.!W20</f>
        <v>#N/A</v>
      </c>
      <c r="Q15" s="365" t="e">
        <f>KH.!X20</f>
        <v>#N/A</v>
      </c>
      <c r="R15" s="365" t="e">
        <f>KH.!Y20</f>
        <v>#N/A</v>
      </c>
      <c r="S15" s="365">
        <f>KH.!Z20</f>
        <v>0</v>
      </c>
      <c r="T15" s="365" t="e">
        <f>KH.!AA20</f>
        <v>#N/A</v>
      </c>
      <c r="U15" s="365" t="e">
        <f>KH.!AB20</f>
        <v>#N/A</v>
      </c>
      <c r="V15" s="365">
        <f>KH.!AC20</f>
        <v>0</v>
      </c>
      <c r="W15" s="365" t="e">
        <f>KH.!AD20</f>
        <v>#N/A</v>
      </c>
      <c r="X15" s="365" t="e">
        <f>KH.!AE20</f>
        <v>#N/A</v>
      </c>
      <c r="Y15" s="365" t="e">
        <f>KH.!AF20</f>
        <v>#N/A</v>
      </c>
      <c r="Z15" s="365" t="e">
        <f>KH.!AG20</f>
        <v>#N/A</v>
      </c>
      <c r="AA15" s="365" t="e">
        <f>KH.!AH20</f>
        <v>#N/A</v>
      </c>
      <c r="AB15" s="365" t="e">
        <f>KH.!AI20</f>
        <v>#N/A</v>
      </c>
      <c r="AC15" s="365">
        <f>KH.!AJ20</f>
        <v>0</v>
      </c>
      <c r="AD15" s="1">
        <f>KH.!BM20</f>
        <v>0</v>
      </c>
    </row>
    <row r="16" spans="1:30" ht="18" customHeight="1" x14ac:dyDescent="0.3">
      <c r="A16" s="29"/>
      <c r="I16" s="363">
        <v>14</v>
      </c>
      <c r="J16" s="365" t="e">
        <f>KH.!Q21</f>
        <v>#N/A</v>
      </c>
      <c r="K16" s="365" t="e">
        <f>KH.!R21</f>
        <v>#N/A</v>
      </c>
      <c r="L16" s="365" t="e">
        <f>KH.!S21</f>
        <v>#N/A</v>
      </c>
      <c r="M16" s="365" t="e">
        <f>KH.!T21</f>
        <v>#N/A</v>
      </c>
      <c r="N16" s="365" t="e">
        <f>KH.!U21</f>
        <v>#N/A</v>
      </c>
      <c r="O16" s="365">
        <f>KH.!V21</f>
        <v>0</v>
      </c>
      <c r="P16" s="365" t="e">
        <f>KH.!W21</f>
        <v>#N/A</v>
      </c>
      <c r="Q16" s="365" t="e">
        <f>KH.!X21</f>
        <v>#N/A</v>
      </c>
      <c r="R16" s="365" t="e">
        <f>KH.!Y21</f>
        <v>#N/A</v>
      </c>
      <c r="S16" s="365">
        <f>KH.!Z21</f>
        <v>0</v>
      </c>
      <c r="T16" s="365" t="e">
        <f>KH.!AA21</f>
        <v>#N/A</v>
      </c>
      <c r="U16" s="365" t="e">
        <f>KH.!AB21</f>
        <v>#N/A</v>
      </c>
      <c r="V16" s="365">
        <f>KH.!AC21</f>
        <v>0</v>
      </c>
      <c r="W16" s="365" t="e">
        <f>KH.!AD21</f>
        <v>#N/A</v>
      </c>
      <c r="X16" s="365" t="e">
        <f>KH.!AE21</f>
        <v>#N/A</v>
      </c>
      <c r="Y16" s="365" t="e">
        <f>KH.!AF21</f>
        <v>#N/A</v>
      </c>
      <c r="Z16" s="365" t="e">
        <f>KH.!AG21</f>
        <v>#N/A</v>
      </c>
      <c r="AA16" s="365" t="e">
        <f>KH.!AH21</f>
        <v>#N/A</v>
      </c>
      <c r="AB16" s="365" t="e">
        <f>KH.!AI21</f>
        <v>#N/A</v>
      </c>
      <c r="AC16" s="365">
        <f>KH.!AJ21</f>
        <v>0</v>
      </c>
      <c r="AD16" s="1">
        <f>KH.!BM21</f>
        <v>0</v>
      </c>
    </row>
    <row r="17" spans="1:30" ht="18" customHeight="1" x14ac:dyDescent="0.3">
      <c r="D17" s="353"/>
      <c r="E17" s="354"/>
      <c r="F17" s="354"/>
      <c r="I17" s="363">
        <v>15</v>
      </c>
      <c r="J17" s="365" t="e">
        <f>KH.!Q22</f>
        <v>#N/A</v>
      </c>
      <c r="K17" s="365" t="e">
        <f>KH.!R22</f>
        <v>#N/A</v>
      </c>
      <c r="L17" s="365" t="e">
        <f>KH.!S22</f>
        <v>#N/A</v>
      </c>
      <c r="M17" s="365" t="e">
        <f>KH.!T22</f>
        <v>#N/A</v>
      </c>
      <c r="N17" s="365" t="e">
        <f>KH.!U22</f>
        <v>#N/A</v>
      </c>
      <c r="O17" s="365">
        <f>KH.!V22</f>
        <v>0</v>
      </c>
      <c r="P17" s="365" t="e">
        <f>KH.!W22</f>
        <v>#N/A</v>
      </c>
      <c r="Q17" s="365" t="e">
        <f>KH.!X22</f>
        <v>#N/A</v>
      </c>
      <c r="R17" s="365" t="e">
        <f>KH.!Y22</f>
        <v>#N/A</v>
      </c>
      <c r="S17" s="365">
        <f>KH.!Z22</f>
        <v>0</v>
      </c>
      <c r="T17" s="365" t="e">
        <f>KH.!AA22</f>
        <v>#N/A</v>
      </c>
      <c r="U17" s="365" t="e">
        <f>KH.!AB22</f>
        <v>#N/A</v>
      </c>
      <c r="V17" s="365">
        <f>KH.!AC22</f>
        <v>0</v>
      </c>
      <c r="W17" s="365" t="e">
        <f>KH.!AD22</f>
        <v>#N/A</v>
      </c>
      <c r="X17" s="365" t="e">
        <f>KH.!AE22</f>
        <v>#N/A</v>
      </c>
      <c r="Y17" s="365" t="e">
        <f>KH.!AF22</f>
        <v>#N/A</v>
      </c>
      <c r="Z17" s="365" t="e">
        <f>KH.!AG22</f>
        <v>#N/A</v>
      </c>
      <c r="AA17" s="365" t="e">
        <f>KH.!AH22</f>
        <v>#N/A</v>
      </c>
      <c r="AB17" s="365" t="e">
        <f>KH.!AI22</f>
        <v>#N/A</v>
      </c>
      <c r="AC17" s="365">
        <f>KH.!AJ22</f>
        <v>0</v>
      </c>
      <c r="AD17" s="1">
        <f>KH.!BM22</f>
        <v>0</v>
      </c>
    </row>
    <row r="18" spans="1:30" ht="18" customHeight="1" x14ac:dyDescent="0.3">
      <c r="D18" s="355"/>
      <c r="E18" s="354"/>
      <c r="F18" s="354"/>
      <c r="I18" s="363">
        <v>16</v>
      </c>
      <c r="J18" s="365" t="e">
        <f>KH.!Q23</f>
        <v>#N/A</v>
      </c>
      <c r="K18" s="365" t="e">
        <f>KH.!R23</f>
        <v>#N/A</v>
      </c>
      <c r="L18" s="365" t="e">
        <f>KH.!S23</f>
        <v>#N/A</v>
      </c>
      <c r="M18" s="365" t="e">
        <f>KH.!T23</f>
        <v>#N/A</v>
      </c>
      <c r="N18" s="365" t="e">
        <f>KH.!U23</f>
        <v>#N/A</v>
      </c>
      <c r="O18" s="365">
        <f>KH.!V23</f>
        <v>0</v>
      </c>
      <c r="P18" s="365" t="e">
        <f>KH.!W23</f>
        <v>#N/A</v>
      </c>
      <c r="Q18" s="365" t="e">
        <f>KH.!X23</f>
        <v>#N/A</v>
      </c>
      <c r="R18" s="365" t="e">
        <f>KH.!Y23</f>
        <v>#N/A</v>
      </c>
      <c r="S18" s="365">
        <f>KH.!Z23</f>
        <v>0</v>
      </c>
      <c r="T18" s="365" t="e">
        <f>KH.!AA23</f>
        <v>#N/A</v>
      </c>
      <c r="U18" s="365" t="e">
        <f>KH.!AB23</f>
        <v>#N/A</v>
      </c>
      <c r="V18" s="365">
        <f>KH.!AC23</f>
        <v>0</v>
      </c>
      <c r="W18" s="365" t="e">
        <f>KH.!AD23</f>
        <v>#N/A</v>
      </c>
      <c r="X18" s="365" t="e">
        <f>KH.!AE23</f>
        <v>#N/A</v>
      </c>
      <c r="Y18" s="365" t="e">
        <f>KH.!AF23</f>
        <v>#N/A</v>
      </c>
      <c r="Z18" s="365" t="e">
        <f>KH.!AG23</f>
        <v>#N/A</v>
      </c>
      <c r="AA18" s="365" t="e">
        <f>KH.!AH23</f>
        <v>#N/A</v>
      </c>
      <c r="AB18" s="365" t="e">
        <f>KH.!AI23</f>
        <v>#N/A</v>
      </c>
      <c r="AC18" s="365">
        <f>KH.!AJ23</f>
        <v>0</v>
      </c>
      <c r="AD18" s="1">
        <f>KH.!BM23</f>
        <v>0</v>
      </c>
    </row>
    <row r="19" spans="1:30" s="13" customFormat="1" ht="17.25" customHeight="1" x14ac:dyDescent="0.3">
      <c r="A19" s="111"/>
      <c r="B19" s="313" t="s">
        <v>28</v>
      </c>
      <c r="C19" s="313"/>
      <c r="D19" s="111"/>
      <c r="E19" s="312"/>
      <c r="F19" s="313"/>
      <c r="G19" s="313"/>
      <c r="I19" s="363">
        <v>17</v>
      </c>
      <c r="J19" s="365" t="e">
        <f>KH.!Q24</f>
        <v>#N/A</v>
      </c>
      <c r="K19" s="365" t="e">
        <f>KH.!R24</f>
        <v>#N/A</v>
      </c>
      <c r="L19" s="365" t="e">
        <f>KH.!S24</f>
        <v>#N/A</v>
      </c>
      <c r="M19" s="365" t="e">
        <f>KH.!T24</f>
        <v>#N/A</v>
      </c>
      <c r="N19" s="365" t="e">
        <f>KH.!U24</f>
        <v>#N/A</v>
      </c>
      <c r="O19" s="365">
        <f>KH.!V24</f>
        <v>0</v>
      </c>
      <c r="P19" s="365" t="e">
        <f>KH.!W24</f>
        <v>#N/A</v>
      </c>
      <c r="Q19" s="365" t="e">
        <f>KH.!X24</f>
        <v>#N/A</v>
      </c>
      <c r="R19" s="365" t="e">
        <f>KH.!Y24</f>
        <v>#N/A</v>
      </c>
      <c r="S19" s="365">
        <f>KH.!Z24</f>
        <v>0</v>
      </c>
      <c r="T19" s="365" t="e">
        <f>KH.!AA24</f>
        <v>#N/A</v>
      </c>
      <c r="U19" s="365" t="e">
        <f>KH.!AB24</f>
        <v>#N/A</v>
      </c>
      <c r="V19" s="365">
        <f>KH.!AC24</f>
        <v>0</v>
      </c>
      <c r="W19" s="365" t="e">
        <f>KH.!AD24</f>
        <v>#N/A</v>
      </c>
      <c r="X19" s="365" t="e">
        <f>KH.!AE24</f>
        <v>#N/A</v>
      </c>
      <c r="Y19" s="365" t="e">
        <f>KH.!AF24</f>
        <v>#N/A</v>
      </c>
      <c r="Z19" s="365" t="e">
        <f>KH.!AG24</f>
        <v>#N/A</v>
      </c>
      <c r="AA19" s="365" t="e">
        <f>KH.!AH24</f>
        <v>#N/A</v>
      </c>
      <c r="AB19" s="365" t="e">
        <f>KH.!AI24</f>
        <v>#N/A</v>
      </c>
      <c r="AC19" s="365">
        <f>KH.!AJ24</f>
        <v>0</v>
      </c>
      <c r="AD19" s="1">
        <f>KH.!BM24</f>
        <v>0</v>
      </c>
    </row>
    <row r="20" spans="1:30" ht="17.25" customHeight="1" x14ac:dyDescent="0.3">
      <c r="A20" s="314" t="s">
        <v>13576</v>
      </c>
      <c r="C20" s="314"/>
      <c r="D20" s="314"/>
      <c r="E20" s="314"/>
      <c r="F20" s="314"/>
      <c r="G20" s="314"/>
      <c r="H20" s="314"/>
      <c r="I20" s="363">
        <v>18</v>
      </c>
      <c r="J20" s="365" t="e">
        <f>KH.!Q25</f>
        <v>#N/A</v>
      </c>
      <c r="K20" s="365" t="e">
        <f>KH.!R25</f>
        <v>#N/A</v>
      </c>
      <c r="L20" s="365" t="e">
        <f>KH.!S25</f>
        <v>#N/A</v>
      </c>
      <c r="M20" s="365" t="e">
        <f>KH.!T25</f>
        <v>#N/A</v>
      </c>
      <c r="N20" s="365" t="e">
        <f>KH.!U25</f>
        <v>#N/A</v>
      </c>
      <c r="O20" s="365">
        <f>KH.!V25</f>
        <v>0</v>
      </c>
      <c r="P20" s="365" t="e">
        <f>KH.!W25</f>
        <v>#N/A</v>
      </c>
      <c r="Q20" s="365" t="e">
        <f>KH.!X25</f>
        <v>#N/A</v>
      </c>
      <c r="R20" s="365" t="e">
        <f>KH.!Y25</f>
        <v>#N/A</v>
      </c>
      <c r="S20" s="365">
        <f>KH.!Z25</f>
        <v>0</v>
      </c>
      <c r="T20" s="365" t="e">
        <f>KH.!AA25</f>
        <v>#N/A</v>
      </c>
      <c r="U20" s="365" t="e">
        <f>KH.!AB25</f>
        <v>#N/A</v>
      </c>
      <c r="V20" s="365">
        <f>KH.!AC25</f>
        <v>0</v>
      </c>
      <c r="W20" s="365" t="e">
        <f>KH.!AD25</f>
        <v>#N/A</v>
      </c>
      <c r="X20" s="365" t="e">
        <f>KH.!AE25</f>
        <v>#N/A</v>
      </c>
      <c r="Y20" s="365" t="e">
        <f>KH.!AF25</f>
        <v>#N/A</v>
      </c>
      <c r="Z20" s="365" t="e">
        <f>KH.!AG25</f>
        <v>#N/A</v>
      </c>
      <c r="AA20" s="365" t="e">
        <f>KH.!AH25</f>
        <v>#N/A</v>
      </c>
      <c r="AB20" s="365" t="e">
        <f>KH.!AI25</f>
        <v>#N/A</v>
      </c>
      <c r="AC20" s="365">
        <f>KH.!AJ25</f>
        <v>0</v>
      </c>
      <c r="AD20" s="1">
        <f>KH.!BM25</f>
        <v>0</v>
      </c>
    </row>
    <row r="21" spans="1:30" ht="17.25" customHeight="1" x14ac:dyDescent="0.3">
      <c r="A21" s="316" t="s">
        <v>15053</v>
      </c>
      <c r="B21" s="316"/>
      <c r="C21" s="314"/>
      <c r="D21" s="314"/>
      <c r="E21" s="314"/>
      <c r="F21" s="314"/>
      <c r="G21" s="314"/>
      <c r="H21" s="314"/>
      <c r="I21" s="363">
        <v>19</v>
      </c>
      <c r="J21" s="365" t="e">
        <f>KH.!Q26</f>
        <v>#N/A</v>
      </c>
      <c r="K21" s="365" t="e">
        <f>KH.!R26</f>
        <v>#N/A</v>
      </c>
      <c r="L21" s="365" t="e">
        <f>KH.!S26</f>
        <v>#N/A</v>
      </c>
      <c r="M21" s="365" t="e">
        <f>KH.!T26</f>
        <v>#N/A</v>
      </c>
      <c r="N21" s="365" t="e">
        <f>KH.!U26</f>
        <v>#N/A</v>
      </c>
      <c r="O21" s="365">
        <f>KH.!V26</f>
        <v>0</v>
      </c>
      <c r="P21" s="365" t="e">
        <f>KH.!W26</f>
        <v>#N/A</v>
      </c>
      <c r="Q21" s="365" t="e">
        <f>KH.!X26</f>
        <v>#N/A</v>
      </c>
      <c r="R21" s="365" t="e">
        <f>KH.!Y26</f>
        <v>#N/A</v>
      </c>
      <c r="S21" s="365">
        <f>KH.!Z26</f>
        <v>0</v>
      </c>
      <c r="T21" s="365" t="e">
        <f>KH.!AA26</f>
        <v>#N/A</v>
      </c>
      <c r="U21" s="365" t="e">
        <f>KH.!AB26</f>
        <v>#N/A</v>
      </c>
      <c r="V21" s="365">
        <f>KH.!AC26</f>
        <v>0</v>
      </c>
      <c r="W21" s="365" t="e">
        <f>KH.!AD26</f>
        <v>#N/A</v>
      </c>
      <c r="X21" s="365" t="e">
        <f>KH.!AE26</f>
        <v>#N/A</v>
      </c>
      <c r="Y21" s="365" t="e">
        <f>KH.!AF26</f>
        <v>#N/A</v>
      </c>
      <c r="Z21" s="365" t="e">
        <f>KH.!AG26</f>
        <v>#N/A</v>
      </c>
      <c r="AA21" s="365" t="e">
        <f>KH.!AH26</f>
        <v>#N/A</v>
      </c>
      <c r="AB21" s="365" t="e">
        <f>KH.!AI26</f>
        <v>#N/A</v>
      </c>
      <c r="AC21" s="365">
        <f>KH.!AJ26</f>
        <v>0</v>
      </c>
      <c r="AD21" s="1">
        <f>KH.!BM26</f>
        <v>0</v>
      </c>
    </row>
    <row r="22" spans="1:30" ht="17.25" customHeight="1" x14ac:dyDescent="0.3">
      <c r="A22" s="346" t="s">
        <v>13830</v>
      </c>
      <c r="B22" s="316"/>
      <c r="C22" s="314"/>
      <c r="D22" s="314"/>
      <c r="E22" s="314"/>
      <c r="F22" s="314"/>
      <c r="G22" s="314"/>
      <c r="H22" s="314"/>
      <c r="I22" s="363">
        <v>20</v>
      </c>
      <c r="J22" s="365" t="e">
        <f>KH.!Q27</f>
        <v>#N/A</v>
      </c>
      <c r="K22" s="365" t="e">
        <f>KH.!R27</f>
        <v>#N/A</v>
      </c>
      <c r="L22" s="365" t="e">
        <f>KH.!S27</f>
        <v>#N/A</v>
      </c>
      <c r="M22" s="365" t="e">
        <f>KH.!T27</f>
        <v>#N/A</v>
      </c>
      <c r="N22" s="365" t="e">
        <f>KH.!U27</f>
        <v>#N/A</v>
      </c>
      <c r="O22" s="365">
        <f>KH.!V27</f>
        <v>0</v>
      </c>
      <c r="P22" s="365" t="e">
        <f>KH.!W27</f>
        <v>#N/A</v>
      </c>
      <c r="Q22" s="365" t="e">
        <f>KH.!X27</f>
        <v>#N/A</v>
      </c>
      <c r="R22" s="365" t="e">
        <f>KH.!Y27</f>
        <v>#N/A</v>
      </c>
      <c r="S22" s="365">
        <f>KH.!Z27</f>
        <v>0</v>
      </c>
      <c r="T22" s="365" t="e">
        <f>KH.!AA27</f>
        <v>#N/A</v>
      </c>
      <c r="U22" s="365" t="e">
        <f>KH.!AB27</f>
        <v>#N/A</v>
      </c>
      <c r="V22" s="365">
        <f>KH.!AC27</f>
        <v>0</v>
      </c>
      <c r="W22" s="365" t="e">
        <f>KH.!AD27</f>
        <v>#N/A</v>
      </c>
      <c r="X22" s="365" t="e">
        <f>KH.!AE27</f>
        <v>#N/A</v>
      </c>
      <c r="Y22" s="365" t="e">
        <f>KH.!AF27</f>
        <v>#N/A</v>
      </c>
      <c r="Z22" s="365" t="e">
        <f>KH.!AG27</f>
        <v>#N/A</v>
      </c>
      <c r="AA22" s="365" t="e">
        <f>KH.!AH27</f>
        <v>#N/A</v>
      </c>
      <c r="AB22" s="365" t="e">
        <f>KH.!AI27</f>
        <v>#N/A</v>
      </c>
      <c r="AC22" s="365">
        <f>KH.!AJ27</f>
        <v>0</v>
      </c>
      <c r="AD22" s="1">
        <f>KH.!BM27</f>
        <v>0</v>
      </c>
    </row>
    <row r="23" spans="1:30" ht="17.25" customHeight="1" x14ac:dyDescent="0.3">
      <c r="A23" s="308" t="s">
        <v>13579</v>
      </c>
      <c r="I23" s="363">
        <v>21</v>
      </c>
      <c r="J23" s="365" t="e">
        <f>KH.!Q28</f>
        <v>#N/A</v>
      </c>
      <c r="K23" s="365" t="e">
        <f>KH.!R28</f>
        <v>#N/A</v>
      </c>
      <c r="L23" s="365" t="e">
        <f>KH.!S28</f>
        <v>#N/A</v>
      </c>
      <c r="M23" s="365" t="e">
        <f>KH.!T28</f>
        <v>#N/A</v>
      </c>
      <c r="N23" s="365" t="e">
        <f>KH.!U28</f>
        <v>#N/A</v>
      </c>
      <c r="O23" s="365">
        <f>KH.!V28</f>
        <v>0</v>
      </c>
      <c r="P23" s="365" t="e">
        <f>KH.!W28</f>
        <v>#N/A</v>
      </c>
      <c r="Q23" s="365" t="e">
        <f>KH.!X28</f>
        <v>#N/A</v>
      </c>
      <c r="R23" s="365" t="e">
        <f>KH.!Y28</f>
        <v>#N/A</v>
      </c>
      <c r="S23" s="365">
        <f>KH.!Z28</f>
        <v>0</v>
      </c>
      <c r="T23" s="365" t="e">
        <f>KH.!AA28</f>
        <v>#N/A</v>
      </c>
      <c r="U23" s="365" t="e">
        <f>KH.!AB28</f>
        <v>#N/A</v>
      </c>
      <c r="V23" s="365">
        <f>KH.!AC28</f>
        <v>0</v>
      </c>
      <c r="W23" s="365" t="e">
        <f>KH.!AD28</f>
        <v>#N/A</v>
      </c>
      <c r="X23" s="365" t="e">
        <f>KH.!AE28</f>
        <v>#N/A</v>
      </c>
      <c r="Y23" s="365" t="e">
        <f>KH.!AF28</f>
        <v>#N/A</v>
      </c>
      <c r="Z23" s="365" t="e">
        <f>KH.!AG28</f>
        <v>#N/A</v>
      </c>
      <c r="AA23" s="365" t="e">
        <f>KH.!AH28</f>
        <v>#N/A</v>
      </c>
      <c r="AB23" s="365" t="e">
        <f>KH.!AI28</f>
        <v>#N/A</v>
      </c>
      <c r="AC23" s="365">
        <f>KH.!AJ28</f>
        <v>0</v>
      </c>
      <c r="AD23" s="1">
        <f>KH.!BM28</f>
        <v>0</v>
      </c>
    </row>
    <row r="24" spans="1:30" ht="17.25" customHeight="1" x14ac:dyDescent="0.3">
      <c r="I24" s="363">
        <v>22</v>
      </c>
      <c r="J24" s="365" t="e">
        <f>KH.!Q29</f>
        <v>#N/A</v>
      </c>
      <c r="K24" s="365" t="e">
        <f>KH.!R29</f>
        <v>#N/A</v>
      </c>
      <c r="L24" s="365" t="e">
        <f>KH.!S29</f>
        <v>#N/A</v>
      </c>
      <c r="M24" s="365" t="e">
        <f>KH.!T29</f>
        <v>#N/A</v>
      </c>
      <c r="N24" s="365" t="e">
        <f>KH.!U29</f>
        <v>#N/A</v>
      </c>
      <c r="O24" s="365">
        <f>KH.!V29</f>
        <v>0</v>
      </c>
      <c r="P24" s="365" t="e">
        <f>KH.!W29</f>
        <v>#N/A</v>
      </c>
      <c r="Q24" s="365" t="e">
        <f>KH.!X29</f>
        <v>#N/A</v>
      </c>
      <c r="R24" s="365" t="e">
        <f>KH.!Y29</f>
        <v>#N/A</v>
      </c>
      <c r="S24" s="365">
        <f>KH.!Z29</f>
        <v>0</v>
      </c>
      <c r="T24" s="365" t="e">
        <f>KH.!AA29</f>
        <v>#N/A</v>
      </c>
      <c r="U24" s="365" t="e">
        <f>KH.!AB29</f>
        <v>#N/A</v>
      </c>
      <c r="V24" s="365">
        <f>KH.!AC29</f>
        <v>0</v>
      </c>
      <c r="W24" s="365" t="e">
        <f>KH.!AD29</f>
        <v>#N/A</v>
      </c>
      <c r="X24" s="365" t="e">
        <f>KH.!AE29</f>
        <v>#N/A</v>
      </c>
      <c r="Y24" s="365" t="e">
        <f>KH.!AF29</f>
        <v>#N/A</v>
      </c>
      <c r="Z24" s="365" t="e">
        <f>KH.!AG29</f>
        <v>#N/A</v>
      </c>
      <c r="AA24" s="365" t="e">
        <f>KH.!AH29</f>
        <v>#N/A</v>
      </c>
      <c r="AB24" s="365" t="e">
        <f>KH.!AI29</f>
        <v>#N/A</v>
      </c>
      <c r="AC24" s="365">
        <f>KH.!AJ29</f>
        <v>0</v>
      </c>
      <c r="AD24" s="1">
        <f>KH.!BM29</f>
        <v>0</v>
      </c>
    </row>
    <row r="25" spans="1:30" ht="17.25" customHeight="1" x14ac:dyDescent="0.3">
      <c r="A25" s="14" t="s">
        <v>0</v>
      </c>
      <c r="B25" s="429" t="s">
        <v>25</v>
      </c>
      <c r="C25" s="429"/>
      <c r="D25" s="429"/>
      <c r="E25" s="429"/>
      <c r="F25" s="409" t="s">
        <v>24</v>
      </c>
      <c r="G25" s="430"/>
      <c r="I25" s="363">
        <v>23</v>
      </c>
      <c r="J25" s="365" t="e">
        <f>KH.!Q30</f>
        <v>#N/A</v>
      </c>
      <c r="K25" s="365" t="e">
        <f>KH.!R30</f>
        <v>#N/A</v>
      </c>
      <c r="L25" s="365" t="e">
        <f>KH.!S30</f>
        <v>#N/A</v>
      </c>
      <c r="M25" s="365" t="e">
        <f>KH.!T30</f>
        <v>#N/A</v>
      </c>
      <c r="N25" s="365" t="e">
        <f>KH.!U30</f>
        <v>#N/A</v>
      </c>
      <c r="O25" s="365">
        <f>KH.!V30</f>
        <v>0</v>
      </c>
      <c r="P25" s="365" t="e">
        <f>KH.!W30</f>
        <v>#N/A</v>
      </c>
      <c r="Q25" s="365" t="e">
        <f>KH.!X30</f>
        <v>#N/A</v>
      </c>
      <c r="R25" s="365" t="e">
        <f>KH.!Y30</f>
        <v>#N/A</v>
      </c>
      <c r="S25" s="365">
        <f>KH.!Z30</f>
        <v>0</v>
      </c>
      <c r="T25" s="365" t="e">
        <f>KH.!AA30</f>
        <v>#N/A</v>
      </c>
      <c r="U25" s="365" t="e">
        <f>KH.!AB30</f>
        <v>#N/A</v>
      </c>
      <c r="V25" s="365">
        <f>KH.!AC30</f>
        <v>0</v>
      </c>
      <c r="W25" s="365" t="e">
        <f>KH.!AD30</f>
        <v>#N/A</v>
      </c>
      <c r="X25" s="365" t="e">
        <f>KH.!AE30</f>
        <v>#N/A</v>
      </c>
      <c r="Y25" s="365" t="e">
        <f>KH.!AF30</f>
        <v>#N/A</v>
      </c>
      <c r="Z25" s="365" t="e">
        <f>KH.!AG30</f>
        <v>#N/A</v>
      </c>
      <c r="AA25" s="365" t="e">
        <f>KH.!AH30</f>
        <v>#N/A</v>
      </c>
      <c r="AB25" s="365" t="e">
        <f>KH.!AI30</f>
        <v>#N/A</v>
      </c>
      <c r="AC25" s="365">
        <f>KH.!AJ30</f>
        <v>0</v>
      </c>
      <c r="AD25" s="1">
        <f>KH.!BM30</f>
        <v>0</v>
      </c>
    </row>
    <row r="26" spans="1:30" ht="17.25" customHeight="1" x14ac:dyDescent="0.3">
      <c r="A26" s="15" t="s">
        <v>1</v>
      </c>
      <c r="B26" s="431" t="s">
        <v>19</v>
      </c>
      <c r="C26" s="431"/>
      <c r="D26" s="17">
        <f>D2</f>
        <v>45492</v>
      </c>
      <c r="E26" s="17"/>
      <c r="F26" s="16"/>
      <c r="G26" s="16"/>
      <c r="I26" s="363">
        <v>24</v>
      </c>
      <c r="J26" s="365" t="e">
        <f>KH.!Q31</f>
        <v>#N/A</v>
      </c>
      <c r="K26" s="365" t="e">
        <f>KH.!R31</f>
        <v>#N/A</v>
      </c>
      <c r="L26" s="365" t="e">
        <f>KH.!S31</f>
        <v>#N/A</v>
      </c>
      <c r="M26" s="365" t="e">
        <f>KH.!T31</f>
        <v>#N/A</v>
      </c>
      <c r="N26" s="365" t="e">
        <f>KH.!U31</f>
        <v>#N/A</v>
      </c>
      <c r="O26" s="365">
        <f>KH.!V31</f>
        <v>0</v>
      </c>
      <c r="P26" s="365" t="e">
        <f>KH.!W31</f>
        <v>#N/A</v>
      </c>
      <c r="Q26" s="365" t="e">
        <f>KH.!X31</f>
        <v>#N/A</v>
      </c>
      <c r="R26" s="365" t="e">
        <f>KH.!Y31</f>
        <v>#N/A</v>
      </c>
      <c r="S26" s="365">
        <f>KH.!Z31</f>
        <v>0</v>
      </c>
      <c r="T26" s="365" t="e">
        <f>KH.!AA31</f>
        <v>#N/A</v>
      </c>
      <c r="U26" s="365" t="e">
        <f>KH.!AB31</f>
        <v>#N/A</v>
      </c>
      <c r="V26" s="365">
        <f>KH.!AC31</f>
        <v>0</v>
      </c>
      <c r="W26" s="365" t="e">
        <f>KH.!AD31</f>
        <v>#N/A</v>
      </c>
      <c r="X26" s="365" t="e">
        <f>KH.!AE31</f>
        <v>#N/A</v>
      </c>
      <c r="Y26" s="365" t="e">
        <f>KH.!AF31</f>
        <v>#N/A</v>
      </c>
      <c r="Z26" s="365" t="e">
        <f>KH.!AG31</f>
        <v>#N/A</v>
      </c>
      <c r="AA26" s="365" t="e">
        <f>KH.!AH31</f>
        <v>#N/A</v>
      </c>
      <c r="AB26" s="365" t="e">
        <f>KH.!AI31</f>
        <v>#N/A</v>
      </c>
      <c r="AC26" s="365">
        <f>KH.!AJ31</f>
        <v>0</v>
      </c>
      <c r="AD26" s="1">
        <f>KH.!BM31</f>
        <v>0</v>
      </c>
    </row>
    <row r="27" spans="1:30" ht="17.25" customHeight="1" x14ac:dyDescent="0.3">
      <c r="A27" s="18" t="s">
        <v>20</v>
      </c>
      <c r="B27" s="432" t="str">
        <f>B3</f>
        <v>Chú Minh: 0948248047</v>
      </c>
      <c r="C27" s="432"/>
      <c r="D27" s="112"/>
      <c r="E27" s="20" t="s">
        <v>21</v>
      </c>
      <c r="F27" s="433">
        <f>F3</f>
        <v>0</v>
      </c>
      <c r="G27" s="432"/>
      <c r="I27" s="363">
        <v>25</v>
      </c>
      <c r="J27" s="365" t="e">
        <f>KH.!Q32</f>
        <v>#N/A</v>
      </c>
      <c r="K27" s="365" t="e">
        <f>KH.!R32</f>
        <v>#N/A</v>
      </c>
      <c r="L27" s="365" t="e">
        <f>KH.!S32</f>
        <v>#N/A</v>
      </c>
      <c r="M27" s="365" t="e">
        <f>KH.!T32</f>
        <v>#N/A</v>
      </c>
      <c r="N27" s="365" t="e">
        <f>KH.!U32</f>
        <v>#N/A</v>
      </c>
      <c r="O27" s="365">
        <f>KH.!V32</f>
        <v>0</v>
      </c>
      <c r="P27" s="365" t="e">
        <f>KH.!W32</f>
        <v>#N/A</v>
      </c>
      <c r="Q27" s="365" t="e">
        <f>KH.!X32</f>
        <v>#N/A</v>
      </c>
      <c r="R27" s="365" t="e">
        <f>KH.!Y32</f>
        <v>#N/A</v>
      </c>
      <c r="S27" s="365">
        <f>KH.!Z32</f>
        <v>0</v>
      </c>
      <c r="T27" s="365" t="e">
        <f>KH.!AA32</f>
        <v>#N/A</v>
      </c>
      <c r="U27" s="365" t="e">
        <f>KH.!AB32</f>
        <v>#N/A</v>
      </c>
      <c r="V27" s="365">
        <f>KH.!AC32</f>
        <v>0</v>
      </c>
      <c r="W27" s="365" t="e">
        <f>KH.!AD32</f>
        <v>#N/A</v>
      </c>
      <c r="X27" s="365" t="e">
        <f>KH.!AE32</f>
        <v>#N/A</v>
      </c>
      <c r="Y27" s="365" t="e">
        <f>KH.!AF32</f>
        <v>#N/A</v>
      </c>
      <c r="Z27" s="365" t="e">
        <f>KH.!AG32</f>
        <v>#N/A</v>
      </c>
      <c r="AA27" s="365" t="e">
        <f>KH.!AH32</f>
        <v>#N/A</v>
      </c>
      <c r="AB27" s="365" t="e">
        <f>KH.!AI32</f>
        <v>#N/A</v>
      </c>
      <c r="AC27" s="365">
        <f>KH.!AJ32</f>
        <v>0</v>
      </c>
      <c r="AD27" s="1">
        <f>KH.!BM32</f>
        <v>0</v>
      </c>
    </row>
    <row r="28" spans="1:30" ht="17.25" customHeight="1" x14ac:dyDescent="0.3">
      <c r="A28" s="19" t="s">
        <v>22</v>
      </c>
      <c r="B28" s="423" t="str">
        <f>B4</f>
        <v>Ý Yên, Nam Định</v>
      </c>
      <c r="C28" s="423"/>
      <c r="D28" s="423"/>
      <c r="E28" s="423"/>
      <c r="F28" s="423"/>
      <c r="G28" s="423"/>
      <c r="I28" s="363">
        <v>26</v>
      </c>
      <c r="J28" s="365" t="e">
        <f>KH.!Q33</f>
        <v>#N/A</v>
      </c>
      <c r="K28" s="365" t="e">
        <f>KH.!R33</f>
        <v>#N/A</v>
      </c>
      <c r="L28" s="365" t="e">
        <f>KH.!S33</f>
        <v>#N/A</v>
      </c>
      <c r="M28" s="365" t="e">
        <f>KH.!T33</f>
        <v>#N/A</v>
      </c>
      <c r="N28" s="365" t="e">
        <f>KH.!U33</f>
        <v>#N/A</v>
      </c>
      <c r="O28" s="365">
        <f>KH.!V33</f>
        <v>0</v>
      </c>
      <c r="P28" s="365" t="e">
        <f>KH.!W33</f>
        <v>#N/A</v>
      </c>
      <c r="Q28" s="365" t="e">
        <f>KH.!X33</f>
        <v>#N/A</v>
      </c>
      <c r="R28" s="365" t="e">
        <f>KH.!Y33</f>
        <v>#N/A</v>
      </c>
      <c r="S28" s="365">
        <f>KH.!Z33</f>
        <v>0</v>
      </c>
      <c r="T28" s="365" t="e">
        <f>KH.!AA33</f>
        <v>#N/A</v>
      </c>
      <c r="U28" s="365" t="e">
        <f>KH.!AB33</f>
        <v>#N/A</v>
      </c>
      <c r="V28" s="365">
        <f>KH.!AC33</f>
        <v>0</v>
      </c>
      <c r="W28" s="365" t="e">
        <f>KH.!AD33</f>
        <v>#N/A</v>
      </c>
      <c r="X28" s="365" t="e">
        <f>KH.!AE33</f>
        <v>#N/A</v>
      </c>
      <c r="Y28" s="365" t="e">
        <f>KH.!AF33</f>
        <v>#N/A</v>
      </c>
      <c r="Z28" s="365" t="e">
        <f>KH.!AG33</f>
        <v>#N/A</v>
      </c>
      <c r="AA28" s="365" t="e">
        <f>KH.!AH33</f>
        <v>#N/A</v>
      </c>
      <c r="AB28" s="365" t="e">
        <f>KH.!AI33</f>
        <v>#N/A</v>
      </c>
      <c r="AC28" s="365">
        <f>KH.!AJ33</f>
        <v>0</v>
      </c>
      <c r="AD28" s="1">
        <f>KH.!BM33</f>
        <v>0</v>
      </c>
    </row>
    <row r="29" spans="1:30" s="2" customFormat="1" ht="17.25" customHeight="1" x14ac:dyDescent="0.3">
      <c r="A29" s="7" t="s">
        <v>2</v>
      </c>
      <c r="B29" s="8" t="s">
        <v>17</v>
      </c>
      <c r="C29" s="8" t="s">
        <v>3</v>
      </c>
      <c r="D29" s="8" t="s">
        <v>32</v>
      </c>
      <c r="E29" s="8" t="s">
        <v>4</v>
      </c>
      <c r="F29" s="8" t="s">
        <v>5</v>
      </c>
      <c r="G29" s="8" t="s">
        <v>6</v>
      </c>
      <c r="I29" s="363">
        <v>27</v>
      </c>
      <c r="J29" s="365" t="e">
        <f>KH.!Q34</f>
        <v>#N/A</v>
      </c>
      <c r="K29" s="365" t="e">
        <f>KH.!R34</f>
        <v>#N/A</v>
      </c>
      <c r="L29" s="365" t="e">
        <f>KH.!S34</f>
        <v>#N/A</v>
      </c>
      <c r="M29" s="365" t="e">
        <f>KH.!T34</f>
        <v>#N/A</v>
      </c>
      <c r="N29" s="365" t="e">
        <f>KH.!U34</f>
        <v>#N/A</v>
      </c>
      <c r="O29" s="365">
        <f>KH.!V34</f>
        <v>0</v>
      </c>
      <c r="P29" s="365" t="e">
        <f>KH.!W34</f>
        <v>#N/A</v>
      </c>
      <c r="Q29" s="365" t="e">
        <f>KH.!X34</f>
        <v>#N/A</v>
      </c>
      <c r="R29" s="365" t="e">
        <f>KH.!Y34</f>
        <v>#N/A</v>
      </c>
      <c r="S29" s="365">
        <f>KH.!Z34</f>
        <v>0</v>
      </c>
      <c r="T29" s="365" t="e">
        <f>KH.!AA34</f>
        <v>#N/A</v>
      </c>
      <c r="U29" s="365" t="e">
        <f>KH.!AB34</f>
        <v>#N/A</v>
      </c>
      <c r="V29" s="365">
        <f>KH.!AC34</f>
        <v>0</v>
      </c>
      <c r="W29" s="365" t="e">
        <f>KH.!AD34</f>
        <v>#N/A</v>
      </c>
      <c r="X29" s="365" t="e">
        <f>KH.!AE34</f>
        <v>#N/A</v>
      </c>
      <c r="Y29" s="365" t="e">
        <f>KH.!AF34</f>
        <v>#N/A</v>
      </c>
      <c r="Z29" s="365" t="e">
        <f>KH.!AG34</f>
        <v>#N/A</v>
      </c>
      <c r="AA29" s="365" t="e">
        <f>KH.!AH34</f>
        <v>#N/A</v>
      </c>
      <c r="AB29" s="365" t="e">
        <f>KH.!AI34</f>
        <v>#N/A</v>
      </c>
      <c r="AC29" s="365">
        <f>KH.!AJ34</f>
        <v>0</v>
      </c>
      <c r="AD29" s="1">
        <f>KH.!BM34</f>
        <v>0</v>
      </c>
    </row>
    <row r="30" spans="1:30" s="2" customFormat="1" ht="17.25" customHeight="1" x14ac:dyDescent="0.3">
      <c r="A30" s="7" t="s">
        <v>8</v>
      </c>
      <c r="B30" s="8">
        <v>1</v>
      </c>
      <c r="C30" s="8">
        <v>2</v>
      </c>
      <c r="D30" s="8" t="s">
        <v>33</v>
      </c>
      <c r="E30" s="8">
        <v>3</v>
      </c>
      <c r="F30" s="8" t="s">
        <v>10</v>
      </c>
      <c r="G30" s="7" t="s">
        <v>9</v>
      </c>
      <c r="I30" s="363">
        <v>28</v>
      </c>
      <c r="J30" s="365" t="e">
        <f>KH.!Q35</f>
        <v>#N/A</v>
      </c>
      <c r="K30" s="365" t="e">
        <f>KH.!R35</f>
        <v>#N/A</v>
      </c>
      <c r="L30" s="365" t="e">
        <f>KH.!S35</f>
        <v>#N/A</v>
      </c>
      <c r="M30" s="365" t="e">
        <f>KH.!T35</f>
        <v>#N/A</v>
      </c>
      <c r="N30" s="365" t="e">
        <f>KH.!U35</f>
        <v>#N/A</v>
      </c>
      <c r="O30" s="365">
        <f>KH.!V35</f>
        <v>0</v>
      </c>
      <c r="P30" s="365" t="e">
        <f>KH.!W35</f>
        <v>#N/A</v>
      </c>
      <c r="Q30" s="365" t="e">
        <f>KH.!X35</f>
        <v>#N/A</v>
      </c>
      <c r="R30" s="365" t="e">
        <f>KH.!Y35</f>
        <v>#N/A</v>
      </c>
      <c r="S30" s="365">
        <f>KH.!Z35</f>
        <v>0</v>
      </c>
      <c r="T30" s="365" t="e">
        <f>KH.!AA35</f>
        <v>#N/A</v>
      </c>
      <c r="U30" s="365" t="e">
        <f>KH.!AB35</f>
        <v>#N/A</v>
      </c>
      <c r="V30" s="365">
        <f>KH.!AC35</f>
        <v>0</v>
      </c>
      <c r="W30" s="365" t="e">
        <f>KH.!AD35</f>
        <v>#N/A</v>
      </c>
      <c r="X30" s="365" t="e">
        <f>KH.!AE35</f>
        <v>#N/A</v>
      </c>
      <c r="Y30" s="365" t="e">
        <f>KH.!AF35</f>
        <v>#N/A</v>
      </c>
      <c r="Z30" s="365" t="e">
        <f>KH.!AG35</f>
        <v>#N/A</v>
      </c>
      <c r="AA30" s="365" t="e">
        <f>KH.!AH35</f>
        <v>#N/A</v>
      </c>
      <c r="AB30" s="365" t="e">
        <f>KH.!AI35</f>
        <v>#N/A</v>
      </c>
      <c r="AC30" s="365">
        <f>KH.!AJ35</f>
        <v>0</v>
      </c>
      <c r="AD30" s="1">
        <f>KH.!BM35</f>
        <v>0</v>
      </c>
    </row>
    <row r="31" spans="1:30" ht="17.25" customHeight="1" x14ac:dyDescent="0.3">
      <c r="A31" s="5" t="str">
        <f>+A7</f>
        <v>1. Tiền cước vận chuyển</v>
      </c>
      <c r="B31" s="21">
        <f t="shared" ref="B31:E33" si="0">B7</f>
        <v>123.846</v>
      </c>
      <c r="C31" s="6">
        <f t="shared" si="0"/>
        <v>95</v>
      </c>
      <c r="D31" s="32">
        <f>+C31*B31/100</f>
        <v>117.65370000000001</v>
      </c>
      <c r="E31" s="22">
        <f t="shared" si="0"/>
        <v>450000</v>
      </c>
      <c r="F31" s="23">
        <f>B31*C31%*E31</f>
        <v>52944165</v>
      </c>
      <c r="G31" s="5"/>
      <c r="I31" s="363">
        <v>29</v>
      </c>
      <c r="J31" s="365" t="e">
        <f>KH.!Q36</f>
        <v>#N/A</v>
      </c>
      <c r="K31" s="365" t="e">
        <f>KH.!R36</f>
        <v>#N/A</v>
      </c>
      <c r="L31" s="365" t="e">
        <f>KH.!S36</f>
        <v>#N/A</v>
      </c>
      <c r="M31" s="365" t="e">
        <f>KH.!T36</f>
        <v>#N/A</v>
      </c>
      <c r="N31" s="365" t="e">
        <f>KH.!U36</f>
        <v>#N/A</v>
      </c>
      <c r="O31" s="365">
        <f>KH.!V36</f>
        <v>0</v>
      </c>
      <c r="P31" s="365" t="e">
        <f>KH.!W36</f>
        <v>#N/A</v>
      </c>
      <c r="Q31" s="365" t="e">
        <f>KH.!X36</f>
        <v>#N/A</v>
      </c>
      <c r="R31" s="365" t="e">
        <f>KH.!Y36</f>
        <v>#N/A</v>
      </c>
      <c r="S31" s="365">
        <f>KH.!Z36</f>
        <v>0</v>
      </c>
      <c r="T31" s="365" t="e">
        <f>KH.!AA36</f>
        <v>#N/A</v>
      </c>
      <c r="U31" s="365" t="e">
        <f>KH.!AB36</f>
        <v>#N/A</v>
      </c>
      <c r="V31" s="365">
        <f>KH.!AC36</f>
        <v>0</v>
      </c>
      <c r="W31" s="365" t="e">
        <f>KH.!AD36</f>
        <v>#N/A</v>
      </c>
      <c r="X31" s="365" t="e">
        <f>KH.!AE36</f>
        <v>#N/A</v>
      </c>
      <c r="Y31" s="365" t="e">
        <f>KH.!AF36</f>
        <v>#N/A</v>
      </c>
      <c r="Z31" s="365" t="e">
        <f>KH.!AG36</f>
        <v>#N/A</v>
      </c>
      <c r="AA31" s="365" t="e">
        <f>KH.!AH36</f>
        <v>#N/A</v>
      </c>
      <c r="AB31" s="365" t="e">
        <f>KH.!AI36</f>
        <v>#N/A</v>
      </c>
      <c r="AC31" s="365">
        <f>KH.!AJ36</f>
        <v>0</v>
      </c>
      <c r="AD31" s="1">
        <f>KH.!BM36</f>
        <v>0</v>
      </c>
    </row>
    <row r="32" spans="1:30" ht="17.25" customHeight="1" x14ac:dyDescent="0.3">
      <c r="A32" s="4" t="str">
        <f>+A8</f>
        <v>2.</v>
      </c>
      <c r="B32" s="4">
        <f t="shared" si="0"/>
        <v>0</v>
      </c>
      <c r="C32" s="6">
        <f t="shared" si="0"/>
        <v>0</v>
      </c>
      <c r="D32" s="6">
        <f>D8</f>
        <v>0</v>
      </c>
      <c r="E32" s="24">
        <f>+E8</f>
        <v>0</v>
      </c>
      <c r="F32" s="23">
        <f>+F8</f>
        <v>0</v>
      </c>
      <c r="G32" s="4"/>
      <c r="I32" s="363">
        <v>30</v>
      </c>
      <c r="J32" s="365" t="e">
        <f>KH.!Q37</f>
        <v>#N/A</v>
      </c>
      <c r="K32" s="365" t="e">
        <f>KH.!R37</f>
        <v>#N/A</v>
      </c>
      <c r="L32" s="365" t="e">
        <f>KH.!S37</f>
        <v>#N/A</v>
      </c>
      <c r="M32" s="365" t="e">
        <f>KH.!T37</f>
        <v>#N/A</v>
      </c>
      <c r="N32" s="365" t="e">
        <f>KH.!U37</f>
        <v>#N/A</v>
      </c>
      <c r="O32" s="365">
        <f>KH.!V37</f>
        <v>0</v>
      </c>
      <c r="P32" s="365" t="e">
        <f>KH.!W37</f>
        <v>#N/A</v>
      </c>
      <c r="Q32" s="365" t="e">
        <f>KH.!X37</f>
        <v>#N/A</v>
      </c>
      <c r="R32" s="365" t="e">
        <f>KH.!Y37</f>
        <v>#N/A</v>
      </c>
      <c r="S32" s="365">
        <f>KH.!Z37</f>
        <v>0</v>
      </c>
      <c r="T32" s="365" t="e">
        <f>KH.!AA37</f>
        <v>#N/A</v>
      </c>
      <c r="U32" s="365" t="e">
        <f>KH.!AB37</f>
        <v>#N/A</v>
      </c>
      <c r="V32" s="365">
        <f>KH.!AC37</f>
        <v>0</v>
      </c>
      <c r="W32" s="365" t="e">
        <f>KH.!AD37</f>
        <v>#N/A</v>
      </c>
      <c r="X32" s="365" t="e">
        <f>KH.!AE37</f>
        <v>#N/A</v>
      </c>
      <c r="Y32" s="365" t="e">
        <f>KH.!AF37</f>
        <v>#N/A</v>
      </c>
      <c r="Z32" s="365" t="e">
        <f>KH.!AG37</f>
        <v>#N/A</v>
      </c>
      <c r="AA32" s="365" t="e">
        <f>KH.!AH37</f>
        <v>#N/A</v>
      </c>
      <c r="AB32" s="365" t="e">
        <f>KH.!AI37</f>
        <v>#N/A</v>
      </c>
      <c r="AC32" s="365">
        <f>KH.!AJ37</f>
        <v>0</v>
      </c>
      <c r="AD32" s="1">
        <f>KH.!BM37</f>
        <v>0</v>
      </c>
    </row>
    <row r="33" spans="1:30" ht="17.25" customHeight="1" x14ac:dyDescent="0.3">
      <c r="A33" s="9" t="str">
        <f>+A9</f>
        <v xml:space="preserve">3. </v>
      </c>
      <c r="B33" s="9">
        <f t="shared" si="0"/>
        <v>0</v>
      </c>
      <c r="C33" s="10">
        <f t="shared" si="0"/>
        <v>0</v>
      </c>
      <c r="D33" s="10"/>
      <c r="E33" s="25">
        <f t="shared" si="0"/>
        <v>0</v>
      </c>
      <c r="F33" s="23">
        <f>B33*C33%*E33</f>
        <v>0</v>
      </c>
      <c r="G33" s="9"/>
      <c r="I33" s="363">
        <v>31</v>
      </c>
      <c r="J33" s="365" t="e">
        <f>KH.!Q38</f>
        <v>#N/A</v>
      </c>
      <c r="K33" s="365" t="e">
        <f>KH.!R38</f>
        <v>#N/A</v>
      </c>
      <c r="L33" s="365" t="e">
        <f>KH.!S38</f>
        <v>#N/A</v>
      </c>
      <c r="M33" s="365" t="e">
        <f>KH.!T38</f>
        <v>#N/A</v>
      </c>
      <c r="N33" s="365" t="e">
        <f>KH.!U38</f>
        <v>#N/A</v>
      </c>
      <c r="O33" s="365">
        <f>KH.!V38</f>
        <v>0</v>
      </c>
      <c r="P33" s="365" t="e">
        <f>KH.!W38</f>
        <v>#N/A</v>
      </c>
      <c r="Q33" s="365" t="e">
        <f>KH.!X38</f>
        <v>#N/A</v>
      </c>
      <c r="R33" s="365" t="e">
        <f>KH.!Y38</f>
        <v>#N/A</v>
      </c>
      <c r="S33" s="365">
        <f>KH.!Z38</f>
        <v>0</v>
      </c>
      <c r="T33" s="365" t="e">
        <f>KH.!AA38</f>
        <v>#N/A</v>
      </c>
      <c r="U33" s="365" t="e">
        <f>KH.!AB38</f>
        <v>#N/A</v>
      </c>
      <c r="V33" s="365">
        <f>KH.!AC38</f>
        <v>0</v>
      </c>
      <c r="W33" s="365" t="e">
        <f>KH.!AD38</f>
        <v>#N/A</v>
      </c>
      <c r="X33" s="365" t="e">
        <f>KH.!AE38</f>
        <v>#N/A</v>
      </c>
      <c r="Y33" s="365" t="e">
        <f>KH.!AF38</f>
        <v>#N/A</v>
      </c>
      <c r="Z33" s="365" t="e">
        <f>KH.!AG38</f>
        <v>#N/A</v>
      </c>
      <c r="AA33" s="365" t="e">
        <f>KH.!AH38</f>
        <v>#N/A</v>
      </c>
      <c r="AB33" s="365" t="e">
        <f>KH.!AI38</f>
        <v>#N/A</v>
      </c>
      <c r="AC33" s="365">
        <f>KH.!AJ38</f>
        <v>0</v>
      </c>
      <c r="AD33" s="1">
        <f>KH.!BM38</f>
        <v>0</v>
      </c>
    </row>
    <row r="34" spans="1:30" s="3" customFormat="1" ht="17.25" customHeight="1" x14ac:dyDescent="0.3">
      <c r="A34" s="11" t="s">
        <v>12</v>
      </c>
      <c r="B34" s="12" t="s">
        <v>13</v>
      </c>
      <c r="C34" s="12" t="s">
        <v>13</v>
      </c>
      <c r="D34" s="26" t="s">
        <v>13</v>
      </c>
      <c r="E34" s="26" t="s">
        <v>13</v>
      </c>
      <c r="F34" s="27">
        <f>ROUND((SUM(F31:F33))/10000,0)*10000</f>
        <v>52940000</v>
      </c>
      <c r="G34" s="12" t="s">
        <v>13</v>
      </c>
      <c r="I34" s="363">
        <v>32</v>
      </c>
      <c r="J34" s="365" t="e">
        <f>KH.!Q39</f>
        <v>#N/A</v>
      </c>
      <c r="K34" s="365" t="e">
        <f>KH.!R39</f>
        <v>#N/A</v>
      </c>
      <c r="L34" s="365" t="e">
        <f>KH.!S39</f>
        <v>#N/A</v>
      </c>
      <c r="M34" s="365" t="e">
        <f>KH.!T39</f>
        <v>#N/A</v>
      </c>
      <c r="N34" s="365" t="e">
        <f>KH.!U39</f>
        <v>#N/A</v>
      </c>
      <c r="O34" s="365">
        <f>KH.!V39</f>
        <v>0</v>
      </c>
      <c r="P34" s="365" t="e">
        <f>KH.!W39</f>
        <v>#N/A</v>
      </c>
      <c r="Q34" s="365" t="e">
        <f>KH.!X39</f>
        <v>#N/A</v>
      </c>
      <c r="R34" s="365" t="e">
        <f>KH.!Y39</f>
        <v>#N/A</v>
      </c>
      <c r="S34" s="365">
        <f>KH.!Z39</f>
        <v>0</v>
      </c>
      <c r="T34" s="365" t="e">
        <f>KH.!AA39</f>
        <v>#N/A</v>
      </c>
      <c r="U34" s="365" t="e">
        <f>KH.!AB39</f>
        <v>#N/A</v>
      </c>
      <c r="V34" s="365">
        <f>KH.!AC39</f>
        <v>0</v>
      </c>
      <c r="W34" s="365" t="e">
        <f>KH.!AD39</f>
        <v>#N/A</v>
      </c>
      <c r="X34" s="365" t="e">
        <f>KH.!AE39</f>
        <v>#N/A</v>
      </c>
      <c r="Y34" s="365" t="e">
        <f>KH.!AF39</f>
        <v>#N/A</v>
      </c>
      <c r="Z34" s="365" t="e">
        <f>KH.!AG39</f>
        <v>#N/A</v>
      </c>
      <c r="AA34" s="365" t="e">
        <f>KH.!AH39</f>
        <v>#N/A</v>
      </c>
      <c r="AB34" s="365" t="e">
        <f>KH.!AI39</f>
        <v>#N/A</v>
      </c>
      <c r="AC34" s="365">
        <f>KH.!AJ39</f>
        <v>0</v>
      </c>
      <c r="AD34" s="1">
        <f>KH.!BM39</f>
        <v>0</v>
      </c>
    </row>
    <row r="35" spans="1:30" s="3" customFormat="1" ht="17.25" customHeight="1" x14ac:dyDescent="0.3">
      <c r="A35" s="11" t="s">
        <v>11</v>
      </c>
      <c r="B35" s="12" t="s">
        <v>13</v>
      </c>
      <c r="C35" s="12" t="s">
        <v>13</v>
      </c>
      <c r="D35" s="26" t="s">
        <v>13</v>
      </c>
      <c r="E35" s="26" t="s">
        <v>13</v>
      </c>
      <c r="F35" s="27">
        <v>0</v>
      </c>
      <c r="G35" s="12" t="s">
        <v>13</v>
      </c>
      <c r="I35" s="363">
        <v>33</v>
      </c>
      <c r="J35" s="365" t="e">
        <f>KH.!Q40</f>
        <v>#N/A</v>
      </c>
      <c r="K35" s="365" t="e">
        <f>KH.!R40</f>
        <v>#N/A</v>
      </c>
      <c r="L35" s="365" t="e">
        <f>KH.!S40</f>
        <v>#N/A</v>
      </c>
      <c r="M35" s="365" t="e">
        <f>KH.!T40</f>
        <v>#N/A</v>
      </c>
      <c r="N35" s="365" t="e">
        <f>KH.!U40</f>
        <v>#N/A</v>
      </c>
      <c r="O35" s="365">
        <f>KH.!V40</f>
        <v>0</v>
      </c>
      <c r="P35" s="365" t="e">
        <f>KH.!W40</f>
        <v>#N/A</v>
      </c>
      <c r="Q35" s="365" t="e">
        <f>KH.!X40</f>
        <v>#N/A</v>
      </c>
      <c r="R35" s="365" t="e">
        <f>KH.!Y40</f>
        <v>#N/A</v>
      </c>
      <c r="S35" s="365">
        <f>KH.!Z40</f>
        <v>0</v>
      </c>
      <c r="T35" s="365" t="e">
        <f>KH.!AA40</f>
        <v>#N/A</v>
      </c>
      <c r="U35" s="365" t="e">
        <f>KH.!AB40</f>
        <v>#N/A</v>
      </c>
      <c r="V35" s="365">
        <f>KH.!AC40</f>
        <v>0</v>
      </c>
      <c r="W35" s="365" t="e">
        <f>KH.!AD40</f>
        <v>#N/A</v>
      </c>
      <c r="X35" s="365" t="e">
        <f>KH.!AE40</f>
        <v>#N/A</v>
      </c>
      <c r="Y35" s="365" t="e">
        <f>KH.!AF40</f>
        <v>#N/A</v>
      </c>
      <c r="Z35" s="365" t="e">
        <f>KH.!AG40</f>
        <v>#N/A</v>
      </c>
      <c r="AA35" s="365" t="e">
        <f>KH.!AH40</f>
        <v>#N/A</v>
      </c>
      <c r="AB35" s="365" t="e">
        <f>KH.!AI40</f>
        <v>#N/A</v>
      </c>
      <c r="AC35" s="365">
        <f>KH.!AJ40</f>
        <v>0</v>
      </c>
      <c r="AD35" s="1">
        <f>KH.!BM40</f>
        <v>0</v>
      </c>
    </row>
    <row r="36" spans="1:30" s="3" customFormat="1" ht="17.25" customHeight="1" x14ac:dyDescent="0.3">
      <c r="A36" s="11" t="s">
        <v>16</v>
      </c>
      <c r="B36" s="12" t="s">
        <v>13</v>
      </c>
      <c r="C36" s="12" t="s">
        <v>13</v>
      </c>
      <c r="D36" s="26" t="s">
        <v>13</v>
      </c>
      <c r="E36" s="26" t="s">
        <v>13</v>
      </c>
      <c r="F36" s="27">
        <f>+F11</f>
        <v>52900000</v>
      </c>
      <c r="G36" s="12" t="s">
        <v>13</v>
      </c>
      <c r="I36" s="363">
        <v>34</v>
      </c>
      <c r="J36" s="365" t="e">
        <f>KH.!Q41</f>
        <v>#N/A</v>
      </c>
      <c r="K36" s="365" t="e">
        <f>KH.!R41</f>
        <v>#N/A</v>
      </c>
      <c r="L36" s="365" t="e">
        <f>KH.!S41</f>
        <v>#N/A</v>
      </c>
      <c r="M36" s="365" t="e">
        <f>KH.!T41</f>
        <v>#N/A</v>
      </c>
      <c r="N36" s="365" t="e">
        <f>KH.!U41</f>
        <v>#N/A</v>
      </c>
      <c r="O36" s="365">
        <f>KH.!V41</f>
        <v>0</v>
      </c>
      <c r="P36" s="365" t="e">
        <f>KH.!W41</f>
        <v>#N/A</v>
      </c>
      <c r="Q36" s="365" t="e">
        <f>KH.!X41</f>
        <v>#N/A</v>
      </c>
      <c r="R36" s="365" t="e">
        <f>KH.!Y41</f>
        <v>#N/A</v>
      </c>
      <c r="S36" s="365">
        <f>KH.!Z41</f>
        <v>0</v>
      </c>
      <c r="T36" s="365" t="e">
        <f>KH.!AA41</f>
        <v>#N/A</v>
      </c>
      <c r="U36" s="365" t="e">
        <f>KH.!AB41</f>
        <v>#N/A</v>
      </c>
      <c r="V36" s="365">
        <f>KH.!AC41</f>
        <v>0</v>
      </c>
      <c r="W36" s="365" t="e">
        <f>KH.!AD41</f>
        <v>#N/A</v>
      </c>
      <c r="X36" s="365" t="e">
        <f>KH.!AE41</f>
        <v>#N/A</v>
      </c>
      <c r="Y36" s="365" t="e">
        <f>KH.!AF41</f>
        <v>#N/A</v>
      </c>
      <c r="Z36" s="365" t="e">
        <f>KH.!AG41</f>
        <v>#N/A</v>
      </c>
      <c r="AA36" s="365" t="e">
        <f>KH.!AH41</f>
        <v>#N/A</v>
      </c>
      <c r="AB36" s="365" t="e">
        <f>KH.!AI41</f>
        <v>#N/A</v>
      </c>
      <c r="AC36" s="365">
        <f>KH.!AJ41</f>
        <v>0</v>
      </c>
      <c r="AD36" s="1">
        <f>KH.!BM41</f>
        <v>0</v>
      </c>
    </row>
    <row r="37" spans="1:30" ht="17.25" customHeight="1" x14ac:dyDescent="0.3">
      <c r="A37" s="28" t="s">
        <v>26</v>
      </c>
      <c r="B37" s="424" t="str">
        <f>B12</f>
        <v>Năm mươi hai triệu chín trăm ngàn đồng chẵn./.</v>
      </c>
      <c r="C37" s="424"/>
      <c r="D37" s="424"/>
      <c r="E37" s="424"/>
      <c r="F37" s="424"/>
      <c r="G37" s="424"/>
      <c r="I37" s="363">
        <v>35</v>
      </c>
      <c r="J37" s="365" t="e">
        <f>KH.!Q42</f>
        <v>#N/A</v>
      </c>
      <c r="K37" s="365" t="e">
        <f>KH.!R42</f>
        <v>#N/A</v>
      </c>
      <c r="L37" s="365" t="e">
        <f>KH.!S42</f>
        <v>#N/A</v>
      </c>
      <c r="M37" s="365" t="e">
        <f>KH.!T42</f>
        <v>#N/A</v>
      </c>
      <c r="N37" s="365" t="e">
        <f>KH.!U42</f>
        <v>#N/A</v>
      </c>
      <c r="O37" s="365">
        <f>KH.!V42</f>
        <v>0</v>
      </c>
      <c r="P37" s="365" t="e">
        <f>KH.!W42</f>
        <v>#N/A</v>
      </c>
      <c r="Q37" s="365" t="e">
        <f>KH.!X42</f>
        <v>#N/A</v>
      </c>
      <c r="R37" s="365" t="e">
        <f>KH.!Y42</f>
        <v>#N/A</v>
      </c>
      <c r="S37" s="365">
        <f>KH.!Z42</f>
        <v>0</v>
      </c>
      <c r="T37" s="365" t="e">
        <f>KH.!AA42</f>
        <v>#N/A</v>
      </c>
      <c r="U37" s="365" t="e">
        <f>KH.!AB42</f>
        <v>#N/A</v>
      </c>
      <c r="V37" s="365">
        <f>KH.!AC42</f>
        <v>0</v>
      </c>
      <c r="W37" s="365" t="e">
        <f>KH.!AD42</f>
        <v>#N/A</v>
      </c>
      <c r="X37" s="365" t="e">
        <f>KH.!AE42</f>
        <v>#N/A</v>
      </c>
      <c r="Y37" s="365" t="e">
        <f>KH.!AF42</f>
        <v>#N/A</v>
      </c>
      <c r="Z37" s="365" t="e">
        <f>KH.!AG42</f>
        <v>#N/A</v>
      </c>
      <c r="AA37" s="365" t="e">
        <f>KH.!AH42</f>
        <v>#N/A</v>
      </c>
      <c r="AB37" s="365" t="e">
        <f>KH.!AI42</f>
        <v>#N/A</v>
      </c>
      <c r="AC37" s="365">
        <f>KH.!AJ42</f>
        <v>0</v>
      </c>
      <c r="AD37" s="1">
        <f>KH.!BM42</f>
        <v>0</v>
      </c>
    </row>
    <row r="38" spans="1:30" ht="17.25" customHeight="1" x14ac:dyDescent="0.3">
      <c r="A38" s="425" t="s">
        <v>27</v>
      </c>
      <c r="B38" s="425"/>
      <c r="C38" s="425"/>
      <c r="D38" s="425"/>
      <c r="E38" s="425"/>
      <c r="F38" s="425"/>
      <c r="G38" s="425"/>
      <c r="I38" s="363">
        <v>36</v>
      </c>
      <c r="J38" s="365" t="e">
        <f>KH.!Q43</f>
        <v>#N/A</v>
      </c>
      <c r="K38" s="365" t="e">
        <f>KH.!R43</f>
        <v>#N/A</v>
      </c>
      <c r="L38" s="365" t="e">
        <f>KH.!S43</f>
        <v>#N/A</v>
      </c>
      <c r="M38" s="365" t="e">
        <f>KH.!T43</f>
        <v>#N/A</v>
      </c>
      <c r="N38" s="365" t="e">
        <f>KH.!U43</f>
        <v>#N/A</v>
      </c>
      <c r="O38" s="365">
        <f>KH.!V43</f>
        <v>0</v>
      </c>
      <c r="P38" s="365" t="e">
        <f>KH.!W43</f>
        <v>#N/A</v>
      </c>
      <c r="Q38" s="365" t="e">
        <f>KH.!X43</f>
        <v>#N/A</v>
      </c>
      <c r="R38" s="365" t="e">
        <f>KH.!Y43</f>
        <v>#N/A</v>
      </c>
      <c r="S38" s="365">
        <f>KH.!Z43</f>
        <v>0</v>
      </c>
      <c r="T38" s="365" t="e">
        <f>KH.!AA43</f>
        <v>#N/A</v>
      </c>
      <c r="U38" s="365" t="e">
        <f>KH.!AB43</f>
        <v>#N/A</v>
      </c>
      <c r="V38" s="365">
        <f>KH.!AC43</f>
        <v>0</v>
      </c>
      <c r="W38" s="365" t="e">
        <f>KH.!AD43</f>
        <v>#N/A</v>
      </c>
      <c r="X38" s="365" t="e">
        <f>KH.!AE43</f>
        <v>#N/A</v>
      </c>
      <c r="Y38" s="365" t="e">
        <f>KH.!AF43</f>
        <v>#N/A</v>
      </c>
      <c r="Z38" s="365" t="e">
        <f>KH.!AG43</f>
        <v>#N/A</v>
      </c>
      <c r="AA38" s="365" t="e">
        <f>KH.!AH43</f>
        <v>#N/A</v>
      </c>
      <c r="AB38" s="365" t="e">
        <f>KH.!AI43</f>
        <v>#N/A</v>
      </c>
      <c r="AC38" s="365">
        <f>KH.!AJ43</f>
        <v>0</v>
      </c>
      <c r="AD38" s="1">
        <f>KH.!BM43</f>
        <v>0</v>
      </c>
    </row>
    <row r="39" spans="1:30" s="13" customFormat="1" ht="17.25" customHeight="1" x14ac:dyDescent="0.3">
      <c r="A39" s="111" t="s">
        <v>15</v>
      </c>
      <c r="B39" s="426" t="s">
        <v>18</v>
      </c>
      <c r="C39" s="426"/>
      <c r="D39" s="427" t="s">
        <v>29</v>
      </c>
      <c r="E39" s="427"/>
      <c r="F39" s="427" t="s">
        <v>14</v>
      </c>
      <c r="G39" s="427"/>
      <c r="I39" s="363">
        <v>37</v>
      </c>
      <c r="J39" s="365" t="e">
        <f>KH.!Q44</f>
        <v>#N/A</v>
      </c>
      <c r="K39" s="365" t="e">
        <f>KH.!R44</f>
        <v>#N/A</v>
      </c>
      <c r="L39" s="365" t="e">
        <f>KH.!S44</f>
        <v>#N/A</v>
      </c>
      <c r="M39" s="365" t="e">
        <f>KH.!T44</f>
        <v>#N/A</v>
      </c>
      <c r="N39" s="365" t="e">
        <f>KH.!U44</f>
        <v>#N/A</v>
      </c>
      <c r="O39" s="365">
        <f>KH.!V44</f>
        <v>0</v>
      </c>
      <c r="P39" s="365" t="e">
        <f>KH.!W44</f>
        <v>#N/A</v>
      </c>
      <c r="Q39" s="365" t="e">
        <f>KH.!X44</f>
        <v>#N/A</v>
      </c>
      <c r="R39" s="365" t="e">
        <f>KH.!Y44</f>
        <v>#N/A</v>
      </c>
      <c r="S39" s="365">
        <f>KH.!Z44</f>
        <v>0</v>
      </c>
      <c r="T39" s="365" t="e">
        <f>KH.!AA44</f>
        <v>#N/A</v>
      </c>
      <c r="U39" s="365" t="e">
        <f>KH.!AB44</f>
        <v>#N/A</v>
      </c>
      <c r="V39" s="365">
        <f>KH.!AC44</f>
        <v>0</v>
      </c>
      <c r="W39" s="365" t="e">
        <f>KH.!AD44</f>
        <v>#N/A</v>
      </c>
      <c r="X39" s="365" t="e">
        <f>KH.!AE44</f>
        <v>#N/A</v>
      </c>
      <c r="Y39" s="365" t="e">
        <f>KH.!AF44</f>
        <v>#N/A</v>
      </c>
      <c r="Z39" s="365" t="e">
        <f>KH.!AG44</f>
        <v>#N/A</v>
      </c>
      <c r="AA39" s="365" t="e">
        <f>KH.!AH44</f>
        <v>#N/A</v>
      </c>
      <c r="AB39" s="365" t="e">
        <f>KH.!AI44</f>
        <v>#N/A</v>
      </c>
      <c r="AC39" s="365">
        <f>KH.!AJ44</f>
        <v>0</v>
      </c>
      <c r="AD39" s="1">
        <f>KH.!BM44</f>
        <v>0</v>
      </c>
    </row>
    <row r="40" spans="1:30" ht="17.25" customHeight="1" x14ac:dyDescent="0.3">
      <c r="I40" s="363">
        <v>38</v>
      </c>
      <c r="J40" s="365" t="e">
        <f>KH.!Q45</f>
        <v>#N/A</v>
      </c>
      <c r="K40" s="365" t="e">
        <f>KH.!R45</f>
        <v>#N/A</v>
      </c>
      <c r="L40" s="365" t="e">
        <f>KH.!S45</f>
        <v>#N/A</v>
      </c>
      <c r="M40" s="365" t="e">
        <f>KH.!T45</f>
        <v>#N/A</v>
      </c>
      <c r="N40" s="365" t="e">
        <f>KH.!U45</f>
        <v>#N/A</v>
      </c>
      <c r="O40" s="365">
        <f>KH.!V45</f>
        <v>0</v>
      </c>
      <c r="P40" s="365" t="e">
        <f>KH.!W45</f>
        <v>#N/A</v>
      </c>
      <c r="Q40" s="365" t="e">
        <f>KH.!X45</f>
        <v>#N/A</v>
      </c>
      <c r="R40" s="365" t="e">
        <f>KH.!Y45</f>
        <v>#N/A</v>
      </c>
      <c r="S40" s="365">
        <f>KH.!Z45</f>
        <v>0</v>
      </c>
      <c r="T40" s="365" t="e">
        <f>KH.!AA45</f>
        <v>#N/A</v>
      </c>
      <c r="U40" s="365" t="e">
        <f>KH.!AB45</f>
        <v>#N/A</v>
      </c>
      <c r="V40" s="365">
        <f>KH.!AC45</f>
        <v>0</v>
      </c>
      <c r="W40" s="365" t="e">
        <f>KH.!AD45</f>
        <v>#N/A</v>
      </c>
      <c r="X40" s="365" t="e">
        <f>KH.!AE45</f>
        <v>#N/A</v>
      </c>
      <c r="Y40" s="365" t="e">
        <f>KH.!AF45</f>
        <v>#N/A</v>
      </c>
      <c r="Z40" s="365" t="e">
        <f>KH.!AG45</f>
        <v>#N/A</v>
      </c>
      <c r="AA40" s="365" t="e">
        <f>KH.!AH45</f>
        <v>#N/A</v>
      </c>
      <c r="AB40" s="365" t="e">
        <f>KH.!AI45</f>
        <v>#N/A</v>
      </c>
      <c r="AC40" s="365">
        <f>KH.!AJ45</f>
        <v>0</v>
      </c>
      <c r="AD40" s="1">
        <f>KH.!BM45</f>
        <v>0</v>
      </c>
    </row>
    <row r="41" spans="1:30" ht="17.25" customHeight="1" x14ac:dyDescent="0.3">
      <c r="I41" s="363">
        <v>39</v>
      </c>
      <c r="J41" s="365" t="e">
        <f>KH.!Q46</f>
        <v>#N/A</v>
      </c>
      <c r="K41" s="365" t="e">
        <f>KH.!R46</f>
        <v>#N/A</v>
      </c>
      <c r="L41" s="365" t="e">
        <f>KH.!S46</f>
        <v>#N/A</v>
      </c>
      <c r="M41" s="365" t="e">
        <f>KH.!T46</f>
        <v>#N/A</v>
      </c>
      <c r="N41" s="365" t="e">
        <f>KH.!U46</f>
        <v>#N/A</v>
      </c>
      <c r="O41" s="365">
        <f>KH.!V46</f>
        <v>0</v>
      </c>
      <c r="P41" s="365" t="e">
        <f>KH.!W46</f>
        <v>#N/A</v>
      </c>
      <c r="Q41" s="365" t="e">
        <f>KH.!X46</f>
        <v>#N/A</v>
      </c>
      <c r="R41" s="365" t="e">
        <f>KH.!Y46</f>
        <v>#N/A</v>
      </c>
      <c r="S41" s="365">
        <f>KH.!Z46</f>
        <v>0</v>
      </c>
      <c r="T41" s="365" t="e">
        <f>KH.!AA46</f>
        <v>#N/A</v>
      </c>
      <c r="U41" s="365" t="e">
        <f>KH.!AB46</f>
        <v>#N/A</v>
      </c>
      <c r="V41" s="365">
        <f>KH.!AC46</f>
        <v>0</v>
      </c>
      <c r="W41" s="365" t="e">
        <f>KH.!AD46</f>
        <v>#N/A</v>
      </c>
      <c r="X41" s="365" t="e">
        <f>KH.!AE46</f>
        <v>#N/A</v>
      </c>
      <c r="Y41" s="365" t="e">
        <f>KH.!AF46</f>
        <v>#N/A</v>
      </c>
      <c r="Z41" s="365" t="e">
        <f>KH.!AG46</f>
        <v>#N/A</v>
      </c>
      <c r="AA41" s="365" t="e">
        <f>KH.!AH46</f>
        <v>#N/A</v>
      </c>
      <c r="AB41" s="365" t="e">
        <f>KH.!AI46</f>
        <v>#N/A</v>
      </c>
      <c r="AC41" s="365">
        <f>KH.!AJ46</f>
        <v>0</v>
      </c>
      <c r="AD41" s="1">
        <f>KH.!BM46</f>
        <v>0</v>
      </c>
    </row>
    <row r="42" spans="1:30" ht="17.25" customHeight="1" x14ac:dyDescent="0.3">
      <c r="I42" s="363">
        <v>40</v>
      </c>
      <c r="J42" s="365" t="e">
        <f>KH.!Q47</f>
        <v>#N/A</v>
      </c>
      <c r="K42" s="365" t="e">
        <f>KH.!R47</f>
        <v>#N/A</v>
      </c>
      <c r="L42" s="365" t="e">
        <f>KH.!S47</f>
        <v>#N/A</v>
      </c>
      <c r="M42" s="365" t="e">
        <f>KH.!T47</f>
        <v>#N/A</v>
      </c>
      <c r="N42" s="365" t="e">
        <f>KH.!U47</f>
        <v>#N/A</v>
      </c>
      <c r="O42" s="365">
        <f>KH.!V47</f>
        <v>0</v>
      </c>
      <c r="P42" s="365" t="e">
        <f>KH.!W47</f>
        <v>#N/A</v>
      </c>
      <c r="Q42" s="365" t="e">
        <f>KH.!X47</f>
        <v>#N/A</v>
      </c>
      <c r="R42" s="365" t="e">
        <f>KH.!Y47</f>
        <v>#N/A</v>
      </c>
      <c r="S42" s="365">
        <f>KH.!Z47</f>
        <v>0</v>
      </c>
      <c r="T42" s="365" t="e">
        <f>KH.!AA47</f>
        <v>#N/A</v>
      </c>
      <c r="U42" s="365" t="e">
        <f>KH.!AB47</f>
        <v>#N/A</v>
      </c>
      <c r="V42" s="365">
        <f>KH.!AC47</f>
        <v>0</v>
      </c>
      <c r="W42" s="365" t="e">
        <f>KH.!AD47</f>
        <v>#N/A</v>
      </c>
      <c r="X42" s="365" t="e">
        <f>KH.!AE47</f>
        <v>#N/A</v>
      </c>
      <c r="Y42" s="365" t="e">
        <f>KH.!AF47</f>
        <v>#N/A</v>
      </c>
      <c r="Z42" s="365" t="e">
        <f>KH.!AG47</f>
        <v>#N/A</v>
      </c>
      <c r="AA42" s="365" t="e">
        <f>KH.!AH47</f>
        <v>#N/A</v>
      </c>
      <c r="AB42" s="365" t="e">
        <f>KH.!AI47</f>
        <v>#N/A</v>
      </c>
      <c r="AC42" s="365">
        <f>KH.!AJ47</f>
        <v>0</v>
      </c>
      <c r="AD42" s="1">
        <f>KH.!BM47</f>
        <v>0</v>
      </c>
    </row>
    <row r="43" spans="1:30" ht="17.25" customHeight="1" x14ac:dyDescent="0.3">
      <c r="I43" s="363">
        <v>41</v>
      </c>
      <c r="J43" s="365" t="e">
        <f>KH.!Q48</f>
        <v>#N/A</v>
      </c>
      <c r="K43" s="365" t="e">
        <f>KH.!R48</f>
        <v>#N/A</v>
      </c>
      <c r="L43" s="365" t="e">
        <f>KH.!S48</f>
        <v>#N/A</v>
      </c>
      <c r="M43" s="365" t="e">
        <f>KH.!T48</f>
        <v>#N/A</v>
      </c>
      <c r="N43" s="365" t="e">
        <f>KH.!U48</f>
        <v>#N/A</v>
      </c>
      <c r="O43" s="365">
        <f>KH.!V48</f>
        <v>0</v>
      </c>
      <c r="P43" s="365" t="e">
        <f>KH.!W48</f>
        <v>#N/A</v>
      </c>
      <c r="Q43" s="365" t="e">
        <f>KH.!X48</f>
        <v>#N/A</v>
      </c>
      <c r="R43" s="365" t="e">
        <f>KH.!Y48</f>
        <v>#N/A</v>
      </c>
      <c r="S43" s="365">
        <f>KH.!Z48</f>
        <v>0</v>
      </c>
      <c r="T43" s="365" t="e">
        <f>KH.!AA48</f>
        <v>#N/A</v>
      </c>
      <c r="U43" s="365" t="e">
        <f>KH.!AB48</f>
        <v>#N/A</v>
      </c>
      <c r="V43" s="365">
        <f>KH.!AC48</f>
        <v>0</v>
      </c>
      <c r="W43" s="365" t="e">
        <f>KH.!AD48</f>
        <v>#N/A</v>
      </c>
      <c r="X43" s="365" t="e">
        <f>KH.!AE48</f>
        <v>#N/A</v>
      </c>
      <c r="Y43" s="365" t="e">
        <f>KH.!AF48</f>
        <v>#N/A</v>
      </c>
      <c r="Z43" s="365" t="e">
        <f>KH.!AG48</f>
        <v>#N/A</v>
      </c>
      <c r="AA43" s="365" t="e">
        <f>KH.!AH48</f>
        <v>#N/A</v>
      </c>
      <c r="AB43" s="365" t="e">
        <f>KH.!AI48</f>
        <v>#N/A</v>
      </c>
      <c r="AC43" s="365">
        <f>KH.!AJ48</f>
        <v>0</v>
      </c>
      <c r="AD43" s="1">
        <f>KH.!BM48</f>
        <v>0</v>
      </c>
    </row>
    <row r="44" spans="1:30" s="13" customFormat="1" ht="17.25" customHeight="1" x14ac:dyDescent="0.3">
      <c r="A44" s="111"/>
      <c r="B44" s="313" t="s">
        <v>28</v>
      </c>
      <c r="C44" s="313"/>
      <c r="D44" s="111"/>
      <c r="E44" s="312"/>
      <c r="F44" s="313"/>
      <c r="G44" s="313"/>
      <c r="I44" s="363">
        <v>42</v>
      </c>
      <c r="J44" s="365" t="e">
        <f>KH.!Q49</f>
        <v>#N/A</v>
      </c>
      <c r="K44" s="365" t="e">
        <f>KH.!R49</f>
        <v>#N/A</v>
      </c>
      <c r="L44" s="365" t="e">
        <f>KH.!S49</f>
        <v>#N/A</v>
      </c>
      <c r="M44" s="365" t="e">
        <f>KH.!T49</f>
        <v>#N/A</v>
      </c>
      <c r="N44" s="365" t="e">
        <f>KH.!U49</f>
        <v>#N/A</v>
      </c>
      <c r="O44" s="365">
        <f>KH.!V49</f>
        <v>0</v>
      </c>
      <c r="P44" s="365" t="e">
        <f>KH.!W49</f>
        <v>#N/A</v>
      </c>
      <c r="Q44" s="365" t="e">
        <f>KH.!X49</f>
        <v>#N/A</v>
      </c>
      <c r="R44" s="365" t="e">
        <f>KH.!Y49</f>
        <v>#N/A</v>
      </c>
      <c r="S44" s="365">
        <f>KH.!Z49</f>
        <v>0</v>
      </c>
      <c r="T44" s="365" t="e">
        <f>KH.!AA49</f>
        <v>#N/A</v>
      </c>
      <c r="U44" s="365" t="e">
        <f>KH.!AB49</f>
        <v>#N/A</v>
      </c>
      <c r="V44" s="365">
        <f>KH.!AC49</f>
        <v>0</v>
      </c>
      <c r="W44" s="365" t="e">
        <f>KH.!AD49</f>
        <v>#N/A</v>
      </c>
      <c r="X44" s="365" t="e">
        <f>KH.!AE49</f>
        <v>#N/A</v>
      </c>
      <c r="Y44" s="365" t="e">
        <f>KH.!AF49</f>
        <v>#N/A</v>
      </c>
      <c r="Z44" s="365" t="e">
        <f>KH.!AG49</f>
        <v>#N/A</v>
      </c>
      <c r="AA44" s="365" t="e">
        <f>KH.!AH49</f>
        <v>#N/A</v>
      </c>
      <c r="AB44" s="365" t="e">
        <f>KH.!AI49</f>
        <v>#N/A</v>
      </c>
      <c r="AC44" s="365">
        <f>KH.!AJ49</f>
        <v>0</v>
      </c>
      <c r="AD44" s="1">
        <f>KH.!BM49</f>
        <v>0</v>
      </c>
    </row>
    <row r="45" spans="1:30" ht="17.25" customHeight="1" x14ac:dyDescent="0.3">
      <c r="A45" s="314" t="s">
        <v>13576</v>
      </c>
      <c r="B45" s="314"/>
      <c r="C45" s="314"/>
      <c r="D45" s="314"/>
      <c r="E45" s="314"/>
      <c r="F45" s="314"/>
      <c r="G45" s="314"/>
      <c r="H45" s="314"/>
      <c r="I45" s="363">
        <v>43</v>
      </c>
      <c r="J45" s="365" t="e">
        <f>KH.!Q50</f>
        <v>#N/A</v>
      </c>
      <c r="K45" s="365" t="e">
        <f>KH.!R50</f>
        <v>#N/A</v>
      </c>
      <c r="L45" s="365" t="e">
        <f>KH.!S50</f>
        <v>#N/A</v>
      </c>
      <c r="M45" s="365" t="e">
        <f>KH.!T50</f>
        <v>#N/A</v>
      </c>
      <c r="N45" s="365" t="e">
        <f>KH.!U50</f>
        <v>#N/A</v>
      </c>
      <c r="O45" s="365">
        <f>KH.!V50</f>
        <v>0</v>
      </c>
      <c r="P45" s="365" t="e">
        <f>KH.!W50</f>
        <v>#N/A</v>
      </c>
      <c r="Q45" s="365" t="e">
        <f>KH.!X50</f>
        <v>#N/A</v>
      </c>
      <c r="R45" s="365" t="e">
        <f>KH.!Y50</f>
        <v>#N/A</v>
      </c>
      <c r="S45" s="365">
        <f>KH.!Z50</f>
        <v>0</v>
      </c>
      <c r="T45" s="365" t="e">
        <f>KH.!AA50</f>
        <v>#N/A</v>
      </c>
      <c r="U45" s="365" t="e">
        <f>KH.!AB50</f>
        <v>#N/A</v>
      </c>
      <c r="V45" s="365">
        <f>KH.!AC50</f>
        <v>0</v>
      </c>
      <c r="W45" s="365" t="e">
        <f>KH.!AD50</f>
        <v>#N/A</v>
      </c>
      <c r="X45" s="365" t="e">
        <f>KH.!AE50</f>
        <v>#N/A</v>
      </c>
      <c r="Y45" s="365" t="e">
        <f>KH.!AF50</f>
        <v>#N/A</v>
      </c>
      <c r="Z45" s="365" t="e">
        <f>KH.!AG50</f>
        <v>#N/A</v>
      </c>
      <c r="AA45" s="365" t="e">
        <f>KH.!AH50</f>
        <v>#N/A</v>
      </c>
      <c r="AB45" s="365" t="e">
        <f>KH.!AI50</f>
        <v>#N/A</v>
      </c>
      <c r="AC45" s="365">
        <f>KH.!AJ50</f>
        <v>0</v>
      </c>
      <c r="AD45" s="1">
        <f>KH.!BM50</f>
        <v>0</v>
      </c>
    </row>
    <row r="46" spans="1:30" ht="17.25" customHeight="1" x14ac:dyDescent="0.3">
      <c r="A46" s="316" t="s">
        <v>13580</v>
      </c>
      <c r="B46" s="315"/>
      <c r="C46" s="315"/>
      <c r="D46" s="315"/>
      <c r="E46" s="315"/>
      <c r="F46" s="315"/>
      <c r="G46" s="315"/>
      <c r="H46" s="315"/>
      <c r="I46" s="363">
        <v>44</v>
      </c>
      <c r="J46" s="365" t="e">
        <f>KH.!Q51</f>
        <v>#N/A</v>
      </c>
      <c r="K46" s="365" t="e">
        <f>KH.!R51</f>
        <v>#N/A</v>
      </c>
      <c r="L46" s="365" t="e">
        <f>KH.!S51</f>
        <v>#N/A</v>
      </c>
      <c r="M46" s="365" t="e">
        <f>KH.!T51</f>
        <v>#N/A</v>
      </c>
      <c r="N46" s="365" t="e">
        <f>KH.!U51</f>
        <v>#N/A</v>
      </c>
      <c r="O46" s="365">
        <f>KH.!V51</f>
        <v>0</v>
      </c>
      <c r="P46" s="365" t="e">
        <f>KH.!W51</f>
        <v>#N/A</v>
      </c>
      <c r="Q46" s="365" t="e">
        <f>KH.!X51</f>
        <v>#N/A</v>
      </c>
      <c r="R46" s="365" t="e">
        <f>KH.!Y51</f>
        <v>#N/A</v>
      </c>
      <c r="S46" s="365">
        <f>KH.!Z51</f>
        <v>0</v>
      </c>
      <c r="T46" s="365" t="e">
        <f>KH.!AA51</f>
        <v>#N/A</v>
      </c>
      <c r="U46" s="365" t="e">
        <f>KH.!AB51</f>
        <v>#N/A</v>
      </c>
      <c r="V46" s="365">
        <f>KH.!AC51</f>
        <v>0</v>
      </c>
      <c r="W46" s="365" t="e">
        <f>KH.!AD51</f>
        <v>#N/A</v>
      </c>
      <c r="X46" s="365" t="e">
        <f>KH.!AE51</f>
        <v>#N/A</v>
      </c>
      <c r="Y46" s="365" t="e">
        <f>KH.!AF51</f>
        <v>#N/A</v>
      </c>
      <c r="Z46" s="365" t="e">
        <f>KH.!AG51</f>
        <v>#N/A</v>
      </c>
      <c r="AA46" s="365" t="e">
        <f>KH.!AH51</f>
        <v>#N/A</v>
      </c>
      <c r="AB46" s="365" t="e">
        <f>KH.!AI51</f>
        <v>#N/A</v>
      </c>
      <c r="AC46" s="365">
        <f>KH.!AJ51</f>
        <v>0</v>
      </c>
      <c r="AD46" s="1">
        <f>KH.!BM51</f>
        <v>0</v>
      </c>
    </row>
    <row r="47" spans="1:30" ht="17.25" customHeight="1" x14ac:dyDescent="0.3">
      <c r="A47" s="308"/>
      <c r="I47" s="363">
        <v>45</v>
      </c>
      <c r="J47" s="365" t="e">
        <f>KH.!Q52</f>
        <v>#N/A</v>
      </c>
      <c r="K47" s="365" t="e">
        <f>KH.!R52</f>
        <v>#N/A</v>
      </c>
      <c r="L47" s="365" t="e">
        <f>KH.!S52</f>
        <v>#N/A</v>
      </c>
      <c r="M47" s="365" t="e">
        <f>KH.!T52</f>
        <v>#N/A</v>
      </c>
      <c r="N47" s="365" t="e">
        <f>KH.!U52</f>
        <v>#N/A</v>
      </c>
      <c r="O47" s="365">
        <f>KH.!V52</f>
        <v>0</v>
      </c>
      <c r="P47" s="365" t="e">
        <f>KH.!W52</f>
        <v>#N/A</v>
      </c>
      <c r="Q47" s="365" t="e">
        <f>KH.!X52</f>
        <v>#N/A</v>
      </c>
      <c r="R47" s="365" t="e">
        <f>KH.!Y52</f>
        <v>#N/A</v>
      </c>
      <c r="S47" s="365">
        <f>KH.!Z52</f>
        <v>0</v>
      </c>
      <c r="T47" s="365" t="e">
        <f>KH.!AA52</f>
        <v>#N/A</v>
      </c>
      <c r="U47" s="365" t="e">
        <f>KH.!AB52</f>
        <v>#N/A</v>
      </c>
      <c r="V47" s="365">
        <f>KH.!AC52</f>
        <v>0</v>
      </c>
      <c r="W47" s="365" t="e">
        <f>KH.!AD52</f>
        <v>#N/A</v>
      </c>
      <c r="X47" s="365" t="e">
        <f>KH.!AE52</f>
        <v>#N/A</v>
      </c>
      <c r="Y47" s="365" t="e">
        <f>KH.!AF52</f>
        <v>#N/A</v>
      </c>
      <c r="Z47" s="365" t="e">
        <f>KH.!AG52</f>
        <v>#N/A</v>
      </c>
      <c r="AA47" s="365" t="e">
        <f>KH.!AH52</f>
        <v>#N/A</v>
      </c>
      <c r="AB47" s="365" t="e">
        <f>KH.!AI52</f>
        <v>#N/A</v>
      </c>
      <c r="AC47" s="365">
        <f>KH.!AJ52</f>
        <v>0</v>
      </c>
      <c r="AD47" s="1">
        <f>KH.!BM52</f>
        <v>0</v>
      </c>
    </row>
    <row r="48" spans="1:30" ht="20.100000000000001" customHeight="1" x14ac:dyDescent="0.3">
      <c r="I48" s="363">
        <v>46</v>
      </c>
      <c r="J48" s="365" t="e">
        <f>KH.!Q53</f>
        <v>#N/A</v>
      </c>
      <c r="K48" s="365" t="e">
        <f>KH.!R53</f>
        <v>#N/A</v>
      </c>
      <c r="L48" s="365" t="e">
        <f>KH.!S53</f>
        <v>#N/A</v>
      </c>
      <c r="M48" s="365" t="e">
        <f>KH.!T53</f>
        <v>#N/A</v>
      </c>
      <c r="N48" s="365" t="e">
        <f>KH.!U53</f>
        <v>#N/A</v>
      </c>
      <c r="O48" s="365">
        <f>KH.!V53</f>
        <v>0</v>
      </c>
      <c r="P48" s="365" t="e">
        <f>KH.!W53</f>
        <v>#N/A</v>
      </c>
      <c r="Q48" s="365" t="e">
        <f>KH.!X53</f>
        <v>#N/A</v>
      </c>
      <c r="R48" s="365" t="e">
        <f>KH.!Y53</f>
        <v>#N/A</v>
      </c>
      <c r="S48" s="365">
        <f>KH.!Z53</f>
        <v>0</v>
      </c>
      <c r="T48" s="365" t="e">
        <f>KH.!AA53</f>
        <v>#N/A</v>
      </c>
      <c r="U48" s="365" t="e">
        <f>KH.!AB53</f>
        <v>#N/A</v>
      </c>
      <c r="V48" s="365">
        <f>KH.!AC53</f>
        <v>0</v>
      </c>
      <c r="W48" s="365" t="e">
        <f>KH.!AD53</f>
        <v>#N/A</v>
      </c>
      <c r="X48" s="365" t="e">
        <f>KH.!AE53</f>
        <v>#N/A</v>
      </c>
      <c r="Y48" s="365" t="e">
        <f>KH.!AF53</f>
        <v>#N/A</v>
      </c>
      <c r="Z48" s="365" t="e">
        <f>KH.!AG53</f>
        <v>#N/A</v>
      </c>
      <c r="AA48" s="365" t="e">
        <f>KH.!AH53</f>
        <v>#N/A</v>
      </c>
      <c r="AB48" s="365" t="e">
        <f>KH.!AI53</f>
        <v>#N/A</v>
      </c>
      <c r="AC48" s="365">
        <f>KH.!AJ53</f>
        <v>0</v>
      </c>
      <c r="AD48" s="1">
        <f>KH.!BM53</f>
        <v>0</v>
      </c>
    </row>
    <row r="49" spans="9:30" ht="20.100000000000001" customHeight="1" x14ac:dyDescent="0.3">
      <c r="I49" s="363">
        <v>47</v>
      </c>
      <c r="J49" s="365" t="e">
        <f>KH.!Q54</f>
        <v>#N/A</v>
      </c>
      <c r="K49" s="365" t="e">
        <f>KH.!R54</f>
        <v>#N/A</v>
      </c>
      <c r="L49" s="365" t="e">
        <f>KH.!S54</f>
        <v>#N/A</v>
      </c>
      <c r="M49" s="365" t="e">
        <f>KH.!T54</f>
        <v>#N/A</v>
      </c>
      <c r="N49" s="365" t="e">
        <f>KH.!U54</f>
        <v>#N/A</v>
      </c>
      <c r="O49" s="365">
        <f>KH.!V54</f>
        <v>0</v>
      </c>
      <c r="P49" s="365" t="e">
        <f>KH.!W54</f>
        <v>#N/A</v>
      </c>
      <c r="Q49" s="365" t="e">
        <f>KH.!X54</f>
        <v>#N/A</v>
      </c>
      <c r="R49" s="365" t="e">
        <f>KH.!Y54</f>
        <v>#N/A</v>
      </c>
      <c r="S49" s="365">
        <f>KH.!Z54</f>
        <v>0</v>
      </c>
      <c r="T49" s="365" t="e">
        <f>KH.!AA54</f>
        <v>#N/A</v>
      </c>
      <c r="U49" s="365" t="e">
        <f>KH.!AB54</f>
        <v>#N/A</v>
      </c>
      <c r="V49" s="365">
        <f>KH.!AC54</f>
        <v>0</v>
      </c>
      <c r="W49" s="365" t="e">
        <f>KH.!AD54</f>
        <v>#N/A</v>
      </c>
      <c r="X49" s="365" t="e">
        <f>KH.!AE54</f>
        <v>#N/A</v>
      </c>
      <c r="Y49" s="365" t="e">
        <f>KH.!AF54</f>
        <v>#N/A</v>
      </c>
      <c r="Z49" s="365" t="e">
        <f>KH.!AG54</f>
        <v>#N/A</v>
      </c>
      <c r="AA49" s="365" t="e">
        <f>KH.!AH54</f>
        <v>#N/A</v>
      </c>
      <c r="AB49" s="365" t="e">
        <f>KH.!AI54</f>
        <v>#N/A</v>
      </c>
      <c r="AC49" s="365">
        <f>KH.!AJ54</f>
        <v>0</v>
      </c>
      <c r="AD49" s="1">
        <f>KH.!BM54</f>
        <v>0</v>
      </c>
    </row>
    <row r="50" spans="9:30" ht="20.100000000000001" customHeight="1" x14ac:dyDescent="0.3">
      <c r="I50" s="363">
        <v>48</v>
      </c>
      <c r="J50" s="365" t="e">
        <f>KH.!Q55</f>
        <v>#N/A</v>
      </c>
      <c r="K50" s="365" t="e">
        <f>KH.!R55</f>
        <v>#N/A</v>
      </c>
      <c r="L50" s="365" t="e">
        <f>KH.!S55</f>
        <v>#N/A</v>
      </c>
      <c r="M50" s="365" t="e">
        <f>KH.!T55</f>
        <v>#N/A</v>
      </c>
      <c r="N50" s="365" t="e">
        <f>KH.!U55</f>
        <v>#N/A</v>
      </c>
      <c r="O50" s="365">
        <f>KH.!V55</f>
        <v>0</v>
      </c>
      <c r="P50" s="365" t="e">
        <f>KH.!W55</f>
        <v>#N/A</v>
      </c>
      <c r="Q50" s="365" t="e">
        <f>KH.!X55</f>
        <v>#N/A</v>
      </c>
      <c r="R50" s="365" t="e">
        <f>KH.!Y55</f>
        <v>#N/A</v>
      </c>
      <c r="S50" s="365">
        <f>KH.!Z55</f>
        <v>0</v>
      </c>
      <c r="T50" s="365" t="e">
        <f>KH.!AA55</f>
        <v>#N/A</v>
      </c>
      <c r="U50" s="365" t="e">
        <f>KH.!AB55</f>
        <v>#N/A</v>
      </c>
      <c r="V50" s="365">
        <f>KH.!AC55</f>
        <v>0</v>
      </c>
      <c r="W50" s="365" t="e">
        <f>KH.!AD55</f>
        <v>#N/A</v>
      </c>
      <c r="X50" s="365" t="e">
        <f>KH.!AE55</f>
        <v>#N/A</v>
      </c>
      <c r="Y50" s="365" t="e">
        <f>KH.!AF55</f>
        <v>#N/A</v>
      </c>
      <c r="Z50" s="365" t="e">
        <f>KH.!AG55</f>
        <v>#N/A</v>
      </c>
      <c r="AA50" s="365" t="e">
        <f>KH.!AH55</f>
        <v>#N/A</v>
      </c>
      <c r="AB50" s="365" t="e">
        <f>KH.!AI55</f>
        <v>#N/A</v>
      </c>
      <c r="AC50" s="365">
        <f>KH.!AJ55</f>
        <v>0</v>
      </c>
      <c r="AD50" s="1">
        <f>KH.!BM55</f>
        <v>0</v>
      </c>
    </row>
    <row r="51" spans="9:30" ht="20.100000000000001" customHeight="1" x14ac:dyDescent="0.3">
      <c r="I51" s="363">
        <v>49</v>
      </c>
      <c r="J51" s="365" t="e">
        <f>KH.!Q56</f>
        <v>#N/A</v>
      </c>
      <c r="K51" s="365" t="e">
        <f>KH.!R56</f>
        <v>#N/A</v>
      </c>
      <c r="L51" s="365" t="e">
        <f>KH.!S56</f>
        <v>#N/A</v>
      </c>
      <c r="M51" s="365" t="e">
        <f>KH.!T56</f>
        <v>#N/A</v>
      </c>
      <c r="N51" s="365" t="e">
        <f>KH.!U56</f>
        <v>#N/A</v>
      </c>
      <c r="O51" s="365">
        <f>KH.!V56</f>
        <v>0</v>
      </c>
      <c r="P51" s="365" t="e">
        <f>KH.!W56</f>
        <v>#N/A</v>
      </c>
      <c r="Q51" s="365" t="e">
        <f>KH.!X56</f>
        <v>#N/A</v>
      </c>
      <c r="R51" s="365" t="e">
        <f>KH.!Y56</f>
        <v>#N/A</v>
      </c>
      <c r="S51" s="365">
        <f>KH.!Z56</f>
        <v>0</v>
      </c>
      <c r="T51" s="365" t="e">
        <f>KH.!AA56</f>
        <v>#N/A</v>
      </c>
      <c r="U51" s="365" t="e">
        <f>KH.!AB56</f>
        <v>#N/A</v>
      </c>
      <c r="V51" s="365">
        <f>KH.!AC56</f>
        <v>0</v>
      </c>
      <c r="W51" s="365" t="e">
        <f>KH.!AD56</f>
        <v>#N/A</v>
      </c>
      <c r="X51" s="365" t="e">
        <f>KH.!AE56</f>
        <v>#N/A</v>
      </c>
      <c r="Y51" s="365" t="e">
        <f>KH.!AF56</f>
        <v>#N/A</v>
      </c>
      <c r="Z51" s="365" t="e">
        <f>KH.!AG56</f>
        <v>#N/A</v>
      </c>
      <c r="AA51" s="365" t="e">
        <f>KH.!AH56</f>
        <v>#N/A</v>
      </c>
      <c r="AB51" s="365" t="e">
        <f>KH.!AI56</f>
        <v>#N/A</v>
      </c>
      <c r="AC51" s="365">
        <f>KH.!AJ56</f>
        <v>0</v>
      </c>
      <c r="AD51" s="1">
        <f>KH.!BM56</f>
        <v>0</v>
      </c>
    </row>
    <row r="52" spans="9:30" ht="20.100000000000001" customHeight="1" x14ac:dyDescent="0.3">
      <c r="I52" s="363">
        <v>50</v>
      </c>
      <c r="J52" s="365" t="e">
        <f>KH.!Q57</f>
        <v>#N/A</v>
      </c>
      <c r="K52" s="365" t="e">
        <f>KH.!R57</f>
        <v>#N/A</v>
      </c>
      <c r="L52" s="365" t="e">
        <f>KH.!S57</f>
        <v>#N/A</v>
      </c>
      <c r="M52" s="365" t="e">
        <f>KH.!T57</f>
        <v>#N/A</v>
      </c>
      <c r="N52" s="365" t="e">
        <f>KH.!U57</f>
        <v>#N/A</v>
      </c>
      <c r="O52" s="365">
        <f>KH.!V57</f>
        <v>0</v>
      </c>
      <c r="P52" s="365" t="e">
        <f>KH.!W57</f>
        <v>#N/A</v>
      </c>
      <c r="Q52" s="365" t="e">
        <f>KH.!X57</f>
        <v>#N/A</v>
      </c>
      <c r="R52" s="365" t="e">
        <f>KH.!Y57</f>
        <v>#N/A</v>
      </c>
      <c r="S52" s="365">
        <f>KH.!Z57</f>
        <v>0</v>
      </c>
      <c r="T52" s="365" t="e">
        <f>KH.!AA57</f>
        <v>#N/A</v>
      </c>
      <c r="U52" s="365" t="e">
        <f>KH.!AB57</f>
        <v>#N/A</v>
      </c>
      <c r="V52" s="365">
        <f>KH.!AC57</f>
        <v>0</v>
      </c>
      <c r="W52" s="365" t="e">
        <f>KH.!AD57</f>
        <v>#N/A</v>
      </c>
      <c r="X52" s="365" t="e">
        <f>KH.!AE57</f>
        <v>#N/A</v>
      </c>
      <c r="Y52" s="365" t="e">
        <f>KH.!AF57</f>
        <v>#N/A</v>
      </c>
      <c r="Z52" s="365" t="e">
        <f>KH.!AG57</f>
        <v>#N/A</v>
      </c>
      <c r="AA52" s="365" t="e">
        <f>KH.!AH57</f>
        <v>#N/A</v>
      </c>
      <c r="AB52" s="365" t="e">
        <f>KH.!AI57</f>
        <v>#N/A</v>
      </c>
      <c r="AC52" s="365">
        <f>KH.!AJ57</f>
        <v>0</v>
      </c>
      <c r="AD52" s="1">
        <f>KH.!BM57</f>
        <v>0</v>
      </c>
    </row>
    <row r="53" spans="9:30" ht="20.100000000000001" customHeight="1" x14ac:dyDescent="0.3">
      <c r="I53" s="363">
        <v>51</v>
      </c>
      <c r="J53" s="365" t="e">
        <f>KH.!Q58</f>
        <v>#N/A</v>
      </c>
      <c r="K53" s="365" t="e">
        <f>KH.!R58</f>
        <v>#N/A</v>
      </c>
      <c r="L53" s="365" t="e">
        <f>KH.!S58</f>
        <v>#N/A</v>
      </c>
      <c r="M53" s="365" t="e">
        <f>KH.!T58</f>
        <v>#N/A</v>
      </c>
      <c r="N53" s="365" t="e">
        <f>KH.!U58</f>
        <v>#N/A</v>
      </c>
      <c r="O53" s="365">
        <f>KH.!V58</f>
        <v>0</v>
      </c>
      <c r="P53" s="365" t="e">
        <f>KH.!W58</f>
        <v>#N/A</v>
      </c>
      <c r="Q53" s="365" t="e">
        <f>KH.!X58</f>
        <v>#N/A</v>
      </c>
      <c r="R53" s="365" t="e">
        <f>KH.!Y58</f>
        <v>#N/A</v>
      </c>
      <c r="S53" s="365">
        <f>KH.!Z58</f>
        <v>0</v>
      </c>
      <c r="T53" s="365" t="e">
        <f>KH.!AA58</f>
        <v>#N/A</v>
      </c>
      <c r="U53" s="365" t="e">
        <f>KH.!AB58</f>
        <v>#N/A</v>
      </c>
      <c r="V53" s="365">
        <f>KH.!AC58</f>
        <v>0</v>
      </c>
      <c r="W53" s="365" t="e">
        <f>KH.!AD58</f>
        <v>#N/A</v>
      </c>
      <c r="X53" s="365" t="e">
        <f>KH.!AE58</f>
        <v>#N/A</v>
      </c>
      <c r="Y53" s="365" t="e">
        <f>KH.!AF58</f>
        <v>#N/A</v>
      </c>
      <c r="Z53" s="365" t="e">
        <f>KH.!AG58</f>
        <v>#N/A</v>
      </c>
      <c r="AA53" s="365" t="e">
        <f>KH.!AH58</f>
        <v>#N/A</v>
      </c>
      <c r="AB53" s="365" t="e">
        <f>KH.!AI58</f>
        <v>#N/A</v>
      </c>
      <c r="AC53" s="365">
        <f>KH.!AJ58</f>
        <v>0</v>
      </c>
      <c r="AD53" s="1">
        <f>KH.!BM58</f>
        <v>0</v>
      </c>
    </row>
    <row r="54" spans="9:30" ht="20.100000000000001" customHeight="1" x14ac:dyDescent="0.3">
      <c r="I54" s="363">
        <v>52</v>
      </c>
      <c r="J54" s="365" t="e">
        <f>KH.!Q59</f>
        <v>#N/A</v>
      </c>
      <c r="K54" s="365" t="e">
        <f>KH.!R59</f>
        <v>#N/A</v>
      </c>
      <c r="L54" s="365" t="e">
        <f>KH.!S59</f>
        <v>#N/A</v>
      </c>
      <c r="M54" s="365" t="e">
        <f>KH.!T59</f>
        <v>#N/A</v>
      </c>
      <c r="N54" s="365" t="e">
        <f>KH.!U59</f>
        <v>#N/A</v>
      </c>
      <c r="O54" s="365">
        <f>KH.!V59</f>
        <v>0</v>
      </c>
      <c r="P54" s="365" t="e">
        <f>KH.!W59</f>
        <v>#N/A</v>
      </c>
      <c r="Q54" s="365" t="e">
        <f>KH.!X59</f>
        <v>#N/A</v>
      </c>
      <c r="R54" s="365" t="e">
        <f>KH.!Y59</f>
        <v>#N/A</v>
      </c>
      <c r="S54" s="365">
        <f>KH.!Z59</f>
        <v>0</v>
      </c>
      <c r="T54" s="365" t="e">
        <f>KH.!AA59</f>
        <v>#N/A</v>
      </c>
      <c r="U54" s="365" t="e">
        <f>KH.!AB59</f>
        <v>#N/A</v>
      </c>
      <c r="V54" s="365">
        <f>KH.!AC59</f>
        <v>0</v>
      </c>
      <c r="W54" s="365" t="e">
        <f>KH.!AD59</f>
        <v>#N/A</v>
      </c>
      <c r="X54" s="365" t="e">
        <f>KH.!AE59</f>
        <v>#N/A</v>
      </c>
      <c r="Y54" s="365" t="e">
        <f>KH.!AF59</f>
        <v>#N/A</v>
      </c>
      <c r="Z54" s="365" t="e">
        <f>KH.!AG59</f>
        <v>#N/A</v>
      </c>
      <c r="AA54" s="365" t="e">
        <f>KH.!AH59</f>
        <v>#N/A</v>
      </c>
      <c r="AB54" s="365" t="e">
        <f>KH.!AI59</f>
        <v>#N/A</v>
      </c>
      <c r="AC54" s="365">
        <f>KH.!AJ59</f>
        <v>0</v>
      </c>
      <c r="AD54" s="1">
        <f>KH.!BM59</f>
        <v>0</v>
      </c>
    </row>
    <row r="55" spans="9:30" ht="20.100000000000001" customHeight="1" x14ac:dyDescent="0.3">
      <c r="I55" s="363">
        <v>53</v>
      </c>
      <c r="J55" s="365" t="e">
        <f>KH.!Q60</f>
        <v>#N/A</v>
      </c>
      <c r="K55" s="365" t="e">
        <f>KH.!R60</f>
        <v>#N/A</v>
      </c>
      <c r="L55" s="365" t="e">
        <f>KH.!S60</f>
        <v>#N/A</v>
      </c>
      <c r="M55" s="365" t="e">
        <f>KH.!T60</f>
        <v>#N/A</v>
      </c>
      <c r="N55" s="365" t="e">
        <f>KH.!U60</f>
        <v>#N/A</v>
      </c>
      <c r="O55" s="365">
        <f>KH.!V60</f>
        <v>0</v>
      </c>
      <c r="P55" s="365" t="e">
        <f>KH.!W60</f>
        <v>#N/A</v>
      </c>
      <c r="Q55" s="365" t="e">
        <f>KH.!X60</f>
        <v>#N/A</v>
      </c>
      <c r="R55" s="365" t="e">
        <f>KH.!Y60</f>
        <v>#N/A</v>
      </c>
      <c r="S55" s="365">
        <f>KH.!Z60</f>
        <v>0</v>
      </c>
      <c r="T55" s="365" t="e">
        <f>KH.!AA60</f>
        <v>#N/A</v>
      </c>
      <c r="U55" s="365" t="e">
        <f>KH.!AB60</f>
        <v>#N/A</v>
      </c>
      <c r="V55" s="365">
        <f>KH.!AC60</f>
        <v>0</v>
      </c>
      <c r="W55" s="365" t="e">
        <f>KH.!AD60</f>
        <v>#N/A</v>
      </c>
      <c r="X55" s="365" t="e">
        <f>KH.!AE60</f>
        <v>#N/A</v>
      </c>
      <c r="Y55" s="365" t="e">
        <f>KH.!AF60</f>
        <v>#N/A</v>
      </c>
      <c r="Z55" s="365" t="e">
        <f>KH.!AG60</f>
        <v>#N/A</v>
      </c>
      <c r="AA55" s="365" t="e">
        <f>KH.!AH60</f>
        <v>#N/A</v>
      </c>
      <c r="AB55" s="365" t="e">
        <f>KH.!AI60</f>
        <v>#N/A</v>
      </c>
      <c r="AC55" s="365">
        <f>KH.!AJ60</f>
        <v>0</v>
      </c>
      <c r="AD55" s="1">
        <f>KH.!BM60</f>
        <v>0</v>
      </c>
    </row>
    <row r="56" spans="9:30" ht="20.100000000000001" customHeight="1" x14ac:dyDescent="0.3">
      <c r="I56" s="363">
        <v>54</v>
      </c>
      <c r="J56" s="365" t="e">
        <f>KH.!Q61</f>
        <v>#N/A</v>
      </c>
      <c r="K56" s="365" t="e">
        <f>KH.!R61</f>
        <v>#N/A</v>
      </c>
      <c r="L56" s="365" t="e">
        <f>KH.!S61</f>
        <v>#N/A</v>
      </c>
      <c r="M56" s="365" t="e">
        <f>KH.!T61</f>
        <v>#N/A</v>
      </c>
      <c r="N56" s="365" t="e">
        <f>KH.!U61</f>
        <v>#N/A</v>
      </c>
      <c r="O56" s="365">
        <f>KH.!V61</f>
        <v>0</v>
      </c>
      <c r="P56" s="365" t="e">
        <f>KH.!W61</f>
        <v>#N/A</v>
      </c>
      <c r="Q56" s="365" t="e">
        <f>KH.!X61</f>
        <v>#N/A</v>
      </c>
      <c r="R56" s="365" t="e">
        <f>KH.!Y61</f>
        <v>#N/A</v>
      </c>
      <c r="S56" s="365">
        <f>KH.!Z61</f>
        <v>0</v>
      </c>
      <c r="T56" s="365" t="e">
        <f>KH.!AA61</f>
        <v>#N/A</v>
      </c>
      <c r="U56" s="365" t="e">
        <f>KH.!AB61</f>
        <v>#N/A</v>
      </c>
      <c r="V56" s="365">
        <f>KH.!AC61</f>
        <v>0</v>
      </c>
      <c r="W56" s="365" t="e">
        <f>KH.!AD61</f>
        <v>#N/A</v>
      </c>
      <c r="X56" s="365" t="e">
        <f>KH.!AE61</f>
        <v>#N/A</v>
      </c>
      <c r="Y56" s="365" t="e">
        <f>KH.!AF61</f>
        <v>#N/A</v>
      </c>
      <c r="Z56" s="365" t="e">
        <f>KH.!AG61</f>
        <v>#N/A</v>
      </c>
      <c r="AA56" s="365" t="e">
        <f>KH.!AH61</f>
        <v>#N/A</v>
      </c>
      <c r="AB56" s="365" t="e">
        <f>KH.!AI61</f>
        <v>#N/A</v>
      </c>
      <c r="AC56" s="365">
        <f>KH.!AJ61</f>
        <v>0</v>
      </c>
      <c r="AD56" s="1">
        <f>KH.!BM61</f>
        <v>0</v>
      </c>
    </row>
    <row r="57" spans="9:30" ht="20.100000000000001" customHeight="1" x14ac:dyDescent="0.3">
      <c r="I57" s="363">
        <v>55</v>
      </c>
      <c r="J57" s="365" t="e">
        <f>KH.!Q62</f>
        <v>#N/A</v>
      </c>
      <c r="K57" s="365" t="e">
        <f>KH.!R62</f>
        <v>#N/A</v>
      </c>
      <c r="L57" s="365" t="e">
        <f>KH.!S62</f>
        <v>#N/A</v>
      </c>
      <c r="M57" s="365" t="e">
        <f>KH.!T62</f>
        <v>#N/A</v>
      </c>
      <c r="N57" s="365" t="e">
        <f>KH.!U62</f>
        <v>#N/A</v>
      </c>
      <c r="O57" s="365">
        <f>KH.!V62</f>
        <v>0</v>
      </c>
      <c r="P57" s="365" t="e">
        <f>KH.!W62</f>
        <v>#N/A</v>
      </c>
      <c r="Q57" s="365" t="e">
        <f>KH.!X62</f>
        <v>#N/A</v>
      </c>
      <c r="R57" s="365" t="e">
        <f>KH.!Y62</f>
        <v>#N/A</v>
      </c>
      <c r="S57" s="365">
        <f>KH.!Z62</f>
        <v>0</v>
      </c>
      <c r="T57" s="365" t="e">
        <f>KH.!AA62</f>
        <v>#N/A</v>
      </c>
      <c r="U57" s="365" t="e">
        <f>KH.!AB62</f>
        <v>#N/A</v>
      </c>
      <c r="V57" s="365">
        <f>KH.!AC62</f>
        <v>0</v>
      </c>
      <c r="W57" s="365" t="e">
        <f>KH.!AD62</f>
        <v>#N/A</v>
      </c>
      <c r="X57" s="365" t="e">
        <f>KH.!AE62</f>
        <v>#N/A</v>
      </c>
      <c r="Y57" s="365" t="e">
        <f>KH.!AF62</f>
        <v>#N/A</v>
      </c>
      <c r="Z57" s="365" t="e">
        <f>KH.!AG62</f>
        <v>#N/A</v>
      </c>
      <c r="AA57" s="365" t="e">
        <f>KH.!AH62</f>
        <v>#N/A</v>
      </c>
      <c r="AB57" s="365" t="e">
        <f>KH.!AI62</f>
        <v>#N/A</v>
      </c>
      <c r="AC57" s="365">
        <f>KH.!AJ62</f>
        <v>0</v>
      </c>
      <c r="AD57" s="1">
        <f>KH.!BM62</f>
        <v>0</v>
      </c>
    </row>
    <row r="58" spans="9:30" ht="20.100000000000001" customHeight="1" x14ac:dyDescent="0.3">
      <c r="I58" s="363">
        <v>56</v>
      </c>
      <c r="J58" s="365" t="e">
        <f>KH.!Q63</f>
        <v>#N/A</v>
      </c>
      <c r="K58" s="365" t="e">
        <f>KH.!R63</f>
        <v>#N/A</v>
      </c>
      <c r="L58" s="365" t="e">
        <f>KH.!S63</f>
        <v>#N/A</v>
      </c>
      <c r="M58" s="365" t="e">
        <f>KH.!T63</f>
        <v>#N/A</v>
      </c>
      <c r="N58" s="365" t="e">
        <f>KH.!U63</f>
        <v>#N/A</v>
      </c>
      <c r="O58" s="365">
        <f>KH.!V63</f>
        <v>0</v>
      </c>
      <c r="P58" s="365" t="e">
        <f>KH.!W63</f>
        <v>#N/A</v>
      </c>
      <c r="Q58" s="365" t="e">
        <f>KH.!X63</f>
        <v>#N/A</v>
      </c>
      <c r="R58" s="365" t="e">
        <f>KH.!Y63</f>
        <v>#N/A</v>
      </c>
      <c r="S58" s="365">
        <f>KH.!Z63</f>
        <v>0</v>
      </c>
      <c r="T58" s="365" t="e">
        <f>KH.!AA63</f>
        <v>#N/A</v>
      </c>
      <c r="U58" s="365" t="e">
        <f>KH.!AB63</f>
        <v>#N/A</v>
      </c>
      <c r="V58" s="365">
        <f>KH.!AC63</f>
        <v>0</v>
      </c>
      <c r="W58" s="365" t="e">
        <f>KH.!AD63</f>
        <v>#N/A</v>
      </c>
      <c r="X58" s="365" t="e">
        <f>KH.!AE63</f>
        <v>#N/A</v>
      </c>
      <c r="Y58" s="365" t="e">
        <f>KH.!AF63</f>
        <v>#N/A</v>
      </c>
      <c r="Z58" s="365" t="e">
        <f>KH.!AG63</f>
        <v>#N/A</v>
      </c>
      <c r="AA58" s="365" t="e">
        <f>KH.!AH63</f>
        <v>#N/A</v>
      </c>
      <c r="AB58" s="365" t="e">
        <f>KH.!AI63</f>
        <v>#N/A</v>
      </c>
      <c r="AC58" s="365">
        <f>KH.!AJ63</f>
        <v>0</v>
      </c>
      <c r="AD58" s="1">
        <f>KH.!BM63</f>
        <v>0</v>
      </c>
    </row>
    <row r="59" spans="9:30" ht="20.100000000000001" customHeight="1" x14ac:dyDescent="0.3">
      <c r="I59" s="363">
        <v>57</v>
      </c>
      <c r="J59" s="365" t="e">
        <f>KH.!Q64</f>
        <v>#N/A</v>
      </c>
      <c r="K59" s="365" t="e">
        <f>KH.!R64</f>
        <v>#N/A</v>
      </c>
      <c r="L59" s="365" t="e">
        <f>KH.!S64</f>
        <v>#N/A</v>
      </c>
      <c r="M59" s="365" t="e">
        <f>KH.!T64</f>
        <v>#N/A</v>
      </c>
      <c r="N59" s="365" t="e">
        <f>KH.!U64</f>
        <v>#N/A</v>
      </c>
      <c r="O59" s="365">
        <f>KH.!V64</f>
        <v>0</v>
      </c>
      <c r="P59" s="365" t="e">
        <f>KH.!W64</f>
        <v>#N/A</v>
      </c>
      <c r="Q59" s="365" t="e">
        <f>KH.!X64</f>
        <v>#N/A</v>
      </c>
      <c r="R59" s="365" t="e">
        <f>KH.!Y64</f>
        <v>#N/A</v>
      </c>
      <c r="S59" s="365">
        <f>KH.!Z64</f>
        <v>0</v>
      </c>
      <c r="T59" s="365" t="e">
        <f>KH.!AA64</f>
        <v>#N/A</v>
      </c>
      <c r="U59" s="365" t="e">
        <f>KH.!AB64</f>
        <v>#N/A</v>
      </c>
      <c r="V59" s="365">
        <f>KH.!AC64</f>
        <v>0</v>
      </c>
      <c r="W59" s="365" t="e">
        <f>KH.!AD64</f>
        <v>#N/A</v>
      </c>
      <c r="X59" s="365" t="e">
        <f>KH.!AE64</f>
        <v>#N/A</v>
      </c>
      <c r="Y59" s="365" t="e">
        <f>KH.!AF64</f>
        <v>#N/A</v>
      </c>
      <c r="Z59" s="365" t="e">
        <f>KH.!AG64</f>
        <v>#N/A</v>
      </c>
      <c r="AA59" s="365" t="e">
        <f>KH.!AH64</f>
        <v>#N/A</v>
      </c>
      <c r="AB59" s="365" t="e">
        <f>KH.!AI64</f>
        <v>#N/A</v>
      </c>
      <c r="AC59" s="365">
        <f>KH.!AJ64</f>
        <v>0</v>
      </c>
      <c r="AD59" s="1">
        <f>KH.!BM64</f>
        <v>0</v>
      </c>
    </row>
    <row r="60" spans="9:30" ht="20.100000000000001" customHeight="1" x14ac:dyDescent="0.3">
      <c r="I60" s="363">
        <v>58</v>
      </c>
      <c r="J60" s="365">
        <f>KH.!Q65</f>
        <v>0</v>
      </c>
      <c r="K60" s="365" t="str">
        <f>KH.!R65</f>
        <v/>
      </c>
      <c r="L60" s="365" t="e">
        <f>KH.!S65</f>
        <v>#N/A</v>
      </c>
      <c r="M60" s="365" t="e">
        <f>KH.!T65</f>
        <v>#N/A</v>
      </c>
      <c r="N60" s="365" t="e">
        <f>KH.!U65</f>
        <v>#N/A</v>
      </c>
      <c r="O60" s="365">
        <f>KH.!V65</f>
        <v>0</v>
      </c>
      <c r="P60" s="365">
        <f>KH.!W65</f>
        <v>0</v>
      </c>
      <c r="Q60" s="365">
        <f>KH.!X65</f>
        <v>0</v>
      </c>
      <c r="R60" s="365">
        <f>KH.!Y65</f>
        <v>0</v>
      </c>
      <c r="S60" s="365">
        <f>KH.!Z65</f>
        <v>0</v>
      </c>
      <c r="T60" s="365" t="e">
        <f>KH.!AA65</f>
        <v>#N/A</v>
      </c>
      <c r="U60" s="365">
        <f>KH.!AB65</f>
        <v>0</v>
      </c>
      <c r="V60" s="365">
        <f>KH.!AC65</f>
        <v>0</v>
      </c>
      <c r="W60" s="365">
        <f>KH.!AD65</f>
        <v>0</v>
      </c>
      <c r="X60" s="365" t="e">
        <f>KH.!AE65</f>
        <v>#N/A</v>
      </c>
      <c r="Y60" s="365" t="e">
        <f>KH.!AF65</f>
        <v>#N/A</v>
      </c>
      <c r="Z60" s="365">
        <f>KH.!AG65</f>
        <v>0</v>
      </c>
      <c r="AA60" s="365" t="str">
        <f>KH.!AH65</f>
        <v/>
      </c>
      <c r="AB60" s="365">
        <f>KH.!AI65</f>
        <v>0</v>
      </c>
      <c r="AC60" s="365">
        <f>KH.!AJ65</f>
        <v>0</v>
      </c>
      <c r="AD60" s="1">
        <f>KH.!BM65</f>
        <v>0</v>
      </c>
    </row>
    <row r="61" spans="9:30" ht="20.100000000000001" customHeight="1" x14ac:dyDescent="0.3">
      <c r="I61" s="363">
        <v>59</v>
      </c>
      <c r="J61" s="365">
        <f>KH.!Q66</f>
        <v>0</v>
      </c>
      <c r="K61" s="365" t="str">
        <f>KH.!R66</f>
        <v/>
      </c>
      <c r="L61" s="365" t="e">
        <f>KH.!S66</f>
        <v>#N/A</v>
      </c>
      <c r="M61" s="365" t="e">
        <f>KH.!T66</f>
        <v>#N/A</v>
      </c>
      <c r="N61" s="365" t="e">
        <f>KH.!U66</f>
        <v>#N/A</v>
      </c>
      <c r="O61" s="365">
        <f>KH.!V66</f>
        <v>0</v>
      </c>
      <c r="P61" s="365">
        <f>KH.!W66</f>
        <v>0</v>
      </c>
      <c r="Q61" s="365">
        <f>KH.!X66</f>
        <v>0</v>
      </c>
      <c r="R61" s="365">
        <f>KH.!Y66</f>
        <v>0</v>
      </c>
      <c r="S61" s="365">
        <f>KH.!Z66</f>
        <v>0</v>
      </c>
      <c r="T61" s="365" t="e">
        <f>KH.!AA66</f>
        <v>#N/A</v>
      </c>
      <c r="U61" s="365">
        <f>KH.!AB66</f>
        <v>0</v>
      </c>
      <c r="V61" s="365">
        <f>KH.!AC66</f>
        <v>0</v>
      </c>
      <c r="W61" s="365">
        <f>KH.!AD66</f>
        <v>0</v>
      </c>
      <c r="X61" s="365" t="e">
        <f>KH.!AE66</f>
        <v>#N/A</v>
      </c>
      <c r="Y61" s="365" t="e">
        <f>KH.!AF66</f>
        <v>#N/A</v>
      </c>
      <c r="Z61" s="365">
        <f>KH.!AG66</f>
        <v>0</v>
      </c>
      <c r="AA61" s="365" t="str">
        <f>KH.!AH66</f>
        <v/>
      </c>
      <c r="AB61" s="365">
        <f>KH.!AI66</f>
        <v>0</v>
      </c>
      <c r="AC61" s="365">
        <f>KH.!AJ66</f>
        <v>0</v>
      </c>
      <c r="AD61" s="1">
        <f>KH.!BM66</f>
        <v>0</v>
      </c>
    </row>
  </sheetData>
  <mergeCells count="22">
    <mergeCell ref="K1:L1"/>
    <mergeCell ref="B25:E25"/>
    <mergeCell ref="F25:G25"/>
    <mergeCell ref="B26:C26"/>
    <mergeCell ref="B27:C27"/>
    <mergeCell ref="F27:G27"/>
    <mergeCell ref="B1:E1"/>
    <mergeCell ref="F1:G1"/>
    <mergeCell ref="B2:C2"/>
    <mergeCell ref="B4:G4"/>
    <mergeCell ref="B12:G12"/>
    <mergeCell ref="A13:G13"/>
    <mergeCell ref="B14:C14"/>
    <mergeCell ref="D14:E14"/>
    <mergeCell ref="F14:G14"/>
    <mergeCell ref="B3:G3"/>
    <mergeCell ref="B28:G28"/>
    <mergeCell ref="B37:G37"/>
    <mergeCell ref="A38:G38"/>
    <mergeCell ref="B39:C39"/>
    <mergeCell ref="D39:E39"/>
    <mergeCell ref="F39:G39"/>
  </mergeCells>
  <printOptions horizontalCentered="1"/>
  <pageMargins left="0.75" right="0.25" top="0" bottom="0" header="0" footer="0"/>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outlinePr summaryBelow="0"/>
  </sheetPr>
  <dimension ref="A1:P3854"/>
  <sheetViews>
    <sheetView topLeftCell="A3556" zoomScaleNormal="100" workbookViewId="0">
      <selection activeCell="A3577" sqref="A3577"/>
    </sheetView>
  </sheetViews>
  <sheetFormatPr defaultColWidth="8" defaultRowHeight="14.4" x14ac:dyDescent="0.3"/>
  <cols>
    <col min="1" max="1" width="15" style="113" customWidth="1"/>
    <col min="2" max="2" width="34.09765625" style="113" customWidth="1"/>
    <col min="3" max="3" width="37.5" style="113" customWidth="1"/>
    <col min="4" max="4" width="20" style="113" customWidth="1"/>
    <col min="5" max="6" width="12.5" style="113" customWidth="1"/>
    <col min="7" max="7" width="18.69921875" style="113" customWidth="1"/>
    <col min="8" max="8" width="13.09765625" style="113" customWidth="1"/>
    <col min="9" max="9" width="8" style="113"/>
    <col min="10" max="10" width="10" style="113" bestFit="1" customWidth="1"/>
    <col min="11" max="256" width="8" style="113"/>
    <col min="257" max="257" width="15" style="113" customWidth="1"/>
    <col min="258" max="258" width="34.09765625" style="113" customWidth="1"/>
    <col min="259" max="259" width="37.5" style="113" customWidth="1"/>
    <col min="260" max="260" width="20" style="113" customWidth="1"/>
    <col min="261" max="262" width="12.5" style="113" customWidth="1"/>
    <col min="263" max="263" width="18.69921875" style="113" customWidth="1"/>
    <col min="264" max="264" width="13.09765625" style="113" customWidth="1"/>
    <col min="265" max="512" width="8" style="113"/>
    <col min="513" max="513" width="15" style="113" customWidth="1"/>
    <col min="514" max="514" width="34.09765625" style="113" customWidth="1"/>
    <col min="515" max="515" width="37.5" style="113" customWidth="1"/>
    <col min="516" max="516" width="20" style="113" customWidth="1"/>
    <col min="517" max="518" width="12.5" style="113" customWidth="1"/>
    <col min="519" max="519" width="18.69921875" style="113" customWidth="1"/>
    <col min="520" max="520" width="13.09765625" style="113" customWidth="1"/>
    <col min="521" max="768" width="8" style="113"/>
    <col min="769" max="769" width="15" style="113" customWidth="1"/>
    <col min="770" max="770" width="34.09765625" style="113" customWidth="1"/>
    <col min="771" max="771" width="37.5" style="113" customWidth="1"/>
    <col min="772" max="772" width="20" style="113" customWidth="1"/>
    <col min="773" max="774" width="12.5" style="113" customWidth="1"/>
    <col min="775" max="775" width="18.69921875" style="113" customWidth="1"/>
    <col min="776" max="776" width="13.09765625" style="113" customWidth="1"/>
    <col min="777" max="1024" width="8" style="113"/>
    <col min="1025" max="1025" width="15" style="113" customWidth="1"/>
    <col min="1026" max="1026" width="34.09765625" style="113" customWidth="1"/>
    <col min="1027" max="1027" width="37.5" style="113" customWidth="1"/>
    <col min="1028" max="1028" width="20" style="113" customWidth="1"/>
    <col min="1029" max="1030" width="12.5" style="113" customWidth="1"/>
    <col min="1031" max="1031" width="18.69921875" style="113" customWidth="1"/>
    <col min="1032" max="1032" width="13.09765625" style="113" customWidth="1"/>
    <col min="1033" max="1280" width="8" style="113"/>
    <col min="1281" max="1281" width="15" style="113" customWidth="1"/>
    <col min="1282" max="1282" width="34.09765625" style="113" customWidth="1"/>
    <col min="1283" max="1283" width="37.5" style="113" customWidth="1"/>
    <col min="1284" max="1284" width="20" style="113" customWidth="1"/>
    <col min="1285" max="1286" width="12.5" style="113" customWidth="1"/>
    <col min="1287" max="1287" width="18.69921875" style="113" customWidth="1"/>
    <col min="1288" max="1288" width="13.09765625" style="113" customWidth="1"/>
    <col min="1289" max="1536" width="8" style="113"/>
    <col min="1537" max="1537" width="15" style="113" customWidth="1"/>
    <col min="1538" max="1538" width="34.09765625" style="113" customWidth="1"/>
    <col min="1539" max="1539" width="37.5" style="113" customWidth="1"/>
    <col min="1540" max="1540" width="20" style="113" customWidth="1"/>
    <col min="1541" max="1542" width="12.5" style="113" customWidth="1"/>
    <col min="1543" max="1543" width="18.69921875" style="113" customWidth="1"/>
    <col min="1544" max="1544" width="13.09765625" style="113" customWidth="1"/>
    <col min="1545" max="1792" width="8" style="113"/>
    <col min="1793" max="1793" width="15" style="113" customWidth="1"/>
    <col min="1794" max="1794" width="34.09765625" style="113" customWidth="1"/>
    <col min="1795" max="1795" width="37.5" style="113" customWidth="1"/>
    <col min="1796" max="1796" width="20" style="113" customWidth="1"/>
    <col min="1797" max="1798" width="12.5" style="113" customWidth="1"/>
    <col min="1799" max="1799" width="18.69921875" style="113" customWidth="1"/>
    <col min="1800" max="1800" width="13.09765625" style="113" customWidth="1"/>
    <col min="1801" max="2048" width="8" style="113"/>
    <col min="2049" max="2049" width="15" style="113" customWidth="1"/>
    <col min="2050" max="2050" width="34.09765625" style="113" customWidth="1"/>
    <col min="2051" max="2051" width="37.5" style="113" customWidth="1"/>
    <col min="2052" max="2052" width="20" style="113" customWidth="1"/>
    <col min="2053" max="2054" width="12.5" style="113" customWidth="1"/>
    <col min="2055" max="2055" width="18.69921875" style="113" customWidth="1"/>
    <col min="2056" max="2056" width="13.09765625" style="113" customWidth="1"/>
    <col min="2057" max="2304" width="8" style="113"/>
    <col min="2305" max="2305" width="15" style="113" customWidth="1"/>
    <col min="2306" max="2306" width="34.09765625" style="113" customWidth="1"/>
    <col min="2307" max="2307" width="37.5" style="113" customWidth="1"/>
    <col min="2308" max="2308" width="20" style="113" customWidth="1"/>
    <col min="2309" max="2310" width="12.5" style="113" customWidth="1"/>
    <col min="2311" max="2311" width="18.69921875" style="113" customWidth="1"/>
    <col min="2312" max="2312" width="13.09765625" style="113" customWidth="1"/>
    <col min="2313" max="2560" width="8" style="113"/>
    <col min="2561" max="2561" width="15" style="113" customWidth="1"/>
    <col min="2562" max="2562" width="34.09765625" style="113" customWidth="1"/>
    <col min="2563" max="2563" width="37.5" style="113" customWidth="1"/>
    <col min="2564" max="2564" width="20" style="113" customWidth="1"/>
    <col min="2565" max="2566" width="12.5" style="113" customWidth="1"/>
    <col min="2567" max="2567" width="18.69921875" style="113" customWidth="1"/>
    <col min="2568" max="2568" width="13.09765625" style="113" customWidth="1"/>
    <col min="2569" max="2816" width="8" style="113"/>
    <col min="2817" max="2817" width="15" style="113" customWidth="1"/>
    <col min="2818" max="2818" width="34.09765625" style="113" customWidth="1"/>
    <col min="2819" max="2819" width="37.5" style="113" customWidth="1"/>
    <col min="2820" max="2820" width="20" style="113" customWidth="1"/>
    <col min="2821" max="2822" width="12.5" style="113" customWidth="1"/>
    <col min="2823" max="2823" width="18.69921875" style="113" customWidth="1"/>
    <col min="2824" max="2824" width="13.09765625" style="113" customWidth="1"/>
    <col min="2825" max="3072" width="8" style="113"/>
    <col min="3073" max="3073" width="15" style="113" customWidth="1"/>
    <col min="3074" max="3074" width="34.09765625" style="113" customWidth="1"/>
    <col min="3075" max="3075" width="37.5" style="113" customWidth="1"/>
    <col min="3076" max="3076" width="20" style="113" customWidth="1"/>
    <col min="3077" max="3078" width="12.5" style="113" customWidth="1"/>
    <col min="3079" max="3079" width="18.69921875" style="113" customWidth="1"/>
    <col min="3080" max="3080" width="13.09765625" style="113" customWidth="1"/>
    <col min="3081" max="3328" width="8" style="113"/>
    <col min="3329" max="3329" width="15" style="113" customWidth="1"/>
    <col min="3330" max="3330" width="34.09765625" style="113" customWidth="1"/>
    <col min="3331" max="3331" width="37.5" style="113" customWidth="1"/>
    <col min="3332" max="3332" width="20" style="113" customWidth="1"/>
    <col min="3333" max="3334" width="12.5" style="113" customWidth="1"/>
    <col min="3335" max="3335" width="18.69921875" style="113" customWidth="1"/>
    <col min="3336" max="3336" width="13.09765625" style="113" customWidth="1"/>
    <col min="3337" max="3584" width="8" style="113"/>
    <col min="3585" max="3585" width="15" style="113" customWidth="1"/>
    <col min="3586" max="3586" width="34.09765625" style="113" customWidth="1"/>
    <col min="3587" max="3587" width="37.5" style="113" customWidth="1"/>
    <col min="3588" max="3588" width="20" style="113" customWidth="1"/>
    <col min="3589" max="3590" width="12.5" style="113" customWidth="1"/>
    <col min="3591" max="3591" width="18.69921875" style="113" customWidth="1"/>
    <col min="3592" max="3592" width="13.09765625" style="113" customWidth="1"/>
    <col min="3593" max="3840" width="8" style="113"/>
    <col min="3841" max="3841" width="15" style="113" customWidth="1"/>
    <col min="3842" max="3842" width="34.09765625" style="113" customWidth="1"/>
    <col min="3843" max="3843" width="37.5" style="113" customWidth="1"/>
    <col min="3844" max="3844" width="20" style="113" customWidth="1"/>
    <col min="3845" max="3846" width="12.5" style="113" customWidth="1"/>
    <col min="3847" max="3847" width="18.69921875" style="113" customWidth="1"/>
    <col min="3848" max="3848" width="13.09765625" style="113" customWidth="1"/>
    <col min="3849" max="4096" width="8" style="113"/>
    <col min="4097" max="4097" width="15" style="113" customWidth="1"/>
    <col min="4098" max="4098" width="34.09765625" style="113" customWidth="1"/>
    <col min="4099" max="4099" width="37.5" style="113" customWidth="1"/>
    <col min="4100" max="4100" width="20" style="113" customWidth="1"/>
    <col min="4101" max="4102" width="12.5" style="113" customWidth="1"/>
    <col min="4103" max="4103" width="18.69921875" style="113" customWidth="1"/>
    <col min="4104" max="4104" width="13.09765625" style="113" customWidth="1"/>
    <col min="4105" max="4352" width="8" style="113"/>
    <col min="4353" max="4353" width="15" style="113" customWidth="1"/>
    <col min="4354" max="4354" width="34.09765625" style="113" customWidth="1"/>
    <col min="4355" max="4355" width="37.5" style="113" customWidth="1"/>
    <col min="4356" max="4356" width="20" style="113" customWidth="1"/>
    <col min="4357" max="4358" width="12.5" style="113" customWidth="1"/>
    <col min="4359" max="4359" width="18.69921875" style="113" customWidth="1"/>
    <col min="4360" max="4360" width="13.09765625" style="113" customWidth="1"/>
    <col min="4361" max="4608" width="8" style="113"/>
    <col min="4609" max="4609" width="15" style="113" customWidth="1"/>
    <col min="4610" max="4610" width="34.09765625" style="113" customWidth="1"/>
    <col min="4611" max="4611" width="37.5" style="113" customWidth="1"/>
    <col min="4612" max="4612" width="20" style="113" customWidth="1"/>
    <col min="4613" max="4614" width="12.5" style="113" customWidth="1"/>
    <col min="4615" max="4615" width="18.69921875" style="113" customWidth="1"/>
    <col min="4616" max="4616" width="13.09765625" style="113" customWidth="1"/>
    <col min="4617" max="4864" width="8" style="113"/>
    <col min="4865" max="4865" width="15" style="113" customWidth="1"/>
    <col min="4866" max="4866" width="34.09765625" style="113" customWidth="1"/>
    <col min="4867" max="4867" width="37.5" style="113" customWidth="1"/>
    <col min="4868" max="4868" width="20" style="113" customWidth="1"/>
    <col min="4869" max="4870" width="12.5" style="113" customWidth="1"/>
    <col min="4871" max="4871" width="18.69921875" style="113" customWidth="1"/>
    <col min="4872" max="4872" width="13.09765625" style="113" customWidth="1"/>
    <col min="4873" max="5120" width="8" style="113"/>
    <col min="5121" max="5121" width="15" style="113" customWidth="1"/>
    <col min="5122" max="5122" width="34.09765625" style="113" customWidth="1"/>
    <col min="5123" max="5123" width="37.5" style="113" customWidth="1"/>
    <col min="5124" max="5124" width="20" style="113" customWidth="1"/>
    <col min="5125" max="5126" width="12.5" style="113" customWidth="1"/>
    <col min="5127" max="5127" width="18.69921875" style="113" customWidth="1"/>
    <col min="5128" max="5128" width="13.09765625" style="113" customWidth="1"/>
    <col min="5129" max="5376" width="8" style="113"/>
    <col min="5377" max="5377" width="15" style="113" customWidth="1"/>
    <col min="5378" max="5378" width="34.09765625" style="113" customWidth="1"/>
    <col min="5379" max="5379" width="37.5" style="113" customWidth="1"/>
    <col min="5380" max="5380" width="20" style="113" customWidth="1"/>
    <col min="5381" max="5382" width="12.5" style="113" customWidth="1"/>
    <col min="5383" max="5383" width="18.69921875" style="113" customWidth="1"/>
    <col min="5384" max="5384" width="13.09765625" style="113" customWidth="1"/>
    <col min="5385" max="5632" width="8" style="113"/>
    <col min="5633" max="5633" width="15" style="113" customWidth="1"/>
    <col min="5634" max="5634" width="34.09765625" style="113" customWidth="1"/>
    <col min="5635" max="5635" width="37.5" style="113" customWidth="1"/>
    <col min="5636" max="5636" width="20" style="113" customWidth="1"/>
    <col min="5637" max="5638" width="12.5" style="113" customWidth="1"/>
    <col min="5639" max="5639" width="18.69921875" style="113" customWidth="1"/>
    <col min="5640" max="5640" width="13.09765625" style="113" customWidth="1"/>
    <col min="5641" max="5888" width="8" style="113"/>
    <col min="5889" max="5889" width="15" style="113" customWidth="1"/>
    <col min="5890" max="5890" width="34.09765625" style="113" customWidth="1"/>
    <col min="5891" max="5891" width="37.5" style="113" customWidth="1"/>
    <col min="5892" max="5892" width="20" style="113" customWidth="1"/>
    <col min="5893" max="5894" width="12.5" style="113" customWidth="1"/>
    <col min="5895" max="5895" width="18.69921875" style="113" customWidth="1"/>
    <col min="5896" max="5896" width="13.09765625" style="113" customWidth="1"/>
    <col min="5897" max="6144" width="8" style="113"/>
    <col min="6145" max="6145" width="15" style="113" customWidth="1"/>
    <col min="6146" max="6146" width="34.09765625" style="113" customWidth="1"/>
    <col min="6147" max="6147" width="37.5" style="113" customWidth="1"/>
    <col min="6148" max="6148" width="20" style="113" customWidth="1"/>
    <col min="6149" max="6150" width="12.5" style="113" customWidth="1"/>
    <col min="6151" max="6151" width="18.69921875" style="113" customWidth="1"/>
    <col min="6152" max="6152" width="13.09765625" style="113" customWidth="1"/>
    <col min="6153" max="6400" width="8" style="113"/>
    <col min="6401" max="6401" width="15" style="113" customWidth="1"/>
    <col min="6402" max="6402" width="34.09765625" style="113" customWidth="1"/>
    <col min="6403" max="6403" width="37.5" style="113" customWidth="1"/>
    <col min="6404" max="6404" width="20" style="113" customWidth="1"/>
    <col min="6405" max="6406" width="12.5" style="113" customWidth="1"/>
    <col min="6407" max="6407" width="18.69921875" style="113" customWidth="1"/>
    <col min="6408" max="6408" width="13.09765625" style="113" customWidth="1"/>
    <col min="6409" max="6656" width="8" style="113"/>
    <col min="6657" max="6657" width="15" style="113" customWidth="1"/>
    <col min="6658" max="6658" width="34.09765625" style="113" customWidth="1"/>
    <col min="6659" max="6659" width="37.5" style="113" customWidth="1"/>
    <col min="6660" max="6660" width="20" style="113" customWidth="1"/>
    <col min="6661" max="6662" width="12.5" style="113" customWidth="1"/>
    <col min="6663" max="6663" width="18.69921875" style="113" customWidth="1"/>
    <col min="6664" max="6664" width="13.09765625" style="113" customWidth="1"/>
    <col min="6665" max="6912" width="8" style="113"/>
    <col min="6913" max="6913" width="15" style="113" customWidth="1"/>
    <col min="6914" max="6914" width="34.09765625" style="113" customWidth="1"/>
    <col min="6915" max="6915" width="37.5" style="113" customWidth="1"/>
    <col min="6916" max="6916" width="20" style="113" customWidth="1"/>
    <col min="6917" max="6918" width="12.5" style="113" customWidth="1"/>
    <col min="6919" max="6919" width="18.69921875" style="113" customWidth="1"/>
    <col min="6920" max="6920" width="13.09765625" style="113" customWidth="1"/>
    <col min="6921" max="7168" width="8" style="113"/>
    <col min="7169" max="7169" width="15" style="113" customWidth="1"/>
    <col min="7170" max="7170" width="34.09765625" style="113" customWidth="1"/>
    <col min="7171" max="7171" width="37.5" style="113" customWidth="1"/>
    <col min="7172" max="7172" width="20" style="113" customWidth="1"/>
    <col min="7173" max="7174" width="12.5" style="113" customWidth="1"/>
    <col min="7175" max="7175" width="18.69921875" style="113" customWidth="1"/>
    <col min="7176" max="7176" width="13.09765625" style="113" customWidth="1"/>
    <col min="7177" max="7424" width="8" style="113"/>
    <col min="7425" max="7425" width="15" style="113" customWidth="1"/>
    <col min="7426" max="7426" width="34.09765625" style="113" customWidth="1"/>
    <col min="7427" max="7427" width="37.5" style="113" customWidth="1"/>
    <col min="7428" max="7428" width="20" style="113" customWidth="1"/>
    <col min="7429" max="7430" width="12.5" style="113" customWidth="1"/>
    <col min="7431" max="7431" width="18.69921875" style="113" customWidth="1"/>
    <col min="7432" max="7432" width="13.09765625" style="113" customWidth="1"/>
    <col min="7433" max="7680" width="8" style="113"/>
    <col min="7681" max="7681" width="15" style="113" customWidth="1"/>
    <col min="7682" max="7682" width="34.09765625" style="113" customWidth="1"/>
    <col min="7683" max="7683" width="37.5" style="113" customWidth="1"/>
    <col min="7684" max="7684" width="20" style="113" customWidth="1"/>
    <col min="7685" max="7686" width="12.5" style="113" customWidth="1"/>
    <col min="7687" max="7687" width="18.69921875" style="113" customWidth="1"/>
    <col min="7688" max="7688" width="13.09765625" style="113" customWidth="1"/>
    <col min="7689" max="7936" width="8" style="113"/>
    <col min="7937" max="7937" width="15" style="113" customWidth="1"/>
    <col min="7938" max="7938" width="34.09765625" style="113" customWidth="1"/>
    <col min="7939" max="7939" width="37.5" style="113" customWidth="1"/>
    <col min="7940" max="7940" width="20" style="113" customWidth="1"/>
    <col min="7941" max="7942" width="12.5" style="113" customWidth="1"/>
    <col min="7943" max="7943" width="18.69921875" style="113" customWidth="1"/>
    <col min="7944" max="7944" width="13.09765625" style="113" customWidth="1"/>
    <col min="7945" max="8192" width="8" style="113"/>
    <col min="8193" max="8193" width="15" style="113" customWidth="1"/>
    <col min="8194" max="8194" width="34.09765625" style="113" customWidth="1"/>
    <col min="8195" max="8195" width="37.5" style="113" customWidth="1"/>
    <col min="8196" max="8196" width="20" style="113" customWidth="1"/>
    <col min="8197" max="8198" width="12.5" style="113" customWidth="1"/>
    <col min="8199" max="8199" width="18.69921875" style="113" customWidth="1"/>
    <col min="8200" max="8200" width="13.09765625" style="113" customWidth="1"/>
    <col min="8201" max="8448" width="8" style="113"/>
    <col min="8449" max="8449" width="15" style="113" customWidth="1"/>
    <col min="8450" max="8450" width="34.09765625" style="113" customWidth="1"/>
    <col min="8451" max="8451" width="37.5" style="113" customWidth="1"/>
    <col min="8452" max="8452" width="20" style="113" customWidth="1"/>
    <col min="8453" max="8454" width="12.5" style="113" customWidth="1"/>
    <col min="8455" max="8455" width="18.69921875" style="113" customWidth="1"/>
    <col min="8456" max="8456" width="13.09765625" style="113" customWidth="1"/>
    <col min="8457" max="8704" width="8" style="113"/>
    <col min="8705" max="8705" width="15" style="113" customWidth="1"/>
    <col min="8706" max="8706" width="34.09765625" style="113" customWidth="1"/>
    <col min="8707" max="8707" width="37.5" style="113" customWidth="1"/>
    <col min="8708" max="8708" width="20" style="113" customWidth="1"/>
    <col min="8709" max="8710" width="12.5" style="113" customWidth="1"/>
    <col min="8711" max="8711" width="18.69921875" style="113" customWidth="1"/>
    <col min="8712" max="8712" width="13.09765625" style="113" customWidth="1"/>
    <col min="8713" max="8960" width="8" style="113"/>
    <col min="8961" max="8961" width="15" style="113" customWidth="1"/>
    <col min="8962" max="8962" width="34.09765625" style="113" customWidth="1"/>
    <col min="8963" max="8963" width="37.5" style="113" customWidth="1"/>
    <col min="8964" max="8964" width="20" style="113" customWidth="1"/>
    <col min="8965" max="8966" width="12.5" style="113" customWidth="1"/>
    <col min="8967" max="8967" width="18.69921875" style="113" customWidth="1"/>
    <col min="8968" max="8968" width="13.09765625" style="113" customWidth="1"/>
    <col min="8969" max="9216" width="8" style="113"/>
    <col min="9217" max="9217" width="15" style="113" customWidth="1"/>
    <col min="9218" max="9218" width="34.09765625" style="113" customWidth="1"/>
    <col min="9219" max="9219" width="37.5" style="113" customWidth="1"/>
    <col min="9220" max="9220" width="20" style="113" customWidth="1"/>
    <col min="9221" max="9222" width="12.5" style="113" customWidth="1"/>
    <col min="9223" max="9223" width="18.69921875" style="113" customWidth="1"/>
    <col min="9224" max="9224" width="13.09765625" style="113" customWidth="1"/>
    <col min="9225" max="9472" width="8" style="113"/>
    <col min="9473" max="9473" width="15" style="113" customWidth="1"/>
    <col min="9474" max="9474" width="34.09765625" style="113" customWidth="1"/>
    <col min="9475" max="9475" width="37.5" style="113" customWidth="1"/>
    <col min="9476" max="9476" width="20" style="113" customWidth="1"/>
    <col min="9477" max="9478" width="12.5" style="113" customWidth="1"/>
    <col min="9479" max="9479" width="18.69921875" style="113" customWidth="1"/>
    <col min="9480" max="9480" width="13.09765625" style="113" customWidth="1"/>
    <col min="9481" max="9728" width="8" style="113"/>
    <col min="9729" max="9729" width="15" style="113" customWidth="1"/>
    <col min="9730" max="9730" width="34.09765625" style="113" customWidth="1"/>
    <col min="9731" max="9731" width="37.5" style="113" customWidth="1"/>
    <col min="9732" max="9732" width="20" style="113" customWidth="1"/>
    <col min="9733" max="9734" width="12.5" style="113" customWidth="1"/>
    <col min="9735" max="9735" width="18.69921875" style="113" customWidth="1"/>
    <col min="9736" max="9736" width="13.09765625" style="113" customWidth="1"/>
    <col min="9737" max="9984" width="8" style="113"/>
    <col min="9985" max="9985" width="15" style="113" customWidth="1"/>
    <col min="9986" max="9986" width="34.09765625" style="113" customWidth="1"/>
    <col min="9987" max="9987" width="37.5" style="113" customWidth="1"/>
    <col min="9988" max="9988" width="20" style="113" customWidth="1"/>
    <col min="9989" max="9990" width="12.5" style="113" customWidth="1"/>
    <col min="9991" max="9991" width="18.69921875" style="113" customWidth="1"/>
    <col min="9992" max="9992" width="13.09765625" style="113" customWidth="1"/>
    <col min="9993" max="10240" width="8" style="113"/>
    <col min="10241" max="10241" width="15" style="113" customWidth="1"/>
    <col min="10242" max="10242" width="34.09765625" style="113" customWidth="1"/>
    <col min="10243" max="10243" width="37.5" style="113" customWidth="1"/>
    <col min="10244" max="10244" width="20" style="113" customWidth="1"/>
    <col min="10245" max="10246" width="12.5" style="113" customWidth="1"/>
    <col min="10247" max="10247" width="18.69921875" style="113" customWidth="1"/>
    <col min="10248" max="10248" width="13.09765625" style="113" customWidth="1"/>
    <col min="10249" max="10496" width="8" style="113"/>
    <col min="10497" max="10497" width="15" style="113" customWidth="1"/>
    <col min="10498" max="10498" width="34.09765625" style="113" customWidth="1"/>
    <col min="10499" max="10499" width="37.5" style="113" customWidth="1"/>
    <col min="10500" max="10500" width="20" style="113" customWidth="1"/>
    <col min="10501" max="10502" width="12.5" style="113" customWidth="1"/>
    <col min="10503" max="10503" width="18.69921875" style="113" customWidth="1"/>
    <col min="10504" max="10504" width="13.09765625" style="113" customWidth="1"/>
    <col min="10505" max="10752" width="8" style="113"/>
    <col min="10753" max="10753" width="15" style="113" customWidth="1"/>
    <col min="10754" max="10754" width="34.09765625" style="113" customWidth="1"/>
    <col min="10755" max="10755" width="37.5" style="113" customWidth="1"/>
    <col min="10756" max="10756" width="20" style="113" customWidth="1"/>
    <col min="10757" max="10758" width="12.5" style="113" customWidth="1"/>
    <col min="10759" max="10759" width="18.69921875" style="113" customWidth="1"/>
    <col min="10760" max="10760" width="13.09765625" style="113" customWidth="1"/>
    <col min="10761" max="11008" width="8" style="113"/>
    <col min="11009" max="11009" width="15" style="113" customWidth="1"/>
    <col min="11010" max="11010" width="34.09765625" style="113" customWidth="1"/>
    <col min="11011" max="11011" width="37.5" style="113" customWidth="1"/>
    <col min="11012" max="11012" width="20" style="113" customWidth="1"/>
    <col min="11013" max="11014" width="12.5" style="113" customWidth="1"/>
    <col min="11015" max="11015" width="18.69921875" style="113" customWidth="1"/>
    <col min="11016" max="11016" width="13.09765625" style="113" customWidth="1"/>
    <col min="11017" max="11264" width="8" style="113"/>
    <col min="11265" max="11265" width="15" style="113" customWidth="1"/>
    <col min="11266" max="11266" width="34.09765625" style="113" customWidth="1"/>
    <col min="11267" max="11267" width="37.5" style="113" customWidth="1"/>
    <col min="11268" max="11268" width="20" style="113" customWidth="1"/>
    <col min="11269" max="11270" width="12.5" style="113" customWidth="1"/>
    <col min="11271" max="11271" width="18.69921875" style="113" customWidth="1"/>
    <col min="11272" max="11272" width="13.09765625" style="113" customWidth="1"/>
    <col min="11273" max="11520" width="8" style="113"/>
    <col min="11521" max="11521" width="15" style="113" customWidth="1"/>
    <col min="11522" max="11522" width="34.09765625" style="113" customWidth="1"/>
    <col min="11523" max="11523" width="37.5" style="113" customWidth="1"/>
    <col min="11524" max="11524" width="20" style="113" customWidth="1"/>
    <col min="11525" max="11526" width="12.5" style="113" customWidth="1"/>
    <col min="11527" max="11527" width="18.69921875" style="113" customWidth="1"/>
    <col min="11528" max="11528" width="13.09765625" style="113" customWidth="1"/>
    <col min="11529" max="11776" width="8" style="113"/>
    <col min="11777" max="11777" width="15" style="113" customWidth="1"/>
    <col min="11778" max="11778" width="34.09765625" style="113" customWidth="1"/>
    <col min="11779" max="11779" width="37.5" style="113" customWidth="1"/>
    <col min="11780" max="11780" width="20" style="113" customWidth="1"/>
    <col min="11781" max="11782" width="12.5" style="113" customWidth="1"/>
    <col min="11783" max="11783" width="18.69921875" style="113" customWidth="1"/>
    <col min="11784" max="11784" width="13.09765625" style="113" customWidth="1"/>
    <col min="11785" max="12032" width="8" style="113"/>
    <col min="12033" max="12033" width="15" style="113" customWidth="1"/>
    <col min="12034" max="12034" width="34.09765625" style="113" customWidth="1"/>
    <col min="12035" max="12035" width="37.5" style="113" customWidth="1"/>
    <col min="12036" max="12036" width="20" style="113" customWidth="1"/>
    <col min="12037" max="12038" width="12.5" style="113" customWidth="1"/>
    <col min="12039" max="12039" width="18.69921875" style="113" customWidth="1"/>
    <col min="12040" max="12040" width="13.09765625" style="113" customWidth="1"/>
    <col min="12041" max="12288" width="8" style="113"/>
    <col min="12289" max="12289" width="15" style="113" customWidth="1"/>
    <col min="12290" max="12290" width="34.09765625" style="113" customWidth="1"/>
    <col min="12291" max="12291" width="37.5" style="113" customWidth="1"/>
    <col min="12292" max="12292" width="20" style="113" customWidth="1"/>
    <col min="12293" max="12294" width="12.5" style="113" customWidth="1"/>
    <col min="12295" max="12295" width="18.69921875" style="113" customWidth="1"/>
    <col min="12296" max="12296" width="13.09765625" style="113" customWidth="1"/>
    <col min="12297" max="12544" width="8" style="113"/>
    <col min="12545" max="12545" width="15" style="113" customWidth="1"/>
    <col min="12546" max="12546" width="34.09765625" style="113" customWidth="1"/>
    <col min="12547" max="12547" width="37.5" style="113" customWidth="1"/>
    <col min="12548" max="12548" width="20" style="113" customWidth="1"/>
    <col min="12549" max="12550" width="12.5" style="113" customWidth="1"/>
    <col min="12551" max="12551" width="18.69921875" style="113" customWidth="1"/>
    <col min="12552" max="12552" width="13.09765625" style="113" customWidth="1"/>
    <col min="12553" max="12800" width="8" style="113"/>
    <col min="12801" max="12801" width="15" style="113" customWidth="1"/>
    <col min="12802" max="12802" width="34.09765625" style="113" customWidth="1"/>
    <col min="12803" max="12803" width="37.5" style="113" customWidth="1"/>
    <col min="12804" max="12804" width="20" style="113" customWidth="1"/>
    <col min="12805" max="12806" width="12.5" style="113" customWidth="1"/>
    <col min="12807" max="12807" width="18.69921875" style="113" customWidth="1"/>
    <col min="12808" max="12808" width="13.09765625" style="113" customWidth="1"/>
    <col min="12809" max="13056" width="8" style="113"/>
    <col min="13057" max="13057" width="15" style="113" customWidth="1"/>
    <col min="13058" max="13058" width="34.09765625" style="113" customWidth="1"/>
    <col min="13059" max="13059" width="37.5" style="113" customWidth="1"/>
    <col min="13060" max="13060" width="20" style="113" customWidth="1"/>
    <col min="13061" max="13062" width="12.5" style="113" customWidth="1"/>
    <col min="13063" max="13063" width="18.69921875" style="113" customWidth="1"/>
    <col min="13064" max="13064" width="13.09765625" style="113" customWidth="1"/>
    <col min="13065" max="13312" width="8" style="113"/>
    <col min="13313" max="13313" width="15" style="113" customWidth="1"/>
    <col min="13314" max="13314" width="34.09765625" style="113" customWidth="1"/>
    <col min="13315" max="13315" width="37.5" style="113" customWidth="1"/>
    <col min="13316" max="13316" width="20" style="113" customWidth="1"/>
    <col min="13317" max="13318" width="12.5" style="113" customWidth="1"/>
    <col min="13319" max="13319" width="18.69921875" style="113" customWidth="1"/>
    <col min="13320" max="13320" width="13.09765625" style="113" customWidth="1"/>
    <col min="13321" max="13568" width="8" style="113"/>
    <col min="13569" max="13569" width="15" style="113" customWidth="1"/>
    <col min="13570" max="13570" width="34.09765625" style="113" customWidth="1"/>
    <col min="13571" max="13571" width="37.5" style="113" customWidth="1"/>
    <col min="13572" max="13572" width="20" style="113" customWidth="1"/>
    <col min="13573" max="13574" width="12.5" style="113" customWidth="1"/>
    <col min="13575" max="13575" width="18.69921875" style="113" customWidth="1"/>
    <col min="13576" max="13576" width="13.09765625" style="113" customWidth="1"/>
    <col min="13577" max="13824" width="8" style="113"/>
    <col min="13825" max="13825" width="15" style="113" customWidth="1"/>
    <col min="13826" max="13826" width="34.09765625" style="113" customWidth="1"/>
    <col min="13827" max="13827" width="37.5" style="113" customWidth="1"/>
    <col min="13828" max="13828" width="20" style="113" customWidth="1"/>
    <col min="13829" max="13830" width="12.5" style="113" customWidth="1"/>
    <col min="13831" max="13831" width="18.69921875" style="113" customWidth="1"/>
    <col min="13832" max="13832" width="13.09765625" style="113" customWidth="1"/>
    <col min="13833" max="14080" width="8" style="113"/>
    <col min="14081" max="14081" width="15" style="113" customWidth="1"/>
    <col min="14082" max="14082" width="34.09765625" style="113" customWidth="1"/>
    <col min="14083" max="14083" width="37.5" style="113" customWidth="1"/>
    <col min="14084" max="14084" width="20" style="113" customWidth="1"/>
    <col min="14085" max="14086" width="12.5" style="113" customWidth="1"/>
    <col min="14087" max="14087" width="18.69921875" style="113" customWidth="1"/>
    <col min="14088" max="14088" width="13.09765625" style="113" customWidth="1"/>
    <col min="14089" max="14336" width="8" style="113"/>
    <col min="14337" max="14337" width="15" style="113" customWidth="1"/>
    <col min="14338" max="14338" width="34.09765625" style="113" customWidth="1"/>
    <col min="14339" max="14339" width="37.5" style="113" customWidth="1"/>
    <col min="14340" max="14340" width="20" style="113" customWidth="1"/>
    <col min="14341" max="14342" width="12.5" style="113" customWidth="1"/>
    <col min="14343" max="14343" width="18.69921875" style="113" customWidth="1"/>
    <col min="14344" max="14344" width="13.09765625" style="113" customWidth="1"/>
    <col min="14345" max="14592" width="8" style="113"/>
    <col min="14593" max="14593" width="15" style="113" customWidth="1"/>
    <col min="14594" max="14594" width="34.09765625" style="113" customWidth="1"/>
    <col min="14595" max="14595" width="37.5" style="113" customWidth="1"/>
    <col min="14596" max="14596" width="20" style="113" customWidth="1"/>
    <col min="14597" max="14598" width="12.5" style="113" customWidth="1"/>
    <col min="14599" max="14599" width="18.69921875" style="113" customWidth="1"/>
    <col min="14600" max="14600" width="13.09765625" style="113" customWidth="1"/>
    <col min="14601" max="14848" width="8" style="113"/>
    <col min="14849" max="14849" width="15" style="113" customWidth="1"/>
    <col min="14850" max="14850" width="34.09765625" style="113" customWidth="1"/>
    <col min="14851" max="14851" width="37.5" style="113" customWidth="1"/>
    <col min="14852" max="14852" width="20" style="113" customWidth="1"/>
    <col min="14853" max="14854" width="12.5" style="113" customWidth="1"/>
    <col min="14855" max="14855" width="18.69921875" style="113" customWidth="1"/>
    <col min="14856" max="14856" width="13.09765625" style="113" customWidth="1"/>
    <col min="14857" max="15104" width="8" style="113"/>
    <col min="15105" max="15105" width="15" style="113" customWidth="1"/>
    <col min="15106" max="15106" width="34.09765625" style="113" customWidth="1"/>
    <col min="15107" max="15107" width="37.5" style="113" customWidth="1"/>
    <col min="15108" max="15108" width="20" style="113" customWidth="1"/>
    <col min="15109" max="15110" width="12.5" style="113" customWidth="1"/>
    <col min="15111" max="15111" width="18.69921875" style="113" customWidth="1"/>
    <col min="15112" max="15112" width="13.09765625" style="113" customWidth="1"/>
    <col min="15113" max="15360" width="8" style="113"/>
    <col min="15361" max="15361" width="15" style="113" customWidth="1"/>
    <col min="15362" max="15362" width="34.09765625" style="113" customWidth="1"/>
    <col min="15363" max="15363" width="37.5" style="113" customWidth="1"/>
    <col min="15364" max="15364" width="20" style="113" customWidth="1"/>
    <col min="15365" max="15366" width="12.5" style="113" customWidth="1"/>
    <col min="15367" max="15367" width="18.69921875" style="113" customWidth="1"/>
    <col min="15368" max="15368" width="13.09765625" style="113" customWidth="1"/>
    <col min="15369" max="15616" width="8" style="113"/>
    <col min="15617" max="15617" width="15" style="113" customWidth="1"/>
    <col min="15618" max="15618" width="34.09765625" style="113" customWidth="1"/>
    <col min="15619" max="15619" width="37.5" style="113" customWidth="1"/>
    <col min="15620" max="15620" width="20" style="113" customWidth="1"/>
    <col min="15621" max="15622" width="12.5" style="113" customWidth="1"/>
    <col min="15623" max="15623" width="18.69921875" style="113" customWidth="1"/>
    <col min="15624" max="15624" width="13.09765625" style="113" customWidth="1"/>
    <col min="15625" max="15872" width="8" style="113"/>
    <col min="15873" max="15873" width="15" style="113" customWidth="1"/>
    <col min="15874" max="15874" width="34.09765625" style="113" customWidth="1"/>
    <col min="15875" max="15875" width="37.5" style="113" customWidth="1"/>
    <col min="15876" max="15876" width="20" style="113" customWidth="1"/>
    <col min="15877" max="15878" width="12.5" style="113" customWidth="1"/>
    <col min="15879" max="15879" width="18.69921875" style="113" customWidth="1"/>
    <col min="15880" max="15880" width="13.09765625" style="113" customWidth="1"/>
    <col min="15881" max="16128" width="8" style="113"/>
    <col min="16129" max="16129" width="15" style="113" customWidth="1"/>
    <col min="16130" max="16130" width="34.09765625" style="113" customWidth="1"/>
    <col min="16131" max="16131" width="37.5" style="113" customWidth="1"/>
    <col min="16132" max="16132" width="20" style="113" customWidth="1"/>
    <col min="16133" max="16134" width="12.5" style="113" customWidth="1"/>
    <col min="16135" max="16135" width="18.69921875" style="113" customWidth="1"/>
    <col min="16136" max="16136" width="13.09765625" style="113" customWidth="1"/>
    <col min="16137" max="16384" width="8" style="113"/>
  </cols>
  <sheetData>
    <row r="1" spans="1:16" ht="17.399999999999999" x14ac:dyDescent="0.3">
      <c r="A1" s="437" t="s">
        <v>245</v>
      </c>
      <c r="B1" s="437"/>
      <c r="C1" s="437"/>
      <c r="D1" s="437"/>
      <c r="E1" s="437"/>
      <c r="F1" s="437"/>
      <c r="G1" s="437"/>
      <c r="H1" s="437"/>
      <c r="N1" s="120" t="s">
        <v>6183</v>
      </c>
      <c r="O1" s="113" t="s">
        <v>12773</v>
      </c>
      <c r="P1" s="113">
        <f t="shared" ref="P1:P6" si="0">IF(OR(N1="CG01889",N1="CG01675",N1="CG02085",N1="CG01968",N1="CG00711",N1="CG00679"),1,0)</f>
        <v>1</v>
      </c>
    </row>
    <row r="2" spans="1:16" ht="15" customHeight="1" x14ac:dyDescent="0.3">
      <c r="A2" s="119" t="s">
        <v>246</v>
      </c>
      <c r="B2" s="119" t="s">
        <v>247</v>
      </c>
      <c r="C2" s="119" t="s">
        <v>31</v>
      </c>
      <c r="D2" s="119" t="s">
        <v>248</v>
      </c>
      <c r="E2" s="119" t="s">
        <v>249</v>
      </c>
      <c r="F2" s="119" t="s">
        <v>250</v>
      </c>
      <c r="G2" s="119" t="s">
        <v>251</v>
      </c>
      <c r="H2" s="119" t="s">
        <v>252</v>
      </c>
      <c r="N2" s="113" t="s">
        <v>197</v>
      </c>
      <c r="O2" s="113" t="s">
        <v>12684</v>
      </c>
      <c r="P2" s="113">
        <f t="shared" si="0"/>
        <v>1</v>
      </c>
    </row>
    <row r="3" spans="1:16" x14ac:dyDescent="0.3">
      <c r="A3" s="298" t="s">
        <v>253</v>
      </c>
      <c r="B3" s="298" t="s">
        <v>254</v>
      </c>
      <c r="C3" s="298" t="s">
        <v>255</v>
      </c>
      <c r="D3" s="298" t="s">
        <v>256</v>
      </c>
      <c r="E3" s="298" t="s">
        <v>257</v>
      </c>
      <c r="F3" s="298" t="s">
        <v>258</v>
      </c>
      <c r="G3" s="299" t="b">
        <v>0</v>
      </c>
      <c r="H3" s="299" t="b">
        <v>0</v>
      </c>
      <c r="J3" s="113" t="str">
        <f>RIGHT(B3,10)</f>
        <v>0915214066</v>
      </c>
      <c r="K3" s="113" t="str">
        <f>A3</f>
        <v>CG00001</v>
      </c>
      <c r="N3" s="113" t="s">
        <v>6771</v>
      </c>
      <c r="O3" s="113" t="s">
        <v>12768</v>
      </c>
      <c r="P3" s="113">
        <f t="shared" si="0"/>
        <v>1</v>
      </c>
    </row>
    <row r="4" spans="1:16" x14ac:dyDescent="0.3">
      <c r="A4" s="298" t="s">
        <v>259</v>
      </c>
      <c r="B4" s="298" t="s">
        <v>260</v>
      </c>
      <c r="C4" s="298" t="s">
        <v>261</v>
      </c>
      <c r="D4" s="298" t="s">
        <v>256</v>
      </c>
      <c r="E4" s="298"/>
      <c r="F4" s="298" t="s">
        <v>262</v>
      </c>
      <c r="G4" s="299" t="b">
        <v>0</v>
      </c>
      <c r="H4" s="299" t="b">
        <v>0</v>
      </c>
      <c r="J4" s="113" t="str">
        <f>RIGHT(B4,9)</f>
        <v>912350099</v>
      </c>
      <c r="K4" s="113" t="str">
        <f>A4</f>
        <v>CG00002</v>
      </c>
      <c r="N4" s="113" t="s">
        <v>6415</v>
      </c>
      <c r="O4" s="113" t="s">
        <v>12770</v>
      </c>
      <c r="P4" s="113">
        <f t="shared" si="0"/>
        <v>1</v>
      </c>
    </row>
    <row r="5" spans="1:16" x14ac:dyDescent="0.3">
      <c r="A5" s="298" t="s">
        <v>263</v>
      </c>
      <c r="B5" s="298" t="s">
        <v>264</v>
      </c>
      <c r="C5" s="298" t="s">
        <v>265</v>
      </c>
      <c r="D5" s="298" t="s">
        <v>256</v>
      </c>
      <c r="E5" s="298"/>
      <c r="F5" s="298" t="s">
        <v>266</v>
      </c>
      <c r="G5" s="299" t="b">
        <v>0</v>
      </c>
      <c r="H5" s="299" t="b">
        <v>0</v>
      </c>
      <c r="J5" s="113" t="str">
        <f t="shared" ref="J5:J68" si="1">RIGHT(B5,9)</f>
        <v>936926888</v>
      </c>
      <c r="K5" s="113" t="str">
        <f t="shared" ref="K5:K68" si="2">A5</f>
        <v>CG00003</v>
      </c>
      <c r="N5" s="120" t="s">
        <v>2533</v>
      </c>
      <c r="O5" s="113" t="s">
        <v>12771</v>
      </c>
      <c r="P5" s="113">
        <f t="shared" si="0"/>
        <v>1</v>
      </c>
    </row>
    <row r="6" spans="1:16" x14ac:dyDescent="0.3">
      <c r="A6" s="298" t="s">
        <v>267</v>
      </c>
      <c r="B6" s="298" t="s">
        <v>268</v>
      </c>
      <c r="C6" s="298" t="s">
        <v>269</v>
      </c>
      <c r="D6" s="298" t="s">
        <v>256</v>
      </c>
      <c r="E6" s="298" t="s">
        <v>270</v>
      </c>
      <c r="F6" s="298" t="s">
        <v>271</v>
      </c>
      <c r="G6" s="299" t="b">
        <v>0</v>
      </c>
      <c r="H6" s="299" t="b">
        <v>0</v>
      </c>
      <c r="J6" s="113" t="str">
        <f t="shared" si="1"/>
        <v>300160248</v>
      </c>
      <c r="K6" s="113" t="str">
        <f t="shared" si="2"/>
        <v>CG00004</v>
      </c>
      <c r="N6" s="120" t="s">
        <v>2434</v>
      </c>
      <c r="O6" s="113" t="s">
        <v>12772</v>
      </c>
      <c r="P6" s="113">
        <f t="shared" si="0"/>
        <v>1</v>
      </c>
    </row>
    <row r="7" spans="1:16" x14ac:dyDescent="0.3">
      <c r="A7" s="298" t="s">
        <v>272</v>
      </c>
      <c r="B7" s="298" t="s">
        <v>273</v>
      </c>
      <c r="C7" s="298" t="s">
        <v>274</v>
      </c>
      <c r="D7" s="298" t="s">
        <v>256</v>
      </c>
      <c r="E7" s="298"/>
      <c r="F7" s="298"/>
      <c r="G7" s="299" t="b">
        <v>0</v>
      </c>
      <c r="H7" s="299" t="b">
        <v>0</v>
      </c>
      <c r="J7" s="113" t="str">
        <f t="shared" si="1"/>
        <v>937381977</v>
      </c>
      <c r="K7" s="113" t="str">
        <f t="shared" si="2"/>
        <v>CG00005</v>
      </c>
    </row>
    <row r="8" spans="1:16" x14ac:dyDescent="0.3">
      <c r="A8" s="298" t="s">
        <v>275</v>
      </c>
      <c r="B8" s="298" t="s">
        <v>276</v>
      </c>
      <c r="C8" s="298" t="s">
        <v>277</v>
      </c>
      <c r="D8" s="298" t="s">
        <v>256</v>
      </c>
      <c r="E8" s="298"/>
      <c r="F8" s="298" t="s">
        <v>278</v>
      </c>
      <c r="G8" s="299" t="b">
        <v>0</v>
      </c>
      <c r="H8" s="299" t="b">
        <v>0</v>
      </c>
      <c r="J8" s="113" t="str">
        <f t="shared" si="1"/>
        <v>904296995</v>
      </c>
      <c r="K8" s="113" t="str">
        <f t="shared" si="2"/>
        <v>CG00006</v>
      </c>
    </row>
    <row r="9" spans="1:16" x14ac:dyDescent="0.3">
      <c r="A9" s="298" t="s">
        <v>279</v>
      </c>
      <c r="B9" s="298" t="s">
        <v>280</v>
      </c>
      <c r="C9" s="298" t="s">
        <v>281</v>
      </c>
      <c r="D9" s="298" t="s">
        <v>256</v>
      </c>
      <c r="E9" s="298" t="s">
        <v>282</v>
      </c>
      <c r="F9" s="298" t="s">
        <v>283</v>
      </c>
      <c r="G9" s="299" t="b">
        <v>0</v>
      </c>
      <c r="H9" s="299" t="b">
        <v>0</v>
      </c>
      <c r="J9" s="113" t="str">
        <f t="shared" si="1"/>
        <v>913036495</v>
      </c>
      <c r="K9" s="113" t="str">
        <f t="shared" si="2"/>
        <v>CG00007</v>
      </c>
    </row>
    <row r="10" spans="1:16" x14ac:dyDescent="0.3">
      <c r="A10" s="298" t="s">
        <v>284</v>
      </c>
      <c r="B10" s="298" t="s">
        <v>285</v>
      </c>
      <c r="C10" s="298" t="s">
        <v>286</v>
      </c>
      <c r="D10" s="298" t="s">
        <v>256</v>
      </c>
      <c r="E10" s="298"/>
      <c r="F10" s="298"/>
      <c r="G10" s="299" t="b">
        <v>0</v>
      </c>
      <c r="H10" s="299" t="b">
        <v>0</v>
      </c>
      <c r="J10" s="113" t="str">
        <f t="shared" si="1"/>
        <v>913300021</v>
      </c>
      <c r="K10" s="113" t="str">
        <f t="shared" si="2"/>
        <v>CG00008</v>
      </c>
    </row>
    <row r="11" spans="1:16" x14ac:dyDescent="0.3">
      <c r="A11" s="298" t="s">
        <v>287</v>
      </c>
      <c r="B11" s="298" t="s">
        <v>288</v>
      </c>
      <c r="C11" s="298" t="s">
        <v>289</v>
      </c>
      <c r="D11" s="298" t="s">
        <v>256</v>
      </c>
      <c r="E11" s="298"/>
      <c r="F11" s="298"/>
      <c r="G11" s="299" t="b">
        <v>0</v>
      </c>
      <c r="H11" s="299" t="b">
        <v>0</v>
      </c>
      <c r="J11" s="113" t="str">
        <f t="shared" si="1"/>
        <v>969855228</v>
      </c>
      <c r="K11" s="113" t="str">
        <f t="shared" si="2"/>
        <v>CG00009</v>
      </c>
    </row>
    <row r="12" spans="1:16" x14ac:dyDescent="0.3">
      <c r="A12" s="298" t="s">
        <v>290</v>
      </c>
      <c r="B12" s="298" t="s">
        <v>291</v>
      </c>
      <c r="C12" s="298" t="s">
        <v>292</v>
      </c>
      <c r="D12" s="298" t="s">
        <v>256</v>
      </c>
      <c r="E12" s="298"/>
      <c r="F12" s="298"/>
      <c r="G12" s="299" t="b">
        <v>0</v>
      </c>
      <c r="H12" s="299" t="b">
        <v>0</v>
      </c>
      <c r="J12" s="113" t="str">
        <f t="shared" si="1"/>
        <v>913544073</v>
      </c>
      <c r="K12" s="113" t="str">
        <f t="shared" si="2"/>
        <v>CG00010</v>
      </c>
    </row>
    <row r="13" spans="1:16" x14ac:dyDescent="0.3">
      <c r="A13" s="298" t="s">
        <v>293</v>
      </c>
      <c r="B13" s="298" t="s">
        <v>294</v>
      </c>
      <c r="C13" s="298" t="s">
        <v>292</v>
      </c>
      <c r="D13" s="298" t="s">
        <v>256</v>
      </c>
      <c r="E13" s="298"/>
      <c r="F13" s="298"/>
      <c r="G13" s="299" t="b">
        <v>0</v>
      </c>
      <c r="H13" s="299" t="b">
        <v>0</v>
      </c>
      <c r="J13" s="113" t="str">
        <f t="shared" si="1"/>
        <v>946563999</v>
      </c>
      <c r="K13" s="113" t="str">
        <f t="shared" si="2"/>
        <v>CG00011</v>
      </c>
    </row>
    <row r="14" spans="1:16" x14ac:dyDescent="0.3">
      <c r="A14" s="298" t="s">
        <v>295</v>
      </c>
      <c r="B14" s="298" t="s">
        <v>296</v>
      </c>
      <c r="C14" s="298" t="s">
        <v>297</v>
      </c>
      <c r="D14" s="298" t="s">
        <v>256</v>
      </c>
      <c r="E14" s="298"/>
      <c r="F14" s="298" t="s">
        <v>298</v>
      </c>
      <c r="G14" s="299" t="b">
        <v>0</v>
      </c>
      <c r="H14" s="299" t="b">
        <v>0</v>
      </c>
      <c r="J14" s="113" t="str">
        <f t="shared" si="1"/>
        <v>393081082</v>
      </c>
      <c r="K14" s="113" t="str">
        <f t="shared" si="2"/>
        <v>CG00012</v>
      </c>
    </row>
    <row r="15" spans="1:16" x14ac:dyDescent="0.3">
      <c r="A15" s="298" t="s">
        <v>299</v>
      </c>
      <c r="B15" s="298" t="s">
        <v>300</v>
      </c>
      <c r="C15" s="298" t="s">
        <v>301</v>
      </c>
      <c r="D15" s="298" t="s">
        <v>256</v>
      </c>
      <c r="E15" s="298"/>
      <c r="F15" s="298" t="s">
        <v>302</v>
      </c>
      <c r="G15" s="299" t="b">
        <v>0</v>
      </c>
      <c r="H15" s="299" t="b">
        <v>0</v>
      </c>
      <c r="J15" s="113" t="str">
        <f t="shared" si="1"/>
        <v>982315443</v>
      </c>
      <c r="K15" s="113" t="str">
        <f t="shared" si="2"/>
        <v>CG00013</v>
      </c>
    </row>
    <row r="16" spans="1:16" x14ac:dyDescent="0.3">
      <c r="A16" s="298" t="s">
        <v>303</v>
      </c>
      <c r="B16" s="298" t="s">
        <v>304</v>
      </c>
      <c r="C16" s="298" t="s">
        <v>305</v>
      </c>
      <c r="D16" s="298" t="s">
        <v>256</v>
      </c>
      <c r="E16" s="298"/>
      <c r="F16" s="298" t="s">
        <v>306</v>
      </c>
      <c r="G16" s="299" t="b">
        <v>0</v>
      </c>
      <c r="H16" s="299" t="b">
        <v>0</v>
      </c>
      <c r="J16" s="113" t="str">
        <f t="shared" si="1"/>
        <v>915533221</v>
      </c>
      <c r="K16" s="113" t="str">
        <f t="shared" si="2"/>
        <v>CG00014</v>
      </c>
    </row>
    <row r="17" spans="1:11" x14ac:dyDescent="0.3">
      <c r="A17" s="298" t="s">
        <v>307</v>
      </c>
      <c r="B17" s="298" t="s">
        <v>308</v>
      </c>
      <c r="C17" s="298" t="s">
        <v>309</v>
      </c>
      <c r="D17" s="298" t="s">
        <v>256</v>
      </c>
      <c r="E17" s="298"/>
      <c r="F17" s="298"/>
      <c r="G17" s="299" t="b">
        <v>0</v>
      </c>
      <c r="H17" s="299" t="b">
        <v>0</v>
      </c>
      <c r="J17" s="113" t="str">
        <f t="shared" si="1"/>
        <v>943475008</v>
      </c>
      <c r="K17" s="113" t="str">
        <f t="shared" si="2"/>
        <v>CG00015</v>
      </c>
    </row>
    <row r="18" spans="1:11" x14ac:dyDescent="0.3">
      <c r="A18" s="298" t="s">
        <v>310</v>
      </c>
      <c r="B18" s="298" t="s">
        <v>311</v>
      </c>
      <c r="C18" s="298" t="s">
        <v>312</v>
      </c>
      <c r="D18" s="298" t="s">
        <v>256</v>
      </c>
      <c r="E18" s="298"/>
      <c r="F18" s="298"/>
      <c r="G18" s="299" t="b">
        <v>0</v>
      </c>
      <c r="H18" s="299" t="b">
        <v>0</v>
      </c>
      <c r="J18" s="113" t="str">
        <f t="shared" si="1"/>
        <v>946939568</v>
      </c>
      <c r="K18" s="113" t="str">
        <f t="shared" si="2"/>
        <v>CG00016</v>
      </c>
    </row>
    <row r="19" spans="1:11" x14ac:dyDescent="0.3">
      <c r="A19" s="298" t="s">
        <v>313</v>
      </c>
      <c r="B19" s="298" t="s">
        <v>314</v>
      </c>
      <c r="C19" s="298" t="s">
        <v>289</v>
      </c>
      <c r="D19" s="298" t="s">
        <v>256</v>
      </c>
      <c r="E19" s="298"/>
      <c r="F19" s="298"/>
      <c r="G19" s="299" t="b">
        <v>0</v>
      </c>
      <c r="H19" s="299" t="b">
        <v>0</v>
      </c>
      <c r="J19" s="113" t="str">
        <f t="shared" si="1"/>
        <v>988090189</v>
      </c>
      <c r="K19" s="113" t="str">
        <f t="shared" si="2"/>
        <v>CG00017</v>
      </c>
    </row>
    <row r="20" spans="1:11" x14ac:dyDescent="0.3">
      <c r="A20" s="298" t="s">
        <v>315</v>
      </c>
      <c r="B20" s="298" t="s">
        <v>316</v>
      </c>
      <c r="C20" s="298" t="s">
        <v>317</v>
      </c>
      <c r="D20" s="298" t="s">
        <v>256</v>
      </c>
      <c r="E20" s="298"/>
      <c r="F20" s="298"/>
      <c r="G20" s="299" t="b">
        <v>0</v>
      </c>
      <c r="H20" s="299" t="b">
        <v>0</v>
      </c>
      <c r="J20" s="113" t="str">
        <f t="shared" si="1"/>
        <v>915643789</v>
      </c>
      <c r="K20" s="113" t="str">
        <f t="shared" si="2"/>
        <v>CG00018</v>
      </c>
    </row>
    <row r="21" spans="1:11" x14ac:dyDescent="0.3">
      <c r="A21" s="298" t="s">
        <v>318</v>
      </c>
      <c r="B21" s="298" t="s">
        <v>319</v>
      </c>
      <c r="C21" s="298" t="s">
        <v>317</v>
      </c>
      <c r="D21" s="298" t="s">
        <v>256</v>
      </c>
      <c r="E21" s="298"/>
      <c r="F21" s="298"/>
      <c r="G21" s="299" t="b">
        <v>0</v>
      </c>
      <c r="H21" s="299" t="b">
        <v>0</v>
      </c>
      <c r="J21" s="113" t="str">
        <f t="shared" si="1"/>
        <v>987542555</v>
      </c>
      <c r="K21" s="113" t="str">
        <f t="shared" si="2"/>
        <v>CG00019</v>
      </c>
    </row>
    <row r="22" spans="1:11" x14ac:dyDescent="0.3">
      <c r="A22" s="298" t="s">
        <v>320</v>
      </c>
      <c r="B22" s="298" t="s">
        <v>321</v>
      </c>
      <c r="C22" s="298" t="s">
        <v>322</v>
      </c>
      <c r="D22" s="298" t="s">
        <v>256</v>
      </c>
      <c r="E22" s="298"/>
      <c r="F22" s="298" t="s">
        <v>323</v>
      </c>
      <c r="G22" s="299" t="b">
        <v>0</v>
      </c>
      <c r="H22" s="299" t="b">
        <v>0</v>
      </c>
      <c r="J22" s="113" t="str">
        <f t="shared" si="1"/>
        <v>983456337</v>
      </c>
      <c r="K22" s="113" t="str">
        <f t="shared" si="2"/>
        <v>CG00020</v>
      </c>
    </row>
    <row r="23" spans="1:11" x14ac:dyDescent="0.3">
      <c r="A23" s="298" t="s">
        <v>324</v>
      </c>
      <c r="B23" s="298" t="s">
        <v>325</v>
      </c>
      <c r="C23" s="298" t="s">
        <v>286</v>
      </c>
      <c r="D23" s="298" t="s">
        <v>256</v>
      </c>
      <c r="E23" s="298"/>
      <c r="F23" s="298"/>
      <c r="G23" s="299" t="b">
        <v>0</v>
      </c>
      <c r="H23" s="299" t="b">
        <v>0</v>
      </c>
      <c r="J23" s="113" t="str">
        <f t="shared" si="1"/>
        <v>912041496</v>
      </c>
      <c r="K23" s="113" t="str">
        <f t="shared" si="2"/>
        <v>CG00021</v>
      </c>
    </row>
    <row r="24" spans="1:11" x14ac:dyDescent="0.3">
      <c r="A24" s="298" t="s">
        <v>326</v>
      </c>
      <c r="B24" s="298" t="s">
        <v>327</v>
      </c>
      <c r="C24" s="298" t="s">
        <v>328</v>
      </c>
      <c r="D24" s="298" t="s">
        <v>256</v>
      </c>
      <c r="E24" s="298"/>
      <c r="F24" s="298" t="s">
        <v>329</v>
      </c>
      <c r="G24" s="299" t="b">
        <v>0</v>
      </c>
      <c r="H24" s="299" t="b">
        <v>0</v>
      </c>
      <c r="J24" s="113" t="str">
        <f t="shared" si="1"/>
        <v>335390490</v>
      </c>
      <c r="K24" s="113" t="str">
        <f t="shared" si="2"/>
        <v>CG00022</v>
      </c>
    </row>
    <row r="25" spans="1:11" x14ac:dyDescent="0.3">
      <c r="A25" s="298" t="s">
        <v>330</v>
      </c>
      <c r="B25" s="298" t="s">
        <v>331</v>
      </c>
      <c r="C25" s="298" t="s">
        <v>332</v>
      </c>
      <c r="D25" s="298" t="s">
        <v>256</v>
      </c>
      <c r="E25" s="298"/>
      <c r="F25" s="298"/>
      <c r="G25" s="299" t="b">
        <v>0</v>
      </c>
      <c r="H25" s="299" t="b">
        <v>0</v>
      </c>
      <c r="J25" s="113" t="str">
        <f t="shared" si="1"/>
        <v>917363966</v>
      </c>
      <c r="K25" s="113" t="str">
        <f t="shared" si="2"/>
        <v>CG00023</v>
      </c>
    </row>
    <row r="26" spans="1:11" x14ac:dyDescent="0.3">
      <c r="A26" s="298" t="s">
        <v>333</v>
      </c>
      <c r="B26" s="298" t="s">
        <v>334</v>
      </c>
      <c r="C26" s="298" t="s">
        <v>335</v>
      </c>
      <c r="D26" s="298" t="s">
        <v>256</v>
      </c>
      <c r="E26" s="298" t="s">
        <v>336</v>
      </c>
      <c r="F26" s="298" t="s">
        <v>337</v>
      </c>
      <c r="G26" s="299" t="b">
        <v>0</v>
      </c>
      <c r="H26" s="299" t="b">
        <v>0</v>
      </c>
      <c r="J26" s="113" t="str">
        <f t="shared" si="1"/>
        <v>913255885</v>
      </c>
      <c r="K26" s="113" t="str">
        <f t="shared" si="2"/>
        <v>CG00024</v>
      </c>
    </row>
    <row r="27" spans="1:11" x14ac:dyDescent="0.3">
      <c r="A27" s="298" t="s">
        <v>338</v>
      </c>
      <c r="B27" s="298" t="s">
        <v>339</v>
      </c>
      <c r="C27" s="298" t="s">
        <v>340</v>
      </c>
      <c r="D27" s="298" t="s">
        <v>256</v>
      </c>
      <c r="E27" s="298"/>
      <c r="F27" s="298"/>
      <c r="G27" s="299" t="b">
        <v>0</v>
      </c>
      <c r="H27" s="299" t="b">
        <v>0</v>
      </c>
      <c r="J27" s="113" t="str">
        <f t="shared" si="1"/>
        <v>919582669</v>
      </c>
      <c r="K27" s="113" t="str">
        <f t="shared" si="2"/>
        <v>CG00025</v>
      </c>
    </row>
    <row r="28" spans="1:11" x14ac:dyDescent="0.3">
      <c r="A28" s="298" t="s">
        <v>341</v>
      </c>
      <c r="B28" s="298" t="s">
        <v>342</v>
      </c>
      <c r="C28" s="298" t="s">
        <v>343</v>
      </c>
      <c r="D28" s="298" t="s">
        <v>256</v>
      </c>
      <c r="E28" s="298"/>
      <c r="F28" s="298" t="s">
        <v>344</v>
      </c>
      <c r="G28" s="299" t="b">
        <v>0</v>
      </c>
      <c r="H28" s="299" t="b">
        <v>0</v>
      </c>
      <c r="J28" s="113" t="str">
        <f t="shared" si="1"/>
        <v>983173765</v>
      </c>
      <c r="K28" s="113" t="str">
        <f t="shared" si="2"/>
        <v>CG00026</v>
      </c>
    </row>
    <row r="29" spans="1:11" x14ac:dyDescent="0.3">
      <c r="A29" s="298" t="s">
        <v>345</v>
      </c>
      <c r="B29" s="298" t="s">
        <v>346</v>
      </c>
      <c r="C29" s="298" t="s">
        <v>340</v>
      </c>
      <c r="D29" s="298" t="s">
        <v>256</v>
      </c>
      <c r="E29" s="298"/>
      <c r="F29" s="298"/>
      <c r="G29" s="299" t="b">
        <v>0</v>
      </c>
      <c r="H29" s="299" t="b">
        <v>0</v>
      </c>
      <c r="J29" s="113" t="str">
        <f t="shared" si="1"/>
        <v>912404588</v>
      </c>
      <c r="K29" s="113" t="str">
        <f t="shared" si="2"/>
        <v>CG00027</v>
      </c>
    </row>
    <row r="30" spans="1:11" x14ac:dyDescent="0.3">
      <c r="A30" s="298" t="s">
        <v>347</v>
      </c>
      <c r="B30" s="298" t="s">
        <v>348</v>
      </c>
      <c r="C30" s="298" t="s">
        <v>349</v>
      </c>
      <c r="D30" s="298" t="s">
        <v>256</v>
      </c>
      <c r="E30" s="298"/>
      <c r="F30" s="298"/>
      <c r="G30" s="299" t="b">
        <v>0</v>
      </c>
      <c r="H30" s="299" t="b">
        <v>0</v>
      </c>
      <c r="J30" s="113" t="str">
        <f t="shared" si="1"/>
        <v>984289905</v>
      </c>
      <c r="K30" s="113" t="str">
        <f t="shared" si="2"/>
        <v>CG00028</v>
      </c>
    </row>
    <row r="31" spans="1:11" x14ac:dyDescent="0.3">
      <c r="A31" s="298" t="s">
        <v>350</v>
      </c>
      <c r="B31" s="298" t="s">
        <v>351</v>
      </c>
      <c r="C31" s="298" t="s">
        <v>352</v>
      </c>
      <c r="D31" s="298" t="s">
        <v>256</v>
      </c>
      <c r="E31" s="298"/>
      <c r="F31" s="298"/>
      <c r="G31" s="299" t="b">
        <v>0</v>
      </c>
      <c r="H31" s="299" t="b">
        <v>0</v>
      </c>
      <c r="J31" s="113" t="str">
        <f t="shared" si="1"/>
        <v>945742367</v>
      </c>
      <c r="K31" s="113" t="str">
        <f t="shared" si="2"/>
        <v>CG00029</v>
      </c>
    </row>
    <row r="32" spans="1:11" x14ac:dyDescent="0.3">
      <c r="A32" s="298" t="s">
        <v>353</v>
      </c>
      <c r="B32" s="298" t="s">
        <v>354</v>
      </c>
      <c r="C32" s="298" t="s">
        <v>355</v>
      </c>
      <c r="D32" s="298" t="s">
        <v>256</v>
      </c>
      <c r="E32" s="298"/>
      <c r="F32" s="298"/>
      <c r="G32" s="299" t="b">
        <v>0</v>
      </c>
      <c r="H32" s="299" t="b">
        <v>0</v>
      </c>
      <c r="J32" s="113" t="str">
        <f t="shared" si="1"/>
        <v>916159999</v>
      </c>
      <c r="K32" s="113" t="str">
        <f t="shared" si="2"/>
        <v>CG00030</v>
      </c>
    </row>
    <row r="33" spans="1:11" x14ac:dyDescent="0.3">
      <c r="A33" s="298" t="s">
        <v>356</v>
      </c>
      <c r="B33" s="298" t="s">
        <v>357</v>
      </c>
      <c r="C33" s="298" t="s">
        <v>305</v>
      </c>
      <c r="D33" s="298" t="s">
        <v>256</v>
      </c>
      <c r="E33" s="298"/>
      <c r="F33" s="298"/>
      <c r="G33" s="299" t="b">
        <v>0</v>
      </c>
      <c r="H33" s="299" t="b">
        <v>0</v>
      </c>
      <c r="J33" s="113" t="str">
        <f t="shared" si="1"/>
        <v>975089976</v>
      </c>
      <c r="K33" s="113" t="str">
        <f t="shared" si="2"/>
        <v>CG00031</v>
      </c>
    </row>
    <row r="34" spans="1:11" x14ac:dyDescent="0.3">
      <c r="A34" s="298" t="s">
        <v>358</v>
      </c>
      <c r="B34" s="298" t="s">
        <v>359</v>
      </c>
      <c r="C34" s="298" t="s">
        <v>360</v>
      </c>
      <c r="D34" s="298" t="s">
        <v>256</v>
      </c>
      <c r="E34" s="298"/>
      <c r="F34" s="298"/>
      <c r="G34" s="299" t="b">
        <v>0</v>
      </c>
      <c r="H34" s="299" t="b">
        <v>0</v>
      </c>
      <c r="J34" s="113" t="str">
        <f t="shared" si="1"/>
        <v xml:space="preserve">76622197 </v>
      </c>
      <c r="K34" s="113" t="str">
        <f t="shared" si="2"/>
        <v>CG00032</v>
      </c>
    </row>
    <row r="35" spans="1:11" x14ac:dyDescent="0.3">
      <c r="A35" s="298" t="s">
        <v>361</v>
      </c>
      <c r="B35" s="298" t="s">
        <v>362</v>
      </c>
      <c r="C35" s="298" t="s">
        <v>363</v>
      </c>
      <c r="D35" s="298" t="s">
        <v>256</v>
      </c>
      <c r="E35" s="298"/>
      <c r="F35" s="298" t="s">
        <v>364</v>
      </c>
      <c r="G35" s="299" t="b">
        <v>0</v>
      </c>
      <c r="H35" s="299" t="b">
        <v>0</v>
      </c>
      <c r="J35" s="113" t="str">
        <f t="shared" si="1"/>
        <v>975086668</v>
      </c>
      <c r="K35" s="113" t="str">
        <f t="shared" si="2"/>
        <v>CG00033</v>
      </c>
    </row>
    <row r="36" spans="1:11" x14ac:dyDescent="0.3">
      <c r="A36" s="298" t="s">
        <v>365</v>
      </c>
      <c r="B36" s="298" t="s">
        <v>14653</v>
      </c>
      <c r="C36" s="298" t="s">
        <v>366</v>
      </c>
      <c r="D36" s="298" t="s">
        <v>256</v>
      </c>
      <c r="E36" s="298" t="s">
        <v>367</v>
      </c>
      <c r="F36" s="298" t="s">
        <v>368</v>
      </c>
      <c r="G36" s="299" t="b">
        <v>0</v>
      </c>
      <c r="H36" s="299" t="b">
        <v>0</v>
      </c>
      <c r="J36" s="113" t="str">
        <f t="shared" si="1"/>
        <v>968326899</v>
      </c>
      <c r="K36" s="113" t="str">
        <f t="shared" si="2"/>
        <v>CG00034</v>
      </c>
    </row>
    <row r="37" spans="1:11" x14ac:dyDescent="0.3">
      <c r="A37" s="298" t="s">
        <v>369</v>
      </c>
      <c r="B37" s="298" t="s">
        <v>370</v>
      </c>
      <c r="C37" s="298" t="s">
        <v>371</v>
      </c>
      <c r="D37" s="298" t="s">
        <v>256</v>
      </c>
      <c r="E37" s="298"/>
      <c r="F37" s="298" t="s">
        <v>372</v>
      </c>
      <c r="G37" s="299" t="b">
        <v>0</v>
      </c>
      <c r="H37" s="299" t="b">
        <v>0</v>
      </c>
      <c r="J37" s="113" t="str">
        <f t="shared" si="1"/>
        <v>913373529</v>
      </c>
      <c r="K37" s="113" t="str">
        <f t="shared" si="2"/>
        <v>CG00035</v>
      </c>
    </row>
    <row r="38" spans="1:11" x14ac:dyDescent="0.3">
      <c r="A38" s="298" t="s">
        <v>373</v>
      </c>
      <c r="B38" s="298" t="s">
        <v>374</v>
      </c>
      <c r="C38" s="298" t="s">
        <v>375</v>
      </c>
      <c r="D38" s="298" t="s">
        <v>256</v>
      </c>
      <c r="E38" s="298"/>
      <c r="F38" s="298"/>
      <c r="G38" s="299" t="b">
        <v>0</v>
      </c>
      <c r="H38" s="299" t="b">
        <v>0</v>
      </c>
      <c r="J38" s="113" t="str">
        <f t="shared" si="1"/>
        <v>936125919</v>
      </c>
      <c r="K38" s="113" t="str">
        <f t="shared" si="2"/>
        <v>CG00036</v>
      </c>
    </row>
    <row r="39" spans="1:11" x14ac:dyDescent="0.3">
      <c r="A39" s="298" t="s">
        <v>376</v>
      </c>
      <c r="B39" s="298" t="s">
        <v>377</v>
      </c>
      <c r="C39" s="298" t="s">
        <v>378</v>
      </c>
      <c r="D39" s="298" t="s">
        <v>256</v>
      </c>
      <c r="E39" s="298"/>
      <c r="F39" s="298" t="s">
        <v>379</v>
      </c>
      <c r="G39" s="299" t="b">
        <v>0</v>
      </c>
      <c r="H39" s="299" t="b">
        <v>0</v>
      </c>
      <c r="J39" s="113" t="str">
        <f t="shared" si="1"/>
        <v>912194620</v>
      </c>
      <c r="K39" s="113" t="str">
        <f t="shared" si="2"/>
        <v>CG00037</v>
      </c>
    </row>
    <row r="40" spans="1:11" x14ac:dyDescent="0.3">
      <c r="A40" s="298" t="s">
        <v>380</v>
      </c>
      <c r="B40" s="298" t="s">
        <v>381</v>
      </c>
      <c r="C40" s="298" t="s">
        <v>382</v>
      </c>
      <c r="D40" s="298" t="s">
        <v>256</v>
      </c>
      <c r="E40" s="298"/>
      <c r="F40" s="298" t="s">
        <v>383</v>
      </c>
      <c r="G40" s="299" t="b">
        <v>0</v>
      </c>
      <c r="H40" s="299" t="b">
        <v>0</v>
      </c>
      <c r="J40" s="113" t="str">
        <f t="shared" si="1"/>
        <v>912631743</v>
      </c>
      <c r="K40" s="113" t="str">
        <f t="shared" si="2"/>
        <v>CG00038</v>
      </c>
    </row>
    <row r="41" spans="1:11" x14ac:dyDescent="0.3">
      <c r="A41" s="298" t="s">
        <v>384</v>
      </c>
      <c r="B41" s="298" t="s">
        <v>385</v>
      </c>
      <c r="C41" s="298" t="s">
        <v>386</v>
      </c>
      <c r="D41" s="298" t="s">
        <v>256</v>
      </c>
      <c r="E41" s="298"/>
      <c r="F41" s="298" t="s">
        <v>387</v>
      </c>
      <c r="G41" s="299" t="b">
        <v>0</v>
      </c>
      <c r="H41" s="299" t="b">
        <v>0</v>
      </c>
      <c r="J41" s="113" t="str">
        <f t="shared" si="1"/>
        <v>984689561</v>
      </c>
      <c r="K41" s="113" t="str">
        <f t="shared" si="2"/>
        <v>CG00039</v>
      </c>
    </row>
    <row r="42" spans="1:11" x14ac:dyDescent="0.3">
      <c r="A42" s="298" t="s">
        <v>388</v>
      </c>
      <c r="B42" s="298" t="s">
        <v>389</v>
      </c>
      <c r="C42" s="298" t="s">
        <v>390</v>
      </c>
      <c r="D42" s="298" t="s">
        <v>256</v>
      </c>
      <c r="E42" s="298"/>
      <c r="F42" s="298"/>
      <c r="G42" s="299" t="b">
        <v>0</v>
      </c>
      <c r="H42" s="299" t="b">
        <v>0</v>
      </c>
      <c r="J42" s="113" t="str">
        <f t="shared" si="1"/>
        <v>983229941</v>
      </c>
      <c r="K42" s="113" t="str">
        <f t="shared" si="2"/>
        <v>CG00040</v>
      </c>
    </row>
    <row r="43" spans="1:11" x14ac:dyDescent="0.3">
      <c r="A43" s="298" t="s">
        <v>391</v>
      </c>
      <c r="B43" s="298" t="s">
        <v>392</v>
      </c>
      <c r="C43" s="298" t="s">
        <v>393</v>
      </c>
      <c r="D43" s="298" t="s">
        <v>256</v>
      </c>
      <c r="E43" s="298"/>
      <c r="F43" s="298"/>
      <c r="G43" s="299" t="b">
        <v>0</v>
      </c>
      <c r="H43" s="299" t="b">
        <v>0</v>
      </c>
      <c r="J43" s="113" t="str">
        <f t="shared" si="1"/>
        <v>988837845</v>
      </c>
      <c r="K43" s="113" t="str">
        <f t="shared" si="2"/>
        <v>CG00041</v>
      </c>
    </row>
    <row r="44" spans="1:11" x14ac:dyDescent="0.3">
      <c r="A44" s="298" t="s">
        <v>394</v>
      </c>
      <c r="B44" s="298" t="s">
        <v>395</v>
      </c>
      <c r="C44" s="298" t="s">
        <v>396</v>
      </c>
      <c r="D44" s="298" t="s">
        <v>256</v>
      </c>
      <c r="E44" s="298" t="s">
        <v>397</v>
      </c>
      <c r="F44" s="298" t="s">
        <v>398</v>
      </c>
      <c r="G44" s="299" t="b">
        <v>0</v>
      </c>
      <c r="H44" s="299" t="b">
        <v>0</v>
      </c>
      <c r="J44" s="113" t="str">
        <f t="shared" si="1"/>
        <v>397407377</v>
      </c>
      <c r="K44" s="113" t="str">
        <f t="shared" si="2"/>
        <v>CG00042</v>
      </c>
    </row>
    <row r="45" spans="1:11" x14ac:dyDescent="0.3">
      <c r="A45" s="298" t="s">
        <v>399</v>
      </c>
      <c r="B45" s="298" t="s">
        <v>400</v>
      </c>
      <c r="C45" s="298" t="s">
        <v>401</v>
      </c>
      <c r="D45" s="298" t="s">
        <v>256</v>
      </c>
      <c r="E45" s="298"/>
      <c r="F45" s="298" t="s">
        <v>402</v>
      </c>
      <c r="G45" s="299" t="b">
        <v>0</v>
      </c>
      <c r="H45" s="299" t="b">
        <v>0</v>
      </c>
      <c r="J45" s="113" t="str">
        <f t="shared" si="1"/>
        <v>912097252</v>
      </c>
      <c r="K45" s="113" t="str">
        <f t="shared" si="2"/>
        <v>CG00043</v>
      </c>
    </row>
    <row r="46" spans="1:11" x14ac:dyDescent="0.3">
      <c r="A46" s="298" t="s">
        <v>403</v>
      </c>
      <c r="B46" s="298" t="s">
        <v>404</v>
      </c>
      <c r="C46" s="298" t="s">
        <v>405</v>
      </c>
      <c r="D46" s="298" t="s">
        <v>256</v>
      </c>
      <c r="E46" s="298" t="s">
        <v>406</v>
      </c>
      <c r="F46" s="298"/>
      <c r="G46" s="299" t="b">
        <v>0</v>
      </c>
      <c r="H46" s="299" t="b">
        <v>0</v>
      </c>
      <c r="J46" s="113" t="str">
        <f t="shared" si="1"/>
        <v>962580688</v>
      </c>
      <c r="K46" s="113" t="str">
        <f t="shared" si="2"/>
        <v>CG00044</v>
      </c>
    </row>
    <row r="47" spans="1:11" x14ac:dyDescent="0.3">
      <c r="A47" s="298" t="s">
        <v>407</v>
      </c>
      <c r="B47" s="298" t="s">
        <v>408</v>
      </c>
      <c r="C47" s="298" t="s">
        <v>409</v>
      </c>
      <c r="D47" s="298" t="s">
        <v>256</v>
      </c>
      <c r="E47" s="298"/>
      <c r="F47" s="298"/>
      <c r="G47" s="299" t="b">
        <v>0</v>
      </c>
      <c r="H47" s="299" t="b">
        <v>0</v>
      </c>
      <c r="J47" s="113" t="str">
        <f t="shared" si="1"/>
        <v>982839807</v>
      </c>
      <c r="K47" s="113" t="str">
        <f t="shared" si="2"/>
        <v>CG00045</v>
      </c>
    </row>
    <row r="48" spans="1:11" x14ac:dyDescent="0.3">
      <c r="A48" s="298" t="s">
        <v>410</v>
      </c>
      <c r="B48" s="298" t="s">
        <v>411</v>
      </c>
      <c r="C48" s="298" t="s">
        <v>405</v>
      </c>
      <c r="D48" s="298" t="s">
        <v>256</v>
      </c>
      <c r="E48" s="298"/>
      <c r="F48" s="298"/>
      <c r="G48" s="299" t="b">
        <v>0</v>
      </c>
      <c r="H48" s="299" t="b">
        <v>0</v>
      </c>
      <c r="J48" s="113" t="str">
        <f t="shared" si="1"/>
        <v>985238643</v>
      </c>
      <c r="K48" s="113" t="str">
        <f t="shared" si="2"/>
        <v>CG00046</v>
      </c>
    </row>
    <row r="49" spans="1:11" x14ac:dyDescent="0.3">
      <c r="A49" s="298" t="s">
        <v>412</v>
      </c>
      <c r="B49" s="298" t="s">
        <v>413</v>
      </c>
      <c r="C49" s="298" t="s">
        <v>322</v>
      </c>
      <c r="D49" s="298" t="s">
        <v>256</v>
      </c>
      <c r="E49" s="298"/>
      <c r="F49" s="298"/>
      <c r="G49" s="299" t="b">
        <v>0</v>
      </c>
      <c r="H49" s="299" t="b">
        <v>0</v>
      </c>
      <c r="J49" s="113" t="str">
        <f t="shared" si="1"/>
        <v>912949536</v>
      </c>
      <c r="K49" s="113" t="str">
        <f t="shared" si="2"/>
        <v>CG00047</v>
      </c>
    </row>
    <row r="50" spans="1:11" x14ac:dyDescent="0.3">
      <c r="A50" s="298" t="s">
        <v>414</v>
      </c>
      <c r="B50" s="298" t="s">
        <v>415</v>
      </c>
      <c r="C50" s="298" t="s">
        <v>416</v>
      </c>
      <c r="D50" s="298" t="s">
        <v>256</v>
      </c>
      <c r="E50" s="298"/>
      <c r="F50" s="298"/>
      <c r="G50" s="299" t="b">
        <v>0</v>
      </c>
      <c r="H50" s="299" t="b">
        <v>0</v>
      </c>
      <c r="J50" s="113" t="str">
        <f t="shared" si="1"/>
        <v>942232386</v>
      </c>
      <c r="K50" s="113" t="str">
        <f t="shared" si="2"/>
        <v>CG00048</v>
      </c>
    </row>
    <row r="51" spans="1:11" x14ac:dyDescent="0.3">
      <c r="A51" s="298" t="s">
        <v>417</v>
      </c>
      <c r="B51" s="298" t="s">
        <v>418</v>
      </c>
      <c r="C51" s="298" t="s">
        <v>419</v>
      </c>
      <c r="D51" s="298" t="s">
        <v>256</v>
      </c>
      <c r="E51" s="298"/>
      <c r="F51" s="298" t="s">
        <v>420</v>
      </c>
      <c r="G51" s="299" t="b">
        <v>0</v>
      </c>
      <c r="H51" s="299" t="b">
        <v>0</v>
      </c>
      <c r="J51" s="113" t="str">
        <f t="shared" si="1"/>
        <v>919884159</v>
      </c>
      <c r="K51" s="113" t="str">
        <f t="shared" si="2"/>
        <v>CG00049</v>
      </c>
    </row>
    <row r="52" spans="1:11" x14ac:dyDescent="0.3">
      <c r="A52" s="298" t="s">
        <v>421</v>
      </c>
      <c r="B52" s="298" t="s">
        <v>422</v>
      </c>
      <c r="C52" s="298" t="s">
        <v>292</v>
      </c>
      <c r="D52" s="298" t="s">
        <v>256</v>
      </c>
      <c r="E52" s="298"/>
      <c r="F52" s="298"/>
      <c r="G52" s="299" t="b">
        <v>0</v>
      </c>
      <c r="H52" s="299" t="b">
        <v>0</v>
      </c>
      <c r="J52" s="113" t="str">
        <f t="shared" si="1"/>
        <v>912237629</v>
      </c>
      <c r="K52" s="113" t="str">
        <f t="shared" si="2"/>
        <v>CG00050</v>
      </c>
    </row>
    <row r="53" spans="1:11" x14ac:dyDescent="0.3">
      <c r="A53" s="298" t="s">
        <v>423</v>
      </c>
      <c r="B53" s="298" t="s">
        <v>424</v>
      </c>
      <c r="C53" s="298" t="s">
        <v>425</v>
      </c>
      <c r="D53" s="298" t="s">
        <v>256</v>
      </c>
      <c r="E53" s="298"/>
      <c r="F53" s="298" t="s">
        <v>426</v>
      </c>
      <c r="G53" s="299" t="b">
        <v>0</v>
      </c>
      <c r="H53" s="299" t="b">
        <v>0</v>
      </c>
      <c r="J53" s="113" t="str">
        <f t="shared" si="1"/>
        <v>915258451</v>
      </c>
      <c r="K53" s="113" t="str">
        <f t="shared" si="2"/>
        <v>CG00051</v>
      </c>
    </row>
    <row r="54" spans="1:11" x14ac:dyDescent="0.3">
      <c r="A54" s="298" t="s">
        <v>427</v>
      </c>
      <c r="B54" s="298" t="s">
        <v>428</v>
      </c>
      <c r="C54" s="298" t="s">
        <v>429</v>
      </c>
      <c r="D54" s="298" t="s">
        <v>256</v>
      </c>
      <c r="E54" s="298"/>
      <c r="F54" s="298"/>
      <c r="G54" s="299" t="b">
        <v>0</v>
      </c>
      <c r="H54" s="299" t="b">
        <v>0</v>
      </c>
      <c r="J54" s="113" t="str">
        <f t="shared" si="1"/>
        <v>912237017</v>
      </c>
      <c r="K54" s="113" t="str">
        <f t="shared" si="2"/>
        <v>CG00052</v>
      </c>
    </row>
    <row r="55" spans="1:11" x14ac:dyDescent="0.3">
      <c r="A55" s="298" t="s">
        <v>430</v>
      </c>
      <c r="B55" s="298" t="s">
        <v>431</v>
      </c>
      <c r="C55" s="298" t="s">
        <v>432</v>
      </c>
      <c r="D55" s="298" t="s">
        <v>256</v>
      </c>
      <c r="E55" s="298"/>
      <c r="F55" s="298"/>
      <c r="G55" s="299" t="b">
        <v>0</v>
      </c>
      <c r="H55" s="299" t="b">
        <v>0</v>
      </c>
      <c r="J55" s="113" t="str">
        <f t="shared" si="1"/>
        <v>984676881</v>
      </c>
      <c r="K55" s="113" t="str">
        <f t="shared" si="2"/>
        <v>CG00053</v>
      </c>
    </row>
    <row r="56" spans="1:11" x14ac:dyDescent="0.3">
      <c r="A56" s="298" t="s">
        <v>433</v>
      </c>
      <c r="B56" s="298" t="s">
        <v>434</v>
      </c>
      <c r="C56" s="298" t="s">
        <v>435</v>
      </c>
      <c r="D56" s="298" t="s">
        <v>256</v>
      </c>
      <c r="E56" s="298"/>
      <c r="F56" s="298" t="s">
        <v>436</v>
      </c>
      <c r="G56" s="299" t="b">
        <v>0</v>
      </c>
      <c r="H56" s="299" t="b">
        <v>0</v>
      </c>
      <c r="J56" s="113" t="str">
        <f t="shared" si="1"/>
        <v>977072707</v>
      </c>
      <c r="K56" s="113" t="str">
        <f t="shared" si="2"/>
        <v>CG00054</v>
      </c>
    </row>
    <row r="57" spans="1:11" x14ac:dyDescent="0.3">
      <c r="A57" s="298" t="s">
        <v>437</v>
      </c>
      <c r="B57" s="298" t="s">
        <v>438</v>
      </c>
      <c r="C57" s="298" t="s">
        <v>439</v>
      </c>
      <c r="D57" s="298" t="s">
        <v>256</v>
      </c>
      <c r="E57" s="298"/>
      <c r="F57" s="298" t="s">
        <v>440</v>
      </c>
      <c r="G57" s="299" t="b">
        <v>0</v>
      </c>
      <c r="H57" s="299" t="b">
        <v>0</v>
      </c>
      <c r="J57" s="113" t="str">
        <f t="shared" si="1"/>
        <v>968172444</v>
      </c>
      <c r="K57" s="113" t="str">
        <f t="shared" si="2"/>
        <v>CG00055</v>
      </c>
    </row>
    <row r="58" spans="1:11" x14ac:dyDescent="0.3">
      <c r="A58" s="298" t="s">
        <v>441</v>
      </c>
      <c r="B58" s="298" t="s">
        <v>442</v>
      </c>
      <c r="C58" s="298" t="s">
        <v>443</v>
      </c>
      <c r="D58" s="298" t="s">
        <v>256</v>
      </c>
      <c r="E58" s="298"/>
      <c r="F58" s="298" t="s">
        <v>444</v>
      </c>
      <c r="G58" s="299" t="b">
        <v>0</v>
      </c>
      <c r="H58" s="299" t="b">
        <v>0</v>
      </c>
      <c r="J58" s="113" t="str">
        <f t="shared" si="1"/>
        <v>386598668</v>
      </c>
      <c r="K58" s="113" t="str">
        <f t="shared" si="2"/>
        <v>CG00056</v>
      </c>
    </row>
    <row r="59" spans="1:11" x14ac:dyDescent="0.3">
      <c r="A59" s="298" t="s">
        <v>445</v>
      </c>
      <c r="B59" s="298" t="s">
        <v>446</v>
      </c>
      <c r="C59" s="298" t="s">
        <v>292</v>
      </c>
      <c r="D59" s="298" t="s">
        <v>256</v>
      </c>
      <c r="E59" s="298"/>
      <c r="F59" s="298"/>
      <c r="G59" s="299" t="b">
        <v>0</v>
      </c>
      <c r="H59" s="299" t="b">
        <v>0</v>
      </c>
      <c r="J59" s="113" t="str">
        <f t="shared" si="1"/>
        <v>919836558</v>
      </c>
      <c r="K59" s="113" t="str">
        <f t="shared" si="2"/>
        <v>CG00057</v>
      </c>
    </row>
    <row r="60" spans="1:11" x14ac:dyDescent="0.3">
      <c r="A60" s="298" t="s">
        <v>447</v>
      </c>
      <c r="B60" s="298" t="s">
        <v>448</v>
      </c>
      <c r="C60" s="298" t="s">
        <v>416</v>
      </c>
      <c r="D60" s="298" t="s">
        <v>256</v>
      </c>
      <c r="E60" s="298"/>
      <c r="F60" s="298" t="s">
        <v>449</v>
      </c>
      <c r="G60" s="299" t="b">
        <v>0</v>
      </c>
      <c r="H60" s="299" t="b">
        <v>0</v>
      </c>
      <c r="J60" s="113" t="str">
        <f t="shared" si="1"/>
        <v>989202229</v>
      </c>
      <c r="K60" s="113" t="str">
        <f t="shared" si="2"/>
        <v>CG00058</v>
      </c>
    </row>
    <row r="61" spans="1:11" x14ac:dyDescent="0.3">
      <c r="A61" s="298" t="s">
        <v>450</v>
      </c>
      <c r="B61" s="298" t="s">
        <v>451</v>
      </c>
      <c r="C61" s="298" t="s">
        <v>452</v>
      </c>
      <c r="D61" s="298" t="s">
        <v>256</v>
      </c>
      <c r="E61" s="298"/>
      <c r="F61" s="298"/>
      <c r="G61" s="299" t="b">
        <v>0</v>
      </c>
      <c r="H61" s="299" t="b">
        <v>0</v>
      </c>
      <c r="J61" s="113" t="str">
        <f t="shared" si="1"/>
        <v>913254678</v>
      </c>
      <c r="K61" s="113" t="str">
        <f t="shared" si="2"/>
        <v>CG00059</v>
      </c>
    </row>
    <row r="62" spans="1:11" x14ac:dyDescent="0.3">
      <c r="A62" s="298" t="s">
        <v>453</v>
      </c>
      <c r="B62" s="298" t="s">
        <v>454</v>
      </c>
      <c r="C62" s="298" t="s">
        <v>328</v>
      </c>
      <c r="D62" s="298" t="s">
        <v>256</v>
      </c>
      <c r="E62" s="298"/>
      <c r="F62" s="298" t="s">
        <v>455</v>
      </c>
      <c r="G62" s="299" t="b">
        <v>0</v>
      </c>
      <c r="H62" s="299" t="b">
        <v>0</v>
      </c>
      <c r="J62" s="113" t="str">
        <f t="shared" si="1"/>
        <v>975366368</v>
      </c>
      <c r="K62" s="113" t="str">
        <f t="shared" si="2"/>
        <v>CG00060</v>
      </c>
    </row>
    <row r="63" spans="1:11" x14ac:dyDescent="0.3">
      <c r="A63" s="298" t="s">
        <v>456</v>
      </c>
      <c r="B63" s="298" t="s">
        <v>457</v>
      </c>
      <c r="C63" s="298" t="s">
        <v>432</v>
      </c>
      <c r="D63" s="298" t="s">
        <v>256</v>
      </c>
      <c r="E63" s="298"/>
      <c r="F63" s="298"/>
      <c r="G63" s="299" t="b">
        <v>0</v>
      </c>
      <c r="H63" s="299" t="b">
        <v>0</v>
      </c>
      <c r="J63" s="113" t="str">
        <f t="shared" si="1"/>
        <v>978258748</v>
      </c>
      <c r="K63" s="113" t="str">
        <f t="shared" si="2"/>
        <v>CG00061</v>
      </c>
    </row>
    <row r="64" spans="1:11" x14ac:dyDescent="0.3">
      <c r="A64" s="298" t="s">
        <v>458</v>
      </c>
      <c r="B64" s="298" t="s">
        <v>459</v>
      </c>
      <c r="C64" s="298" t="s">
        <v>460</v>
      </c>
      <c r="D64" s="298" t="s">
        <v>256</v>
      </c>
      <c r="E64" s="298"/>
      <c r="F64" s="298"/>
      <c r="G64" s="299" t="b">
        <v>0</v>
      </c>
      <c r="H64" s="299" t="b">
        <v>0</v>
      </c>
      <c r="J64" s="113" t="str">
        <f t="shared" si="1"/>
        <v>913763369</v>
      </c>
      <c r="K64" s="113" t="str">
        <f t="shared" si="2"/>
        <v>CG00062</v>
      </c>
    </row>
    <row r="65" spans="1:11" x14ac:dyDescent="0.3">
      <c r="A65" s="298" t="s">
        <v>461</v>
      </c>
      <c r="B65" s="298" t="s">
        <v>462</v>
      </c>
      <c r="C65" s="298" t="s">
        <v>463</v>
      </c>
      <c r="D65" s="298" t="s">
        <v>256</v>
      </c>
      <c r="E65" s="298"/>
      <c r="F65" s="298"/>
      <c r="G65" s="299" t="b">
        <v>0</v>
      </c>
      <c r="H65" s="299" t="b">
        <v>0</v>
      </c>
      <c r="J65" s="113" t="str">
        <f t="shared" si="1"/>
        <v>982851703</v>
      </c>
      <c r="K65" s="113" t="str">
        <f t="shared" si="2"/>
        <v>CG00063</v>
      </c>
    </row>
    <row r="66" spans="1:11" x14ac:dyDescent="0.3">
      <c r="A66" s="298" t="s">
        <v>464</v>
      </c>
      <c r="B66" s="298" t="s">
        <v>465</v>
      </c>
      <c r="C66" s="298" t="s">
        <v>466</v>
      </c>
      <c r="D66" s="298" t="s">
        <v>256</v>
      </c>
      <c r="E66" s="298"/>
      <c r="F66" s="298"/>
      <c r="G66" s="299" t="b">
        <v>0</v>
      </c>
      <c r="H66" s="299" t="b">
        <v>0</v>
      </c>
      <c r="J66" s="113" t="str">
        <f t="shared" si="1"/>
        <v>904485787</v>
      </c>
      <c r="K66" s="113" t="str">
        <f t="shared" si="2"/>
        <v>CG00064</v>
      </c>
    </row>
    <row r="67" spans="1:11" x14ac:dyDescent="0.3">
      <c r="A67" s="298" t="s">
        <v>467</v>
      </c>
      <c r="B67" s="298" t="s">
        <v>468</v>
      </c>
      <c r="C67" s="298" t="s">
        <v>469</v>
      </c>
      <c r="D67" s="298" t="s">
        <v>256</v>
      </c>
      <c r="E67" s="298"/>
      <c r="F67" s="298"/>
      <c r="G67" s="299" t="b">
        <v>0</v>
      </c>
      <c r="H67" s="299" t="b">
        <v>0</v>
      </c>
      <c r="J67" s="113" t="str">
        <f t="shared" si="1"/>
        <v>912516244</v>
      </c>
      <c r="K67" s="113" t="str">
        <f t="shared" si="2"/>
        <v>CG00065</v>
      </c>
    </row>
    <row r="68" spans="1:11" x14ac:dyDescent="0.3">
      <c r="A68" s="298" t="s">
        <v>470</v>
      </c>
      <c r="B68" s="298" t="s">
        <v>471</v>
      </c>
      <c r="C68" s="298" t="s">
        <v>309</v>
      </c>
      <c r="D68" s="298" t="s">
        <v>256</v>
      </c>
      <c r="E68" s="298"/>
      <c r="F68" s="298"/>
      <c r="G68" s="299" t="b">
        <v>0</v>
      </c>
      <c r="H68" s="299" t="b">
        <v>0</v>
      </c>
      <c r="J68" s="113" t="str">
        <f t="shared" si="1"/>
        <v>397420109</v>
      </c>
      <c r="K68" s="113" t="str">
        <f t="shared" si="2"/>
        <v>CG00066</v>
      </c>
    </row>
    <row r="69" spans="1:11" x14ac:dyDescent="0.3">
      <c r="A69" s="298" t="s">
        <v>472</v>
      </c>
      <c r="B69" s="298" t="s">
        <v>473</v>
      </c>
      <c r="C69" s="298" t="s">
        <v>474</v>
      </c>
      <c r="D69" s="298" t="s">
        <v>256</v>
      </c>
      <c r="E69" s="298"/>
      <c r="F69" s="298"/>
      <c r="G69" s="299" t="b">
        <v>0</v>
      </c>
      <c r="H69" s="299" t="b">
        <v>0</v>
      </c>
      <c r="J69" s="113" t="str">
        <f t="shared" ref="J69:J132" si="3">RIGHT(B69,9)</f>
        <v>975363418</v>
      </c>
      <c r="K69" s="113" t="str">
        <f t="shared" ref="K69:K132" si="4">A69</f>
        <v>CG00067</v>
      </c>
    </row>
    <row r="70" spans="1:11" x14ac:dyDescent="0.3">
      <c r="A70" s="298" t="s">
        <v>475</v>
      </c>
      <c r="B70" s="298" t="s">
        <v>476</v>
      </c>
      <c r="C70" s="298" t="s">
        <v>477</v>
      </c>
      <c r="D70" s="298" t="s">
        <v>256</v>
      </c>
      <c r="E70" s="298"/>
      <c r="F70" s="298"/>
      <c r="G70" s="299" t="b">
        <v>0</v>
      </c>
      <c r="H70" s="299" t="b">
        <v>0</v>
      </c>
      <c r="J70" s="113" t="str">
        <f t="shared" si="3"/>
        <v>983769999</v>
      </c>
      <c r="K70" s="113" t="str">
        <f t="shared" si="4"/>
        <v>CG00068</v>
      </c>
    </row>
    <row r="71" spans="1:11" x14ac:dyDescent="0.3">
      <c r="A71" s="298" t="s">
        <v>478</v>
      </c>
      <c r="B71" s="298" t="s">
        <v>479</v>
      </c>
      <c r="C71" s="298" t="s">
        <v>261</v>
      </c>
      <c r="D71" s="298" t="s">
        <v>256</v>
      </c>
      <c r="E71" s="298"/>
      <c r="F71" s="298" t="s">
        <v>480</v>
      </c>
      <c r="G71" s="299" t="b">
        <v>0</v>
      </c>
      <c r="H71" s="299" t="b">
        <v>0</v>
      </c>
      <c r="J71" s="113" t="str">
        <f t="shared" si="3"/>
        <v>982963611</v>
      </c>
      <c r="K71" s="113" t="str">
        <f t="shared" si="4"/>
        <v>CG00069</v>
      </c>
    </row>
    <row r="72" spans="1:11" x14ac:dyDescent="0.3">
      <c r="A72" s="298" t="s">
        <v>481</v>
      </c>
      <c r="B72" s="298" t="s">
        <v>482</v>
      </c>
      <c r="C72" s="298" t="s">
        <v>349</v>
      </c>
      <c r="D72" s="298" t="s">
        <v>256</v>
      </c>
      <c r="E72" s="298"/>
      <c r="F72" s="298"/>
      <c r="G72" s="299" t="b">
        <v>0</v>
      </c>
      <c r="H72" s="299" t="b">
        <v>0</v>
      </c>
      <c r="J72" s="113" t="str">
        <f t="shared" si="3"/>
        <v>904457624</v>
      </c>
      <c r="K72" s="113" t="str">
        <f t="shared" si="4"/>
        <v>CG00070</v>
      </c>
    </row>
    <row r="73" spans="1:11" x14ac:dyDescent="0.3">
      <c r="A73" s="298" t="s">
        <v>483</v>
      </c>
      <c r="B73" s="298" t="s">
        <v>484</v>
      </c>
      <c r="C73" s="298" t="s">
        <v>289</v>
      </c>
      <c r="D73" s="298" t="s">
        <v>256</v>
      </c>
      <c r="E73" s="298"/>
      <c r="F73" s="298"/>
      <c r="G73" s="299" t="b">
        <v>0</v>
      </c>
      <c r="H73" s="299" t="b">
        <v>0</v>
      </c>
      <c r="J73" s="113" t="str">
        <f t="shared" si="3"/>
        <v>847721999</v>
      </c>
      <c r="K73" s="113" t="str">
        <f t="shared" si="4"/>
        <v>CG00071</v>
      </c>
    </row>
    <row r="74" spans="1:11" x14ac:dyDescent="0.3">
      <c r="A74" s="298" t="s">
        <v>485</v>
      </c>
      <c r="B74" s="298" t="s">
        <v>486</v>
      </c>
      <c r="C74" s="298" t="s">
        <v>487</v>
      </c>
      <c r="D74" s="298" t="s">
        <v>256</v>
      </c>
      <c r="E74" s="298"/>
      <c r="F74" s="298"/>
      <c r="G74" s="299" t="b">
        <v>0</v>
      </c>
      <c r="H74" s="299" t="b">
        <v>0</v>
      </c>
      <c r="J74" s="113" t="str">
        <f t="shared" si="3"/>
        <v>912850487</v>
      </c>
      <c r="K74" s="113" t="str">
        <f t="shared" si="4"/>
        <v>CG00072</v>
      </c>
    </row>
    <row r="75" spans="1:11" x14ac:dyDescent="0.3">
      <c r="A75" s="298" t="s">
        <v>488</v>
      </c>
      <c r="B75" s="298" t="s">
        <v>489</v>
      </c>
      <c r="C75" s="298" t="s">
        <v>375</v>
      </c>
      <c r="D75" s="298" t="s">
        <v>256</v>
      </c>
      <c r="E75" s="298"/>
      <c r="F75" s="298"/>
      <c r="G75" s="299" t="b">
        <v>0</v>
      </c>
      <c r="H75" s="299" t="b">
        <v>0</v>
      </c>
      <c r="J75" s="113" t="str">
        <f t="shared" si="3"/>
        <v>906174455</v>
      </c>
      <c r="K75" s="113" t="str">
        <f t="shared" si="4"/>
        <v>CG00073</v>
      </c>
    </row>
    <row r="76" spans="1:11" x14ac:dyDescent="0.3">
      <c r="A76" s="298" t="s">
        <v>490</v>
      </c>
      <c r="B76" s="298" t="s">
        <v>491</v>
      </c>
      <c r="C76" s="298" t="s">
        <v>492</v>
      </c>
      <c r="D76" s="298" t="s">
        <v>256</v>
      </c>
      <c r="E76" s="298"/>
      <c r="F76" s="298"/>
      <c r="G76" s="299" t="b">
        <v>0</v>
      </c>
      <c r="H76" s="299" t="b">
        <v>0</v>
      </c>
      <c r="J76" s="113" t="str">
        <f t="shared" si="3"/>
        <v>913370359</v>
      </c>
      <c r="K76" s="113" t="str">
        <f t="shared" si="4"/>
        <v>CG00074</v>
      </c>
    </row>
    <row r="77" spans="1:11" x14ac:dyDescent="0.3">
      <c r="A77" s="298" t="s">
        <v>493</v>
      </c>
      <c r="B77" s="298" t="s">
        <v>494</v>
      </c>
      <c r="C77" s="298" t="s">
        <v>495</v>
      </c>
      <c r="D77" s="298" t="s">
        <v>256</v>
      </c>
      <c r="E77" s="298"/>
      <c r="F77" s="298"/>
      <c r="G77" s="299" t="b">
        <v>0</v>
      </c>
      <c r="H77" s="299" t="b">
        <v>0</v>
      </c>
      <c r="J77" s="113" t="str">
        <f t="shared" si="3"/>
        <v>977457777</v>
      </c>
      <c r="K77" s="113" t="str">
        <f t="shared" si="4"/>
        <v>CG00075</v>
      </c>
    </row>
    <row r="78" spans="1:11" x14ac:dyDescent="0.3">
      <c r="A78" s="298" t="s">
        <v>496</v>
      </c>
      <c r="B78" s="298" t="s">
        <v>497</v>
      </c>
      <c r="C78" s="298" t="s">
        <v>409</v>
      </c>
      <c r="D78" s="298" t="s">
        <v>256</v>
      </c>
      <c r="E78" s="298"/>
      <c r="F78" s="298"/>
      <c r="G78" s="299" t="b">
        <v>0</v>
      </c>
      <c r="H78" s="299" t="b">
        <v>0</v>
      </c>
      <c r="J78" s="113" t="str">
        <f t="shared" si="3"/>
        <v>912149074</v>
      </c>
      <c r="K78" s="113" t="str">
        <f t="shared" si="4"/>
        <v>CG00076</v>
      </c>
    </row>
    <row r="79" spans="1:11" x14ac:dyDescent="0.3">
      <c r="A79" s="298" t="s">
        <v>498</v>
      </c>
      <c r="B79" s="298" t="s">
        <v>499</v>
      </c>
      <c r="C79" s="298" t="s">
        <v>500</v>
      </c>
      <c r="D79" s="298" t="s">
        <v>256</v>
      </c>
      <c r="E79" s="298"/>
      <c r="F79" s="298" t="s">
        <v>501</v>
      </c>
      <c r="G79" s="299" t="b">
        <v>0</v>
      </c>
      <c r="H79" s="299" t="b">
        <v>0</v>
      </c>
      <c r="J79" s="113" t="str">
        <f t="shared" si="3"/>
        <v>344446661</v>
      </c>
      <c r="K79" s="113" t="str">
        <f t="shared" si="4"/>
        <v>CG00077</v>
      </c>
    </row>
    <row r="80" spans="1:11" x14ac:dyDescent="0.3">
      <c r="A80" s="298" t="s">
        <v>502</v>
      </c>
      <c r="B80" s="298" t="s">
        <v>503</v>
      </c>
      <c r="C80" s="298" t="s">
        <v>416</v>
      </c>
      <c r="D80" s="298" t="s">
        <v>256</v>
      </c>
      <c r="E80" s="298"/>
      <c r="F80" s="298"/>
      <c r="G80" s="299" t="b">
        <v>0</v>
      </c>
      <c r="H80" s="299" t="b">
        <v>0</v>
      </c>
      <c r="J80" s="113" t="str">
        <f t="shared" si="3"/>
        <v>912222560</v>
      </c>
      <c r="K80" s="113" t="str">
        <f t="shared" si="4"/>
        <v>CG00078</v>
      </c>
    </row>
    <row r="81" spans="1:11" x14ac:dyDescent="0.3">
      <c r="A81" s="298" t="s">
        <v>504</v>
      </c>
      <c r="B81" s="298" t="s">
        <v>505</v>
      </c>
      <c r="C81" s="298" t="s">
        <v>506</v>
      </c>
      <c r="D81" s="298" t="s">
        <v>256</v>
      </c>
      <c r="E81" s="298" t="s">
        <v>507</v>
      </c>
      <c r="F81" s="298" t="s">
        <v>508</v>
      </c>
      <c r="G81" s="299" t="b">
        <v>0</v>
      </c>
      <c r="H81" s="299" t="b">
        <v>0</v>
      </c>
      <c r="J81" s="113" t="str">
        <f t="shared" si="3"/>
        <v>912061580</v>
      </c>
      <c r="K81" s="113" t="str">
        <f t="shared" si="4"/>
        <v>CG00079</v>
      </c>
    </row>
    <row r="82" spans="1:11" x14ac:dyDescent="0.3">
      <c r="A82" s="298" t="s">
        <v>509</v>
      </c>
      <c r="B82" s="298" t="s">
        <v>14654</v>
      </c>
      <c r="C82" s="298" t="s">
        <v>510</v>
      </c>
      <c r="D82" s="298" t="s">
        <v>256</v>
      </c>
      <c r="E82" s="298" t="s">
        <v>511</v>
      </c>
      <c r="F82" s="298" t="s">
        <v>512</v>
      </c>
      <c r="G82" s="299" t="b">
        <v>0</v>
      </c>
      <c r="H82" s="299" t="b">
        <v>0</v>
      </c>
      <c r="J82" s="113" t="str">
        <f t="shared" si="3"/>
        <v>801583822</v>
      </c>
      <c r="K82" s="113" t="str">
        <f t="shared" si="4"/>
        <v>CG00080</v>
      </c>
    </row>
    <row r="83" spans="1:11" x14ac:dyDescent="0.3">
      <c r="A83" s="298" t="s">
        <v>513</v>
      </c>
      <c r="B83" s="298" t="s">
        <v>514</v>
      </c>
      <c r="C83" s="298" t="s">
        <v>515</v>
      </c>
      <c r="D83" s="298" t="s">
        <v>256</v>
      </c>
      <c r="E83" s="298"/>
      <c r="F83" s="298" t="s">
        <v>516</v>
      </c>
      <c r="G83" s="299" t="b">
        <v>0</v>
      </c>
      <c r="H83" s="299" t="b">
        <v>0</v>
      </c>
      <c r="J83" s="113" t="str">
        <f t="shared" si="3"/>
        <v>983832136</v>
      </c>
      <c r="K83" s="113" t="str">
        <f t="shared" si="4"/>
        <v>CG00081</v>
      </c>
    </row>
    <row r="84" spans="1:11" x14ac:dyDescent="0.3">
      <c r="A84" s="298" t="s">
        <v>517</v>
      </c>
      <c r="B84" s="298" t="s">
        <v>14655</v>
      </c>
      <c r="C84" s="298" t="s">
        <v>432</v>
      </c>
      <c r="D84" s="298" t="s">
        <v>256</v>
      </c>
      <c r="E84" s="298"/>
      <c r="F84" s="298"/>
      <c r="G84" s="299" t="b">
        <v>0</v>
      </c>
      <c r="H84" s="299" t="b">
        <v>0</v>
      </c>
      <c r="J84" s="113" t="str">
        <f t="shared" si="3"/>
        <v>986112026</v>
      </c>
      <c r="K84" s="113" t="str">
        <f t="shared" si="4"/>
        <v>CG00082</v>
      </c>
    </row>
    <row r="85" spans="1:11" x14ac:dyDescent="0.3">
      <c r="A85" s="298" t="s">
        <v>518</v>
      </c>
      <c r="B85" s="298" t="s">
        <v>519</v>
      </c>
      <c r="C85" s="298" t="s">
        <v>520</v>
      </c>
      <c r="D85" s="298" t="s">
        <v>256</v>
      </c>
      <c r="E85" s="298"/>
      <c r="F85" s="298" t="s">
        <v>521</v>
      </c>
      <c r="G85" s="299" t="b">
        <v>0</v>
      </c>
      <c r="H85" s="299" t="b">
        <v>0</v>
      </c>
      <c r="J85" s="113" t="str">
        <f t="shared" si="3"/>
        <v>832153808</v>
      </c>
      <c r="K85" s="113" t="str">
        <f t="shared" si="4"/>
        <v>CG00083</v>
      </c>
    </row>
    <row r="86" spans="1:11" x14ac:dyDescent="0.3">
      <c r="A86" s="298" t="s">
        <v>522</v>
      </c>
      <c r="B86" s="298" t="s">
        <v>523</v>
      </c>
      <c r="C86" s="298" t="s">
        <v>524</v>
      </c>
      <c r="D86" s="298" t="s">
        <v>256</v>
      </c>
      <c r="E86" s="298"/>
      <c r="F86" s="298" t="s">
        <v>525</v>
      </c>
      <c r="G86" s="299" t="b">
        <v>0</v>
      </c>
      <c r="H86" s="299" t="b">
        <v>0</v>
      </c>
      <c r="J86" s="113" t="str">
        <f t="shared" si="3"/>
        <v>915278826</v>
      </c>
      <c r="K86" s="113" t="str">
        <f t="shared" si="4"/>
        <v>CG00084</v>
      </c>
    </row>
    <row r="87" spans="1:11" x14ac:dyDescent="0.3">
      <c r="A87" s="298" t="s">
        <v>526</v>
      </c>
      <c r="B87" s="298" t="s">
        <v>527</v>
      </c>
      <c r="C87" s="298" t="s">
        <v>231</v>
      </c>
      <c r="D87" s="298" t="s">
        <v>256</v>
      </c>
      <c r="E87" s="298"/>
      <c r="F87" s="298"/>
      <c r="G87" s="299" t="b">
        <v>0</v>
      </c>
      <c r="H87" s="299" t="b">
        <v>0</v>
      </c>
      <c r="J87" s="113" t="str">
        <f t="shared" si="3"/>
        <v>912601538</v>
      </c>
      <c r="K87" s="113" t="str">
        <f t="shared" si="4"/>
        <v>CG00085</v>
      </c>
    </row>
    <row r="88" spans="1:11" x14ac:dyDescent="0.3">
      <c r="A88" s="298" t="s">
        <v>528</v>
      </c>
      <c r="B88" s="298" t="s">
        <v>529</v>
      </c>
      <c r="C88" s="298" t="s">
        <v>530</v>
      </c>
      <c r="D88" s="298" t="s">
        <v>256</v>
      </c>
      <c r="E88" s="298"/>
      <c r="F88" s="298"/>
      <c r="G88" s="299" t="b">
        <v>0</v>
      </c>
      <c r="H88" s="299" t="b">
        <v>0</v>
      </c>
      <c r="J88" s="113" t="str">
        <f t="shared" si="3"/>
        <v>912103857</v>
      </c>
      <c r="K88" s="113" t="str">
        <f t="shared" si="4"/>
        <v>CG00086</v>
      </c>
    </row>
    <row r="89" spans="1:11" x14ac:dyDescent="0.3">
      <c r="A89" s="298" t="s">
        <v>531</v>
      </c>
      <c r="B89" s="298" t="s">
        <v>532</v>
      </c>
      <c r="C89" s="298" t="s">
        <v>533</v>
      </c>
      <c r="D89" s="298" t="s">
        <v>256</v>
      </c>
      <c r="E89" s="298"/>
      <c r="F89" s="298" t="s">
        <v>534</v>
      </c>
      <c r="G89" s="299" t="b">
        <v>0</v>
      </c>
      <c r="H89" s="299" t="b">
        <v>0</v>
      </c>
      <c r="J89" s="113" t="str">
        <f t="shared" si="3"/>
        <v>913500185</v>
      </c>
      <c r="K89" s="113" t="str">
        <f t="shared" si="4"/>
        <v>CG00087</v>
      </c>
    </row>
    <row r="90" spans="1:11" x14ac:dyDescent="0.3">
      <c r="A90" s="298" t="s">
        <v>535</v>
      </c>
      <c r="B90" s="298" t="s">
        <v>14656</v>
      </c>
      <c r="C90" s="298" t="s">
        <v>536</v>
      </c>
      <c r="D90" s="298" t="s">
        <v>256</v>
      </c>
      <c r="E90" s="298" t="s">
        <v>537</v>
      </c>
      <c r="F90" s="298" t="s">
        <v>538</v>
      </c>
      <c r="G90" s="299" t="b">
        <v>0</v>
      </c>
      <c r="H90" s="299" t="b">
        <v>0</v>
      </c>
      <c r="J90" s="113" t="str">
        <f t="shared" si="3"/>
        <v>857888555</v>
      </c>
      <c r="K90" s="113" t="str">
        <f t="shared" si="4"/>
        <v>CG00088</v>
      </c>
    </row>
    <row r="91" spans="1:11" x14ac:dyDescent="0.3">
      <c r="A91" s="298" t="s">
        <v>539</v>
      </c>
      <c r="B91" s="298" t="s">
        <v>540</v>
      </c>
      <c r="C91" s="298" t="s">
        <v>541</v>
      </c>
      <c r="D91" s="298" t="s">
        <v>256</v>
      </c>
      <c r="E91" s="298"/>
      <c r="F91" s="298"/>
      <c r="G91" s="299" t="b">
        <v>0</v>
      </c>
      <c r="H91" s="299" t="b">
        <v>0</v>
      </c>
      <c r="J91" s="113" t="str">
        <f t="shared" si="3"/>
        <v>914607495</v>
      </c>
      <c r="K91" s="113" t="str">
        <f t="shared" si="4"/>
        <v>CG00089</v>
      </c>
    </row>
    <row r="92" spans="1:11" x14ac:dyDescent="0.3">
      <c r="A92" s="298" t="s">
        <v>542</v>
      </c>
      <c r="B92" s="298" t="s">
        <v>543</v>
      </c>
      <c r="C92" s="298" t="s">
        <v>544</v>
      </c>
      <c r="D92" s="298" t="s">
        <v>256</v>
      </c>
      <c r="E92" s="298"/>
      <c r="F92" s="298" t="s">
        <v>545</v>
      </c>
      <c r="G92" s="299" t="b">
        <v>0</v>
      </c>
      <c r="H92" s="299" t="b">
        <v>0</v>
      </c>
      <c r="J92" s="113" t="str">
        <f t="shared" si="3"/>
        <v>982122398</v>
      </c>
      <c r="K92" s="113" t="str">
        <f t="shared" si="4"/>
        <v>CG00090</v>
      </c>
    </row>
    <row r="93" spans="1:11" x14ac:dyDescent="0.3">
      <c r="A93" s="298" t="s">
        <v>546</v>
      </c>
      <c r="B93" s="298" t="s">
        <v>13285</v>
      </c>
      <c r="C93" s="298" t="s">
        <v>547</v>
      </c>
      <c r="D93" s="298" t="s">
        <v>256</v>
      </c>
      <c r="E93" s="298"/>
      <c r="F93" s="298"/>
      <c r="G93" s="299" t="b">
        <v>0</v>
      </c>
      <c r="H93" s="299" t="b">
        <v>0</v>
      </c>
      <c r="J93" s="113" t="str">
        <f t="shared" si="3"/>
        <v>983161059</v>
      </c>
      <c r="K93" s="113" t="str">
        <f t="shared" si="4"/>
        <v>CG00091</v>
      </c>
    </row>
    <row r="94" spans="1:11" x14ac:dyDescent="0.3">
      <c r="A94" s="298" t="s">
        <v>548</v>
      </c>
      <c r="B94" s="298" t="s">
        <v>549</v>
      </c>
      <c r="C94" s="298" t="s">
        <v>550</v>
      </c>
      <c r="D94" s="298" t="s">
        <v>256</v>
      </c>
      <c r="E94" s="298"/>
      <c r="F94" s="298"/>
      <c r="G94" s="299" t="b">
        <v>0</v>
      </c>
      <c r="H94" s="299" t="b">
        <v>0</v>
      </c>
      <c r="J94" s="113" t="str">
        <f t="shared" si="3"/>
        <v>903444374</v>
      </c>
      <c r="K94" s="113" t="str">
        <f t="shared" si="4"/>
        <v>CG00092</v>
      </c>
    </row>
    <row r="95" spans="1:11" x14ac:dyDescent="0.3">
      <c r="A95" s="298" t="s">
        <v>551</v>
      </c>
      <c r="B95" s="298" t="s">
        <v>552</v>
      </c>
      <c r="C95" s="298" t="s">
        <v>409</v>
      </c>
      <c r="D95" s="298" t="s">
        <v>256</v>
      </c>
      <c r="E95" s="298"/>
      <c r="F95" s="298"/>
      <c r="G95" s="299" t="b">
        <v>0</v>
      </c>
      <c r="H95" s="299" t="b">
        <v>0</v>
      </c>
      <c r="J95" s="113" t="str">
        <f t="shared" si="3"/>
        <v>915802983</v>
      </c>
      <c r="K95" s="113" t="str">
        <f t="shared" si="4"/>
        <v>CG00093</v>
      </c>
    </row>
    <row r="96" spans="1:11" x14ac:dyDescent="0.3">
      <c r="A96" s="298" t="s">
        <v>553</v>
      </c>
      <c r="B96" s="298" t="s">
        <v>554</v>
      </c>
      <c r="C96" s="298" t="s">
        <v>555</v>
      </c>
      <c r="D96" s="298" t="s">
        <v>256</v>
      </c>
      <c r="E96" s="298"/>
      <c r="F96" s="298" t="s">
        <v>556</v>
      </c>
      <c r="G96" s="299" t="b">
        <v>0</v>
      </c>
      <c r="H96" s="299" t="b">
        <v>0</v>
      </c>
      <c r="J96" s="113" t="str">
        <f t="shared" si="3"/>
        <v>945586325</v>
      </c>
      <c r="K96" s="113" t="str">
        <f t="shared" si="4"/>
        <v>CG00094</v>
      </c>
    </row>
    <row r="97" spans="1:11" x14ac:dyDescent="0.3">
      <c r="A97" s="298" t="s">
        <v>557</v>
      </c>
      <c r="B97" s="298" t="s">
        <v>558</v>
      </c>
      <c r="C97" s="298" t="s">
        <v>559</v>
      </c>
      <c r="D97" s="298" t="s">
        <v>256</v>
      </c>
      <c r="E97" s="298"/>
      <c r="F97" s="298" t="s">
        <v>560</v>
      </c>
      <c r="G97" s="299" t="b">
        <v>0</v>
      </c>
      <c r="H97" s="299" t="b">
        <v>0</v>
      </c>
      <c r="J97" s="113" t="str">
        <f t="shared" si="3"/>
        <v>915261300</v>
      </c>
      <c r="K97" s="113" t="str">
        <f t="shared" si="4"/>
        <v>CG00095</v>
      </c>
    </row>
    <row r="98" spans="1:11" x14ac:dyDescent="0.3">
      <c r="A98" s="298" t="s">
        <v>561</v>
      </c>
      <c r="B98" s="298" t="s">
        <v>562</v>
      </c>
      <c r="C98" s="298" t="s">
        <v>289</v>
      </c>
      <c r="D98" s="298" t="s">
        <v>256</v>
      </c>
      <c r="E98" s="298"/>
      <c r="F98" s="298"/>
      <c r="G98" s="299" t="b">
        <v>0</v>
      </c>
      <c r="H98" s="299" t="b">
        <v>0</v>
      </c>
      <c r="J98" s="113" t="str">
        <f t="shared" si="3"/>
        <v>915187897</v>
      </c>
      <c r="K98" s="113" t="str">
        <f t="shared" si="4"/>
        <v>CG00096</v>
      </c>
    </row>
    <row r="99" spans="1:11" x14ac:dyDescent="0.3">
      <c r="A99" s="298" t="s">
        <v>563</v>
      </c>
      <c r="B99" s="298" t="s">
        <v>564</v>
      </c>
      <c r="C99" s="298" t="s">
        <v>565</v>
      </c>
      <c r="D99" s="298" t="s">
        <v>256</v>
      </c>
      <c r="E99" s="298"/>
      <c r="F99" s="298"/>
      <c r="G99" s="299" t="b">
        <v>0</v>
      </c>
      <c r="H99" s="299" t="b">
        <v>0</v>
      </c>
      <c r="J99" s="113" t="str">
        <f t="shared" si="3"/>
        <v>919954967</v>
      </c>
      <c r="K99" s="113" t="str">
        <f t="shared" si="4"/>
        <v>CG00097</v>
      </c>
    </row>
    <row r="100" spans="1:11" x14ac:dyDescent="0.3">
      <c r="A100" s="298" t="s">
        <v>566</v>
      </c>
      <c r="B100" s="298" t="s">
        <v>567</v>
      </c>
      <c r="C100" s="298" t="s">
        <v>439</v>
      </c>
      <c r="D100" s="298" t="s">
        <v>256</v>
      </c>
      <c r="E100" s="298"/>
      <c r="F100" s="298" t="s">
        <v>568</v>
      </c>
      <c r="G100" s="299" t="b">
        <v>0</v>
      </c>
      <c r="H100" s="299" t="b">
        <v>0</v>
      </c>
      <c r="J100" s="113" t="str">
        <f t="shared" si="3"/>
        <v>949743548</v>
      </c>
      <c r="K100" s="113" t="str">
        <f t="shared" si="4"/>
        <v>CG00098</v>
      </c>
    </row>
    <row r="101" spans="1:11" x14ac:dyDescent="0.3">
      <c r="A101" s="298" t="s">
        <v>569</v>
      </c>
      <c r="B101" s="298" t="s">
        <v>570</v>
      </c>
      <c r="C101" s="298" t="s">
        <v>463</v>
      </c>
      <c r="D101" s="298" t="s">
        <v>256</v>
      </c>
      <c r="E101" s="298"/>
      <c r="F101" s="298"/>
      <c r="G101" s="299" t="b">
        <v>0</v>
      </c>
      <c r="H101" s="299" t="b">
        <v>0</v>
      </c>
      <c r="J101" s="113" t="str">
        <f t="shared" si="3"/>
        <v>916637750</v>
      </c>
      <c r="K101" s="113" t="str">
        <f t="shared" si="4"/>
        <v>CG00099</v>
      </c>
    </row>
    <row r="102" spans="1:11" x14ac:dyDescent="0.3">
      <c r="A102" s="298" t="s">
        <v>571</v>
      </c>
      <c r="B102" s="298" t="s">
        <v>572</v>
      </c>
      <c r="C102" s="298" t="s">
        <v>573</v>
      </c>
      <c r="D102" s="298" t="s">
        <v>256</v>
      </c>
      <c r="E102" s="298"/>
      <c r="F102" s="298"/>
      <c r="G102" s="299" t="b">
        <v>0</v>
      </c>
      <c r="H102" s="299" t="b">
        <v>0</v>
      </c>
      <c r="J102" s="113" t="str">
        <f t="shared" si="3"/>
        <v>913272334</v>
      </c>
      <c r="K102" s="113" t="str">
        <f t="shared" si="4"/>
        <v>CG00100</v>
      </c>
    </row>
    <row r="103" spans="1:11" x14ac:dyDescent="0.3">
      <c r="A103" s="298" t="s">
        <v>574</v>
      </c>
      <c r="B103" s="298" t="s">
        <v>575</v>
      </c>
      <c r="C103" s="298" t="s">
        <v>495</v>
      </c>
      <c r="D103" s="298" t="s">
        <v>256</v>
      </c>
      <c r="E103" s="298"/>
      <c r="F103" s="298" t="s">
        <v>576</v>
      </c>
      <c r="G103" s="299" t="b">
        <v>0</v>
      </c>
      <c r="H103" s="299" t="b">
        <v>0</v>
      </c>
      <c r="J103" s="113" t="str">
        <f t="shared" si="3"/>
        <v>934377888</v>
      </c>
      <c r="K103" s="113" t="str">
        <f t="shared" si="4"/>
        <v>CG00101</v>
      </c>
    </row>
    <row r="104" spans="1:11" x14ac:dyDescent="0.3">
      <c r="A104" s="298" t="s">
        <v>577</v>
      </c>
      <c r="B104" s="298" t="s">
        <v>578</v>
      </c>
      <c r="C104" s="298" t="s">
        <v>292</v>
      </c>
      <c r="D104" s="298" t="s">
        <v>256</v>
      </c>
      <c r="E104" s="298"/>
      <c r="F104" s="298" t="s">
        <v>579</v>
      </c>
      <c r="G104" s="299" t="b">
        <v>0</v>
      </c>
      <c r="H104" s="299" t="b">
        <v>0</v>
      </c>
      <c r="J104" s="113" t="str">
        <f t="shared" si="3"/>
        <v>982827146</v>
      </c>
      <c r="K104" s="113" t="str">
        <f t="shared" si="4"/>
        <v>CG00102</v>
      </c>
    </row>
    <row r="105" spans="1:11" x14ac:dyDescent="0.3">
      <c r="A105" s="298" t="s">
        <v>580</v>
      </c>
      <c r="B105" s="298" t="s">
        <v>13286</v>
      </c>
      <c r="C105" s="298" t="s">
        <v>13287</v>
      </c>
      <c r="D105" s="298" t="s">
        <v>256</v>
      </c>
      <c r="E105" s="298" t="s">
        <v>55</v>
      </c>
      <c r="F105" s="298" t="s">
        <v>581</v>
      </c>
      <c r="G105" s="299" t="b">
        <v>0</v>
      </c>
      <c r="H105" s="299" t="b">
        <v>0</v>
      </c>
      <c r="J105" s="113" t="str">
        <f t="shared" si="3"/>
        <v>912458049</v>
      </c>
      <c r="K105" s="113" t="str">
        <f t="shared" si="4"/>
        <v>CG00103</v>
      </c>
    </row>
    <row r="106" spans="1:11" x14ac:dyDescent="0.3">
      <c r="A106" s="298" t="s">
        <v>582</v>
      </c>
      <c r="B106" s="298" t="s">
        <v>583</v>
      </c>
      <c r="C106" s="298" t="s">
        <v>584</v>
      </c>
      <c r="D106" s="298" t="s">
        <v>256</v>
      </c>
      <c r="E106" s="298"/>
      <c r="F106" s="298" t="s">
        <v>585</v>
      </c>
      <c r="G106" s="299" t="b">
        <v>0</v>
      </c>
      <c r="H106" s="299" t="b">
        <v>0</v>
      </c>
      <c r="J106" s="113" t="str">
        <f t="shared" si="3"/>
        <v>969689889</v>
      </c>
      <c r="K106" s="113" t="str">
        <f t="shared" si="4"/>
        <v>CG00104</v>
      </c>
    </row>
    <row r="107" spans="1:11" x14ac:dyDescent="0.3">
      <c r="A107" s="298" t="s">
        <v>586</v>
      </c>
      <c r="B107" s="298" t="s">
        <v>587</v>
      </c>
      <c r="C107" s="298" t="s">
        <v>588</v>
      </c>
      <c r="D107" s="298" t="s">
        <v>256</v>
      </c>
      <c r="E107" s="298" t="s">
        <v>589</v>
      </c>
      <c r="F107" s="298" t="s">
        <v>590</v>
      </c>
      <c r="G107" s="299" t="b">
        <v>0</v>
      </c>
      <c r="H107" s="299" t="b">
        <v>0</v>
      </c>
      <c r="J107" s="113" t="str">
        <f t="shared" si="3"/>
        <v>982183333</v>
      </c>
      <c r="K107" s="113" t="str">
        <f t="shared" si="4"/>
        <v>CG00105</v>
      </c>
    </row>
    <row r="108" spans="1:11" x14ac:dyDescent="0.3">
      <c r="A108" s="298" t="s">
        <v>591</v>
      </c>
      <c r="B108" s="298" t="s">
        <v>592</v>
      </c>
      <c r="C108" s="298" t="s">
        <v>593</v>
      </c>
      <c r="D108" s="298" t="s">
        <v>256</v>
      </c>
      <c r="E108" s="298"/>
      <c r="F108" s="298" t="s">
        <v>594</v>
      </c>
      <c r="G108" s="299" t="b">
        <v>0</v>
      </c>
      <c r="H108" s="299" t="b">
        <v>0</v>
      </c>
      <c r="J108" s="113" t="str">
        <f t="shared" si="3"/>
        <v>989371364</v>
      </c>
      <c r="K108" s="113" t="str">
        <f t="shared" si="4"/>
        <v>CG00106</v>
      </c>
    </row>
    <row r="109" spans="1:11" x14ac:dyDescent="0.3">
      <c r="A109" s="298" t="s">
        <v>595</v>
      </c>
      <c r="B109" s="298" t="s">
        <v>596</v>
      </c>
      <c r="C109" s="298" t="s">
        <v>584</v>
      </c>
      <c r="D109" s="298" t="s">
        <v>256</v>
      </c>
      <c r="E109" s="298"/>
      <c r="F109" s="298" t="s">
        <v>597</v>
      </c>
      <c r="G109" s="299" t="b">
        <v>0</v>
      </c>
      <c r="H109" s="299" t="b">
        <v>0</v>
      </c>
      <c r="J109" s="113" t="str">
        <f t="shared" si="3"/>
        <v>972971888</v>
      </c>
      <c r="K109" s="113" t="str">
        <f t="shared" si="4"/>
        <v>CG00107</v>
      </c>
    </row>
    <row r="110" spans="1:11" x14ac:dyDescent="0.3">
      <c r="A110" s="298" t="s">
        <v>598</v>
      </c>
      <c r="B110" s="298" t="s">
        <v>599</v>
      </c>
      <c r="C110" s="298" t="s">
        <v>600</v>
      </c>
      <c r="D110" s="298" t="s">
        <v>256</v>
      </c>
      <c r="E110" s="298"/>
      <c r="F110" s="298" t="s">
        <v>601</v>
      </c>
      <c r="G110" s="299" t="b">
        <v>0</v>
      </c>
      <c r="H110" s="299" t="b">
        <v>0</v>
      </c>
      <c r="J110" s="113" t="str">
        <f t="shared" si="3"/>
        <v>914171689</v>
      </c>
      <c r="K110" s="113" t="str">
        <f t="shared" si="4"/>
        <v>CG00108</v>
      </c>
    </row>
    <row r="111" spans="1:11" x14ac:dyDescent="0.3">
      <c r="A111" s="298" t="s">
        <v>602</v>
      </c>
      <c r="B111" s="298" t="s">
        <v>603</v>
      </c>
      <c r="C111" s="298" t="s">
        <v>604</v>
      </c>
      <c r="D111" s="298" t="s">
        <v>256</v>
      </c>
      <c r="E111" s="298" t="s">
        <v>605</v>
      </c>
      <c r="F111" s="298" t="s">
        <v>606</v>
      </c>
      <c r="G111" s="299" t="b">
        <v>0</v>
      </c>
      <c r="H111" s="299" t="b">
        <v>0</v>
      </c>
      <c r="J111" s="113" t="str">
        <f t="shared" si="3"/>
        <v>915079767</v>
      </c>
      <c r="K111" s="113" t="str">
        <f t="shared" si="4"/>
        <v>CG00109</v>
      </c>
    </row>
    <row r="112" spans="1:11" x14ac:dyDescent="0.3">
      <c r="A112" s="298" t="s">
        <v>607</v>
      </c>
      <c r="B112" s="298" t="s">
        <v>608</v>
      </c>
      <c r="C112" s="298" t="s">
        <v>609</v>
      </c>
      <c r="D112" s="298" t="s">
        <v>256</v>
      </c>
      <c r="E112" s="298"/>
      <c r="F112" s="298" t="s">
        <v>610</v>
      </c>
      <c r="G112" s="299" t="b">
        <v>0</v>
      </c>
      <c r="H112" s="299" t="b">
        <v>0</v>
      </c>
      <c r="J112" s="113" t="str">
        <f t="shared" si="3"/>
        <v>915396078</v>
      </c>
      <c r="K112" s="113" t="str">
        <f t="shared" si="4"/>
        <v>CG00111</v>
      </c>
    </row>
    <row r="113" spans="1:11" x14ac:dyDescent="0.3">
      <c r="A113" s="298" t="s">
        <v>611</v>
      </c>
      <c r="B113" s="298" t="s">
        <v>612</v>
      </c>
      <c r="C113" s="298" t="s">
        <v>613</v>
      </c>
      <c r="D113" s="298" t="s">
        <v>256</v>
      </c>
      <c r="E113" s="298"/>
      <c r="F113" s="298" t="s">
        <v>614</v>
      </c>
      <c r="G113" s="299" t="b">
        <v>0</v>
      </c>
      <c r="H113" s="299" t="b">
        <v>0</v>
      </c>
      <c r="J113" s="113" t="str">
        <f t="shared" si="3"/>
        <v>903456147</v>
      </c>
      <c r="K113" s="113" t="str">
        <f t="shared" si="4"/>
        <v>CG00112</v>
      </c>
    </row>
    <row r="114" spans="1:11" x14ac:dyDescent="0.3">
      <c r="A114" s="298" t="s">
        <v>615</v>
      </c>
      <c r="B114" s="298" t="s">
        <v>616</v>
      </c>
      <c r="C114" s="298" t="s">
        <v>617</v>
      </c>
      <c r="D114" s="298" t="s">
        <v>256</v>
      </c>
      <c r="E114" s="298"/>
      <c r="F114" s="298" t="s">
        <v>618</v>
      </c>
      <c r="G114" s="299" t="b">
        <v>0</v>
      </c>
      <c r="H114" s="299" t="b">
        <v>0</v>
      </c>
      <c r="J114" s="113" t="str">
        <f t="shared" si="3"/>
        <v>904143389</v>
      </c>
      <c r="K114" s="113" t="str">
        <f t="shared" si="4"/>
        <v>CG00113</v>
      </c>
    </row>
    <row r="115" spans="1:11" x14ac:dyDescent="0.3">
      <c r="A115" s="298" t="s">
        <v>619</v>
      </c>
      <c r="B115" s="298" t="s">
        <v>620</v>
      </c>
      <c r="C115" s="298" t="s">
        <v>621</v>
      </c>
      <c r="D115" s="298" t="s">
        <v>256</v>
      </c>
      <c r="E115" s="298"/>
      <c r="F115" s="298" t="s">
        <v>622</v>
      </c>
      <c r="G115" s="299" t="b">
        <v>0</v>
      </c>
      <c r="H115" s="299" t="b">
        <v>0</v>
      </c>
      <c r="J115" s="113" t="str">
        <f t="shared" si="3"/>
        <v>919645730</v>
      </c>
      <c r="K115" s="113" t="str">
        <f t="shared" si="4"/>
        <v>CG00114</v>
      </c>
    </row>
    <row r="116" spans="1:11" x14ac:dyDescent="0.3">
      <c r="A116" s="298" t="s">
        <v>623</v>
      </c>
      <c r="B116" s="298" t="s">
        <v>624</v>
      </c>
      <c r="C116" s="298" t="s">
        <v>625</v>
      </c>
      <c r="D116" s="298" t="s">
        <v>256</v>
      </c>
      <c r="E116" s="298"/>
      <c r="F116" s="298" t="s">
        <v>626</v>
      </c>
      <c r="G116" s="299" t="b">
        <v>0</v>
      </c>
      <c r="H116" s="299" t="b">
        <v>0</v>
      </c>
      <c r="J116" s="113" t="str">
        <f t="shared" si="3"/>
        <v>919421919</v>
      </c>
      <c r="K116" s="113" t="str">
        <f t="shared" si="4"/>
        <v>CG00115</v>
      </c>
    </row>
    <row r="117" spans="1:11" x14ac:dyDescent="0.3">
      <c r="A117" s="298" t="s">
        <v>627</v>
      </c>
      <c r="B117" s="298" t="s">
        <v>628</v>
      </c>
      <c r="C117" s="298" t="s">
        <v>629</v>
      </c>
      <c r="D117" s="298" t="s">
        <v>256</v>
      </c>
      <c r="E117" s="298"/>
      <c r="F117" s="298" t="s">
        <v>630</v>
      </c>
      <c r="G117" s="299" t="b">
        <v>0</v>
      </c>
      <c r="H117" s="299" t="b">
        <v>0</v>
      </c>
      <c r="J117" s="113" t="str">
        <f t="shared" si="3"/>
        <v>978237583</v>
      </c>
      <c r="K117" s="113" t="str">
        <f t="shared" si="4"/>
        <v>CG00116</v>
      </c>
    </row>
    <row r="118" spans="1:11" x14ac:dyDescent="0.3">
      <c r="A118" s="298" t="s">
        <v>631</v>
      </c>
      <c r="B118" s="298" t="s">
        <v>632</v>
      </c>
      <c r="C118" s="298" t="s">
        <v>432</v>
      </c>
      <c r="D118" s="298" t="s">
        <v>256</v>
      </c>
      <c r="E118" s="298"/>
      <c r="F118" s="298" t="s">
        <v>633</v>
      </c>
      <c r="G118" s="299" t="b">
        <v>0</v>
      </c>
      <c r="H118" s="299" t="b">
        <v>0</v>
      </c>
      <c r="J118" s="113" t="str">
        <f t="shared" si="3"/>
        <v>985988659</v>
      </c>
      <c r="K118" s="113" t="str">
        <f t="shared" si="4"/>
        <v>CG00117</v>
      </c>
    </row>
    <row r="119" spans="1:11" x14ac:dyDescent="0.3">
      <c r="A119" s="298" t="s">
        <v>634</v>
      </c>
      <c r="B119" s="298" t="s">
        <v>13054</v>
      </c>
      <c r="C119" s="298" t="s">
        <v>13055</v>
      </c>
      <c r="D119" s="298" t="s">
        <v>256</v>
      </c>
      <c r="E119" s="298" t="s">
        <v>13169</v>
      </c>
      <c r="F119" s="298" t="s">
        <v>635</v>
      </c>
      <c r="G119" s="299" t="b">
        <v>0</v>
      </c>
      <c r="H119" s="299" t="b">
        <v>0</v>
      </c>
      <c r="J119" s="113" t="str">
        <f t="shared" si="3"/>
        <v>913010067</v>
      </c>
      <c r="K119" s="113" t="str">
        <f t="shared" si="4"/>
        <v>CG00118</v>
      </c>
    </row>
    <row r="120" spans="1:11" x14ac:dyDescent="0.3">
      <c r="A120" s="298" t="s">
        <v>636</v>
      </c>
      <c r="B120" s="298" t="s">
        <v>637</v>
      </c>
      <c r="C120" s="298" t="s">
        <v>638</v>
      </c>
      <c r="D120" s="298" t="s">
        <v>256</v>
      </c>
      <c r="E120" s="298"/>
      <c r="F120" s="298" t="s">
        <v>639</v>
      </c>
      <c r="G120" s="299" t="b">
        <v>0</v>
      </c>
      <c r="H120" s="299" t="b">
        <v>0</v>
      </c>
      <c r="J120" s="113" t="str">
        <f t="shared" si="3"/>
        <v>985319622</v>
      </c>
      <c r="K120" s="113" t="str">
        <f t="shared" si="4"/>
        <v>CG00119</v>
      </c>
    </row>
    <row r="121" spans="1:11" x14ac:dyDescent="0.3">
      <c r="A121" s="298" t="s">
        <v>640</v>
      </c>
      <c r="B121" s="298" t="s">
        <v>641</v>
      </c>
      <c r="C121" s="298" t="s">
        <v>642</v>
      </c>
      <c r="D121" s="298" t="s">
        <v>256</v>
      </c>
      <c r="E121" s="298" t="s">
        <v>643</v>
      </c>
      <c r="F121" s="298" t="s">
        <v>644</v>
      </c>
      <c r="G121" s="299" t="b">
        <v>0</v>
      </c>
      <c r="H121" s="299" t="b">
        <v>0</v>
      </c>
      <c r="J121" s="113" t="str">
        <f t="shared" si="3"/>
        <v>106068456</v>
      </c>
      <c r="K121" s="113" t="str">
        <f t="shared" si="4"/>
        <v>CG00120</v>
      </c>
    </row>
    <row r="122" spans="1:11" x14ac:dyDescent="0.3">
      <c r="A122" s="298" t="s">
        <v>645</v>
      </c>
      <c r="B122" s="298" t="s">
        <v>646</v>
      </c>
      <c r="C122" s="298" t="s">
        <v>647</v>
      </c>
      <c r="D122" s="298" t="s">
        <v>256</v>
      </c>
      <c r="E122" s="298"/>
      <c r="F122" s="298" t="s">
        <v>648</v>
      </c>
      <c r="G122" s="299" t="b">
        <v>0</v>
      </c>
      <c r="H122" s="299" t="b">
        <v>0</v>
      </c>
      <c r="J122" s="113" t="str">
        <f t="shared" si="3"/>
        <v>989257305</v>
      </c>
      <c r="K122" s="113" t="str">
        <f t="shared" si="4"/>
        <v>CG00121</v>
      </c>
    </row>
    <row r="123" spans="1:11" x14ac:dyDescent="0.3">
      <c r="A123" s="298" t="s">
        <v>649</v>
      </c>
      <c r="B123" s="298" t="s">
        <v>14657</v>
      </c>
      <c r="C123" s="298" t="s">
        <v>650</v>
      </c>
      <c r="D123" s="298" t="s">
        <v>256</v>
      </c>
      <c r="E123" s="298"/>
      <c r="F123" s="298" t="s">
        <v>651</v>
      </c>
      <c r="G123" s="299" t="b">
        <v>0</v>
      </c>
      <c r="H123" s="299" t="b">
        <v>0</v>
      </c>
      <c r="J123" s="113" t="str">
        <f t="shared" si="3"/>
        <v>877166999</v>
      </c>
      <c r="K123" s="113" t="str">
        <f t="shared" si="4"/>
        <v>CG00122</v>
      </c>
    </row>
    <row r="124" spans="1:11" x14ac:dyDescent="0.3">
      <c r="A124" s="298" t="s">
        <v>652</v>
      </c>
      <c r="B124" s="298" t="s">
        <v>653</v>
      </c>
      <c r="C124" s="298" t="s">
        <v>309</v>
      </c>
      <c r="D124" s="298" t="s">
        <v>256</v>
      </c>
      <c r="E124" s="298"/>
      <c r="F124" s="298" t="s">
        <v>654</v>
      </c>
      <c r="G124" s="299" t="b">
        <v>0</v>
      </c>
      <c r="H124" s="299" t="b">
        <v>0</v>
      </c>
      <c r="J124" s="113" t="str">
        <f t="shared" si="3"/>
        <v>963103805</v>
      </c>
      <c r="K124" s="113" t="str">
        <f t="shared" si="4"/>
        <v>CG00123</v>
      </c>
    </row>
    <row r="125" spans="1:11" x14ac:dyDescent="0.3">
      <c r="A125" s="298" t="s">
        <v>655</v>
      </c>
      <c r="B125" s="298" t="s">
        <v>656</v>
      </c>
      <c r="C125" s="298" t="s">
        <v>657</v>
      </c>
      <c r="D125" s="298" t="s">
        <v>256</v>
      </c>
      <c r="E125" s="298"/>
      <c r="F125" s="298" t="s">
        <v>658</v>
      </c>
      <c r="G125" s="299" t="b">
        <v>0</v>
      </c>
      <c r="H125" s="299" t="b">
        <v>0</v>
      </c>
      <c r="J125" s="113" t="str">
        <f t="shared" si="3"/>
        <v>975201992</v>
      </c>
      <c r="K125" s="113" t="str">
        <f t="shared" si="4"/>
        <v>CG00124</v>
      </c>
    </row>
    <row r="126" spans="1:11" x14ac:dyDescent="0.3">
      <c r="A126" s="298" t="s">
        <v>659</v>
      </c>
      <c r="B126" s="298" t="s">
        <v>660</v>
      </c>
      <c r="C126" s="298" t="s">
        <v>355</v>
      </c>
      <c r="D126" s="298" t="s">
        <v>256</v>
      </c>
      <c r="E126" s="298"/>
      <c r="F126" s="298" t="s">
        <v>661</v>
      </c>
      <c r="G126" s="299" t="b">
        <v>0</v>
      </c>
      <c r="H126" s="299" t="b">
        <v>0</v>
      </c>
      <c r="J126" s="113" t="str">
        <f t="shared" si="3"/>
        <v>912738430</v>
      </c>
      <c r="K126" s="113" t="str">
        <f t="shared" si="4"/>
        <v>CG00125</v>
      </c>
    </row>
    <row r="127" spans="1:11" x14ac:dyDescent="0.3">
      <c r="A127" s="298" t="s">
        <v>662</v>
      </c>
      <c r="B127" s="298" t="s">
        <v>663</v>
      </c>
      <c r="C127" s="298" t="s">
        <v>664</v>
      </c>
      <c r="D127" s="298" t="s">
        <v>256</v>
      </c>
      <c r="E127" s="298"/>
      <c r="F127" s="298" t="s">
        <v>665</v>
      </c>
      <c r="G127" s="299" t="b">
        <v>0</v>
      </c>
      <c r="H127" s="299" t="b">
        <v>0</v>
      </c>
      <c r="J127" s="113" t="str">
        <f t="shared" si="3"/>
        <v>978420866</v>
      </c>
      <c r="K127" s="113" t="str">
        <f t="shared" si="4"/>
        <v>CG00126</v>
      </c>
    </row>
    <row r="128" spans="1:11" x14ac:dyDescent="0.3">
      <c r="A128" s="298" t="s">
        <v>666</v>
      </c>
      <c r="B128" s="298" t="s">
        <v>667</v>
      </c>
      <c r="C128" s="298" t="s">
        <v>668</v>
      </c>
      <c r="D128" s="298" t="s">
        <v>256</v>
      </c>
      <c r="E128" s="298"/>
      <c r="F128" s="298" t="s">
        <v>669</v>
      </c>
      <c r="G128" s="299" t="b">
        <v>0</v>
      </c>
      <c r="H128" s="299" t="b">
        <v>0</v>
      </c>
      <c r="J128" s="113" t="str">
        <f t="shared" si="3"/>
        <v>918536863</v>
      </c>
      <c r="K128" s="113" t="str">
        <f t="shared" si="4"/>
        <v>CG00127</v>
      </c>
    </row>
    <row r="129" spans="1:11" x14ac:dyDescent="0.3">
      <c r="A129" s="298" t="s">
        <v>670</v>
      </c>
      <c r="B129" s="298" t="s">
        <v>671</v>
      </c>
      <c r="C129" s="298" t="s">
        <v>672</v>
      </c>
      <c r="D129" s="298" t="s">
        <v>256</v>
      </c>
      <c r="E129" s="298"/>
      <c r="F129" s="298" t="s">
        <v>673</v>
      </c>
      <c r="G129" s="299" t="b">
        <v>0</v>
      </c>
      <c r="H129" s="299" t="b">
        <v>0</v>
      </c>
      <c r="J129" s="113" t="str">
        <f t="shared" si="3"/>
        <v>915567877</v>
      </c>
      <c r="K129" s="113" t="str">
        <f t="shared" si="4"/>
        <v>CG00128</v>
      </c>
    </row>
    <row r="130" spans="1:11" x14ac:dyDescent="0.3">
      <c r="A130" s="298" t="s">
        <v>674</v>
      </c>
      <c r="B130" s="298" t="s">
        <v>675</v>
      </c>
      <c r="C130" s="298" t="s">
        <v>676</v>
      </c>
      <c r="D130" s="298" t="s">
        <v>256</v>
      </c>
      <c r="E130" s="298"/>
      <c r="F130" s="298" t="s">
        <v>677</v>
      </c>
      <c r="G130" s="299" t="b">
        <v>0</v>
      </c>
      <c r="H130" s="299" t="b">
        <v>0</v>
      </c>
      <c r="J130" s="113" t="str">
        <f t="shared" si="3"/>
        <v>912387784</v>
      </c>
      <c r="K130" s="113" t="str">
        <f t="shared" si="4"/>
        <v>CG00129</v>
      </c>
    </row>
    <row r="131" spans="1:11" x14ac:dyDescent="0.3">
      <c r="A131" s="298" t="s">
        <v>678</v>
      </c>
      <c r="B131" s="298" t="s">
        <v>13288</v>
      </c>
      <c r="C131" s="298" t="s">
        <v>13289</v>
      </c>
      <c r="D131" s="298" t="s">
        <v>256</v>
      </c>
      <c r="E131" s="298" t="s">
        <v>13290</v>
      </c>
      <c r="F131" s="298" t="s">
        <v>679</v>
      </c>
      <c r="G131" s="299" t="b">
        <v>0</v>
      </c>
      <c r="H131" s="299" t="b">
        <v>0</v>
      </c>
      <c r="J131" s="113" t="str">
        <f t="shared" si="3"/>
        <v>382332222</v>
      </c>
      <c r="K131" s="113" t="str">
        <f t="shared" si="4"/>
        <v>CG00130</v>
      </c>
    </row>
    <row r="132" spans="1:11" x14ac:dyDescent="0.3">
      <c r="A132" s="298" t="s">
        <v>680</v>
      </c>
      <c r="B132" s="298" t="s">
        <v>681</v>
      </c>
      <c r="C132" s="298" t="s">
        <v>335</v>
      </c>
      <c r="D132" s="298" t="s">
        <v>256</v>
      </c>
      <c r="E132" s="298" t="s">
        <v>682</v>
      </c>
      <c r="F132" s="298" t="s">
        <v>683</v>
      </c>
      <c r="G132" s="299" t="b">
        <v>0</v>
      </c>
      <c r="H132" s="299" t="b">
        <v>0</v>
      </c>
      <c r="J132" s="113" t="str">
        <f t="shared" si="3"/>
        <v>868822899</v>
      </c>
      <c r="K132" s="113" t="str">
        <f t="shared" si="4"/>
        <v>CG00131</v>
      </c>
    </row>
    <row r="133" spans="1:11" x14ac:dyDescent="0.3">
      <c r="A133" s="298" t="s">
        <v>684</v>
      </c>
      <c r="B133" s="298" t="s">
        <v>685</v>
      </c>
      <c r="C133" s="298" t="s">
        <v>686</v>
      </c>
      <c r="D133" s="298" t="s">
        <v>256</v>
      </c>
      <c r="E133" s="298"/>
      <c r="F133" s="298" t="s">
        <v>687</v>
      </c>
      <c r="G133" s="299" t="b">
        <v>0</v>
      </c>
      <c r="H133" s="299" t="b">
        <v>0</v>
      </c>
      <c r="J133" s="113" t="str">
        <f t="shared" ref="J133:J196" si="5">RIGHT(B133,9)</f>
        <v>912675214</v>
      </c>
      <c r="K133" s="113" t="str">
        <f t="shared" ref="K133:K196" si="6">A133</f>
        <v>CG00132</v>
      </c>
    </row>
    <row r="134" spans="1:11" x14ac:dyDescent="0.3">
      <c r="A134" s="298" t="s">
        <v>688</v>
      </c>
      <c r="B134" s="298" t="s">
        <v>689</v>
      </c>
      <c r="C134" s="298" t="s">
        <v>317</v>
      </c>
      <c r="D134" s="298" t="s">
        <v>256</v>
      </c>
      <c r="E134" s="298"/>
      <c r="F134" s="298" t="s">
        <v>690</v>
      </c>
      <c r="G134" s="299" t="b">
        <v>0</v>
      </c>
      <c r="H134" s="299" t="b">
        <v>0</v>
      </c>
      <c r="J134" s="113" t="str">
        <f t="shared" si="5"/>
        <v>913542722</v>
      </c>
      <c r="K134" s="113" t="str">
        <f t="shared" si="6"/>
        <v>CG00133</v>
      </c>
    </row>
    <row r="135" spans="1:11" x14ac:dyDescent="0.3">
      <c r="A135" s="298" t="s">
        <v>691</v>
      </c>
      <c r="B135" s="298" t="s">
        <v>692</v>
      </c>
      <c r="C135" s="298" t="s">
        <v>693</v>
      </c>
      <c r="D135" s="298" t="s">
        <v>256</v>
      </c>
      <c r="E135" s="298"/>
      <c r="F135" s="298" t="s">
        <v>694</v>
      </c>
      <c r="G135" s="299" t="b">
        <v>0</v>
      </c>
      <c r="H135" s="299" t="b">
        <v>0</v>
      </c>
      <c r="J135" s="113" t="str">
        <f t="shared" si="5"/>
        <v>904774040</v>
      </c>
      <c r="K135" s="113" t="str">
        <f t="shared" si="6"/>
        <v>CG00134</v>
      </c>
    </row>
    <row r="136" spans="1:11" x14ac:dyDescent="0.3">
      <c r="A136" s="298" t="s">
        <v>695</v>
      </c>
      <c r="B136" s="298" t="s">
        <v>696</v>
      </c>
      <c r="C136" s="298" t="s">
        <v>693</v>
      </c>
      <c r="D136" s="298" t="s">
        <v>256</v>
      </c>
      <c r="E136" s="298"/>
      <c r="F136" s="298" t="s">
        <v>697</v>
      </c>
      <c r="G136" s="299" t="b">
        <v>0</v>
      </c>
      <c r="H136" s="299" t="b">
        <v>0</v>
      </c>
      <c r="J136" s="113" t="str">
        <f t="shared" si="5"/>
        <v>912472672</v>
      </c>
      <c r="K136" s="113" t="str">
        <f t="shared" si="6"/>
        <v>CG00135</v>
      </c>
    </row>
    <row r="137" spans="1:11" x14ac:dyDescent="0.3">
      <c r="A137" s="298" t="s">
        <v>698</v>
      </c>
      <c r="B137" s="298" t="s">
        <v>699</v>
      </c>
      <c r="C137" s="298" t="s">
        <v>700</v>
      </c>
      <c r="D137" s="298" t="s">
        <v>256</v>
      </c>
      <c r="E137" s="298"/>
      <c r="F137" s="298" t="s">
        <v>701</v>
      </c>
      <c r="G137" s="299" t="b">
        <v>0</v>
      </c>
      <c r="H137" s="299" t="b">
        <v>0</v>
      </c>
      <c r="J137" s="113" t="str">
        <f t="shared" si="5"/>
        <v>982306372</v>
      </c>
      <c r="K137" s="113" t="str">
        <f t="shared" si="6"/>
        <v>CG00136</v>
      </c>
    </row>
    <row r="138" spans="1:11" x14ac:dyDescent="0.3">
      <c r="A138" s="298" t="s">
        <v>702</v>
      </c>
      <c r="B138" s="298" t="s">
        <v>13291</v>
      </c>
      <c r="C138" s="298" t="s">
        <v>13292</v>
      </c>
      <c r="D138" s="298" t="s">
        <v>256</v>
      </c>
      <c r="E138" s="298"/>
      <c r="F138" s="298" t="s">
        <v>703</v>
      </c>
      <c r="G138" s="299" t="b">
        <v>0</v>
      </c>
      <c r="H138" s="299" t="b">
        <v>0</v>
      </c>
      <c r="J138" s="113" t="str">
        <f t="shared" si="5"/>
        <v>973948018</v>
      </c>
      <c r="K138" s="113" t="str">
        <f t="shared" si="6"/>
        <v>CG00137</v>
      </c>
    </row>
    <row r="139" spans="1:11" x14ac:dyDescent="0.3">
      <c r="A139" s="298" t="s">
        <v>704</v>
      </c>
      <c r="B139" s="298" t="s">
        <v>705</v>
      </c>
      <c r="C139" s="298" t="s">
        <v>706</v>
      </c>
      <c r="D139" s="298" t="s">
        <v>256</v>
      </c>
      <c r="E139" s="298" t="s">
        <v>707</v>
      </c>
      <c r="F139" s="298" t="s">
        <v>708</v>
      </c>
      <c r="G139" s="299" t="b">
        <v>0</v>
      </c>
      <c r="H139" s="299" t="b">
        <v>0</v>
      </c>
      <c r="J139" s="113" t="str">
        <f t="shared" si="5"/>
        <v>600345126</v>
      </c>
      <c r="K139" s="113" t="str">
        <f t="shared" si="6"/>
        <v>CG00138</v>
      </c>
    </row>
    <row r="140" spans="1:11" x14ac:dyDescent="0.3">
      <c r="A140" s="298" t="s">
        <v>709</v>
      </c>
      <c r="B140" s="298" t="s">
        <v>710</v>
      </c>
      <c r="C140" s="298" t="s">
        <v>711</v>
      </c>
      <c r="D140" s="298" t="s">
        <v>256</v>
      </c>
      <c r="E140" s="298"/>
      <c r="F140" s="298" t="s">
        <v>712</v>
      </c>
      <c r="G140" s="299" t="b">
        <v>0</v>
      </c>
      <c r="H140" s="299" t="b">
        <v>0</v>
      </c>
      <c r="J140" s="113" t="str">
        <f t="shared" si="5"/>
        <v>984322622</v>
      </c>
      <c r="K140" s="113" t="str">
        <f t="shared" si="6"/>
        <v>CG00139</v>
      </c>
    </row>
    <row r="141" spans="1:11" x14ac:dyDescent="0.3">
      <c r="A141" s="298" t="s">
        <v>713</v>
      </c>
      <c r="B141" s="298" t="s">
        <v>714</v>
      </c>
      <c r="C141" s="298" t="s">
        <v>544</v>
      </c>
      <c r="D141" s="298" t="s">
        <v>256</v>
      </c>
      <c r="E141" s="298"/>
      <c r="F141" s="298" t="s">
        <v>715</v>
      </c>
      <c r="G141" s="299" t="b">
        <v>0</v>
      </c>
      <c r="H141" s="299" t="b">
        <v>0</v>
      </c>
      <c r="J141" s="113" t="str">
        <f t="shared" si="5"/>
        <v>984343402</v>
      </c>
      <c r="K141" s="113" t="str">
        <f t="shared" si="6"/>
        <v>CG00140</v>
      </c>
    </row>
    <row r="142" spans="1:11" x14ac:dyDescent="0.3">
      <c r="A142" s="298" t="s">
        <v>716</v>
      </c>
      <c r="B142" s="298" t="s">
        <v>717</v>
      </c>
      <c r="C142" s="298" t="s">
        <v>718</v>
      </c>
      <c r="D142" s="298" t="s">
        <v>256</v>
      </c>
      <c r="E142" s="298"/>
      <c r="F142" s="298" t="s">
        <v>719</v>
      </c>
      <c r="G142" s="299" t="b">
        <v>0</v>
      </c>
      <c r="H142" s="299" t="b">
        <v>0</v>
      </c>
      <c r="J142" s="113" t="str">
        <f t="shared" si="5"/>
        <v>904759247</v>
      </c>
      <c r="K142" s="113" t="str">
        <f t="shared" si="6"/>
        <v>CG00141</v>
      </c>
    </row>
    <row r="143" spans="1:11" x14ac:dyDescent="0.3">
      <c r="A143" s="298" t="s">
        <v>720</v>
      </c>
      <c r="B143" s="298" t="s">
        <v>721</v>
      </c>
      <c r="C143" s="298" t="s">
        <v>722</v>
      </c>
      <c r="D143" s="298" t="s">
        <v>256</v>
      </c>
      <c r="E143" s="298"/>
      <c r="F143" s="298" t="s">
        <v>723</v>
      </c>
      <c r="G143" s="299" t="b">
        <v>0</v>
      </c>
      <c r="H143" s="299" t="b">
        <v>0</v>
      </c>
      <c r="J143" s="113" t="str">
        <f t="shared" si="5"/>
        <v>912119130</v>
      </c>
      <c r="K143" s="113" t="str">
        <f t="shared" si="6"/>
        <v>CG00142</v>
      </c>
    </row>
    <row r="144" spans="1:11" x14ac:dyDescent="0.3">
      <c r="A144" s="298" t="s">
        <v>724</v>
      </c>
      <c r="B144" s="298" t="s">
        <v>725</v>
      </c>
      <c r="C144" s="298" t="s">
        <v>726</v>
      </c>
      <c r="D144" s="298" t="s">
        <v>256</v>
      </c>
      <c r="E144" s="298"/>
      <c r="F144" s="298" t="s">
        <v>727</v>
      </c>
      <c r="G144" s="299" t="b">
        <v>0</v>
      </c>
      <c r="H144" s="299" t="b">
        <v>0</v>
      </c>
      <c r="J144" s="113" t="str">
        <f t="shared" si="5"/>
        <v>948266066</v>
      </c>
      <c r="K144" s="113" t="str">
        <f t="shared" si="6"/>
        <v>CG00143</v>
      </c>
    </row>
    <row r="145" spans="1:11" x14ac:dyDescent="0.3">
      <c r="A145" s="298" t="s">
        <v>728</v>
      </c>
      <c r="B145" s="298" t="s">
        <v>729</v>
      </c>
      <c r="C145" s="298" t="s">
        <v>730</v>
      </c>
      <c r="D145" s="298" t="s">
        <v>256</v>
      </c>
      <c r="E145" s="298"/>
      <c r="F145" s="298" t="s">
        <v>731</v>
      </c>
      <c r="G145" s="299" t="b">
        <v>0</v>
      </c>
      <c r="H145" s="299" t="b">
        <v>0</v>
      </c>
      <c r="J145" s="113" t="str">
        <f t="shared" si="5"/>
        <v>912274551</v>
      </c>
      <c r="K145" s="113" t="str">
        <f t="shared" si="6"/>
        <v>CG00144</v>
      </c>
    </row>
    <row r="146" spans="1:11" x14ac:dyDescent="0.3">
      <c r="A146" s="298" t="s">
        <v>732</v>
      </c>
      <c r="B146" s="298" t="s">
        <v>733</v>
      </c>
      <c r="C146" s="298" t="s">
        <v>734</v>
      </c>
      <c r="D146" s="298" t="s">
        <v>256</v>
      </c>
      <c r="E146" s="298"/>
      <c r="F146" s="298" t="s">
        <v>735</v>
      </c>
      <c r="G146" s="299" t="b">
        <v>0</v>
      </c>
      <c r="H146" s="299" t="b">
        <v>0</v>
      </c>
      <c r="J146" s="113" t="str">
        <f t="shared" si="5"/>
        <v>975520148</v>
      </c>
      <c r="K146" s="113" t="str">
        <f t="shared" si="6"/>
        <v>CG00145</v>
      </c>
    </row>
    <row r="147" spans="1:11" x14ac:dyDescent="0.3">
      <c r="A147" s="298" t="s">
        <v>736</v>
      </c>
      <c r="B147" s="298" t="s">
        <v>737</v>
      </c>
      <c r="C147" s="298" t="s">
        <v>738</v>
      </c>
      <c r="D147" s="298" t="s">
        <v>256</v>
      </c>
      <c r="E147" s="298"/>
      <c r="F147" s="298" t="s">
        <v>739</v>
      </c>
      <c r="G147" s="299" t="b">
        <v>0</v>
      </c>
      <c r="H147" s="299" t="b">
        <v>0</v>
      </c>
      <c r="J147" s="113" t="str">
        <f t="shared" si="5"/>
        <v>986383870</v>
      </c>
      <c r="K147" s="113" t="str">
        <f t="shared" si="6"/>
        <v>CG00146</v>
      </c>
    </row>
    <row r="148" spans="1:11" x14ac:dyDescent="0.3">
      <c r="A148" s="298" t="s">
        <v>740</v>
      </c>
      <c r="B148" s="298" t="s">
        <v>741</v>
      </c>
      <c r="C148" s="298" t="s">
        <v>565</v>
      </c>
      <c r="D148" s="298" t="s">
        <v>256</v>
      </c>
      <c r="E148" s="298"/>
      <c r="F148" s="298" t="s">
        <v>742</v>
      </c>
      <c r="G148" s="299" t="b">
        <v>0</v>
      </c>
      <c r="H148" s="299" t="b">
        <v>0</v>
      </c>
      <c r="J148" s="113" t="str">
        <f t="shared" si="5"/>
        <v>912220460</v>
      </c>
      <c r="K148" s="113" t="str">
        <f t="shared" si="6"/>
        <v>CG00147</v>
      </c>
    </row>
    <row r="149" spans="1:11" x14ac:dyDescent="0.3">
      <c r="A149" s="298" t="s">
        <v>743</v>
      </c>
      <c r="B149" s="298" t="s">
        <v>744</v>
      </c>
      <c r="C149" s="298" t="s">
        <v>745</v>
      </c>
      <c r="D149" s="298" t="s">
        <v>256</v>
      </c>
      <c r="E149" s="298"/>
      <c r="F149" s="298" t="s">
        <v>746</v>
      </c>
      <c r="G149" s="299" t="b">
        <v>0</v>
      </c>
      <c r="H149" s="299" t="b">
        <v>0</v>
      </c>
      <c r="J149" s="113" t="str">
        <f t="shared" si="5"/>
        <v>916492176</v>
      </c>
      <c r="K149" s="113" t="str">
        <f t="shared" si="6"/>
        <v>CG00148</v>
      </c>
    </row>
    <row r="150" spans="1:11" x14ac:dyDescent="0.3">
      <c r="A150" s="298" t="s">
        <v>747</v>
      </c>
      <c r="B150" s="298" t="s">
        <v>748</v>
      </c>
      <c r="C150" s="298" t="s">
        <v>749</v>
      </c>
      <c r="D150" s="298" t="s">
        <v>256</v>
      </c>
      <c r="E150" s="298"/>
      <c r="F150" s="298" t="s">
        <v>750</v>
      </c>
      <c r="G150" s="299" t="b">
        <v>0</v>
      </c>
      <c r="H150" s="299" t="b">
        <v>0</v>
      </c>
      <c r="J150" s="113" t="str">
        <f t="shared" si="5"/>
        <v>904173678</v>
      </c>
      <c r="K150" s="113" t="str">
        <f t="shared" si="6"/>
        <v>CG00150</v>
      </c>
    </row>
    <row r="151" spans="1:11" x14ac:dyDescent="0.3">
      <c r="A151" s="298" t="s">
        <v>751</v>
      </c>
      <c r="B151" s="298" t="s">
        <v>752</v>
      </c>
      <c r="C151" s="298" t="s">
        <v>749</v>
      </c>
      <c r="D151" s="298" t="s">
        <v>256</v>
      </c>
      <c r="E151" s="298"/>
      <c r="F151" s="298" t="s">
        <v>753</v>
      </c>
      <c r="G151" s="299" t="b">
        <v>0</v>
      </c>
      <c r="H151" s="299" t="b">
        <v>0</v>
      </c>
      <c r="J151" s="113" t="str">
        <f t="shared" si="5"/>
        <v>912250901</v>
      </c>
      <c r="K151" s="113" t="str">
        <f t="shared" si="6"/>
        <v>CG00151</v>
      </c>
    </row>
    <row r="152" spans="1:11" x14ac:dyDescent="0.3">
      <c r="A152" s="298" t="s">
        <v>754</v>
      </c>
      <c r="B152" s="298" t="s">
        <v>755</v>
      </c>
      <c r="C152" s="298" t="s">
        <v>756</v>
      </c>
      <c r="D152" s="298" t="s">
        <v>256</v>
      </c>
      <c r="E152" s="298"/>
      <c r="F152" s="298" t="s">
        <v>757</v>
      </c>
      <c r="G152" s="299" t="b">
        <v>0</v>
      </c>
      <c r="H152" s="299" t="b">
        <v>0</v>
      </c>
      <c r="J152" s="113" t="str">
        <f t="shared" si="5"/>
        <v>913264172</v>
      </c>
      <c r="K152" s="113" t="str">
        <f t="shared" si="6"/>
        <v>CG00152</v>
      </c>
    </row>
    <row r="153" spans="1:11" x14ac:dyDescent="0.3">
      <c r="A153" s="298" t="s">
        <v>758</v>
      </c>
      <c r="B153" s="298" t="s">
        <v>759</v>
      </c>
      <c r="C153" s="298" t="s">
        <v>593</v>
      </c>
      <c r="D153" s="298" t="s">
        <v>256</v>
      </c>
      <c r="E153" s="298"/>
      <c r="F153" s="298" t="s">
        <v>760</v>
      </c>
      <c r="G153" s="299" t="b">
        <v>0</v>
      </c>
      <c r="H153" s="299" t="b">
        <v>0</v>
      </c>
      <c r="J153" s="113" t="str">
        <f t="shared" si="5"/>
        <v>902151539</v>
      </c>
      <c r="K153" s="113" t="str">
        <f t="shared" si="6"/>
        <v>CG00153</v>
      </c>
    </row>
    <row r="154" spans="1:11" x14ac:dyDescent="0.3">
      <c r="A154" s="298" t="s">
        <v>761</v>
      </c>
      <c r="B154" s="298" t="s">
        <v>762</v>
      </c>
      <c r="C154" s="298" t="s">
        <v>625</v>
      </c>
      <c r="D154" s="298" t="s">
        <v>256</v>
      </c>
      <c r="E154" s="298"/>
      <c r="F154" s="298" t="s">
        <v>763</v>
      </c>
      <c r="G154" s="299" t="b">
        <v>0</v>
      </c>
      <c r="H154" s="299" t="b">
        <v>0</v>
      </c>
      <c r="J154" s="113" t="str">
        <f t="shared" si="5"/>
        <v>912326600</v>
      </c>
      <c r="K154" s="113" t="str">
        <f t="shared" si="6"/>
        <v>CG00154</v>
      </c>
    </row>
    <row r="155" spans="1:11" x14ac:dyDescent="0.3">
      <c r="A155" s="298" t="s">
        <v>764</v>
      </c>
      <c r="B155" s="298" t="s">
        <v>765</v>
      </c>
      <c r="C155" s="298" t="s">
        <v>231</v>
      </c>
      <c r="D155" s="298" t="s">
        <v>256</v>
      </c>
      <c r="E155" s="298"/>
      <c r="F155" s="298" t="s">
        <v>766</v>
      </c>
      <c r="G155" s="299" t="b">
        <v>0</v>
      </c>
      <c r="H155" s="299" t="b">
        <v>0</v>
      </c>
      <c r="J155" s="113" t="str">
        <f t="shared" si="5"/>
        <v>912717559</v>
      </c>
      <c r="K155" s="113" t="str">
        <f t="shared" si="6"/>
        <v>CG00155</v>
      </c>
    </row>
    <row r="156" spans="1:11" x14ac:dyDescent="0.3">
      <c r="A156" s="298" t="s">
        <v>767</v>
      </c>
      <c r="B156" s="298" t="s">
        <v>768</v>
      </c>
      <c r="C156" s="298" t="s">
        <v>769</v>
      </c>
      <c r="D156" s="298" t="s">
        <v>256</v>
      </c>
      <c r="E156" s="298"/>
      <c r="F156" s="298" t="s">
        <v>770</v>
      </c>
      <c r="G156" s="299" t="b">
        <v>0</v>
      </c>
      <c r="H156" s="299" t="b">
        <v>0</v>
      </c>
      <c r="J156" s="113" t="str">
        <f t="shared" si="5"/>
        <v>913313257</v>
      </c>
      <c r="K156" s="113" t="str">
        <f t="shared" si="6"/>
        <v>CG00156</v>
      </c>
    </row>
    <row r="157" spans="1:11" x14ac:dyDescent="0.3">
      <c r="A157" s="298" t="s">
        <v>771</v>
      </c>
      <c r="B157" s="298" t="s">
        <v>772</v>
      </c>
      <c r="C157" s="298" t="s">
        <v>773</v>
      </c>
      <c r="D157" s="298" t="s">
        <v>256</v>
      </c>
      <c r="E157" s="298"/>
      <c r="F157" s="298" t="s">
        <v>774</v>
      </c>
      <c r="G157" s="299" t="b">
        <v>0</v>
      </c>
      <c r="H157" s="299" t="b">
        <v>0</v>
      </c>
      <c r="J157" s="113" t="str">
        <f t="shared" si="5"/>
        <v>912703217</v>
      </c>
      <c r="K157" s="113" t="str">
        <f t="shared" si="6"/>
        <v>CG00157</v>
      </c>
    </row>
    <row r="158" spans="1:11" x14ac:dyDescent="0.3">
      <c r="A158" s="298" t="s">
        <v>775</v>
      </c>
      <c r="B158" s="298" t="s">
        <v>776</v>
      </c>
      <c r="C158" s="298" t="s">
        <v>777</v>
      </c>
      <c r="D158" s="298" t="s">
        <v>256</v>
      </c>
      <c r="E158" s="298"/>
      <c r="F158" s="298" t="s">
        <v>778</v>
      </c>
      <c r="G158" s="299" t="b">
        <v>0</v>
      </c>
      <c r="H158" s="299" t="b">
        <v>0</v>
      </c>
      <c r="J158" s="113" t="str">
        <f t="shared" si="5"/>
        <v>913532823</v>
      </c>
      <c r="K158" s="113" t="str">
        <f t="shared" si="6"/>
        <v>CG00158</v>
      </c>
    </row>
    <row r="159" spans="1:11" x14ac:dyDescent="0.3">
      <c r="A159" s="298" t="s">
        <v>779</v>
      </c>
      <c r="B159" s="298" t="s">
        <v>780</v>
      </c>
      <c r="C159" s="298" t="s">
        <v>781</v>
      </c>
      <c r="D159" s="298" t="s">
        <v>256</v>
      </c>
      <c r="E159" s="298"/>
      <c r="F159" s="298" t="s">
        <v>782</v>
      </c>
      <c r="G159" s="299" t="b">
        <v>0</v>
      </c>
      <c r="H159" s="299" t="b">
        <v>0</v>
      </c>
      <c r="J159" s="113" t="str">
        <f t="shared" si="5"/>
        <v>337016460</v>
      </c>
      <c r="K159" s="113" t="str">
        <f t="shared" si="6"/>
        <v>CG00159</v>
      </c>
    </row>
    <row r="160" spans="1:11" x14ac:dyDescent="0.3">
      <c r="A160" s="298" t="s">
        <v>783</v>
      </c>
      <c r="B160" s="298" t="s">
        <v>784</v>
      </c>
      <c r="C160" s="298" t="s">
        <v>785</v>
      </c>
      <c r="D160" s="298" t="s">
        <v>256</v>
      </c>
      <c r="E160" s="298"/>
      <c r="F160" s="298" t="s">
        <v>786</v>
      </c>
      <c r="G160" s="299" t="b">
        <v>0</v>
      </c>
      <c r="H160" s="299" t="b">
        <v>0</v>
      </c>
      <c r="J160" s="113" t="str">
        <f t="shared" si="5"/>
        <v>914508169</v>
      </c>
      <c r="K160" s="113" t="str">
        <f t="shared" si="6"/>
        <v>CG00161</v>
      </c>
    </row>
    <row r="161" spans="1:11" x14ac:dyDescent="0.3">
      <c r="A161" s="298" t="s">
        <v>787</v>
      </c>
      <c r="B161" s="298" t="s">
        <v>788</v>
      </c>
      <c r="C161" s="298" t="s">
        <v>789</v>
      </c>
      <c r="D161" s="298" t="s">
        <v>256</v>
      </c>
      <c r="E161" s="298"/>
      <c r="F161" s="298" t="s">
        <v>790</v>
      </c>
      <c r="G161" s="299" t="b">
        <v>0</v>
      </c>
      <c r="H161" s="299" t="b">
        <v>0</v>
      </c>
      <c r="J161" s="113" t="str">
        <f t="shared" si="5"/>
        <v>915539491</v>
      </c>
      <c r="K161" s="113" t="str">
        <f t="shared" si="6"/>
        <v>CG00162</v>
      </c>
    </row>
    <row r="162" spans="1:11" x14ac:dyDescent="0.3">
      <c r="A162" s="298" t="s">
        <v>791</v>
      </c>
      <c r="B162" s="298" t="s">
        <v>792</v>
      </c>
      <c r="C162" s="298" t="s">
        <v>274</v>
      </c>
      <c r="D162" s="298" t="s">
        <v>256</v>
      </c>
      <c r="E162" s="298"/>
      <c r="F162" s="298" t="s">
        <v>793</v>
      </c>
      <c r="G162" s="299" t="b">
        <v>0</v>
      </c>
      <c r="H162" s="299" t="b">
        <v>0</v>
      </c>
      <c r="J162" s="113" t="str">
        <f t="shared" si="5"/>
        <v>982751848</v>
      </c>
      <c r="K162" s="113" t="str">
        <f t="shared" si="6"/>
        <v>CG00163</v>
      </c>
    </row>
    <row r="163" spans="1:11" x14ac:dyDescent="0.3">
      <c r="A163" s="298" t="s">
        <v>794</v>
      </c>
      <c r="B163" s="298" t="s">
        <v>795</v>
      </c>
      <c r="C163" s="298" t="s">
        <v>541</v>
      </c>
      <c r="D163" s="298" t="s">
        <v>256</v>
      </c>
      <c r="E163" s="298"/>
      <c r="F163" s="298" t="s">
        <v>796</v>
      </c>
      <c r="G163" s="299" t="b">
        <v>0</v>
      </c>
      <c r="H163" s="299" t="b">
        <v>0</v>
      </c>
      <c r="J163" s="113" t="str">
        <f t="shared" si="5"/>
        <v>973309766</v>
      </c>
      <c r="K163" s="113" t="str">
        <f t="shared" si="6"/>
        <v>CG00164</v>
      </c>
    </row>
    <row r="164" spans="1:11" x14ac:dyDescent="0.3">
      <c r="A164" s="298" t="s">
        <v>797</v>
      </c>
      <c r="B164" s="298" t="s">
        <v>798</v>
      </c>
      <c r="C164" s="298" t="s">
        <v>799</v>
      </c>
      <c r="D164" s="298" t="s">
        <v>256</v>
      </c>
      <c r="E164" s="298"/>
      <c r="F164" s="298" t="s">
        <v>800</v>
      </c>
      <c r="G164" s="299" t="b">
        <v>0</v>
      </c>
      <c r="H164" s="299" t="b">
        <v>0</v>
      </c>
      <c r="J164" s="113" t="str">
        <f t="shared" si="5"/>
        <v>965064444</v>
      </c>
      <c r="K164" s="113" t="str">
        <f t="shared" si="6"/>
        <v>CG00165</v>
      </c>
    </row>
    <row r="165" spans="1:11" x14ac:dyDescent="0.3">
      <c r="A165" s="298" t="s">
        <v>801</v>
      </c>
      <c r="B165" s="298" t="s">
        <v>802</v>
      </c>
      <c r="C165" s="298" t="s">
        <v>277</v>
      </c>
      <c r="D165" s="298" t="s">
        <v>256</v>
      </c>
      <c r="E165" s="298"/>
      <c r="F165" s="298" t="s">
        <v>803</v>
      </c>
      <c r="G165" s="299" t="b">
        <v>0</v>
      </c>
      <c r="H165" s="299" t="b">
        <v>0</v>
      </c>
      <c r="J165" s="113" t="str">
        <f t="shared" si="5"/>
        <v>913522980</v>
      </c>
      <c r="K165" s="113" t="str">
        <f t="shared" si="6"/>
        <v>CG00166</v>
      </c>
    </row>
    <row r="166" spans="1:11" x14ac:dyDescent="0.3">
      <c r="A166" s="298" t="s">
        <v>804</v>
      </c>
      <c r="B166" s="298" t="s">
        <v>805</v>
      </c>
      <c r="C166" s="298" t="s">
        <v>625</v>
      </c>
      <c r="D166" s="298" t="s">
        <v>256</v>
      </c>
      <c r="E166" s="298"/>
      <c r="F166" s="298" t="s">
        <v>806</v>
      </c>
      <c r="G166" s="299" t="b">
        <v>0</v>
      </c>
      <c r="H166" s="299" t="b">
        <v>0</v>
      </c>
      <c r="J166" s="113" t="str">
        <f t="shared" si="5"/>
        <v>912220584</v>
      </c>
      <c r="K166" s="113" t="str">
        <f t="shared" si="6"/>
        <v>CG00167</v>
      </c>
    </row>
    <row r="167" spans="1:11" x14ac:dyDescent="0.3">
      <c r="A167" s="298" t="s">
        <v>807</v>
      </c>
      <c r="B167" s="298" t="s">
        <v>808</v>
      </c>
      <c r="C167" s="298" t="s">
        <v>809</v>
      </c>
      <c r="D167" s="298" t="s">
        <v>256</v>
      </c>
      <c r="E167" s="298"/>
      <c r="F167" s="298" t="s">
        <v>810</v>
      </c>
      <c r="G167" s="299" t="b">
        <v>0</v>
      </c>
      <c r="H167" s="299" t="b">
        <v>0</v>
      </c>
      <c r="J167" s="113" t="str">
        <f t="shared" si="5"/>
        <v>915085644</v>
      </c>
      <c r="K167" s="113" t="str">
        <f t="shared" si="6"/>
        <v>CG00168</v>
      </c>
    </row>
    <row r="168" spans="1:11" x14ac:dyDescent="0.3">
      <c r="A168" s="298" t="s">
        <v>811</v>
      </c>
      <c r="B168" s="298" t="s">
        <v>812</v>
      </c>
      <c r="C168" s="298" t="s">
        <v>625</v>
      </c>
      <c r="D168" s="298" t="s">
        <v>256</v>
      </c>
      <c r="E168" s="298"/>
      <c r="F168" s="298" t="s">
        <v>813</v>
      </c>
      <c r="G168" s="299" t="b">
        <v>0</v>
      </c>
      <c r="H168" s="299" t="b">
        <v>0</v>
      </c>
      <c r="J168" s="113" t="str">
        <f t="shared" si="5"/>
        <v>906064577</v>
      </c>
      <c r="K168" s="113" t="str">
        <f t="shared" si="6"/>
        <v>CG00169</v>
      </c>
    </row>
    <row r="169" spans="1:11" x14ac:dyDescent="0.3">
      <c r="A169" s="298" t="s">
        <v>814</v>
      </c>
      <c r="B169" s="298" t="s">
        <v>815</v>
      </c>
      <c r="C169" s="298" t="s">
        <v>816</v>
      </c>
      <c r="D169" s="298" t="s">
        <v>256</v>
      </c>
      <c r="E169" s="298"/>
      <c r="F169" s="298" t="s">
        <v>817</v>
      </c>
      <c r="G169" s="299" t="b">
        <v>0</v>
      </c>
      <c r="H169" s="299" t="b">
        <v>0</v>
      </c>
      <c r="J169" s="113" t="str">
        <f t="shared" si="5"/>
        <v>903276737</v>
      </c>
      <c r="K169" s="113" t="str">
        <f t="shared" si="6"/>
        <v>CG00170</v>
      </c>
    </row>
    <row r="170" spans="1:11" x14ac:dyDescent="0.3">
      <c r="A170" s="298" t="s">
        <v>818</v>
      </c>
      <c r="B170" s="298" t="s">
        <v>819</v>
      </c>
      <c r="C170" s="298" t="s">
        <v>820</v>
      </c>
      <c r="D170" s="298" t="s">
        <v>256</v>
      </c>
      <c r="E170" s="298"/>
      <c r="F170" s="298" t="s">
        <v>821</v>
      </c>
      <c r="G170" s="299" t="b">
        <v>0</v>
      </c>
      <c r="H170" s="299" t="b">
        <v>0</v>
      </c>
      <c r="J170" s="113" t="str">
        <f t="shared" si="5"/>
        <v>904321689</v>
      </c>
      <c r="K170" s="113" t="str">
        <f t="shared" si="6"/>
        <v>CG00171</v>
      </c>
    </row>
    <row r="171" spans="1:11" x14ac:dyDescent="0.3">
      <c r="A171" s="298" t="s">
        <v>822</v>
      </c>
      <c r="B171" s="298" t="s">
        <v>823</v>
      </c>
      <c r="C171" s="298" t="s">
        <v>824</v>
      </c>
      <c r="D171" s="298" t="s">
        <v>256</v>
      </c>
      <c r="E171" s="298"/>
      <c r="F171" s="298" t="s">
        <v>825</v>
      </c>
      <c r="G171" s="299" t="b">
        <v>0</v>
      </c>
      <c r="H171" s="299" t="b">
        <v>0</v>
      </c>
      <c r="J171" s="113" t="str">
        <f t="shared" si="5"/>
        <v>983050728</v>
      </c>
      <c r="K171" s="113" t="str">
        <f t="shared" si="6"/>
        <v>CG00172</v>
      </c>
    </row>
    <row r="172" spans="1:11" x14ac:dyDescent="0.3">
      <c r="A172" s="298" t="s">
        <v>826</v>
      </c>
      <c r="B172" s="298" t="s">
        <v>827</v>
      </c>
      <c r="C172" s="298" t="s">
        <v>487</v>
      </c>
      <c r="D172" s="298" t="s">
        <v>256</v>
      </c>
      <c r="E172" s="298"/>
      <c r="F172" s="298" t="s">
        <v>828</v>
      </c>
      <c r="G172" s="299" t="b">
        <v>0</v>
      </c>
      <c r="H172" s="299" t="b">
        <v>0</v>
      </c>
      <c r="J172" s="113" t="str">
        <f t="shared" si="5"/>
        <v>916072408</v>
      </c>
      <c r="K172" s="113" t="str">
        <f t="shared" si="6"/>
        <v>CG00173</v>
      </c>
    </row>
    <row r="173" spans="1:11" x14ac:dyDescent="0.3">
      <c r="A173" s="298" t="s">
        <v>829</v>
      </c>
      <c r="B173" s="298" t="s">
        <v>830</v>
      </c>
      <c r="C173" s="298" t="s">
        <v>831</v>
      </c>
      <c r="D173" s="298" t="s">
        <v>256</v>
      </c>
      <c r="E173" s="298" t="s">
        <v>832</v>
      </c>
      <c r="F173" s="298" t="s">
        <v>833</v>
      </c>
      <c r="G173" s="299" t="b">
        <v>0</v>
      </c>
      <c r="H173" s="299" t="b">
        <v>0</v>
      </c>
      <c r="J173" s="113" t="str">
        <f t="shared" si="5"/>
        <v>912394497</v>
      </c>
      <c r="K173" s="113" t="str">
        <f t="shared" si="6"/>
        <v>CG00174</v>
      </c>
    </row>
    <row r="174" spans="1:11" x14ac:dyDescent="0.3">
      <c r="A174" s="298" t="s">
        <v>834</v>
      </c>
      <c r="B174" s="298" t="s">
        <v>835</v>
      </c>
      <c r="C174" s="298" t="s">
        <v>439</v>
      </c>
      <c r="D174" s="298" t="s">
        <v>256</v>
      </c>
      <c r="E174" s="298"/>
      <c r="F174" s="298" t="s">
        <v>836</v>
      </c>
      <c r="G174" s="299" t="b">
        <v>0</v>
      </c>
      <c r="H174" s="299" t="b">
        <v>0</v>
      </c>
      <c r="J174" s="113" t="str">
        <f t="shared" si="5"/>
        <v>912474561</v>
      </c>
      <c r="K174" s="113" t="str">
        <f t="shared" si="6"/>
        <v>CG00175</v>
      </c>
    </row>
    <row r="175" spans="1:11" x14ac:dyDescent="0.3">
      <c r="A175" s="298" t="s">
        <v>837</v>
      </c>
      <c r="B175" s="298" t="s">
        <v>838</v>
      </c>
      <c r="C175" s="298" t="s">
        <v>809</v>
      </c>
      <c r="D175" s="298" t="s">
        <v>256</v>
      </c>
      <c r="E175" s="298"/>
      <c r="F175" s="298" t="s">
        <v>839</v>
      </c>
      <c r="G175" s="299" t="b">
        <v>0</v>
      </c>
      <c r="H175" s="299" t="b">
        <v>0</v>
      </c>
      <c r="J175" s="113" t="str">
        <f t="shared" si="5"/>
        <v>912017556</v>
      </c>
      <c r="K175" s="113" t="str">
        <f t="shared" si="6"/>
        <v>CG00176</v>
      </c>
    </row>
    <row r="176" spans="1:11" x14ac:dyDescent="0.3">
      <c r="A176" s="298" t="s">
        <v>840</v>
      </c>
      <c r="B176" s="298" t="s">
        <v>841</v>
      </c>
      <c r="C176" s="298" t="s">
        <v>500</v>
      </c>
      <c r="D176" s="298" t="s">
        <v>256</v>
      </c>
      <c r="E176" s="298"/>
      <c r="F176" s="298" t="s">
        <v>842</v>
      </c>
      <c r="G176" s="299" t="b">
        <v>0</v>
      </c>
      <c r="H176" s="299" t="b">
        <v>0</v>
      </c>
      <c r="J176" s="113" t="str">
        <f t="shared" si="5"/>
        <v>904370706</v>
      </c>
      <c r="K176" s="113" t="str">
        <f t="shared" si="6"/>
        <v>CG00177</v>
      </c>
    </row>
    <row r="177" spans="1:11" x14ac:dyDescent="0.3">
      <c r="A177" s="298" t="s">
        <v>843</v>
      </c>
      <c r="B177" s="298" t="s">
        <v>844</v>
      </c>
      <c r="C177" s="298" t="s">
        <v>845</v>
      </c>
      <c r="D177" s="298" t="s">
        <v>256</v>
      </c>
      <c r="E177" s="298"/>
      <c r="F177" s="298" t="s">
        <v>846</v>
      </c>
      <c r="G177" s="299" t="b">
        <v>0</v>
      </c>
      <c r="H177" s="299" t="b">
        <v>0</v>
      </c>
      <c r="J177" s="113" t="str">
        <f t="shared" si="5"/>
        <v>915630475</v>
      </c>
      <c r="K177" s="113" t="str">
        <f t="shared" si="6"/>
        <v>CG00178</v>
      </c>
    </row>
    <row r="178" spans="1:11" x14ac:dyDescent="0.3">
      <c r="A178" s="298" t="s">
        <v>847</v>
      </c>
      <c r="B178" s="298" t="s">
        <v>14658</v>
      </c>
      <c r="C178" s="298" t="s">
        <v>416</v>
      </c>
      <c r="D178" s="298" t="s">
        <v>256</v>
      </c>
      <c r="E178" s="298"/>
      <c r="F178" s="298" t="s">
        <v>848</v>
      </c>
      <c r="G178" s="299" t="b">
        <v>0</v>
      </c>
      <c r="H178" s="299" t="b">
        <v>0</v>
      </c>
      <c r="J178" s="113" t="str">
        <f t="shared" si="5"/>
        <v>988836360</v>
      </c>
      <c r="K178" s="113" t="str">
        <f t="shared" si="6"/>
        <v>CG00179</v>
      </c>
    </row>
    <row r="179" spans="1:11" x14ac:dyDescent="0.3">
      <c r="A179" s="298" t="s">
        <v>849</v>
      </c>
      <c r="B179" s="298" t="s">
        <v>850</v>
      </c>
      <c r="C179" s="298" t="s">
        <v>718</v>
      </c>
      <c r="D179" s="298" t="s">
        <v>256</v>
      </c>
      <c r="E179" s="298"/>
      <c r="F179" s="298" t="s">
        <v>851</v>
      </c>
      <c r="G179" s="299" t="b">
        <v>0</v>
      </c>
      <c r="H179" s="299" t="b">
        <v>0</v>
      </c>
      <c r="J179" s="113" t="str">
        <f t="shared" si="5"/>
        <v>913540356</v>
      </c>
      <c r="K179" s="113" t="str">
        <f t="shared" si="6"/>
        <v>CG00180</v>
      </c>
    </row>
    <row r="180" spans="1:11" x14ac:dyDescent="0.3">
      <c r="A180" s="298" t="s">
        <v>852</v>
      </c>
      <c r="B180" s="298" t="s">
        <v>853</v>
      </c>
      <c r="C180" s="298" t="s">
        <v>495</v>
      </c>
      <c r="D180" s="298" t="s">
        <v>256</v>
      </c>
      <c r="E180" s="298"/>
      <c r="F180" s="298" t="s">
        <v>854</v>
      </c>
      <c r="G180" s="299" t="b">
        <v>0</v>
      </c>
      <c r="H180" s="299" t="b">
        <v>0</v>
      </c>
      <c r="J180" s="113" t="str">
        <f t="shared" si="5"/>
        <v>918027786</v>
      </c>
      <c r="K180" s="113" t="str">
        <f t="shared" si="6"/>
        <v>CG00181</v>
      </c>
    </row>
    <row r="181" spans="1:11" x14ac:dyDescent="0.3">
      <c r="A181" s="298" t="s">
        <v>855</v>
      </c>
      <c r="B181" s="298" t="s">
        <v>856</v>
      </c>
      <c r="C181" s="298" t="s">
        <v>857</v>
      </c>
      <c r="D181" s="298" t="s">
        <v>256</v>
      </c>
      <c r="E181" s="298"/>
      <c r="F181" s="298" t="s">
        <v>858</v>
      </c>
      <c r="G181" s="299" t="b">
        <v>0</v>
      </c>
      <c r="H181" s="299" t="b">
        <v>0</v>
      </c>
      <c r="J181" s="113" t="str">
        <f t="shared" si="5"/>
        <v>984403986</v>
      </c>
      <c r="K181" s="113" t="str">
        <f t="shared" si="6"/>
        <v>CG00182</v>
      </c>
    </row>
    <row r="182" spans="1:11" x14ac:dyDescent="0.3">
      <c r="A182" s="298" t="s">
        <v>859</v>
      </c>
      <c r="B182" s="298" t="s">
        <v>860</v>
      </c>
      <c r="C182" s="298" t="s">
        <v>861</v>
      </c>
      <c r="D182" s="298" t="s">
        <v>256</v>
      </c>
      <c r="E182" s="298"/>
      <c r="F182" s="298" t="s">
        <v>862</v>
      </c>
      <c r="G182" s="299" t="b">
        <v>0</v>
      </c>
      <c r="H182" s="299" t="b">
        <v>0</v>
      </c>
      <c r="J182" s="113" t="str">
        <f t="shared" si="5"/>
        <v>948113775</v>
      </c>
      <c r="K182" s="113" t="str">
        <f t="shared" si="6"/>
        <v>CG00183</v>
      </c>
    </row>
    <row r="183" spans="1:11" x14ac:dyDescent="0.3">
      <c r="A183" s="298" t="s">
        <v>863</v>
      </c>
      <c r="B183" s="298" t="s">
        <v>864</v>
      </c>
      <c r="C183" s="298" t="s">
        <v>845</v>
      </c>
      <c r="D183" s="298" t="s">
        <v>256</v>
      </c>
      <c r="E183" s="298"/>
      <c r="F183" s="298" t="s">
        <v>865</v>
      </c>
      <c r="G183" s="299" t="b">
        <v>0</v>
      </c>
      <c r="H183" s="299" t="b">
        <v>0</v>
      </c>
      <c r="J183" s="113" t="str">
        <f t="shared" si="5"/>
        <v>915041876</v>
      </c>
      <c r="K183" s="113" t="str">
        <f t="shared" si="6"/>
        <v>CG00184</v>
      </c>
    </row>
    <row r="184" spans="1:11" x14ac:dyDescent="0.3">
      <c r="A184" s="298" t="s">
        <v>866</v>
      </c>
      <c r="B184" s="298" t="s">
        <v>867</v>
      </c>
      <c r="C184" s="298" t="s">
        <v>868</v>
      </c>
      <c r="D184" s="298" t="s">
        <v>256</v>
      </c>
      <c r="E184" s="298"/>
      <c r="F184" s="298" t="s">
        <v>869</v>
      </c>
      <c r="G184" s="299" t="b">
        <v>0</v>
      </c>
      <c r="H184" s="299" t="b">
        <v>0</v>
      </c>
      <c r="J184" s="113" t="str">
        <f t="shared" si="5"/>
        <v>982179286</v>
      </c>
      <c r="K184" s="113" t="str">
        <f t="shared" si="6"/>
        <v>CG00185</v>
      </c>
    </row>
    <row r="185" spans="1:11" x14ac:dyDescent="0.3">
      <c r="A185" s="298" t="s">
        <v>870</v>
      </c>
      <c r="B185" s="298" t="s">
        <v>871</v>
      </c>
      <c r="C185" s="298" t="s">
        <v>872</v>
      </c>
      <c r="D185" s="298" t="s">
        <v>256</v>
      </c>
      <c r="E185" s="298" t="s">
        <v>873</v>
      </c>
      <c r="F185" s="298" t="s">
        <v>874</v>
      </c>
      <c r="G185" s="299" t="b">
        <v>0</v>
      </c>
      <c r="H185" s="299" t="b">
        <v>0</v>
      </c>
      <c r="J185" s="113" t="str">
        <f t="shared" si="5"/>
        <v>904121539</v>
      </c>
      <c r="K185" s="113" t="str">
        <f t="shared" si="6"/>
        <v>CG00186</v>
      </c>
    </row>
    <row r="186" spans="1:11" x14ac:dyDescent="0.3">
      <c r="A186" s="298" t="s">
        <v>875</v>
      </c>
      <c r="B186" s="298" t="s">
        <v>876</v>
      </c>
      <c r="C186" s="298" t="s">
        <v>877</v>
      </c>
      <c r="D186" s="298" t="s">
        <v>256</v>
      </c>
      <c r="E186" s="298"/>
      <c r="F186" s="298" t="s">
        <v>878</v>
      </c>
      <c r="G186" s="299" t="b">
        <v>0</v>
      </c>
      <c r="H186" s="299" t="b">
        <v>0</v>
      </c>
      <c r="J186" s="113" t="str">
        <f t="shared" si="5"/>
        <v>972957559</v>
      </c>
      <c r="K186" s="113" t="str">
        <f t="shared" si="6"/>
        <v>CG00187</v>
      </c>
    </row>
    <row r="187" spans="1:11" x14ac:dyDescent="0.3">
      <c r="A187" s="298" t="s">
        <v>879</v>
      </c>
      <c r="B187" s="298" t="s">
        <v>880</v>
      </c>
      <c r="C187" s="298" t="s">
        <v>734</v>
      </c>
      <c r="D187" s="298" t="s">
        <v>256</v>
      </c>
      <c r="E187" s="298"/>
      <c r="F187" s="298" t="s">
        <v>881</v>
      </c>
      <c r="G187" s="299" t="b">
        <v>0</v>
      </c>
      <c r="H187" s="299" t="b">
        <v>0</v>
      </c>
      <c r="J187" s="113" t="str">
        <f t="shared" si="5"/>
        <v>918029348</v>
      </c>
      <c r="K187" s="113" t="str">
        <f t="shared" si="6"/>
        <v>CG00188</v>
      </c>
    </row>
    <row r="188" spans="1:11" x14ac:dyDescent="0.3">
      <c r="A188" s="298" t="s">
        <v>882</v>
      </c>
      <c r="B188" s="298" t="s">
        <v>883</v>
      </c>
      <c r="C188" s="298" t="s">
        <v>884</v>
      </c>
      <c r="D188" s="298" t="s">
        <v>256</v>
      </c>
      <c r="E188" s="298"/>
      <c r="F188" s="298" t="s">
        <v>885</v>
      </c>
      <c r="G188" s="299" t="b">
        <v>0</v>
      </c>
      <c r="H188" s="299" t="b">
        <v>0</v>
      </c>
      <c r="J188" s="113" t="str">
        <f t="shared" si="5"/>
        <v>912630795</v>
      </c>
      <c r="K188" s="113" t="str">
        <f t="shared" si="6"/>
        <v>CG00190</v>
      </c>
    </row>
    <row r="189" spans="1:11" x14ac:dyDescent="0.3">
      <c r="A189" s="298" t="s">
        <v>886</v>
      </c>
      <c r="B189" s="298" t="s">
        <v>887</v>
      </c>
      <c r="C189" s="298" t="s">
        <v>888</v>
      </c>
      <c r="D189" s="298" t="s">
        <v>256</v>
      </c>
      <c r="E189" s="298"/>
      <c r="F189" s="298" t="s">
        <v>889</v>
      </c>
      <c r="G189" s="299" t="b">
        <v>0</v>
      </c>
      <c r="H189" s="299" t="b">
        <v>0</v>
      </c>
      <c r="J189" s="113" t="str">
        <f t="shared" si="5"/>
        <v>795367406</v>
      </c>
      <c r="K189" s="113" t="str">
        <f t="shared" si="6"/>
        <v>CG00191</v>
      </c>
    </row>
    <row r="190" spans="1:11" x14ac:dyDescent="0.3">
      <c r="A190" s="298" t="s">
        <v>890</v>
      </c>
      <c r="B190" s="298" t="s">
        <v>891</v>
      </c>
      <c r="C190" s="298" t="s">
        <v>892</v>
      </c>
      <c r="D190" s="298" t="s">
        <v>256</v>
      </c>
      <c r="E190" s="298"/>
      <c r="F190" s="298" t="s">
        <v>893</v>
      </c>
      <c r="G190" s="299" t="b">
        <v>0</v>
      </c>
      <c r="H190" s="299" t="b">
        <v>0</v>
      </c>
      <c r="J190" s="113" t="str">
        <f t="shared" si="5"/>
        <v>987025971</v>
      </c>
      <c r="K190" s="113" t="str">
        <f t="shared" si="6"/>
        <v>CG00192</v>
      </c>
    </row>
    <row r="191" spans="1:11" x14ac:dyDescent="0.3">
      <c r="A191" s="298" t="s">
        <v>894</v>
      </c>
      <c r="B191" s="298" t="s">
        <v>895</v>
      </c>
      <c r="C191" s="298" t="s">
        <v>896</v>
      </c>
      <c r="D191" s="298" t="s">
        <v>256</v>
      </c>
      <c r="E191" s="298"/>
      <c r="F191" s="298" t="s">
        <v>897</v>
      </c>
      <c r="G191" s="299" t="b">
        <v>0</v>
      </c>
      <c r="H191" s="299" t="b">
        <v>0</v>
      </c>
      <c r="J191" s="113" t="str">
        <f t="shared" si="5"/>
        <v>982473418</v>
      </c>
      <c r="K191" s="113" t="str">
        <f t="shared" si="6"/>
        <v>CG00193</v>
      </c>
    </row>
    <row r="192" spans="1:11" x14ac:dyDescent="0.3">
      <c r="A192" s="298" t="s">
        <v>898</v>
      </c>
      <c r="B192" s="298" t="s">
        <v>899</v>
      </c>
      <c r="C192" s="298" t="s">
        <v>378</v>
      </c>
      <c r="D192" s="298" t="s">
        <v>256</v>
      </c>
      <c r="E192" s="298"/>
      <c r="F192" s="298" t="s">
        <v>900</v>
      </c>
      <c r="G192" s="299" t="b">
        <v>0</v>
      </c>
      <c r="H192" s="299" t="b">
        <v>0</v>
      </c>
      <c r="J192" s="113" t="str">
        <f t="shared" si="5"/>
        <v>985525822</v>
      </c>
      <c r="K192" s="113" t="str">
        <f t="shared" si="6"/>
        <v>CG00194</v>
      </c>
    </row>
    <row r="193" spans="1:11" x14ac:dyDescent="0.3">
      <c r="A193" s="298" t="s">
        <v>901</v>
      </c>
      <c r="B193" s="298" t="s">
        <v>902</v>
      </c>
      <c r="C193" s="298" t="s">
        <v>903</v>
      </c>
      <c r="D193" s="298" t="s">
        <v>256</v>
      </c>
      <c r="E193" s="298"/>
      <c r="F193" s="298" t="s">
        <v>904</v>
      </c>
      <c r="G193" s="299" t="b">
        <v>0</v>
      </c>
      <c r="H193" s="299" t="b">
        <v>0</v>
      </c>
      <c r="J193" s="113" t="str">
        <f t="shared" si="5"/>
        <v>902218764</v>
      </c>
      <c r="K193" s="113" t="str">
        <f t="shared" si="6"/>
        <v>CG00195</v>
      </c>
    </row>
    <row r="194" spans="1:11" x14ac:dyDescent="0.3">
      <c r="A194" s="298" t="s">
        <v>905</v>
      </c>
      <c r="B194" s="298" t="s">
        <v>906</v>
      </c>
      <c r="C194" s="298" t="s">
        <v>416</v>
      </c>
      <c r="D194" s="298" t="s">
        <v>256</v>
      </c>
      <c r="E194" s="298"/>
      <c r="F194" s="298" t="s">
        <v>907</v>
      </c>
      <c r="G194" s="299" t="b">
        <v>0</v>
      </c>
      <c r="H194" s="299" t="b">
        <v>0</v>
      </c>
      <c r="J194" s="113" t="str">
        <f t="shared" si="5"/>
        <v>903457847</v>
      </c>
      <c r="K194" s="113" t="str">
        <f t="shared" si="6"/>
        <v>CG00196</v>
      </c>
    </row>
    <row r="195" spans="1:11" x14ac:dyDescent="0.3">
      <c r="A195" s="298" t="s">
        <v>908</v>
      </c>
      <c r="B195" s="298" t="s">
        <v>909</v>
      </c>
      <c r="C195" s="298" t="s">
        <v>500</v>
      </c>
      <c r="D195" s="298" t="s">
        <v>256</v>
      </c>
      <c r="E195" s="298"/>
      <c r="F195" s="298" t="s">
        <v>910</v>
      </c>
      <c r="G195" s="299" t="b">
        <v>0</v>
      </c>
      <c r="H195" s="299" t="b">
        <v>0</v>
      </c>
      <c r="J195" s="113" t="str">
        <f t="shared" si="5"/>
        <v>984826536</v>
      </c>
      <c r="K195" s="113" t="str">
        <f t="shared" si="6"/>
        <v>CG00197</v>
      </c>
    </row>
    <row r="196" spans="1:11" x14ac:dyDescent="0.3">
      <c r="A196" s="298" t="s">
        <v>911</v>
      </c>
      <c r="B196" s="298" t="s">
        <v>912</v>
      </c>
      <c r="C196" s="298" t="s">
        <v>452</v>
      </c>
      <c r="D196" s="298" t="s">
        <v>256</v>
      </c>
      <c r="E196" s="298"/>
      <c r="F196" s="298" t="s">
        <v>913</v>
      </c>
      <c r="G196" s="299" t="b">
        <v>0</v>
      </c>
      <c r="H196" s="299" t="b">
        <v>0</v>
      </c>
      <c r="J196" s="113" t="str">
        <f t="shared" si="5"/>
        <v>913244769</v>
      </c>
      <c r="K196" s="113" t="str">
        <f t="shared" si="6"/>
        <v>CG00198</v>
      </c>
    </row>
    <row r="197" spans="1:11" x14ac:dyDescent="0.3">
      <c r="A197" s="298" t="s">
        <v>914</v>
      </c>
      <c r="B197" s="298" t="s">
        <v>915</v>
      </c>
      <c r="C197" s="298" t="s">
        <v>916</v>
      </c>
      <c r="D197" s="298" t="s">
        <v>256</v>
      </c>
      <c r="E197" s="298"/>
      <c r="F197" s="298" t="s">
        <v>917</v>
      </c>
      <c r="G197" s="299" t="b">
        <v>0</v>
      </c>
      <c r="H197" s="299" t="b">
        <v>0</v>
      </c>
      <c r="J197" s="113" t="str">
        <f t="shared" ref="J197:J260" si="7">RIGHT(B197,9)</f>
        <v>913256007</v>
      </c>
      <c r="K197" s="113" t="str">
        <f t="shared" ref="K197:K260" si="8">A197</f>
        <v>CG00199</v>
      </c>
    </row>
    <row r="198" spans="1:11" x14ac:dyDescent="0.3">
      <c r="A198" s="298" t="s">
        <v>918</v>
      </c>
      <c r="B198" s="298" t="s">
        <v>919</v>
      </c>
      <c r="C198" s="298" t="s">
        <v>500</v>
      </c>
      <c r="D198" s="298" t="s">
        <v>256</v>
      </c>
      <c r="E198" s="298"/>
      <c r="F198" s="298" t="s">
        <v>920</v>
      </c>
      <c r="G198" s="299" t="b">
        <v>0</v>
      </c>
      <c r="H198" s="299" t="b">
        <v>0</v>
      </c>
      <c r="J198" s="113" t="str">
        <f t="shared" si="7"/>
        <v>926197340</v>
      </c>
      <c r="K198" s="113" t="str">
        <f t="shared" si="8"/>
        <v>CG00200</v>
      </c>
    </row>
    <row r="199" spans="1:11" x14ac:dyDescent="0.3">
      <c r="A199" s="298" t="s">
        <v>921</v>
      </c>
      <c r="B199" s="298" t="s">
        <v>922</v>
      </c>
      <c r="C199" s="298" t="s">
        <v>500</v>
      </c>
      <c r="D199" s="298" t="s">
        <v>256</v>
      </c>
      <c r="E199" s="298"/>
      <c r="F199" s="298" t="s">
        <v>923</v>
      </c>
      <c r="G199" s="299" t="b">
        <v>0</v>
      </c>
      <c r="H199" s="299" t="b">
        <v>0</v>
      </c>
      <c r="J199" s="113" t="str">
        <f t="shared" si="7"/>
        <v>982712647</v>
      </c>
      <c r="K199" s="113" t="str">
        <f t="shared" si="8"/>
        <v>CG00201</v>
      </c>
    </row>
    <row r="200" spans="1:11" x14ac:dyDescent="0.3">
      <c r="A200" s="298" t="s">
        <v>924</v>
      </c>
      <c r="B200" s="298" t="s">
        <v>925</v>
      </c>
      <c r="C200" s="298" t="s">
        <v>926</v>
      </c>
      <c r="D200" s="298" t="s">
        <v>256</v>
      </c>
      <c r="E200" s="298"/>
      <c r="F200" s="298" t="s">
        <v>927</v>
      </c>
      <c r="G200" s="299" t="b">
        <v>0</v>
      </c>
      <c r="H200" s="299" t="b">
        <v>0</v>
      </c>
      <c r="J200" s="113" t="str">
        <f t="shared" si="7"/>
        <v>967811141</v>
      </c>
      <c r="K200" s="113" t="str">
        <f t="shared" si="8"/>
        <v>CG00202</v>
      </c>
    </row>
    <row r="201" spans="1:11" x14ac:dyDescent="0.3">
      <c r="A201" s="298" t="s">
        <v>928</v>
      </c>
      <c r="B201" s="298" t="s">
        <v>929</v>
      </c>
      <c r="C201" s="298" t="s">
        <v>930</v>
      </c>
      <c r="D201" s="298" t="s">
        <v>256</v>
      </c>
      <c r="E201" s="298"/>
      <c r="F201" s="298" t="s">
        <v>931</v>
      </c>
      <c r="G201" s="299" t="b">
        <v>0</v>
      </c>
      <c r="H201" s="299" t="b">
        <v>0</v>
      </c>
      <c r="J201" s="113" t="str">
        <f t="shared" si="7"/>
        <v>904001315</v>
      </c>
      <c r="K201" s="113" t="str">
        <f t="shared" si="8"/>
        <v>CG00203</v>
      </c>
    </row>
    <row r="202" spans="1:11" x14ac:dyDescent="0.3">
      <c r="A202" s="298" t="s">
        <v>932</v>
      </c>
      <c r="B202" s="298" t="s">
        <v>933</v>
      </c>
      <c r="C202" s="298" t="s">
        <v>934</v>
      </c>
      <c r="D202" s="298" t="s">
        <v>256</v>
      </c>
      <c r="E202" s="298"/>
      <c r="F202" s="298" t="s">
        <v>935</v>
      </c>
      <c r="G202" s="299" t="b">
        <v>0</v>
      </c>
      <c r="H202" s="299" t="b">
        <v>0</v>
      </c>
      <c r="J202" s="113" t="str">
        <f t="shared" si="7"/>
        <v>936981223</v>
      </c>
      <c r="K202" s="113" t="str">
        <f t="shared" si="8"/>
        <v>CG00204</v>
      </c>
    </row>
    <row r="203" spans="1:11" x14ac:dyDescent="0.3">
      <c r="A203" s="298" t="s">
        <v>936</v>
      </c>
      <c r="B203" s="298" t="s">
        <v>937</v>
      </c>
      <c r="C203" s="298" t="s">
        <v>938</v>
      </c>
      <c r="D203" s="298" t="s">
        <v>256</v>
      </c>
      <c r="E203" s="298"/>
      <c r="F203" s="298" t="s">
        <v>939</v>
      </c>
      <c r="G203" s="299" t="b">
        <v>0</v>
      </c>
      <c r="H203" s="299" t="b">
        <v>0</v>
      </c>
      <c r="J203" s="113" t="str">
        <f t="shared" si="7"/>
        <v>983430912</v>
      </c>
      <c r="K203" s="113" t="str">
        <f t="shared" si="8"/>
        <v>CG00205</v>
      </c>
    </row>
    <row r="204" spans="1:11" x14ac:dyDescent="0.3">
      <c r="A204" s="298" t="s">
        <v>940</v>
      </c>
      <c r="B204" s="298" t="s">
        <v>941</v>
      </c>
      <c r="C204" s="298" t="s">
        <v>942</v>
      </c>
      <c r="D204" s="298" t="s">
        <v>256</v>
      </c>
      <c r="E204" s="298" t="s">
        <v>943</v>
      </c>
      <c r="F204" s="298" t="s">
        <v>944</v>
      </c>
      <c r="G204" s="299" t="b">
        <v>0</v>
      </c>
      <c r="H204" s="299" t="b">
        <v>0</v>
      </c>
      <c r="J204" s="113" t="str">
        <f t="shared" si="7"/>
        <v>989891157</v>
      </c>
      <c r="K204" s="113" t="str">
        <f t="shared" si="8"/>
        <v>CG00206</v>
      </c>
    </row>
    <row r="205" spans="1:11" x14ac:dyDescent="0.3">
      <c r="A205" s="298" t="s">
        <v>945</v>
      </c>
      <c r="B205" s="298" t="s">
        <v>946</v>
      </c>
      <c r="C205" s="298" t="s">
        <v>416</v>
      </c>
      <c r="D205" s="298" t="s">
        <v>256</v>
      </c>
      <c r="E205" s="298"/>
      <c r="F205" s="298" t="s">
        <v>947</v>
      </c>
      <c r="G205" s="299" t="b">
        <v>0</v>
      </c>
      <c r="H205" s="299" t="b">
        <v>0</v>
      </c>
      <c r="J205" s="113" t="str">
        <f t="shared" si="7"/>
        <v>984647777</v>
      </c>
      <c r="K205" s="113" t="str">
        <f t="shared" si="8"/>
        <v>CG00207</v>
      </c>
    </row>
    <row r="206" spans="1:11" x14ac:dyDescent="0.3">
      <c r="A206" s="298" t="s">
        <v>948</v>
      </c>
      <c r="B206" s="298" t="s">
        <v>949</v>
      </c>
      <c r="C206" s="298" t="s">
        <v>930</v>
      </c>
      <c r="D206" s="298" t="s">
        <v>256</v>
      </c>
      <c r="E206" s="298"/>
      <c r="F206" s="298" t="s">
        <v>950</v>
      </c>
      <c r="G206" s="299" t="b">
        <v>0</v>
      </c>
      <c r="H206" s="299" t="b">
        <v>0</v>
      </c>
      <c r="J206" s="113" t="str">
        <f t="shared" si="7"/>
        <v>915487866</v>
      </c>
      <c r="K206" s="113" t="str">
        <f t="shared" si="8"/>
        <v>CG00208</v>
      </c>
    </row>
    <row r="207" spans="1:11" x14ac:dyDescent="0.3">
      <c r="A207" s="298" t="s">
        <v>951</v>
      </c>
      <c r="B207" s="298" t="s">
        <v>952</v>
      </c>
      <c r="C207" s="298" t="s">
        <v>953</v>
      </c>
      <c r="D207" s="298" t="s">
        <v>256</v>
      </c>
      <c r="E207" s="298"/>
      <c r="F207" s="298" t="s">
        <v>954</v>
      </c>
      <c r="G207" s="299" t="b">
        <v>0</v>
      </c>
      <c r="H207" s="299" t="b">
        <v>0</v>
      </c>
      <c r="J207" s="113" t="str">
        <f t="shared" si="7"/>
        <v>392239610</v>
      </c>
      <c r="K207" s="113" t="str">
        <f t="shared" si="8"/>
        <v>CG00209</v>
      </c>
    </row>
    <row r="208" spans="1:11" x14ac:dyDescent="0.3">
      <c r="A208" s="298" t="s">
        <v>955</v>
      </c>
      <c r="B208" s="298" t="s">
        <v>956</v>
      </c>
      <c r="C208" s="298" t="s">
        <v>957</v>
      </c>
      <c r="D208" s="298" t="s">
        <v>256</v>
      </c>
      <c r="E208" s="298"/>
      <c r="F208" s="298" t="s">
        <v>958</v>
      </c>
      <c r="G208" s="299" t="b">
        <v>0</v>
      </c>
      <c r="H208" s="299" t="b">
        <v>0</v>
      </c>
      <c r="J208" s="113" t="str">
        <f t="shared" si="7"/>
        <v>914273176</v>
      </c>
      <c r="K208" s="113" t="str">
        <f t="shared" si="8"/>
        <v>CG00210</v>
      </c>
    </row>
    <row r="209" spans="1:11" x14ac:dyDescent="0.3">
      <c r="A209" s="298" t="s">
        <v>959</v>
      </c>
      <c r="B209" s="298" t="s">
        <v>960</v>
      </c>
      <c r="C209" s="298" t="s">
        <v>593</v>
      </c>
      <c r="D209" s="298" t="s">
        <v>256</v>
      </c>
      <c r="E209" s="298"/>
      <c r="F209" s="298" t="s">
        <v>961</v>
      </c>
      <c r="G209" s="299" t="b">
        <v>0</v>
      </c>
      <c r="H209" s="299" t="b">
        <v>0</v>
      </c>
      <c r="J209" s="113" t="str">
        <f t="shared" si="7"/>
        <v>396643163</v>
      </c>
      <c r="K209" s="113" t="str">
        <f t="shared" si="8"/>
        <v>CG00211</v>
      </c>
    </row>
    <row r="210" spans="1:11" x14ac:dyDescent="0.3">
      <c r="A210" s="298" t="s">
        <v>962</v>
      </c>
      <c r="B210" s="298" t="s">
        <v>963</v>
      </c>
      <c r="C210" s="298" t="s">
        <v>964</v>
      </c>
      <c r="D210" s="298" t="s">
        <v>256</v>
      </c>
      <c r="E210" s="298"/>
      <c r="F210" s="298" t="s">
        <v>965</v>
      </c>
      <c r="G210" s="299" t="b">
        <v>0</v>
      </c>
      <c r="H210" s="299" t="b">
        <v>0</v>
      </c>
      <c r="J210" s="113" t="str">
        <f t="shared" si="7"/>
        <v>905366816</v>
      </c>
      <c r="K210" s="113" t="str">
        <f t="shared" si="8"/>
        <v>CG00212</v>
      </c>
    </row>
    <row r="211" spans="1:11" x14ac:dyDescent="0.3">
      <c r="A211" s="298" t="s">
        <v>966</v>
      </c>
      <c r="B211" s="298" t="s">
        <v>967</v>
      </c>
      <c r="C211" s="298" t="s">
        <v>831</v>
      </c>
      <c r="D211" s="298" t="s">
        <v>256</v>
      </c>
      <c r="E211" s="298"/>
      <c r="F211" s="298" t="s">
        <v>968</v>
      </c>
      <c r="G211" s="299" t="b">
        <v>0</v>
      </c>
      <c r="H211" s="299" t="b">
        <v>0</v>
      </c>
      <c r="J211" s="113" t="str">
        <f t="shared" si="7"/>
        <v>972880919</v>
      </c>
      <c r="K211" s="113" t="str">
        <f t="shared" si="8"/>
        <v>CG00213</v>
      </c>
    </row>
    <row r="212" spans="1:11" x14ac:dyDescent="0.3">
      <c r="A212" s="298" t="s">
        <v>969</v>
      </c>
      <c r="B212" s="298" t="s">
        <v>970</v>
      </c>
      <c r="C212" s="298" t="s">
        <v>432</v>
      </c>
      <c r="D212" s="298" t="s">
        <v>256</v>
      </c>
      <c r="E212" s="298"/>
      <c r="F212" s="298" t="s">
        <v>971</v>
      </c>
      <c r="G212" s="299" t="b">
        <v>0</v>
      </c>
      <c r="H212" s="299" t="b">
        <v>0</v>
      </c>
      <c r="J212" s="113" t="str">
        <f t="shared" si="7"/>
        <v>982647557</v>
      </c>
      <c r="K212" s="113" t="str">
        <f t="shared" si="8"/>
        <v>CG00214</v>
      </c>
    </row>
    <row r="213" spans="1:11" x14ac:dyDescent="0.3">
      <c r="A213" s="298" t="s">
        <v>972</v>
      </c>
      <c r="B213" s="298" t="s">
        <v>973</v>
      </c>
      <c r="C213" s="298" t="s">
        <v>974</v>
      </c>
      <c r="D213" s="298" t="s">
        <v>256</v>
      </c>
      <c r="E213" s="298"/>
      <c r="F213" s="298" t="s">
        <v>975</v>
      </c>
      <c r="G213" s="299" t="b">
        <v>0</v>
      </c>
      <c r="H213" s="299" t="b">
        <v>0</v>
      </c>
      <c r="J213" s="113" t="str">
        <f t="shared" si="7"/>
        <v>984345954</v>
      </c>
      <c r="K213" s="113" t="str">
        <f t="shared" si="8"/>
        <v>CG00215</v>
      </c>
    </row>
    <row r="214" spans="1:11" x14ac:dyDescent="0.3">
      <c r="A214" s="298" t="s">
        <v>976</v>
      </c>
      <c r="B214" s="298" t="s">
        <v>977</v>
      </c>
      <c r="C214" s="298" t="s">
        <v>500</v>
      </c>
      <c r="D214" s="298" t="s">
        <v>256</v>
      </c>
      <c r="E214" s="298"/>
      <c r="F214" s="298" t="s">
        <v>978</v>
      </c>
      <c r="G214" s="299" t="b">
        <v>0</v>
      </c>
      <c r="H214" s="299" t="b">
        <v>0</v>
      </c>
      <c r="J214" s="113" t="str">
        <f t="shared" si="7"/>
        <v>986690078</v>
      </c>
      <c r="K214" s="113" t="str">
        <f t="shared" si="8"/>
        <v>CG00216</v>
      </c>
    </row>
    <row r="215" spans="1:11" x14ac:dyDescent="0.3">
      <c r="A215" s="298" t="s">
        <v>979</v>
      </c>
      <c r="B215" s="298" t="s">
        <v>980</v>
      </c>
      <c r="C215" s="298" t="s">
        <v>981</v>
      </c>
      <c r="D215" s="298" t="s">
        <v>256</v>
      </c>
      <c r="E215" s="298" t="s">
        <v>982</v>
      </c>
      <c r="F215" s="298" t="s">
        <v>983</v>
      </c>
      <c r="G215" s="299" t="b">
        <v>0</v>
      </c>
      <c r="H215" s="299" t="b">
        <v>0</v>
      </c>
      <c r="J215" s="113" t="str">
        <f t="shared" si="7"/>
        <v>985904355</v>
      </c>
      <c r="K215" s="113" t="str">
        <f t="shared" si="8"/>
        <v>CG00218</v>
      </c>
    </row>
    <row r="216" spans="1:11" x14ac:dyDescent="0.3">
      <c r="A216" s="298" t="s">
        <v>984</v>
      </c>
      <c r="B216" s="298" t="s">
        <v>985</v>
      </c>
      <c r="C216" s="298" t="s">
        <v>416</v>
      </c>
      <c r="D216" s="298" t="s">
        <v>256</v>
      </c>
      <c r="E216" s="298"/>
      <c r="F216" s="298" t="s">
        <v>986</v>
      </c>
      <c r="G216" s="299" t="b">
        <v>0</v>
      </c>
      <c r="H216" s="299" t="b">
        <v>0</v>
      </c>
      <c r="J216" s="113" t="str">
        <f t="shared" si="7"/>
        <v>979036699</v>
      </c>
      <c r="K216" s="113" t="str">
        <f t="shared" si="8"/>
        <v>CG00219</v>
      </c>
    </row>
    <row r="217" spans="1:11" x14ac:dyDescent="0.3">
      <c r="A217" s="298" t="s">
        <v>987</v>
      </c>
      <c r="B217" s="298" t="s">
        <v>988</v>
      </c>
      <c r="C217" s="298" t="s">
        <v>989</v>
      </c>
      <c r="D217" s="298" t="s">
        <v>256</v>
      </c>
      <c r="E217" s="298"/>
      <c r="F217" s="298" t="s">
        <v>990</v>
      </c>
      <c r="G217" s="299" t="b">
        <v>0</v>
      </c>
      <c r="H217" s="299" t="b">
        <v>0</v>
      </c>
      <c r="J217" s="113" t="str">
        <f t="shared" si="7"/>
        <v>913546725</v>
      </c>
      <c r="K217" s="113" t="str">
        <f t="shared" si="8"/>
        <v>CG00220</v>
      </c>
    </row>
    <row r="218" spans="1:11" x14ac:dyDescent="0.3">
      <c r="A218" s="298" t="s">
        <v>991</v>
      </c>
      <c r="B218" s="298" t="s">
        <v>992</v>
      </c>
      <c r="C218" s="298" t="s">
        <v>993</v>
      </c>
      <c r="D218" s="298" t="s">
        <v>256</v>
      </c>
      <c r="E218" s="298"/>
      <c r="F218" s="298" t="s">
        <v>994</v>
      </c>
      <c r="G218" s="299" t="b">
        <v>0</v>
      </c>
      <c r="H218" s="299" t="b">
        <v>0</v>
      </c>
      <c r="J218" s="113" t="str">
        <f t="shared" si="7"/>
        <v>988160928</v>
      </c>
      <c r="K218" s="113" t="str">
        <f t="shared" si="8"/>
        <v>CG00221</v>
      </c>
    </row>
    <row r="219" spans="1:11" x14ac:dyDescent="0.3">
      <c r="A219" s="298" t="s">
        <v>995</v>
      </c>
      <c r="B219" s="298" t="s">
        <v>996</v>
      </c>
      <c r="C219" s="298" t="s">
        <v>997</v>
      </c>
      <c r="D219" s="298" t="s">
        <v>256</v>
      </c>
      <c r="E219" s="298"/>
      <c r="F219" s="298" t="s">
        <v>998</v>
      </c>
      <c r="G219" s="299" t="b">
        <v>0</v>
      </c>
      <c r="H219" s="299" t="b">
        <v>0</v>
      </c>
      <c r="J219" s="113" t="str">
        <f t="shared" si="7"/>
        <v>839609999</v>
      </c>
      <c r="K219" s="113" t="str">
        <f t="shared" si="8"/>
        <v>CG00222</v>
      </c>
    </row>
    <row r="220" spans="1:11" x14ac:dyDescent="0.3">
      <c r="A220" s="298" t="s">
        <v>999</v>
      </c>
      <c r="B220" s="298" t="s">
        <v>1000</v>
      </c>
      <c r="C220" s="298" t="s">
        <v>903</v>
      </c>
      <c r="D220" s="298" t="s">
        <v>256</v>
      </c>
      <c r="E220" s="298"/>
      <c r="F220" s="298" t="s">
        <v>1001</v>
      </c>
      <c r="G220" s="299" t="b">
        <v>0</v>
      </c>
      <c r="H220" s="299" t="b">
        <v>0</v>
      </c>
      <c r="J220" s="113" t="str">
        <f t="shared" si="7"/>
        <v>987506169</v>
      </c>
      <c r="K220" s="113" t="str">
        <f t="shared" si="8"/>
        <v>CG00223</v>
      </c>
    </row>
    <row r="221" spans="1:11" x14ac:dyDescent="0.3">
      <c r="A221" s="298" t="s">
        <v>1002</v>
      </c>
      <c r="B221" s="298" t="s">
        <v>1003</v>
      </c>
      <c r="C221" s="298" t="s">
        <v>1004</v>
      </c>
      <c r="D221" s="298" t="s">
        <v>256</v>
      </c>
      <c r="E221" s="298"/>
      <c r="F221" s="298" t="s">
        <v>1005</v>
      </c>
      <c r="G221" s="299" t="b">
        <v>0</v>
      </c>
      <c r="H221" s="299" t="b">
        <v>0</v>
      </c>
      <c r="J221" s="113" t="str">
        <f t="shared" si="7"/>
        <v>982700630</v>
      </c>
      <c r="K221" s="113" t="str">
        <f t="shared" si="8"/>
        <v>CG00224</v>
      </c>
    </row>
    <row r="222" spans="1:11" x14ac:dyDescent="0.3">
      <c r="A222" s="298" t="s">
        <v>1006</v>
      </c>
      <c r="B222" s="298" t="s">
        <v>1007</v>
      </c>
      <c r="C222" s="298" t="s">
        <v>416</v>
      </c>
      <c r="D222" s="298" t="s">
        <v>256</v>
      </c>
      <c r="E222" s="298"/>
      <c r="F222" s="298" t="s">
        <v>1008</v>
      </c>
      <c r="G222" s="299" t="b">
        <v>0</v>
      </c>
      <c r="H222" s="299" t="b">
        <v>0</v>
      </c>
      <c r="J222" s="113" t="str">
        <f t="shared" si="7"/>
        <v>975752466</v>
      </c>
      <c r="K222" s="113" t="str">
        <f t="shared" si="8"/>
        <v>CG00225</v>
      </c>
    </row>
    <row r="223" spans="1:11" x14ac:dyDescent="0.3">
      <c r="A223" s="298" t="s">
        <v>1009</v>
      </c>
      <c r="B223" s="298" t="s">
        <v>1010</v>
      </c>
      <c r="C223" s="298" t="s">
        <v>1011</v>
      </c>
      <c r="D223" s="298" t="s">
        <v>256</v>
      </c>
      <c r="E223" s="298"/>
      <c r="F223" s="298" t="s">
        <v>1012</v>
      </c>
      <c r="G223" s="299" t="b">
        <v>0</v>
      </c>
      <c r="H223" s="299" t="b">
        <v>0</v>
      </c>
      <c r="J223" s="113" t="str">
        <f t="shared" si="7"/>
        <v>368223866</v>
      </c>
      <c r="K223" s="113" t="str">
        <f t="shared" si="8"/>
        <v>CG00226</v>
      </c>
    </row>
    <row r="224" spans="1:11" x14ac:dyDescent="0.3">
      <c r="A224" s="298" t="s">
        <v>1013</v>
      </c>
      <c r="B224" s="298" t="s">
        <v>1014</v>
      </c>
      <c r="C224" s="298" t="s">
        <v>1015</v>
      </c>
      <c r="D224" s="298" t="s">
        <v>256</v>
      </c>
      <c r="E224" s="298"/>
      <c r="F224" s="298" t="s">
        <v>1016</v>
      </c>
      <c r="G224" s="299" t="b">
        <v>0</v>
      </c>
      <c r="H224" s="299" t="b">
        <v>0</v>
      </c>
      <c r="J224" s="113" t="str">
        <f t="shared" si="7"/>
        <v xml:space="preserve">13057247 </v>
      </c>
      <c r="K224" s="113" t="str">
        <f t="shared" si="8"/>
        <v>CG00227</v>
      </c>
    </row>
    <row r="225" spans="1:11" x14ac:dyDescent="0.3">
      <c r="A225" s="298" t="s">
        <v>1017</v>
      </c>
      <c r="B225" s="298" t="s">
        <v>1018</v>
      </c>
      <c r="C225" s="298" t="s">
        <v>993</v>
      </c>
      <c r="D225" s="298" t="s">
        <v>256</v>
      </c>
      <c r="E225" s="298"/>
      <c r="F225" s="298" t="s">
        <v>1019</v>
      </c>
      <c r="G225" s="299" t="b">
        <v>0</v>
      </c>
      <c r="H225" s="299" t="b">
        <v>0</v>
      </c>
      <c r="J225" s="113" t="str">
        <f t="shared" si="7"/>
        <v>988772466</v>
      </c>
      <c r="K225" s="113" t="str">
        <f t="shared" si="8"/>
        <v>CG00228</v>
      </c>
    </row>
    <row r="226" spans="1:11" x14ac:dyDescent="0.3">
      <c r="A226" s="298" t="s">
        <v>1020</v>
      </c>
      <c r="B226" s="298" t="s">
        <v>1021</v>
      </c>
      <c r="C226" s="298" t="s">
        <v>1022</v>
      </c>
      <c r="D226" s="298" t="s">
        <v>256</v>
      </c>
      <c r="E226" s="298"/>
      <c r="F226" s="298" t="s">
        <v>1023</v>
      </c>
      <c r="G226" s="299" t="b">
        <v>0</v>
      </c>
      <c r="H226" s="299" t="b">
        <v>0</v>
      </c>
      <c r="J226" s="113" t="str">
        <f t="shared" si="7"/>
        <v>979756591</v>
      </c>
      <c r="K226" s="113" t="str">
        <f t="shared" si="8"/>
        <v>CG00229</v>
      </c>
    </row>
    <row r="227" spans="1:11" x14ac:dyDescent="0.3">
      <c r="A227" s="298" t="s">
        <v>1024</v>
      </c>
      <c r="B227" s="298" t="s">
        <v>1025</v>
      </c>
      <c r="C227" s="298" t="s">
        <v>734</v>
      </c>
      <c r="D227" s="298" t="s">
        <v>256</v>
      </c>
      <c r="E227" s="298"/>
      <c r="F227" s="298" t="s">
        <v>1026</v>
      </c>
      <c r="G227" s="299" t="b">
        <v>0</v>
      </c>
      <c r="H227" s="299" t="b">
        <v>0</v>
      </c>
      <c r="J227" s="113" t="str">
        <f t="shared" si="7"/>
        <v>903263079</v>
      </c>
      <c r="K227" s="113" t="str">
        <f t="shared" si="8"/>
        <v>CG00230</v>
      </c>
    </row>
    <row r="228" spans="1:11" x14ac:dyDescent="0.3">
      <c r="A228" s="298" t="s">
        <v>1027</v>
      </c>
      <c r="B228" s="298" t="s">
        <v>1028</v>
      </c>
      <c r="C228" s="298" t="s">
        <v>1029</v>
      </c>
      <c r="D228" s="298" t="s">
        <v>256</v>
      </c>
      <c r="E228" s="298"/>
      <c r="F228" s="298" t="s">
        <v>1030</v>
      </c>
      <c r="G228" s="299" t="b">
        <v>0</v>
      </c>
      <c r="H228" s="299" t="b">
        <v>0</v>
      </c>
      <c r="J228" s="113" t="str">
        <f t="shared" si="7"/>
        <v>913595905</v>
      </c>
      <c r="K228" s="113" t="str">
        <f t="shared" si="8"/>
        <v>CG00231</v>
      </c>
    </row>
    <row r="229" spans="1:11" x14ac:dyDescent="0.3">
      <c r="A229" s="298" t="s">
        <v>1031</v>
      </c>
      <c r="B229" s="298" t="s">
        <v>1032</v>
      </c>
      <c r="C229" s="298" t="s">
        <v>349</v>
      </c>
      <c r="D229" s="298" t="s">
        <v>256</v>
      </c>
      <c r="E229" s="298"/>
      <c r="F229" s="298" t="s">
        <v>1033</v>
      </c>
      <c r="G229" s="299" t="b">
        <v>0</v>
      </c>
      <c r="H229" s="299" t="b">
        <v>0</v>
      </c>
      <c r="J229" s="113" t="str">
        <f t="shared" si="7"/>
        <v>988561770</v>
      </c>
      <c r="K229" s="113" t="str">
        <f t="shared" si="8"/>
        <v>CG00232</v>
      </c>
    </row>
    <row r="230" spans="1:11" x14ac:dyDescent="0.3">
      <c r="A230" s="298" t="s">
        <v>1034</v>
      </c>
      <c r="B230" s="298" t="s">
        <v>1035</v>
      </c>
      <c r="C230" s="298" t="s">
        <v>547</v>
      </c>
      <c r="D230" s="298" t="s">
        <v>256</v>
      </c>
      <c r="E230" s="298"/>
      <c r="F230" s="298" t="s">
        <v>1036</v>
      </c>
      <c r="G230" s="299" t="b">
        <v>0</v>
      </c>
      <c r="H230" s="299" t="b">
        <v>0</v>
      </c>
      <c r="J230" s="113" t="str">
        <f t="shared" si="7"/>
        <v>983037645</v>
      </c>
      <c r="K230" s="113" t="str">
        <f t="shared" si="8"/>
        <v>CG00233</v>
      </c>
    </row>
    <row r="231" spans="1:11" x14ac:dyDescent="0.3">
      <c r="A231" s="298" t="s">
        <v>1037</v>
      </c>
      <c r="B231" s="298" t="s">
        <v>1038</v>
      </c>
      <c r="C231" s="298" t="s">
        <v>292</v>
      </c>
      <c r="D231" s="298" t="s">
        <v>256</v>
      </c>
      <c r="E231" s="298"/>
      <c r="F231" s="298" t="s">
        <v>1039</v>
      </c>
      <c r="G231" s="299" t="b">
        <v>0</v>
      </c>
      <c r="H231" s="299" t="b">
        <v>0</v>
      </c>
      <c r="J231" s="113" t="str">
        <f t="shared" si="7"/>
        <v>912284193</v>
      </c>
      <c r="K231" s="113" t="str">
        <f t="shared" si="8"/>
        <v>CG00234</v>
      </c>
    </row>
    <row r="232" spans="1:11" x14ac:dyDescent="0.3">
      <c r="A232" s="298" t="s">
        <v>1040</v>
      </c>
      <c r="B232" s="298" t="s">
        <v>1041</v>
      </c>
      <c r="C232" s="298" t="s">
        <v>1042</v>
      </c>
      <c r="D232" s="298" t="s">
        <v>256</v>
      </c>
      <c r="E232" s="298"/>
      <c r="F232" s="298" t="s">
        <v>1043</v>
      </c>
      <c r="G232" s="299" t="b">
        <v>0</v>
      </c>
      <c r="H232" s="299" t="b">
        <v>0</v>
      </c>
      <c r="J232" s="113" t="str">
        <f t="shared" si="7"/>
        <v>932235415</v>
      </c>
      <c r="K232" s="113" t="str">
        <f t="shared" si="8"/>
        <v>CG00235</v>
      </c>
    </row>
    <row r="233" spans="1:11" x14ac:dyDescent="0.3">
      <c r="A233" s="298" t="s">
        <v>1044</v>
      </c>
      <c r="B233" s="298" t="s">
        <v>1045</v>
      </c>
      <c r="C233" s="298" t="s">
        <v>416</v>
      </c>
      <c r="D233" s="298" t="s">
        <v>256</v>
      </c>
      <c r="E233" s="298"/>
      <c r="F233" s="298" t="s">
        <v>1046</v>
      </c>
      <c r="G233" s="299" t="b">
        <v>0</v>
      </c>
      <c r="H233" s="299" t="b">
        <v>0</v>
      </c>
      <c r="J233" s="113" t="str">
        <f t="shared" si="7"/>
        <v>986633399</v>
      </c>
      <c r="K233" s="113" t="str">
        <f t="shared" si="8"/>
        <v>CG00236</v>
      </c>
    </row>
    <row r="234" spans="1:11" x14ac:dyDescent="0.3">
      <c r="A234" s="298" t="s">
        <v>1047</v>
      </c>
      <c r="B234" s="298" t="s">
        <v>1048</v>
      </c>
      <c r="C234" s="298" t="s">
        <v>317</v>
      </c>
      <c r="D234" s="298" t="s">
        <v>256</v>
      </c>
      <c r="E234" s="298"/>
      <c r="F234" s="298" t="s">
        <v>1049</v>
      </c>
      <c r="G234" s="299" t="b">
        <v>0</v>
      </c>
      <c r="H234" s="299" t="b">
        <v>0</v>
      </c>
      <c r="J234" s="113" t="str">
        <f t="shared" si="7"/>
        <v>968527688</v>
      </c>
      <c r="K234" s="113" t="str">
        <f t="shared" si="8"/>
        <v>CG00237</v>
      </c>
    </row>
    <row r="235" spans="1:11" x14ac:dyDescent="0.3">
      <c r="A235" s="298" t="s">
        <v>1050</v>
      </c>
      <c r="B235" s="298" t="s">
        <v>1051</v>
      </c>
      <c r="C235" s="298" t="s">
        <v>409</v>
      </c>
      <c r="D235" s="298" t="s">
        <v>256</v>
      </c>
      <c r="E235" s="298"/>
      <c r="F235" s="298" t="s">
        <v>1052</v>
      </c>
      <c r="G235" s="299" t="b">
        <v>0</v>
      </c>
      <c r="H235" s="299" t="b">
        <v>0</v>
      </c>
      <c r="J235" s="113" t="str">
        <f t="shared" si="7"/>
        <v>989535839</v>
      </c>
      <c r="K235" s="113" t="str">
        <f t="shared" si="8"/>
        <v>CG00238</v>
      </c>
    </row>
    <row r="236" spans="1:11" x14ac:dyDescent="0.3">
      <c r="A236" s="298" t="s">
        <v>1053</v>
      </c>
      <c r="B236" s="298" t="s">
        <v>1054</v>
      </c>
      <c r="C236" s="298" t="s">
        <v>1055</v>
      </c>
      <c r="D236" s="298" t="s">
        <v>256</v>
      </c>
      <c r="E236" s="298"/>
      <c r="F236" s="298" t="s">
        <v>1056</v>
      </c>
      <c r="G236" s="299" t="b">
        <v>0</v>
      </c>
      <c r="H236" s="299" t="b">
        <v>0</v>
      </c>
      <c r="J236" s="113" t="str">
        <f t="shared" si="7"/>
        <v>976262644</v>
      </c>
      <c r="K236" s="113" t="str">
        <f t="shared" si="8"/>
        <v>CG00239</v>
      </c>
    </row>
    <row r="237" spans="1:11" x14ac:dyDescent="0.3">
      <c r="A237" s="298" t="s">
        <v>1057</v>
      </c>
      <c r="B237" s="298" t="s">
        <v>1058</v>
      </c>
      <c r="C237" s="298" t="s">
        <v>1059</v>
      </c>
      <c r="D237" s="298" t="s">
        <v>256</v>
      </c>
      <c r="E237" s="298"/>
      <c r="F237" s="298" t="s">
        <v>1060</v>
      </c>
      <c r="G237" s="299" t="b">
        <v>0</v>
      </c>
      <c r="H237" s="299" t="b">
        <v>0</v>
      </c>
      <c r="J237" s="113" t="str">
        <f t="shared" si="7"/>
        <v>985797343</v>
      </c>
      <c r="K237" s="113" t="str">
        <f t="shared" si="8"/>
        <v>CG00240</v>
      </c>
    </row>
    <row r="238" spans="1:11" x14ac:dyDescent="0.3">
      <c r="A238" s="298" t="s">
        <v>1061</v>
      </c>
      <c r="B238" s="298" t="s">
        <v>1062</v>
      </c>
      <c r="C238" s="298" t="s">
        <v>989</v>
      </c>
      <c r="D238" s="298" t="s">
        <v>256</v>
      </c>
      <c r="E238" s="298"/>
      <c r="F238" s="298" t="s">
        <v>1063</v>
      </c>
      <c r="G238" s="299" t="b">
        <v>0</v>
      </c>
      <c r="H238" s="299" t="b">
        <v>0</v>
      </c>
      <c r="J238" s="113" t="str">
        <f t="shared" si="7"/>
        <v>978608172</v>
      </c>
      <c r="K238" s="113" t="str">
        <f t="shared" si="8"/>
        <v>CG00241</v>
      </c>
    </row>
    <row r="239" spans="1:11" x14ac:dyDescent="0.3">
      <c r="A239" s="298" t="s">
        <v>1064</v>
      </c>
      <c r="B239" s="298" t="s">
        <v>1065</v>
      </c>
      <c r="C239" s="298" t="s">
        <v>286</v>
      </c>
      <c r="D239" s="298" t="s">
        <v>256</v>
      </c>
      <c r="E239" s="298"/>
      <c r="F239" s="298" t="s">
        <v>1066</v>
      </c>
      <c r="G239" s="299" t="b">
        <v>0</v>
      </c>
      <c r="H239" s="299" t="b">
        <v>0</v>
      </c>
      <c r="J239" s="113" t="str">
        <f t="shared" si="7"/>
        <v>913260005</v>
      </c>
      <c r="K239" s="113" t="str">
        <f t="shared" si="8"/>
        <v>CG00242</v>
      </c>
    </row>
    <row r="240" spans="1:11" x14ac:dyDescent="0.3">
      <c r="A240" s="298" t="s">
        <v>1067</v>
      </c>
      <c r="B240" s="298" t="s">
        <v>1068</v>
      </c>
      <c r="C240" s="298" t="s">
        <v>1069</v>
      </c>
      <c r="D240" s="298" t="s">
        <v>256</v>
      </c>
      <c r="E240" s="298" t="s">
        <v>1070</v>
      </c>
      <c r="F240" s="298" t="s">
        <v>1071</v>
      </c>
      <c r="G240" s="299" t="b">
        <v>0</v>
      </c>
      <c r="H240" s="299" t="b">
        <v>0</v>
      </c>
      <c r="J240" s="113" t="str">
        <f t="shared" si="7"/>
        <v>904112365</v>
      </c>
      <c r="K240" s="113" t="str">
        <f t="shared" si="8"/>
        <v>CG00244</v>
      </c>
    </row>
    <row r="241" spans="1:11" x14ac:dyDescent="0.3">
      <c r="A241" s="298" t="s">
        <v>1072</v>
      </c>
      <c r="B241" s="298" t="s">
        <v>1073</v>
      </c>
      <c r="C241" s="298" t="s">
        <v>1074</v>
      </c>
      <c r="D241" s="298" t="s">
        <v>256</v>
      </c>
      <c r="E241" s="298" t="s">
        <v>1075</v>
      </c>
      <c r="F241" s="298" t="s">
        <v>1076</v>
      </c>
      <c r="G241" s="299" t="b">
        <v>0</v>
      </c>
      <c r="H241" s="299" t="b">
        <v>0</v>
      </c>
      <c r="J241" s="113" t="str">
        <f t="shared" si="7"/>
        <v>200561891</v>
      </c>
      <c r="K241" s="113" t="str">
        <f t="shared" si="8"/>
        <v>CG00245</v>
      </c>
    </row>
    <row r="242" spans="1:11" x14ac:dyDescent="0.3">
      <c r="A242" s="298" t="s">
        <v>1077</v>
      </c>
      <c r="B242" s="298" t="s">
        <v>1078</v>
      </c>
      <c r="C242" s="298" t="s">
        <v>1079</v>
      </c>
      <c r="D242" s="298" t="s">
        <v>256</v>
      </c>
      <c r="E242" s="298"/>
      <c r="F242" s="298" t="s">
        <v>1080</v>
      </c>
      <c r="G242" s="299" t="b">
        <v>0</v>
      </c>
      <c r="H242" s="299" t="b">
        <v>0</v>
      </c>
      <c r="J242" s="113" t="str">
        <f t="shared" si="7"/>
        <v>904124168</v>
      </c>
      <c r="K242" s="113" t="str">
        <f t="shared" si="8"/>
        <v>CG00246</v>
      </c>
    </row>
    <row r="243" spans="1:11" x14ac:dyDescent="0.3">
      <c r="A243" s="298" t="s">
        <v>1081</v>
      </c>
      <c r="B243" s="298" t="s">
        <v>1082</v>
      </c>
      <c r="C243" s="298" t="s">
        <v>510</v>
      </c>
      <c r="D243" s="298" t="s">
        <v>256</v>
      </c>
      <c r="E243" s="298"/>
      <c r="F243" s="298" t="s">
        <v>1083</v>
      </c>
      <c r="G243" s="299" t="b">
        <v>0</v>
      </c>
      <c r="H243" s="299" t="b">
        <v>0</v>
      </c>
      <c r="J243" s="113" t="str">
        <f t="shared" si="7"/>
        <v>912640627</v>
      </c>
      <c r="K243" s="113" t="str">
        <f t="shared" si="8"/>
        <v>CG00247</v>
      </c>
    </row>
    <row r="244" spans="1:11" x14ac:dyDescent="0.3">
      <c r="A244" s="298" t="s">
        <v>1084</v>
      </c>
      <c r="B244" s="298" t="s">
        <v>1085</v>
      </c>
      <c r="C244" s="298" t="s">
        <v>536</v>
      </c>
      <c r="D244" s="298" t="s">
        <v>256</v>
      </c>
      <c r="E244" s="298"/>
      <c r="F244" s="298" t="s">
        <v>1086</v>
      </c>
      <c r="G244" s="299" t="b">
        <v>0</v>
      </c>
      <c r="H244" s="299" t="b">
        <v>0</v>
      </c>
      <c r="J244" s="113" t="str">
        <f t="shared" si="7"/>
        <v>912443925</v>
      </c>
      <c r="K244" s="113" t="str">
        <f t="shared" si="8"/>
        <v>CG00248</v>
      </c>
    </row>
    <row r="245" spans="1:11" x14ac:dyDescent="0.3">
      <c r="A245" s="298" t="s">
        <v>1087</v>
      </c>
      <c r="B245" s="298" t="s">
        <v>1088</v>
      </c>
      <c r="C245" s="298" t="s">
        <v>1089</v>
      </c>
      <c r="D245" s="298" t="s">
        <v>256</v>
      </c>
      <c r="E245" s="298"/>
      <c r="F245" s="298" t="s">
        <v>1090</v>
      </c>
      <c r="G245" s="299" t="b">
        <v>0</v>
      </c>
      <c r="H245" s="299" t="b">
        <v>0</v>
      </c>
      <c r="J245" s="113" t="str">
        <f t="shared" si="7"/>
        <v>913391614</v>
      </c>
      <c r="K245" s="113" t="str">
        <f t="shared" si="8"/>
        <v>CG00249</v>
      </c>
    </row>
    <row r="246" spans="1:11" x14ac:dyDescent="0.3">
      <c r="A246" s="298" t="s">
        <v>1091</v>
      </c>
      <c r="B246" s="298" t="s">
        <v>1092</v>
      </c>
      <c r="C246" s="298" t="s">
        <v>1093</v>
      </c>
      <c r="D246" s="298" t="s">
        <v>256</v>
      </c>
      <c r="E246" s="298"/>
      <c r="F246" s="298" t="s">
        <v>1094</v>
      </c>
      <c r="G246" s="299" t="b">
        <v>0</v>
      </c>
      <c r="H246" s="299" t="b">
        <v>0</v>
      </c>
      <c r="J246" s="113" t="str">
        <f t="shared" si="7"/>
        <v>912046569</v>
      </c>
      <c r="K246" s="113" t="str">
        <f t="shared" si="8"/>
        <v>CG00250</v>
      </c>
    </row>
    <row r="247" spans="1:11" x14ac:dyDescent="0.3">
      <c r="A247" s="298" t="s">
        <v>1095</v>
      </c>
      <c r="B247" s="298" t="s">
        <v>1096</v>
      </c>
      <c r="C247" s="298" t="s">
        <v>495</v>
      </c>
      <c r="D247" s="298" t="s">
        <v>256</v>
      </c>
      <c r="E247" s="298"/>
      <c r="F247" s="298" t="s">
        <v>1097</v>
      </c>
      <c r="G247" s="299" t="b">
        <v>0</v>
      </c>
      <c r="H247" s="299" t="b">
        <v>0</v>
      </c>
      <c r="J247" s="113" t="str">
        <f t="shared" si="7"/>
        <v>383511787</v>
      </c>
      <c r="K247" s="113" t="str">
        <f t="shared" si="8"/>
        <v>CG00251</v>
      </c>
    </row>
    <row r="248" spans="1:11" x14ac:dyDescent="0.3">
      <c r="A248" s="298" t="s">
        <v>1098</v>
      </c>
      <c r="B248" s="298" t="s">
        <v>1099</v>
      </c>
      <c r="C248" s="298" t="s">
        <v>349</v>
      </c>
      <c r="D248" s="298" t="s">
        <v>256</v>
      </c>
      <c r="E248" s="298"/>
      <c r="F248" s="298" t="s">
        <v>1100</v>
      </c>
      <c r="G248" s="299" t="b">
        <v>0</v>
      </c>
      <c r="H248" s="299" t="b">
        <v>0</v>
      </c>
      <c r="J248" s="113" t="str">
        <f t="shared" si="7"/>
        <v>986927388</v>
      </c>
      <c r="K248" s="113" t="str">
        <f t="shared" si="8"/>
        <v>CG00252</v>
      </c>
    </row>
    <row r="249" spans="1:11" x14ac:dyDescent="0.3">
      <c r="A249" s="298" t="s">
        <v>1101</v>
      </c>
      <c r="B249" s="298" t="s">
        <v>1102</v>
      </c>
      <c r="C249" s="298" t="s">
        <v>1103</v>
      </c>
      <c r="D249" s="298" t="s">
        <v>256</v>
      </c>
      <c r="E249" s="298" t="s">
        <v>1104</v>
      </c>
      <c r="F249" s="298" t="s">
        <v>1105</v>
      </c>
      <c r="G249" s="299" t="b">
        <v>0</v>
      </c>
      <c r="H249" s="299" t="b">
        <v>0</v>
      </c>
      <c r="J249" s="113" t="str">
        <f t="shared" si="7"/>
        <v>903432377</v>
      </c>
      <c r="K249" s="113" t="str">
        <f t="shared" si="8"/>
        <v>CG00253</v>
      </c>
    </row>
    <row r="250" spans="1:11" x14ac:dyDescent="0.3">
      <c r="A250" s="298" t="s">
        <v>1106</v>
      </c>
      <c r="B250" s="298" t="s">
        <v>1107</v>
      </c>
      <c r="C250" s="298" t="s">
        <v>1108</v>
      </c>
      <c r="D250" s="298" t="s">
        <v>256</v>
      </c>
      <c r="E250" s="298"/>
      <c r="F250" s="298" t="s">
        <v>1109</v>
      </c>
      <c r="G250" s="299" t="b">
        <v>0</v>
      </c>
      <c r="H250" s="299" t="b">
        <v>0</v>
      </c>
      <c r="J250" s="113" t="str">
        <f t="shared" si="7"/>
        <v>913584576</v>
      </c>
      <c r="K250" s="113" t="str">
        <f t="shared" si="8"/>
        <v>CG00254</v>
      </c>
    </row>
    <row r="251" spans="1:11" x14ac:dyDescent="0.3">
      <c r="A251" s="298" t="s">
        <v>1110</v>
      </c>
      <c r="B251" s="298" t="s">
        <v>1111</v>
      </c>
      <c r="C251" s="298" t="s">
        <v>317</v>
      </c>
      <c r="D251" s="298" t="s">
        <v>256</v>
      </c>
      <c r="E251" s="298"/>
      <c r="F251" s="298" t="s">
        <v>1112</v>
      </c>
      <c r="G251" s="299" t="b">
        <v>0</v>
      </c>
      <c r="H251" s="299" t="b">
        <v>0</v>
      </c>
      <c r="J251" s="113" t="str">
        <f t="shared" si="7"/>
        <v>916621637</v>
      </c>
      <c r="K251" s="113" t="str">
        <f t="shared" si="8"/>
        <v>CG00255</v>
      </c>
    </row>
    <row r="252" spans="1:11" x14ac:dyDescent="0.3">
      <c r="A252" s="298" t="s">
        <v>1113</v>
      </c>
      <c r="B252" s="298" t="s">
        <v>1114</v>
      </c>
      <c r="C252" s="298" t="s">
        <v>1115</v>
      </c>
      <c r="D252" s="298" t="s">
        <v>256</v>
      </c>
      <c r="E252" s="298"/>
      <c r="F252" s="298" t="s">
        <v>1116</v>
      </c>
      <c r="G252" s="299" t="b">
        <v>0</v>
      </c>
      <c r="H252" s="299" t="b">
        <v>0</v>
      </c>
      <c r="J252" s="113" t="str">
        <f t="shared" si="7"/>
        <v>973154420</v>
      </c>
      <c r="K252" s="113" t="str">
        <f t="shared" si="8"/>
        <v>CG00256</v>
      </c>
    </row>
    <row r="253" spans="1:11" x14ac:dyDescent="0.3">
      <c r="A253" s="298" t="s">
        <v>1117</v>
      </c>
      <c r="B253" s="298" t="s">
        <v>1118</v>
      </c>
      <c r="C253" s="298" t="s">
        <v>1119</v>
      </c>
      <c r="D253" s="298" t="s">
        <v>256</v>
      </c>
      <c r="E253" s="298"/>
      <c r="F253" s="298" t="s">
        <v>1120</v>
      </c>
      <c r="G253" s="299" t="b">
        <v>0</v>
      </c>
      <c r="H253" s="299" t="b">
        <v>0</v>
      </c>
      <c r="J253" s="113" t="str">
        <f t="shared" si="7"/>
        <v>984632876</v>
      </c>
      <c r="K253" s="113" t="str">
        <f t="shared" si="8"/>
        <v>CG00257</v>
      </c>
    </row>
    <row r="254" spans="1:11" x14ac:dyDescent="0.3">
      <c r="A254" s="298" t="s">
        <v>1121</v>
      </c>
      <c r="B254" s="298" t="s">
        <v>1122</v>
      </c>
      <c r="C254" s="298" t="s">
        <v>1123</v>
      </c>
      <c r="D254" s="298" t="s">
        <v>256</v>
      </c>
      <c r="E254" s="298" t="s">
        <v>1124</v>
      </c>
      <c r="F254" s="298" t="s">
        <v>1125</v>
      </c>
      <c r="G254" s="299" t="b">
        <v>0</v>
      </c>
      <c r="H254" s="299" t="b">
        <v>0</v>
      </c>
      <c r="J254" s="113" t="str">
        <f t="shared" si="7"/>
        <v>913047165</v>
      </c>
      <c r="K254" s="113" t="str">
        <f t="shared" si="8"/>
        <v>CG00258</v>
      </c>
    </row>
    <row r="255" spans="1:11" x14ac:dyDescent="0.3">
      <c r="A255" s="298" t="s">
        <v>1126</v>
      </c>
      <c r="B255" s="298" t="s">
        <v>1127</v>
      </c>
      <c r="C255" s="298" t="s">
        <v>938</v>
      </c>
      <c r="D255" s="298" t="s">
        <v>256</v>
      </c>
      <c r="E255" s="298"/>
      <c r="F255" s="298" t="s">
        <v>1128</v>
      </c>
      <c r="G255" s="299" t="b">
        <v>0</v>
      </c>
      <c r="H255" s="299" t="b">
        <v>0</v>
      </c>
      <c r="J255" s="113" t="str">
        <f t="shared" si="7"/>
        <v>979940504</v>
      </c>
      <c r="K255" s="113" t="str">
        <f t="shared" si="8"/>
        <v>CG00259</v>
      </c>
    </row>
    <row r="256" spans="1:11" x14ac:dyDescent="0.3">
      <c r="A256" s="298" t="s">
        <v>1129</v>
      </c>
      <c r="B256" s="298" t="s">
        <v>1130</v>
      </c>
      <c r="C256" s="298" t="s">
        <v>1131</v>
      </c>
      <c r="D256" s="298" t="s">
        <v>256</v>
      </c>
      <c r="E256" s="298"/>
      <c r="F256" s="298" t="s">
        <v>1132</v>
      </c>
      <c r="G256" s="299" t="b">
        <v>0</v>
      </c>
      <c r="H256" s="299" t="b">
        <v>0</v>
      </c>
      <c r="J256" s="113" t="str">
        <f t="shared" si="7"/>
        <v>983033281</v>
      </c>
      <c r="K256" s="113" t="str">
        <f t="shared" si="8"/>
        <v>CG00260</v>
      </c>
    </row>
    <row r="257" spans="1:11" x14ac:dyDescent="0.3">
      <c r="A257" s="298" t="s">
        <v>1133</v>
      </c>
      <c r="B257" s="298" t="s">
        <v>1134</v>
      </c>
      <c r="C257" s="298" t="s">
        <v>1135</v>
      </c>
      <c r="D257" s="298" t="s">
        <v>256</v>
      </c>
      <c r="E257" s="298"/>
      <c r="F257" s="298" t="s">
        <v>1136</v>
      </c>
      <c r="G257" s="299" t="b">
        <v>0</v>
      </c>
      <c r="H257" s="299" t="b">
        <v>0</v>
      </c>
      <c r="J257" s="113" t="str">
        <f t="shared" si="7"/>
        <v>968225908</v>
      </c>
      <c r="K257" s="113" t="str">
        <f t="shared" si="8"/>
        <v>CG00261</v>
      </c>
    </row>
    <row r="258" spans="1:11" x14ac:dyDescent="0.3">
      <c r="A258" s="298" t="s">
        <v>1137</v>
      </c>
      <c r="B258" s="298" t="s">
        <v>1138</v>
      </c>
      <c r="C258" s="298" t="s">
        <v>378</v>
      </c>
      <c r="D258" s="298" t="s">
        <v>256</v>
      </c>
      <c r="E258" s="298"/>
      <c r="F258" s="298" t="s">
        <v>1139</v>
      </c>
      <c r="G258" s="299" t="b">
        <v>0</v>
      </c>
      <c r="H258" s="299" t="b">
        <v>0</v>
      </c>
      <c r="J258" s="113" t="str">
        <f t="shared" si="7"/>
        <v>966393205</v>
      </c>
      <c r="K258" s="113" t="str">
        <f t="shared" si="8"/>
        <v>CG00262</v>
      </c>
    </row>
    <row r="259" spans="1:11" x14ac:dyDescent="0.3">
      <c r="A259" s="298" t="s">
        <v>1140</v>
      </c>
      <c r="B259" s="298" t="s">
        <v>1141</v>
      </c>
      <c r="C259" s="298" t="s">
        <v>1142</v>
      </c>
      <c r="D259" s="298" t="s">
        <v>256</v>
      </c>
      <c r="E259" s="298"/>
      <c r="F259" s="298" t="s">
        <v>1143</v>
      </c>
      <c r="G259" s="299" t="b">
        <v>0</v>
      </c>
      <c r="H259" s="299" t="b">
        <v>0</v>
      </c>
      <c r="J259" s="113" t="str">
        <f t="shared" si="7"/>
        <v>913595567</v>
      </c>
      <c r="K259" s="113" t="str">
        <f t="shared" si="8"/>
        <v>CG00263</v>
      </c>
    </row>
    <row r="260" spans="1:11" x14ac:dyDescent="0.3">
      <c r="A260" s="298" t="s">
        <v>1144</v>
      </c>
      <c r="B260" s="298" t="s">
        <v>1145</v>
      </c>
      <c r="C260" s="298" t="s">
        <v>809</v>
      </c>
      <c r="D260" s="298" t="s">
        <v>256</v>
      </c>
      <c r="E260" s="298"/>
      <c r="F260" s="298" t="s">
        <v>1146</v>
      </c>
      <c r="G260" s="299" t="b">
        <v>0</v>
      </c>
      <c r="H260" s="299" t="b">
        <v>0</v>
      </c>
      <c r="J260" s="113" t="str">
        <f t="shared" si="7"/>
        <v>979921663</v>
      </c>
      <c r="K260" s="113" t="str">
        <f t="shared" si="8"/>
        <v>CG00264</v>
      </c>
    </row>
    <row r="261" spans="1:11" x14ac:dyDescent="0.3">
      <c r="A261" s="298" t="s">
        <v>1147</v>
      </c>
      <c r="B261" s="298" t="s">
        <v>1148</v>
      </c>
      <c r="C261" s="298" t="s">
        <v>892</v>
      </c>
      <c r="D261" s="298" t="s">
        <v>256</v>
      </c>
      <c r="E261" s="298"/>
      <c r="F261" s="298" t="s">
        <v>1149</v>
      </c>
      <c r="G261" s="299" t="b">
        <v>0</v>
      </c>
      <c r="H261" s="299" t="b">
        <v>0</v>
      </c>
      <c r="J261" s="113" t="str">
        <f t="shared" ref="J261:J324" si="9">RIGHT(B261,9)</f>
        <v>943101963</v>
      </c>
      <c r="K261" s="113" t="str">
        <f t="shared" ref="K261:K324" si="10">A261</f>
        <v>CG00265</v>
      </c>
    </row>
    <row r="262" spans="1:11" x14ac:dyDescent="0.3">
      <c r="A262" s="298" t="s">
        <v>1150</v>
      </c>
      <c r="B262" s="298" t="s">
        <v>1151</v>
      </c>
      <c r="C262" s="298" t="s">
        <v>1152</v>
      </c>
      <c r="D262" s="298" t="s">
        <v>256</v>
      </c>
      <c r="E262" s="298"/>
      <c r="F262" s="298" t="s">
        <v>1153</v>
      </c>
      <c r="G262" s="299" t="b">
        <v>0</v>
      </c>
      <c r="H262" s="299" t="b">
        <v>0</v>
      </c>
      <c r="J262" s="113" t="str">
        <f t="shared" si="9"/>
        <v>913763371</v>
      </c>
      <c r="K262" s="113" t="str">
        <f t="shared" si="10"/>
        <v>CG00266</v>
      </c>
    </row>
    <row r="263" spans="1:11" x14ac:dyDescent="0.3">
      <c r="A263" s="298" t="s">
        <v>1154</v>
      </c>
      <c r="B263" s="298" t="s">
        <v>1155</v>
      </c>
      <c r="C263" s="298" t="s">
        <v>938</v>
      </c>
      <c r="D263" s="298" t="s">
        <v>256</v>
      </c>
      <c r="E263" s="298"/>
      <c r="F263" s="298" t="s">
        <v>1156</v>
      </c>
      <c r="G263" s="299" t="b">
        <v>0</v>
      </c>
      <c r="H263" s="299" t="b">
        <v>0</v>
      </c>
      <c r="J263" s="113" t="str">
        <f t="shared" si="9"/>
        <v>969683338</v>
      </c>
      <c r="K263" s="113" t="str">
        <f t="shared" si="10"/>
        <v>CG00267</v>
      </c>
    </row>
    <row r="264" spans="1:11" x14ac:dyDescent="0.3">
      <c r="A264" s="298" t="s">
        <v>1157</v>
      </c>
      <c r="B264" s="298" t="s">
        <v>1158</v>
      </c>
      <c r="C264" s="298" t="s">
        <v>1159</v>
      </c>
      <c r="D264" s="298" t="s">
        <v>256</v>
      </c>
      <c r="E264" s="298"/>
      <c r="F264" s="298" t="s">
        <v>1160</v>
      </c>
      <c r="G264" s="299" t="b">
        <v>0</v>
      </c>
      <c r="H264" s="299" t="b">
        <v>0</v>
      </c>
      <c r="J264" s="113" t="str">
        <f t="shared" si="9"/>
        <v>913080679</v>
      </c>
      <c r="K264" s="113" t="str">
        <f t="shared" si="10"/>
        <v>CG00268</v>
      </c>
    </row>
    <row r="265" spans="1:11" x14ac:dyDescent="0.3">
      <c r="A265" s="298" t="s">
        <v>1161</v>
      </c>
      <c r="B265" s="298" t="s">
        <v>1162</v>
      </c>
      <c r="C265" s="298" t="s">
        <v>409</v>
      </c>
      <c r="D265" s="298" t="s">
        <v>256</v>
      </c>
      <c r="E265" s="298"/>
      <c r="F265" s="298" t="s">
        <v>1163</v>
      </c>
      <c r="G265" s="299" t="b">
        <v>0</v>
      </c>
      <c r="H265" s="299" t="b">
        <v>0</v>
      </c>
      <c r="J265" s="113" t="str">
        <f t="shared" si="9"/>
        <v>915902930</v>
      </c>
      <c r="K265" s="113" t="str">
        <f t="shared" si="10"/>
        <v>CG00269</v>
      </c>
    </row>
    <row r="266" spans="1:11" x14ac:dyDescent="0.3">
      <c r="A266" s="298" t="s">
        <v>1164</v>
      </c>
      <c r="B266" s="298" t="s">
        <v>1165</v>
      </c>
      <c r="C266" s="298" t="s">
        <v>1166</v>
      </c>
      <c r="D266" s="298" t="s">
        <v>256</v>
      </c>
      <c r="E266" s="298"/>
      <c r="F266" s="298" t="s">
        <v>1167</v>
      </c>
      <c r="G266" s="299" t="b">
        <v>0</v>
      </c>
      <c r="H266" s="299" t="b">
        <v>0</v>
      </c>
      <c r="J266" s="113" t="str">
        <f t="shared" si="9"/>
        <v>974078488</v>
      </c>
      <c r="K266" s="113" t="str">
        <f t="shared" si="10"/>
        <v>CG00270</v>
      </c>
    </row>
    <row r="267" spans="1:11" x14ac:dyDescent="0.3">
      <c r="A267" s="298" t="s">
        <v>1168</v>
      </c>
      <c r="B267" s="298" t="s">
        <v>1169</v>
      </c>
      <c r="C267" s="298" t="s">
        <v>884</v>
      </c>
      <c r="D267" s="298" t="s">
        <v>256</v>
      </c>
      <c r="E267" s="298"/>
      <c r="F267" s="298" t="s">
        <v>1170</v>
      </c>
      <c r="G267" s="299" t="b">
        <v>0</v>
      </c>
      <c r="H267" s="299" t="b">
        <v>0</v>
      </c>
      <c r="J267" s="113" t="str">
        <f t="shared" si="9"/>
        <v>912120204</v>
      </c>
      <c r="K267" s="113" t="str">
        <f t="shared" si="10"/>
        <v>CG00271</v>
      </c>
    </row>
    <row r="268" spans="1:11" x14ac:dyDescent="0.3">
      <c r="A268" s="298" t="s">
        <v>1171</v>
      </c>
      <c r="B268" s="298" t="s">
        <v>1172</v>
      </c>
      <c r="C268" s="298" t="s">
        <v>1173</v>
      </c>
      <c r="D268" s="298" t="s">
        <v>256</v>
      </c>
      <c r="E268" s="298"/>
      <c r="F268" s="298" t="s">
        <v>1174</v>
      </c>
      <c r="G268" s="299" t="b">
        <v>0</v>
      </c>
      <c r="H268" s="299" t="b">
        <v>0</v>
      </c>
      <c r="J268" s="113" t="str">
        <f t="shared" si="9"/>
        <v>913070877</v>
      </c>
      <c r="K268" s="113" t="str">
        <f t="shared" si="10"/>
        <v>CG00272</v>
      </c>
    </row>
    <row r="269" spans="1:11" x14ac:dyDescent="0.3">
      <c r="A269" s="298" t="s">
        <v>1175</v>
      </c>
      <c r="B269" s="298" t="s">
        <v>1176</v>
      </c>
      <c r="C269" s="298" t="s">
        <v>1059</v>
      </c>
      <c r="D269" s="298" t="s">
        <v>256</v>
      </c>
      <c r="E269" s="298"/>
      <c r="F269" s="298" t="s">
        <v>1177</v>
      </c>
      <c r="G269" s="299" t="b">
        <v>0</v>
      </c>
      <c r="H269" s="299" t="b">
        <v>0</v>
      </c>
      <c r="J269" s="113" t="str">
        <f t="shared" si="9"/>
        <v>915014717</v>
      </c>
      <c r="K269" s="113" t="str">
        <f t="shared" si="10"/>
        <v>CG00273</v>
      </c>
    </row>
    <row r="270" spans="1:11" x14ac:dyDescent="0.3">
      <c r="A270" s="298" t="s">
        <v>1178</v>
      </c>
      <c r="B270" s="298" t="s">
        <v>1179</v>
      </c>
      <c r="C270" s="298" t="s">
        <v>375</v>
      </c>
      <c r="D270" s="298" t="s">
        <v>256</v>
      </c>
      <c r="E270" s="298"/>
      <c r="F270" s="298" t="s">
        <v>1180</v>
      </c>
      <c r="G270" s="299" t="b">
        <v>0</v>
      </c>
      <c r="H270" s="299" t="b">
        <v>0</v>
      </c>
      <c r="J270" s="113" t="str">
        <f t="shared" si="9"/>
        <v>963187591</v>
      </c>
      <c r="K270" s="113" t="str">
        <f t="shared" si="10"/>
        <v>CG00274</v>
      </c>
    </row>
    <row r="271" spans="1:11" x14ac:dyDescent="0.3">
      <c r="A271" s="298" t="s">
        <v>1181</v>
      </c>
      <c r="B271" s="298" t="s">
        <v>1182</v>
      </c>
      <c r="C271" s="298" t="s">
        <v>809</v>
      </c>
      <c r="D271" s="298" t="s">
        <v>256</v>
      </c>
      <c r="E271" s="298"/>
      <c r="F271" s="298" t="s">
        <v>1183</v>
      </c>
      <c r="G271" s="299" t="b">
        <v>0</v>
      </c>
      <c r="H271" s="299" t="b">
        <v>0</v>
      </c>
      <c r="J271" s="113" t="str">
        <f t="shared" si="9"/>
        <v>382731664</v>
      </c>
      <c r="K271" s="113" t="str">
        <f t="shared" si="10"/>
        <v>CG00275</v>
      </c>
    </row>
    <row r="272" spans="1:11" x14ac:dyDescent="0.3">
      <c r="A272" s="298" t="s">
        <v>1184</v>
      </c>
      <c r="B272" s="298" t="s">
        <v>1185</v>
      </c>
      <c r="C272" s="298" t="s">
        <v>1186</v>
      </c>
      <c r="D272" s="298" t="s">
        <v>256</v>
      </c>
      <c r="E272" s="298"/>
      <c r="F272" s="298" t="s">
        <v>1187</v>
      </c>
      <c r="G272" s="299" t="b">
        <v>0</v>
      </c>
      <c r="H272" s="299" t="b">
        <v>0</v>
      </c>
      <c r="J272" s="113" t="str">
        <f t="shared" si="9"/>
        <v>982563853</v>
      </c>
      <c r="K272" s="113" t="str">
        <f t="shared" si="10"/>
        <v>CG00276</v>
      </c>
    </row>
    <row r="273" spans="1:11" x14ac:dyDescent="0.3">
      <c r="A273" s="298" t="s">
        <v>1188</v>
      </c>
      <c r="B273" s="298" t="s">
        <v>1189</v>
      </c>
      <c r="C273" s="298" t="s">
        <v>820</v>
      </c>
      <c r="D273" s="298" t="s">
        <v>256</v>
      </c>
      <c r="E273" s="298"/>
      <c r="F273" s="298" t="s">
        <v>1190</v>
      </c>
      <c r="G273" s="299" t="b">
        <v>0</v>
      </c>
      <c r="H273" s="299" t="b">
        <v>0</v>
      </c>
      <c r="J273" s="113" t="str">
        <f t="shared" si="9"/>
        <v>915366494</v>
      </c>
      <c r="K273" s="113" t="str">
        <f t="shared" si="10"/>
        <v>CG00277</v>
      </c>
    </row>
    <row r="274" spans="1:11" x14ac:dyDescent="0.3">
      <c r="A274" s="298" t="s">
        <v>1191</v>
      </c>
      <c r="B274" s="298" t="s">
        <v>1192</v>
      </c>
      <c r="C274" s="298" t="s">
        <v>463</v>
      </c>
      <c r="D274" s="298" t="s">
        <v>256</v>
      </c>
      <c r="E274" s="298"/>
      <c r="F274" s="298" t="s">
        <v>1193</v>
      </c>
      <c r="G274" s="299" t="b">
        <v>0</v>
      </c>
      <c r="H274" s="299" t="b">
        <v>0</v>
      </c>
      <c r="J274" s="113" t="str">
        <f t="shared" si="9"/>
        <v>986809649</v>
      </c>
      <c r="K274" s="113" t="str">
        <f t="shared" si="10"/>
        <v>CG00278</v>
      </c>
    </row>
    <row r="275" spans="1:11" x14ac:dyDescent="0.3">
      <c r="A275" s="298" t="s">
        <v>1194</v>
      </c>
      <c r="B275" s="298" t="s">
        <v>1195</v>
      </c>
      <c r="C275" s="298" t="s">
        <v>1196</v>
      </c>
      <c r="D275" s="298" t="s">
        <v>256</v>
      </c>
      <c r="E275" s="298"/>
      <c r="F275" s="298" t="s">
        <v>1197</v>
      </c>
      <c r="G275" s="299" t="b">
        <v>0</v>
      </c>
      <c r="H275" s="299" t="b">
        <v>0</v>
      </c>
      <c r="J275" s="113" t="str">
        <f t="shared" si="9"/>
        <v>915237119</v>
      </c>
      <c r="K275" s="113" t="str">
        <f t="shared" si="10"/>
        <v>CG00279</v>
      </c>
    </row>
    <row r="276" spans="1:11" x14ac:dyDescent="0.3">
      <c r="A276" s="298" t="s">
        <v>1198</v>
      </c>
      <c r="B276" s="298" t="s">
        <v>1199</v>
      </c>
      <c r="C276" s="298" t="s">
        <v>378</v>
      </c>
      <c r="D276" s="298" t="s">
        <v>256</v>
      </c>
      <c r="E276" s="298"/>
      <c r="F276" s="298" t="s">
        <v>1200</v>
      </c>
      <c r="G276" s="299" t="b">
        <v>0</v>
      </c>
      <c r="H276" s="299" t="b">
        <v>0</v>
      </c>
      <c r="J276" s="113" t="str">
        <f t="shared" si="9"/>
        <v>384481670</v>
      </c>
      <c r="K276" s="113" t="str">
        <f t="shared" si="10"/>
        <v>CG00280</v>
      </c>
    </row>
    <row r="277" spans="1:11" x14ac:dyDescent="0.3">
      <c r="A277" s="298" t="s">
        <v>1201</v>
      </c>
      <c r="B277" s="298" t="s">
        <v>1202</v>
      </c>
      <c r="C277" s="298" t="s">
        <v>1203</v>
      </c>
      <c r="D277" s="298" t="s">
        <v>256</v>
      </c>
      <c r="E277" s="298"/>
      <c r="F277" s="298" t="s">
        <v>1204</v>
      </c>
      <c r="G277" s="299" t="b">
        <v>0</v>
      </c>
      <c r="H277" s="299" t="b">
        <v>0</v>
      </c>
      <c r="J277" s="113" t="str">
        <f t="shared" si="9"/>
        <v>915806682</v>
      </c>
      <c r="K277" s="113" t="str">
        <f t="shared" si="10"/>
        <v>CG00281</v>
      </c>
    </row>
    <row r="278" spans="1:11" x14ac:dyDescent="0.3">
      <c r="A278" s="298" t="s">
        <v>1205</v>
      </c>
      <c r="B278" s="298" t="s">
        <v>1206</v>
      </c>
      <c r="C278" s="298" t="s">
        <v>1207</v>
      </c>
      <c r="D278" s="298" t="s">
        <v>256</v>
      </c>
      <c r="E278" s="298"/>
      <c r="F278" s="298" t="s">
        <v>1208</v>
      </c>
      <c r="G278" s="299" t="b">
        <v>0</v>
      </c>
      <c r="H278" s="299" t="b">
        <v>0</v>
      </c>
      <c r="J278" s="113" t="str">
        <f t="shared" si="9"/>
        <v>946946222</v>
      </c>
      <c r="K278" s="113" t="str">
        <f t="shared" si="10"/>
        <v>CG00282</v>
      </c>
    </row>
    <row r="279" spans="1:11" x14ac:dyDescent="0.3">
      <c r="A279" s="298" t="s">
        <v>1209</v>
      </c>
      <c r="B279" s="298" t="s">
        <v>1210</v>
      </c>
      <c r="C279" s="298" t="s">
        <v>1211</v>
      </c>
      <c r="D279" s="298" t="s">
        <v>256</v>
      </c>
      <c r="E279" s="298"/>
      <c r="F279" s="298" t="s">
        <v>1212</v>
      </c>
      <c r="G279" s="299" t="b">
        <v>0</v>
      </c>
      <c r="H279" s="299" t="b">
        <v>0</v>
      </c>
      <c r="J279" s="113" t="str">
        <f t="shared" si="9"/>
        <v>904265595</v>
      </c>
      <c r="K279" s="113" t="str">
        <f t="shared" si="10"/>
        <v>CG00283</v>
      </c>
    </row>
    <row r="280" spans="1:11" x14ac:dyDescent="0.3">
      <c r="A280" s="298" t="s">
        <v>1213</v>
      </c>
      <c r="B280" s="298" t="s">
        <v>1214</v>
      </c>
      <c r="C280" s="298" t="s">
        <v>1215</v>
      </c>
      <c r="D280" s="298" t="s">
        <v>256</v>
      </c>
      <c r="E280" s="298"/>
      <c r="F280" s="298" t="s">
        <v>1216</v>
      </c>
      <c r="G280" s="299" t="b">
        <v>0</v>
      </c>
      <c r="H280" s="299" t="b">
        <v>0</v>
      </c>
      <c r="J280" s="113" t="str">
        <f t="shared" si="9"/>
        <v>913368023</v>
      </c>
      <c r="K280" s="113" t="str">
        <f t="shared" si="10"/>
        <v>CG00284</v>
      </c>
    </row>
    <row r="281" spans="1:11" x14ac:dyDescent="0.3">
      <c r="A281" s="298" t="s">
        <v>1217</v>
      </c>
      <c r="B281" s="298" t="s">
        <v>1218</v>
      </c>
      <c r="C281" s="298" t="s">
        <v>892</v>
      </c>
      <c r="D281" s="298" t="s">
        <v>256</v>
      </c>
      <c r="E281" s="298"/>
      <c r="F281" s="298" t="s">
        <v>1219</v>
      </c>
      <c r="G281" s="299" t="b">
        <v>0</v>
      </c>
      <c r="H281" s="299" t="b">
        <v>0</v>
      </c>
      <c r="J281" s="113" t="str">
        <f t="shared" si="9"/>
        <v>913344540</v>
      </c>
      <c r="K281" s="113" t="str">
        <f t="shared" si="10"/>
        <v>CG00285</v>
      </c>
    </row>
    <row r="282" spans="1:11" x14ac:dyDescent="0.3">
      <c r="A282" s="298" t="s">
        <v>1220</v>
      </c>
      <c r="B282" s="298" t="s">
        <v>1221</v>
      </c>
      <c r="C282" s="298" t="s">
        <v>1222</v>
      </c>
      <c r="D282" s="298" t="s">
        <v>256</v>
      </c>
      <c r="E282" s="298"/>
      <c r="F282" s="298" t="s">
        <v>1223</v>
      </c>
      <c r="G282" s="299" t="b">
        <v>0</v>
      </c>
      <c r="H282" s="299" t="b">
        <v>0</v>
      </c>
      <c r="J282" s="113" t="str">
        <f t="shared" si="9"/>
        <v>912457541</v>
      </c>
      <c r="K282" s="113" t="str">
        <f t="shared" si="10"/>
        <v>CG00286</v>
      </c>
    </row>
    <row r="283" spans="1:11" x14ac:dyDescent="0.3">
      <c r="A283" s="298" t="s">
        <v>1224</v>
      </c>
      <c r="B283" s="298" t="s">
        <v>1225</v>
      </c>
      <c r="C283" s="298" t="s">
        <v>1226</v>
      </c>
      <c r="D283" s="298" t="s">
        <v>256</v>
      </c>
      <c r="E283" s="298"/>
      <c r="F283" s="298" t="s">
        <v>1227</v>
      </c>
      <c r="G283" s="299" t="b">
        <v>0</v>
      </c>
      <c r="H283" s="299" t="b">
        <v>0</v>
      </c>
      <c r="J283" s="113" t="str">
        <f t="shared" si="9"/>
        <v>984223888</v>
      </c>
      <c r="K283" s="113" t="str">
        <f t="shared" si="10"/>
        <v>CG00287</v>
      </c>
    </row>
    <row r="284" spans="1:11" x14ac:dyDescent="0.3">
      <c r="A284" s="298" t="s">
        <v>1228</v>
      </c>
      <c r="B284" s="298" t="s">
        <v>1229</v>
      </c>
      <c r="C284" s="298" t="s">
        <v>1230</v>
      </c>
      <c r="D284" s="298" t="s">
        <v>256</v>
      </c>
      <c r="E284" s="298"/>
      <c r="F284" s="298" t="s">
        <v>1231</v>
      </c>
      <c r="G284" s="299" t="b">
        <v>0</v>
      </c>
      <c r="H284" s="299" t="b">
        <v>0</v>
      </c>
      <c r="J284" s="113" t="str">
        <f t="shared" si="9"/>
        <v>984467343</v>
      </c>
      <c r="K284" s="113" t="str">
        <f t="shared" si="10"/>
        <v>CG00288</v>
      </c>
    </row>
    <row r="285" spans="1:11" x14ac:dyDescent="0.3">
      <c r="A285" s="298" t="s">
        <v>1232</v>
      </c>
      <c r="B285" s="298" t="s">
        <v>1233</v>
      </c>
      <c r="C285" s="298" t="s">
        <v>286</v>
      </c>
      <c r="D285" s="298" t="s">
        <v>256</v>
      </c>
      <c r="E285" s="298"/>
      <c r="F285" s="298" t="s">
        <v>1234</v>
      </c>
      <c r="G285" s="299" t="b">
        <v>0</v>
      </c>
      <c r="H285" s="299" t="b">
        <v>0</v>
      </c>
      <c r="J285" s="113" t="str">
        <f t="shared" si="9"/>
        <v>913259587</v>
      </c>
      <c r="K285" s="113" t="str">
        <f t="shared" si="10"/>
        <v>CG00289</v>
      </c>
    </row>
    <row r="286" spans="1:11" x14ac:dyDescent="0.3">
      <c r="A286" s="298" t="s">
        <v>1235</v>
      </c>
      <c r="B286" s="298" t="s">
        <v>1236</v>
      </c>
      <c r="C286" s="298" t="s">
        <v>1237</v>
      </c>
      <c r="D286" s="298" t="s">
        <v>256</v>
      </c>
      <c r="E286" s="298"/>
      <c r="F286" s="298" t="s">
        <v>1238</v>
      </c>
      <c r="G286" s="299" t="b">
        <v>0</v>
      </c>
      <c r="H286" s="299" t="b">
        <v>0</v>
      </c>
      <c r="J286" s="113" t="str">
        <f t="shared" si="9"/>
        <v>913309359</v>
      </c>
      <c r="K286" s="113" t="str">
        <f t="shared" si="10"/>
        <v>CG00290</v>
      </c>
    </row>
    <row r="287" spans="1:11" x14ac:dyDescent="0.3">
      <c r="A287" s="298" t="s">
        <v>1239</v>
      </c>
      <c r="B287" s="298" t="s">
        <v>1240</v>
      </c>
      <c r="C287" s="298" t="s">
        <v>1152</v>
      </c>
      <c r="D287" s="298" t="s">
        <v>256</v>
      </c>
      <c r="E287" s="298"/>
      <c r="F287" s="298" t="s">
        <v>1241</v>
      </c>
      <c r="G287" s="299" t="b">
        <v>0</v>
      </c>
      <c r="H287" s="299" t="b">
        <v>0</v>
      </c>
      <c r="J287" s="113" t="str">
        <f t="shared" si="9"/>
        <v>934523669</v>
      </c>
      <c r="K287" s="113" t="str">
        <f t="shared" si="10"/>
        <v>CG00291</v>
      </c>
    </row>
    <row r="288" spans="1:11" x14ac:dyDescent="0.3">
      <c r="A288" s="298" t="s">
        <v>1242</v>
      </c>
      <c r="B288" s="298" t="s">
        <v>1243</v>
      </c>
      <c r="C288" s="298" t="s">
        <v>593</v>
      </c>
      <c r="D288" s="298" t="s">
        <v>256</v>
      </c>
      <c r="E288" s="298"/>
      <c r="F288" s="298" t="s">
        <v>1244</v>
      </c>
      <c r="G288" s="299" t="b">
        <v>0</v>
      </c>
      <c r="H288" s="299" t="b">
        <v>0</v>
      </c>
      <c r="J288" s="113" t="str">
        <f t="shared" si="9"/>
        <v>332513123</v>
      </c>
      <c r="K288" s="113" t="str">
        <f t="shared" si="10"/>
        <v>CG00292</v>
      </c>
    </row>
    <row r="289" spans="1:11" x14ac:dyDescent="0.3">
      <c r="A289" s="298" t="s">
        <v>1245</v>
      </c>
      <c r="B289" s="298" t="s">
        <v>1246</v>
      </c>
      <c r="C289" s="298" t="s">
        <v>1247</v>
      </c>
      <c r="D289" s="298" t="s">
        <v>256</v>
      </c>
      <c r="E289" s="298"/>
      <c r="F289" s="298" t="s">
        <v>1248</v>
      </c>
      <c r="G289" s="299" t="b">
        <v>0</v>
      </c>
      <c r="H289" s="299" t="b">
        <v>0</v>
      </c>
      <c r="J289" s="113" t="str">
        <f t="shared" si="9"/>
        <v>773302728</v>
      </c>
      <c r="K289" s="113" t="str">
        <f t="shared" si="10"/>
        <v>CG00293</v>
      </c>
    </row>
    <row r="290" spans="1:11" x14ac:dyDescent="0.3">
      <c r="A290" s="298" t="s">
        <v>1249</v>
      </c>
      <c r="B290" s="298" t="s">
        <v>1250</v>
      </c>
      <c r="C290" s="298" t="s">
        <v>309</v>
      </c>
      <c r="D290" s="298" t="s">
        <v>256</v>
      </c>
      <c r="E290" s="298"/>
      <c r="F290" s="298" t="s">
        <v>1251</v>
      </c>
      <c r="G290" s="299" t="b">
        <v>0</v>
      </c>
      <c r="H290" s="299" t="b">
        <v>0</v>
      </c>
      <c r="J290" s="113" t="str">
        <f t="shared" si="9"/>
        <v>979464128</v>
      </c>
      <c r="K290" s="113" t="str">
        <f t="shared" si="10"/>
        <v>CG00294</v>
      </c>
    </row>
    <row r="291" spans="1:11" x14ac:dyDescent="0.3">
      <c r="A291" s="298" t="s">
        <v>1252</v>
      </c>
      <c r="B291" s="298" t="s">
        <v>14659</v>
      </c>
      <c r="C291" s="298" t="s">
        <v>1253</v>
      </c>
      <c r="D291" s="298" t="s">
        <v>256</v>
      </c>
      <c r="E291" s="298"/>
      <c r="F291" s="298" t="s">
        <v>1254</v>
      </c>
      <c r="G291" s="299" t="b">
        <v>0</v>
      </c>
      <c r="H291" s="299" t="b">
        <v>0</v>
      </c>
      <c r="J291" s="113" t="str">
        <f t="shared" si="9"/>
        <v>912304799</v>
      </c>
      <c r="K291" s="113" t="str">
        <f t="shared" si="10"/>
        <v>CG00295</v>
      </c>
    </row>
    <row r="292" spans="1:11" x14ac:dyDescent="0.3">
      <c r="A292" s="298" t="s">
        <v>1255</v>
      </c>
      <c r="B292" s="298" t="s">
        <v>1256</v>
      </c>
      <c r="C292" s="298" t="s">
        <v>1257</v>
      </c>
      <c r="D292" s="298" t="s">
        <v>256</v>
      </c>
      <c r="E292" s="298"/>
      <c r="F292" s="298" t="s">
        <v>1258</v>
      </c>
      <c r="G292" s="299" t="b">
        <v>0</v>
      </c>
      <c r="H292" s="299" t="b">
        <v>0</v>
      </c>
      <c r="J292" s="113" t="str">
        <f t="shared" si="9"/>
        <v>912047030</v>
      </c>
      <c r="K292" s="113" t="str">
        <f t="shared" si="10"/>
        <v>CG00296</v>
      </c>
    </row>
    <row r="293" spans="1:11" x14ac:dyDescent="0.3">
      <c r="A293" s="298" t="s">
        <v>1259</v>
      </c>
      <c r="B293" s="298" t="s">
        <v>1260</v>
      </c>
      <c r="C293" s="298" t="s">
        <v>1261</v>
      </c>
      <c r="D293" s="298" t="s">
        <v>256</v>
      </c>
      <c r="E293" s="298"/>
      <c r="F293" s="298" t="s">
        <v>1262</v>
      </c>
      <c r="G293" s="299" t="b">
        <v>0</v>
      </c>
      <c r="H293" s="299" t="b">
        <v>0</v>
      </c>
      <c r="J293" s="113" t="str">
        <f t="shared" si="9"/>
        <v>904632764</v>
      </c>
      <c r="K293" s="113" t="str">
        <f t="shared" si="10"/>
        <v>CG00297</v>
      </c>
    </row>
    <row r="294" spans="1:11" x14ac:dyDescent="0.3">
      <c r="A294" s="298" t="s">
        <v>1263</v>
      </c>
      <c r="B294" s="298" t="s">
        <v>1264</v>
      </c>
      <c r="C294" s="298" t="s">
        <v>1265</v>
      </c>
      <c r="D294" s="298" t="s">
        <v>256</v>
      </c>
      <c r="E294" s="298"/>
      <c r="F294" s="298" t="s">
        <v>1266</v>
      </c>
      <c r="G294" s="299" t="b">
        <v>0</v>
      </c>
      <c r="H294" s="299" t="b">
        <v>0</v>
      </c>
      <c r="J294" s="113" t="str">
        <f t="shared" si="9"/>
        <v>972172774</v>
      </c>
      <c r="K294" s="113" t="str">
        <f t="shared" si="10"/>
        <v>CG00298</v>
      </c>
    </row>
    <row r="295" spans="1:11" x14ac:dyDescent="0.3">
      <c r="A295" s="298" t="s">
        <v>1267</v>
      </c>
      <c r="B295" s="298" t="s">
        <v>1268</v>
      </c>
      <c r="C295" s="298" t="s">
        <v>1269</v>
      </c>
      <c r="D295" s="298" t="s">
        <v>256</v>
      </c>
      <c r="E295" s="298" t="s">
        <v>1270</v>
      </c>
      <c r="F295" s="298" t="s">
        <v>1271</v>
      </c>
      <c r="G295" s="299" t="b">
        <v>0</v>
      </c>
      <c r="H295" s="299" t="b">
        <v>0</v>
      </c>
      <c r="J295" s="113" t="str">
        <f t="shared" si="9"/>
        <v>961079368</v>
      </c>
      <c r="K295" s="113" t="str">
        <f t="shared" si="10"/>
        <v>CG00299</v>
      </c>
    </row>
    <row r="296" spans="1:11" x14ac:dyDescent="0.3">
      <c r="A296" s="298" t="s">
        <v>1272</v>
      </c>
      <c r="B296" s="298" t="s">
        <v>1273</v>
      </c>
      <c r="C296" s="298" t="s">
        <v>926</v>
      </c>
      <c r="D296" s="298" t="s">
        <v>256</v>
      </c>
      <c r="E296" s="298"/>
      <c r="F296" s="298" t="s">
        <v>1274</v>
      </c>
      <c r="G296" s="299" t="b">
        <v>0</v>
      </c>
      <c r="H296" s="299" t="b">
        <v>0</v>
      </c>
      <c r="J296" s="113" t="str">
        <f t="shared" si="9"/>
        <v>977284616</v>
      </c>
      <c r="K296" s="113" t="str">
        <f t="shared" si="10"/>
        <v>CG00300</v>
      </c>
    </row>
    <row r="297" spans="1:11" x14ac:dyDescent="0.3">
      <c r="A297" s="298" t="s">
        <v>1275</v>
      </c>
      <c r="B297" s="298" t="s">
        <v>1276</v>
      </c>
      <c r="C297" s="298" t="s">
        <v>718</v>
      </c>
      <c r="D297" s="298" t="s">
        <v>256</v>
      </c>
      <c r="E297" s="298"/>
      <c r="F297" s="298" t="s">
        <v>1277</v>
      </c>
      <c r="G297" s="299" t="b">
        <v>0</v>
      </c>
      <c r="H297" s="299" t="b">
        <v>0</v>
      </c>
      <c r="J297" s="113" t="str">
        <f t="shared" si="9"/>
        <v>912051195</v>
      </c>
      <c r="K297" s="113" t="str">
        <f t="shared" si="10"/>
        <v>CG00301</v>
      </c>
    </row>
    <row r="298" spans="1:11" x14ac:dyDescent="0.3">
      <c r="A298" s="298" t="s">
        <v>1278</v>
      </c>
      <c r="B298" s="298" t="s">
        <v>1279</v>
      </c>
      <c r="C298" s="298" t="s">
        <v>718</v>
      </c>
      <c r="D298" s="298" t="s">
        <v>256</v>
      </c>
      <c r="E298" s="298"/>
      <c r="F298" s="298" t="s">
        <v>1280</v>
      </c>
      <c r="G298" s="299" t="b">
        <v>0</v>
      </c>
      <c r="H298" s="299" t="b">
        <v>0</v>
      </c>
      <c r="J298" s="113" t="str">
        <f t="shared" si="9"/>
        <v>914143168</v>
      </c>
      <c r="K298" s="113" t="str">
        <f t="shared" si="10"/>
        <v>CG00302</v>
      </c>
    </row>
    <row r="299" spans="1:11" x14ac:dyDescent="0.3">
      <c r="A299" s="298" t="s">
        <v>1281</v>
      </c>
      <c r="B299" s="298" t="s">
        <v>1282</v>
      </c>
      <c r="C299" s="298" t="s">
        <v>1283</v>
      </c>
      <c r="D299" s="298" t="s">
        <v>256</v>
      </c>
      <c r="E299" s="298"/>
      <c r="F299" s="298" t="s">
        <v>1284</v>
      </c>
      <c r="G299" s="299" t="b">
        <v>0</v>
      </c>
      <c r="H299" s="299" t="b">
        <v>0</v>
      </c>
      <c r="J299" s="113" t="str">
        <f t="shared" si="9"/>
        <v>934998385</v>
      </c>
      <c r="K299" s="113" t="str">
        <f t="shared" si="10"/>
        <v>CG00303</v>
      </c>
    </row>
    <row r="300" spans="1:11" x14ac:dyDescent="0.3">
      <c r="A300" s="298" t="s">
        <v>1285</v>
      </c>
      <c r="B300" s="298" t="s">
        <v>14660</v>
      </c>
      <c r="C300" s="298" t="s">
        <v>1286</v>
      </c>
      <c r="D300" s="298" t="s">
        <v>256</v>
      </c>
      <c r="E300" s="298"/>
      <c r="F300" s="298" t="s">
        <v>1287</v>
      </c>
      <c r="G300" s="299" t="b">
        <v>0</v>
      </c>
      <c r="H300" s="299" t="b">
        <v>0</v>
      </c>
      <c r="J300" s="113" t="str">
        <f t="shared" si="9"/>
        <v>986761992</v>
      </c>
      <c r="K300" s="113" t="str">
        <f t="shared" si="10"/>
        <v>CG00304</v>
      </c>
    </row>
    <row r="301" spans="1:11" x14ac:dyDescent="0.3">
      <c r="A301" s="298" t="s">
        <v>1288</v>
      </c>
      <c r="B301" s="298" t="s">
        <v>1289</v>
      </c>
      <c r="C301" s="298" t="s">
        <v>1290</v>
      </c>
      <c r="D301" s="298" t="s">
        <v>256</v>
      </c>
      <c r="E301" s="298"/>
      <c r="F301" s="298" t="s">
        <v>1291</v>
      </c>
      <c r="G301" s="299" t="b">
        <v>0</v>
      </c>
      <c r="H301" s="299" t="b">
        <v>0</v>
      </c>
      <c r="J301" s="113" t="str">
        <f t="shared" si="9"/>
        <v>902158926</v>
      </c>
      <c r="K301" s="113" t="str">
        <f t="shared" si="10"/>
        <v>CG00305</v>
      </c>
    </row>
    <row r="302" spans="1:11" x14ac:dyDescent="0.3">
      <c r="A302" s="298" t="s">
        <v>1292</v>
      </c>
      <c r="B302" s="298" t="s">
        <v>1293</v>
      </c>
      <c r="C302" s="298" t="s">
        <v>541</v>
      </c>
      <c r="D302" s="298" t="s">
        <v>256</v>
      </c>
      <c r="E302" s="298"/>
      <c r="F302" s="298" t="s">
        <v>1294</v>
      </c>
      <c r="G302" s="299" t="b">
        <v>0</v>
      </c>
      <c r="H302" s="299" t="b">
        <v>0</v>
      </c>
      <c r="J302" s="113" t="str">
        <f t="shared" si="9"/>
        <v>913216916</v>
      </c>
      <c r="K302" s="113" t="str">
        <f t="shared" si="10"/>
        <v>CG00306</v>
      </c>
    </row>
    <row r="303" spans="1:11" x14ac:dyDescent="0.3">
      <c r="A303" s="298" t="s">
        <v>1295</v>
      </c>
      <c r="B303" s="298" t="s">
        <v>1296</v>
      </c>
      <c r="C303" s="298" t="s">
        <v>286</v>
      </c>
      <c r="D303" s="298" t="s">
        <v>256</v>
      </c>
      <c r="E303" s="298"/>
      <c r="F303" s="298" t="s">
        <v>1297</v>
      </c>
      <c r="G303" s="299" t="b">
        <v>0</v>
      </c>
      <c r="H303" s="299" t="b">
        <v>0</v>
      </c>
      <c r="J303" s="113" t="str">
        <f t="shared" si="9"/>
        <v>913511258</v>
      </c>
      <c r="K303" s="113" t="str">
        <f t="shared" si="10"/>
        <v>CG00307</v>
      </c>
    </row>
    <row r="304" spans="1:11" x14ac:dyDescent="0.3">
      <c r="A304" s="298" t="s">
        <v>1298</v>
      </c>
      <c r="B304" s="298" t="s">
        <v>1299</v>
      </c>
      <c r="C304" s="298" t="s">
        <v>286</v>
      </c>
      <c r="D304" s="298" t="s">
        <v>256</v>
      </c>
      <c r="E304" s="298"/>
      <c r="F304" s="298" t="s">
        <v>1300</v>
      </c>
      <c r="G304" s="299" t="b">
        <v>0</v>
      </c>
      <c r="H304" s="299" t="b">
        <v>0</v>
      </c>
      <c r="J304" s="113" t="str">
        <f t="shared" si="9"/>
        <v>943667366</v>
      </c>
      <c r="K304" s="113" t="str">
        <f t="shared" si="10"/>
        <v>CG00308</v>
      </c>
    </row>
    <row r="305" spans="1:11" x14ac:dyDescent="0.3">
      <c r="A305" s="298" t="s">
        <v>1301</v>
      </c>
      <c r="B305" s="298" t="s">
        <v>1302</v>
      </c>
      <c r="C305" s="298" t="s">
        <v>286</v>
      </c>
      <c r="D305" s="298" t="s">
        <v>256</v>
      </c>
      <c r="E305" s="298"/>
      <c r="F305" s="298" t="s">
        <v>1303</v>
      </c>
      <c r="G305" s="299" t="b">
        <v>0</v>
      </c>
      <c r="H305" s="299" t="b">
        <v>0</v>
      </c>
      <c r="J305" s="113" t="str">
        <f t="shared" si="9"/>
        <v>915278972</v>
      </c>
      <c r="K305" s="113" t="str">
        <f t="shared" si="10"/>
        <v>CG00309</v>
      </c>
    </row>
    <row r="306" spans="1:11" x14ac:dyDescent="0.3">
      <c r="A306" s="298" t="s">
        <v>1304</v>
      </c>
      <c r="B306" s="298" t="s">
        <v>1305</v>
      </c>
      <c r="C306" s="298" t="s">
        <v>1306</v>
      </c>
      <c r="D306" s="298" t="s">
        <v>256</v>
      </c>
      <c r="E306" s="298"/>
      <c r="F306" s="298" t="s">
        <v>1307</v>
      </c>
      <c r="G306" s="299" t="b">
        <v>0</v>
      </c>
      <c r="H306" s="299" t="b">
        <v>0</v>
      </c>
      <c r="J306" s="113" t="str">
        <f t="shared" si="9"/>
        <v>779334285</v>
      </c>
      <c r="K306" s="113" t="str">
        <f t="shared" si="10"/>
        <v>CG00310</v>
      </c>
    </row>
    <row r="307" spans="1:11" x14ac:dyDescent="0.3">
      <c r="A307" s="298" t="s">
        <v>1308</v>
      </c>
      <c r="B307" s="298" t="s">
        <v>1309</v>
      </c>
      <c r="C307" s="298" t="s">
        <v>1310</v>
      </c>
      <c r="D307" s="298" t="s">
        <v>256</v>
      </c>
      <c r="E307" s="298"/>
      <c r="F307" s="298" t="s">
        <v>1311</v>
      </c>
      <c r="G307" s="299" t="b">
        <v>0</v>
      </c>
      <c r="H307" s="299" t="b">
        <v>0</v>
      </c>
      <c r="J307" s="113" t="str">
        <f t="shared" si="9"/>
        <v>904575383</v>
      </c>
      <c r="K307" s="113" t="str">
        <f t="shared" si="10"/>
        <v>CG00311</v>
      </c>
    </row>
    <row r="308" spans="1:11" x14ac:dyDescent="0.3">
      <c r="A308" s="298" t="s">
        <v>1312</v>
      </c>
      <c r="B308" s="298" t="s">
        <v>1313</v>
      </c>
      <c r="C308" s="298" t="s">
        <v>1314</v>
      </c>
      <c r="D308" s="298" t="s">
        <v>256</v>
      </c>
      <c r="E308" s="298"/>
      <c r="F308" s="298" t="s">
        <v>1315</v>
      </c>
      <c r="G308" s="299" t="b">
        <v>0</v>
      </c>
      <c r="H308" s="299" t="b">
        <v>0</v>
      </c>
      <c r="J308" s="113" t="str">
        <f t="shared" si="9"/>
        <v>936056735</v>
      </c>
      <c r="K308" s="113" t="str">
        <f t="shared" si="10"/>
        <v>CG00312</v>
      </c>
    </row>
    <row r="309" spans="1:11" x14ac:dyDescent="0.3">
      <c r="A309" s="298" t="s">
        <v>1316</v>
      </c>
      <c r="B309" s="298" t="s">
        <v>1317</v>
      </c>
      <c r="C309" s="298" t="s">
        <v>565</v>
      </c>
      <c r="D309" s="298" t="s">
        <v>256</v>
      </c>
      <c r="E309" s="298"/>
      <c r="F309" s="298" t="s">
        <v>1318</v>
      </c>
      <c r="G309" s="299" t="b">
        <v>0</v>
      </c>
      <c r="H309" s="299" t="b">
        <v>0</v>
      </c>
      <c r="J309" s="113" t="str">
        <f t="shared" si="9"/>
        <v>908056999</v>
      </c>
      <c r="K309" s="113" t="str">
        <f t="shared" si="10"/>
        <v>CG00313</v>
      </c>
    </row>
    <row r="310" spans="1:11" x14ac:dyDescent="0.3">
      <c r="A310" s="298" t="s">
        <v>1319</v>
      </c>
      <c r="B310" s="298" t="s">
        <v>1320</v>
      </c>
      <c r="C310" s="298" t="s">
        <v>1321</v>
      </c>
      <c r="D310" s="298" t="s">
        <v>256</v>
      </c>
      <c r="E310" s="298" t="s">
        <v>1322</v>
      </c>
      <c r="F310" s="298" t="s">
        <v>1323</v>
      </c>
      <c r="G310" s="299" t="b">
        <v>0</v>
      </c>
      <c r="H310" s="299" t="b">
        <v>0</v>
      </c>
      <c r="J310" s="113" t="str">
        <f t="shared" si="9"/>
        <v>902225527</v>
      </c>
      <c r="K310" s="113" t="str">
        <f t="shared" si="10"/>
        <v>CG00314</v>
      </c>
    </row>
    <row r="311" spans="1:11" x14ac:dyDescent="0.3">
      <c r="A311" s="298" t="s">
        <v>1324</v>
      </c>
      <c r="B311" s="298" t="s">
        <v>1325</v>
      </c>
      <c r="C311" s="298" t="s">
        <v>416</v>
      </c>
      <c r="D311" s="298" t="s">
        <v>256</v>
      </c>
      <c r="E311" s="298"/>
      <c r="F311" s="298" t="s">
        <v>1326</v>
      </c>
      <c r="G311" s="299" t="b">
        <v>0</v>
      </c>
      <c r="H311" s="299" t="b">
        <v>0</v>
      </c>
      <c r="J311" s="113" t="str">
        <f t="shared" si="9"/>
        <v>904001214</v>
      </c>
      <c r="K311" s="113" t="str">
        <f t="shared" si="10"/>
        <v>CG00315</v>
      </c>
    </row>
    <row r="312" spans="1:11" x14ac:dyDescent="0.3">
      <c r="A312" s="298" t="s">
        <v>1327</v>
      </c>
      <c r="B312" s="298" t="s">
        <v>1328</v>
      </c>
      <c r="C312" s="298" t="s">
        <v>343</v>
      </c>
      <c r="D312" s="298" t="s">
        <v>256</v>
      </c>
      <c r="E312" s="298"/>
      <c r="F312" s="298" t="s">
        <v>1329</v>
      </c>
      <c r="G312" s="299" t="b">
        <v>0</v>
      </c>
      <c r="H312" s="299" t="b">
        <v>0</v>
      </c>
      <c r="J312" s="113" t="str">
        <f t="shared" si="9"/>
        <v>913015446</v>
      </c>
      <c r="K312" s="113" t="str">
        <f t="shared" si="10"/>
        <v>CG00316</v>
      </c>
    </row>
    <row r="313" spans="1:11" x14ac:dyDescent="0.3">
      <c r="A313" s="298" t="s">
        <v>1330</v>
      </c>
      <c r="B313" s="298" t="s">
        <v>1331</v>
      </c>
      <c r="C313" s="298" t="s">
        <v>416</v>
      </c>
      <c r="D313" s="298" t="s">
        <v>256</v>
      </c>
      <c r="E313" s="298"/>
      <c r="F313" s="298" t="s">
        <v>1332</v>
      </c>
      <c r="G313" s="299" t="b">
        <v>0</v>
      </c>
      <c r="H313" s="299" t="b">
        <v>0</v>
      </c>
      <c r="J313" s="113" t="str">
        <f t="shared" si="9"/>
        <v>904579341</v>
      </c>
      <c r="K313" s="113" t="str">
        <f t="shared" si="10"/>
        <v>CG00317</v>
      </c>
    </row>
    <row r="314" spans="1:11" x14ac:dyDescent="0.3">
      <c r="A314" s="298" t="s">
        <v>1333</v>
      </c>
      <c r="B314" s="298" t="s">
        <v>1334</v>
      </c>
      <c r="C314" s="298" t="s">
        <v>1335</v>
      </c>
      <c r="D314" s="298" t="s">
        <v>256</v>
      </c>
      <c r="E314" s="298"/>
      <c r="F314" s="298" t="s">
        <v>1336</v>
      </c>
      <c r="G314" s="299" t="b">
        <v>0</v>
      </c>
      <c r="H314" s="299" t="b">
        <v>0</v>
      </c>
      <c r="J314" s="113" t="str">
        <f t="shared" si="9"/>
        <v>912077603</v>
      </c>
      <c r="K314" s="113" t="str">
        <f t="shared" si="10"/>
        <v>CG00318</v>
      </c>
    </row>
    <row r="315" spans="1:11" x14ac:dyDescent="0.3">
      <c r="A315" s="298" t="s">
        <v>1337</v>
      </c>
      <c r="B315" s="298" t="s">
        <v>1338</v>
      </c>
      <c r="C315" s="298" t="s">
        <v>1059</v>
      </c>
      <c r="D315" s="298" t="s">
        <v>256</v>
      </c>
      <c r="E315" s="298"/>
      <c r="F315" s="298" t="s">
        <v>1339</v>
      </c>
      <c r="G315" s="299" t="b">
        <v>0</v>
      </c>
      <c r="H315" s="299" t="b">
        <v>0</v>
      </c>
      <c r="J315" s="113" t="str">
        <f t="shared" si="9"/>
        <v>943390162</v>
      </c>
      <c r="K315" s="113" t="str">
        <f t="shared" si="10"/>
        <v>CG00319</v>
      </c>
    </row>
    <row r="316" spans="1:11" x14ac:dyDescent="0.3">
      <c r="A316" s="298" t="s">
        <v>1340</v>
      </c>
      <c r="B316" s="298" t="s">
        <v>1341</v>
      </c>
      <c r="C316" s="298" t="s">
        <v>1222</v>
      </c>
      <c r="D316" s="298" t="s">
        <v>256</v>
      </c>
      <c r="E316" s="298"/>
      <c r="F316" s="298" t="s">
        <v>1342</v>
      </c>
      <c r="G316" s="299" t="b">
        <v>0</v>
      </c>
      <c r="H316" s="299" t="b">
        <v>0</v>
      </c>
      <c r="J316" s="113" t="str">
        <f t="shared" si="9"/>
        <v>904060258</v>
      </c>
      <c r="K316" s="113" t="str">
        <f t="shared" si="10"/>
        <v>CG00320</v>
      </c>
    </row>
    <row r="317" spans="1:11" x14ac:dyDescent="0.3">
      <c r="A317" s="298" t="s">
        <v>1343</v>
      </c>
      <c r="B317" s="298" t="s">
        <v>1344</v>
      </c>
      <c r="C317" s="298" t="s">
        <v>1115</v>
      </c>
      <c r="D317" s="298" t="s">
        <v>256</v>
      </c>
      <c r="E317" s="298"/>
      <c r="F317" s="298" t="s">
        <v>1345</v>
      </c>
      <c r="G317" s="299" t="b">
        <v>0</v>
      </c>
      <c r="H317" s="299" t="b">
        <v>0</v>
      </c>
      <c r="J317" s="113" t="str">
        <f t="shared" si="9"/>
        <v>913350502</v>
      </c>
      <c r="K317" s="113" t="str">
        <f t="shared" si="10"/>
        <v>CG00321</v>
      </c>
    </row>
    <row r="318" spans="1:11" x14ac:dyDescent="0.3">
      <c r="A318" s="298" t="s">
        <v>1346</v>
      </c>
      <c r="B318" s="298" t="s">
        <v>1347</v>
      </c>
      <c r="C318" s="298" t="s">
        <v>1348</v>
      </c>
      <c r="D318" s="298" t="s">
        <v>256</v>
      </c>
      <c r="E318" s="298"/>
      <c r="F318" s="298" t="s">
        <v>1349</v>
      </c>
      <c r="G318" s="299" t="b">
        <v>0</v>
      </c>
      <c r="H318" s="299" t="b">
        <v>0</v>
      </c>
      <c r="J318" s="113" t="str">
        <f t="shared" si="9"/>
        <v>904435298</v>
      </c>
      <c r="K318" s="113" t="str">
        <f t="shared" si="10"/>
        <v>CG00322</v>
      </c>
    </row>
    <row r="319" spans="1:11" x14ac:dyDescent="0.3">
      <c r="A319" s="298" t="s">
        <v>1350</v>
      </c>
      <c r="B319" s="298" t="s">
        <v>1351</v>
      </c>
      <c r="C319" s="298" t="s">
        <v>416</v>
      </c>
      <c r="D319" s="298" t="s">
        <v>256</v>
      </c>
      <c r="E319" s="298"/>
      <c r="F319" s="298" t="s">
        <v>1352</v>
      </c>
      <c r="G319" s="299" t="b">
        <v>0</v>
      </c>
      <c r="H319" s="299" t="b">
        <v>0</v>
      </c>
      <c r="J319" s="113" t="str">
        <f t="shared" si="9"/>
        <v>976257974</v>
      </c>
      <c r="K319" s="113" t="str">
        <f t="shared" si="10"/>
        <v>CG00323</v>
      </c>
    </row>
    <row r="320" spans="1:11" x14ac:dyDescent="0.3">
      <c r="A320" s="298" t="s">
        <v>1353</v>
      </c>
      <c r="B320" s="298" t="s">
        <v>1354</v>
      </c>
      <c r="C320" s="298" t="s">
        <v>1042</v>
      </c>
      <c r="D320" s="298" t="s">
        <v>256</v>
      </c>
      <c r="E320" s="298"/>
      <c r="F320" s="298" t="s">
        <v>1355</v>
      </c>
      <c r="G320" s="299" t="b">
        <v>0</v>
      </c>
      <c r="H320" s="299" t="b">
        <v>0</v>
      </c>
      <c r="J320" s="113" t="str">
        <f t="shared" si="9"/>
        <v>368155695</v>
      </c>
      <c r="K320" s="113" t="str">
        <f t="shared" si="10"/>
        <v>CG00324</v>
      </c>
    </row>
    <row r="321" spans="1:11" x14ac:dyDescent="0.3">
      <c r="A321" s="298" t="s">
        <v>1356</v>
      </c>
      <c r="B321" s="298" t="s">
        <v>1357</v>
      </c>
      <c r="C321" s="298" t="s">
        <v>409</v>
      </c>
      <c r="D321" s="298" t="s">
        <v>256</v>
      </c>
      <c r="E321" s="298"/>
      <c r="F321" s="298" t="s">
        <v>1358</v>
      </c>
      <c r="G321" s="299" t="b">
        <v>0</v>
      </c>
      <c r="H321" s="299" t="b">
        <v>0</v>
      </c>
      <c r="J321" s="113" t="str">
        <f t="shared" si="9"/>
        <v>975598775</v>
      </c>
      <c r="K321" s="113" t="str">
        <f t="shared" si="10"/>
        <v>CG00325</v>
      </c>
    </row>
    <row r="322" spans="1:11" x14ac:dyDescent="0.3">
      <c r="A322" s="298" t="s">
        <v>1359</v>
      </c>
      <c r="B322" s="298" t="s">
        <v>1360</v>
      </c>
      <c r="C322" s="298" t="s">
        <v>1361</v>
      </c>
      <c r="D322" s="298" t="s">
        <v>256</v>
      </c>
      <c r="E322" s="298"/>
      <c r="F322" s="298" t="s">
        <v>1362</v>
      </c>
      <c r="G322" s="299" t="b">
        <v>0</v>
      </c>
      <c r="H322" s="299" t="b">
        <v>0</v>
      </c>
      <c r="J322" s="113" t="str">
        <f t="shared" si="9"/>
        <v>913284456</v>
      </c>
      <c r="K322" s="113" t="str">
        <f t="shared" si="10"/>
        <v>CG00326</v>
      </c>
    </row>
    <row r="323" spans="1:11" x14ac:dyDescent="0.3">
      <c r="A323" s="298" t="s">
        <v>1363</v>
      </c>
      <c r="B323" s="298" t="s">
        <v>1364</v>
      </c>
      <c r="C323" s="298" t="s">
        <v>495</v>
      </c>
      <c r="D323" s="298" t="s">
        <v>256</v>
      </c>
      <c r="E323" s="298"/>
      <c r="F323" s="298" t="s">
        <v>1365</v>
      </c>
      <c r="G323" s="299" t="b">
        <v>0</v>
      </c>
      <c r="H323" s="299" t="b">
        <v>0</v>
      </c>
      <c r="J323" s="113" t="str">
        <f t="shared" si="9"/>
        <v>986561207</v>
      </c>
      <c r="K323" s="113" t="str">
        <f t="shared" si="10"/>
        <v>CG00328</v>
      </c>
    </row>
    <row r="324" spans="1:11" x14ac:dyDescent="0.3">
      <c r="A324" s="298" t="s">
        <v>1366</v>
      </c>
      <c r="B324" s="298" t="s">
        <v>1367</v>
      </c>
      <c r="C324" s="298" t="s">
        <v>1368</v>
      </c>
      <c r="D324" s="298" t="s">
        <v>256</v>
      </c>
      <c r="E324" s="298"/>
      <c r="F324" s="298" t="s">
        <v>1369</v>
      </c>
      <c r="G324" s="299" t="b">
        <v>0</v>
      </c>
      <c r="H324" s="299" t="b">
        <v>0</v>
      </c>
      <c r="J324" s="113" t="str">
        <f t="shared" si="9"/>
        <v>913538513</v>
      </c>
      <c r="K324" s="113" t="str">
        <f t="shared" si="10"/>
        <v>CG00329</v>
      </c>
    </row>
    <row r="325" spans="1:11" x14ac:dyDescent="0.3">
      <c r="A325" s="298" t="s">
        <v>1370</v>
      </c>
      <c r="B325" s="298" t="s">
        <v>1371</v>
      </c>
      <c r="C325" s="298" t="s">
        <v>1173</v>
      </c>
      <c r="D325" s="298" t="s">
        <v>256</v>
      </c>
      <c r="E325" s="298"/>
      <c r="F325" s="298" t="s">
        <v>1372</v>
      </c>
      <c r="G325" s="299" t="b">
        <v>0</v>
      </c>
      <c r="H325" s="299" t="b">
        <v>0</v>
      </c>
      <c r="J325" s="113" t="str">
        <f t="shared" ref="J325:J388" si="11">RIGHT(B325,9)</f>
        <v>982694766</v>
      </c>
      <c r="K325" s="113" t="str">
        <f t="shared" ref="K325:K388" si="12">A325</f>
        <v>CG00330</v>
      </c>
    </row>
    <row r="326" spans="1:11" x14ac:dyDescent="0.3">
      <c r="A326" s="298" t="s">
        <v>1373</v>
      </c>
      <c r="B326" s="298" t="s">
        <v>1374</v>
      </c>
      <c r="C326" s="298" t="s">
        <v>1335</v>
      </c>
      <c r="D326" s="298" t="s">
        <v>256</v>
      </c>
      <c r="E326" s="298"/>
      <c r="F326" s="298" t="s">
        <v>1375</v>
      </c>
      <c r="G326" s="299" t="b">
        <v>0</v>
      </c>
      <c r="H326" s="299" t="b">
        <v>0</v>
      </c>
      <c r="J326" s="113" t="str">
        <f t="shared" si="11"/>
        <v>986278088</v>
      </c>
      <c r="K326" s="113" t="str">
        <f t="shared" si="12"/>
        <v>CG00331</v>
      </c>
    </row>
    <row r="327" spans="1:11" x14ac:dyDescent="0.3">
      <c r="A327" s="298" t="s">
        <v>1376</v>
      </c>
      <c r="B327" s="298" t="s">
        <v>1377</v>
      </c>
      <c r="C327" s="298" t="s">
        <v>1378</v>
      </c>
      <c r="D327" s="298" t="s">
        <v>256</v>
      </c>
      <c r="E327" s="298"/>
      <c r="F327" s="298" t="s">
        <v>1379</v>
      </c>
      <c r="G327" s="299" t="b">
        <v>0</v>
      </c>
      <c r="H327" s="299" t="b">
        <v>0</v>
      </c>
      <c r="J327" s="113" t="str">
        <f t="shared" si="11"/>
        <v>914640216</v>
      </c>
      <c r="K327" s="113" t="str">
        <f t="shared" si="12"/>
        <v>CG00332</v>
      </c>
    </row>
    <row r="328" spans="1:11" x14ac:dyDescent="0.3">
      <c r="A328" s="298" t="s">
        <v>1380</v>
      </c>
      <c r="B328" s="298" t="s">
        <v>1381</v>
      </c>
      <c r="C328" s="298" t="s">
        <v>1382</v>
      </c>
      <c r="D328" s="298" t="s">
        <v>256</v>
      </c>
      <c r="E328" s="298"/>
      <c r="F328" s="298" t="s">
        <v>1383</v>
      </c>
      <c r="G328" s="299" t="b">
        <v>0</v>
      </c>
      <c r="H328" s="299" t="b">
        <v>0</v>
      </c>
      <c r="J328" s="113" t="str">
        <f t="shared" si="11"/>
        <v>912279868</v>
      </c>
      <c r="K328" s="113" t="str">
        <f t="shared" si="12"/>
        <v>CG00333</v>
      </c>
    </row>
    <row r="329" spans="1:11" x14ac:dyDescent="0.3">
      <c r="A329" s="298" t="s">
        <v>1384</v>
      </c>
      <c r="B329" s="298" t="s">
        <v>1385</v>
      </c>
      <c r="C329" s="298" t="s">
        <v>1386</v>
      </c>
      <c r="D329" s="298" t="s">
        <v>256</v>
      </c>
      <c r="E329" s="298"/>
      <c r="F329" s="298" t="s">
        <v>1387</v>
      </c>
      <c r="G329" s="299" t="b">
        <v>0</v>
      </c>
      <c r="H329" s="299" t="b">
        <v>0</v>
      </c>
      <c r="J329" s="113" t="str">
        <f t="shared" si="11"/>
        <v>919573499</v>
      </c>
      <c r="K329" s="113" t="str">
        <f t="shared" si="12"/>
        <v>CG00334</v>
      </c>
    </row>
    <row r="330" spans="1:11" x14ac:dyDescent="0.3">
      <c r="A330" s="298" t="s">
        <v>1388</v>
      </c>
      <c r="B330" s="298" t="s">
        <v>1389</v>
      </c>
      <c r="C330" s="298" t="s">
        <v>1390</v>
      </c>
      <c r="D330" s="298" t="s">
        <v>256</v>
      </c>
      <c r="E330" s="298" t="s">
        <v>1391</v>
      </c>
      <c r="F330" s="298" t="s">
        <v>1392</v>
      </c>
      <c r="G330" s="299" t="b">
        <v>0</v>
      </c>
      <c r="H330" s="299" t="b">
        <v>0</v>
      </c>
      <c r="J330" s="113" t="str">
        <f t="shared" si="11"/>
        <v>Đồng Hiệp</v>
      </c>
      <c r="K330" s="113" t="str">
        <f t="shared" si="12"/>
        <v>CG00335</v>
      </c>
    </row>
    <row r="331" spans="1:11" x14ac:dyDescent="0.3">
      <c r="A331" s="298" t="s">
        <v>1393</v>
      </c>
      <c r="B331" s="298" t="s">
        <v>1394</v>
      </c>
      <c r="C331" s="298" t="s">
        <v>1395</v>
      </c>
      <c r="D331" s="298" t="s">
        <v>256</v>
      </c>
      <c r="E331" s="298"/>
      <c r="F331" s="298" t="s">
        <v>1396</v>
      </c>
      <c r="G331" s="299" t="b">
        <v>0</v>
      </c>
      <c r="H331" s="299" t="b">
        <v>0</v>
      </c>
      <c r="J331" s="113" t="str">
        <f t="shared" si="11"/>
        <v>904215366</v>
      </c>
      <c r="K331" s="113" t="str">
        <f t="shared" si="12"/>
        <v>CG00336</v>
      </c>
    </row>
    <row r="332" spans="1:11" x14ac:dyDescent="0.3">
      <c r="A332" s="298" t="s">
        <v>1397</v>
      </c>
      <c r="B332" s="298" t="s">
        <v>1398</v>
      </c>
      <c r="C332" s="298" t="s">
        <v>469</v>
      </c>
      <c r="D332" s="298" t="s">
        <v>256</v>
      </c>
      <c r="E332" s="298"/>
      <c r="F332" s="298" t="s">
        <v>1399</v>
      </c>
      <c r="G332" s="299" t="b">
        <v>0</v>
      </c>
      <c r="H332" s="299" t="b">
        <v>0</v>
      </c>
      <c r="J332" s="113" t="str">
        <f t="shared" si="11"/>
        <v>387057578</v>
      </c>
      <c r="K332" s="113" t="str">
        <f t="shared" si="12"/>
        <v>CG00337</v>
      </c>
    </row>
    <row r="333" spans="1:11" x14ac:dyDescent="0.3">
      <c r="A333" s="298" t="s">
        <v>1400</v>
      </c>
      <c r="B333" s="298" t="s">
        <v>1401</v>
      </c>
      <c r="C333" s="298" t="s">
        <v>1402</v>
      </c>
      <c r="D333" s="298" t="s">
        <v>256</v>
      </c>
      <c r="E333" s="298" t="s">
        <v>1403</v>
      </c>
      <c r="F333" s="298" t="s">
        <v>1404</v>
      </c>
      <c r="G333" s="299" t="b">
        <v>0</v>
      </c>
      <c r="H333" s="299" t="b">
        <v>0</v>
      </c>
      <c r="J333" s="113" t="str">
        <f t="shared" si="11"/>
        <v>913074797</v>
      </c>
      <c r="K333" s="113" t="str">
        <f t="shared" si="12"/>
        <v>CG00338</v>
      </c>
    </row>
    <row r="334" spans="1:11" x14ac:dyDescent="0.3">
      <c r="A334" s="298" t="s">
        <v>1405</v>
      </c>
      <c r="B334" s="298" t="s">
        <v>1406</v>
      </c>
      <c r="C334" s="298" t="s">
        <v>1407</v>
      </c>
      <c r="D334" s="298" t="s">
        <v>256</v>
      </c>
      <c r="E334" s="298" t="s">
        <v>1408</v>
      </c>
      <c r="F334" s="298" t="s">
        <v>1409</v>
      </c>
      <c r="G334" s="299" t="b">
        <v>0</v>
      </c>
      <c r="H334" s="299" t="b">
        <v>0</v>
      </c>
      <c r="J334" s="113" t="str">
        <f t="shared" si="11"/>
        <v>300932053</v>
      </c>
      <c r="K334" s="113" t="str">
        <f t="shared" si="12"/>
        <v>CG00339</v>
      </c>
    </row>
    <row r="335" spans="1:11" x14ac:dyDescent="0.3">
      <c r="A335" s="298" t="s">
        <v>1410</v>
      </c>
      <c r="B335" s="298" t="s">
        <v>1411</v>
      </c>
      <c r="C335" s="298" t="s">
        <v>584</v>
      </c>
      <c r="D335" s="298" t="s">
        <v>256</v>
      </c>
      <c r="E335" s="298"/>
      <c r="F335" s="298" t="s">
        <v>1412</v>
      </c>
      <c r="G335" s="299" t="b">
        <v>0</v>
      </c>
      <c r="H335" s="299" t="b">
        <v>0</v>
      </c>
      <c r="J335" s="113" t="str">
        <f t="shared" si="11"/>
        <v>975395693</v>
      </c>
      <c r="K335" s="113" t="str">
        <f t="shared" si="12"/>
        <v>CG00340</v>
      </c>
    </row>
    <row r="336" spans="1:11" x14ac:dyDescent="0.3">
      <c r="A336" s="298" t="s">
        <v>1413</v>
      </c>
      <c r="B336" s="298" t="s">
        <v>14661</v>
      </c>
      <c r="C336" s="298" t="s">
        <v>1237</v>
      </c>
      <c r="D336" s="298" t="s">
        <v>256</v>
      </c>
      <c r="E336" s="298"/>
      <c r="F336" s="298" t="s">
        <v>1414</v>
      </c>
      <c r="G336" s="299" t="b">
        <v>0</v>
      </c>
      <c r="H336" s="299" t="b">
        <v>0</v>
      </c>
      <c r="J336" s="113" t="str">
        <f t="shared" si="11"/>
        <v>915974134</v>
      </c>
      <c r="K336" s="113" t="str">
        <f t="shared" si="12"/>
        <v>CG00341</v>
      </c>
    </row>
    <row r="337" spans="1:11" x14ac:dyDescent="0.3">
      <c r="A337" s="298" t="s">
        <v>1415</v>
      </c>
      <c r="B337" s="298" t="s">
        <v>1416</v>
      </c>
      <c r="C337" s="298" t="s">
        <v>593</v>
      </c>
      <c r="D337" s="298" t="s">
        <v>256</v>
      </c>
      <c r="E337" s="298"/>
      <c r="F337" s="298" t="s">
        <v>1417</v>
      </c>
      <c r="G337" s="299" t="b">
        <v>0</v>
      </c>
      <c r="H337" s="299" t="b">
        <v>0</v>
      </c>
      <c r="J337" s="113" t="str">
        <f t="shared" si="11"/>
        <v>988116829</v>
      </c>
      <c r="K337" s="113" t="str">
        <f t="shared" si="12"/>
        <v>CG00342</v>
      </c>
    </row>
    <row r="338" spans="1:11" x14ac:dyDescent="0.3">
      <c r="A338" s="298" t="s">
        <v>1418</v>
      </c>
      <c r="B338" s="298" t="s">
        <v>1419</v>
      </c>
      <c r="C338" s="298" t="s">
        <v>1420</v>
      </c>
      <c r="D338" s="298" t="s">
        <v>256</v>
      </c>
      <c r="E338" s="298"/>
      <c r="F338" s="298" t="s">
        <v>1421</v>
      </c>
      <c r="G338" s="299" t="b">
        <v>0</v>
      </c>
      <c r="H338" s="299" t="b">
        <v>0</v>
      </c>
      <c r="J338" s="113" t="str">
        <f t="shared" si="11"/>
        <v>989526386</v>
      </c>
      <c r="K338" s="113" t="str">
        <f t="shared" si="12"/>
        <v>CG00343</v>
      </c>
    </row>
    <row r="339" spans="1:11" x14ac:dyDescent="0.3">
      <c r="A339" s="298" t="s">
        <v>1422</v>
      </c>
      <c r="B339" s="298" t="s">
        <v>1423</v>
      </c>
      <c r="C339" s="298" t="s">
        <v>1196</v>
      </c>
      <c r="D339" s="298" t="s">
        <v>256</v>
      </c>
      <c r="E339" s="298"/>
      <c r="F339" s="298" t="s">
        <v>1424</v>
      </c>
      <c r="G339" s="299" t="b">
        <v>0</v>
      </c>
      <c r="H339" s="299" t="b">
        <v>0</v>
      </c>
      <c r="J339" s="113" t="str">
        <f t="shared" si="11"/>
        <v>973111102</v>
      </c>
      <c r="K339" s="113" t="str">
        <f t="shared" si="12"/>
        <v>CG00344</v>
      </c>
    </row>
    <row r="340" spans="1:11" x14ac:dyDescent="0.3">
      <c r="A340" s="298" t="s">
        <v>1425</v>
      </c>
      <c r="B340" s="298" t="s">
        <v>1426</v>
      </c>
      <c r="C340" s="298" t="s">
        <v>1427</v>
      </c>
      <c r="D340" s="298" t="s">
        <v>256</v>
      </c>
      <c r="E340" s="298"/>
      <c r="F340" s="298" t="s">
        <v>1428</v>
      </c>
      <c r="G340" s="299" t="b">
        <v>0</v>
      </c>
      <c r="H340" s="299" t="b">
        <v>0</v>
      </c>
      <c r="J340" s="113" t="str">
        <f t="shared" si="11"/>
        <v>977760616</v>
      </c>
      <c r="K340" s="113" t="str">
        <f t="shared" si="12"/>
        <v>CG00345</v>
      </c>
    </row>
    <row r="341" spans="1:11" x14ac:dyDescent="0.3">
      <c r="A341" s="298" t="s">
        <v>1429</v>
      </c>
      <c r="B341" s="298" t="s">
        <v>1430</v>
      </c>
      <c r="C341" s="298" t="s">
        <v>1196</v>
      </c>
      <c r="D341" s="298" t="s">
        <v>256</v>
      </c>
      <c r="E341" s="298"/>
      <c r="F341" s="298" t="s">
        <v>1431</v>
      </c>
      <c r="G341" s="299" t="b">
        <v>0</v>
      </c>
      <c r="H341" s="299" t="b">
        <v>0</v>
      </c>
      <c r="J341" s="113" t="str">
        <f t="shared" si="11"/>
        <v>983871175</v>
      </c>
      <c r="K341" s="113" t="str">
        <f t="shared" si="12"/>
        <v>CG00346</v>
      </c>
    </row>
    <row r="342" spans="1:11" x14ac:dyDescent="0.3">
      <c r="A342" s="298" t="s">
        <v>1432</v>
      </c>
      <c r="B342" s="298" t="s">
        <v>1433</v>
      </c>
      <c r="C342" s="298" t="s">
        <v>1004</v>
      </c>
      <c r="D342" s="298" t="s">
        <v>256</v>
      </c>
      <c r="E342" s="298"/>
      <c r="F342" s="298" t="s">
        <v>1434</v>
      </c>
      <c r="G342" s="299" t="b">
        <v>0</v>
      </c>
      <c r="H342" s="299" t="b">
        <v>0</v>
      </c>
      <c r="J342" s="113" t="str">
        <f t="shared" si="11"/>
        <v>915040509</v>
      </c>
      <c r="K342" s="113" t="str">
        <f t="shared" si="12"/>
        <v>CG00347</v>
      </c>
    </row>
    <row r="343" spans="1:11" x14ac:dyDescent="0.3">
      <c r="A343" s="298" t="s">
        <v>1435</v>
      </c>
      <c r="B343" s="298" t="s">
        <v>1436</v>
      </c>
      <c r="C343" s="298" t="s">
        <v>1196</v>
      </c>
      <c r="D343" s="298" t="s">
        <v>256</v>
      </c>
      <c r="E343" s="298"/>
      <c r="F343" s="298" t="s">
        <v>1437</v>
      </c>
      <c r="G343" s="299" t="b">
        <v>0</v>
      </c>
      <c r="H343" s="299" t="b">
        <v>0</v>
      </c>
      <c r="J343" s="113" t="str">
        <f t="shared" si="11"/>
        <v>912077918</v>
      </c>
      <c r="K343" s="113" t="str">
        <f t="shared" si="12"/>
        <v>CG00348</v>
      </c>
    </row>
    <row r="344" spans="1:11" x14ac:dyDescent="0.3">
      <c r="A344" s="298" t="s">
        <v>1438</v>
      </c>
      <c r="B344" s="298" t="s">
        <v>1439</v>
      </c>
      <c r="C344" s="298" t="s">
        <v>292</v>
      </c>
      <c r="D344" s="298" t="s">
        <v>256</v>
      </c>
      <c r="E344" s="298" t="s">
        <v>1440</v>
      </c>
      <c r="F344" s="298" t="s">
        <v>1441</v>
      </c>
      <c r="G344" s="299" t="b">
        <v>0</v>
      </c>
      <c r="H344" s="299" t="b">
        <v>0</v>
      </c>
      <c r="J344" s="113" t="str">
        <f t="shared" si="11"/>
        <v>912319367</v>
      </c>
      <c r="K344" s="113" t="str">
        <f t="shared" si="12"/>
        <v>CG00350</v>
      </c>
    </row>
    <row r="345" spans="1:11" x14ac:dyDescent="0.3">
      <c r="A345" s="298" t="s">
        <v>1442</v>
      </c>
      <c r="B345" s="298" t="s">
        <v>1443</v>
      </c>
      <c r="C345" s="298" t="s">
        <v>1444</v>
      </c>
      <c r="D345" s="298" t="s">
        <v>256</v>
      </c>
      <c r="E345" s="298"/>
      <c r="F345" s="298" t="s">
        <v>1445</v>
      </c>
      <c r="G345" s="299" t="b">
        <v>0</v>
      </c>
      <c r="H345" s="299" t="b">
        <v>0</v>
      </c>
      <c r="J345" s="113" t="str">
        <f t="shared" si="11"/>
        <v>915673129</v>
      </c>
      <c r="K345" s="113" t="str">
        <f t="shared" si="12"/>
        <v>CG00351</v>
      </c>
    </row>
    <row r="346" spans="1:11" x14ac:dyDescent="0.3">
      <c r="A346" s="298" t="s">
        <v>1446</v>
      </c>
      <c r="B346" s="298" t="s">
        <v>1447</v>
      </c>
      <c r="C346" s="298" t="s">
        <v>1444</v>
      </c>
      <c r="D346" s="298" t="s">
        <v>256</v>
      </c>
      <c r="E346" s="298"/>
      <c r="F346" s="298" t="s">
        <v>1448</v>
      </c>
      <c r="G346" s="299" t="b">
        <v>0</v>
      </c>
      <c r="H346" s="299" t="b">
        <v>0</v>
      </c>
      <c r="J346" s="113" t="str">
        <f t="shared" si="11"/>
        <v>912762804</v>
      </c>
      <c r="K346" s="113" t="str">
        <f t="shared" si="12"/>
        <v>CG00352</v>
      </c>
    </row>
    <row r="347" spans="1:11" x14ac:dyDescent="0.3">
      <c r="A347" s="298" t="s">
        <v>1449</v>
      </c>
      <c r="B347" s="298" t="s">
        <v>1450</v>
      </c>
      <c r="C347" s="298" t="s">
        <v>1451</v>
      </c>
      <c r="D347" s="298" t="s">
        <v>256</v>
      </c>
      <c r="E347" s="298"/>
      <c r="F347" s="298" t="s">
        <v>1452</v>
      </c>
      <c r="G347" s="299" t="b">
        <v>0</v>
      </c>
      <c r="H347" s="299" t="b">
        <v>0</v>
      </c>
      <c r="J347" s="113" t="str">
        <f t="shared" si="11"/>
        <v>913418353</v>
      </c>
      <c r="K347" s="113" t="str">
        <f t="shared" si="12"/>
        <v>CG00353</v>
      </c>
    </row>
    <row r="348" spans="1:11" x14ac:dyDescent="0.3">
      <c r="A348" s="298" t="s">
        <v>1453</v>
      </c>
      <c r="B348" s="298" t="s">
        <v>1454</v>
      </c>
      <c r="C348" s="298" t="s">
        <v>1455</v>
      </c>
      <c r="D348" s="298" t="s">
        <v>256</v>
      </c>
      <c r="E348" s="298"/>
      <c r="F348" s="298" t="s">
        <v>1456</v>
      </c>
      <c r="G348" s="299" t="b">
        <v>0</v>
      </c>
      <c r="H348" s="299" t="b">
        <v>0</v>
      </c>
      <c r="J348" s="113" t="str">
        <f t="shared" si="11"/>
        <v>902207319</v>
      </c>
      <c r="K348" s="113" t="str">
        <f t="shared" si="12"/>
        <v>CG00355</v>
      </c>
    </row>
    <row r="349" spans="1:11" x14ac:dyDescent="0.3">
      <c r="A349" s="298" t="s">
        <v>1457</v>
      </c>
      <c r="B349" s="298" t="s">
        <v>1458</v>
      </c>
      <c r="C349" s="298" t="s">
        <v>1459</v>
      </c>
      <c r="D349" s="298" t="s">
        <v>256</v>
      </c>
      <c r="E349" s="298"/>
      <c r="F349" s="298"/>
      <c r="G349" s="299" t="b">
        <v>0</v>
      </c>
      <c r="H349" s="299" t="b">
        <v>0</v>
      </c>
      <c r="J349" s="113" t="str">
        <f t="shared" si="11"/>
        <v xml:space="preserve"> gỗ (CLG)</v>
      </c>
      <c r="K349" s="113" t="str">
        <f t="shared" si="12"/>
        <v>CG00356</v>
      </c>
    </row>
    <row r="350" spans="1:11" x14ac:dyDescent="0.3">
      <c r="A350" s="298" t="s">
        <v>1460</v>
      </c>
      <c r="B350" s="298" t="s">
        <v>1461</v>
      </c>
      <c r="C350" s="298" t="s">
        <v>711</v>
      </c>
      <c r="D350" s="298" t="s">
        <v>256</v>
      </c>
      <c r="E350" s="298"/>
      <c r="F350" s="298" t="s">
        <v>1462</v>
      </c>
      <c r="G350" s="299" t="b">
        <v>0</v>
      </c>
      <c r="H350" s="299" t="b">
        <v>0</v>
      </c>
      <c r="J350" s="113" t="str">
        <f t="shared" si="11"/>
        <v>904688166</v>
      </c>
      <c r="K350" s="113" t="str">
        <f t="shared" si="12"/>
        <v>CG00357</v>
      </c>
    </row>
    <row r="351" spans="1:11" x14ac:dyDescent="0.3">
      <c r="A351" s="298" t="s">
        <v>1463</v>
      </c>
      <c r="B351" s="298" t="s">
        <v>1464</v>
      </c>
      <c r="C351" s="298" t="s">
        <v>409</v>
      </c>
      <c r="D351" s="298" t="s">
        <v>256</v>
      </c>
      <c r="E351" s="298"/>
      <c r="F351" s="298" t="s">
        <v>1465</v>
      </c>
      <c r="G351" s="299" t="b">
        <v>0</v>
      </c>
      <c r="H351" s="299" t="b">
        <v>0</v>
      </c>
      <c r="J351" s="113" t="str">
        <f t="shared" si="11"/>
        <v>912888665</v>
      </c>
      <c r="K351" s="113" t="str">
        <f t="shared" si="12"/>
        <v>CG00358</v>
      </c>
    </row>
    <row r="352" spans="1:11" x14ac:dyDescent="0.3">
      <c r="A352" s="298" t="s">
        <v>1466</v>
      </c>
      <c r="B352" s="298" t="s">
        <v>1467</v>
      </c>
      <c r="C352" s="298" t="s">
        <v>409</v>
      </c>
      <c r="D352" s="298" t="s">
        <v>256</v>
      </c>
      <c r="E352" s="298"/>
      <c r="F352" s="298" t="s">
        <v>1468</v>
      </c>
      <c r="G352" s="299" t="b">
        <v>0</v>
      </c>
      <c r="H352" s="299" t="b">
        <v>0</v>
      </c>
      <c r="J352" s="113" t="str">
        <f t="shared" si="11"/>
        <v>979366459</v>
      </c>
      <c r="K352" s="113" t="str">
        <f t="shared" si="12"/>
        <v>CG00359</v>
      </c>
    </row>
    <row r="353" spans="1:11" x14ac:dyDescent="0.3">
      <c r="A353" s="298" t="s">
        <v>1469</v>
      </c>
      <c r="B353" s="298" t="s">
        <v>1470</v>
      </c>
      <c r="C353" s="298" t="s">
        <v>1471</v>
      </c>
      <c r="D353" s="298" t="s">
        <v>256</v>
      </c>
      <c r="E353" s="298" t="s">
        <v>1472</v>
      </c>
      <c r="F353" s="298" t="s">
        <v>1473</v>
      </c>
      <c r="G353" s="299" t="b">
        <v>0</v>
      </c>
      <c r="H353" s="299" t="b">
        <v>0</v>
      </c>
      <c r="J353" s="113" t="str">
        <f t="shared" si="11"/>
        <v xml:space="preserve">08306836 </v>
      </c>
      <c r="K353" s="113" t="str">
        <f t="shared" si="12"/>
        <v>CG00360</v>
      </c>
    </row>
    <row r="354" spans="1:11" x14ac:dyDescent="0.3">
      <c r="A354" s="298" t="s">
        <v>1474</v>
      </c>
      <c r="B354" s="298" t="s">
        <v>1475</v>
      </c>
      <c r="C354" s="298" t="s">
        <v>1173</v>
      </c>
      <c r="D354" s="298" t="s">
        <v>256</v>
      </c>
      <c r="E354" s="298"/>
      <c r="F354" s="298" t="s">
        <v>1476</v>
      </c>
      <c r="G354" s="299" t="b">
        <v>0</v>
      </c>
      <c r="H354" s="299" t="b">
        <v>0</v>
      </c>
      <c r="J354" s="113" t="str">
        <f t="shared" si="11"/>
        <v>915022025</v>
      </c>
      <c r="K354" s="113" t="str">
        <f t="shared" si="12"/>
        <v>CG00361</v>
      </c>
    </row>
    <row r="355" spans="1:11" x14ac:dyDescent="0.3">
      <c r="A355" s="298" t="s">
        <v>1477</v>
      </c>
      <c r="B355" s="298" t="s">
        <v>1478</v>
      </c>
      <c r="C355" s="298" t="s">
        <v>305</v>
      </c>
      <c r="D355" s="298" t="s">
        <v>256</v>
      </c>
      <c r="E355" s="298"/>
      <c r="F355" s="298" t="s">
        <v>1479</v>
      </c>
      <c r="G355" s="299" t="b">
        <v>0</v>
      </c>
      <c r="H355" s="299" t="b">
        <v>0</v>
      </c>
      <c r="J355" s="113" t="str">
        <f t="shared" si="11"/>
        <v>903215727</v>
      </c>
      <c r="K355" s="113" t="str">
        <f t="shared" si="12"/>
        <v>CG00362</v>
      </c>
    </row>
    <row r="356" spans="1:11" x14ac:dyDescent="0.3">
      <c r="A356" s="298" t="s">
        <v>1480</v>
      </c>
      <c r="B356" s="298" t="s">
        <v>1481</v>
      </c>
      <c r="C356" s="298" t="s">
        <v>942</v>
      </c>
      <c r="D356" s="298" t="s">
        <v>256</v>
      </c>
      <c r="E356" s="298"/>
      <c r="F356" s="298" t="s">
        <v>1482</v>
      </c>
      <c r="G356" s="299" t="b">
        <v>0</v>
      </c>
      <c r="H356" s="299" t="b">
        <v>0</v>
      </c>
      <c r="J356" s="113" t="str">
        <f t="shared" si="11"/>
        <v>904448672</v>
      </c>
      <c r="K356" s="113" t="str">
        <f t="shared" si="12"/>
        <v>CG00363</v>
      </c>
    </row>
    <row r="357" spans="1:11" x14ac:dyDescent="0.3">
      <c r="A357" s="298" t="s">
        <v>1483</v>
      </c>
      <c r="B357" s="298" t="s">
        <v>1484</v>
      </c>
      <c r="C357" s="298" t="s">
        <v>1286</v>
      </c>
      <c r="D357" s="298" t="s">
        <v>256</v>
      </c>
      <c r="E357" s="298"/>
      <c r="F357" s="298" t="s">
        <v>1485</v>
      </c>
      <c r="G357" s="299" t="b">
        <v>0</v>
      </c>
      <c r="H357" s="299" t="b">
        <v>0</v>
      </c>
      <c r="J357" s="113" t="str">
        <f t="shared" si="11"/>
        <v>972018837</v>
      </c>
      <c r="K357" s="113" t="str">
        <f t="shared" si="12"/>
        <v>CG00364</v>
      </c>
    </row>
    <row r="358" spans="1:11" x14ac:dyDescent="0.3">
      <c r="A358" s="298" t="s">
        <v>1486</v>
      </c>
      <c r="B358" s="298" t="s">
        <v>1487</v>
      </c>
      <c r="C358" s="298" t="s">
        <v>1488</v>
      </c>
      <c r="D358" s="298" t="s">
        <v>256</v>
      </c>
      <c r="E358" s="298"/>
      <c r="F358" s="298" t="s">
        <v>1489</v>
      </c>
      <c r="G358" s="299" t="b">
        <v>0</v>
      </c>
      <c r="H358" s="299" t="b">
        <v>0</v>
      </c>
      <c r="J358" s="113" t="str">
        <f t="shared" si="11"/>
        <v>915513368</v>
      </c>
      <c r="K358" s="113" t="str">
        <f t="shared" si="12"/>
        <v>CG00365</v>
      </c>
    </row>
    <row r="359" spans="1:11" x14ac:dyDescent="0.3">
      <c r="A359" s="298" t="s">
        <v>1490</v>
      </c>
      <c r="B359" s="298" t="s">
        <v>1491</v>
      </c>
      <c r="C359" s="298" t="s">
        <v>1492</v>
      </c>
      <c r="D359" s="298" t="s">
        <v>256</v>
      </c>
      <c r="E359" s="298" t="s">
        <v>1493</v>
      </c>
      <c r="F359" s="298" t="s">
        <v>1494</v>
      </c>
      <c r="G359" s="299" t="b">
        <v>0</v>
      </c>
      <c r="H359" s="299" t="b">
        <v>0</v>
      </c>
      <c r="J359" s="113" t="str">
        <f t="shared" si="11"/>
        <v>944029095</v>
      </c>
      <c r="K359" s="113" t="str">
        <f t="shared" si="12"/>
        <v>CG00366</v>
      </c>
    </row>
    <row r="360" spans="1:11" x14ac:dyDescent="0.3">
      <c r="A360" s="298" t="s">
        <v>1495</v>
      </c>
      <c r="B360" s="298" t="s">
        <v>1496</v>
      </c>
      <c r="C360" s="298" t="s">
        <v>1497</v>
      </c>
      <c r="D360" s="298" t="s">
        <v>256</v>
      </c>
      <c r="E360" s="298"/>
      <c r="F360" s="298" t="s">
        <v>1498</v>
      </c>
      <c r="G360" s="299" t="b">
        <v>0</v>
      </c>
      <c r="H360" s="299" t="b">
        <v>0</v>
      </c>
      <c r="J360" s="113" t="str">
        <f t="shared" si="11"/>
        <v>975859868</v>
      </c>
      <c r="K360" s="113" t="str">
        <f t="shared" si="12"/>
        <v>CG00367</v>
      </c>
    </row>
    <row r="361" spans="1:11" x14ac:dyDescent="0.3">
      <c r="A361" s="298" t="s">
        <v>1499</v>
      </c>
      <c r="B361" s="298" t="s">
        <v>1500</v>
      </c>
      <c r="C361" s="298" t="s">
        <v>1247</v>
      </c>
      <c r="D361" s="298" t="s">
        <v>256</v>
      </c>
      <c r="E361" s="298"/>
      <c r="F361" s="298" t="s">
        <v>1501</v>
      </c>
      <c r="G361" s="299" t="b">
        <v>0</v>
      </c>
      <c r="H361" s="299" t="b">
        <v>0</v>
      </c>
      <c r="J361" s="113" t="str">
        <f t="shared" si="11"/>
        <v>912291861</v>
      </c>
      <c r="K361" s="113" t="str">
        <f t="shared" si="12"/>
        <v>CG00368</v>
      </c>
    </row>
    <row r="362" spans="1:11" x14ac:dyDescent="0.3">
      <c r="A362" s="298" t="s">
        <v>1502</v>
      </c>
      <c r="B362" s="298" t="s">
        <v>1503</v>
      </c>
      <c r="C362" s="298" t="s">
        <v>1504</v>
      </c>
      <c r="D362" s="298" t="s">
        <v>256</v>
      </c>
      <c r="E362" s="298"/>
      <c r="F362" s="298" t="s">
        <v>1505</v>
      </c>
      <c r="G362" s="299" t="b">
        <v>0</v>
      </c>
      <c r="H362" s="299" t="b">
        <v>0</v>
      </c>
      <c r="J362" s="113" t="str">
        <f t="shared" si="11"/>
        <v>982342637</v>
      </c>
      <c r="K362" s="113" t="str">
        <f t="shared" si="12"/>
        <v>CG00369</v>
      </c>
    </row>
    <row r="363" spans="1:11" x14ac:dyDescent="0.3">
      <c r="A363" s="298" t="s">
        <v>1506</v>
      </c>
      <c r="B363" s="298" t="s">
        <v>1507</v>
      </c>
      <c r="C363" s="298" t="s">
        <v>1508</v>
      </c>
      <c r="D363" s="298" t="s">
        <v>256</v>
      </c>
      <c r="E363" s="298"/>
      <c r="F363" s="298" t="s">
        <v>1509</v>
      </c>
      <c r="G363" s="299" t="b">
        <v>0</v>
      </c>
      <c r="H363" s="299" t="b">
        <v>0</v>
      </c>
      <c r="J363" s="113" t="str">
        <f t="shared" si="11"/>
        <v>918931266</v>
      </c>
      <c r="K363" s="113" t="str">
        <f t="shared" si="12"/>
        <v>CG00370</v>
      </c>
    </row>
    <row r="364" spans="1:11" x14ac:dyDescent="0.3">
      <c r="A364" s="298" t="s">
        <v>1510</v>
      </c>
      <c r="B364" s="298" t="s">
        <v>1511</v>
      </c>
      <c r="C364" s="298" t="s">
        <v>416</v>
      </c>
      <c r="D364" s="298" t="s">
        <v>256</v>
      </c>
      <c r="E364" s="298"/>
      <c r="F364" s="298" t="s">
        <v>1512</v>
      </c>
      <c r="G364" s="299" t="b">
        <v>0</v>
      </c>
      <c r="H364" s="299" t="b">
        <v>0</v>
      </c>
      <c r="J364" s="113" t="str">
        <f t="shared" si="11"/>
        <v>903265455</v>
      </c>
      <c r="K364" s="113" t="str">
        <f t="shared" si="12"/>
        <v>CG00371</v>
      </c>
    </row>
    <row r="365" spans="1:11" x14ac:dyDescent="0.3">
      <c r="A365" s="298" t="s">
        <v>1513</v>
      </c>
      <c r="B365" s="298" t="s">
        <v>1514</v>
      </c>
      <c r="C365" s="298" t="s">
        <v>312</v>
      </c>
      <c r="D365" s="298" t="s">
        <v>256</v>
      </c>
      <c r="E365" s="298"/>
      <c r="F365" s="298" t="s">
        <v>1515</v>
      </c>
      <c r="G365" s="299" t="b">
        <v>0</v>
      </c>
      <c r="H365" s="299" t="b">
        <v>0</v>
      </c>
      <c r="J365" s="113" t="str">
        <f t="shared" si="11"/>
        <v>915606406</v>
      </c>
      <c r="K365" s="113" t="str">
        <f t="shared" si="12"/>
        <v>CG00372</v>
      </c>
    </row>
    <row r="366" spans="1:11" x14ac:dyDescent="0.3">
      <c r="A366" s="298" t="s">
        <v>1516</v>
      </c>
      <c r="B366" s="298" t="s">
        <v>1517</v>
      </c>
      <c r="C366" s="298" t="s">
        <v>375</v>
      </c>
      <c r="D366" s="298" t="s">
        <v>256</v>
      </c>
      <c r="E366" s="298"/>
      <c r="F366" s="298" t="s">
        <v>1518</v>
      </c>
      <c r="G366" s="299" t="b">
        <v>0</v>
      </c>
      <c r="H366" s="299" t="b">
        <v>0</v>
      </c>
      <c r="J366" s="113" t="str">
        <f t="shared" si="11"/>
        <v>912133994</v>
      </c>
      <c r="K366" s="113" t="str">
        <f t="shared" si="12"/>
        <v>CG00373</v>
      </c>
    </row>
    <row r="367" spans="1:11" x14ac:dyDescent="0.3">
      <c r="A367" s="298" t="s">
        <v>1519</v>
      </c>
      <c r="B367" s="298" t="s">
        <v>1520</v>
      </c>
      <c r="C367" s="298" t="s">
        <v>1508</v>
      </c>
      <c r="D367" s="298" t="s">
        <v>256</v>
      </c>
      <c r="E367" s="298"/>
      <c r="F367" s="298" t="s">
        <v>1521</v>
      </c>
      <c r="G367" s="299" t="b">
        <v>0</v>
      </c>
      <c r="H367" s="299" t="b">
        <v>0</v>
      </c>
      <c r="J367" s="113" t="str">
        <f t="shared" si="11"/>
        <v>913652268</v>
      </c>
      <c r="K367" s="113" t="str">
        <f t="shared" si="12"/>
        <v>CG00374</v>
      </c>
    </row>
    <row r="368" spans="1:11" x14ac:dyDescent="0.3">
      <c r="A368" s="298" t="s">
        <v>1522</v>
      </c>
      <c r="B368" s="298" t="s">
        <v>1523</v>
      </c>
      <c r="C368" s="298" t="s">
        <v>1524</v>
      </c>
      <c r="D368" s="298" t="s">
        <v>256</v>
      </c>
      <c r="E368" s="298"/>
      <c r="F368" s="298" t="s">
        <v>1525</v>
      </c>
      <c r="G368" s="299" t="b">
        <v>0</v>
      </c>
      <c r="H368" s="299" t="b">
        <v>0</v>
      </c>
      <c r="J368" s="113" t="str">
        <f t="shared" si="11"/>
        <v>914283941</v>
      </c>
      <c r="K368" s="113" t="str">
        <f t="shared" si="12"/>
        <v>CG00375</v>
      </c>
    </row>
    <row r="369" spans="1:11" x14ac:dyDescent="0.3">
      <c r="A369" s="298" t="s">
        <v>1526</v>
      </c>
      <c r="B369" s="298" t="s">
        <v>1527</v>
      </c>
      <c r="C369" s="298" t="s">
        <v>809</v>
      </c>
      <c r="D369" s="298" t="s">
        <v>256</v>
      </c>
      <c r="E369" s="298"/>
      <c r="F369" s="298" t="s">
        <v>1528</v>
      </c>
      <c r="G369" s="299" t="b">
        <v>0</v>
      </c>
      <c r="H369" s="299" t="b">
        <v>0</v>
      </c>
      <c r="J369" s="113" t="str">
        <f t="shared" si="11"/>
        <v>332461888</v>
      </c>
      <c r="K369" s="113" t="str">
        <f t="shared" si="12"/>
        <v>CG00377</v>
      </c>
    </row>
    <row r="370" spans="1:11" x14ac:dyDescent="0.3">
      <c r="A370" s="298" t="s">
        <v>1529</v>
      </c>
      <c r="B370" s="298" t="s">
        <v>1530</v>
      </c>
      <c r="C370" s="298" t="s">
        <v>286</v>
      </c>
      <c r="D370" s="298" t="s">
        <v>256</v>
      </c>
      <c r="E370" s="298"/>
      <c r="F370" s="298" t="s">
        <v>1531</v>
      </c>
      <c r="G370" s="299" t="b">
        <v>0</v>
      </c>
      <c r="H370" s="299" t="b">
        <v>0</v>
      </c>
      <c r="J370" s="113" t="str">
        <f t="shared" si="11"/>
        <v>942091979</v>
      </c>
      <c r="K370" s="113" t="str">
        <f t="shared" si="12"/>
        <v>CG00378</v>
      </c>
    </row>
    <row r="371" spans="1:11" x14ac:dyDescent="0.3">
      <c r="A371" s="298" t="s">
        <v>1532</v>
      </c>
      <c r="B371" s="298" t="s">
        <v>1533</v>
      </c>
      <c r="C371" s="298" t="s">
        <v>317</v>
      </c>
      <c r="D371" s="298" t="s">
        <v>256</v>
      </c>
      <c r="E371" s="298"/>
      <c r="F371" s="298" t="s">
        <v>1534</v>
      </c>
      <c r="G371" s="299" t="b">
        <v>0</v>
      </c>
      <c r="H371" s="299" t="b">
        <v>0</v>
      </c>
      <c r="J371" s="113" t="str">
        <f t="shared" si="11"/>
        <v>942039999</v>
      </c>
      <c r="K371" s="113" t="str">
        <f t="shared" si="12"/>
        <v>CG00380</v>
      </c>
    </row>
    <row r="372" spans="1:11" x14ac:dyDescent="0.3">
      <c r="A372" s="298" t="s">
        <v>1535</v>
      </c>
      <c r="B372" s="298" t="s">
        <v>1536</v>
      </c>
      <c r="C372" s="298" t="s">
        <v>286</v>
      </c>
      <c r="D372" s="298" t="s">
        <v>256</v>
      </c>
      <c r="E372" s="298"/>
      <c r="F372" s="298" t="s">
        <v>1537</v>
      </c>
      <c r="G372" s="299" t="b">
        <v>0</v>
      </c>
      <c r="H372" s="299" t="b">
        <v>0</v>
      </c>
      <c r="J372" s="113" t="str">
        <f t="shared" si="11"/>
        <v>982346698</v>
      </c>
      <c r="K372" s="113" t="str">
        <f t="shared" si="12"/>
        <v>CG00381</v>
      </c>
    </row>
    <row r="373" spans="1:11" x14ac:dyDescent="0.3">
      <c r="A373" s="298" t="s">
        <v>1538</v>
      </c>
      <c r="B373" s="298" t="s">
        <v>1539</v>
      </c>
      <c r="C373" s="298" t="s">
        <v>1540</v>
      </c>
      <c r="D373" s="298" t="s">
        <v>256</v>
      </c>
      <c r="E373" s="298"/>
      <c r="F373" s="298" t="s">
        <v>1541</v>
      </c>
      <c r="G373" s="299" t="b">
        <v>0</v>
      </c>
      <c r="H373" s="299" t="b">
        <v>0</v>
      </c>
      <c r="J373" s="113" t="str">
        <f t="shared" si="11"/>
        <v>915663668</v>
      </c>
      <c r="K373" s="113" t="str">
        <f t="shared" si="12"/>
        <v>CG00382</v>
      </c>
    </row>
    <row r="374" spans="1:11" x14ac:dyDescent="0.3">
      <c r="A374" s="298" t="s">
        <v>1542</v>
      </c>
      <c r="B374" s="298" t="s">
        <v>1543</v>
      </c>
      <c r="C374" s="298" t="s">
        <v>1544</v>
      </c>
      <c r="D374" s="298" t="s">
        <v>256</v>
      </c>
      <c r="E374" s="298" t="s">
        <v>1545</v>
      </c>
      <c r="F374" s="298" t="s">
        <v>1546</v>
      </c>
      <c r="G374" s="299" t="b">
        <v>0</v>
      </c>
      <c r="H374" s="299" t="b">
        <v>0</v>
      </c>
      <c r="J374" s="113" t="str">
        <f t="shared" si="11"/>
        <v>903441244</v>
      </c>
      <c r="K374" s="113" t="str">
        <f t="shared" si="12"/>
        <v>CG00383</v>
      </c>
    </row>
    <row r="375" spans="1:11" x14ac:dyDescent="0.3">
      <c r="A375" s="298" t="s">
        <v>1547</v>
      </c>
      <c r="B375" s="298" t="s">
        <v>1548</v>
      </c>
      <c r="C375" s="298" t="s">
        <v>1247</v>
      </c>
      <c r="D375" s="298" t="s">
        <v>256</v>
      </c>
      <c r="E375" s="298"/>
      <c r="F375" s="298" t="s">
        <v>1549</v>
      </c>
      <c r="G375" s="299" t="b">
        <v>0</v>
      </c>
      <c r="H375" s="299" t="b">
        <v>0</v>
      </c>
      <c r="J375" s="113" t="str">
        <f t="shared" si="11"/>
        <v>902161064</v>
      </c>
      <c r="K375" s="113" t="str">
        <f t="shared" si="12"/>
        <v>CG00384</v>
      </c>
    </row>
    <row r="376" spans="1:11" x14ac:dyDescent="0.3">
      <c r="A376" s="298" t="s">
        <v>1550</v>
      </c>
      <c r="B376" s="298" t="s">
        <v>1551</v>
      </c>
      <c r="C376" s="298" t="s">
        <v>1552</v>
      </c>
      <c r="D376" s="298" t="s">
        <v>256</v>
      </c>
      <c r="E376" s="298"/>
      <c r="F376" s="298" t="s">
        <v>1553</v>
      </c>
      <c r="G376" s="299" t="b">
        <v>0</v>
      </c>
      <c r="H376" s="299" t="b">
        <v>0</v>
      </c>
      <c r="J376" s="113" t="str">
        <f t="shared" si="11"/>
        <v>916565979</v>
      </c>
      <c r="K376" s="113" t="str">
        <f t="shared" si="12"/>
        <v>CG00385</v>
      </c>
    </row>
    <row r="377" spans="1:11" x14ac:dyDescent="0.3">
      <c r="A377" s="298" t="s">
        <v>1554</v>
      </c>
      <c r="B377" s="298" t="s">
        <v>1555</v>
      </c>
      <c r="C377" s="298" t="s">
        <v>1556</v>
      </c>
      <c r="D377" s="298" t="s">
        <v>256</v>
      </c>
      <c r="E377" s="298" t="s">
        <v>1557</v>
      </c>
      <c r="F377" s="298" t="s">
        <v>1558</v>
      </c>
      <c r="G377" s="299" t="b">
        <v>0</v>
      </c>
      <c r="H377" s="299" t="b">
        <v>0</v>
      </c>
      <c r="J377" s="113" t="str">
        <f t="shared" si="11"/>
        <v>903838295</v>
      </c>
      <c r="K377" s="113" t="str">
        <f t="shared" si="12"/>
        <v>CG00386</v>
      </c>
    </row>
    <row r="378" spans="1:11" x14ac:dyDescent="0.3">
      <c r="A378" s="298" t="s">
        <v>1559</v>
      </c>
      <c r="B378" s="298" t="s">
        <v>1560</v>
      </c>
      <c r="C378" s="298" t="s">
        <v>1561</v>
      </c>
      <c r="D378" s="298" t="s">
        <v>256</v>
      </c>
      <c r="E378" s="298"/>
      <c r="F378" s="298" t="s">
        <v>1562</v>
      </c>
      <c r="G378" s="299" t="b">
        <v>0</v>
      </c>
      <c r="H378" s="299" t="b">
        <v>0</v>
      </c>
      <c r="J378" s="113" t="str">
        <f t="shared" si="11"/>
        <v>932380806</v>
      </c>
      <c r="K378" s="113" t="str">
        <f t="shared" si="12"/>
        <v>CG00387</v>
      </c>
    </row>
    <row r="379" spans="1:11" x14ac:dyDescent="0.3">
      <c r="A379" s="298" t="s">
        <v>1563</v>
      </c>
      <c r="B379" s="298" t="s">
        <v>1564</v>
      </c>
      <c r="C379" s="298" t="s">
        <v>292</v>
      </c>
      <c r="D379" s="298" t="s">
        <v>256</v>
      </c>
      <c r="E379" s="298"/>
      <c r="F379" s="298" t="s">
        <v>1565</v>
      </c>
      <c r="G379" s="299" t="b">
        <v>0</v>
      </c>
      <c r="H379" s="299" t="b">
        <v>0</v>
      </c>
      <c r="J379" s="113" t="str">
        <f t="shared" si="11"/>
        <v>906169246</v>
      </c>
      <c r="K379" s="113" t="str">
        <f t="shared" si="12"/>
        <v>CG00388</v>
      </c>
    </row>
    <row r="380" spans="1:11" x14ac:dyDescent="0.3">
      <c r="A380" s="298" t="s">
        <v>1566</v>
      </c>
      <c r="B380" s="298" t="s">
        <v>1567</v>
      </c>
      <c r="C380" s="298" t="s">
        <v>322</v>
      </c>
      <c r="D380" s="298" t="s">
        <v>256</v>
      </c>
      <c r="E380" s="298"/>
      <c r="F380" s="298" t="s">
        <v>1568</v>
      </c>
      <c r="G380" s="299" t="b">
        <v>0</v>
      </c>
      <c r="H380" s="299" t="b">
        <v>0</v>
      </c>
      <c r="J380" s="113" t="str">
        <f t="shared" si="11"/>
        <v>914860035</v>
      </c>
      <c r="K380" s="113" t="str">
        <f t="shared" si="12"/>
        <v>CG00389</v>
      </c>
    </row>
    <row r="381" spans="1:11" x14ac:dyDescent="0.3">
      <c r="A381" s="298" t="s">
        <v>1569</v>
      </c>
      <c r="B381" s="298" t="s">
        <v>1570</v>
      </c>
      <c r="C381" s="298" t="s">
        <v>1571</v>
      </c>
      <c r="D381" s="298" t="s">
        <v>256</v>
      </c>
      <c r="E381" s="298"/>
      <c r="F381" s="298" t="s">
        <v>1572</v>
      </c>
      <c r="G381" s="299" t="b">
        <v>0</v>
      </c>
      <c r="H381" s="299" t="b">
        <v>0</v>
      </c>
      <c r="J381" s="113" t="str">
        <f t="shared" si="11"/>
        <v>984905939</v>
      </c>
      <c r="K381" s="113" t="str">
        <f t="shared" si="12"/>
        <v>CG00390</v>
      </c>
    </row>
    <row r="382" spans="1:11" x14ac:dyDescent="0.3">
      <c r="A382" s="298" t="s">
        <v>1573</v>
      </c>
      <c r="B382" s="298" t="s">
        <v>1574</v>
      </c>
      <c r="C382" s="298" t="s">
        <v>1575</v>
      </c>
      <c r="D382" s="298" t="s">
        <v>256</v>
      </c>
      <c r="E382" s="298"/>
      <c r="F382" s="298" t="s">
        <v>1576</v>
      </c>
      <c r="G382" s="299" t="b">
        <v>0</v>
      </c>
      <c r="H382" s="299" t="b">
        <v>0</v>
      </c>
      <c r="J382" s="113" t="str">
        <f t="shared" si="11"/>
        <v>983582837</v>
      </c>
      <c r="K382" s="113" t="str">
        <f t="shared" si="12"/>
        <v>CG00391</v>
      </c>
    </row>
    <row r="383" spans="1:11" x14ac:dyDescent="0.3">
      <c r="A383" s="298" t="s">
        <v>1577</v>
      </c>
      <c r="B383" s="298" t="s">
        <v>1578</v>
      </c>
      <c r="C383" s="298" t="s">
        <v>1579</v>
      </c>
      <c r="D383" s="298" t="s">
        <v>256</v>
      </c>
      <c r="E383" s="298"/>
      <c r="F383" s="298" t="s">
        <v>1580</v>
      </c>
      <c r="G383" s="299" t="b">
        <v>0</v>
      </c>
      <c r="H383" s="299" t="b">
        <v>0</v>
      </c>
      <c r="J383" s="113" t="str">
        <f t="shared" si="11"/>
        <v>912386999</v>
      </c>
      <c r="K383" s="113" t="str">
        <f t="shared" si="12"/>
        <v>CG00393</v>
      </c>
    </row>
    <row r="384" spans="1:11" x14ac:dyDescent="0.3">
      <c r="A384" s="298" t="s">
        <v>1581</v>
      </c>
      <c r="B384" s="298" t="s">
        <v>1582</v>
      </c>
      <c r="C384" s="298" t="s">
        <v>1583</v>
      </c>
      <c r="D384" s="298" t="s">
        <v>256</v>
      </c>
      <c r="E384" s="298"/>
      <c r="F384" s="298" t="s">
        <v>1584</v>
      </c>
      <c r="G384" s="299" t="b">
        <v>0</v>
      </c>
      <c r="H384" s="299" t="b">
        <v>0</v>
      </c>
      <c r="J384" s="113" t="str">
        <f t="shared" si="11"/>
        <v>983129799</v>
      </c>
      <c r="K384" s="113" t="str">
        <f t="shared" si="12"/>
        <v>CG00394</v>
      </c>
    </row>
    <row r="385" spans="1:11" x14ac:dyDescent="0.3">
      <c r="A385" s="298" t="s">
        <v>1585</v>
      </c>
      <c r="B385" s="298" t="s">
        <v>1586</v>
      </c>
      <c r="C385" s="298" t="s">
        <v>1587</v>
      </c>
      <c r="D385" s="298" t="s">
        <v>256</v>
      </c>
      <c r="E385" s="298"/>
      <c r="F385" s="298" t="s">
        <v>1588</v>
      </c>
      <c r="G385" s="299" t="b">
        <v>0</v>
      </c>
      <c r="H385" s="299" t="b">
        <v>0</v>
      </c>
      <c r="J385" s="113" t="str">
        <f t="shared" si="11"/>
        <v>914849997</v>
      </c>
      <c r="K385" s="113" t="str">
        <f t="shared" si="12"/>
        <v>CG00395</v>
      </c>
    </row>
    <row r="386" spans="1:11" x14ac:dyDescent="0.3">
      <c r="A386" s="298" t="s">
        <v>1589</v>
      </c>
      <c r="B386" s="298" t="s">
        <v>1590</v>
      </c>
      <c r="C386" s="298" t="s">
        <v>292</v>
      </c>
      <c r="D386" s="298" t="s">
        <v>256</v>
      </c>
      <c r="E386" s="298"/>
      <c r="F386" s="298" t="s">
        <v>1591</v>
      </c>
      <c r="G386" s="299" t="b">
        <v>0</v>
      </c>
      <c r="H386" s="299" t="b">
        <v>0</v>
      </c>
      <c r="J386" s="113" t="str">
        <f t="shared" si="11"/>
        <v>912237629</v>
      </c>
      <c r="K386" s="113" t="str">
        <f t="shared" si="12"/>
        <v>CG00396</v>
      </c>
    </row>
    <row r="387" spans="1:11" x14ac:dyDescent="0.3">
      <c r="A387" s="298" t="s">
        <v>1592</v>
      </c>
      <c r="B387" s="298" t="s">
        <v>1593</v>
      </c>
      <c r="C387" s="298" t="s">
        <v>305</v>
      </c>
      <c r="D387" s="298" t="s">
        <v>256</v>
      </c>
      <c r="E387" s="298"/>
      <c r="F387" s="298" t="s">
        <v>1594</v>
      </c>
      <c r="G387" s="299" t="b">
        <v>0</v>
      </c>
      <c r="H387" s="299" t="b">
        <v>0</v>
      </c>
      <c r="J387" s="113" t="str">
        <f t="shared" si="11"/>
        <v>988353999</v>
      </c>
      <c r="K387" s="113" t="str">
        <f t="shared" si="12"/>
        <v>CG00397</v>
      </c>
    </row>
    <row r="388" spans="1:11" x14ac:dyDescent="0.3">
      <c r="A388" s="298" t="s">
        <v>1595</v>
      </c>
      <c r="B388" s="298" t="s">
        <v>1596</v>
      </c>
      <c r="C388" s="298" t="s">
        <v>1597</v>
      </c>
      <c r="D388" s="298" t="s">
        <v>256</v>
      </c>
      <c r="E388" s="298" t="s">
        <v>1598</v>
      </c>
      <c r="F388" s="298" t="s">
        <v>1599</v>
      </c>
      <c r="G388" s="299" t="b">
        <v>0</v>
      </c>
      <c r="H388" s="299" t="b">
        <v>0</v>
      </c>
      <c r="J388" s="113" t="str">
        <f t="shared" si="11"/>
        <v>914211650</v>
      </c>
      <c r="K388" s="113" t="str">
        <f t="shared" si="12"/>
        <v>CG00398</v>
      </c>
    </row>
    <row r="389" spans="1:11" x14ac:dyDescent="0.3">
      <c r="A389" s="298" t="s">
        <v>1600</v>
      </c>
      <c r="B389" s="298" t="s">
        <v>1601</v>
      </c>
      <c r="C389" s="298" t="s">
        <v>1602</v>
      </c>
      <c r="D389" s="298" t="s">
        <v>256</v>
      </c>
      <c r="E389" s="298" t="s">
        <v>1603</v>
      </c>
      <c r="F389" s="298" t="s">
        <v>1604</v>
      </c>
      <c r="G389" s="299" t="b">
        <v>0</v>
      </c>
      <c r="H389" s="299" t="b">
        <v>0</v>
      </c>
      <c r="J389" s="113" t="str">
        <f t="shared" ref="J389:J452" si="13">RIGHT(B389,9)</f>
        <v>977504888</v>
      </c>
      <c r="K389" s="113" t="str">
        <f t="shared" ref="K389:K452" si="14">A389</f>
        <v>CG00400</v>
      </c>
    </row>
    <row r="390" spans="1:11" x14ac:dyDescent="0.3">
      <c r="A390" s="298" t="s">
        <v>1605</v>
      </c>
      <c r="B390" s="298" t="s">
        <v>1606</v>
      </c>
      <c r="C390" s="298" t="s">
        <v>1607</v>
      </c>
      <c r="D390" s="298" t="s">
        <v>256</v>
      </c>
      <c r="E390" s="298" t="s">
        <v>1608</v>
      </c>
      <c r="F390" s="298" t="s">
        <v>1609</v>
      </c>
      <c r="G390" s="299" t="b">
        <v>0</v>
      </c>
      <c r="H390" s="299" t="b">
        <v>0</v>
      </c>
      <c r="J390" s="113" t="str">
        <f t="shared" si="13"/>
        <v>912582057</v>
      </c>
      <c r="K390" s="113" t="str">
        <f t="shared" si="14"/>
        <v>CG00401</v>
      </c>
    </row>
    <row r="391" spans="1:11" x14ac:dyDescent="0.3">
      <c r="A391" s="298" t="s">
        <v>1610</v>
      </c>
      <c r="B391" s="298" t="s">
        <v>1611</v>
      </c>
      <c r="C391" s="298" t="s">
        <v>993</v>
      </c>
      <c r="D391" s="298" t="s">
        <v>256</v>
      </c>
      <c r="E391" s="298"/>
      <c r="F391" s="298" t="s">
        <v>1612</v>
      </c>
      <c r="G391" s="299" t="b">
        <v>0</v>
      </c>
      <c r="H391" s="299" t="b">
        <v>0</v>
      </c>
      <c r="J391" s="113" t="str">
        <f t="shared" si="13"/>
        <v>365019926</v>
      </c>
      <c r="K391" s="113" t="str">
        <f t="shared" si="14"/>
        <v>CG00402</v>
      </c>
    </row>
    <row r="392" spans="1:11" x14ac:dyDescent="0.3">
      <c r="A392" s="298" t="s">
        <v>1613</v>
      </c>
      <c r="B392" s="298" t="s">
        <v>1614</v>
      </c>
      <c r="C392" s="298" t="s">
        <v>1615</v>
      </c>
      <c r="D392" s="298" t="s">
        <v>256</v>
      </c>
      <c r="E392" s="298"/>
      <c r="F392" s="298" t="s">
        <v>1616</v>
      </c>
      <c r="G392" s="299" t="b">
        <v>0</v>
      </c>
      <c r="H392" s="299" t="b">
        <v>0</v>
      </c>
      <c r="J392" s="113" t="str">
        <f t="shared" si="13"/>
        <v>978078917</v>
      </c>
      <c r="K392" s="113" t="str">
        <f t="shared" si="14"/>
        <v>CG00403</v>
      </c>
    </row>
    <row r="393" spans="1:11" x14ac:dyDescent="0.3">
      <c r="A393" s="298" t="s">
        <v>1617</v>
      </c>
      <c r="B393" s="298" t="s">
        <v>1618</v>
      </c>
      <c r="C393" s="298" t="s">
        <v>500</v>
      </c>
      <c r="D393" s="298" t="s">
        <v>256</v>
      </c>
      <c r="E393" s="298"/>
      <c r="F393" s="298" t="s">
        <v>1619</v>
      </c>
      <c r="G393" s="299" t="b">
        <v>0</v>
      </c>
      <c r="H393" s="299" t="b">
        <v>0</v>
      </c>
      <c r="J393" s="113" t="str">
        <f t="shared" si="13"/>
        <v>983439662</v>
      </c>
      <c r="K393" s="113" t="str">
        <f t="shared" si="14"/>
        <v>CG00404</v>
      </c>
    </row>
    <row r="394" spans="1:11" x14ac:dyDescent="0.3">
      <c r="A394" s="298" t="s">
        <v>1620</v>
      </c>
      <c r="B394" s="298" t="s">
        <v>1621</v>
      </c>
      <c r="C394" s="298" t="s">
        <v>352</v>
      </c>
      <c r="D394" s="298" t="s">
        <v>256</v>
      </c>
      <c r="E394" s="298"/>
      <c r="F394" s="298" t="s">
        <v>1622</v>
      </c>
      <c r="G394" s="299" t="b">
        <v>0</v>
      </c>
      <c r="H394" s="299" t="b">
        <v>0</v>
      </c>
      <c r="J394" s="113" t="str">
        <f t="shared" si="13"/>
        <v>914799399</v>
      </c>
      <c r="K394" s="113" t="str">
        <f t="shared" si="14"/>
        <v>CG00405</v>
      </c>
    </row>
    <row r="395" spans="1:11" x14ac:dyDescent="0.3">
      <c r="A395" s="298" t="s">
        <v>1623</v>
      </c>
      <c r="B395" s="298" t="s">
        <v>1624</v>
      </c>
      <c r="C395" s="298" t="s">
        <v>1625</v>
      </c>
      <c r="D395" s="298" t="s">
        <v>256</v>
      </c>
      <c r="E395" s="298"/>
      <c r="F395" s="298" t="s">
        <v>1626</v>
      </c>
      <c r="G395" s="299" t="b">
        <v>0</v>
      </c>
      <c r="H395" s="299" t="b">
        <v>0</v>
      </c>
      <c r="J395" s="113" t="str">
        <f t="shared" si="13"/>
        <v>913972568</v>
      </c>
      <c r="K395" s="113" t="str">
        <f t="shared" si="14"/>
        <v>CG00406</v>
      </c>
    </row>
    <row r="396" spans="1:11" x14ac:dyDescent="0.3">
      <c r="A396" s="298" t="s">
        <v>1627</v>
      </c>
      <c r="B396" s="298" t="s">
        <v>1628</v>
      </c>
      <c r="C396" s="298" t="s">
        <v>1629</v>
      </c>
      <c r="D396" s="298" t="s">
        <v>256</v>
      </c>
      <c r="E396" s="298"/>
      <c r="F396" s="298" t="s">
        <v>1630</v>
      </c>
      <c r="G396" s="299" t="b">
        <v>0</v>
      </c>
      <c r="H396" s="299" t="b">
        <v>0</v>
      </c>
      <c r="J396" s="113" t="str">
        <f t="shared" si="13"/>
        <v>984479020</v>
      </c>
      <c r="K396" s="113" t="str">
        <f t="shared" si="14"/>
        <v>CG00407</v>
      </c>
    </row>
    <row r="397" spans="1:11" x14ac:dyDescent="0.3">
      <c r="A397" s="298" t="s">
        <v>1631</v>
      </c>
      <c r="B397" s="298" t="s">
        <v>1632</v>
      </c>
      <c r="C397" s="298" t="s">
        <v>1633</v>
      </c>
      <c r="D397" s="298" t="s">
        <v>256</v>
      </c>
      <c r="E397" s="298"/>
      <c r="F397" s="298" t="s">
        <v>1634</v>
      </c>
      <c r="G397" s="299" t="b">
        <v>0</v>
      </c>
      <c r="H397" s="299" t="b">
        <v>0</v>
      </c>
      <c r="J397" s="113" t="str">
        <f t="shared" si="13"/>
        <v>975770569</v>
      </c>
      <c r="K397" s="113" t="str">
        <f t="shared" si="14"/>
        <v>CG00408</v>
      </c>
    </row>
    <row r="398" spans="1:11" x14ac:dyDescent="0.3">
      <c r="A398" s="298" t="s">
        <v>1635</v>
      </c>
      <c r="B398" s="298" t="s">
        <v>1636</v>
      </c>
      <c r="C398" s="298" t="s">
        <v>625</v>
      </c>
      <c r="D398" s="298" t="s">
        <v>256</v>
      </c>
      <c r="E398" s="298"/>
      <c r="F398" s="298" t="s">
        <v>1637</v>
      </c>
      <c r="G398" s="299" t="b">
        <v>0</v>
      </c>
      <c r="H398" s="299" t="b">
        <v>0</v>
      </c>
      <c r="J398" s="113" t="str">
        <f t="shared" si="13"/>
        <v>385335557</v>
      </c>
      <c r="K398" s="113" t="str">
        <f t="shared" si="14"/>
        <v>CG00409</v>
      </c>
    </row>
    <row r="399" spans="1:11" x14ac:dyDescent="0.3">
      <c r="A399" s="298" t="s">
        <v>1638</v>
      </c>
      <c r="B399" s="298" t="s">
        <v>1639</v>
      </c>
      <c r="C399" s="298" t="s">
        <v>452</v>
      </c>
      <c r="D399" s="298" t="s">
        <v>256</v>
      </c>
      <c r="E399" s="298"/>
      <c r="F399" s="298" t="s">
        <v>1640</v>
      </c>
      <c r="G399" s="299" t="b">
        <v>0</v>
      </c>
      <c r="H399" s="299" t="b">
        <v>0</v>
      </c>
      <c r="J399" s="113" t="str">
        <f t="shared" si="13"/>
        <v>912846847</v>
      </c>
      <c r="K399" s="113" t="str">
        <f t="shared" si="14"/>
        <v>CG00410</v>
      </c>
    </row>
    <row r="400" spans="1:11" x14ac:dyDescent="0.3">
      <c r="A400" s="298" t="s">
        <v>1641</v>
      </c>
      <c r="B400" s="298" t="s">
        <v>1642</v>
      </c>
      <c r="C400" s="298" t="s">
        <v>1643</v>
      </c>
      <c r="D400" s="298" t="s">
        <v>256</v>
      </c>
      <c r="E400" s="298"/>
      <c r="F400" s="298" t="s">
        <v>1644</v>
      </c>
      <c r="G400" s="299" t="b">
        <v>0</v>
      </c>
      <c r="H400" s="299" t="b">
        <v>0</v>
      </c>
      <c r="J400" s="113" t="str">
        <f t="shared" si="13"/>
        <v>969070355</v>
      </c>
      <c r="K400" s="113" t="str">
        <f t="shared" si="14"/>
        <v>CG00411</v>
      </c>
    </row>
    <row r="401" spans="1:11" x14ac:dyDescent="0.3">
      <c r="A401" s="298" t="s">
        <v>1645</v>
      </c>
      <c r="B401" s="298" t="s">
        <v>1646</v>
      </c>
      <c r="C401" s="298" t="s">
        <v>1647</v>
      </c>
      <c r="D401" s="298" t="s">
        <v>256</v>
      </c>
      <c r="E401" s="298"/>
      <c r="F401" s="298" t="s">
        <v>1648</v>
      </c>
      <c r="G401" s="299" t="b">
        <v>0</v>
      </c>
      <c r="H401" s="299" t="b">
        <v>0</v>
      </c>
      <c r="J401" s="113" t="str">
        <f t="shared" si="13"/>
        <v>984569754</v>
      </c>
      <c r="K401" s="113" t="str">
        <f t="shared" si="14"/>
        <v>CG00412</v>
      </c>
    </row>
    <row r="402" spans="1:11" x14ac:dyDescent="0.3">
      <c r="A402" s="298" t="s">
        <v>1649</v>
      </c>
      <c r="B402" s="298" t="s">
        <v>1650</v>
      </c>
      <c r="C402" s="298" t="s">
        <v>1093</v>
      </c>
      <c r="D402" s="298" t="s">
        <v>256</v>
      </c>
      <c r="E402" s="298"/>
      <c r="F402" s="298" t="s">
        <v>1651</v>
      </c>
      <c r="G402" s="299" t="b">
        <v>0</v>
      </c>
      <c r="H402" s="299" t="b">
        <v>0</v>
      </c>
      <c r="J402" s="113" t="str">
        <f t="shared" si="13"/>
        <v>978599599</v>
      </c>
      <c r="K402" s="113" t="str">
        <f t="shared" si="14"/>
        <v>CG00413</v>
      </c>
    </row>
    <row r="403" spans="1:11" x14ac:dyDescent="0.3">
      <c r="A403" s="298" t="s">
        <v>1652</v>
      </c>
      <c r="B403" s="298" t="s">
        <v>1653</v>
      </c>
      <c r="C403" s="298" t="s">
        <v>1654</v>
      </c>
      <c r="D403" s="298" t="s">
        <v>256</v>
      </c>
      <c r="E403" s="298"/>
      <c r="F403" s="298" t="s">
        <v>1655</v>
      </c>
      <c r="G403" s="299" t="b">
        <v>0</v>
      </c>
      <c r="H403" s="299" t="b">
        <v>0</v>
      </c>
      <c r="J403" s="113" t="str">
        <f t="shared" si="13"/>
        <v>988888666</v>
      </c>
      <c r="K403" s="113" t="str">
        <f t="shared" si="14"/>
        <v>CG00414</v>
      </c>
    </row>
    <row r="404" spans="1:11" x14ac:dyDescent="0.3">
      <c r="A404" s="298" t="s">
        <v>1656</v>
      </c>
      <c r="B404" s="298" t="s">
        <v>1657</v>
      </c>
      <c r="C404" s="298" t="s">
        <v>1658</v>
      </c>
      <c r="D404" s="298" t="s">
        <v>256</v>
      </c>
      <c r="E404" s="298"/>
      <c r="F404" s="298" t="s">
        <v>1659</v>
      </c>
      <c r="G404" s="299" t="b">
        <v>0</v>
      </c>
      <c r="H404" s="299" t="b">
        <v>0</v>
      </c>
      <c r="J404" s="113" t="str">
        <f t="shared" si="13"/>
        <v>913214409</v>
      </c>
      <c r="K404" s="113" t="str">
        <f t="shared" si="14"/>
        <v>CG00415</v>
      </c>
    </row>
    <row r="405" spans="1:11" x14ac:dyDescent="0.3">
      <c r="A405" s="298" t="s">
        <v>1660</v>
      </c>
      <c r="B405" s="298" t="s">
        <v>1661</v>
      </c>
      <c r="C405" s="298" t="s">
        <v>1488</v>
      </c>
      <c r="D405" s="298" t="s">
        <v>256</v>
      </c>
      <c r="E405" s="298"/>
      <c r="F405" s="298" t="s">
        <v>1662</v>
      </c>
      <c r="G405" s="299" t="b">
        <v>0</v>
      </c>
      <c r="H405" s="299" t="b">
        <v>0</v>
      </c>
      <c r="J405" s="113" t="str">
        <f t="shared" si="13"/>
        <v>912838789</v>
      </c>
      <c r="K405" s="113" t="str">
        <f t="shared" si="14"/>
        <v>CG00416</v>
      </c>
    </row>
    <row r="406" spans="1:11" x14ac:dyDescent="0.3">
      <c r="A406" s="298" t="s">
        <v>1663</v>
      </c>
      <c r="B406" s="298" t="s">
        <v>1664</v>
      </c>
      <c r="C406" s="298" t="s">
        <v>495</v>
      </c>
      <c r="D406" s="298" t="s">
        <v>256</v>
      </c>
      <c r="E406" s="298"/>
      <c r="F406" s="298" t="s">
        <v>1665</v>
      </c>
      <c r="G406" s="299" t="b">
        <v>0</v>
      </c>
      <c r="H406" s="299" t="b">
        <v>0</v>
      </c>
      <c r="J406" s="113" t="str">
        <f t="shared" si="13"/>
        <v>396992689</v>
      </c>
      <c r="K406" s="113" t="str">
        <f t="shared" si="14"/>
        <v>CG00417</v>
      </c>
    </row>
    <row r="407" spans="1:11" x14ac:dyDescent="0.3">
      <c r="A407" s="298" t="s">
        <v>1666</v>
      </c>
      <c r="B407" s="298" t="s">
        <v>1667</v>
      </c>
      <c r="C407" s="298" t="s">
        <v>1658</v>
      </c>
      <c r="D407" s="298" t="s">
        <v>256</v>
      </c>
      <c r="E407" s="298"/>
      <c r="F407" s="298" t="s">
        <v>1668</v>
      </c>
      <c r="G407" s="299" t="b">
        <v>0</v>
      </c>
      <c r="H407" s="299" t="b">
        <v>0</v>
      </c>
      <c r="J407" s="113" t="str">
        <f t="shared" si="13"/>
        <v>972803978</v>
      </c>
      <c r="K407" s="113" t="str">
        <f t="shared" si="14"/>
        <v>CG00419</v>
      </c>
    </row>
    <row r="408" spans="1:11" x14ac:dyDescent="0.3">
      <c r="A408" s="298" t="s">
        <v>1669</v>
      </c>
      <c r="B408" s="298" t="s">
        <v>1670</v>
      </c>
      <c r="C408" s="298" t="s">
        <v>1671</v>
      </c>
      <c r="D408" s="298" t="s">
        <v>256</v>
      </c>
      <c r="E408" s="298"/>
      <c r="F408" s="298" t="s">
        <v>1672</v>
      </c>
      <c r="G408" s="299" t="b">
        <v>0</v>
      </c>
      <c r="H408" s="299" t="b">
        <v>0</v>
      </c>
      <c r="J408" s="113" t="str">
        <f t="shared" si="13"/>
        <v>974999768</v>
      </c>
      <c r="K408" s="113" t="str">
        <f t="shared" si="14"/>
        <v>CG00420</v>
      </c>
    </row>
    <row r="409" spans="1:11" x14ac:dyDescent="0.3">
      <c r="A409" s="298" t="s">
        <v>1673</v>
      </c>
      <c r="B409" s="298" t="s">
        <v>1674</v>
      </c>
      <c r="C409" s="298" t="s">
        <v>1675</v>
      </c>
      <c r="D409" s="298" t="s">
        <v>256</v>
      </c>
      <c r="E409" s="298"/>
      <c r="F409" s="298" t="s">
        <v>1676</v>
      </c>
      <c r="G409" s="299" t="b">
        <v>0</v>
      </c>
      <c r="H409" s="299" t="b">
        <v>0</v>
      </c>
      <c r="J409" s="113" t="str">
        <f t="shared" si="13"/>
        <v>972033039</v>
      </c>
      <c r="K409" s="113" t="str">
        <f t="shared" si="14"/>
        <v>CG00421</v>
      </c>
    </row>
    <row r="410" spans="1:11" x14ac:dyDescent="0.3">
      <c r="A410" s="298" t="s">
        <v>1677</v>
      </c>
      <c r="B410" s="298" t="s">
        <v>1678</v>
      </c>
      <c r="C410" s="298" t="s">
        <v>1451</v>
      </c>
      <c r="D410" s="298" t="s">
        <v>256</v>
      </c>
      <c r="E410" s="298"/>
      <c r="F410" s="298" t="s">
        <v>1679</v>
      </c>
      <c r="G410" s="299" t="b">
        <v>0</v>
      </c>
      <c r="H410" s="299" t="b">
        <v>0</v>
      </c>
      <c r="J410" s="113" t="str">
        <f t="shared" si="13"/>
        <v>906646899</v>
      </c>
      <c r="K410" s="113" t="str">
        <f t="shared" si="14"/>
        <v>CG00422</v>
      </c>
    </row>
    <row r="411" spans="1:11" x14ac:dyDescent="0.3">
      <c r="A411" s="298" t="s">
        <v>1680</v>
      </c>
      <c r="B411" s="298" t="s">
        <v>1681</v>
      </c>
      <c r="C411" s="298" t="s">
        <v>1682</v>
      </c>
      <c r="D411" s="298" t="s">
        <v>256</v>
      </c>
      <c r="E411" s="298"/>
      <c r="F411" s="298" t="s">
        <v>1683</v>
      </c>
      <c r="G411" s="299" t="b">
        <v>0</v>
      </c>
      <c r="H411" s="299" t="b">
        <v>0</v>
      </c>
      <c r="J411" s="113" t="str">
        <f t="shared" si="13"/>
        <v>985541241</v>
      </c>
      <c r="K411" s="113" t="str">
        <f t="shared" si="14"/>
        <v>CG00423</v>
      </c>
    </row>
    <row r="412" spans="1:11" x14ac:dyDescent="0.3">
      <c r="A412" s="298" t="s">
        <v>1684</v>
      </c>
      <c r="B412" s="298" t="s">
        <v>1685</v>
      </c>
      <c r="C412" s="298" t="s">
        <v>289</v>
      </c>
      <c r="D412" s="298" t="s">
        <v>256</v>
      </c>
      <c r="E412" s="298"/>
      <c r="F412" s="298" t="s">
        <v>1686</v>
      </c>
      <c r="G412" s="299" t="b">
        <v>0</v>
      </c>
      <c r="H412" s="299" t="b">
        <v>0</v>
      </c>
      <c r="J412" s="113" t="str">
        <f t="shared" si="13"/>
        <v>944588788</v>
      </c>
      <c r="K412" s="113" t="str">
        <f t="shared" si="14"/>
        <v>CG00424</v>
      </c>
    </row>
    <row r="413" spans="1:11" x14ac:dyDescent="0.3">
      <c r="A413" s="298" t="s">
        <v>1687</v>
      </c>
      <c r="B413" s="298" t="s">
        <v>1688</v>
      </c>
      <c r="C413" s="298" t="s">
        <v>510</v>
      </c>
      <c r="D413" s="298" t="s">
        <v>256</v>
      </c>
      <c r="E413" s="298" t="s">
        <v>1689</v>
      </c>
      <c r="F413" s="298" t="s">
        <v>1690</v>
      </c>
      <c r="G413" s="299" t="b">
        <v>0</v>
      </c>
      <c r="H413" s="299" t="b">
        <v>0</v>
      </c>
      <c r="J413" s="113" t="str">
        <f t="shared" si="13"/>
        <v>334644548</v>
      </c>
      <c r="K413" s="113" t="str">
        <f t="shared" si="14"/>
        <v>CG00425</v>
      </c>
    </row>
    <row r="414" spans="1:11" x14ac:dyDescent="0.3">
      <c r="A414" s="298" t="s">
        <v>1691</v>
      </c>
      <c r="B414" s="298" t="s">
        <v>1692</v>
      </c>
      <c r="C414" s="298" t="s">
        <v>452</v>
      </c>
      <c r="D414" s="298" t="s">
        <v>256</v>
      </c>
      <c r="E414" s="298"/>
      <c r="F414" s="298" t="s">
        <v>1693</v>
      </c>
      <c r="G414" s="299" t="b">
        <v>0</v>
      </c>
      <c r="H414" s="299" t="b">
        <v>0</v>
      </c>
      <c r="J414" s="113" t="str">
        <f t="shared" si="13"/>
        <v>936402648</v>
      </c>
      <c r="K414" s="113" t="str">
        <f t="shared" si="14"/>
        <v>CG00427</v>
      </c>
    </row>
    <row r="415" spans="1:11" x14ac:dyDescent="0.3">
      <c r="A415" s="298" t="s">
        <v>1694</v>
      </c>
      <c r="B415" s="298" t="s">
        <v>1695</v>
      </c>
      <c r="C415" s="298" t="s">
        <v>396</v>
      </c>
      <c r="D415" s="298" t="s">
        <v>256</v>
      </c>
      <c r="E415" s="298"/>
      <c r="F415" s="298" t="s">
        <v>1696</v>
      </c>
      <c r="G415" s="299" t="b">
        <v>0</v>
      </c>
      <c r="H415" s="299" t="b">
        <v>0</v>
      </c>
      <c r="J415" s="113" t="str">
        <f t="shared" si="13"/>
        <v>912548391</v>
      </c>
      <c r="K415" s="113" t="str">
        <f t="shared" si="14"/>
        <v>CG00428</v>
      </c>
    </row>
    <row r="416" spans="1:11" x14ac:dyDescent="0.3">
      <c r="A416" s="298" t="s">
        <v>1697</v>
      </c>
      <c r="B416" s="298" t="s">
        <v>1698</v>
      </c>
      <c r="C416" s="298" t="s">
        <v>884</v>
      </c>
      <c r="D416" s="298" t="s">
        <v>256</v>
      </c>
      <c r="E416" s="298"/>
      <c r="F416" s="298" t="s">
        <v>1699</v>
      </c>
      <c r="G416" s="299" t="b">
        <v>0</v>
      </c>
      <c r="H416" s="299" t="b">
        <v>0</v>
      </c>
      <c r="J416" s="113" t="str">
        <f t="shared" si="13"/>
        <v>912444599</v>
      </c>
      <c r="K416" s="113" t="str">
        <f t="shared" si="14"/>
        <v>CG00429</v>
      </c>
    </row>
    <row r="417" spans="1:11" x14ac:dyDescent="0.3">
      <c r="A417" s="298" t="s">
        <v>1700</v>
      </c>
      <c r="B417" s="298" t="s">
        <v>1701</v>
      </c>
      <c r="C417" s="298" t="s">
        <v>1488</v>
      </c>
      <c r="D417" s="298" t="s">
        <v>256</v>
      </c>
      <c r="E417" s="298"/>
      <c r="F417" s="298" t="s">
        <v>1702</v>
      </c>
      <c r="G417" s="299" t="b">
        <v>0</v>
      </c>
      <c r="H417" s="299" t="b">
        <v>0</v>
      </c>
      <c r="J417" s="113" t="str">
        <f t="shared" si="13"/>
        <v>975382668</v>
      </c>
      <c r="K417" s="113" t="str">
        <f t="shared" si="14"/>
        <v>CG00430</v>
      </c>
    </row>
    <row r="418" spans="1:11" x14ac:dyDescent="0.3">
      <c r="A418" s="298" t="s">
        <v>1703</v>
      </c>
      <c r="B418" s="298" t="s">
        <v>1704</v>
      </c>
      <c r="C418" s="298" t="s">
        <v>328</v>
      </c>
      <c r="D418" s="298" t="s">
        <v>256</v>
      </c>
      <c r="E418" s="298"/>
      <c r="F418" s="298" t="s">
        <v>1705</v>
      </c>
      <c r="G418" s="299" t="b">
        <v>0</v>
      </c>
      <c r="H418" s="299" t="b">
        <v>0</v>
      </c>
      <c r="J418" s="113" t="str">
        <f t="shared" si="13"/>
        <v>913516523</v>
      </c>
      <c r="K418" s="113" t="str">
        <f t="shared" si="14"/>
        <v>CG00431</v>
      </c>
    </row>
    <row r="419" spans="1:11" x14ac:dyDescent="0.3">
      <c r="A419" s="298" t="s">
        <v>1706</v>
      </c>
      <c r="B419" s="298" t="s">
        <v>1707</v>
      </c>
      <c r="C419" s="298" t="s">
        <v>1166</v>
      </c>
      <c r="D419" s="298" t="s">
        <v>256</v>
      </c>
      <c r="E419" s="298"/>
      <c r="F419" s="298" t="s">
        <v>1708</v>
      </c>
      <c r="G419" s="299" t="b">
        <v>0</v>
      </c>
      <c r="H419" s="299" t="b">
        <v>0</v>
      </c>
      <c r="J419" s="113" t="str">
        <f t="shared" si="13"/>
        <v>972517599</v>
      </c>
      <c r="K419" s="113" t="str">
        <f t="shared" si="14"/>
        <v>CG00432</v>
      </c>
    </row>
    <row r="420" spans="1:11" x14ac:dyDescent="0.3">
      <c r="A420" s="298" t="s">
        <v>1709</v>
      </c>
      <c r="B420" s="298" t="s">
        <v>1710</v>
      </c>
      <c r="C420" s="298" t="s">
        <v>1711</v>
      </c>
      <c r="D420" s="298" t="s">
        <v>256</v>
      </c>
      <c r="E420" s="298"/>
      <c r="F420" s="298" t="s">
        <v>1712</v>
      </c>
      <c r="G420" s="299" t="b">
        <v>0</v>
      </c>
      <c r="H420" s="299" t="b">
        <v>0</v>
      </c>
      <c r="J420" s="113" t="str">
        <f t="shared" si="13"/>
        <v>904626034</v>
      </c>
      <c r="K420" s="113" t="str">
        <f t="shared" si="14"/>
        <v>CG00434</v>
      </c>
    </row>
    <row r="421" spans="1:11" x14ac:dyDescent="0.3">
      <c r="A421" s="298" t="s">
        <v>1713</v>
      </c>
      <c r="B421" s="298" t="s">
        <v>1714</v>
      </c>
      <c r="C421" s="298" t="s">
        <v>432</v>
      </c>
      <c r="D421" s="298" t="s">
        <v>256</v>
      </c>
      <c r="E421" s="298"/>
      <c r="F421" s="298" t="s">
        <v>1715</v>
      </c>
      <c r="G421" s="299" t="b">
        <v>0</v>
      </c>
      <c r="H421" s="299" t="b">
        <v>0</v>
      </c>
      <c r="J421" s="113" t="str">
        <f t="shared" si="13"/>
        <v>986609946</v>
      </c>
      <c r="K421" s="113" t="str">
        <f t="shared" si="14"/>
        <v>CG00436</v>
      </c>
    </row>
    <row r="422" spans="1:11" x14ac:dyDescent="0.3">
      <c r="A422" s="298" t="s">
        <v>1716</v>
      </c>
      <c r="B422" s="298" t="s">
        <v>1717</v>
      </c>
      <c r="C422" s="298" t="s">
        <v>711</v>
      </c>
      <c r="D422" s="298" t="s">
        <v>256</v>
      </c>
      <c r="E422" s="298"/>
      <c r="F422" s="298" t="s">
        <v>1718</v>
      </c>
      <c r="G422" s="299" t="b">
        <v>0</v>
      </c>
      <c r="H422" s="299" t="b">
        <v>0</v>
      </c>
      <c r="J422" s="113" t="str">
        <f t="shared" si="13"/>
        <v>976600667</v>
      </c>
      <c r="K422" s="113" t="str">
        <f t="shared" si="14"/>
        <v>CG00437</v>
      </c>
    </row>
    <row r="423" spans="1:11" x14ac:dyDescent="0.3">
      <c r="A423" s="298" t="s">
        <v>1719</v>
      </c>
      <c r="B423" s="298" t="s">
        <v>1720</v>
      </c>
      <c r="C423" s="298" t="s">
        <v>816</v>
      </c>
      <c r="D423" s="298" t="s">
        <v>256</v>
      </c>
      <c r="E423" s="298"/>
      <c r="F423" s="298" t="s">
        <v>1721</v>
      </c>
      <c r="G423" s="299" t="b">
        <v>0</v>
      </c>
      <c r="H423" s="299" t="b">
        <v>0</v>
      </c>
      <c r="J423" s="113" t="str">
        <f t="shared" si="13"/>
        <v>915473803</v>
      </c>
      <c r="K423" s="113" t="str">
        <f t="shared" si="14"/>
        <v>CG00438</v>
      </c>
    </row>
    <row r="424" spans="1:11" x14ac:dyDescent="0.3">
      <c r="A424" s="298" t="s">
        <v>1722</v>
      </c>
      <c r="B424" s="298" t="s">
        <v>1723</v>
      </c>
      <c r="C424" s="298" t="s">
        <v>355</v>
      </c>
      <c r="D424" s="298" t="s">
        <v>256</v>
      </c>
      <c r="E424" s="298"/>
      <c r="F424" s="298" t="s">
        <v>1724</v>
      </c>
      <c r="G424" s="299" t="b">
        <v>0</v>
      </c>
      <c r="H424" s="299" t="b">
        <v>0</v>
      </c>
      <c r="J424" s="113" t="str">
        <f t="shared" si="13"/>
        <v>912098057</v>
      </c>
      <c r="K424" s="113" t="str">
        <f t="shared" si="14"/>
        <v>CG00439</v>
      </c>
    </row>
    <row r="425" spans="1:11" x14ac:dyDescent="0.3">
      <c r="A425" s="298" t="s">
        <v>1725</v>
      </c>
      <c r="B425" s="298" t="s">
        <v>1726</v>
      </c>
      <c r="C425" s="298" t="s">
        <v>1727</v>
      </c>
      <c r="D425" s="298" t="s">
        <v>256</v>
      </c>
      <c r="E425" s="298"/>
      <c r="F425" s="298" t="s">
        <v>1728</v>
      </c>
      <c r="G425" s="299" t="b">
        <v>0</v>
      </c>
      <c r="H425" s="299" t="b">
        <v>0</v>
      </c>
      <c r="J425" s="113" t="str">
        <f t="shared" si="13"/>
        <v>913234247</v>
      </c>
      <c r="K425" s="113" t="str">
        <f t="shared" si="14"/>
        <v>CG00440</v>
      </c>
    </row>
    <row r="426" spans="1:11" x14ac:dyDescent="0.3">
      <c r="A426" s="298" t="s">
        <v>1729</v>
      </c>
      <c r="B426" s="298" t="s">
        <v>1730</v>
      </c>
      <c r="C426" s="298" t="s">
        <v>604</v>
      </c>
      <c r="D426" s="298" t="s">
        <v>256</v>
      </c>
      <c r="E426" s="298"/>
      <c r="F426" s="298" t="s">
        <v>1731</v>
      </c>
      <c r="G426" s="299" t="b">
        <v>0</v>
      </c>
      <c r="H426" s="299" t="b">
        <v>0</v>
      </c>
      <c r="J426" s="113" t="str">
        <f t="shared" si="13"/>
        <v>983563135</v>
      </c>
      <c r="K426" s="113" t="str">
        <f t="shared" si="14"/>
        <v>CG00441</v>
      </c>
    </row>
    <row r="427" spans="1:11" x14ac:dyDescent="0.3">
      <c r="A427" s="298" t="s">
        <v>1732</v>
      </c>
      <c r="B427" s="298" t="s">
        <v>1733</v>
      </c>
      <c r="C427" s="298" t="s">
        <v>1734</v>
      </c>
      <c r="D427" s="298" t="s">
        <v>256</v>
      </c>
      <c r="E427" s="298"/>
      <c r="F427" s="298" t="s">
        <v>1735</v>
      </c>
      <c r="G427" s="299" t="b">
        <v>0</v>
      </c>
      <c r="H427" s="299" t="b">
        <v>0</v>
      </c>
      <c r="J427" s="113" t="str">
        <f t="shared" si="13"/>
        <v>796080260</v>
      </c>
      <c r="K427" s="113" t="str">
        <f t="shared" si="14"/>
        <v>CG00442</v>
      </c>
    </row>
    <row r="428" spans="1:11" x14ac:dyDescent="0.3">
      <c r="A428" s="298" t="s">
        <v>1736</v>
      </c>
      <c r="B428" s="298" t="s">
        <v>1737</v>
      </c>
      <c r="C428" s="298" t="s">
        <v>452</v>
      </c>
      <c r="D428" s="298" t="s">
        <v>256</v>
      </c>
      <c r="E428" s="298"/>
      <c r="F428" s="298" t="s">
        <v>1738</v>
      </c>
      <c r="G428" s="299" t="b">
        <v>0</v>
      </c>
      <c r="H428" s="299" t="b">
        <v>0</v>
      </c>
      <c r="J428" s="113" t="str">
        <f t="shared" si="13"/>
        <v>963666666</v>
      </c>
      <c r="K428" s="113" t="str">
        <f t="shared" si="14"/>
        <v>CG00444</v>
      </c>
    </row>
    <row r="429" spans="1:11" x14ac:dyDescent="0.3">
      <c r="A429" s="298" t="s">
        <v>1739</v>
      </c>
      <c r="B429" s="298" t="s">
        <v>1740</v>
      </c>
      <c r="C429" s="298" t="s">
        <v>1741</v>
      </c>
      <c r="D429" s="298" t="s">
        <v>256</v>
      </c>
      <c r="E429" s="298"/>
      <c r="F429" s="298" t="s">
        <v>1742</v>
      </c>
      <c r="G429" s="299" t="b">
        <v>0</v>
      </c>
      <c r="H429" s="299" t="b">
        <v>0</v>
      </c>
      <c r="J429" s="113" t="str">
        <f t="shared" si="13"/>
        <v>912354680</v>
      </c>
      <c r="K429" s="113" t="str">
        <f t="shared" si="14"/>
        <v>CG00445</v>
      </c>
    </row>
    <row r="430" spans="1:11" x14ac:dyDescent="0.3">
      <c r="A430" s="298" t="s">
        <v>1743</v>
      </c>
      <c r="B430" s="298" t="s">
        <v>1744</v>
      </c>
      <c r="C430" s="298" t="s">
        <v>993</v>
      </c>
      <c r="D430" s="298" t="s">
        <v>256</v>
      </c>
      <c r="E430" s="298"/>
      <c r="F430" s="298" t="s">
        <v>1745</v>
      </c>
      <c r="G430" s="299" t="b">
        <v>0</v>
      </c>
      <c r="H430" s="299" t="b">
        <v>0</v>
      </c>
      <c r="J430" s="113" t="str">
        <f t="shared" si="13"/>
        <v>912484474</v>
      </c>
      <c r="K430" s="113" t="str">
        <f t="shared" si="14"/>
        <v>CG00446</v>
      </c>
    </row>
    <row r="431" spans="1:11" x14ac:dyDescent="0.3">
      <c r="A431" s="298" t="s">
        <v>1746</v>
      </c>
      <c r="B431" s="298" t="s">
        <v>1747</v>
      </c>
      <c r="C431" s="298" t="s">
        <v>1748</v>
      </c>
      <c r="D431" s="298" t="s">
        <v>256</v>
      </c>
      <c r="E431" s="298" t="s">
        <v>1749</v>
      </c>
      <c r="F431" s="298" t="s">
        <v>1750</v>
      </c>
      <c r="G431" s="299" t="b">
        <v>0</v>
      </c>
      <c r="H431" s="299" t="b">
        <v>0</v>
      </c>
      <c r="J431" s="113" t="str">
        <f t="shared" si="13"/>
        <v>201263305</v>
      </c>
      <c r="K431" s="113" t="str">
        <f t="shared" si="14"/>
        <v>CG00447</v>
      </c>
    </row>
    <row r="432" spans="1:11" x14ac:dyDescent="0.3">
      <c r="A432" s="298" t="s">
        <v>1751</v>
      </c>
      <c r="B432" s="298" t="s">
        <v>1752</v>
      </c>
      <c r="C432" s="298" t="s">
        <v>1753</v>
      </c>
      <c r="D432" s="298" t="s">
        <v>256</v>
      </c>
      <c r="E432" s="298"/>
      <c r="F432" s="298" t="s">
        <v>1754</v>
      </c>
      <c r="G432" s="299" t="b">
        <v>0</v>
      </c>
      <c r="H432" s="299" t="b">
        <v>0</v>
      </c>
      <c r="J432" s="113" t="str">
        <f t="shared" si="13"/>
        <v>964709999</v>
      </c>
      <c r="K432" s="113" t="str">
        <f t="shared" si="14"/>
        <v>CG00448</v>
      </c>
    </row>
    <row r="433" spans="1:11" x14ac:dyDescent="0.3">
      <c r="A433" s="298" t="s">
        <v>1755</v>
      </c>
      <c r="B433" s="298" t="s">
        <v>14662</v>
      </c>
      <c r="C433" s="298" t="s">
        <v>1756</v>
      </c>
      <c r="D433" s="298" t="s">
        <v>256</v>
      </c>
      <c r="E433" s="298" t="s">
        <v>1757</v>
      </c>
      <c r="F433" s="298" t="s">
        <v>1758</v>
      </c>
      <c r="G433" s="299" t="b">
        <v>0</v>
      </c>
      <c r="H433" s="299" t="b">
        <v>0</v>
      </c>
      <c r="J433" s="113" t="str">
        <f t="shared" si="13"/>
        <v>912506787</v>
      </c>
      <c r="K433" s="113" t="str">
        <f t="shared" si="14"/>
        <v>CG00449</v>
      </c>
    </row>
    <row r="434" spans="1:11" x14ac:dyDescent="0.3">
      <c r="A434" s="298" t="s">
        <v>1759</v>
      </c>
      <c r="B434" s="298" t="s">
        <v>1760</v>
      </c>
      <c r="C434" s="298" t="s">
        <v>309</v>
      </c>
      <c r="D434" s="298" t="s">
        <v>256</v>
      </c>
      <c r="E434" s="298"/>
      <c r="F434" s="298" t="s">
        <v>1761</v>
      </c>
      <c r="G434" s="299" t="b">
        <v>0</v>
      </c>
      <c r="H434" s="299" t="b">
        <v>0</v>
      </c>
      <c r="J434" s="113" t="str">
        <f t="shared" si="13"/>
        <v>984050357</v>
      </c>
      <c r="K434" s="113" t="str">
        <f t="shared" si="14"/>
        <v>CG00452</v>
      </c>
    </row>
    <row r="435" spans="1:11" x14ac:dyDescent="0.3">
      <c r="A435" s="298" t="s">
        <v>1762</v>
      </c>
      <c r="B435" s="298" t="s">
        <v>1763</v>
      </c>
      <c r="C435" s="298" t="s">
        <v>409</v>
      </c>
      <c r="D435" s="298" t="s">
        <v>256</v>
      </c>
      <c r="E435" s="298"/>
      <c r="F435" s="298" t="s">
        <v>1764</v>
      </c>
      <c r="G435" s="299" t="b">
        <v>0</v>
      </c>
      <c r="H435" s="299" t="b">
        <v>0</v>
      </c>
      <c r="J435" s="113" t="str">
        <f t="shared" si="13"/>
        <v>988173134</v>
      </c>
      <c r="K435" s="113" t="str">
        <f t="shared" si="14"/>
        <v>CG00456</v>
      </c>
    </row>
    <row r="436" spans="1:11" x14ac:dyDescent="0.3">
      <c r="A436" s="298" t="s">
        <v>1765</v>
      </c>
      <c r="B436" s="298" t="s">
        <v>1766</v>
      </c>
      <c r="C436" s="298" t="s">
        <v>292</v>
      </c>
      <c r="D436" s="298" t="s">
        <v>256</v>
      </c>
      <c r="E436" s="298"/>
      <c r="F436" s="298" t="s">
        <v>1767</v>
      </c>
      <c r="G436" s="299" t="b">
        <v>0</v>
      </c>
      <c r="H436" s="299" t="b">
        <v>0</v>
      </c>
      <c r="J436" s="113" t="str">
        <f t="shared" si="13"/>
        <v>914815103</v>
      </c>
      <c r="K436" s="113" t="str">
        <f t="shared" si="14"/>
        <v>CG00457</v>
      </c>
    </row>
    <row r="437" spans="1:11" x14ac:dyDescent="0.3">
      <c r="A437" s="298" t="s">
        <v>1768</v>
      </c>
      <c r="B437" s="298" t="s">
        <v>1769</v>
      </c>
      <c r="C437" s="298" t="s">
        <v>1173</v>
      </c>
      <c r="D437" s="298" t="s">
        <v>256</v>
      </c>
      <c r="E437" s="298"/>
      <c r="F437" s="298" t="s">
        <v>1770</v>
      </c>
      <c r="G437" s="299" t="b">
        <v>0</v>
      </c>
      <c r="H437" s="299" t="b">
        <v>0</v>
      </c>
      <c r="J437" s="113" t="str">
        <f t="shared" si="13"/>
        <v>383202292</v>
      </c>
      <c r="K437" s="113" t="str">
        <f t="shared" si="14"/>
        <v>CG00458</v>
      </c>
    </row>
    <row r="438" spans="1:11" x14ac:dyDescent="0.3">
      <c r="A438" s="298" t="s">
        <v>1771</v>
      </c>
      <c r="B438" s="298" t="s">
        <v>1772</v>
      </c>
      <c r="C438" s="298" t="s">
        <v>328</v>
      </c>
      <c r="D438" s="298" t="s">
        <v>256</v>
      </c>
      <c r="E438" s="298"/>
      <c r="F438" s="298" t="s">
        <v>1773</v>
      </c>
      <c r="G438" s="299" t="b">
        <v>0</v>
      </c>
      <c r="H438" s="299" t="b">
        <v>0</v>
      </c>
      <c r="J438" s="113" t="str">
        <f t="shared" si="13"/>
        <v>902249044</v>
      </c>
      <c r="K438" s="113" t="str">
        <f t="shared" si="14"/>
        <v>CG00459</v>
      </c>
    </row>
    <row r="439" spans="1:11" x14ac:dyDescent="0.3">
      <c r="A439" s="298" t="s">
        <v>1774</v>
      </c>
      <c r="B439" s="298" t="s">
        <v>1775</v>
      </c>
      <c r="C439" s="298" t="s">
        <v>1776</v>
      </c>
      <c r="D439" s="298" t="s">
        <v>256</v>
      </c>
      <c r="E439" s="298"/>
      <c r="F439" s="298" t="s">
        <v>1777</v>
      </c>
      <c r="G439" s="299" t="b">
        <v>0</v>
      </c>
      <c r="H439" s="299" t="b">
        <v>0</v>
      </c>
      <c r="J439" s="113" t="str">
        <f t="shared" si="13"/>
        <v>904486108</v>
      </c>
      <c r="K439" s="113" t="str">
        <f t="shared" si="14"/>
        <v>CG00461</v>
      </c>
    </row>
    <row r="440" spans="1:11" x14ac:dyDescent="0.3">
      <c r="A440" s="298" t="s">
        <v>1778</v>
      </c>
      <c r="B440" s="298" t="s">
        <v>1779</v>
      </c>
      <c r="C440" s="298" t="s">
        <v>1780</v>
      </c>
      <c r="D440" s="298" t="s">
        <v>256</v>
      </c>
      <c r="E440" s="298" t="s">
        <v>1781</v>
      </c>
      <c r="F440" s="298" t="s">
        <v>1782</v>
      </c>
      <c r="G440" s="299" t="b">
        <v>0</v>
      </c>
      <c r="H440" s="299" t="b">
        <v>0</v>
      </c>
      <c r="J440" s="113" t="str">
        <f t="shared" si="13"/>
        <v>975223176</v>
      </c>
      <c r="K440" s="113" t="str">
        <f t="shared" si="14"/>
        <v>CG00462</v>
      </c>
    </row>
    <row r="441" spans="1:11" x14ac:dyDescent="0.3">
      <c r="A441" s="298" t="s">
        <v>1783</v>
      </c>
      <c r="B441" s="298" t="s">
        <v>14663</v>
      </c>
      <c r="C441" s="298" t="s">
        <v>363</v>
      </c>
      <c r="D441" s="298" t="s">
        <v>256</v>
      </c>
      <c r="E441" s="298"/>
      <c r="F441" s="298" t="s">
        <v>1784</v>
      </c>
      <c r="G441" s="299" t="b">
        <v>0</v>
      </c>
      <c r="H441" s="299" t="b">
        <v>0</v>
      </c>
      <c r="J441" s="113" t="str">
        <f t="shared" si="13"/>
        <v>913366123</v>
      </c>
      <c r="K441" s="113" t="str">
        <f t="shared" si="14"/>
        <v>CG00463</v>
      </c>
    </row>
    <row r="442" spans="1:11" x14ac:dyDescent="0.3">
      <c r="A442" s="298" t="s">
        <v>1785</v>
      </c>
      <c r="B442" s="298" t="s">
        <v>1786</v>
      </c>
      <c r="C442" s="298" t="s">
        <v>1237</v>
      </c>
      <c r="D442" s="298" t="s">
        <v>256</v>
      </c>
      <c r="E442" s="298"/>
      <c r="F442" s="298" t="s">
        <v>1787</v>
      </c>
      <c r="G442" s="299" t="b">
        <v>0</v>
      </c>
      <c r="H442" s="299" t="b">
        <v>0</v>
      </c>
      <c r="J442" s="113" t="str">
        <f t="shared" si="13"/>
        <v>912232167</v>
      </c>
      <c r="K442" s="113" t="str">
        <f t="shared" si="14"/>
        <v>CG00464</v>
      </c>
    </row>
    <row r="443" spans="1:11" x14ac:dyDescent="0.3">
      <c r="A443" s="298" t="s">
        <v>1788</v>
      </c>
      <c r="B443" s="298" t="s">
        <v>1789</v>
      </c>
      <c r="C443" s="298" t="s">
        <v>730</v>
      </c>
      <c r="D443" s="298" t="s">
        <v>256</v>
      </c>
      <c r="E443" s="298"/>
      <c r="F443" s="298" t="s">
        <v>1790</v>
      </c>
      <c r="G443" s="299" t="b">
        <v>0</v>
      </c>
      <c r="H443" s="299" t="b">
        <v>0</v>
      </c>
      <c r="J443" s="113" t="str">
        <f t="shared" si="13"/>
        <v>915352703</v>
      </c>
      <c r="K443" s="113" t="str">
        <f t="shared" si="14"/>
        <v>CG00465</v>
      </c>
    </row>
    <row r="444" spans="1:11" x14ac:dyDescent="0.3">
      <c r="A444" s="298" t="s">
        <v>1791</v>
      </c>
      <c r="B444" s="298" t="s">
        <v>1792</v>
      </c>
      <c r="C444" s="298" t="s">
        <v>1173</v>
      </c>
      <c r="D444" s="298" t="s">
        <v>256</v>
      </c>
      <c r="E444" s="298"/>
      <c r="F444" s="298" t="s">
        <v>1793</v>
      </c>
      <c r="G444" s="299" t="b">
        <v>0</v>
      </c>
      <c r="H444" s="299" t="b">
        <v>0</v>
      </c>
      <c r="J444" s="113" t="str">
        <f t="shared" si="13"/>
        <v>904784783</v>
      </c>
      <c r="K444" s="113" t="str">
        <f t="shared" si="14"/>
        <v>CG00466</v>
      </c>
    </row>
    <row r="445" spans="1:11" x14ac:dyDescent="0.3">
      <c r="A445" s="298" t="s">
        <v>1794</v>
      </c>
      <c r="B445" s="298" t="s">
        <v>1795</v>
      </c>
      <c r="C445" s="298" t="s">
        <v>1796</v>
      </c>
      <c r="D445" s="298" t="s">
        <v>256</v>
      </c>
      <c r="E445" s="298"/>
      <c r="F445" s="298" t="s">
        <v>1797</v>
      </c>
      <c r="G445" s="299" t="b">
        <v>0</v>
      </c>
      <c r="H445" s="299" t="b">
        <v>0</v>
      </c>
      <c r="J445" s="113" t="str">
        <f t="shared" si="13"/>
        <v>976692623</v>
      </c>
      <c r="K445" s="113" t="str">
        <f t="shared" si="14"/>
        <v>CG00467</v>
      </c>
    </row>
    <row r="446" spans="1:11" x14ac:dyDescent="0.3">
      <c r="A446" s="298" t="s">
        <v>1798</v>
      </c>
      <c r="B446" s="298" t="s">
        <v>1799</v>
      </c>
      <c r="C446" s="298" t="s">
        <v>1800</v>
      </c>
      <c r="D446" s="298" t="s">
        <v>256</v>
      </c>
      <c r="E446" s="298"/>
      <c r="F446" s="298" t="s">
        <v>1801</v>
      </c>
      <c r="G446" s="299" t="b">
        <v>0</v>
      </c>
      <c r="H446" s="299" t="b">
        <v>0</v>
      </c>
      <c r="J446" s="113" t="str">
        <f t="shared" si="13"/>
        <v>912067204</v>
      </c>
      <c r="K446" s="113" t="str">
        <f t="shared" si="14"/>
        <v>CG00468</v>
      </c>
    </row>
    <row r="447" spans="1:11" x14ac:dyDescent="0.3">
      <c r="A447" s="298" t="s">
        <v>1802</v>
      </c>
      <c r="B447" s="298" t="s">
        <v>1803</v>
      </c>
      <c r="C447" s="298" t="s">
        <v>541</v>
      </c>
      <c r="D447" s="298" t="s">
        <v>256</v>
      </c>
      <c r="E447" s="298"/>
      <c r="F447" s="298" t="s">
        <v>1804</v>
      </c>
      <c r="G447" s="299" t="b">
        <v>0</v>
      </c>
      <c r="H447" s="299" t="b">
        <v>0</v>
      </c>
      <c r="J447" s="113" t="str">
        <f t="shared" si="13"/>
        <v>914888390</v>
      </c>
      <c r="K447" s="113" t="str">
        <f t="shared" si="14"/>
        <v>CG00469</v>
      </c>
    </row>
    <row r="448" spans="1:11" x14ac:dyDescent="0.3">
      <c r="A448" s="298" t="s">
        <v>1805</v>
      </c>
      <c r="B448" s="298" t="s">
        <v>1806</v>
      </c>
      <c r="C448" s="298" t="s">
        <v>1807</v>
      </c>
      <c r="D448" s="298" t="s">
        <v>256</v>
      </c>
      <c r="E448" s="298"/>
      <c r="F448" s="298" t="s">
        <v>1808</v>
      </c>
      <c r="G448" s="299" t="b">
        <v>0</v>
      </c>
      <c r="H448" s="299" t="b">
        <v>0</v>
      </c>
      <c r="J448" s="113" t="str">
        <f t="shared" si="13"/>
        <v>948295968</v>
      </c>
      <c r="K448" s="113" t="str">
        <f t="shared" si="14"/>
        <v>CG00470</v>
      </c>
    </row>
    <row r="449" spans="1:11" x14ac:dyDescent="0.3">
      <c r="A449" s="298" t="s">
        <v>1809</v>
      </c>
      <c r="B449" s="298" t="s">
        <v>1810</v>
      </c>
      <c r="C449" s="298" t="s">
        <v>1587</v>
      </c>
      <c r="D449" s="298" t="s">
        <v>256</v>
      </c>
      <c r="E449" s="298"/>
      <c r="F449" s="298" t="s">
        <v>1811</v>
      </c>
      <c r="G449" s="299" t="b">
        <v>0</v>
      </c>
      <c r="H449" s="299" t="b">
        <v>0</v>
      </c>
      <c r="J449" s="113" t="str">
        <f t="shared" si="13"/>
        <v>983832345</v>
      </c>
      <c r="K449" s="113" t="str">
        <f t="shared" si="14"/>
        <v>CG00472</v>
      </c>
    </row>
    <row r="450" spans="1:11" x14ac:dyDescent="0.3">
      <c r="A450" s="298" t="s">
        <v>1812</v>
      </c>
      <c r="B450" s="298" t="s">
        <v>1813</v>
      </c>
      <c r="C450" s="298" t="s">
        <v>1335</v>
      </c>
      <c r="D450" s="298" t="s">
        <v>256</v>
      </c>
      <c r="E450" s="298"/>
      <c r="F450" s="298" t="s">
        <v>1814</v>
      </c>
      <c r="G450" s="299" t="b">
        <v>0</v>
      </c>
      <c r="H450" s="299" t="b">
        <v>0</v>
      </c>
      <c r="J450" s="113" t="str">
        <f t="shared" si="13"/>
        <v>912008189</v>
      </c>
      <c r="K450" s="113" t="str">
        <f t="shared" si="14"/>
        <v>CG00473</v>
      </c>
    </row>
    <row r="451" spans="1:11" x14ac:dyDescent="0.3">
      <c r="A451" s="298" t="s">
        <v>1815</v>
      </c>
      <c r="B451" s="298" t="s">
        <v>1816</v>
      </c>
      <c r="C451" s="298" t="s">
        <v>536</v>
      </c>
      <c r="D451" s="298" t="s">
        <v>256</v>
      </c>
      <c r="E451" s="298" t="s">
        <v>1817</v>
      </c>
      <c r="F451" s="298" t="s">
        <v>1818</v>
      </c>
      <c r="G451" s="299" t="b">
        <v>0</v>
      </c>
      <c r="H451" s="299" t="b">
        <v>0</v>
      </c>
      <c r="J451" s="113" t="str">
        <f t="shared" si="13"/>
        <v>904134136</v>
      </c>
      <c r="K451" s="113" t="str">
        <f t="shared" si="14"/>
        <v>CG00474</v>
      </c>
    </row>
    <row r="452" spans="1:11" x14ac:dyDescent="0.3">
      <c r="A452" s="298" t="s">
        <v>1819</v>
      </c>
      <c r="B452" s="298" t="s">
        <v>1820</v>
      </c>
      <c r="C452" s="298" t="s">
        <v>1821</v>
      </c>
      <c r="D452" s="298" t="s">
        <v>256</v>
      </c>
      <c r="E452" s="298"/>
      <c r="F452" s="298" t="s">
        <v>1822</v>
      </c>
      <c r="G452" s="299" t="b">
        <v>0</v>
      </c>
      <c r="H452" s="299" t="b">
        <v>0</v>
      </c>
      <c r="J452" s="113" t="str">
        <f t="shared" si="13"/>
        <v>943058866</v>
      </c>
      <c r="K452" s="113" t="str">
        <f t="shared" si="14"/>
        <v>CG00475</v>
      </c>
    </row>
    <row r="453" spans="1:11" x14ac:dyDescent="0.3">
      <c r="A453" s="298" t="s">
        <v>1823</v>
      </c>
      <c r="B453" s="298" t="s">
        <v>1824</v>
      </c>
      <c r="C453" s="298" t="s">
        <v>1825</v>
      </c>
      <c r="D453" s="298" t="s">
        <v>256</v>
      </c>
      <c r="E453" s="298"/>
      <c r="F453" s="298" t="s">
        <v>1826</v>
      </c>
      <c r="G453" s="299" t="b">
        <v>0</v>
      </c>
      <c r="H453" s="299" t="b">
        <v>0</v>
      </c>
      <c r="J453" s="113" t="str">
        <f t="shared" ref="J453:J516" si="15">RIGHT(B453,9)</f>
        <v>983867257</v>
      </c>
      <c r="K453" s="113" t="str">
        <f t="shared" ref="K453:K516" si="16">A453</f>
        <v>CG00476</v>
      </c>
    </row>
    <row r="454" spans="1:11" x14ac:dyDescent="0.3">
      <c r="A454" s="298" t="s">
        <v>1827</v>
      </c>
      <c r="B454" s="298" t="s">
        <v>1828</v>
      </c>
      <c r="C454" s="298" t="s">
        <v>343</v>
      </c>
      <c r="D454" s="298" t="s">
        <v>256</v>
      </c>
      <c r="E454" s="298"/>
      <c r="F454" s="298" t="s">
        <v>1829</v>
      </c>
      <c r="G454" s="299" t="b">
        <v>0</v>
      </c>
      <c r="H454" s="299" t="b">
        <v>0</v>
      </c>
      <c r="J454" s="113" t="str">
        <f t="shared" si="15"/>
        <v>912491039</v>
      </c>
      <c r="K454" s="113" t="str">
        <f t="shared" si="16"/>
        <v>CG00477</v>
      </c>
    </row>
    <row r="455" spans="1:11" x14ac:dyDescent="0.3">
      <c r="A455" s="298" t="s">
        <v>1830</v>
      </c>
      <c r="B455" s="298" t="s">
        <v>1831</v>
      </c>
      <c r="C455" s="298" t="s">
        <v>809</v>
      </c>
      <c r="D455" s="298" t="s">
        <v>256</v>
      </c>
      <c r="E455" s="298"/>
      <c r="F455" s="298" t="s">
        <v>1832</v>
      </c>
      <c r="G455" s="299" t="b">
        <v>0</v>
      </c>
      <c r="H455" s="299" t="b">
        <v>0</v>
      </c>
      <c r="J455" s="113" t="str">
        <f t="shared" si="15"/>
        <v>948129566</v>
      </c>
      <c r="K455" s="113" t="str">
        <f t="shared" si="16"/>
        <v>CG00478</v>
      </c>
    </row>
    <row r="456" spans="1:11" x14ac:dyDescent="0.3">
      <c r="A456" s="298" t="s">
        <v>1833</v>
      </c>
      <c r="B456" s="298" t="s">
        <v>1834</v>
      </c>
      <c r="C456" s="298" t="s">
        <v>664</v>
      </c>
      <c r="D456" s="298" t="s">
        <v>256</v>
      </c>
      <c r="E456" s="298"/>
      <c r="F456" s="298" t="s">
        <v>1835</v>
      </c>
      <c r="G456" s="299" t="b">
        <v>0</v>
      </c>
      <c r="H456" s="299" t="b">
        <v>0</v>
      </c>
      <c r="J456" s="113" t="str">
        <f t="shared" si="15"/>
        <v>982750606</v>
      </c>
      <c r="K456" s="113" t="str">
        <f t="shared" si="16"/>
        <v>CG00479</v>
      </c>
    </row>
    <row r="457" spans="1:11" x14ac:dyDescent="0.3">
      <c r="A457" s="298" t="s">
        <v>1836</v>
      </c>
      <c r="B457" s="298" t="s">
        <v>1837</v>
      </c>
      <c r="C457" s="298" t="s">
        <v>487</v>
      </c>
      <c r="D457" s="298" t="s">
        <v>256</v>
      </c>
      <c r="E457" s="298"/>
      <c r="F457" s="298" t="s">
        <v>1838</v>
      </c>
      <c r="G457" s="299" t="b">
        <v>0</v>
      </c>
      <c r="H457" s="299" t="b">
        <v>0</v>
      </c>
      <c r="J457" s="113" t="str">
        <f t="shared" si="15"/>
        <v>912165309</v>
      </c>
      <c r="K457" s="113" t="str">
        <f t="shared" si="16"/>
        <v>CG00480</v>
      </c>
    </row>
    <row r="458" spans="1:11" x14ac:dyDescent="0.3">
      <c r="A458" s="298" t="s">
        <v>1839</v>
      </c>
      <c r="B458" s="298" t="s">
        <v>1840</v>
      </c>
      <c r="C458" s="298" t="s">
        <v>1841</v>
      </c>
      <c r="D458" s="298" t="s">
        <v>256</v>
      </c>
      <c r="E458" s="298"/>
      <c r="F458" s="298" t="s">
        <v>1842</v>
      </c>
      <c r="G458" s="299" t="b">
        <v>0</v>
      </c>
      <c r="H458" s="299" t="b">
        <v>0</v>
      </c>
      <c r="J458" s="113" t="str">
        <f t="shared" si="15"/>
        <v>915187897</v>
      </c>
      <c r="K458" s="113" t="str">
        <f t="shared" si="16"/>
        <v>CG00481</v>
      </c>
    </row>
    <row r="459" spans="1:11" x14ac:dyDescent="0.3">
      <c r="A459" s="298" t="s">
        <v>1843</v>
      </c>
      <c r="B459" s="298" t="s">
        <v>1844</v>
      </c>
      <c r="C459" s="298" t="s">
        <v>718</v>
      </c>
      <c r="D459" s="298" t="s">
        <v>256</v>
      </c>
      <c r="E459" s="298"/>
      <c r="F459" s="298" t="s">
        <v>1845</v>
      </c>
      <c r="G459" s="299" t="b">
        <v>0</v>
      </c>
      <c r="H459" s="299" t="b">
        <v>0</v>
      </c>
      <c r="J459" s="113" t="str">
        <f t="shared" si="15"/>
        <v>914318623</v>
      </c>
      <c r="K459" s="113" t="str">
        <f t="shared" si="16"/>
        <v>CG00482</v>
      </c>
    </row>
    <row r="460" spans="1:11" x14ac:dyDescent="0.3">
      <c r="A460" s="298" t="s">
        <v>1846</v>
      </c>
      <c r="B460" s="298" t="s">
        <v>1847</v>
      </c>
      <c r="C460" s="298" t="s">
        <v>416</v>
      </c>
      <c r="D460" s="298" t="s">
        <v>256</v>
      </c>
      <c r="E460" s="298"/>
      <c r="F460" s="298" t="s">
        <v>1848</v>
      </c>
      <c r="G460" s="299" t="b">
        <v>0</v>
      </c>
      <c r="H460" s="299" t="b">
        <v>0</v>
      </c>
      <c r="J460" s="113" t="str">
        <f t="shared" si="15"/>
        <v>936700654</v>
      </c>
      <c r="K460" s="113" t="str">
        <f t="shared" si="16"/>
        <v>CG00483</v>
      </c>
    </row>
    <row r="461" spans="1:11" x14ac:dyDescent="0.3">
      <c r="A461" s="298" t="s">
        <v>1849</v>
      </c>
      <c r="B461" s="298" t="s">
        <v>1850</v>
      </c>
      <c r="C461" s="298" t="s">
        <v>1335</v>
      </c>
      <c r="D461" s="298" t="s">
        <v>256</v>
      </c>
      <c r="E461" s="298"/>
      <c r="F461" s="298" t="s">
        <v>1851</v>
      </c>
      <c r="G461" s="299" t="b">
        <v>0</v>
      </c>
      <c r="H461" s="299" t="b">
        <v>0</v>
      </c>
      <c r="J461" s="113" t="str">
        <f t="shared" si="15"/>
        <v>913872567</v>
      </c>
      <c r="K461" s="113" t="str">
        <f t="shared" si="16"/>
        <v>CG00484</v>
      </c>
    </row>
    <row r="462" spans="1:11" x14ac:dyDescent="0.3">
      <c r="A462" s="298" t="s">
        <v>1852</v>
      </c>
      <c r="B462" s="298" t="s">
        <v>1853</v>
      </c>
      <c r="C462" s="298" t="s">
        <v>500</v>
      </c>
      <c r="D462" s="298" t="s">
        <v>256</v>
      </c>
      <c r="E462" s="298"/>
      <c r="F462" s="298" t="s">
        <v>1854</v>
      </c>
      <c r="G462" s="299" t="b">
        <v>0</v>
      </c>
      <c r="H462" s="299" t="b">
        <v>0</v>
      </c>
      <c r="J462" s="113" t="str">
        <f t="shared" si="15"/>
        <v>915041762</v>
      </c>
      <c r="K462" s="113" t="str">
        <f t="shared" si="16"/>
        <v>CG00485</v>
      </c>
    </row>
    <row r="463" spans="1:11" x14ac:dyDescent="0.3">
      <c r="A463" s="298" t="s">
        <v>1855</v>
      </c>
      <c r="B463" s="298" t="s">
        <v>1856</v>
      </c>
      <c r="C463" s="298" t="s">
        <v>452</v>
      </c>
      <c r="D463" s="298" t="s">
        <v>256</v>
      </c>
      <c r="E463" s="298"/>
      <c r="F463" s="298" t="s">
        <v>1857</v>
      </c>
      <c r="G463" s="299" t="b">
        <v>0</v>
      </c>
      <c r="H463" s="299" t="b">
        <v>0</v>
      </c>
      <c r="J463" s="113" t="str">
        <f t="shared" si="15"/>
        <v>902172060</v>
      </c>
      <c r="K463" s="113" t="str">
        <f t="shared" si="16"/>
        <v>CG00486</v>
      </c>
    </row>
    <row r="464" spans="1:11" x14ac:dyDescent="0.3">
      <c r="A464" s="298" t="s">
        <v>1858</v>
      </c>
      <c r="B464" s="298" t="s">
        <v>1859</v>
      </c>
      <c r="C464" s="298" t="s">
        <v>390</v>
      </c>
      <c r="D464" s="298" t="s">
        <v>256</v>
      </c>
      <c r="E464" s="298"/>
      <c r="F464" s="298" t="s">
        <v>1860</v>
      </c>
      <c r="G464" s="299" t="b">
        <v>0</v>
      </c>
      <c r="H464" s="299" t="b">
        <v>0</v>
      </c>
      <c r="J464" s="113" t="str">
        <f t="shared" si="15"/>
        <v>936064666</v>
      </c>
      <c r="K464" s="113" t="str">
        <f t="shared" si="16"/>
        <v>CG00487</v>
      </c>
    </row>
    <row r="465" spans="1:11" x14ac:dyDescent="0.3">
      <c r="A465" s="298" t="s">
        <v>1861</v>
      </c>
      <c r="B465" s="298" t="s">
        <v>1862</v>
      </c>
      <c r="C465" s="298" t="s">
        <v>1863</v>
      </c>
      <c r="D465" s="298" t="s">
        <v>256</v>
      </c>
      <c r="E465" s="298"/>
      <c r="F465" s="298" t="s">
        <v>1864</v>
      </c>
      <c r="G465" s="299" t="b">
        <v>0</v>
      </c>
      <c r="H465" s="299" t="b">
        <v>0</v>
      </c>
      <c r="J465" s="113" t="str">
        <f t="shared" si="15"/>
        <v>904050197</v>
      </c>
      <c r="K465" s="113" t="str">
        <f t="shared" si="16"/>
        <v>CG00488</v>
      </c>
    </row>
    <row r="466" spans="1:11" x14ac:dyDescent="0.3">
      <c r="A466" s="298" t="s">
        <v>1865</v>
      </c>
      <c r="B466" s="298" t="s">
        <v>1866</v>
      </c>
      <c r="C466" s="298" t="s">
        <v>463</v>
      </c>
      <c r="D466" s="298" t="s">
        <v>256</v>
      </c>
      <c r="E466" s="298"/>
      <c r="F466" s="298" t="s">
        <v>1867</v>
      </c>
      <c r="G466" s="299" t="b">
        <v>0</v>
      </c>
      <c r="H466" s="299" t="b">
        <v>0</v>
      </c>
      <c r="J466" s="113" t="str">
        <f t="shared" si="15"/>
        <v>912173694</v>
      </c>
      <c r="K466" s="113" t="str">
        <f t="shared" si="16"/>
        <v>CG00489</v>
      </c>
    </row>
    <row r="467" spans="1:11" x14ac:dyDescent="0.3">
      <c r="A467" s="298" t="s">
        <v>1868</v>
      </c>
      <c r="B467" s="298" t="s">
        <v>1869</v>
      </c>
      <c r="C467" s="298" t="s">
        <v>1166</v>
      </c>
      <c r="D467" s="298" t="s">
        <v>256</v>
      </c>
      <c r="E467" s="298"/>
      <c r="F467" s="298" t="s">
        <v>1870</v>
      </c>
      <c r="G467" s="299" t="b">
        <v>0</v>
      </c>
      <c r="H467" s="299" t="b">
        <v>0</v>
      </c>
      <c r="J467" s="113" t="str">
        <f t="shared" si="15"/>
        <v>985943638</v>
      </c>
      <c r="K467" s="113" t="str">
        <f t="shared" si="16"/>
        <v>CG00490</v>
      </c>
    </row>
    <row r="468" spans="1:11" x14ac:dyDescent="0.3">
      <c r="A468" s="298" t="s">
        <v>1871</v>
      </c>
      <c r="B468" s="298" t="s">
        <v>1872</v>
      </c>
      <c r="C468" s="298" t="s">
        <v>1873</v>
      </c>
      <c r="D468" s="298" t="s">
        <v>256</v>
      </c>
      <c r="E468" s="298"/>
      <c r="F468" s="298" t="s">
        <v>1874</v>
      </c>
      <c r="G468" s="299" t="b">
        <v>0</v>
      </c>
      <c r="H468" s="299" t="b">
        <v>0</v>
      </c>
      <c r="J468" s="113" t="str">
        <f t="shared" si="15"/>
        <v>913346961</v>
      </c>
      <c r="K468" s="113" t="str">
        <f t="shared" si="16"/>
        <v>CG00491</v>
      </c>
    </row>
    <row r="469" spans="1:11" x14ac:dyDescent="0.3">
      <c r="A469" s="298" t="s">
        <v>1875</v>
      </c>
      <c r="B469" s="298" t="s">
        <v>1876</v>
      </c>
      <c r="C469" s="298" t="s">
        <v>541</v>
      </c>
      <c r="D469" s="298" t="s">
        <v>256</v>
      </c>
      <c r="E469" s="298"/>
      <c r="F469" s="298" t="s">
        <v>1877</v>
      </c>
      <c r="G469" s="299" t="b">
        <v>0</v>
      </c>
      <c r="H469" s="299" t="b">
        <v>0</v>
      </c>
      <c r="J469" s="113" t="str">
        <f t="shared" si="15"/>
        <v>923522980</v>
      </c>
      <c r="K469" s="113" t="str">
        <f t="shared" si="16"/>
        <v>CG00492</v>
      </c>
    </row>
    <row r="470" spans="1:11" x14ac:dyDescent="0.3">
      <c r="A470" s="298" t="s">
        <v>1878</v>
      </c>
      <c r="B470" s="298" t="s">
        <v>1879</v>
      </c>
      <c r="C470" s="298" t="s">
        <v>1880</v>
      </c>
      <c r="D470" s="298" t="s">
        <v>256</v>
      </c>
      <c r="E470" s="298"/>
      <c r="F470" s="298" t="s">
        <v>1881</v>
      </c>
      <c r="G470" s="299" t="b">
        <v>0</v>
      </c>
      <c r="H470" s="299" t="b">
        <v>0</v>
      </c>
      <c r="J470" s="113" t="str">
        <f t="shared" si="15"/>
        <v>988104353</v>
      </c>
      <c r="K470" s="113" t="str">
        <f t="shared" si="16"/>
        <v>CG00493</v>
      </c>
    </row>
    <row r="471" spans="1:11" x14ac:dyDescent="0.3">
      <c r="A471" s="298" t="s">
        <v>1882</v>
      </c>
      <c r="B471" s="298" t="s">
        <v>1883</v>
      </c>
      <c r="C471" s="298" t="s">
        <v>274</v>
      </c>
      <c r="D471" s="298" t="s">
        <v>256</v>
      </c>
      <c r="E471" s="298"/>
      <c r="F471" s="298" t="s">
        <v>1884</v>
      </c>
      <c r="G471" s="299" t="b">
        <v>0</v>
      </c>
      <c r="H471" s="299" t="b">
        <v>0</v>
      </c>
      <c r="J471" s="113" t="str">
        <f t="shared" si="15"/>
        <v>946137899</v>
      </c>
      <c r="K471" s="113" t="str">
        <f t="shared" si="16"/>
        <v>CG00494</v>
      </c>
    </row>
    <row r="472" spans="1:11" x14ac:dyDescent="0.3">
      <c r="A472" s="298" t="s">
        <v>1885</v>
      </c>
      <c r="B472" s="298" t="s">
        <v>1886</v>
      </c>
      <c r="C472" s="298" t="s">
        <v>1873</v>
      </c>
      <c r="D472" s="298" t="s">
        <v>256</v>
      </c>
      <c r="E472" s="298"/>
      <c r="F472" s="298" t="s">
        <v>1887</v>
      </c>
      <c r="G472" s="299" t="b">
        <v>0</v>
      </c>
      <c r="H472" s="299" t="b">
        <v>0</v>
      </c>
      <c r="J472" s="113" t="str">
        <f t="shared" si="15"/>
        <v>912181833</v>
      </c>
      <c r="K472" s="113" t="str">
        <f t="shared" si="16"/>
        <v>CG00495</v>
      </c>
    </row>
    <row r="473" spans="1:11" x14ac:dyDescent="0.3">
      <c r="A473" s="298" t="s">
        <v>1888</v>
      </c>
      <c r="B473" s="298" t="s">
        <v>1889</v>
      </c>
      <c r="C473" s="298" t="s">
        <v>1890</v>
      </c>
      <c r="D473" s="298" t="s">
        <v>256</v>
      </c>
      <c r="E473" s="298"/>
      <c r="F473" s="298" t="s">
        <v>1891</v>
      </c>
      <c r="G473" s="299" t="b">
        <v>0</v>
      </c>
      <c r="H473" s="299" t="b">
        <v>0</v>
      </c>
      <c r="J473" s="113" t="str">
        <f t="shared" si="15"/>
        <v>912098257</v>
      </c>
      <c r="K473" s="113" t="str">
        <f t="shared" si="16"/>
        <v>CG00496</v>
      </c>
    </row>
    <row r="474" spans="1:11" x14ac:dyDescent="0.3">
      <c r="A474" s="298" t="s">
        <v>1892</v>
      </c>
      <c r="B474" s="298" t="s">
        <v>1893</v>
      </c>
      <c r="C474" s="298" t="s">
        <v>355</v>
      </c>
      <c r="D474" s="298" t="s">
        <v>256</v>
      </c>
      <c r="E474" s="298"/>
      <c r="F474" s="298" t="s">
        <v>1894</v>
      </c>
      <c r="G474" s="299" t="b">
        <v>0</v>
      </c>
      <c r="H474" s="299" t="b">
        <v>0</v>
      </c>
      <c r="J474" s="113" t="str">
        <f t="shared" si="15"/>
        <v>918692776</v>
      </c>
      <c r="K474" s="113" t="str">
        <f t="shared" si="16"/>
        <v>CG00497</v>
      </c>
    </row>
    <row r="475" spans="1:11" x14ac:dyDescent="0.3">
      <c r="A475" s="298" t="s">
        <v>1895</v>
      </c>
      <c r="B475" s="298" t="s">
        <v>1896</v>
      </c>
      <c r="C475" s="298" t="s">
        <v>452</v>
      </c>
      <c r="D475" s="298" t="s">
        <v>256</v>
      </c>
      <c r="E475" s="298"/>
      <c r="F475" s="298" t="s">
        <v>1897</v>
      </c>
      <c r="G475" s="299" t="b">
        <v>0</v>
      </c>
      <c r="H475" s="299" t="b">
        <v>0</v>
      </c>
      <c r="J475" s="113" t="str">
        <f t="shared" si="15"/>
        <v>834768386</v>
      </c>
      <c r="K475" s="113" t="str">
        <f t="shared" si="16"/>
        <v>CG00498</v>
      </c>
    </row>
    <row r="476" spans="1:11" x14ac:dyDescent="0.3">
      <c r="A476" s="298" t="s">
        <v>1898</v>
      </c>
      <c r="B476" s="298" t="s">
        <v>1899</v>
      </c>
      <c r="C476" s="298" t="s">
        <v>541</v>
      </c>
      <c r="D476" s="298" t="s">
        <v>256</v>
      </c>
      <c r="E476" s="298"/>
      <c r="F476" s="298" t="s">
        <v>1900</v>
      </c>
      <c r="G476" s="299" t="b">
        <v>0</v>
      </c>
      <c r="H476" s="299" t="b">
        <v>0</v>
      </c>
      <c r="J476" s="113" t="str">
        <f t="shared" si="15"/>
        <v>044819730</v>
      </c>
      <c r="K476" s="113" t="str">
        <f t="shared" si="16"/>
        <v>CG00500</v>
      </c>
    </row>
    <row r="477" spans="1:11" x14ac:dyDescent="0.3">
      <c r="A477" s="298" t="s">
        <v>1901</v>
      </c>
      <c r="B477" s="298" t="s">
        <v>1902</v>
      </c>
      <c r="C477" s="298" t="s">
        <v>1903</v>
      </c>
      <c r="D477" s="298" t="s">
        <v>256</v>
      </c>
      <c r="E477" s="298"/>
      <c r="F477" s="298" t="s">
        <v>1904</v>
      </c>
      <c r="G477" s="299" t="b">
        <v>0</v>
      </c>
      <c r="H477" s="299" t="b">
        <v>0</v>
      </c>
      <c r="J477" s="113" t="str">
        <f t="shared" si="15"/>
        <v>912295062</v>
      </c>
      <c r="K477" s="113" t="str">
        <f t="shared" si="16"/>
        <v>CG00502</v>
      </c>
    </row>
    <row r="478" spans="1:11" x14ac:dyDescent="0.3">
      <c r="A478" s="298" t="s">
        <v>1905</v>
      </c>
      <c r="B478" s="298" t="s">
        <v>1906</v>
      </c>
      <c r="C478" s="298" t="s">
        <v>541</v>
      </c>
      <c r="D478" s="298" t="s">
        <v>256</v>
      </c>
      <c r="E478" s="298"/>
      <c r="F478" s="298" t="s">
        <v>1907</v>
      </c>
      <c r="G478" s="299" t="b">
        <v>0</v>
      </c>
      <c r="H478" s="299" t="b">
        <v>0</v>
      </c>
      <c r="J478" s="113" t="str">
        <f t="shared" si="15"/>
        <v>912475388</v>
      </c>
      <c r="K478" s="113" t="str">
        <f t="shared" si="16"/>
        <v>CG00503</v>
      </c>
    </row>
    <row r="479" spans="1:11" x14ac:dyDescent="0.3">
      <c r="A479" s="298" t="s">
        <v>1908</v>
      </c>
      <c r="B479" s="298" t="s">
        <v>1909</v>
      </c>
      <c r="C479" s="298" t="s">
        <v>1910</v>
      </c>
      <c r="D479" s="298" t="s">
        <v>256</v>
      </c>
      <c r="E479" s="298"/>
      <c r="F479" s="298" t="s">
        <v>1911</v>
      </c>
      <c r="G479" s="299" t="b">
        <v>0</v>
      </c>
      <c r="H479" s="299" t="b">
        <v>0</v>
      </c>
      <c r="J479" s="113" t="str">
        <f t="shared" si="15"/>
        <v>936861461</v>
      </c>
      <c r="K479" s="113" t="str">
        <f t="shared" si="16"/>
        <v>CG00504</v>
      </c>
    </row>
    <row r="480" spans="1:11" x14ac:dyDescent="0.3">
      <c r="A480" s="298" t="s">
        <v>1912</v>
      </c>
      <c r="B480" s="298" t="s">
        <v>1913</v>
      </c>
      <c r="C480" s="298" t="s">
        <v>1914</v>
      </c>
      <c r="D480" s="298" t="s">
        <v>256</v>
      </c>
      <c r="E480" s="298"/>
      <c r="F480" s="298" t="s">
        <v>1915</v>
      </c>
      <c r="G480" s="299" t="b">
        <v>0</v>
      </c>
      <c r="H480" s="299" t="b">
        <v>0</v>
      </c>
      <c r="J480" s="113" t="str">
        <f t="shared" si="15"/>
        <v>989487427</v>
      </c>
      <c r="K480" s="113" t="str">
        <f t="shared" si="16"/>
        <v>CG00505</v>
      </c>
    </row>
    <row r="481" spans="1:11" x14ac:dyDescent="0.3">
      <c r="A481" s="298" t="s">
        <v>1916</v>
      </c>
      <c r="B481" s="298" t="s">
        <v>1917</v>
      </c>
      <c r="C481" s="298" t="s">
        <v>565</v>
      </c>
      <c r="D481" s="298" t="s">
        <v>256</v>
      </c>
      <c r="E481" s="298"/>
      <c r="F481" s="298" t="s">
        <v>1918</v>
      </c>
      <c r="G481" s="299" t="b">
        <v>0</v>
      </c>
      <c r="H481" s="299" t="b">
        <v>0</v>
      </c>
      <c r="J481" s="113" t="str">
        <f t="shared" si="15"/>
        <v>975568866</v>
      </c>
      <c r="K481" s="113" t="str">
        <f t="shared" si="16"/>
        <v>CG00506</v>
      </c>
    </row>
    <row r="482" spans="1:11" x14ac:dyDescent="0.3">
      <c r="A482" s="298" t="s">
        <v>1919</v>
      </c>
      <c r="B482" s="298" t="s">
        <v>1920</v>
      </c>
      <c r="C482" s="298" t="s">
        <v>452</v>
      </c>
      <c r="D482" s="298" t="s">
        <v>256</v>
      </c>
      <c r="E482" s="298"/>
      <c r="F482" s="298" t="s">
        <v>1921</v>
      </c>
      <c r="G482" s="299" t="b">
        <v>0</v>
      </c>
      <c r="H482" s="299" t="b">
        <v>0</v>
      </c>
      <c r="J482" s="113" t="str">
        <f t="shared" si="15"/>
        <v>906180555</v>
      </c>
      <c r="K482" s="113" t="str">
        <f t="shared" si="16"/>
        <v>CG00507</v>
      </c>
    </row>
    <row r="483" spans="1:11" x14ac:dyDescent="0.3">
      <c r="A483" s="298" t="s">
        <v>1922</v>
      </c>
      <c r="B483" s="298" t="s">
        <v>1923</v>
      </c>
      <c r="C483" s="298" t="s">
        <v>809</v>
      </c>
      <c r="D483" s="298" t="s">
        <v>256</v>
      </c>
      <c r="E483" s="298"/>
      <c r="F483" s="298" t="s">
        <v>1924</v>
      </c>
      <c r="G483" s="299" t="b">
        <v>0</v>
      </c>
      <c r="H483" s="299" t="b">
        <v>0</v>
      </c>
      <c r="J483" s="113" t="str">
        <f t="shared" si="15"/>
        <v>378299079</v>
      </c>
      <c r="K483" s="113" t="str">
        <f t="shared" si="16"/>
        <v>CG00508</v>
      </c>
    </row>
    <row r="484" spans="1:11" x14ac:dyDescent="0.3">
      <c r="A484" s="298" t="s">
        <v>1925</v>
      </c>
      <c r="B484" s="298" t="s">
        <v>1926</v>
      </c>
      <c r="C484" s="298" t="s">
        <v>1821</v>
      </c>
      <c r="D484" s="298" t="s">
        <v>256</v>
      </c>
      <c r="E484" s="298"/>
      <c r="F484" s="298" t="s">
        <v>1927</v>
      </c>
      <c r="G484" s="299" t="b">
        <v>0</v>
      </c>
      <c r="H484" s="299" t="b">
        <v>0</v>
      </c>
      <c r="J484" s="113" t="str">
        <f t="shared" si="15"/>
        <v>912127741</v>
      </c>
      <c r="K484" s="113" t="str">
        <f t="shared" si="16"/>
        <v>CG00509</v>
      </c>
    </row>
    <row r="485" spans="1:11" x14ac:dyDescent="0.3">
      <c r="A485" s="298" t="s">
        <v>1928</v>
      </c>
      <c r="B485" s="298" t="s">
        <v>1929</v>
      </c>
      <c r="C485" s="298" t="s">
        <v>230</v>
      </c>
      <c r="D485" s="298" t="s">
        <v>256</v>
      </c>
      <c r="E485" s="298"/>
      <c r="F485" s="298" t="s">
        <v>1930</v>
      </c>
      <c r="G485" s="299" t="b">
        <v>0</v>
      </c>
      <c r="H485" s="299" t="b">
        <v>0</v>
      </c>
      <c r="J485" s="113" t="str">
        <f t="shared" si="15"/>
        <v>965505568</v>
      </c>
      <c r="K485" s="113" t="str">
        <f t="shared" si="16"/>
        <v>CG00510</v>
      </c>
    </row>
    <row r="486" spans="1:11" x14ac:dyDescent="0.3">
      <c r="A486" s="298" t="s">
        <v>1931</v>
      </c>
      <c r="B486" s="298" t="s">
        <v>1932</v>
      </c>
      <c r="C486" s="298" t="s">
        <v>593</v>
      </c>
      <c r="D486" s="298" t="s">
        <v>256</v>
      </c>
      <c r="E486" s="298"/>
      <c r="F486" s="298" t="s">
        <v>1933</v>
      </c>
      <c r="G486" s="299" t="b">
        <v>0</v>
      </c>
      <c r="H486" s="299" t="b">
        <v>0</v>
      </c>
      <c r="J486" s="113" t="str">
        <f t="shared" si="15"/>
        <v>912086507</v>
      </c>
      <c r="K486" s="113" t="str">
        <f t="shared" si="16"/>
        <v>CG00512</v>
      </c>
    </row>
    <row r="487" spans="1:11" x14ac:dyDescent="0.3">
      <c r="A487" s="298" t="s">
        <v>1934</v>
      </c>
      <c r="B487" s="298" t="s">
        <v>1935</v>
      </c>
      <c r="C487" s="298" t="s">
        <v>845</v>
      </c>
      <c r="D487" s="298" t="s">
        <v>256</v>
      </c>
      <c r="E487" s="298"/>
      <c r="F487" s="298" t="s">
        <v>1936</v>
      </c>
      <c r="G487" s="299" t="b">
        <v>0</v>
      </c>
      <c r="H487" s="299" t="b">
        <v>0</v>
      </c>
      <c r="J487" s="113" t="str">
        <f t="shared" si="15"/>
        <v>968398666</v>
      </c>
      <c r="K487" s="113" t="str">
        <f t="shared" si="16"/>
        <v>CG00513</v>
      </c>
    </row>
    <row r="488" spans="1:11" x14ac:dyDescent="0.3">
      <c r="A488" s="298" t="s">
        <v>1937</v>
      </c>
      <c r="B488" s="298" t="s">
        <v>1938</v>
      </c>
      <c r="C488" s="298" t="s">
        <v>613</v>
      </c>
      <c r="D488" s="298" t="s">
        <v>256</v>
      </c>
      <c r="E488" s="298"/>
      <c r="F488" s="298" t="s">
        <v>1939</v>
      </c>
      <c r="G488" s="299" t="b">
        <v>0</v>
      </c>
      <c r="H488" s="299" t="b">
        <v>0</v>
      </c>
      <c r="J488" s="113" t="str">
        <f t="shared" si="15"/>
        <v>944058806</v>
      </c>
      <c r="K488" s="113" t="str">
        <f t="shared" si="16"/>
        <v>CG00514</v>
      </c>
    </row>
    <row r="489" spans="1:11" x14ac:dyDescent="0.3">
      <c r="A489" s="298" t="s">
        <v>1940</v>
      </c>
      <c r="B489" s="298" t="s">
        <v>1941</v>
      </c>
      <c r="C489" s="298" t="s">
        <v>1942</v>
      </c>
      <c r="D489" s="298" t="s">
        <v>256</v>
      </c>
      <c r="E489" s="298"/>
      <c r="F489" s="298" t="s">
        <v>1943</v>
      </c>
      <c r="G489" s="299" t="b">
        <v>0</v>
      </c>
      <c r="H489" s="299" t="b">
        <v>0</v>
      </c>
      <c r="J489" s="113" t="str">
        <f t="shared" si="15"/>
        <v>912764419</v>
      </c>
      <c r="K489" s="113" t="str">
        <f t="shared" si="16"/>
        <v>CG00515</v>
      </c>
    </row>
    <row r="490" spans="1:11" x14ac:dyDescent="0.3">
      <c r="A490" s="298" t="s">
        <v>1944</v>
      </c>
      <c r="B490" s="298" t="s">
        <v>1945</v>
      </c>
      <c r="C490" s="298" t="s">
        <v>1946</v>
      </c>
      <c r="D490" s="298" t="s">
        <v>256</v>
      </c>
      <c r="E490" s="298"/>
      <c r="F490" s="298" t="s">
        <v>1947</v>
      </c>
      <c r="G490" s="299" t="b">
        <v>0</v>
      </c>
      <c r="H490" s="299" t="b">
        <v>0</v>
      </c>
      <c r="J490" s="113" t="str">
        <f t="shared" si="15"/>
        <v>977313999</v>
      </c>
      <c r="K490" s="113" t="str">
        <f t="shared" si="16"/>
        <v>CG00519</v>
      </c>
    </row>
    <row r="491" spans="1:11" x14ac:dyDescent="0.3">
      <c r="A491" s="298" t="s">
        <v>1948</v>
      </c>
      <c r="B491" s="298" t="s">
        <v>1949</v>
      </c>
      <c r="C491" s="298" t="s">
        <v>809</v>
      </c>
      <c r="D491" s="298" t="s">
        <v>256</v>
      </c>
      <c r="E491" s="298"/>
      <c r="F491" s="298" t="s">
        <v>1950</v>
      </c>
      <c r="G491" s="299" t="b">
        <v>0</v>
      </c>
      <c r="H491" s="299" t="b">
        <v>0</v>
      </c>
      <c r="J491" s="113" t="str">
        <f t="shared" si="15"/>
        <v>978262916</v>
      </c>
      <c r="K491" s="113" t="str">
        <f t="shared" si="16"/>
        <v>CG00520</v>
      </c>
    </row>
    <row r="492" spans="1:11" x14ac:dyDescent="0.3">
      <c r="A492" s="298" t="s">
        <v>1951</v>
      </c>
      <c r="B492" s="298" t="s">
        <v>1952</v>
      </c>
      <c r="C492" s="298" t="s">
        <v>809</v>
      </c>
      <c r="D492" s="298" t="s">
        <v>256</v>
      </c>
      <c r="E492" s="298"/>
      <c r="F492" s="298" t="s">
        <v>1953</v>
      </c>
      <c r="G492" s="299" t="b">
        <v>0</v>
      </c>
      <c r="H492" s="299" t="b">
        <v>0</v>
      </c>
      <c r="J492" s="113" t="str">
        <f t="shared" si="15"/>
        <v>966852182</v>
      </c>
      <c r="K492" s="113" t="str">
        <f t="shared" si="16"/>
        <v>CG00521</v>
      </c>
    </row>
    <row r="493" spans="1:11" x14ac:dyDescent="0.3">
      <c r="A493" s="298" t="s">
        <v>1954</v>
      </c>
      <c r="B493" s="298" t="s">
        <v>1955</v>
      </c>
      <c r="C493" s="298" t="s">
        <v>429</v>
      </c>
      <c r="D493" s="298" t="s">
        <v>256</v>
      </c>
      <c r="E493" s="298"/>
      <c r="F493" s="298" t="s">
        <v>1956</v>
      </c>
      <c r="G493" s="299" t="b">
        <v>0</v>
      </c>
      <c r="H493" s="299" t="b">
        <v>0</v>
      </c>
      <c r="J493" s="113" t="str">
        <f t="shared" si="15"/>
        <v>989135538</v>
      </c>
      <c r="K493" s="113" t="str">
        <f t="shared" si="16"/>
        <v>CG00522</v>
      </c>
    </row>
    <row r="494" spans="1:11" x14ac:dyDescent="0.3">
      <c r="A494" s="298" t="s">
        <v>1957</v>
      </c>
      <c r="B494" s="298" t="s">
        <v>1958</v>
      </c>
      <c r="C494" s="298" t="s">
        <v>416</v>
      </c>
      <c r="D494" s="298" t="s">
        <v>256</v>
      </c>
      <c r="E494" s="298"/>
      <c r="F494" s="298" t="s">
        <v>1959</v>
      </c>
      <c r="G494" s="299" t="b">
        <v>0</v>
      </c>
      <c r="H494" s="299" t="b">
        <v>0</v>
      </c>
      <c r="J494" s="113" t="str">
        <f t="shared" si="15"/>
        <v>966083092</v>
      </c>
      <c r="K494" s="113" t="str">
        <f t="shared" si="16"/>
        <v>CG00523</v>
      </c>
    </row>
    <row r="495" spans="1:11" x14ac:dyDescent="0.3">
      <c r="A495" s="298" t="s">
        <v>1960</v>
      </c>
      <c r="B495" s="298" t="s">
        <v>1961</v>
      </c>
      <c r="C495" s="298" t="s">
        <v>1587</v>
      </c>
      <c r="D495" s="298" t="s">
        <v>256</v>
      </c>
      <c r="E495" s="298"/>
      <c r="F495" s="298" t="s">
        <v>1962</v>
      </c>
      <c r="G495" s="299" t="b">
        <v>0</v>
      </c>
      <c r="H495" s="299" t="b">
        <v>0</v>
      </c>
      <c r="J495" s="113" t="str">
        <f t="shared" si="15"/>
        <v>915834085</v>
      </c>
      <c r="K495" s="113" t="str">
        <f t="shared" si="16"/>
        <v>CG00524</v>
      </c>
    </row>
    <row r="496" spans="1:11" x14ac:dyDescent="0.3">
      <c r="A496" s="298" t="s">
        <v>1963</v>
      </c>
      <c r="B496" s="298" t="s">
        <v>1964</v>
      </c>
      <c r="C496" s="298" t="s">
        <v>1965</v>
      </c>
      <c r="D496" s="298" t="s">
        <v>256</v>
      </c>
      <c r="E496" s="298"/>
      <c r="F496" s="298" t="s">
        <v>1966</v>
      </c>
      <c r="G496" s="299" t="b">
        <v>0</v>
      </c>
      <c r="H496" s="299" t="b">
        <v>0</v>
      </c>
      <c r="J496" s="113" t="str">
        <f t="shared" si="15"/>
        <v>363345555</v>
      </c>
      <c r="K496" s="113" t="str">
        <f t="shared" si="16"/>
        <v>CG00525</v>
      </c>
    </row>
    <row r="497" spans="1:11" x14ac:dyDescent="0.3">
      <c r="A497" s="298" t="s">
        <v>1967</v>
      </c>
      <c r="B497" s="298" t="s">
        <v>1968</v>
      </c>
      <c r="C497" s="298" t="s">
        <v>1969</v>
      </c>
      <c r="D497" s="298" t="s">
        <v>256</v>
      </c>
      <c r="E497" s="298"/>
      <c r="F497" s="298" t="s">
        <v>1970</v>
      </c>
      <c r="G497" s="299" t="b">
        <v>0</v>
      </c>
      <c r="H497" s="299" t="b">
        <v>0</v>
      </c>
      <c r="J497" s="113" t="str">
        <f t="shared" si="15"/>
        <v>388534484</v>
      </c>
      <c r="K497" s="113" t="str">
        <f t="shared" si="16"/>
        <v>CG00526</v>
      </c>
    </row>
    <row r="498" spans="1:11" x14ac:dyDescent="0.3">
      <c r="A498" s="298" t="s">
        <v>1971</v>
      </c>
      <c r="B498" s="298" t="s">
        <v>1972</v>
      </c>
      <c r="C498" s="298" t="s">
        <v>1973</v>
      </c>
      <c r="D498" s="298" t="s">
        <v>256</v>
      </c>
      <c r="E498" s="298"/>
      <c r="F498" s="298" t="s">
        <v>1974</v>
      </c>
      <c r="G498" s="299" t="b">
        <v>0</v>
      </c>
      <c r="H498" s="299" t="b">
        <v>0</v>
      </c>
      <c r="J498" s="113" t="str">
        <f t="shared" si="15"/>
        <v>904533202</v>
      </c>
      <c r="K498" s="113" t="str">
        <f t="shared" si="16"/>
        <v>CG00528</v>
      </c>
    </row>
    <row r="499" spans="1:11" x14ac:dyDescent="0.3">
      <c r="A499" s="298" t="s">
        <v>1975</v>
      </c>
      <c r="B499" s="298" t="s">
        <v>1976</v>
      </c>
      <c r="C499" s="298" t="s">
        <v>1977</v>
      </c>
      <c r="D499" s="298" t="s">
        <v>256</v>
      </c>
      <c r="E499" s="298" t="s">
        <v>1978</v>
      </c>
      <c r="F499" s="298" t="s">
        <v>1979</v>
      </c>
      <c r="G499" s="299" t="b">
        <v>0</v>
      </c>
      <c r="H499" s="299" t="b">
        <v>0</v>
      </c>
      <c r="J499" s="113" t="str">
        <f t="shared" si="15"/>
        <v>914319533</v>
      </c>
      <c r="K499" s="113" t="str">
        <f t="shared" si="16"/>
        <v>CG00529</v>
      </c>
    </row>
    <row r="500" spans="1:11" x14ac:dyDescent="0.3">
      <c r="A500" s="298" t="s">
        <v>1980</v>
      </c>
      <c r="B500" s="298" t="s">
        <v>1981</v>
      </c>
      <c r="C500" s="298" t="s">
        <v>809</v>
      </c>
      <c r="D500" s="298" t="s">
        <v>256</v>
      </c>
      <c r="E500" s="298"/>
      <c r="F500" s="298" t="s">
        <v>1982</v>
      </c>
      <c r="G500" s="299" t="b">
        <v>0</v>
      </c>
      <c r="H500" s="299" t="b">
        <v>0</v>
      </c>
      <c r="J500" s="113" t="str">
        <f t="shared" si="15"/>
        <v>334692367</v>
      </c>
      <c r="K500" s="113" t="str">
        <f t="shared" si="16"/>
        <v>CG00530</v>
      </c>
    </row>
    <row r="501" spans="1:11" x14ac:dyDescent="0.3">
      <c r="A501" s="298" t="s">
        <v>1983</v>
      </c>
      <c r="B501" s="298" t="s">
        <v>1984</v>
      </c>
      <c r="C501" s="298" t="s">
        <v>355</v>
      </c>
      <c r="D501" s="298" t="s">
        <v>256</v>
      </c>
      <c r="E501" s="298"/>
      <c r="F501" s="298" t="s">
        <v>1985</v>
      </c>
      <c r="G501" s="299" t="b">
        <v>0</v>
      </c>
      <c r="H501" s="299" t="b">
        <v>0</v>
      </c>
      <c r="J501" s="113" t="str">
        <f t="shared" si="15"/>
        <v>947101227</v>
      </c>
      <c r="K501" s="113" t="str">
        <f t="shared" si="16"/>
        <v>CG00531</v>
      </c>
    </row>
    <row r="502" spans="1:11" x14ac:dyDescent="0.3">
      <c r="A502" s="298" t="s">
        <v>1986</v>
      </c>
      <c r="B502" s="298" t="s">
        <v>1987</v>
      </c>
      <c r="C502" s="298" t="s">
        <v>1988</v>
      </c>
      <c r="D502" s="298" t="s">
        <v>256</v>
      </c>
      <c r="E502" s="298"/>
      <c r="F502" s="298" t="s">
        <v>1989</v>
      </c>
      <c r="G502" s="299" t="b">
        <v>0</v>
      </c>
      <c r="H502" s="299" t="b">
        <v>0</v>
      </c>
      <c r="J502" s="113" t="str">
        <f t="shared" si="15"/>
        <v>983216269</v>
      </c>
      <c r="K502" s="113" t="str">
        <f t="shared" si="16"/>
        <v>CG00532</v>
      </c>
    </row>
    <row r="503" spans="1:11" x14ac:dyDescent="0.3">
      <c r="A503" s="298" t="s">
        <v>1990</v>
      </c>
      <c r="B503" s="298" t="s">
        <v>1991</v>
      </c>
      <c r="C503" s="298" t="s">
        <v>809</v>
      </c>
      <c r="D503" s="298" t="s">
        <v>256</v>
      </c>
      <c r="E503" s="298"/>
      <c r="F503" s="298" t="s">
        <v>1992</v>
      </c>
      <c r="G503" s="299" t="b">
        <v>0</v>
      </c>
      <c r="H503" s="299" t="b">
        <v>0</v>
      </c>
      <c r="J503" s="113" t="str">
        <f t="shared" si="15"/>
        <v>347546735</v>
      </c>
      <c r="K503" s="113" t="str">
        <f t="shared" si="16"/>
        <v>CG00533</v>
      </c>
    </row>
    <row r="504" spans="1:11" x14ac:dyDescent="0.3">
      <c r="A504" s="298" t="s">
        <v>1993</v>
      </c>
      <c r="B504" s="298" t="s">
        <v>1994</v>
      </c>
      <c r="C504" s="298" t="s">
        <v>613</v>
      </c>
      <c r="D504" s="298" t="s">
        <v>256</v>
      </c>
      <c r="E504" s="298"/>
      <c r="F504" s="298" t="s">
        <v>1995</v>
      </c>
      <c r="G504" s="299" t="b">
        <v>0</v>
      </c>
      <c r="H504" s="299" t="b">
        <v>0</v>
      </c>
      <c r="J504" s="113" t="str">
        <f t="shared" si="15"/>
        <v>989567195</v>
      </c>
      <c r="K504" s="113" t="str">
        <f t="shared" si="16"/>
        <v>CG00534</v>
      </c>
    </row>
    <row r="505" spans="1:11" x14ac:dyDescent="0.3">
      <c r="A505" s="298" t="s">
        <v>1996</v>
      </c>
      <c r="B505" s="298" t="s">
        <v>1997</v>
      </c>
      <c r="C505" s="298" t="s">
        <v>1587</v>
      </c>
      <c r="D505" s="298" t="s">
        <v>256</v>
      </c>
      <c r="E505" s="298"/>
      <c r="F505" s="298" t="s">
        <v>1998</v>
      </c>
      <c r="G505" s="299" t="b">
        <v>0</v>
      </c>
      <c r="H505" s="299" t="b">
        <v>0</v>
      </c>
      <c r="J505" s="113" t="str">
        <f t="shared" si="15"/>
        <v>989202829</v>
      </c>
      <c r="K505" s="113" t="str">
        <f t="shared" si="16"/>
        <v>CG00535</v>
      </c>
    </row>
    <row r="506" spans="1:11" x14ac:dyDescent="0.3">
      <c r="A506" s="298" t="s">
        <v>1999</v>
      </c>
      <c r="B506" s="298" t="s">
        <v>2000</v>
      </c>
      <c r="C506" s="298" t="s">
        <v>474</v>
      </c>
      <c r="D506" s="298" t="s">
        <v>256</v>
      </c>
      <c r="E506" s="298"/>
      <c r="F506" s="298" t="s">
        <v>1797</v>
      </c>
      <c r="G506" s="299" t="b">
        <v>0</v>
      </c>
      <c r="H506" s="299" t="b">
        <v>0</v>
      </c>
      <c r="J506" s="113" t="str">
        <f t="shared" si="15"/>
        <v>976692623</v>
      </c>
      <c r="K506" s="113" t="str">
        <f t="shared" si="16"/>
        <v>CG00536</v>
      </c>
    </row>
    <row r="507" spans="1:11" x14ac:dyDescent="0.3">
      <c r="A507" s="298" t="s">
        <v>2001</v>
      </c>
      <c r="B507" s="298" t="s">
        <v>2002</v>
      </c>
      <c r="C507" s="298" t="s">
        <v>547</v>
      </c>
      <c r="D507" s="298" t="s">
        <v>256</v>
      </c>
      <c r="E507" s="298"/>
      <c r="F507" s="298" t="s">
        <v>2003</v>
      </c>
      <c r="G507" s="299" t="b">
        <v>0</v>
      </c>
      <c r="H507" s="299" t="b">
        <v>0</v>
      </c>
      <c r="J507" s="113" t="str">
        <f t="shared" si="15"/>
        <v>988142907</v>
      </c>
      <c r="K507" s="113" t="str">
        <f t="shared" si="16"/>
        <v>CG00537</v>
      </c>
    </row>
    <row r="508" spans="1:11" x14ac:dyDescent="0.3">
      <c r="A508" s="298" t="s">
        <v>2004</v>
      </c>
      <c r="B508" s="298" t="s">
        <v>2005</v>
      </c>
      <c r="C508" s="298" t="s">
        <v>292</v>
      </c>
      <c r="D508" s="298" t="s">
        <v>256</v>
      </c>
      <c r="E508" s="298"/>
      <c r="F508" s="298" t="s">
        <v>2006</v>
      </c>
      <c r="G508" s="299" t="b">
        <v>0</v>
      </c>
      <c r="H508" s="299" t="b">
        <v>0</v>
      </c>
      <c r="J508" s="113" t="str">
        <f t="shared" si="15"/>
        <v>913328544</v>
      </c>
      <c r="K508" s="113" t="str">
        <f t="shared" si="16"/>
        <v>CG00538</v>
      </c>
    </row>
    <row r="509" spans="1:11" x14ac:dyDescent="0.3">
      <c r="A509" s="298" t="s">
        <v>2007</v>
      </c>
      <c r="B509" s="298" t="s">
        <v>2008</v>
      </c>
      <c r="C509" s="298" t="s">
        <v>1386</v>
      </c>
      <c r="D509" s="298" t="s">
        <v>256</v>
      </c>
      <c r="E509" s="298"/>
      <c r="F509" s="298" t="s">
        <v>2009</v>
      </c>
      <c r="G509" s="299" t="b">
        <v>0</v>
      </c>
      <c r="H509" s="299" t="b">
        <v>0</v>
      </c>
      <c r="J509" s="113" t="str">
        <f t="shared" si="15"/>
        <v>912230250</v>
      </c>
      <c r="K509" s="113" t="str">
        <f t="shared" si="16"/>
        <v>CG00539</v>
      </c>
    </row>
    <row r="510" spans="1:11" x14ac:dyDescent="0.3">
      <c r="A510" s="298" t="s">
        <v>2010</v>
      </c>
      <c r="B510" s="298" t="s">
        <v>2011</v>
      </c>
      <c r="C510" s="298" t="s">
        <v>289</v>
      </c>
      <c r="D510" s="298" t="s">
        <v>256</v>
      </c>
      <c r="E510" s="298"/>
      <c r="F510" s="298" t="s">
        <v>2012</v>
      </c>
      <c r="G510" s="299" t="b">
        <v>0</v>
      </c>
      <c r="H510" s="299" t="b">
        <v>0</v>
      </c>
      <c r="J510" s="113" t="str">
        <f t="shared" si="15"/>
        <v>987671569</v>
      </c>
      <c r="K510" s="113" t="str">
        <f t="shared" si="16"/>
        <v>CG00540</v>
      </c>
    </row>
    <row r="511" spans="1:11" x14ac:dyDescent="0.3">
      <c r="A511" s="298" t="s">
        <v>2013</v>
      </c>
      <c r="B511" s="298" t="s">
        <v>2014</v>
      </c>
      <c r="C511" s="298" t="s">
        <v>2015</v>
      </c>
      <c r="D511" s="298" t="s">
        <v>256</v>
      </c>
      <c r="E511" s="298"/>
      <c r="F511" s="298" t="s">
        <v>2016</v>
      </c>
      <c r="G511" s="299" t="b">
        <v>0</v>
      </c>
      <c r="H511" s="299" t="b">
        <v>0</v>
      </c>
      <c r="J511" s="113" t="str">
        <f t="shared" si="15"/>
        <v>982710284</v>
      </c>
      <c r="K511" s="113" t="str">
        <f t="shared" si="16"/>
        <v>CG00541</v>
      </c>
    </row>
    <row r="512" spans="1:11" x14ac:dyDescent="0.3">
      <c r="A512" s="298" t="s">
        <v>2017</v>
      </c>
      <c r="B512" s="298" t="s">
        <v>2018</v>
      </c>
      <c r="C512" s="298" t="s">
        <v>409</v>
      </c>
      <c r="D512" s="298" t="s">
        <v>256</v>
      </c>
      <c r="E512" s="298"/>
      <c r="F512" s="298" t="s">
        <v>2019</v>
      </c>
      <c r="G512" s="299" t="b">
        <v>0</v>
      </c>
      <c r="H512" s="299" t="b">
        <v>0</v>
      </c>
      <c r="J512" s="113" t="str">
        <f t="shared" si="15"/>
        <v>356337876</v>
      </c>
      <c r="K512" s="113" t="str">
        <f t="shared" si="16"/>
        <v>CG00542</v>
      </c>
    </row>
    <row r="513" spans="1:11" x14ac:dyDescent="0.3">
      <c r="A513" s="298" t="s">
        <v>2020</v>
      </c>
      <c r="B513" s="298" t="s">
        <v>2021</v>
      </c>
      <c r="C513" s="298" t="s">
        <v>2022</v>
      </c>
      <c r="D513" s="298" t="s">
        <v>256</v>
      </c>
      <c r="E513" s="298"/>
      <c r="F513" s="298" t="s">
        <v>2023</v>
      </c>
      <c r="G513" s="299" t="b">
        <v>0</v>
      </c>
      <c r="H513" s="299" t="b">
        <v>0</v>
      </c>
      <c r="J513" s="113" t="str">
        <f t="shared" si="15"/>
        <v>965197907</v>
      </c>
      <c r="K513" s="113" t="str">
        <f t="shared" si="16"/>
        <v>CG00543</v>
      </c>
    </row>
    <row r="514" spans="1:11" x14ac:dyDescent="0.3">
      <c r="A514" s="298" t="s">
        <v>2024</v>
      </c>
      <c r="B514" s="298" t="s">
        <v>2025</v>
      </c>
      <c r="C514" s="298" t="s">
        <v>693</v>
      </c>
      <c r="D514" s="298" t="s">
        <v>256</v>
      </c>
      <c r="E514" s="298"/>
      <c r="F514" s="298" t="s">
        <v>2026</v>
      </c>
      <c r="G514" s="299" t="b">
        <v>0</v>
      </c>
      <c r="H514" s="299" t="b">
        <v>0</v>
      </c>
      <c r="J514" s="113" t="str">
        <f t="shared" si="15"/>
        <v>904247463</v>
      </c>
      <c r="K514" s="113" t="str">
        <f t="shared" si="16"/>
        <v>CG00544</v>
      </c>
    </row>
    <row r="515" spans="1:11" x14ac:dyDescent="0.3">
      <c r="A515" s="298" t="s">
        <v>2027</v>
      </c>
      <c r="B515" s="298" t="s">
        <v>2028</v>
      </c>
      <c r="C515" s="298" t="s">
        <v>2029</v>
      </c>
      <c r="D515" s="298" t="s">
        <v>256</v>
      </c>
      <c r="E515" s="298"/>
      <c r="F515" s="298" t="s">
        <v>2030</v>
      </c>
      <c r="G515" s="299" t="b">
        <v>0</v>
      </c>
      <c r="H515" s="299" t="b">
        <v>0</v>
      </c>
      <c r="J515" s="113" t="str">
        <f t="shared" si="15"/>
        <v>912378250</v>
      </c>
      <c r="K515" s="113" t="str">
        <f t="shared" si="16"/>
        <v>CG00545</v>
      </c>
    </row>
    <row r="516" spans="1:11" x14ac:dyDescent="0.3">
      <c r="A516" s="298" t="s">
        <v>2031</v>
      </c>
      <c r="B516" s="298" t="s">
        <v>2032</v>
      </c>
      <c r="C516" s="298" t="s">
        <v>416</v>
      </c>
      <c r="D516" s="298" t="s">
        <v>256</v>
      </c>
      <c r="E516" s="298"/>
      <c r="F516" s="298" t="s">
        <v>2033</v>
      </c>
      <c r="G516" s="299" t="b">
        <v>0</v>
      </c>
      <c r="H516" s="299" t="b">
        <v>0</v>
      </c>
      <c r="J516" s="113" t="str">
        <f t="shared" si="15"/>
        <v>983569070</v>
      </c>
      <c r="K516" s="113" t="str">
        <f t="shared" si="16"/>
        <v>CG00546</v>
      </c>
    </row>
    <row r="517" spans="1:11" x14ac:dyDescent="0.3">
      <c r="A517" s="298" t="s">
        <v>2034</v>
      </c>
      <c r="B517" s="298" t="s">
        <v>2035</v>
      </c>
      <c r="C517" s="298" t="s">
        <v>809</v>
      </c>
      <c r="D517" s="298" t="s">
        <v>256</v>
      </c>
      <c r="E517" s="298"/>
      <c r="F517" s="298" t="s">
        <v>2036</v>
      </c>
      <c r="G517" s="299" t="b">
        <v>0</v>
      </c>
      <c r="H517" s="299" t="b">
        <v>0</v>
      </c>
      <c r="J517" s="113" t="str">
        <f t="shared" ref="J517:J580" si="17">RIGHT(B517,9)</f>
        <v>347576735</v>
      </c>
      <c r="K517" s="113" t="str">
        <f t="shared" ref="K517:K580" si="18">A517</f>
        <v>CG00547</v>
      </c>
    </row>
    <row r="518" spans="1:11" x14ac:dyDescent="0.3">
      <c r="A518" s="298" t="s">
        <v>2037</v>
      </c>
      <c r="B518" s="298" t="s">
        <v>2038</v>
      </c>
      <c r="C518" s="298" t="s">
        <v>809</v>
      </c>
      <c r="D518" s="298" t="s">
        <v>256</v>
      </c>
      <c r="E518" s="298"/>
      <c r="F518" s="298" t="s">
        <v>2039</v>
      </c>
      <c r="G518" s="299" t="b">
        <v>0</v>
      </c>
      <c r="H518" s="299" t="b">
        <v>0</v>
      </c>
      <c r="J518" s="113" t="str">
        <f t="shared" si="17"/>
        <v>385924444</v>
      </c>
      <c r="K518" s="113" t="str">
        <f t="shared" si="18"/>
        <v>CG00548</v>
      </c>
    </row>
    <row r="519" spans="1:11" x14ac:dyDescent="0.3">
      <c r="A519" s="298" t="s">
        <v>2040</v>
      </c>
      <c r="B519" s="298" t="s">
        <v>2041</v>
      </c>
      <c r="C519" s="298" t="s">
        <v>261</v>
      </c>
      <c r="D519" s="298" t="s">
        <v>256</v>
      </c>
      <c r="E519" s="298"/>
      <c r="F519" s="298" t="s">
        <v>2042</v>
      </c>
      <c r="G519" s="299" t="b">
        <v>0</v>
      </c>
      <c r="H519" s="299" t="b">
        <v>0</v>
      </c>
      <c r="J519" s="113" t="str">
        <f t="shared" si="17"/>
        <v>902238666</v>
      </c>
      <c r="K519" s="113" t="str">
        <f t="shared" si="18"/>
        <v>CG00549</v>
      </c>
    </row>
    <row r="520" spans="1:11" x14ac:dyDescent="0.3">
      <c r="A520" s="298" t="s">
        <v>2043</v>
      </c>
      <c r="B520" s="298" t="s">
        <v>2044</v>
      </c>
      <c r="C520" s="298" t="s">
        <v>355</v>
      </c>
      <c r="D520" s="298" t="s">
        <v>256</v>
      </c>
      <c r="E520" s="298"/>
      <c r="F520" s="298" t="s">
        <v>2045</v>
      </c>
      <c r="G520" s="299" t="b">
        <v>0</v>
      </c>
      <c r="H520" s="299" t="b">
        <v>0</v>
      </c>
      <c r="J520" s="113" t="str">
        <f t="shared" si="17"/>
        <v>348096555</v>
      </c>
      <c r="K520" s="113" t="str">
        <f t="shared" si="18"/>
        <v>CG00550</v>
      </c>
    </row>
    <row r="521" spans="1:11" x14ac:dyDescent="0.3">
      <c r="A521" s="298" t="s">
        <v>2046</v>
      </c>
      <c r="B521" s="298" t="s">
        <v>2047</v>
      </c>
      <c r="C521" s="298" t="s">
        <v>332</v>
      </c>
      <c r="D521" s="298" t="s">
        <v>256</v>
      </c>
      <c r="E521" s="298"/>
      <c r="F521" s="298" t="s">
        <v>2048</v>
      </c>
      <c r="G521" s="299" t="b">
        <v>0</v>
      </c>
      <c r="H521" s="299" t="b">
        <v>0</v>
      </c>
      <c r="J521" s="113" t="str">
        <f t="shared" si="17"/>
        <v>915007147</v>
      </c>
      <c r="K521" s="113" t="str">
        <f t="shared" si="18"/>
        <v>CG00552</v>
      </c>
    </row>
    <row r="522" spans="1:11" x14ac:dyDescent="0.3">
      <c r="A522" s="298" t="s">
        <v>2049</v>
      </c>
      <c r="B522" s="298" t="s">
        <v>2050</v>
      </c>
      <c r="C522" s="298" t="s">
        <v>2051</v>
      </c>
      <c r="D522" s="298" t="s">
        <v>256</v>
      </c>
      <c r="E522" s="298"/>
      <c r="F522" s="298" t="s">
        <v>2052</v>
      </c>
      <c r="G522" s="299" t="b">
        <v>0</v>
      </c>
      <c r="H522" s="299" t="b">
        <v>0</v>
      </c>
      <c r="J522" s="113" t="str">
        <f t="shared" si="17"/>
        <v>945980999</v>
      </c>
      <c r="K522" s="113" t="str">
        <f t="shared" si="18"/>
        <v>CG00553</v>
      </c>
    </row>
    <row r="523" spans="1:11" x14ac:dyDescent="0.3">
      <c r="A523" s="298" t="s">
        <v>2053</v>
      </c>
      <c r="B523" s="298" t="s">
        <v>2054</v>
      </c>
      <c r="C523" s="298" t="s">
        <v>584</v>
      </c>
      <c r="D523" s="298" t="s">
        <v>256</v>
      </c>
      <c r="E523" s="298" t="s">
        <v>2055</v>
      </c>
      <c r="F523" s="298" t="s">
        <v>2056</v>
      </c>
      <c r="G523" s="299" t="b">
        <v>0</v>
      </c>
      <c r="H523" s="299" t="b">
        <v>0</v>
      </c>
      <c r="J523" s="113" t="str">
        <f t="shared" si="17"/>
        <v>946804888</v>
      </c>
      <c r="K523" s="113" t="str">
        <f t="shared" si="18"/>
        <v>CG00554</v>
      </c>
    </row>
    <row r="524" spans="1:11" x14ac:dyDescent="0.3">
      <c r="A524" s="298" t="s">
        <v>2057</v>
      </c>
      <c r="B524" s="298" t="s">
        <v>2058</v>
      </c>
      <c r="C524" s="298" t="s">
        <v>693</v>
      </c>
      <c r="D524" s="298" t="s">
        <v>256</v>
      </c>
      <c r="E524" s="298" t="s">
        <v>2059</v>
      </c>
      <c r="F524" s="298" t="s">
        <v>2060</v>
      </c>
      <c r="G524" s="299" t="b">
        <v>0</v>
      </c>
      <c r="H524" s="299" t="b">
        <v>0</v>
      </c>
      <c r="J524" s="113" t="str">
        <f t="shared" si="17"/>
        <v>946887799</v>
      </c>
      <c r="K524" s="113" t="str">
        <f t="shared" si="18"/>
        <v>CG00555</v>
      </c>
    </row>
    <row r="525" spans="1:11" x14ac:dyDescent="0.3">
      <c r="A525" s="298" t="s">
        <v>2061</v>
      </c>
      <c r="B525" s="298" t="s">
        <v>2062</v>
      </c>
      <c r="C525" s="298" t="s">
        <v>289</v>
      </c>
      <c r="D525" s="298" t="s">
        <v>256</v>
      </c>
      <c r="E525" s="298"/>
      <c r="F525" s="298" t="s">
        <v>2063</v>
      </c>
      <c r="G525" s="299" t="b">
        <v>0</v>
      </c>
      <c r="H525" s="299" t="b">
        <v>0</v>
      </c>
      <c r="J525" s="113" t="str">
        <f t="shared" si="17"/>
        <v>948001224</v>
      </c>
      <c r="K525" s="113" t="str">
        <f t="shared" si="18"/>
        <v>CG00556</v>
      </c>
    </row>
    <row r="526" spans="1:11" x14ac:dyDescent="0.3">
      <c r="A526" s="298" t="s">
        <v>2064</v>
      </c>
      <c r="B526" s="298" t="s">
        <v>2065</v>
      </c>
      <c r="C526" s="298" t="s">
        <v>2066</v>
      </c>
      <c r="D526" s="298" t="s">
        <v>256</v>
      </c>
      <c r="E526" s="298"/>
      <c r="F526" s="298" t="s">
        <v>2067</v>
      </c>
      <c r="G526" s="299" t="b">
        <v>0</v>
      </c>
      <c r="H526" s="299" t="b">
        <v>0</v>
      </c>
      <c r="J526" s="113" t="str">
        <f t="shared" si="17"/>
        <v>962308777</v>
      </c>
      <c r="K526" s="113" t="str">
        <f t="shared" si="18"/>
        <v>CG00557</v>
      </c>
    </row>
    <row r="527" spans="1:11" x14ac:dyDescent="0.3">
      <c r="A527" s="298" t="s">
        <v>2068</v>
      </c>
      <c r="B527" s="298" t="s">
        <v>2069</v>
      </c>
      <c r="C527" s="298" t="s">
        <v>711</v>
      </c>
      <c r="D527" s="298" t="s">
        <v>256</v>
      </c>
      <c r="E527" s="298"/>
      <c r="F527" s="298" t="s">
        <v>2070</v>
      </c>
      <c r="G527" s="299" t="b">
        <v>0</v>
      </c>
      <c r="H527" s="299" t="b">
        <v>0</v>
      </c>
      <c r="J527" s="113" t="str">
        <f t="shared" si="17"/>
        <v>973529815</v>
      </c>
      <c r="K527" s="113" t="str">
        <f t="shared" si="18"/>
        <v>CG00558</v>
      </c>
    </row>
    <row r="528" spans="1:11" x14ac:dyDescent="0.3">
      <c r="A528" s="298" t="s">
        <v>2071</v>
      </c>
      <c r="B528" s="298" t="s">
        <v>2072</v>
      </c>
      <c r="C528" s="298" t="s">
        <v>355</v>
      </c>
      <c r="D528" s="298" t="s">
        <v>256</v>
      </c>
      <c r="E528" s="298"/>
      <c r="F528" s="298" t="s">
        <v>2073</v>
      </c>
      <c r="G528" s="299" t="b">
        <v>0</v>
      </c>
      <c r="H528" s="299" t="b">
        <v>0</v>
      </c>
      <c r="J528" s="113" t="str">
        <f t="shared" si="17"/>
        <v>976890657</v>
      </c>
      <c r="K528" s="113" t="str">
        <f t="shared" si="18"/>
        <v>CG00559</v>
      </c>
    </row>
    <row r="529" spans="1:11" x14ac:dyDescent="0.3">
      <c r="A529" s="298" t="s">
        <v>2074</v>
      </c>
      <c r="B529" s="298" t="s">
        <v>2075</v>
      </c>
      <c r="C529" s="298" t="s">
        <v>1587</v>
      </c>
      <c r="D529" s="298" t="s">
        <v>256</v>
      </c>
      <c r="E529" s="298"/>
      <c r="F529" s="298" t="s">
        <v>2076</v>
      </c>
      <c r="G529" s="299" t="b">
        <v>0</v>
      </c>
      <c r="H529" s="299" t="b">
        <v>0</v>
      </c>
      <c r="J529" s="113" t="str">
        <f t="shared" si="17"/>
        <v>987009799</v>
      </c>
      <c r="K529" s="113" t="str">
        <f t="shared" si="18"/>
        <v>CG00560</v>
      </c>
    </row>
    <row r="530" spans="1:11" x14ac:dyDescent="0.3">
      <c r="A530" s="298" t="s">
        <v>2077</v>
      </c>
      <c r="B530" s="298" t="s">
        <v>2078</v>
      </c>
      <c r="C530" s="298" t="s">
        <v>1734</v>
      </c>
      <c r="D530" s="298" t="s">
        <v>256</v>
      </c>
      <c r="E530" s="298"/>
      <c r="F530" s="298" t="s">
        <v>2079</v>
      </c>
      <c r="G530" s="299" t="b">
        <v>0</v>
      </c>
      <c r="H530" s="299" t="b">
        <v>0</v>
      </c>
      <c r="J530" s="113" t="str">
        <f t="shared" si="17"/>
        <v>989626015</v>
      </c>
      <c r="K530" s="113" t="str">
        <f t="shared" si="18"/>
        <v>CG00561</v>
      </c>
    </row>
    <row r="531" spans="1:11" x14ac:dyDescent="0.3">
      <c r="A531" s="298" t="s">
        <v>2080</v>
      </c>
      <c r="B531" s="298" t="s">
        <v>2081</v>
      </c>
      <c r="C531" s="298" t="s">
        <v>1625</v>
      </c>
      <c r="D531" s="298" t="s">
        <v>256</v>
      </c>
      <c r="E531" s="298"/>
      <c r="F531" s="298" t="s">
        <v>2082</v>
      </c>
      <c r="G531" s="299" t="b">
        <v>0</v>
      </c>
      <c r="H531" s="299" t="b">
        <v>0</v>
      </c>
      <c r="J531" s="113" t="str">
        <f t="shared" si="17"/>
        <v>916375668</v>
      </c>
      <c r="K531" s="113" t="str">
        <f t="shared" si="18"/>
        <v>CG00563</v>
      </c>
    </row>
    <row r="532" spans="1:11" x14ac:dyDescent="0.3">
      <c r="A532" s="298" t="s">
        <v>2083</v>
      </c>
      <c r="B532" s="298" t="s">
        <v>2084</v>
      </c>
      <c r="C532" s="298" t="s">
        <v>1497</v>
      </c>
      <c r="D532" s="298" t="s">
        <v>256</v>
      </c>
      <c r="E532" s="298"/>
      <c r="F532" s="298" t="s">
        <v>2085</v>
      </c>
      <c r="G532" s="299" t="b">
        <v>0</v>
      </c>
      <c r="H532" s="299" t="b">
        <v>0</v>
      </c>
      <c r="J532" s="113" t="str">
        <f t="shared" si="17"/>
        <v>913375908</v>
      </c>
      <c r="K532" s="113" t="str">
        <f t="shared" si="18"/>
        <v>CG00568</v>
      </c>
    </row>
    <row r="533" spans="1:11" x14ac:dyDescent="0.3">
      <c r="A533" s="298" t="s">
        <v>2086</v>
      </c>
      <c r="B533" s="298" t="s">
        <v>2087</v>
      </c>
      <c r="C533" s="298" t="s">
        <v>892</v>
      </c>
      <c r="D533" s="298" t="s">
        <v>256</v>
      </c>
      <c r="E533" s="298"/>
      <c r="F533" s="298" t="s">
        <v>2088</v>
      </c>
      <c r="G533" s="299" t="b">
        <v>0</v>
      </c>
      <c r="H533" s="299" t="b">
        <v>0</v>
      </c>
      <c r="J533" s="113" t="str">
        <f t="shared" si="17"/>
        <v>912826702</v>
      </c>
      <c r="K533" s="113" t="str">
        <f t="shared" si="18"/>
        <v>CG00569</v>
      </c>
    </row>
    <row r="534" spans="1:11" x14ac:dyDescent="0.3">
      <c r="A534" s="298" t="s">
        <v>2089</v>
      </c>
      <c r="B534" s="298" t="s">
        <v>2090</v>
      </c>
      <c r="C534" s="298" t="s">
        <v>1587</v>
      </c>
      <c r="D534" s="298" t="s">
        <v>256</v>
      </c>
      <c r="E534" s="298"/>
      <c r="F534" s="298" t="s">
        <v>2091</v>
      </c>
      <c r="G534" s="299" t="b">
        <v>0</v>
      </c>
      <c r="H534" s="299" t="b">
        <v>0</v>
      </c>
      <c r="J534" s="113" t="str">
        <f t="shared" si="17"/>
        <v>334758888</v>
      </c>
      <c r="K534" s="113" t="str">
        <f t="shared" si="18"/>
        <v>CG00570</v>
      </c>
    </row>
    <row r="535" spans="1:11" x14ac:dyDescent="0.3">
      <c r="A535" s="298" t="s">
        <v>2092</v>
      </c>
      <c r="B535" s="298" t="s">
        <v>2093</v>
      </c>
      <c r="C535" s="298" t="s">
        <v>1237</v>
      </c>
      <c r="D535" s="298" t="s">
        <v>256</v>
      </c>
      <c r="E535" s="298"/>
      <c r="F535" s="298" t="s">
        <v>2094</v>
      </c>
      <c r="G535" s="299" t="b">
        <v>0</v>
      </c>
      <c r="H535" s="299" t="b">
        <v>0</v>
      </c>
      <c r="J535" s="113" t="str">
        <f t="shared" si="17"/>
        <v>983729577</v>
      </c>
      <c r="K535" s="113" t="str">
        <f t="shared" si="18"/>
        <v>CG00571</v>
      </c>
    </row>
    <row r="536" spans="1:11" x14ac:dyDescent="0.3">
      <c r="A536" s="298" t="s">
        <v>2095</v>
      </c>
      <c r="B536" s="298" t="s">
        <v>2096</v>
      </c>
      <c r="C536" s="298" t="s">
        <v>593</v>
      </c>
      <c r="D536" s="298" t="s">
        <v>256</v>
      </c>
      <c r="E536" s="298"/>
      <c r="F536" s="298" t="s">
        <v>2097</v>
      </c>
      <c r="G536" s="299" t="b">
        <v>0</v>
      </c>
      <c r="H536" s="299" t="b">
        <v>0</v>
      </c>
      <c r="J536" s="113" t="str">
        <f t="shared" si="17"/>
        <v>976366959</v>
      </c>
      <c r="K536" s="113" t="str">
        <f t="shared" si="18"/>
        <v>CG00572</v>
      </c>
    </row>
    <row r="537" spans="1:11" x14ac:dyDescent="0.3">
      <c r="A537" s="298" t="s">
        <v>2098</v>
      </c>
      <c r="B537" s="298" t="s">
        <v>2099</v>
      </c>
      <c r="C537" s="298" t="s">
        <v>2100</v>
      </c>
      <c r="D537" s="298" t="s">
        <v>256</v>
      </c>
      <c r="E537" s="298"/>
      <c r="F537" s="298" t="s">
        <v>2101</v>
      </c>
      <c r="G537" s="299" t="b">
        <v>0</v>
      </c>
      <c r="H537" s="299" t="b">
        <v>0</v>
      </c>
      <c r="J537" s="113" t="str">
        <f t="shared" si="17"/>
        <v>912295366</v>
      </c>
      <c r="K537" s="113" t="str">
        <f t="shared" si="18"/>
        <v>CG00573</v>
      </c>
    </row>
    <row r="538" spans="1:11" x14ac:dyDescent="0.3">
      <c r="A538" s="298" t="s">
        <v>2102</v>
      </c>
      <c r="B538" s="298" t="s">
        <v>2103</v>
      </c>
      <c r="C538" s="298" t="s">
        <v>335</v>
      </c>
      <c r="D538" s="298" t="s">
        <v>256</v>
      </c>
      <c r="E538" s="298"/>
      <c r="F538" s="298" t="s">
        <v>2104</v>
      </c>
      <c r="G538" s="299" t="b">
        <v>0</v>
      </c>
      <c r="H538" s="299" t="b">
        <v>0</v>
      </c>
      <c r="J538" s="113" t="str">
        <f t="shared" si="17"/>
        <v>982509308</v>
      </c>
      <c r="K538" s="113" t="str">
        <f t="shared" si="18"/>
        <v>CG00574</v>
      </c>
    </row>
    <row r="539" spans="1:11" x14ac:dyDescent="0.3">
      <c r="A539" s="298" t="s">
        <v>2105</v>
      </c>
      <c r="B539" s="298" t="s">
        <v>2106</v>
      </c>
      <c r="C539" s="298" t="s">
        <v>2107</v>
      </c>
      <c r="D539" s="298" t="s">
        <v>256</v>
      </c>
      <c r="E539" s="298"/>
      <c r="F539" s="298" t="s">
        <v>2108</v>
      </c>
      <c r="G539" s="299" t="b">
        <v>0</v>
      </c>
      <c r="H539" s="299" t="b">
        <v>0</v>
      </c>
      <c r="J539" s="113" t="str">
        <f t="shared" si="17"/>
        <v>382286337</v>
      </c>
      <c r="K539" s="113" t="str">
        <f t="shared" si="18"/>
        <v>CG00575</v>
      </c>
    </row>
    <row r="540" spans="1:11" x14ac:dyDescent="0.3">
      <c r="A540" s="298" t="s">
        <v>2109</v>
      </c>
      <c r="B540" s="298" t="s">
        <v>2110</v>
      </c>
      <c r="C540" s="298" t="s">
        <v>1093</v>
      </c>
      <c r="D540" s="298" t="s">
        <v>256</v>
      </c>
      <c r="E540" s="298"/>
      <c r="F540" s="298" t="s">
        <v>2111</v>
      </c>
      <c r="G540" s="299" t="b">
        <v>0</v>
      </c>
      <c r="H540" s="299" t="b">
        <v>0</v>
      </c>
      <c r="J540" s="113" t="str">
        <f t="shared" si="17"/>
        <v>913051512</v>
      </c>
      <c r="K540" s="113" t="str">
        <f t="shared" si="18"/>
        <v>CG00576</v>
      </c>
    </row>
    <row r="541" spans="1:11" x14ac:dyDescent="0.3">
      <c r="A541" s="298" t="s">
        <v>2112</v>
      </c>
      <c r="B541" s="298" t="s">
        <v>2113</v>
      </c>
      <c r="C541" s="298" t="s">
        <v>2114</v>
      </c>
      <c r="D541" s="298" t="s">
        <v>256</v>
      </c>
      <c r="E541" s="298"/>
      <c r="F541" s="298" t="s">
        <v>2115</v>
      </c>
      <c r="G541" s="299" t="b">
        <v>0</v>
      </c>
      <c r="H541" s="299" t="b">
        <v>0</v>
      </c>
      <c r="J541" s="113" t="str">
        <f t="shared" si="17"/>
        <v>987929575</v>
      </c>
      <c r="K541" s="113" t="str">
        <f t="shared" si="18"/>
        <v>CG00580</v>
      </c>
    </row>
    <row r="542" spans="1:11" x14ac:dyDescent="0.3">
      <c r="A542" s="298" t="s">
        <v>2116</v>
      </c>
      <c r="B542" s="298" t="s">
        <v>2117</v>
      </c>
      <c r="C542" s="298" t="s">
        <v>693</v>
      </c>
      <c r="D542" s="298" t="s">
        <v>256</v>
      </c>
      <c r="E542" s="298" t="s">
        <v>2118</v>
      </c>
      <c r="F542" s="298" t="s">
        <v>2119</v>
      </c>
      <c r="G542" s="299" t="b">
        <v>0</v>
      </c>
      <c r="H542" s="299" t="b">
        <v>0</v>
      </c>
      <c r="J542" s="113" t="str">
        <f t="shared" si="17"/>
        <v>108720860</v>
      </c>
      <c r="K542" s="113" t="str">
        <f t="shared" si="18"/>
        <v>CG00581</v>
      </c>
    </row>
    <row r="543" spans="1:11" x14ac:dyDescent="0.3">
      <c r="A543" s="298" t="s">
        <v>2120</v>
      </c>
      <c r="B543" s="298" t="s">
        <v>2121</v>
      </c>
      <c r="C543" s="298" t="s">
        <v>1508</v>
      </c>
      <c r="D543" s="298" t="s">
        <v>256</v>
      </c>
      <c r="E543" s="298"/>
      <c r="F543" s="298" t="s">
        <v>2122</v>
      </c>
      <c r="G543" s="299" t="b">
        <v>0</v>
      </c>
      <c r="H543" s="299" t="b">
        <v>0</v>
      </c>
      <c r="J543" s="113" t="str">
        <f t="shared" si="17"/>
        <v>904552838</v>
      </c>
      <c r="K543" s="113" t="str">
        <f t="shared" si="18"/>
        <v>CG00582</v>
      </c>
    </row>
    <row r="544" spans="1:11" x14ac:dyDescent="0.3">
      <c r="A544" s="298" t="s">
        <v>2123</v>
      </c>
      <c r="B544" s="298" t="s">
        <v>2124</v>
      </c>
      <c r="C544" s="298" t="s">
        <v>809</v>
      </c>
      <c r="D544" s="298" t="s">
        <v>256</v>
      </c>
      <c r="E544" s="298"/>
      <c r="F544" s="298" t="s">
        <v>2125</v>
      </c>
      <c r="G544" s="299" t="b">
        <v>0</v>
      </c>
      <c r="H544" s="299" t="b">
        <v>0</v>
      </c>
      <c r="J544" s="113" t="str">
        <f t="shared" si="17"/>
        <v>903451404</v>
      </c>
      <c r="K544" s="113" t="str">
        <f t="shared" si="18"/>
        <v>CG00583</v>
      </c>
    </row>
    <row r="545" spans="1:11" x14ac:dyDescent="0.3">
      <c r="A545" s="298" t="s">
        <v>2126</v>
      </c>
      <c r="B545" s="298" t="s">
        <v>2127</v>
      </c>
      <c r="C545" s="298" t="s">
        <v>672</v>
      </c>
      <c r="D545" s="298" t="s">
        <v>256</v>
      </c>
      <c r="E545" s="298"/>
      <c r="F545" s="298" t="s">
        <v>2128</v>
      </c>
      <c r="G545" s="299" t="b">
        <v>0</v>
      </c>
      <c r="H545" s="299" t="b">
        <v>0</v>
      </c>
      <c r="J545" s="113" t="str">
        <f t="shared" si="17"/>
        <v>914773431</v>
      </c>
      <c r="K545" s="113" t="str">
        <f t="shared" si="18"/>
        <v>CG00584</v>
      </c>
    </row>
    <row r="546" spans="1:11" x14ac:dyDescent="0.3">
      <c r="A546" s="298" t="s">
        <v>2129</v>
      </c>
      <c r="B546" s="298" t="s">
        <v>2130</v>
      </c>
      <c r="C546" s="298" t="s">
        <v>2131</v>
      </c>
      <c r="D546" s="298" t="s">
        <v>256</v>
      </c>
      <c r="E546" s="298" t="s">
        <v>2132</v>
      </c>
      <c r="F546" s="298" t="s">
        <v>2133</v>
      </c>
      <c r="G546" s="299" t="b">
        <v>0</v>
      </c>
      <c r="H546" s="299" t="b">
        <v>0</v>
      </c>
      <c r="J546" s="113" t="str">
        <f t="shared" si="17"/>
        <v>984662952</v>
      </c>
      <c r="K546" s="113" t="str">
        <f t="shared" si="18"/>
        <v>CG00585</v>
      </c>
    </row>
    <row r="547" spans="1:11" x14ac:dyDescent="0.3">
      <c r="A547" s="298" t="s">
        <v>2134</v>
      </c>
      <c r="B547" s="298" t="s">
        <v>2135</v>
      </c>
      <c r="C547" s="298" t="s">
        <v>2136</v>
      </c>
      <c r="D547" s="298" t="s">
        <v>256</v>
      </c>
      <c r="E547" s="298"/>
      <c r="F547" s="298" t="s">
        <v>2137</v>
      </c>
      <c r="G547" s="299" t="b">
        <v>0</v>
      </c>
      <c r="H547" s="299" t="b">
        <v>0</v>
      </c>
      <c r="J547" s="113" t="str">
        <f t="shared" si="17"/>
        <v>988080267</v>
      </c>
      <c r="K547" s="113" t="str">
        <f t="shared" si="18"/>
        <v>CG00586</v>
      </c>
    </row>
    <row r="548" spans="1:11" x14ac:dyDescent="0.3">
      <c r="A548" s="298" t="s">
        <v>2138</v>
      </c>
      <c r="B548" s="298" t="s">
        <v>2139</v>
      </c>
      <c r="C548" s="298" t="s">
        <v>1587</v>
      </c>
      <c r="D548" s="298" t="s">
        <v>256</v>
      </c>
      <c r="E548" s="298"/>
      <c r="F548" s="298" t="s">
        <v>2140</v>
      </c>
      <c r="G548" s="299" t="b">
        <v>0</v>
      </c>
      <c r="H548" s="299" t="b">
        <v>0</v>
      </c>
      <c r="J548" s="113" t="str">
        <f t="shared" si="17"/>
        <v>912426835</v>
      </c>
      <c r="K548" s="113" t="str">
        <f t="shared" si="18"/>
        <v>CG00587</v>
      </c>
    </row>
    <row r="549" spans="1:11" x14ac:dyDescent="0.3">
      <c r="A549" s="298" t="s">
        <v>2141</v>
      </c>
      <c r="B549" s="298" t="s">
        <v>2142</v>
      </c>
      <c r="C549" s="298" t="s">
        <v>2143</v>
      </c>
      <c r="D549" s="298" t="s">
        <v>256</v>
      </c>
      <c r="E549" s="298"/>
      <c r="F549" s="298" t="s">
        <v>2144</v>
      </c>
      <c r="G549" s="299" t="b">
        <v>0</v>
      </c>
      <c r="H549" s="299" t="b">
        <v>0</v>
      </c>
      <c r="J549" s="113" t="str">
        <f t="shared" si="17"/>
        <v>936191021</v>
      </c>
      <c r="K549" s="113" t="str">
        <f t="shared" si="18"/>
        <v>CG00588</v>
      </c>
    </row>
    <row r="550" spans="1:11" x14ac:dyDescent="0.3">
      <c r="A550" s="298" t="s">
        <v>2145</v>
      </c>
      <c r="B550" s="298" t="s">
        <v>2146</v>
      </c>
      <c r="C550" s="298" t="s">
        <v>355</v>
      </c>
      <c r="D550" s="298" t="s">
        <v>256</v>
      </c>
      <c r="E550" s="298"/>
      <c r="F550" s="298" t="s">
        <v>2147</v>
      </c>
      <c r="G550" s="299" t="b">
        <v>0</v>
      </c>
      <c r="H550" s="299" t="b">
        <v>0</v>
      </c>
      <c r="J550" s="113" t="str">
        <f t="shared" si="17"/>
        <v>912554365</v>
      </c>
      <c r="K550" s="113" t="str">
        <f t="shared" si="18"/>
        <v>CG00589</v>
      </c>
    </row>
    <row r="551" spans="1:11" x14ac:dyDescent="0.3">
      <c r="A551" s="298" t="s">
        <v>2148</v>
      </c>
      <c r="B551" s="298" t="s">
        <v>2149</v>
      </c>
      <c r="C551" s="298" t="s">
        <v>2150</v>
      </c>
      <c r="D551" s="298" t="s">
        <v>256</v>
      </c>
      <c r="E551" s="298"/>
      <c r="F551" s="298" t="s">
        <v>2151</v>
      </c>
      <c r="G551" s="299" t="b">
        <v>0</v>
      </c>
      <c r="H551" s="299" t="b">
        <v>0</v>
      </c>
      <c r="J551" s="113" t="str">
        <f t="shared" si="17"/>
        <v>983522688</v>
      </c>
      <c r="K551" s="113" t="str">
        <f t="shared" si="18"/>
        <v>CG00590</v>
      </c>
    </row>
    <row r="552" spans="1:11" x14ac:dyDescent="0.3">
      <c r="A552" s="298" t="s">
        <v>2152</v>
      </c>
      <c r="B552" s="298" t="s">
        <v>2153</v>
      </c>
      <c r="C552" s="298" t="s">
        <v>1103</v>
      </c>
      <c r="D552" s="298" t="s">
        <v>256</v>
      </c>
      <c r="E552" s="298"/>
      <c r="F552" s="298" t="s">
        <v>2154</v>
      </c>
      <c r="G552" s="299" t="b">
        <v>0</v>
      </c>
      <c r="H552" s="299" t="b">
        <v>0</v>
      </c>
      <c r="J552" s="113" t="str">
        <f t="shared" si="17"/>
        <v>988207924</v>
      </c>
      <c r="K552" s="113" t="str">
        <f t="shared" si="18"/>
        <v>CG00591</v>
      </c>
    </row>
    <row r="553" spans="1:11" x14ac:dyDescent="0.3">
      <c r="A553" s="298" t="s">
        <v>2155</v>
      </c>
      <c r="B553" s="298" t="s">
        <v>2156</v>
      </c>
      <c r="C553" s="298" t="s">
        <v>1335</v>
      </c>
      <c r="D553" s="298" t="s">
        <v>256</v>
      </c>
      <c r="E553" s="298"/>
      <c r="F553" s="298" t="s">
        <v>2157</v>
      </c>
      <c r="G553" s="299" t="b">
        <v>0</v>
      </c>
      <c r="H553" s="299" t="b">
        <v>0</v>
      </c>
      <c r="J553" s="113" t="str">
        <f t="shared" si="17"/>
        <v>987866552</v>
      </c>
      <c r="K553" s="113" t="str">
        <f t="shared" si="18"/>
        <v>CG00592</v>
      </c>
    </row>
    <row r="554" spans="1:11" x14ac:dyDescent="0.3">
      <c r="A554" s="298" t="s">
        <v>2158</v>
      </c>
      <c r="B554" s="298" t="s">
        <v>2159</v>
      </c>
      <c r="C554" s="298" t="s">
        <v>2160</v>
      </c>
      <c r="D554" s="298" t="s">
        <v>256</v>
      </c>
      <c r="E554" s="298"/>
      <c r="F554" s="298" t="s">
        <v>2161</v>
      </c>
      <c r="G554" s="299" t="b">
        <v>0</v>
      </c>
      <c r="H554" s="299" t="b">
        <v>0</v>
      </c>
      <c r="J554" s="113" t="str">
        <f t="shared" si="17"/>
        <v>903415013</v>
      </c>
      <c r="K554" s="113" t="str">
        <f t="shared" si="18"/>
        <v>CG00593</v>
      </c>
    </row>
    <row r="555" spans="1:11" x14ac:dyDescent="0.3">
      <c r="A555" s="298" t="s">
        <v>2162</v>
      </c>
      <c r="B555" s="298" t="s">
        <v>2163</v>
      </c>
      <c r="C555" s="298" t="s">
        <v>474</v>
      </c>
      <c r="D555" s="298" t="s">
        <v>256</v>
      </c>
      <c r="E555" s="298"/>
      <c r="F555" s="298" t="s">
        <v>2164</v>
      </c>
      <c r="G555" s="299" t="b">
        <v>0</v>
      </c>
      <c r="H555" s="299" t="b">
        <v>0</v>
      </c>
      <c r="J555" s="113" t="str">
        <f t="shared" si="17"/>
        <v>989311578</v>
      </c>
      <c r="K555" s="113" t="str">
        <f t="shared" si="18"/>
        <v>CG00594</v>
      </c>
    </row>
    <row r="556" spans="1:11" x14ac:dyDescent="0.3">
      <c r="A556" s="298" t="s">
        <v>2165</v>
      </c>
      <c r="B556" s="298" t="s">
        <v>2166</v>
      </c>
      <c r="C556" s="298" t="s">
        <v>317</v>
      </c>
      <c r="D556" s="298" t="s">
        <v>256</v>
      </c>
      <c r="E556" s="298"/>
      <c r="F556" s="298" t="s">
        <v>2167</v>
      </c>
      <c r="G556" s="299" t="b">
        <v>0</v>
      </c>
      <c r="H556" s="299" t="b">
        <v>0</v>
      </c>
      <c r="J556" s="113" t="str">
        <f t="shared" si="17"/>
        <v>919154905</v>
      </c>
      <c r="K556" s="113" t="str">
        <f t="shared" si="18"/>
        <v>CG00595</v>
      </c>
    </row>
    <row r="557" spans="1:11" x14ac:dyDescent="0.3">
      <c r="A557" s="298" t="s">
        <v>2168</v>
      </c>
      <c r="B557" s="298" t="s">
        <v>2169</v>
      </c>
      <c r="C557" s="298" t="s">
        <v>2170</v>
      </c>
      <c r="D557" s="298" t="s">
        <v>256</v>
      </c>
      <c r="E557" s="298"/>
      <c r="F557" s="298" t="s">
        <v>2171</v>
      </c>
      <c r="G557" s="299" t="b">
        <v>0</v>
      </c>
      <c r="H557" s="299" t="b">
        <v>0</v>
      </c>
      <c r="J557" s="113" t="str">
        <f t="shared" si="17"/>
        <v>977974964</v>
      </c>
      <c r="K557" s="113" t="str">
        <f t="shared" si="18"/>
        <v>CG00596</v>
      </c>
    </row>
    <row r="558" spans="1:11" x14ac:dyDescent="0.3">
      <c r="A558" s="298" t="s">
        <v>2172</v>
      </c>
      <c r="B558" s="298" t="s">
        <v>2173</v>
      </c>
      <c r="C558" s="298" t="s">
        <v>809</v>
      </c>
      <c r="D558" s="298" t="s">
        <v>256</v>
      </c>
      <c r="E558" s="298"/>
      <c r="F558" s="298" t="s">
        <v>2174</v>
      </c>
      <c r="G558" s="299" t="b">
        <v>0</v>
      </c>
      <c r="H558" s="299" t="b">
        <v>0</v>
      </c>
      <c r="J558" s="113" t="str">
        <f t="shared" si="17"/>
        <v>977701115</v>
      </c>
      <c r="K558" s="113" t="str">
        <f t="shared" si="18"/>
        <v>CG00597</v>
      </c>
    </row>
    <row r="559" spans="1:11" x14ac:dyDescent="0.3">
      <c r="A559" s="298" t="s">
        <v>2175</v>
      </c>
      <c r="B559" s="298" t="s">
        <v>2176</v>
      </c>
      <c r="C559" s="298" t="s">
        <v>317</v>
      </c>
      <c r="D559" s="298" t="s">
        <v>256</v>
      </c>
      <c r="E559" s="298"/>
      <c r="F559" s="298" t="s">
        <v>2177</v>
      </c>
      <c r="G559" s="299" t="b">
        <v>0</v>
      </c>
      <c r="H559" s="299" t="b">
        <v>0</v>
      </c>
      <c r="J559" s="113" t="str">
        <f t="shared" si="17"/>
        <v>915644999</v>
      </c>
      <c r="K559" s="113" t="str">
        <f t="shared" si="18"/>
        <v>CG00598</v>
      </c>
    </row>
    <row r="560" spans="1:11" x14ac:dyDescent="0.3">
      <c r="A560" s="298" t="s">
        <v>2178</v>
      </c>
      <c r="B560" s="298" t="s">
        <v>2179</v>
      </c>
      <c r="C560" s="298" t="s">
        <v>286</v>
      </c>
      <c r="D560" s="298" t="s">
        <v>256</v>
      </c>
      <c r="E560" s="298"/>
      <c r="F560" s="298" t="s">
        <v>2180</v>
      </c>
      <c r="G560" s="299" t="b">
        <v>0</v>
      </c>
      <c r="H560" s="299" t="b">
        <v>0</v>
      </c>
      <c r="J560" s="113" t="str">
        <f t="shared" si="17"/>
        <v>915061564</v>
      </c>
      <c r="K560" s="113" t="str">
        <f t="shared" si="18"/>
        <v>CG00599</v>
      </c>
    </row>
    <row r="561" spans="1:11" x14ac:dyDescent="0.3">
      <c r="A561" s="298" t="s">
        <v>2181</v>
      </c>
      <c r="B561" s="298" t="s">
        <v>2182</v>
      </c>
      <c r="C561" s="298" t="s">
        <v>1237</v>
      </c>
      <c r="D561" s="298" t="s">
        <v>256</v>
      </c>
      <c r="E561" s="298"/>
      <c r="F561" s="298" t="s">
        <v>2183</v>
      </c>
      <c r="G561" s="299" t="b">
        <v>0</v>
      </c>
      <c r="H561" s="299" t="b">
        <v>0</v>
      </c>
      <c r="J561" s="113" t="str">
        <f t="shared" si="17"/>
        <v>916060958</v>
      </c>
      <c r="K561" s="113" t="str">
        <f t="shared" si="18"/>
        <v>CG00600</v>
      </c>
    </row>
    <row r="562" spans="1:11" x14ac:dyDescent="0.3">
      <c r="A562" s="298" t="s">
        <v>2184</v>
      </c>
      <c r="B562" s="298" t="s">
        <v>2185</v>
      </c>
      <c r="C562" s="298" t="s">
        <v>2186</v>
      </c>
      <c r="D562" s="298" t="s">
        <v>256</v>
      </c>
      <c r="E562" s="298"/>
      <c r="F562" s="298" t="s">
        <v>2187</v>
      </c>
      <c r="G562" s="299" t="b">
        <v>0</v>
      </c>
      <c r="H562" s="299" t="b">
        <v>0</v>
      </c>
      <c r="J562" s="113" t="str">
        <f t="shared" si="17"/>
        <v>903425932</v>
      </c>
      <c r="K562" s="113" t="str">
        <f t="shared" si="18"/>
        <v>CG00601</v>
      </c>
    </row>
    <row r="563" spans="1:11" x14ac:dyDescent="0.3">
      <c r="A563" s="298" t="s">
        <v>2188</v>
      </c>
      <c r="B563" s="298" t="s">
        <v>2189</v>
      </c>
      <c r="C563" s="298" t="s">
        <v>1587</v>
      </c>
      <c r="D563" s="298" t="s">
        <v>256</v>
      </c>
      <c r="E563" s="298"/>
      <c r="F563" s="298" t="s">
        <v>2190</v>
      </c>
      <c r="G563" s="299" t="b">
        <v>0</v>
      </c>
      <c r="H563" s="299" t="b">
        <v>0</v>
      </c>
      <c r="J563" s="113" t="str">
        <f t="shared" si="17"/>
        <v>912280559</v>
      </c>
      <c r="K563" s="113" t="str">
        <f t="shared" si="18"/>
        <v>CG00602</v>
      </c>
    </row>
    <row r="564" spans="1:11" x14ac:dyDescent="0.3">
      <c r="A564" s="298" t="s">
        <v>2191</v>
      </c>
      <c r="B564" s="298" t="s">
        <v>2192</v>
      </c>
      <c r="C564" s="298" t="s">
        <v>2193</v>
      </c>
      <c r="D564" s="298" t="s">
        <v>256</v>
      </c>
      <c r="E564" s="298"/>
      <c r="F564" s="298" t="s">
        <v>2194</v>
      </c>
      <c r="G564" s="299" t="b">
        <v>0</v>
      </c>
      <c r="H564" s="299" t="b">
        <v>0</v>
      </c>
      <c r="J564" s="113" t="str">
        <f t="shared" si="17"/>
        <v>913259637</v>
      </c>
      <c r="K564" s="113" t="str">
        <f t="shared" si="18"/>
        <v>CG00603</v>
      </c>
    </row>
    <row r="565" spans="1:11" x14ac:dyDescent="0.3">
      <c r="A565" s="298" t="s">
        <v>2195</v>
      </c>
      <c r="B565" s="298" t="s">
        <v>2196</v>
      </c>
      <c r="C565" s="298" t="s">
        <v>286</v>
      </c>
      <c r="D565" s="298" t="s">
        <v>256</v>
      </c>
      <c r="E565" s="298"/>
      <c r="F565" s="298" t="s">
        <v>2197</v>
      </c>
      <c r="G565" s="299" t="b">
        <v>0</v>
      </c>
      <c r="H565" s="299" t="b">
        <v>0</v>
      </c>
      <c r="J565" s="113" t="str">
        <f t="shared" si="17"/>
        <v>977019823</v>
      </c>
      <c r="K565" s="113" t="str">
        <f t="shared" si="18"/>
        <v>CG00604</v>
      </c>
    </row>
    <row r="566" spans="1:11" x14ac:dyDescent="0.3">
      <c r="A566" s="298" t="s">
        <v>2198</v>
      </c>
      <c r="B566" s="298" t="s">
        <v>2199</v>
      </c>
      <c r="C566" s="298" t="s">
        <v>1488</v>
      </c>
      <c r="D566" s="298" t="s">
        <v>256</v>
      </c>
      <c r="E566" s="298"/>
      <c r="F566" s="298" t="s">
        <v>2200</v>
      </c>
      <c r="G566" s="299" t="b">
        <v>0</v>
      </c>
      <c r="H566" s="299" t="b">
        <v>0</v>
      </c>
      <c r="J566" s="113" t="str">
        <f t="shared" si="17"/>
        <v>913064565</v>
      </c>
      <c r="K566" s="113" t="str">
        <f t="shared" si="18"/>
        <v>CG00605</v>
      </c>
    </row>
    <row r="567" spans="1:11" x14ac:dyDescent="0.3">
      <c r="A567" s="298" t="s">
        <v>2201</v>
      </c>
      <c r="B567" s="298" t="s">
        <v>2202</v>
      </c>
      <c r="C567" s="298" t="s">
        <v>809</v>
      </c>
      <c r="D567" s="298" t="s">
        <v>256</v>
      </c>
      <c r="E567" s="298"/>
      <c r="F567" s="298" t="s">
        <v>2203</v>
      </c>
      <c r="G567" s="299" t="b">
        <v>0</v>
      </c>
      <c r="H567" s="299" t="b">
        <v>0</v>
      </c>
      <c r="J567" s="113" t="str">
        <f t="shared" si="17"/>
        <v>984034548</v>
      </c>
      <c r="K567" s="113" t="str">
        <f t="shared" si="18"/>
        <v>CG00606</v>
      </c>
    </row>
    <row r="568" spans="1:11" x14ac:dyDescent="0.3">
      <c r="A568" s="298" t="s">
        <v>2204</v>
      </c>
      <c r="B568" s="298" t="s">
        <v>2205</v>
      </c>
      <c r="C568" s="298" t="s">
        <v>506</v>
      </c>
      <c r="D568" s="298" t="s">
        <v>256</v>
      </c>
      <c r="E568" s="298"/>
      <c r="F568" s="298" t="s">
        <v>2206</v>
      </c>
      <c r="G568" s="299" t="b">
        <v>0</v>
      </c>
      <c r="H568" s="299" t="b">
        <v>0</v>
      </c>
      <c r="J568" s="113" t="str">
        <f t="shared" si="17"/>
        <v>914388726</v>
      </c>
      <c r="K568" s="113" t="str">
        <f t="shared" si="18"/>
        <v>CG00607</v>
      </c>
    </row>
    <row r="569" spans="1:11" x14ac:dyDescent="0.3">
      <c r="A569" s="298" t="s">
        <v>2207</v>
      </c>
      <c r="B569" s="298" t="s">
        <v>2208</v>
      </c>
      <c r="C569" s="298" t="s">
        <v>1011</v>
      </c>
      <c r="D569" s="298" t="s">
        <v>256</v>
      </c>
      <c r="E569" s="298"/>
      <c r="F569" s="298" t="s">
        <v>2209</v>
      </c>
      <c r="G569" s="299" t="b">
        <v>0</v>
      </c>
      <c r="H569" s="299" t="b">
        <v>0</v>
      </c>
      <c r="J569" s="113" t="str">
        <f t="shared" si="17"/>
        <v>978257372</v>
      </c>
      <c r="K569" s="113" t="str">
        <f t="shared" si="18"/>
        <v>CG00608</v>
      </c>
    </row>
    <row r="570" spans="1:11" x14ac:dyDescent="0.3">
      <c r="A570" s="298" t="s">
        <v>2210</v>
      </c>
      <c r="B570" s="298" t="s">
        <v>2211</v>
      </c>
      <c r="C570" s="298" t="s">
        <v>711</v>
      </c>
      <c r="D570" s="298" t="s">
        <v>256</v>
      </c>
      <c r="E570" s="298"/>
      <c r="F570" s="298" t="s">
        <v>2212</v>
      </c>
      <c r="G570" s="299" t="b">
        <v>0</v>
      </c>
      <c r="H570" s="299" t="b">
        <v>0</v>
      </c>
      <c r="J570" s="113" t="str">
        <f t="shared" si="17"/>
        <v>976657152</v>
      </c>
      <c r="K570" s="113" t="str">
        <f t="shared" si="18"/>
        <v>CG00609</v>
      </c>
    </row>
    <row r="571" spans="1:11" x14ac:dyDescent="0.3">
      <c r="A571" s="298" t="s">
        <v>2213</v>
      </c>
      <c r="B571" s="298" t="s">
        <v>2214</v>
      </c>
      <c r="C571" s="298" t="s">
        <v>463</v>
      </c>
      <c r="D571" s="298" t="s">
        <v>256</v>
      </c>
      <c r="E571" s="298"/>
      <c r="F571" s="298" t="s">
        <v>2215</v>
      </c>
      <c r="G571" s="299" t="b">
        <v>0</v>
      </c>
      <c r="H571" s="299" t="b">
        <v>0</v>
      </c>
      <c r="J571" s="113" t="str">
        <f t="shared" si="17"/>
        <v>974072257</v>
      </c>
      <c r="K571" s="113" t="str">
        <f t="shared" si="18"/>
        <v>CG00610</v>
      </c>
    </row>
    <row r="572" spans="1:11" x14ac:dyDescent="0.3">
      <c r="A572" s="298" t="s">
        <v>2216</v>
      </c>
      <c r="B572" s="298" t="s">
        <v>2217</v>
      </c>
      <c r="C572" s="298" t="s">
        <v>1508</v>
      </c>
      <c r="D572" s="298" t="s">
        <v>256</v>
      </c>
      <c r="E572" s="298"/>
      <c r="F572" s="298" t="s">
        <v>2218</v>
      </c>
      <c r="G572" s="299" t="b">
        <v>0</v>
      </c>
      <c r="H572" s="299" t="b">
        <v>0</v>
      </c>
      <c r="J572" s="113" t="str">
        <f t="shared" si="17"/>
        <v>989393557</v>
      </c>
      <c r="K572" s="113" t="str">
        <f t="shared" si="18"/>
        <v>CG00611</v>
      </c>
    </row>
    <row r="573" spans="1:11" x14ac:dyDescent="0.3">
      <c r="A573" s="298" t="s">
        <v>2219</v>
      </c>
      <c r="B573" s="298" t="s">
        <v>2220</v>
      </c>
      <c r="C573" s="298" t="s">
        <v>1508</v>
      </c>
      <c r="D573" s="298" t="s">
        <v>256</v>
      </c>
      <c r="E573" s="298"/>
      <c r="F573" s="298" t="s">
        <v>2221</v>
      </c>
      <c r="G573" s="299" t="b">
        <v>0</v>
      </c>
      <c r="H573" s="299" t="b">
        <v>0</v>
      </c>
      <c r="J573" s="113" t="str">
        <f t="shared" si="17"/>
        <v>989250669</v>
      </c>
      <c r="K573" s="113" t="str">
        <f t="shared" si="18"/>
        <v>CG00612</v>
      </c>
    </row>
    <row r="574" spans="1:11" x14ac:dyDescent="0.3">
      <c r="A574" s="298" t="s">
        <v>2222</v>
      </c>
      <c r="B574" s="298" t="s">
        <v>2223</v>
      </c>
      <c r="C574" s="298" t="s">
        <v>2224</v>
      </c>
      <c r="D574" s="298" t="s">
        <v>256</v>
      </c>
      <c r="E574" s="298"/>
      <c r="F574" s="298" t="s">
        <v>2225</v>
      </c>
      <c r="G574" s="299" t="b">
        <v>0</v>
      </c>
      <c r="H574" s="299" t="b">
        <v>0</v>
      </c>
      <c r="J574" s="113" t="str">
        <f t="shared" si="17"/>
        <v>904929789</v>
      </c>
      <c r="K574" s="113" t="str">
        <f t="shared" si="18"/>
        <v>CG00613</v>
      </c>
    </row>
    <row r="575" spans="1:11" x14ac:dyDescent="0.3">
      <c r="A575" s="298" t="s">
        <v>2226</v>
      </c>
      <c r="B575" s="298" t="s">
        <v>2227</v>
      </c>
      <c r="C575" s="298" t="s">
        <v>1508</v>
      </c>
      <c r="D575" s="298" t="s">
        <v>256</v>
      </c>
      <c r="E575" s="298"/>
      <c r="F575" s="298" t="s">
        <v>2228</v>
      </c>
      <c r="G575" s="299" t="b">
        <v>0</v>
      </c>
      <c r="H575" s="299" t="b">
        <v>0</v>
      </c>
      <c r="J575" s="113" t="str">
        <f t="shared" si="17"/>
        <v>977403766</v>
      </c>
      <c r="K575" s="113" t="str">
        <f t="shared" si="18"/>
        <v>CG00614</v>
      </c>
    </row>
    <row r="576" spans="1:11" x14ac:dyDescent="0.3">
      <c r="A576" s="298" t="s">
        <v>2229</v>
      </c>
      <c r="B576" s="298" t="s">
        <v>2230</v>
      </c>
      <c r="C576" s="298" t="s">
        <v>1508</v>
      </c>
      <c r="D576" s="298" t="s">
        <v>256</v>
      </c>
      <c r="E576" s="298"/>
      <c r="F576" s="298" t="s">
        <v>2231</v>
      </c>
      <c r="G576" s="299" t="b">
        <v>0</v>
      </c>
      <c r="H576" s="299" t="b">
        <v>0</v>
      </c>
      <c r="J576" s="113" t="str">
        <f t="shared" si="17"/>
        <v>972137203</v>
      </c>
      <c r="K576" s="113" t="str">
        <f t="shared" si="18"/>
        <v>CG00615</v>
      </c>
    </row>
    <row r="577" spans="1:11" x14ac:dyDescent="0.3">
      <c r="A577" s="298" t="s">
        <v>2232</v>
      </c>
      <c r="B577" s="298" t="s">
        <v>2233</v>
      </c>
      <c r="C577" s="298" t="s">
        <v>845</v>
      </c>
      <c r="D577" s="298" t="s">
        <v>256</v>
      </c>
      <c r="E577" s="298"/>
      <c r="F577" s="298" t="s">
        <v>2234</v>
      </c>
      <c r="G577" s="299" t="b">
        <v>0</v>
      </c>
      <c r="H577" s="299" t="b">
        <v>0</v>
      </c>
      <c r="J577" s="113" t="str">
        <f t="shared" si="17"/>
        <v>985919872</v>
      </c>
      <c r="K577" s="113" t="str">
        <f t="shared" si="18"/>
        <v>CG00616</v>
      </c>
    </row>
    <row r="578" spans="1:11" x14ac:dyDescent="0.3">
      <c r="A578" s="298" t="s">
        <v>2235</v>
      </c>
      <c r="B578" s="298" t="s">
        <v>2236</v>
      </c>
      <c r="C578" s="298" t="s">
        <v>565</v>
      </c>
      <c r="D578" s="298" t="s">
        <v>256</v>
      </c>
      <c r="E578" s="298"/>
      <c r="F578" s="298" t="s">
        <v>2237</v>
      </c>
      <c r="G578" s="299" t="b">
        <v>0</v>
      </c>
      <c r="H578" s="299" t="b">
        <v>0</v>
      </c>
      <c r="J578" s="113" t="str">
        <f t="shared" si="17"/>
        <v>983123986</v>
      </c>
      <c r="K578" s="113" t="str">
        <f t="shared" si="18"/>
        <v>CG00617</v>
      </c>
    </row>
    <row r="579" spans="1:11" x14ac:dyDescent="0.3">
      <c r="A579" s="298" t="s">
        <v>2238</v>
      </c>
      <c r="B579" s="298" t="s">
        <v>2239</v>
      </c>
      <c r="C579" s="298" t="s">
        <v>390</v>
      </c>
      <c r="D579" s="298" t="s">
        <v>256</v>
      </c>
      <c r="E579" s="298"/>
      <c r="F579" s="298" t="s">
        <v>2240</v>
      </c>
      <c r="G579" s="299" t="b">
        <v>0</v>
      </c>
      <c r="H579" s="299" t="b">
        <v>0</v>
      </c>
      <c r="J579" s="113" t="str">
        <f t="shared" si="17"/>
        <v>982151839</v>
      </c>
      <c r="K579" s="113" t="str">
        <f t="shared" si="18"/>
        <v>CG00618</v>
      </c>
    </row>
    <row r="580" spans="1:11" x14ac:dyDescent="0.3">
      <c r="A580" s="298" t="s">
        <v>2241</v>
      </c>
      <c r="B580" s="298" t="s">
        <v>2242</v>
      </c>
      <c r="C580" s="298" t="s">
        <v>711</v>
      </c>
      <c r="D580" s="298" t="s">
        <v>256</v>
      </c>
      <c r="E580" s="298"/>
      <c r="F580" s="298" t="s">
        <v>2243</v>
      </c>
      <c r="G580" s="299" t="b">
        <v>0</v>
      </c>
      <c r="H580" s="299" t="b">
        <v>0</v>
      </c>
      <c r="J580" s="113" t="str">
        <f t="shared" si="17"/>
        <v>984418285</v>
      </c>
      <c r="K580" s="113" t="str">
        <f t="shared" si="18"/>
        <v>CG00619</v>
      </c>
    </row>
    <row r="581" spans="1:11" x14ac:dyDescent="0.3">
      <c r="A581" s="298" t="s">
        <v>2244</v>
      </c>
      <c r="B581" s="298" t="s">
        <v>2245</v>
      </c>
      <c r="C581" s="298" t="s">
        <v>1508</v>
      </c>
      <c r="D581" s="298" t="s">
        <v>256</v>
      </c>
      <c r="E581" s="298"/>
      <c r="F581" s="298" t="s">
        <v>2246</v>
      </c>
      <c r="G581" s="299" t="b">
        <v>0</v>
      </c>
      <c r="H581" s="299" t="b">
        <v>0</v>
      </c>
      <c r="J581" s="113" t="str">
        <f t="shared" ref="J581:J644" si="19">RIGHT(B581,9)</f>
        <v>913622868</v>
      </c>
      <c r="K581" s="113" t="str">
        <f t="shared" ref="K581:K644" si="20">A581</f>
        <v>CG00620</v>
      </c>
    </row>
    <row r="582" spans="1:11" x14ac:dyDescent="0.3">
      <c r="A582" s="298" t="s">
        <v>2247</v>
      </c>
      <c r="B582" s="298" t="s">
        <v>2248</v>
      </c>
      <c r="C582" s="298" t="s">
        <v>1237</v>
      </c>
      <c r="D582" s="298" t="s">
        <v>256</v>
      </c>
      <c r="E582" s="298"/>
      <c r="F582" s="298" t="s">
        <v>2249</v>
      </c>
      <c r="G582" s="299" t="b">
        <v>0</v>
      </c>
      <c r="H582" s="299" t="b">
        <v>0</v>
      </c>
      <c r="J582" s="113" t="str">
        <f t="shared" si="19"/>
        <v>975494632</v>
      </c>
      <c r="K582" s="113" t="str">
        <f t="shared" si="20"/>
        <v>CG00621</v>
      </c>
    </row>
    <row r="583" spans="1:11" x14ac:dyDescent="0.3">
      <c r="A583" s="298" t="s">
        <v>2250</v>
      </c>
      <c r="B583" s="298" t="s">
        <v>2251</v>
      </c>
      <c r="C583" s="298" t="s">
        <v>416</v>
      </c>
      <c r="D583" s="298" t="s">
        <v>256</v>
      </c>
      <c r="E583" s="298"/>
      <c r="F583" s="298" t="s">
        <v>2252</v>
      </c>
      <c r="G583" s="299" t="b">
        <v>0</v>
      </c>
      <c r="H583" s="299" t="b">
        <v>0</v>
      </c>
      <c r="J583" s="113" t="str">
        <f t="shared" si="19"/>
        <v>936781883</v>
      </c>
      <c r="K583" s="113" t="str">
        <f t="shared" si="20"/>
        <v>CG00622</v>
      </c>
    </row>
    <row r="584" spans="1:11" x14ac:dyDescent="0.3">
      <c r="A584" s="298" t="s">
        <v>2253</v>
      </c>
      <c r="B584" s="298" t="s">
        <v>2254</v>
      </c>
      <c r="C584" s="298" t="s">
        <v>785</v>
      </c>
      <c r="D584" s="298" t="s">
        <v>256</v>
      </c>
      <c r="E584" s="298"/>
      <c r="F584" s="298" t="s">
        <v>2255</v>
      </c>
      <c r="G584" s="299" t="b">
        <v>0</v>
      </c>
      <c r="H584" s="299" t="b">
        <v>0</v>
      </c>
      <c r="J584" s="113" t="str">
        <f t="shared" si="19"/>
        <v>393744719</v>
      </c>
      <c r="K584" s="113" t="str">
        <f t="shared" si="20"/>
        <v>CG00623</v>
      </c>
    </row>
    <row r="585" spans="1:11" x14ac:dyDescent="0.3">
      <c r="A585" s="298" t="s">
        <v>2256</v>
      </c>
      <c r="B585" s="298" t="s">
        <v>2257</v>
      </c>
      <c r="C585" s="298" t="s">
        <v>2258</v>
      </c>
      <c r="D585" s="298" t="s">
        <v>256</v>
      </c>
      <c r="E585" s="298"/>
      <c r="F585" s="298" t="s">
        <v>2259</v>
      </c>
      <c r="G585" s="299" t="b">
        <v>0</v>
      </c>
      <c r="H585" s="299" t="b">
        <v>0</v>
      </c>
      <c r="J585" s="113" t="str">
        <f t="shared" si="19"/>
        <v>834343895</v>
      </c>
      <c r="K585" s="113" t="str">
        <f t="shared" si="20"/>
        <v>CG00624</v>
      </c>
    </row>
    <row r="586" spans="1:11" x14ac:dyDescent="0.3">
      <c r="A586" s="298" t="s">
        <v>2260</v>
      </c>
      <c r="B586" s="298" t="s">
        <v>2261</v>
      </c>
      <c r="C586" s="298" t="s">
        <v>289</v>
      </c>
      <c r="D586" s="298" t="s">
        <v>256</v>
      </c>
      <c r="E586" s="298"/>
      <c r="F586" s="298" t="s">
        <v>2262</v>
      </c>
      <c r="G586" s="299" t="b">
        <v>0</v>
      </c>
      <c r="H586" s="299" t="b">
        <v>0</v>
      </c>
      <c r="J586" s="113" t="str">
        <f t="shared" si="19"/>
        <v>915598993</v>
      </c>
      <c r="K586" s="113" t="str">
        <f t="shared" si="20"/>
        <v>CG00625</v>
      </c>
    </row>
    <row r="587" spans="1:11" x14ac:dyDescent="0.3">
      <c r="A587" s="298" t="s">
        <v>2263</v>
      </c>
      <c r="B587" s="298" t="s">
        <v>2264</v>
      </c>
      <c r="C587" s="298" t="s">
        <v>2265</v>
      </c>
      <c r="D587" s="298" t="s">
        <v>256</v>
      </c>
      <c r="E587" s="298"/>
      <c r="F587" s="298" t="s">
        <v>2266</v>
      </c>
      <c r="G587" s="299" t="b">
        <v>0</v>
      </c>
      <c r="H587" s="299" t="b">
        <v>0</v>
      </c>
      <c r="J587" s="113" t="str">
        <f t="shared" si="19"/>
        <v>916366880</v>
      </c>
      <c r="K587" s="113" t="str">
        <f t="shared" si="20"/>
        <v>CG00626</v>
      </c>
    </row>
    <row r="588" spans="1:11" x14ac:dyDescent="0.3">
      <c r="A588" s="298" t="s">
        <v>2267</v>
      </c>
      <c r="B588" s="298" t="s">
        <v>2268</v>
      </c>
      <c r="C588" s="298" t="s">
        <v>2269</v>
      </c>
      <c r="D588" s="298" t="s">
        <v>256</v>
      </c>
      <c r="E588" s="298"/>
      <c r="F588" s="298" t="s">
        <v>2270</v>
      </c>
      <c r="G588" s="299" t="b">
        <v>0</v>
      </c>
      <c r="H588" s="299" t="b">
        <v>0</v>
      </c>
      <c r="J588" s="113" t="str">
        <f t="shared" si="19"/>
        <v>904595359</v>
      </c>
      <c r="K588" s="113" t="str">
        <f t="shared" si="20"/>
        <v>CG00627</v>
      </c>
    </row>
    <row r="589" spans="1:11" x14ac:dyDescent="0.3">
      <c r="A589" s="298" t="s">
        <v>2271</v>
      </c>
      <c r="B589" s="298" t="s">
        <v>2272</v>
      </c>
      <c r="C589" s="298" t="s">
        <v>1587</v>
      </c>
      <c r="D589" s="298" t="s">
        <v>256</v>
      </c>
      <c r="E589" s="298"/>
      <c r="F589" s="298" t="s">
        <v>2273</v>
      </c>
      <c r="G589" s="299" t="b">
        <v>0</v>
      </c>
      <c r="H589" s="299" t="b">
        <v>0</v>
      </c>
      <c r="J589" s="113" t="str">
        <f t="shared" si="19"/>
        <v>912307771</v>
      </c>
      <c r="K589" s="113" t="str">
        <f t="shared" si="20"/>
        <v>CG00628</v>
      </c>
    </row>
    <row r="590" spans="1:11" x14ac:dyDescent="0.3">
      <c r="A590" s="298" t="s">
        <v>2274</v>
      </c>
      <c r="B590" s="298" t="s">
        <v>2275</v>
      </c>
      <c r="C590" s="298" t="s">
        <v>416</v>
      </c>
      <c r="D590" s="298" t="s">
        <v>256</v>
      </c>
      <c r="E590" s="298"/>
      <c r="F590" s="298" t="s">
        <v>2276</v>
      </c>
      <c r="G590" s="299" t="b">
        <v>0</v>
      </c>
      <c r="H590" s="299" t="b">
        <v>0</v>
      </c>
      <c r="J590" s="113" t="str">
        <f t="shared" si="19"/>
        <v>946599588</v>
      </c>
      <c r="K590" s="113" t="str">
        <f t="shared" si="20"/>
        <v>CG00629</v>
      </c>
    </row>
    <row r="591" spans="1:11" x14ac:dyDescent="0.3">
      <c r="A591" s="298" t="s">
        <v>2277</v>
      </c>
      <c r="B591" s="298" t="s">
        <v>2278</v>
      </c>
      <c r="C591" s="298" t="s">
        <v>292</v>
      </c>
      <c r="D591" s="298" t="s">
        <v>256</v>
      </c>
      <c r="E591" s="298"/>
      <c r="F591" s="298" t="s">
        <v>2279</v>
      </c>
      <c r="G591" s="299" t="b">
        <v>0</v>
      </c>
      <c r="H591" s="299" t="b">
        <v>0</v>
      </c>
      <c r="J591" s="113" t="str">
        <f t="shared" si="19"/>
        <v>912451086</v>
      </c>
      <c r="K591" s="113" t="str">
        <f t="shared" si="20"/>
        <v>CG00630</v>
      </c>
    </row>
    <row r="592" spans="1:11" x14ac:dyDescent="0.3">
      <c r="A592" s="298" t="s">
        <v>2280</v>
      </c>
      <c r="B592" s="298" t="s">
        <v>2281</v>
      </c>
      <c r="C592" s="298" t="s">
        <v>1508</v>
      </c>
      <c r="D592" s="298" t="s">
        <v>256</v>
      </c>
      <c r="E592" s="298"/>
      <c r="F592" s="298" t="s">
        <v>2282</v>
      </c>
      <c r="G592" s="299" t="b">
        <v>0</v>
      </c>
      <c r="H592" s="299" t="b">
        <v>0</v>
      </c>
      <c r="J592" s="113" t="str">
        <f t="shared" si="19"/>
        <v>915709670</v>
      </c>
      <c r="K592" s="113" t="str">
        <f t="shared" si="20"/>
        <v>CG00631</v>
      </c>
    </row>
    <row r="593" spans="1:11" x14ac:dyDescent="0.3">
      <c r="A593" s="298" t="s">
        <v>2283</v>
      </c>
      <c r="B593" s="298" t="s">
        <v>2284</v>
      </c>
      <c r="C593" s="298" t="s">
        <v>1508</v>
      </c>
      <c r="D593" s="298" t="s">
        <v>256</v>
      </c>
      <c r="E593" s="298"/>
      <c r="F593" s="298" t="s">
        <v>2285</v>
      </c>
      <c r="G593" s="299" t="b">
        <v>0</v>
      </c>
      <c r="H593" s="299" t="b">
        <v>0</v>
      </c>
      <c r="J593" s="113" t="str">
        <f t="shared" si="19"/>
        <v>934680695</v>
      </c>
      <c r="K593" s="113" t="str">
        <f t="shared" si="20"/>
        <v>CG00632</v>
      </c>
    </row>
    <row r="594" spans="1:11" x14ac:dyDescent="0.3">
      <c r="A594" s="298" t="s">
        <v>2286</v>
      </c>
      <c r="B594" s="298" t="s">
        <v>2287</v>
      </c>
      <c r="C594" s="298" t="s">
        <v>2288</v>
      </c>
      <c r="D594" s="298" t="s">
        <v>256</v>
      </c>
      <c r="E594" s="298"/>
      <c r="F594" s="298" t="s">
        <v>2289</v>
      </c>
      <c r="G594" s="299" t="b">
        <v>0</v>
      </c>
      <c r="H594" s="299" t="b">
        <v>0</v>
      </c>
      <c r="J594" s="113" t="str">
        <f t="shared" si="19"/>
        <v>913002044</v>
      </c>
      <c r="K594" s="113" t="str">
        <f t="shared" si="20"/>
        <v>CG00633</v>
      </c>
    </row>
    <row r="595" spans="1:11" x14ac:dyDescent="0.3">
      <c r="A595" s="298" t="s">
        <v>2290</v>
      </c>
      <c r="B595" s="298" t="s">
        <v>2291</v>
      </c>
      <c r="C595" s="298" t="s">
        <v>2170</v>
      </c>
      <c r="D595" s="298" t="s">
        <v>256</v>
      </c>
      <c r="E595" s="298"/>
      <c r="F595" s="298" t="s">
        <v>2292</v>
      </c>
      <c r="G595" s="299" t="b">
        <v>0</v>
      </c>
      <c r="H595" s="299" t="b">
        <v>0</v>
      </c>
      <c r="J595" s="113" t="str">
        <f t="shared" si="19"/>
        <v>912633622</v>
      </c>
      <c r="K595" s="113" t="str">
        <f t="shared" si="20"/>
        <v>CG00634</v>
      </c>
    </row>
    <row r="596" spans="1:11" x14ac:dyDescent="0.3">
      <c r="A596" s="298" t="s">
        <v>2293</v>
      </c>
      <c r="B596" s="298" t="s">
        <v>2294</v>
      </c>
      <c r="C596" s="298" t="s">
        <v>474</v>
      </c>
      <c r="D596" s="298" t="s">
        <v>256</v>
      </c>
      <c r="E596" s="298"/>
      <c r="F596" s="298" t="s">
        <v>2295</v>
      </c>
      <c r="G596" s="299" t="b">
        <v>0</v>
      </c>
      <c r="H596" s="299" t="b">
        <v>0</v>
      </c>
      <c r="J596" s="113" t="str">
        <f t="shared" si="19"/>
        <v>962965179</v>
      </c>
      <c r="K596" s="113" t="str">
        <f t="shared" si="20"/>
        <v>CG00635</v>
      </c>
    </row>
    <row r="597" spans="1:11" x14ac:dyDescent="0.3">
      <c r="A597" s="298" t="s">
        <v>2296</v>
      </c>
      <c r="B597" s="298" t="s">
        <v>2297</v>
      </c>
      <c r="C597" s="298" t="s">
        <v>405</v>
      </c>
      <c r="D597" s="298" t="s">
        <v>256</v>
      </c>
      <c r="E597" s="298"/>
      <c r="F597" s="298" t="s">
        <v>2298</v>
      </c>
      <c r="G597" s="299" t="b">
        <v>0</v>
      </c>
      <c r="H597" s="299" t="b">
        <v>0</v>
      </c>
      <c r="J597" s="113" t="str">
        <f t="shared" si="19"/>
        <v>967106234</v>
      </c>
      <c r="K597" s="113" t="str">
        <f t="shared" si="20"/>
        <v>CG00636</v>
      </c>
    </row>
    <row r="598" spans="1:11" x14ac:dyDescent="0.3">
      <c r="A598" s="298" t="s">
        <v>2299</v>
      </c>
      <c r="B598" s="298" t="s">
        <v>2300</v>
      </c>
      <c r="C598" s="298" t="s">
        <v>888</v>
      </c>
      <c r="D598" s="298" t="s">
        <v>256</v>
      </c>
      <c r="E598" s="298"/>
      <c r="F598" s="298" t="s">
        <v>2301</v>
      </c>
      <c r="G598" s="299" t="b">
        <v>0</v>
      </c>
      <c r="H598" s="299" t="b">
        <v>0</v>
      </c>
      <c r="J598" s="113" t="str">
        <f t="shared" si="19"/>
        <v>975765156</v>
      </c>
      <c r="K598" s="113" t="str">
        <f t="shared" si="20"/>
        <v>CG00637</v>
      </c>
    </row>
    <row r="599" spans="1:11" x14ac:dyDescent="0.3">
      <c r="A599" s="298" t="s">
        <v>2302</v>
      </c>
      <c r="B599" s="298" t="s">
        <v>2303</v>
      </c>
      <c r="C599" s="298" t="s">
        <v>1727</v>
      </c>
      <c r="D599" s="298" t="s">
        <v>256</v>
      </c>
      <c r="E599" s="298"/>
      <c r="F599" s="298" t="s">
        <v>2304</v>
      </c>
      <c r="G599" s="299" t="b">
        <v>0</v>
      </c>
      <c r="H599" s="299" t="b">
        <v>0</v>
      </c>
      <c r="J599" s="113" t="str">
        <f t="shared" si="19"/>
        <v>982374398</v>
      </c>
      <c r="K599" s="113" t="str">
        <f t="shared" si="20"/>
        <v>CG00638</v>
      </c>
    </row>
    <row r="600" spans="1:11" x14ac:dyDescent="0.3">
      <c r="A600" s="298" t="s">
        <v>2305</v>
      </c>
      <c r="B600" s="298" t="s">
        <v>2306</v>
      </c>
      <c r="C600" s="298" t="s">
        <v>2307</v>
      </c>
      <c r="D600" s="298" t="s">
        <v>256</v>
      </c>
      <c r="E600" s="298"/>
      <c r="F600" s="298" t="s">
        <v>2308</v>
      </c>
      <c r="G600" s="299" t="b">
        <v>0</v>
      </c>
      <c r="H600" s="299" t="b">
        <v>0</v>
      </c>
      <c r="J600" s="113" t="str">
        <f t="shared" si="19"/>
        <v>912582163</v>
      </c>
      <c r="K600" s="113" t="str">
        <f t="shared" si="20"/>
        <v>CG00639</v>
      </c>
    </row>
    <row r="601" spans="1:11" x14ac:dyDescent="0.3">
      <c r="A601" s="298" t="s">
        <v>2309</v>
      </c>
      <c r="B601" s="298" t="s">
        <v>2310</v>
      </c>
      <c r="C601" s="298" t="s">
        <v>2170</v>
      </c>
      <c r="D601" s="298" t="s">
        <v>256</v>
      </c>
      <c r="E601" s="298"/>
      <c r="F601" s="298" t="s">
        <v>2311</v>
      </c>
      <c r="G601" s="299" t="b">
        <v>0</v>
      </c>
      <c r="H601" s="299" t="b">
        <v>0</v>
      </c>
      <c r="J601" s="113" t="str">
        <f t="shared" si="19"/>
        <v>988178993</v>
      </c>
      <c r="K601" s="113" t="str">
        <f t="shared" si="20"/>
        <v>CG00640</v>
      </c>
    </row>
    <row r="602" spans="1:11" x14ac:dyDescent="0.3">
      <c r="A602" s="298" t="s">
        <v>2312</v>
      </c>
      <c r="B602" s="298" t="s">
        <v>2313</v>
      </c>
      <c r="C602" s="298" t="s">
        <v>289</v>
      </c>
      <c r="D602" s="298" t="s">
        <v>256</v>
      </c>
      <c r="E602" s="298"/>
      <c r="F602" s="298" t="s">
        <v>2314</v>
      </c>
      <c r="G602" s="299" t="b">
        <v>0</v>
      </c>
      <c r="H602" s="299" t="b">
        <v>0</v>
      </c>
      <c r="J602" s="113" t="str">
        <f t="shared" si="19"/>
        <v>987246666</v>
      </c>
      <c r="K602" s="113" t="str">
        <f t="shared" si="20"/>
        <v>CG00641</v>
      </c>
    </row>
    <row r="603" spans="1:11" x14ac:dyDescent="0.3">
      <c r="A603" s="298" t="s">
        <v>2315</v>
      </c>
      <c r="B603" s="298" t="s">
        <v>2316</v>
      </c>
      <c r="C603" s="298" t="s">
        <v>13293</v>
      </c>
      <c r="D603" s="298" t="s">
        <v>256</v>
      </c>
      <c r="E603" s="298"/>
      <c r="F603" s="298" t="s">
        <v>2318</v>
      </c>
      <c r="G603" s="299" t="b">
        <v>0</v>
      </c>
      <c r="H603" s="299" t="b">
        <v>0</v>
      </c>
      <c r="J603" s="113" t="str">
        <f t="shared" si="19"/>
        <v>982180058</v>
      </c>
      <c r="K603" s="113" t="str">
        <f t="shared" si="20"/>
        <v>CG00642</v>
      </c>
    </row>
    <row r="604" spans="1:11" x14ac:dyDescent="0.3">
      <c r="A604" s="298" t="s">
        <v>2319</v>
      </c>
      <c r="B604" s="298" t="s">
        <v>2320</v>
      </c>
      <c r="C604" s="298" t="s">
        <v>1587</v>
      </c>
      <c r="D604" s="298" t="s">
        <v>256</v>
      </c>
      <c r="E604" s="298"/>
      <c r="F604" s="298" t="s">
        <v>2321</v>
      </c>
      <c r="G604" s="299" t="b">
        <v>0</v>
      </c>
      <c r="H604" s="299" t="b">
        <v>0</v>
      </c>
      <c r="J604" s="113" t="str">
        <f t="shared" si="19"/>
        <v>912503145</v>
      </c>
      <c r="K604" s="113" t="str">
        <f t="shared" si="20"/>
        <v>CG00643</v>
      </c>
    </row>
    <row r="605" spans="1:11" x14ac:dyDescent="0.3">
      <c r="A605" s="298" t="s">
        <v>2322</v>
      </c>
      <c r="B605" s="298" t="s">
        <v>2323</v>
      </c>
      <c r="C605" s="298" t="s">
        <v>2324</v>
      </c>
      <c r="D605" s="298" t="s">
        <v>256</v>
      </c>
      <c r="E605" s="298"/>
      <c r="F605" s="298" t="s">
        <v>2325</v>
      </c>
      <c r="G605" s="299" t="b">
        <v>0</v>
      </c>
      <c r="H605" s="299" t="b">
        <v>0</v>
      </c>
      <c r="J605" s="113" t="str">
        <f t="shared" si="19"/>
        <v>987490132</v>
      </c>
      <c r="K605" s="113" t="str">
        <f t="shared" si="20"/>
        <v>CG00644</v>
      </c>
    </row>
    <row r="606" spans="1:11" x14ac:dyDescent="0.3">
      <c r="A606" s="298" t="s">
        <v>2326</v>
      </c>
      <c r="B606" s="298" t="s">
        <v>2327</v>
      </c>
      <c r="C606" s="298" t="s">
        <v>13294</v>
      </c>
      <c r="D606" s="298" t="s">
        <v>256</v>
      </c>
      <c r="E606" s="298" t="s">
        <v>2329</v>
      </c>
      <c r="F606" s="298" t="s">
        <v>2330</v>
      </c>
      <c r="G606" s="299" t="b">
        <v>0</v>
      </c>
      <c r="H606" s="299" t="b">
        <v>0</v>
      </c>
      <c r="J606" s="113" t="str">
        <f t="shared" si="19"/>
        <v>979668924</v>
      </c>
      <c r="K606" s="113" t="str">
        <f t="shared" si="20"/>
        <v>CG00645</v>
      </c>
    </row>
    <row r="607" spans="1:11" x14ac:dyDescent="0.3">
      <c r="A607" s="298" t="s">
        <v>2331</v>
      </c>
      <c r="B607" s="298" t="s">
        <v>2332</v>
      </c>
      <c r="C607" s="298" t="s">
        <v>2170</v>
      </c>
      <c r="D607" s="298" t="s">
        <v>256</v>
      </c>
      <c r="E607" s="298"/>
      <c r="F607" s="298" t="s">
        <v>2333</v>
      </c>
      <c r="G607" s="299" t="b">
        <v>0</v>
      </c>
      <c r="H607" s="299" t="b">
        <v>0</v>
      </c>
      <c r="J607" s="113" t="str">
        <f t="shared" si="19"/>
        <v>397145882</v>
      </c>
      <c r="K607" s="113" t="str">
        <f t="shared" si="20"/>
        <v>CG00646</v>
      </c>
    </row>
    <row r="608" spans="1:11" x14ac:dyDescent="0.3">
      <c r="A608" s="298" t="s">
        <v>2334</v>
      </c>
      <c r="B608" s="298" t="s">
        <v>2335</v>
      </c>
      <c r="C608" s="298" t="s">
        <v>809</v>
      </c>
      <c r="D608" s="298" t="s">
        <v>256</v>
      </c>
      <c r="E608" s="298"/>
      <c r="F608" s="298" t="s">
        <v>2336</v>
      </c>
      <c r="G608" s="299" t="b">
        <v>0</v>
      </c>
      <c r="H608" s="299" t="b">
        <v>0</v>
      </c>
      <c r="J608" s="113" t="str">
        <f t="shared" si="19"/>
        <v>975120332</v>
      </c>
      <c r="K608" s="113" t="str">
        <f t="shared" si="20"/>
        <v>CG00647</v>
      </c>
    </row>
    <row r="609" spans="1:11" x14ac:dyDescent="0.3">
      <c r="A609" s="298" t="s">
        <v>2337</v>
      </c>
      <c r="B609" s="298" t="s">
        <v>2338</v>
      </c>
      <c r="C609" s="298" t="s">
        <v>2339</v>
      </c>
      <c r="D609" s="298" t="s">
        <v>256</v>
      </c>
      <c r="E609" s="298"/>
      <c r="F609" s="298" t="s">
        <v>2340</v>
      </c>
      <c r="G609" s="299" t="b">
        <v>0</v>
      </c>
      <c r="H609" s="299" t="b">
        <v>0</v>
      </c>
      <c r="J609" s="113" t="str">
        <f t="shared" si="19"/>
        <v>983250541</v>
      </c>
      <c r="K609" s="113" t="str">
        <f t="shared" si="20"/>
        <v>CG00648</v>
      </c>
    </row>
    <row r="610" spans="1:11" x14ac:dyDescent="0.3">
      <c r="A610" s="298" t="s">
        <v>2341</v>
      </c>
      <c r="B610" s="298" t="s">
        <v>2342</v>
      </c>
      <c r="C610" s="298" t="s">
        <v>1135</v>
      </c>
      <c r="D610" s="298" t="s">
        <v>256</v>
      </c>
      <c r="E610" s="298"/>
      <c r="F610" s="298" t="s">
        <v>2343</v>
      </c>
      <c r="G610" s="299" t="b">
        <v>0</v>
      </c>
      <c r="H610" s="299" t="b">
        <v>0</v>
      </c>
      <c r="J610" s="113" t="str">
        <f t="shared" si="19"/>
        <v>389534768</v>
      </c>
      <c r="K610" s="113" t="str">
        <f t="shared" si="20"/>
        <v>CG00649</v>
      </c>
    </row>
    <row r="611" spans="1:11" x14ac:dyDescent="0.3">
      <c r="A611" s="298" t="s">
        <v>2344</v>
      </c>
      <c r="B611" s="298" t="s">
        <v>2345</v>
      </c>
      <c r="C611" s="298" t="s">
        <v>2346</v>
      </c>
      <c r="D611" s="298" t="s">
        <v>256</v>
      </c>
      <c r="E611" s="298"/>
      <c r="F611" s="298" t="s">
        <v>2347</v>
      </c>
      <c r="G611" s="299" t="b">
        <v>0</v>
      </c>
      <c r="H611" s="299" t="b">
        <v>0</v>
      </c>
      <c r="J611" s="113" t="str">
        <f t="shared" si="19"/>
        <v>983890536</v>
      </c>
      <c r="K611" s="113" t="str">
        <f t="shared" si="20"/>
        <v>CG00650</v>
      </c>
    </row>
    <row r="612" spans="1:11" x14ac:dyDescent="0.3">
      <c r="A612" s="298" t="s">
        <v>2348</v>
      </c>
      <c r="B612" s="298" t="s">
        <v>2349</v>
      </c>
      <c r="C612" s="298" t="s">
        <v>2350</v>
      </c>
      <c r="D612" s="298" t="s">
        <v>256</v>
      </c>
      <c r="E612" s="298"/>
      <c r="F612" s="298" t="s">
        <v>2351</v>
      </c>
      <c r="G612" s="299" t="b">
        <v>0</v>
      </c>
      <c r="H612" s="299" t="b">
        <v>0</v>
      </c>
      <c r="J612" s="113" t="str">
        <f t="shared" si="19"/>
        <v>392616467</v>
      </c>
      <c r="K612" s="113" t="str">
        <f t="shared" si="20"/>
        <v>CG00651</v>
      </c>
    </row>
    <row r="613" spans="1:11" x14ac:dyDescent="0.3">
      <c r="A613" s="298" t="s">
        <v>2352</v>
      </c>
      <c r="B613" s="298" t="s">
        <v>2353</v>
      </c>
      <c r="C613" s="298" t="s">
        <v>2354</v>
      </c>
      <c r="D613" s="298" t="s">
        <v>256</v>
      </c>
      <c r="E613" s="298"/>
      <c r="F613" s="298" t="s">
        <v>2355</v>
      </c>
      <c r="G613" s="299" t="b">
        <v>0</v>
      </c>
      <c r="H613" s="299" t="b">
        <v>0</v>
      </c>
      <c r="J613" s="113" t="str">
        <f t="shared" si="19"/>
        <v>985768639</v>
      </c>
      <c r="K613" s="113" t="str">
        <f t="shared" si="20"/>
        <v>CG00652</v>
      </c>
    </row>
    <row r="614" spans="1:11" x14ac:dyDescent="0.3">
      <c r="A614" s="298" t="s">
        <v>2356</v>
      </c>
      <c r="B614" s="298" t="s">
        <v>2357</v>
      </c>
      <c r="C614" s="298" t="s">
        <v>474</v>
      </c>
      <c r="D614" s="298" t="s">
        <v>256</v>
      </c>
      <c r="E614" s="298"/>
      <c r="F614" s="298" t="s">
        <v>2358</v>
      </c>
      <c r="G614" s="299" t="b">
        <v>0</v>
      </c>
      <c r="H614" s="299" t="b">
        <v>0</v>
      </c>
      <c r="J614" s="113" t="str">
        <f t="shared" si="19"/>
        <v>912150243</v>
      </c>
      <c r="K614" s="113" t="str">
        <f t="shared" si="20"/>
        <v>CG00653</v>
      </c>
    </row>
    <row r="615" spans="1:11" x14ac:dyDescent="0.3">
      <c r="A615" s="298" t="s">
        <v>2359</v>
      </c>
      <c r="B615" s="298" t="s">
        <v>2360</v>
      </c>
      <c r="C615" s="298" t="s">
        <v>355</v>
      </c>
      <c r="D615" s="298" t="s">
        <v>256</v>
      </c>
      <c r="E615" s="298"/>
      <c r="F615" s="298" t="s">
        <v>2361</v>
      </c>
      <c r="G615" s="299" t="b">
        <v>0</v>
      </c>
      <c r="H615" s="299" t="b">
        <v>0</v>
      </c>
      <c r="J615" s="113" t="str">
        <f t="shared" si="19"/>
        <v>912738434</v>
      </c>
      <c r="K615" s="113" t="str">
        <f t="shared" si="20"/>
        <v>CG00654</v>
      </c>
    </row>
    <row r="616" spans="1:11" x14ac:dyDescent="0.3">
      <c r="A616" s="298" t="s">
        <v>2362</v>
      </c>
      <c r="B616" s="298" t="s">
        <v>2363</v>
      </c>
      <c r="C616" s="298" t="s">
        <v>2364</v>
      </c>
      <c r="D616" s="298" t="s">
        <v>256</v>
      </c>
      <c r="E616" s="298"/>
      <c r="F616" s="298" t="s">
        <v>2365</v>
      </c>
      <c r="G616" s="299" t="b">
        <v>0</v>
      </c>
      <c r="H616" s="299" t="b">
        <v>0</v>
      </c>
      <c r="J616" s="113" t="str">
        <f t="shared" si="19"/>
        <v>976131229</v>
      </c>
      <c r="K616" s="113" t="str">
        <f t="shared" si="20"/>
        <v>CG00655</v>
      </c>
    </row>
    <row r="617" spans="1:11" x14ac:dyDescent="0.3">
      <c r="A617" s="298" t="s">
        <v>2366</v>
      </c>
      <c r="B617" s="298" t="s">
        <v>2367</v>
      </c>
      <c r="C617" s="298" t="s">
        <v>2368</v>
      </c>
      <c r="D617" s="298" t="s">
        <v>256</v>
      </c>
      <c r="E617" s="298"/>
      <c r="F617" s="298" t="s">
        <v>2369</v>
      </c>
      <c r="G617" s="299" t="b">
        <v>0</v>
      </c>
      <c r="H617" s="299" t="b">
        <v>0</v>
      </c>
      <c r="J617" s="113" t="str">
        <f t="shared" si="19"/>
        <v>904155661</v>
      </c>
      <c r="K617" s="113" t="str">
        <f t="shared" si="20"/>
        <v>CG00656</v>
      </c>
    </row>
    <row r="618" spans="1:11" x14ac:dyDescent="0.3">
      <c r="A618" s="298" t="s">
        <v>2370</v>
      </c>
      <c r="B618" s="298" t="s">
        <v>2371</v>
      </c>
      <c r="C618" s="298" t="s">
        <v>789</v>
      </c>
      <c r="D618" s="298" t="s">
        <v>256</v>
      </c>
      <c r="E618" s="298"/>
      <c r="F618" s="298" t="s">
        <v>2372</v>
      </c>
      <c r="G618" s="299" t="b">
        <v>0</v>
      </c>
      <c r="H618" s="299" t="b">
        <v>0</v>
      </c>
      <c r="J618" s="113" t="str">
        <f t="shared" si="19"/>
        <v>915037238</v>
      </c>
      <c r="K618" s="113" t="str">
        <f t="shared" si="20"/>
        <v>CG00657</v>
      </c>
    </row>
    <row r="619" spans="1:11" x14ac:dyDescent="0.3">
      <c r="A619" s="298" t="s">
        <v>2373</v>
      </c>
      <c r="B619" s="298" t="s">
        <v>2374</v>
      </c>
      <c r="C619" s="298" t="s">
        <v>416</v>
      </c>
      <c r="D619" s="298" t="s">
        <v>256</v>
      </c>
      <c r="E619" s="298"/>
      <c r="F619" s="298" t="s">
        <v>2375</v>
      </c>
      <c r="G619" s="299" t="b">
        <v>0</v>
      </c>
      <c r="H619" s="299" t="b">
        <v>0</v>
      </c>
      <c r="J619" s="113" t="str">
        <f t="shared" si="19"/>
        <v>902141799</v>
      </c>
      <c r="K619" s="113" t="str">
        <f t="shared" si="20"/>
        <v>CG00658</v>
      </c>
    </row>
    <row r="620" spans="1:11" x14ac:dyDescent="0.3">
      <c r="A620" s="298" t="s">
        <v>2376</v>
      </c>
      <c r="B620" s="298" t="s">
        <v>2377</v>
      </c>
      <c r="C620" s="298" t="s">
        <v>2378</v>
      </c>
      <c r="D620" s="298" t="s">
        <v>256</v>
      </c>
      <c r="E620" s="298"/>
      <c r="F620" s="298" t="s">
        <v>2379</v>
      </c>
      <c r="G620" s="299" t="b">
        <v>0</v>
      </c>
      <c r="H620" s="299" t="b">
        <v>0</v>
      </c>
      <c r="J620" s="113" t="str">
        <f t="shared" si="19"/>
        <v xml:space="preserve">67532736 </v>
      </c>
      <c r="K620" s="113" t="str">
        <f t="shared" si="20"/>
        <v>CG00659</v>
      </c>
    </row>
    <row r="621" spans="1:11" x14ac:dyDescent="0.3">
      <c r="A621" s="298" t="s">
        <v>2380</v>
      </c>
      <c r="B621" s="298" t="s">
        <v>2381</v>
      </c>
      <c r="C621" s="298" t="s">
        <v>274</v>
      </c>
      <c r="D621" s="298" t="s">
        <v>256</v>
      </c>
      <c r="E621" s="298"/>
      <c r="F621" s="298" t="s">
        <v>2382</v>
      </c>
      <c r="G621" s="299" t="b">
        <v>0</v>
      </c>
      <c r="H621" s="299" t="b">
        <v>0</v>
      </c>
      <c r="J621" s="113" t="str">
        <f t="shared" si="19"/>
        <v>914908112</v>
      </c>
      <c r="K621" s="113" t="str">
        <f t="shared" si="20"/>
        <v>CG00660</v>
      </c>
    </row>
    <row r="622" spans="1:11" x14ac:dyDescent="0.3">
      <c r="A622" s="298" t="s">
        <v>2383</v>
      </c>
      <c r="B622" s="298" t="s">
        <v>2384</v>
      </c>
      <c r="C622" s="298" t="s">
        <v>289</v>
      </c>
      <c r="D622" s="298" t="s">
        <v>256</v>
      </c>
      <c r="E622" s="298"/>
      <c r="F622" s="298" t="s">
        <v>2385</v>
      </c>
      <c r="G622" s="299" t="b">
        <v>0</v>
      </c>
      <c r="H622" s="299" t="b">
        <v>0</v>
      </c>
      <c r="J622" s="113" t="str">
        <f t="shared" si="19"/>
        <v>948745128</v>
      </c>
      <c r="K622" s="113" t="str">
        <f t="shared" si="20"/>
        <v>CG00661</v>
      </c>
    </row>
    <row r="623" spans="1:11" x14ac:dyDescent="0.3">
      <c r="A623" s="298" t="s">
        <v>2386</v>
      </c>
      <c r="B623" s="298" t="s">
        <v>2387</v>
      </c>
      <c r="C623" s="298" t="s">
        <v>565</v>
      </c>
      <c r="D623" s="298" t="s">
        <v>256</v>
      </c>
      <c r="E623" s="298"/>
      <c r="F623" s="298" t="s">
        <v>2388</v>
      </c>
      <c r="G623" s="299" t="b">
        <v>0</v>
      </c>
      <c r="H623" s="299" t="b">
        <v>0</v>
      </c>
      <c r="J623" s="113" t="str">
        <f t="shared" si="19"/>
        <v>987187313</v>
      </c>
      <c r="K623" s="113" t="str">
        <f t="shared" si="20"/>
        <v>CG00662</v>
      </c>
    </row>
    <row r="624" spans="1:11" x14ac:dyDescent="0.3">
      <c r="A624" s="298" t="s">
        <v>2389</v>
      </c>
      <c r="B624" s="298" t="s">
        <v>2390</v>
      </c>
      <c r="C624" s="298" t="s">
        <v>892</v>
      </c>
      <c r="D624" s="298" t="s">
        <v>256</v>
      </c>
      <c r="E624" s="298"/>
      <c r="F624" s="298" t="s">
        <v>2391</v>
      </c>
      <c r="G624" s="299" t="b">
        <v>0</v>
      </c>
      <c r="H624" s="299" t="b">
        <v>0</v>
      </c>
      <c r="J624" s="113" t="str">
        <f t="shared" si="19"/>
        <v>912302597</v>
      </c>
      <c r="K624" s="113" t="str">
        <f t="shared" si="20"/>
        <v>CG00663</v>
      </c>
    </row>
    <row r="625" spans="1:11" x14ac:dyDescent="0.3">
      <c r="A625" s="298" t="s">
        <v>2392</v>
      </c>
      <c r="B625" s="298" t="s">
        <v>2393</v>
      </c>
      <c r="C625" s="298" t="s">
        <v>289</v>
      </c>
      <c r="D625" s="298" t="s">
        <v>256</v>
      </c>
      <c r="E625" s="298"/>
      <c r="F625" s="298" t="s">
        <v>2394</v>
      </c>
      <c r="G625" s="299" t="b">
        <v>0</v>
      </c>
      <c r="H625" s="299" t="b">
        <v>0</v>
      </c>
      <c r="J625" s="113" t="str">
        <f t="shared" si="19"/>
        <v>984354488</v>
      </c>
      <c r="K625" s="113" t="str">
        <f t="shared" si="20"/>
        <v>CG00664</v>
      </c>
    </row>
    <row r="626" spans="1:11" x14ac:dyDescent="0.3">
      <c r="A626" s="298" t="s">
        <v>2395</v>
      </c>
      <c r="B626" s="298" t="s">
        <v>2396</v>
      </c>
      <c r="C626" s="298" t="s">
        <v>845</v>
      </c>
      <c r="D626" s="298" t="s">
        <v>256</v>
      </c>
      <c r="E626" s="298"/>
      <c r="F626" s="298" t="s">
        <v>2397</v>
      </c>
      <c r="G626" s="299" t="b">
        <v>0</v>
      </c>
      <c r="H626" s="299" t="b">
        <v>0</v>
      </c>
      <c r="J626" s="113" t="str">
        <f t="shared" si="19"/>
        <v>948079427</v>
      </c>
      <c r="K626" s="113" t="str">
        <f t="shared" si="20"/>
        <v>CG00665</v>
      </c>
    </row>
    <row r="627" spans="1:11" x14ac:dyDescent="0.3">
      <c r="A627" s="298" t="s">
        <v>2398</v>
      </c>
      <c r="B627" s="298" t="s">
        <v>2399</v>
      </c>
      <c r="C627" s="298" t="s">
        <v>1734</v>
      </c>
      <c r="D627" s="298" t="s">
        <v>256</v>
      </c>
      <c r="E627" s="298"/>
      <c r="F627" s="298" t="s">
        <v>2400</v>
      </c>
      <c r="G627" s="299" t="b">
        <v>0</v>
      </c>
      <c r="H627" s="299" t="b">
        <v>0</v>
      </c>
      <c r="J627" s="113" t="str">
        <f t="shared" si="19"/>
        <v>904055968</v>
      </c>
      <c r="K627" s="113" t="str">
        <f t="shared" si="20"/>
        <v>CG00666</v>
      </c>
    </row>
    <row r="628" spans="1:11" x14ac:dyDescent="0.3">
      <c r="A628" s="298" t="s">
        <v>2401</v>
      </c>
      <c r="B628" s="298" t="s">
        <v>2402</v>
      </c>
      <c r="C628" s="298" t="s">
        <v>343</v>
      </c>
      <c r="D628" s="298" t="s">
        <v>256</v>
      </c>
      <c r="E628" s="298"/>
      <c r="F628" s="298" t="s">
        <v>1829</v>
      </c>
      <c r="G628" s="299" t="b">
        <v>0</v>
      </c>
      <c r="H628" s="299" t="b">
        <v>0</v>
      </c>
      <c r="J628" s="113" t="str">
        <f t="shared" si="19"/>
        <v>912491039</v>
      </c>
      <c r="K628" s="113" t="str">
        <f t="shared" si="20"/>
        <v>CG00667</v>
      </c>
    </row>
    <row r="629" spans="1:11" x14ac:dyDescent="0.3">
      <c r="A629" s="298" t="s">
        <v>2403</v>
      </c>
      <c r="B629" s="298" t="s">
        <v>2404</v>
      </c>
      <c r="C629" s="298" t="s">
        <v>2405</v>
      </c>
      <c r="D629" s="298" t="s">
        <v>256</v>
      </c>
      <c r="E629" s="298"/>
      <c r="F629" s="298" t="s">
        <v>2406</v>
      </c>
      <c r="G629" s="299" t="b">
        <v>0</v>
      </c>
      <c r="H629" s="299" t="b">
        <v>0</v>
      </c>
      <c r="J629" s="113" t="str">
        <f t="shared" si="19"/>
        <v>947194637</v>
      </c>
      <c r="K629" s="113" t="str">
        <f t="shared" si="20"/>
        <v>CG00668</v>
      </c>
    </row>
    <row r="630" spans="1:11" x14ac:dyDescent="0.3">
      <c r="A630" s="298" t="s">
        <v>2407</v>
      </c>
      <c r="B630" s="298" t="s">
        <v>2408</v>
      </c>
      <c r="C630" s="298" t="s">
        <v>305</v>
      </c>
      <c r="D630" s="298" t="s">
        <v>256</v>
      </c>
      <c r="E630" s="298"/>
      <c r="F630" s="298" t="s">
        <v>2409</v>
      </c>
      <c r="G630" s="299" t="b">
        <v>0</v>
      </c>
      <c r="H630" s="299" t="b">
        <v>0</v>
      </c>
      <c r="J630" s="113" t="str">
        <f t="shared" si="19"/>
        <v>969822261</v>
      </c>
      <c r="K630" s="113" t="str">
        <f t="shared" si="20"/>
        <v>CG00669</v>
      </c>
    </row>
    <row r="631" spans="1:11" x14ac:dyDescent="0.3">
      <c r="A631" s="298" t="s">
        <v>2410</v>
      </c>
      <c r="B631" s="298" t="s">
        <v>2411</v>
      </c>
      <c r="C631" s="298" t="s">
        <v>2412</v>
      </c>
      <c r="D631" s="298" t="s">
        <v>256</v>
      </c>
      <c r="E631" s="298"/>
      <c r="F631" s="298" t="s">
        <v>2413</v>
      </c>
      <c r="G631" s="299" t="b">
        <v>0</v>
      </c>
      <c r="H631" s="299" t="b">
        <v>0</v>
      </c>
      <c r="J631" s="113" t="str">
        <f t="shared" si="19"/>
        <v>915272966</v>
      </c>
      <c r="K631" s="113" t="str">
        <f t="shared" si="20"/>
        <v>CG00670</v>
      </c>
    </row>
    <row r="632" spans="1:11" x14ac:dyDescent="0.3">
      <c r="A632" s="298" t="s">
        <v>2414</v>
      </c>
      <c r="B632" s="298" t="s">
        <v>2415</v>
      </c>
      <c r="C632" s="298" t="s">
        <v>1237</v>
      </c>
      <c r="D632" s="298" t="s">
        <v>256</v>
      </c>
      <c r="E632" s="298"/>
      <c r="F632" s="298" t="s">
        <v>2416</v>
      </c>
      <c r="G632" s="299" t="b">
        <v>0</v>
      </c>
      <c r="H632" s="299" t="b">
        <v>0</v>
      </c>
      <c r="J632" s="113" t="str">
        <f t="shared" si="19"/>
        <v>915921794</v>
      </c>
      <c r="K632" s="113" t="str">
        <f t="shared" si="20"/>
        <v>CG00671</v>
      </c>
    </row>
    <row r="633" spans="1:11" x14ac:dyDescent="0.3">
      <c r="A633" s="298" t="s">
        <v>2417</v>
      </c>
      <c r="B633" s="298" t="s">
        <v>2418</v>
      </c>
      <c r="C633" s="298" t="s">
        <v>541</v>
      </c>
      <c r="D633" s="298" t="s">
        <v>256</v>
      </c>
      <c r="E633" s="298"/>
      <c r="F633" s="298" t="s">
        <v>2419</v>
      </c>
      <c r="G633" s="299" t="b">
        <v>0</v>
      </c>
      <c r="H633" s="299" t="b">
        <v>0</v>
      </c>
      <c r="J633" s="113" t="str">
        <f t="shared" si="19"/>
        <v>384405751</v>
      </c>
      <c r="K633" s="113" t="str">
        <f t="shared" si="20"/>
        <v>CG00672</v>
      </c>
    </row>
    <row r="634" spans="1:11" x14ac:dyDescent="0.3">
      <c r="A634" s="298" t="s">
        <v>2420</v>
      </c>
      <c r="B634" s="298" t="s">
        <v>2421</v>
      </c>
      <c r="C634" s="298" t="s">
        <v>1378</v>
      </c>
      <c r="D634" s="298" t="s">
        <v>256</v>
      </c>
      <c r="E634" s="298" t="s">
        <v>2422</v>
      </c>
      <c r="F634" s="298" t="s">
        <v>2423</v>
      </c>
      <c r="G634" s="299" t="b">
        <v>0</v>
      </c>
      <c r="H634" s="299" t="b">
        <v>0</v>
      </c>
      <c r="J634" s="113" t="str">
        <f t="shared" si="19"/>
        <v>700348491</v>
      </c>
      <c r="K634" s="113" t="str">
        <f t="shared" si="20"/>
        <v>CG00674</v>
      </c>
    </row>
    <row r="635" spans="1:11" x14ac:dyDescent="0.3">
      <c r="A635" s="298" t="s">
        <v>2424</v>
      </c>
      <c r="B635" s="298" t="s">
        <v>2425</v>
      </c>
      <c r="C635" s="298" t="s">
        <v>2426</v>
      </c>
      <c r="D635" s="298" t="s">
        <v>256</v>
      </c>
      <c r="E635" s="298"/>
      <c r="F635" s="298" t="s">
        <v>2427</v>
      </c>
      <c r="G635" s="299" t="b">
        <v>0</v>
      </c>
      <c r="H635" s="299" t="b">
        <v>0</v>
      </c>
      <c r="J635" s="113" t="str">
        <f t="shared" si="19"/>
        <v>912203772</v>
      </c>
      <c r="K635" s="113" t="str">
        <f t="shared" si="20"/>
        <v>CG00675</v>
      </c>
    </row>
    <row r="636" spans="1:11" x14ac:dyDescent="0.3">
      <c r="A636" s="298" t="s">
        <v>2428</v>
      </c>
      <c r="B636" s="298" t="s">
        <v>2429</v>
      </c>
      <c r="C636" s="298" t="s">
        <v>718</v>
      </c>
      <c r="D636" s="298" t="s">
        <v>256</v>
      </c>
      <c r="E636" s="298"/>
      <c r="F636" s="298" t="s">
        <v>2430</v>
      </c>
      <c r="G636" s="299" t="b">
        <v>0</v>
      </c>
      <c r="H636" s="299" t="b">
        <v>0</v>
      </c>
      <c r="J636" s="113" t="str">
        <f t="shared" si="19"/>
        <v>869696129</v>
      </c>
      <c r="K636" s="113" t="str">
        <f t="shared" si="20"/>
        <v>CG00676</v>
      </c>
    </row>
    <row r="637" spans="1:11" x14ac:dyDescent="0.3">
      <c r="A637" s="298" t="s">
        <v>2431</v>
      </c>
      <c r="B637" s="298" t="s">
        <v>2432</v>
      </c>
      <c r="C637" s="298" t="s">
        <v>1776</v>
      </c>
      <c r="D637" s="298" t="s">
        <v>256</v>
      </c>
      <c r="E637" s="298"/>
      <c r="F637" s="298" t="s">
        <v>2433</v>
      </c>
      <c r="G637" s="299" t="b">
        <v>0</v>
      </c>
      <c r="H637" s="299" t="b">
        <v>0</v>
      </c>
      <c r="J637" s="113" t="str">
        <f t="shared" si="19"/>
        <v>919152522</v>
      </c>
      <c r="K637" s="113" t="str">
        <f t="shared" si="20"/>
        <v>CG00678</v>
      </c>
    </row>
    <row r="638" spans="1:11" x14ac:dyDescent="0.3">
      <c r="A638" s="298" t="s">
        <v>2434</v>
      </c>
      <c r="B638" s="298" t="s">
        <v>2435</v>
      </c>
      <c r="C638" s="298" t="s">
        <v>2436</v>
      </c>
      <c r="D638" s="298" t="s">
        <v>256</v>
      </c>
      <c r="E638" s="298" t="s">
        <v>12790</v>
      </c>
      <c r="F638" s="298" t="s">
        <v>2437</v>
      </c>
      <c r="G638" s="299" t="b">
        <v>0</v>
      </c>
      <c r="H638" s="299" t="b">
        <v>0</v>
      </c>
      <c r="J638" s="113" t="str">
        <f t="shared" si="19"/>
        <v>905557788</v>
      </c>
      <c r="K638" s="113" t="str">
        <f t="shared" si="20"/>
        <v>CG00679</v>
      </c>
    </row>
    <row r="639" spans="1:11" x14ac:dyDescent="0.3">
      <c r="A639" s="298" t="s">
        <v>2438</v>
      </c>
      <c r="B639" s="298" t="s">
        <v>2439</v>
      </c>
      <c r="C639" s="298" t="s">
        <v>409</v>
      </c>
      <c r="D639" s="298" t="s">
        <v>256</v>
      </c>
      <c r="E639" s="298"/>
      <c r="F639" s="298" t="s">
        <v>2440</v>
      </c>
      <c r="G639" s="299" t="b">
        <v>0</v>
      </c>
      <c r="H639" s="299" t="b">
        <v>0</v>
      </c>
      <c r="J639" s="113" t="str">
        <f t="shared" si="19"/>
        <v>978751028</v>
      </c>
      <c r="K639" s="113" t="str">
        <f t="shared" si="20"/>
        <v>CG00680</v>
      </c>
    </row>
    <row r="640" spans="1:11" x14ac:dyDescent="0.3">
      <c r="A640" s="298" t="s">
        <v>2441</v>
      </c>
      <c r="B640" s="298" t="s">
        <v>2442</v>
      </c>
      <c r="C640" s="298" t="s">
        <v>2443</v>
      </c>
      <c r="D640" s="298" t="s">
        <v>256</v>
      </c>
      <c r="E640" s="298"/>
      <c r="F640" s="298" t="s">
        <v>2444</v>
      </c>
      <c r="G640" s="299" t="b">
        <v>0</v>
      </c>
      <c r="H640" s="299" t="b">
        <v>0</v>
      </c>
      <c r="J640" s="113" t="str">
        <f t="shared" si="19"/>
        <v>913387125</v>
      </c>
      <c r="K640" s="113" t="str">
        <f t="shared" si="20"/>
        <v>CG00681</v>
      </c>
    </row>
    <row r="641" spans="1:11" x14ac:dyDescent="0.3">
      <c r="A641" s="298" t="s">
        <v>2445</v>
      </c>
      <c r="B641" s="298" t="s">
        <v>2446</v>
      </c>
      <c r="C641" s="298" t="s">
        <v>1654</v>
      </c>
      <c r="D641" s="298" t="s">
        <v>256</v>
      </c>
      <c r="E641" s="298"/>
      <c r="F641" s="298" t="s">
        <v>2447</v>
      </c>
      <c r="G641" s="299" t="b">
        <v>0</v>
      </c>
      <c r="H641" s="299" t="b">
        <v>0</v>
      </c>
      <c r="J641" s="113" t="str">
        <f t="shared" si="19"/>
        <v>343805555</v>
      </c>
      <c r="K641" s="113" t="str">
        <f t="shared" si="20"/>
        <v>CG00682</v>
      </c>
    </row>
    <row r="642" spans="1:11" x14ac:dyDescent="0.3">
      <c r="A642" s="298" t="s">
        <v>2448</v>
      </c>
      <c r="B642" s="298" t="s">
        <v>2449</v>
      </c>
      <c r="C642" s="298" t="s">
        <v>2170</v>
      </c>
      <c r="D642" s="298" t="s">
        <v>256</v>
      </c>
      <c r="E642" s="298"/>
      <c r="F642" s="298" t="s">
        <v>2450</v>
      </c>
      <c r="G642" s="299" t="b">
        <v>0</v>
      </c>
      <c r="H642" s="299" t="b">
        <v>0</v>
      </c>
      <c r="J642" s="113" t="str">
        <f t="shared" si="19"/>
        <v>982221737</v>
      </c>
      <c r="K642" s="113" t="str">
        <f t="shared" si="20"/>
        <v>CG00683</v>
      </c>
    </row>
    <row r="643" spans="1:11" x14ac:dyDescent="0.3">
      <c r="A643" s="298" t="s">
        <v>2451</v>
      </c>
      <c r="B643" s="298" t="s">
        <v>14664</v>
      </c>
      <c r="C643" s="298" t="s">
        <v>231</v>
      </c>
      <c r="D643" s="298" t="s">
        <v>256</v>
      </c>
      <c r="E643" s="298"/>
      <c r="F643" s="298" t="s">
        <v>2452</v>
      </c>
      <c r="G643" s="299" t="b">
        <v>0</v>
      </c>
      <c r="H643" s="299" t="b">
        <v>0</v>
      </c>
      <c r="J643" s="113" t="str">
        <f t="shared" si="19"/>
        <v>986271569</v>
      </c>
      <c r="K643" s="113" t="str">
        <f t="shared" si="20"/>
        <v>CG00684</v>
      </c>
    </row>
    <row r="644" spans="1:11" x14ac:dyDescent="0.3">
      <c r="A644" s="298" t="s">
        <v>2453</v>
      </c>
      <c r="B644" s="298" t="s">
        <v>2454</v>
      </c>
      <c r="C644" s="298" t="s">
        <v>1727</v>
      </c>
      <c r="D644" s="298" t="s">
        <v>256</v>
      </c>
      <c r="E644" s="298"/>
      <c r="F644" s="298" t="s">
        <v>2455</v>
      </c>
      <c r="G644" s="299" t="b">
        <v>0</v>
      </c>
      <c r="H644" s="299" t="b">
        <v>0</v>
      </c>
      <c r="J644" s="113" t="str">
        <f t="shared" si="19"/>
        <v>963864568</v>
      </c>
      <c r="K644" s="113" t="str">
        <f t="shared" si="20"/>
        <v>CG00685</v>
      </c>
    </row>
    <row r="645" spans="1:11" x14ac:dyDescent="0.3">
      <c r="A645" s="298" t="s">
        <v>2456</v>
      </c>
      <c r="B645" s="298" t="s">
        <v>2457</v>
      </c>
      <c r="C645" s="298" t="s">
        <v>2458</v>
      </c>
      <c r="D645" s="298" t="s">
        <v>256</v>
      </c>
      <c r="E645" s="298"/>
      <c r="F645" s="298" t="s">
        <v>2459</v>
      </c>
      <c r="G645" s="299" t="b">
        <v>0</v>
      </c>
      <c r="H645" s="299" t="b">
        <v>0</v>
      </c>
      <c r="J645" s="113" t="str">
        <f t="shared" ref="J645:J708" si="21">RIGHT(B645,9)</f>
        <v>934244587</v>
      </c>
      <c r="K645" s="113" t="str">
        <f t="shared" ref="K645:K708" si="22">A645</f>
        <v>CG00686</v>
      </c>
    </row>
    <row r="646" spans="1:11" x14ac:dyDescent="0.3">
      <c r="A646" s="298" t="s">
        <v>2460</v>
      </c>
      <c r="B646" s="298" t="s">
        <v>2461</v>
      </c>
      <c r="C646" s="298" t="s">
        <v>769</v>
      </c>
      <c r="D646" s="298" t="s">
        <v>256</v>
      </c>
      <c r="E646" s="298"/>
      <c r="F646" s="298" t="s">
        <v>2462</v>
      </c>
      <c r="G646" s="299" t="b">
        <v>0</v>
      </c>
      <c r="H646" s="299" t="b">
        <v>0</v>
      </c>
      <c r="J646" s="113" t="str">
        <f t="shared" si="21"/>
        <v>913346368</v>
      </c>
      <c r="K646" s="113" t="str">
        <f t="shared" si="22"/>
        <v>CG00687</v>
      </c>
    </row>
    <row r="647" spans="1:11" x14ac:dyDescent="0.3">
      <c r="A647" s="298" t="s">
        <v>2463</v>
      </c>
      <c r="B647" s="298" t="s">
        <v>2464</v>
      </c>
      <c r="C647" s="298" t="s">
        <v>375</v>
      </c>
      <c r="D647" s="298" t="s">
        <v>256</v>
      </c>
      <c r="E647" s="298"/>
      <c r="F647" s="298" t="s">
        <v>2465</v>
      </c>
      <c r="G647" s="299" t="b">
        <v>0</v>
      </c>
      <c r="H647" s="299" t="b">
        <v>0</v>
      </c>
      <c r="J647" s="113" t="str">
        <f t="shared" si="21"/>
        <v>916309992</v>
      </c>
      <c r="K647" s="113" t="str">
        <f t="shared" si="22"/>
        <v>CG00688</v>
      </c>
    </row>
    <row r="648" spans="1:11" x14ac:dyDescent="0.3">
      <c r="A648" s="298" t="s">
        <v>2466</v>
      </c>
      <c r="B648" s="298" t="s">
        <v>2467</v>
      </c>
      <c r="C648" s="298" t="s">
        <v>1222</v>
      </c>
      <c r="D648" s="298" t="s">
        <v>256</v>
      </c>
      <c r="E648" s="298"/>
      <c r="F648" s="298" t="s">
        <v>2468</v>
      </c>
      <c r="G648" s="299" t="b">
        <v>0</v>
      </c>
      <c r="H648" s="299" t="b">
        <v>0</v>
      </c>
      <c r="J648" s="113" t="str">
        <f t="shared" si="21"/>
        <v>913264735</v>
      </c>
      <c r="K648" s="113" t="str">
        <f t="shared" si="22"/>
        <v>CG00689</v>
      </c>
    </row>
    <row r="649" spans="1:11" x14ac:dyDescent="0.3">
      <c r="A649" s="298" t="s">
        <v>2469</v>
      </c>
      <c r="B649" s="298" t="s">
        <v>2470</v>
      </c>
      <c r="C649" s="298" t="s">
        <v>809</v>
      </c>
      <c r="D649" s="298" t="s">
        <v>256</v>
      </c>
      <c r="E649" s="298"/>
      <c r="F649" s="298" t="s">
        <v>2471</v>
      </c>
      <c r="G649" s="299" t="b">
        <v>0</v>
      </c>
      <c r="H649" s="299" t="b">
        <v>0</v>
      </c>
      <c r="J649" s="113" t="str">
        <f t="shared" si="21"/>
        <v>386487770</v>
      </c>
      <c r="K649" s="113" t="str">
        <f t="shared" si="22"/>
        <v>CG00690</v>
      </c>
    </row>
    <row r="650" spans="1:11" x14ac:dyDescent="0.3">
      <c r="A650" s="298" t="s">
        <v>2472</v>
      </c>
      <c r="B650" s="298" t="s">
        <v>2473</v>
      </c>
      <c r="C650" s="298" t="s">
        <v>1579</v>
      </c>
      <c r="D650" s="298" t="s">
        <v>256</v>
      </c>
      <c r="E650" s="298"/>
      <c r="F650" s="298" t="s">
        <v>2474</v>
      </c>
      <c r="G650" s="299" t="b">
        <v>0</v>
      </c>
      <c r="H650" s="299" t="b">
        <v>0</v>
      </c>
      <c r="J650" s="113" t="str">
        <f t="shared" si="21"/>
        <v>904045747</v>
      </c>
      <c r="K650" s="113" t="str">
        <f t="shared" si="22"/>
        <v>CG00691</v>
      </c>
    </row>
    <row r="651" spans="1:11" x14ac:dyDescent="0.3">
      <c r="A651" s="298" t="s">
        <v>2475</v>
      </c>
      <c r="B651" s="298" t="s">
        <v>2476</v>
      </c>
      <c r="C651" s="298" t="s">
        <v>1173</v>
      </c>
      <c r="D651" s="298" t="s">
        <v>256</v>
      </c>
      <c r="E651" s="298"/>
      <c r="F651" s="298" t="s">
        <v>2477</v>
      </c>
      <c r="G651" s="299" t="b">
        <v>0</v>
      </c>
      <c r="H651" s="299" t="b">
        <v>0</v>
      </c>
      <c r="J651" s="113" t="str">
        <f t="shared" si="21"/>
        <v>913297542</v>
      </c>
      <c r="K651" s="113" t="str">
        <f t="shared" si="22"/>
        <v>CG00692</v>
      </c>
    </row>
    <row r="652" spans="1:11" x14ac:dyDescent="0.3">
      <c r="A652" s="298" t="s">
        <v>2478</v>
      </c>
      <c r="B652" s="298" t="s">
        <v>2479</v>
      </c>
      <c r="C652" s="298" t="s">
        <v>2480</v>
      </c>
      <c r="D652" s="298" t="s">
        <v>256</v>
      </c>
      <c r="E652" s="298"/>
      <c r="F652" s="298" t="s">
        <v>2481</v>
      </c>
      <c r="G652" s="299" t="b">
        <v>0</v>
      </c>
      <c r="H652" s="299" t="b">
        <v>0</v>
      </c>
      <c r="J652" s="113" t="str">
        <f t="shared" si="21"/>
        <v>912227229</v>
      </c>
      <c r="K652" s="113" t="str">
        <f t="shared" si="22"/>
        <v>CG00693</v>
      </c>
    </row>
    <row r="653" spans="1:11" x14ac:dyDescent="0.3">
      <c r="A653" s="298" t="s">
        <v>2482</v>
      </c>
      <c r="B653" s="298" t="s">
        <v>2483</v>
      </c>
      <c r="C653" s="298" t="s">
        <v>1237</v>
      </c>
      <c r="D653" s="298" t="s">
        <v>256</v>
      </c>
      <c r="E653" s="298"/>
      <c r="F653" s="298" t="s">
        <v>2484</v>
      </c>
      <c r="G653" s="299" t="b">
        <v>0</v>
      </c>
      <c r="H653" s="299" t="b">
        <v>0</v>
      </c>
      <c r="J653" s="113" t="str">
        <f t="shared" si="21"/>
        <v>944041907</v>
      </c>
      <c r="K653" s="113" t="str">
        <f t="shared" si="22"/>
        <v>CG00694</v>
      </c>
    </row>
    <row r="654" spans="1:11" x14ac:dyDescent="0.3">
      <c r="A654" s="298" t="s">
        <v>2485</v>
      </c>
      <c r="B654" s="298" t="s">
        <v>2486</v>
      </c>
      <c r="C654" s="298" t="s">
        <v>340</v>
      </c>
      <c r="D654" s="298" t="s">
        <v>256</v>
      </c>
      <c r="E654" s="298"/>
      <c r="F654" s="298" t="s">
        <v>2487</v>
      </c>
      <c r="G654" s="299" t="b">
        <v>0</v>
      </c>
      <c r="H654" s="299" t="b">
        <v>0</v>
      </c>
      <c r="J654" s="113" t="str">
        <f t="shared" si="21"/>
        <v>936190166</v>
      </c>
      <c r="K654" s="113" t="str">
        <f t="shared" si="22"/>
        <v>CG00695</v>
      </c>
    </row>
    <row r="655" spans="1:11" x14ac:dyDescent="0.3">
      <c r="A655" s="298" t="s">
        <v>2488</v>
      </c>
      <c r="B655" s="298" t="s">
        <v>2489</v>
      </c>
      <c r="C655" s="298" t="s">
        <v>2490</v>
      </c>
      <c r="D655" s="298" t="s">
        <v>256</v>
      </c>
      <c r="E655" s="298"/>
      <c r="F655" s="298" t="s">
        <v>2491</v>
      </c>
      <c r="G655" s="299" t="b">
        <v>0</v>
      </c>
      <c r="H655" s="299" t="b">
        <v>0</v>
      </c>
      <c r="J655" s="113" t="str">
        <f t="shared" si="21"/>
        <v>977034081</v>
      </c>
      <c r="K655" s="113" t="str">
        <f t="shared" si="22"/>
        <v>CG00696</v>
      </c>
    </row>
    <row r="656" spans="1:11" x14ac:dyDescent="0.3">
      <c r="A656" s="298" t="s">
        <v>2492</v>
      </c>
      <c r="B656" s="298" t="s">
        <v>2493</v>
      </c>
      <c r="C656" s="298" t="s">
        <v>2494</v>
      </c>
      <c r="D656" s="298" t="s">
        <v>256</v>
      </c>
      <c r="E656" s="298"/>
      <c r="F656" s="298" t="s">
        <v>2495</v>
      </c>
      <c r="G656" s="299" t="b">
        <v>0</v>
      </c>
      <c r="H656" s="299" t="b">
        <v>0</v>
      </c>
      <c r="J656" s="113" t="str">
        <f t="shared" si="21"/>
        <v>963363386</v>
      </c>
      <c r="K656" s="113" t="str">
        <f t="shared" si="22"/>
        <v>CG00697</v>
      </c>
    </row>
    <row r="657" spans="1:11" x14ac:dyDescent="0.3">
      <c r="A657" s="298" t="s">
        <v>2496</v>
      </c>
      <c r="B657" s="298" t="s">
        <v>2497</v>
      </c>
      <c r="C657" s="298" t="s">
        <v>1587</v>
      </c>
      <c r="D657" s="298" t="s">
        <v>256</v>
      </c>
      <c r="E657" s="298"/>
      <c r="F657" s="298" t="s">
        <v>2498</v>
      </c>
      <c r="G657" s="299" t="b">
        <v>0</v>
      </c>
      <c r="H657" s="299" t="b">
        <v>0</v>
      </c>
      <c r="J657" s="113" t="str">
        <f t="shared" si="21"/>
        <v>914319780</v>
      </c>
      <c r="K657" s="113" t="str">
        <f t="shared" si="22"/>
        <v>CG00700</v>
      </c>
    </row>
    <row r="658" spans="1:11" x14ac:dyDescent="0.3">
      <c r="A658" s="298" t="s">
        <v>2499</v>
      </c>
      <c r="B658" s="298" t="s">
        <v>2500</v>
      </c>
      <c r="C658" s="298" t="s">
        <v>892</v>
      </c>
      <c r="D658" s="298" t="s">
        <v>256</v>
      </c>
      <c r="E658" s="298"/>
      <c r="F658" s="298" t="s">
        <v>2501</v>
      </c>
      <c r="G658" s="299" t="b">
        <v>0</v>
      </c>
      <c r="H658" s="299" t="b">
        <v>0</v>
      </c>
      <c r="J658" s="113" t="str">
        <f t="shared" si="21"/>
        <v>987486004</v>
      </c>
      <c r="K658" s="113" t="str">
        <f t="shared" si="22"/>
        <v>CG00701</v>
      </c>
    </row>
    <row r="659" spans="1:11" x14ac:dyDescent="0.3">
      <c r="A659" s="298" t="s">
        <v>2502</v>
      </c>
      <c r="B659" s="298" t="s">
        <v>2503</v>
      </c>
      <c r="C659" s="298" t="s">
        <v>405</v>
      </c>
      <c r="D659" s="298" t="s">
        <v>256</v>
      </c>
      <c r="E659" s="298" t="s">
        <v>2504</v>
      </c>
      <c r="F659" s="298" t="s">
        <v>2505</v>
      </c>
      <c r="G659" s="299" t="b">
        <v>0</v>
      </c>
      <c r="H659" s="299" t="b">
        <v>0</v>
      </c>
      <c r="J659" s="113" t="str">
        <f t="shared" si="21"/>
        <v>383032666</v>
      </c>
      <c r="K659" s="113" t="str">
        <f t="shared" si="22"/>
        <v>CG00702</v>
      </c>
    </row>
    <row r="660" spans="1:11" x14ac:dyDescent="0.3">
      <c r="A660" s="298" t="s">
        <v>2506</v>
      </c>
      <c r="B660" s="298" t="s">
        <v>2507</v>
      </c>
      <c r="C660" s="298" t="s">
        <v>809</v>
      </c>
      <c r="D660" s="298" t="s">
        <v>256</v>
      </c>
      <c r="E660" s="298"/>
      <c r="F660" s="298" t="s">
        <v>2508</v>
      </c>
      <c r="G660" s="299" t="b">
        <v>0</v>
      </c>
      <c r="H660" s="299" t="b">
        <v>0</v>
      </c>
      <c r="J660" s="113" t="str">
        <f t="shared" si="21"/>
        <v>968729662</v>
      </c>
      <c r="K660" s="113" t="str">
        <f t="shared" si="22"/>
        <v>CG00703</v>
      </c>
    </row>
    <row r="661" spans="1:11" x14ac:dyDescent="0.3">
      <c r="A661" s="298" t="s">
        <v>2509</v>
      </c>
      <c r="B661" s="298" t="s">
        <v>2510</v>
      </c>
      <c r="C661" s="298" t="s">
        <v>541</v>
      </c>
      <c r="D661" s="298" t="s">
        <v>256</v>
      </c>
      <c r="E661" s="298"/>
      <c r="F661" s="298" t="s">
        <v>2511</v>
      </c>
      <c r="G661" s="299" t="b">
        <v>0</v>
      </c>
      <c r="H661" s="299" t="b">
        <v>0</v>
      </c>
      <c r="J661" s="113" t="str">
        <f t="shared" si="21"/>
        <v>913505822</v>
      </c>
      <c r="K661" s="113" t="str">
        <f t="shared" si="22"/>
        <v>CG00704</v>
      </c>
    </row>
    <row r="662" spans="1:11" x14ac:dyDescent="0.3">
      <c r="A662" s="298" t="s">
        <v>2512</v>
      </c>
      <c r="B662" s="298" t="s">
        <v>2513</v>
      </c>
      <c r="C662" s="298" t="s">
        <v>1654</v>
      </c>
      <c r="D662" s="298" t="s">
        <v>256</v>
      </c>
      <c r="E662" s="298"/>
      <c r="F662" s="298" t="s">
        <v>2514</v>
      </c>
      <c r="G662" s="299" t="b">
        <v>0</v>
      </c>
      <c r="H662" s="299" t="b">
        <v>0</v>
      </c>
      <c r="J662" s="113" t="str">
        <f t="shared" si="21"/>
        <v>989443889</v>
      </c>
      <c r="K662" s="113" t="str">
        <f t="shared" si="22"/>
        <v>CG00705</v>
      </c>
    </row>
    <row r="663" spans="1:11" x14ac:dyDescent="0.3">
      <c r="A663" s="298" t="s">
        <v>2515</v>
      </c>
      <c r="B663" s="298" t="s">
        <v>2516</v>
      </c>
      <c r="C663" s="298" t="s">
        <v>2517</v>
      </c>
      <c r="D663" s="298" t="s">
        <v>256</v>
      </c>
      <c r="E663" s="298"/>
      <c r="F663" s="298" t="s">
        <v>2518</v>
      </c>
      <c r="G663" s="299" t="b">
        <v>0</v>
      </c>
      <c r="H663" s="299" t="b">
        <v>0</v>
      </c>
      <c r="J663" s="113" t="str">
        <f t="shared" si="21"/>
        <v>913015238</v>
      </c>
      <c r="K663" s="113" t="str">
        <f t="shared" si="22"/>
        <v>CG00706</v>
      </c>
    </row>
    <row r="664" spans="1:11" x14ac:dyDescent="0.3">
      <c r="A664" s="298" t="s">
        <v>2519</v>
      </c>
      <c r="B664" s="298" t="s">
        <v>2520</v>
      </c>
      <c r="C664" s="298" t="s">
        <v>816</v>
      </c>
      <c r="D664" s="298" t="s">
        <v>256</v>
      </c>
      <c r="E664" s="298"/>
      <c r="F664" s="298" t="s">
        <v>2521</v>
      </c>
      <c r="G664" s="299" t="b">
        <v>0</v>
      </c>
      <c r="H664" s="299" t="b">
        <v>0</v>
      </c>
      <c r="J664" s="113" t="str">
        <f t="shared" si="21"/>
        <v>984168838</v>
      </c>
      <c r="K664" s="113" t="str">
        <f t="shared" si="22"/>
        <v>CG00707</v>
      </c>
    </row>
    <row r="665" spans="1:11" x14ac:dyDescent="0.3">
      <c r="A665" s="298" t="s">
        <v>2522</v>
      </c>
      <c r="B665" s="298" t="s">
        <v>2523</v>
      </c>
      <c r="C665" s="298" t="s">
        <v>317</v>
      </c>
      <c r="D665" s="298" t="s">
        <v>256</v>
      </c>
      <c r="E665" s="298"/>
      <c r="F665" s="298" t="s">
        <v>2524</v>
      </c>
      <c r="G665" s="299" t="b">
        <v>0</v>
      </c>
      <c r="H665" s="299" t="b">
        <v>0</v>
      </c>
      <c r="J665" s="113" t="str">
        <f t="shared" si="21"/>
        <v>987693063</v>
      </c>
      <c r="K665" s="113" t="str">
        <f t="shared" si="22"/>
        <v>CG00708</v>
      </c>
    </row>
    <row r="666" spans="1:11" x14ac:dyDescent="0.3">
      <c r="A666" s="298" t="s">
        <v>2525</v>
      </c>
      <c r="B666" s="298" t="s">
        <v>2526</v>
      </c>
      <c r="C666" s="298" t="s">
        <v>2527</v>
      </c>
      <c r="D666" s="298" t="s">
        <v>256</v>
      </c>
      <c r="E666" s="298"/>
      <c r="F666" s="298" t="s">
        <v>2528</v>
      </c>
      <c r="G666" s="299" t="b">
        <v>0</v>
      </c>
      <c r="H666" s="299" t="b">
        <v>0</v>
      </c>
      <c r="J666" s="113" t="str">
        <f t="shared" si="21"/>
        <v>912727785</v>
      </c>
      <c r="K666" s="113" t="str">
        <f t="shared" si="22"/>
        <v>CG00709</v>
      </c>
    </row>
    <row r="667" spans="1:11" x14ac:dyDescent="0.3">
      <c r="A667" s="298" t="s">
        <v>2529</v>
      </c>
      <c r="B667" s="298" t="s">
        <v>2530</v>
      </c>
      <c r="C667" s="298" t="s">
        <v>2531</v>
      </c>
      <c r="D667" s="298" t="s">
        <v>256</v>
      </c>
      <c r="E667" s="298"/>
      <c r="F667" s="298" t="s">
        <v>2532</v>
      </c>
      <c r="G667" s="299" t="b">
        <v>0</v>
      </c>
      <c r="H667" s="299" t="b">
        <v>0</v>
      </c>
      <c r="J667" s="113" t="str">
        <f t="shared" si="21"/>
        <v>985635618</v>
      </c>
      <c r="K667" s="113" t="str">
        <f t="shared" si="22"/>
        <v>CG00710</v>
      </c>
    </row>
    <row r="668" spans="1:11" x14ac:dyDescent="0.3">
      <c r="A668" s="298" t="s">
        <v>2533</v>
      </c>
      <c r="B668" s="298" t="s">
        <v>2534</v>
      </c>
      <c r="C668" s="298" t="s">
        <v>2535</v>
      </c>
      <c r="D668" s="298" t="s">
        <v>256</v>
      </c>
      <c r="E668" s="298" t="s">
        <v>12801</v>
      </c>
      <c r="F668" s="298" t="s">
        <v>2536</v>
      </c>
      <c r="G668" s="299" t="b">
        <v>0</v>
      </c>
      <c r="H668" s="299" t="b">
        <v>0</v>
      </c>
      <c r="J668" s="113" t="str">
        <f t="shared" si="21"/>
        <v>989981348</v>
      </c>
      <c r="K668" s="113" t="str">
        <f t="shared" si="22"/>
        <v>CG00711</v>
      </c>
    </row>
    <row r="669" spans="1:11" x14ac:dyDescent="0.3">
      <c r="A669" s="298" t="s">
        <v>2537</v>
      </c>
      <c r="B669" s="298" t="s">
        <v>2538</v>
      </c>
      <c r="C669" s="298" t="s">
        <v>349</v>
      </c>
      <c r="D669" s="298" t="s">
        <v>256</v>
      </c>
      <c r="E669" s="298"/>
      <c r="F669" s="298" t="s">
        <v>2539</v>
      </c>
      <c r="G669" s="299" t="b">
        <v>0</v>
      </c>
      <c r="H669" s="299" t="b">
        <v>0</v>
      </c>
      <c r="J669" s="113" t="str">
        <f t="shared" si="21"/>
        <v>915140571</v>
      </c>
      <c r="K669" s="113" t="str">
        <f t="shared" si="22"/>
        <v>CG00712</v>
      </c>
    </row>
    <row r="670" spans="1:11" x14ac:dyDescent="0.3">
      <c r="A670" s="298" t="s">
        <v>2540</v>
      </c>
      <c r="B670" s="298" t="s">
        <v>2541</v>
      </c>
      <c r="C670" s="298" t="s">
        <v>2542</v>
      </c>
      <c r="D670" s="298" t="s">
        <v>256</v>
      </c>
      <c r="E670" s="298"/>
      <c r="F670" s="298" t="s">
        <v>2543</v>
      </c>
      <c r="G670" s="299" t="b">
        <v>0</v>
      </c>
      <c r="H670" s="299" t="b">
        <v>0</v>
      </c>
      <c r="J670" s="113" t="str">
        <f t="shared" si="21"/>
        <v>981536989</v>
      </c>
      <c r="K670" s="113" t="str">
        <f t="shared" si="22"/>
        <v>CG00713</v>
      </c>
    </row>
    <row r="671" spans="1:11" x14ac:dyDescent="0.3">
      <c r="A671" s="298" t="s">
        <v>2544</v>
      </c>
      <c r="B671" s="298" t="s">
        <v>2545</v>
      </c>
      <c r="C671" s="298" t="s">
        <v>416</v>
      </c>
      <c r="D671" s="298" t="s">
        <v>256</v>
      </c>
      <c r="E671" s="298"/>
      <c r="F671" s="298" t="s">
        <v>2546</v>
      </c>
      <c r="G671" s="299" t="b">
        <v>0</v>
      </c>
      <c r="H671" s="299" t="b">
        <v>0</v>
      </c>
      <c r="J671" s="113" t="str">
        <f t="shared" si="21"/>
        <v>904616605</v>
      </c>
      <c r="K671" s="113" t="str">
        <f t="shared" si="22"/>
        <v>CG00716</v>
      </c>
    </row>
    <row r="672" spans="1:11" x14ac:dyDescent="0.3">
      <c r="A672" s="298" t="s">
        <v>2547</v>
      </c>
      <c r="B672" s="298" t="s">
        <v>2548</v>
      </c>
      <c r="C672" s="298" t="s">
        <v>2549</v>
      </c>
      <c r="D672" s="298" t="s">
        <v>256</v>
      </c>
      <c r="E672" s="298"/>
      <c r="F672" s="298" t="s">
        <v>2550</v>
      </c>
      <c r="G672" s="299" t="b">
        <v>0</v>
      </c>
      <c r="H672" s="299" t="b">
        <v>0</v>
      </c>
      <c r="J672" s="113" t="str">
        <f t="shared" si="21"/>
        <v>983732931</v>
      </c>
      <c r="K672" s="113" t="str">
        <f t="shared" si="22"/>
        <v>CG00717</v>
      </c>
    </row>
    <row r="673" spans="1:11" x14ac:dyDescent="0.3">
      <c r="A673" s="298" t="s">
        <v>2551</v>
      </c>
      <c r="B673" s="298" t="s">
        <v>2552</v>
      </c>
      <c r="C673" s="298" t="s">
        <v>500</v>
      </c>
      <c r="D673" s="298" t="s">
        <v>256</v>
      </c>
      <c r="E673" s="298"/>
      <c r="F673" s="298" t="s">
        <v>2553</v>
      </c>
      <c r="G673" s="299" t="b">
        <v>0</v>
      </c>
      <c r="H673" s="299" t="b">
        <v>0</v>
      </c>
      <c r="J673" s="113" t="str">
        <f t="shared" si="21"/>
        <v>936142635</v>
      </c>
      <c r="K673" s="113" t="str">
        <f t="shared" si="22"/>
        <v>CG00718</v>
      </c>
    </row>
    <row r="674" spans="1:11" x14ac:dyDescent="0.3">
      <c r="A674" s="298" t="s">
        <v>2554</v>
      </c>
      <c r="B674" s="298" t="s">
        <v>2555</v>
      </c>
      <c r="C674" s="298" t="s">
        <v>2556</v>
      </c>
      <c r="D674" s="298" t="s">
        <v>256</v>
      </c>
      <c r="E674" s="298"/>
      <c r="F674" s="298" t="s">
        <v>2557</v>
      </c>
      <c r="G674" s="299" t="b">
        <v>0</v>
      </c>
      <c r="H674" s="299" t="b">
        <v>0</v>
      </c>
      <c r="J674" s="113" t="str">
        <f t="shared" si="21"/>
        <v>942423133</v>
      </c>
      <c r="K674" s="113" t="str">
        <f t="shared" si="22"/>
        <v>CG00719</v>
      </c>
    </row>
    <row r="675" spans="1:11" x14ac:dyDescent="0.3">
      <c r="A675" s="298" t="s">
        <v>2558</v>
      </c>
      <c r="B675" s="298" t="s">
        <v>2559</v>
      </c>
      <c r="C675" s="298" t="s">
        <v>416</v>
      </c>
      <c r="D675" s="298" t="s">
        <v>256</v>
      </c>
      <c r="E675" s="298"/>
      <c r="F675" s="298" t="s">
        <v>2560</v>
      </c>
      <c r="G675" s="299" t="b">
        <v>0</v>
      </c>
      <c r="H675" s="299" t="b">
        <v>0</v>
      </c>
      <c r="J675" s="113" t="str">
        <f t="shared" si="21"/>
        <v>903483824</v>
      </c>
      <c r="K675" s="113" t="str">
        <f t="shared" si="22"/>
        <v>CG00720</v>
      </c>
    </row>
    <row r="676" spans="1:11" x14ac:dyDescent="0.3">
      <c r="A676" s="298" t="s">
        <v>2561</v>
      </c>
      <c r="B676" s="298" t="s">
        <v>2562</v>
      </c>
      <c r="C676" s="298" t="s">
        <v>877</v>
      </c>
      <c r="D676" s="298" t="s">
        <v>256</v>
      </c>
      <c r="E676" s="298"/>
      <c r="F676" s="298" t="s">
        <v>2563</v>
      </c>
      <c r="G676" s="299" t="b">
        <v>0</v>
      </c>
      <c r="H676" s="299" t="b">
        <v>0</v>
      </c>
      <c r="J676" s="113" t="str">
        <f t="shared" si="21"/>
        <v>912800628</v>
      </c>
      <c r="K676" s="113" t="str">
        <f t="shared" si="22"/>
        <v>CG00721</v>
      </c>
    </row>
    <row r="677" spans="1:11" x14ac:dyDescent="0.3">
      <c r="A677" s="298" t="s">
        <v>2564</v>
      </c>
      <c r="B677" s="298" t="s">
        <v>2565</v>
      </c>
      <c r="C677" s="298" t="s">
        <v>363</v>
      </c>
      <c r="D677" s="298" t="s">
        <v>256</v>
      </c>
      <c r="E677" s="298"/>
      <c r="F677" s="298" t="s">
        <v>2566</v>
      </c>
      <c r="G677" s="299" t="b">
        <v>0</v>
      </c>
      <c r="H677" s="299" t="b">
        <v>0</v>
      </c>
      <c r="J677" s="113" t="str">
        <f t="shared" si="21"/>
        <v>905018248</v>
      </c>
      <c r="K677" s="113" t="str">
        <f t="shared" si="22"/>
        <v>CG00722</v>
      </c>
    </row>
    <row r="678" spans="1:11" x14ac:dyDescent="0.3">
      <c r="A678" s="298" t="s">
        <v>2567</v>
      </c>
      <c r="B678" s="298" t="s">
        <v>2568</v>
      </c>
      <c r="C678" s="298" t="s">
        <v>877</v>
      </c>
      <c r="D678" s="298" t="s">
        <v>256</v>
      </c>
      <c r="E678" s="298"/>
      <c r="F678" s="298" t="s">
        <v>2569</v>
      </c>
      <c r="G678" s="299" t="b">
        <v>0</v>
      </c>
      <c r="H678" s="299" t="b">
        <v>0</v>
      </c>
      <c r="J678" s="113" t="str">
        <f t="shared" si="21"/>
        <v>963908978</v>
      </c>
      <c r="K678" s="113" t="str">
        <f t="shared" si="22"/>
        <v>CG00723</v>
      </c>
    </row>
    <row r="679" spans="1:11" x14ac:dyDescent="0.3">
      <c r="A679" s="298" t="s">
        <v>2570</v>
      </c>
      <c r="B679" s="298" t="s">
        <v>2571</v>
      </c>
      <c r="C679" s="298" t="s">
        <v>1508</v>
      </c>
      <c r="D679" s="298" t="s">
        <v>256</v>
      </c>
      <c r="E679" s="298"/>
      <c r="F679" s="298" t="s">
        <v>2572</v>
      </c>
      <c r="G679" s="299" t="b">
        <v>0</v>
      </c>
      <c r="H679" s="299" t="b">
        <v>0</v>
      </c>
      <c r="J679" s="113" t="str">
        <f t="shared" si="21"/>
        <v>913562288</v>
      </c>
      <c r="K679" s="113" t="str">
        <f t="shared" si="22"/>
        <v>CG00724</v>
      </c>
    </row>
    <row r="680" spans="1:11" x14ac:dyDescent="0.3">
      <c r="A680" s="298" t="s">
        <v>2573</v>
      </c>
      <c r="B680" s="298" t="s">
        <v>2574</v>
      </c>
      <c r="C680" s="298" t="s">
        <v>305</v>
      </c>
      <c r="D680" s="298" t="s">
        <v>256</v>
      </c>
      <c r="E680" s="298"/>
      <c r="F680" s="298" t="s">
        <v>2575</v>
      </c>
      <c r="G680" s="299" t="b">
        <v>0</v>
      </c>
      <c r="H680" s="299" t="b">
        <v>0</v>
      </c>
      <c r="J680" s="113" t="str">
        <f t="shared" si="21"/>
        <v>989333183</v>
      </c>
      <c r="K680" s="113" t="str">
        <f t="shared" si="22"/>
        <v>CG00725</v>
      </c>
    </row>
    <row r="681" spans="1:11" x14ac:dyDescent="0.3">
      <c r="A681" s="298" t="s">
        <v>2576</v>
      </c>
      <c r="B681" s="298" t="s">
        <v>2577</v>
      </c>
      <c r="C681" s="298" t="s">
        <v>2578</v>
      </c>
      <c r="D681" s="298" t="s">
        <v>256</v>
      </c>
      <c r="E681" s="298"/>
      <c r="F681" s="298" t="s">
        <v>2579</v>
      </c>
      <c r="G681" s="299" t="b">
        <v>0</v>
      </c>
      <c r="H681" s="299" t="b">
        <v>0</v>
      </c>
      <c r="J681" s="113" t="str">
        <f t="shared" si="21"/>
        <v>915048698</v>
      </c>
      <c r="K681" s="113" t="str">
        <f t="shared" si="22"/>
        <v>CG00726</v>
      </c>
    </row>
    <row r="682" spans="1:11" x14ac:dyDescent="0.3">
      <c r="A682" s="298" t="s">
        <v>2580</v>
      </c>
      <c r="B682" s="298" t="s">
        <v>2581</v>
      </c>
      <c r="C682" s="298" t="s">
        <v>231</v>
      </c>
      <c r="D682" s="298" t="s">
        <v>256</v>
      </c>
      <c r="E682" s="298"/>
      <c r="F682" s="298" t="s">
        <v>2582</v>
      </c>
      <c r="G682" s="299" t="b">
        <v>0</v>
      </c>
      <c r="H682" s="299" t="b">
        <v>0</v>
      </c>
      <c r="J682" s="113" t="str">
        <f t="shared" si="21"/>
        <v>772339960</v>
      </c>
      <c r="K682" s="113" t="str">
        <f t="shared" si="22"/>
        <v>CG00727</v>
      </c>
    </row>
    <row r="683" spans="1:11" x14ac:dyDescent="0.3">
      <c r="A683" s="298" t="s">
        <v>2583</v>
      </c>
      <c r="B683" s="298" t="s">
        <v>2584</v>
      </c>
      <c r="C683" s="298" t="s">
        <v>231</v>
      </c>
      <c r="D683" s="298" t="s">
        <v>256</v>
      </c>
      <c r="E683" s="298"/>
      <c r="F683" s="298" t="s">
        <v>2585</v>
      </c>
      <c r="G683" s="299" t="b">
        <v>0</v>
      </c>
      <c r="H683" s="299" t="b">
        <v>0</v>
      </c>
      <c r="J683" s="113" t="str">
        <f t="shared" si="21"/>
        <v>912256660</v>
      </c>
      <c r="K683" s="113" t="str">
        <f t="shared" si="22"/>
        <v>CG00728</v>
      </c>
    </row>
    <row r="684" spans="1:11" x14ac:dyDescent="0.3">
      <c r="A684" s="298" t="s">
        <v>2586</v>
      </c>
      <c r="B684" s="298" t="s">
        <v>2587</v>
      </c>
      <c r="C684" s="298" t="s">
        <v>500</v>
      </c>
      <c r="D684" s="298" t="s">
        <v>256</v>
      </c>
      <c r="E684" s="298"/>
      <c r="F684" s="298" t="s">
        <v>2588</v>
      </c>
      <c r="G684" s="299" t="b">
        <v>0</v>
      </c>
      <c r="H684" s="299" t="b">
        <v>0</v>
      </c>
      <c r="J684" s="113" t="str">
        <f t="shared" si="21"/>
        <v>982716051</v>
      </c>
      <c r="K684" s="113" t="str">
        <f t="shared" si="22"/>
        <v>CG00729</v>
      </c>
    </row>
    <row r="685" spans="1:11" x14ac:dyDescent="0.3">
      <c r="A685" s="298" t="s">
        <v>2589</v>
      </c>
      <c r="B685" s="298" t="s">
        <v>2590</v>
      </c>
      <c r="C685" s="298" t="s">
        <v>1335</v>
      </c>
      <c r="D685" s="298" t="s">
        <v>256</v>
      </c>
      <c r="E685" s="298"/>
      <c r="F685" s="298" t="s">
        <v>2591</v>
      </c>
      <c r="G685" s="299" t="b">
        <v>0</v>
      </c>
      <c r="H685" s="299" t="b">
        <v>0</v>
      </c>
      <c r="J685" s="113" t="str">
        <f t="shared" si="21"/>
        <v>947156504</v>
      </c>
      <c r="K685" s="113" t="str">
        <f t="shared" si="22"/>
        <v>CG00731</v>
      </c>
    </row>
    <row r="686" spans="1:11" x14ac:dyDescent="0.3">
      <c r="A686" s="298" t="s">
        <v>2592</v>
      </c>
      <c r="B686" s="298" t="s">
        <v>2593</v>
      </c>
      <c r="C686" s="298" t="s">
        <v>1237</v>
      </c>
      <c r="D686" s="298" t="s">
        <v>256</v>
      </c>
      <c r="E686" s="298"/>
      <c r="F686" s="298" t="s">
        <v>2594</v>
      </c>
      <c r="G686" s="299" t="b">
        <v>0</v>
      </c>
      <c r="H686" s="299" t="b">
        <v>0</v>
      </c>
      <c r="J686" s="113" t="str">
        <f t="shared" si="21"/>
        <v>912774112</v>
      </c>
      <c r="K686" s="113" t="str">
        <f t="shared" si="22"/>
        <v>CG00732</v>
      </c>
    </row>
    <row r="687" spans="1:11" x14ac:dyDescent="0.3">
      <c r="A687" s="298" t="s">
        <v>2595</v>
      </c>
      <c r="B687" s="298" t="s">
        <v>2596</v>
      </c>
      <c r="C687" s="298" t="s">
        <v>816</v>
      </c>
      <c r="D687" s="298" t="s">
        <v>256</v>
      </c>
      <c r="E687" s="298"/>
      <c r="F687" s="298" t="s">
        <v>2597</v>
      </c>
      <c r="G687" s="299" t="b">
        <v>0</v>
      </c>
      <c r="H687" s="299" t="b">
        <v>0</v>
      </c>
      <c r="J687" s="113" t="str">
        <f t="shared" si="21"/>
        <v>913526892</v>
      </c>
      <c r="K687" s="113" t="str">
        <f t="shared" si="22"/>
        <v>CG00733</v>
      </c>
    </row>
    <row r="688" spans="1:11" x14ac:dyDescent="0.3">
      <c r="A688" s="298" t="s">
        <v>2598</v>
      </c>
      <c r="B688" s="298" t="s">
        <v>2599</v>
      </c>
      <c r="C688" s="298" t="s">
        <v>2600</v>
      </c>
      <c r="D688" s="298" t="s">
        <v>256</v>
      </c>
      <c r="E688" s="298"/>
      <c r="F688" s="298" t="s">
        <v>2601</v>
      </c>
      <c r="G688" s="299" t="b">
        <v>0</v>
      </c>
      <c r="H688" s="299" t="b">
        <v>0</v>
      </c>
      <c r="J688" s="113" t="str">
        <f t="shared" si="21"/>
        <v>912509056</v>
      </c>
      <c r="K688" s="113" t="str">
        <f t="shared" si="22"/>
        <v>CG00734</v>
      </c>
    </row>
    <row r="689" spans="1:11" x14ac:dyDescent="0.3">
      <c r="A689" s="298" t="s">
        <v>2602</v>
      </c>
      <c r="B689" s="298" t="s">
        <v>2603</v>
      </c>
      <c r="C689" s="298" t="s">
        <v>2160</v>
      </c>
      <c r="D689" s="298" t="s">
        <v>256</v>
      </c>
      <c r="E689" s="298"/>
      <c r="F689" s="298" t="s">
        <v>2604</v>
      </c>
      <c r="G689" s="299" t="b">
        <v>0</v>
      </c>
      <c r="H689" s="299" t="b">
        <v>0</v>
      </c>
      <c r="J689" s="113" t="str">
        <f t="shared" si="21"/>
        <v>913571708</v>
      </c>
      <c r="K689" s="113" t="str">
        <f t="shared" si="22"/>
        <v>CG00735</v>
      </c>
    </row>
    <row r="690" spans="1:11" x14ac:dyDescent="0.3">
      <c r="A690" s="298" t="s">
        <v>2605</v>
      </c>
      <c r="B690" s="298" t="s">
        <v>2606</v>
      </c>
      <c r="C690" s="298" t="s">
        <v>2607</v>
      </c>
      <c r="D690" s="298" t="s">
        <v>256</v>
      </c>
      <c r="E690" s="298"/>
      <c r="F690" s="298" t="s">
        <v>2608</v>
      </c>
      <c r="G690" s="299" t="b">
        <v>0</v>
      </c>
      <c r="H690" s="299" t="b">
        <v>0</v>
      </c>
      <c r="J690" s="113" t="str">
        <f t="shared" si="21"/>
        <v>964212222</v>
      </c>
      <c r="K690" s="113" t="str">
        <f t="shared" si="22"/>
        <v>CG00736</v>
      </c>
    </row>
    <row r="691" spans="1:11" x14ac:dyDescent="0.3">
      <c r="A691" s="298" t="s">
        <v>2609</v>
      </c>
      <c r="B691" s="298" t="s">
        <v>2610</v>
      </c>
      <c r="C691" s="298" t="s">
        <v>1173</v>
      </c>
      <c r="D691" s="298" t="s">
        <v>256</v>
      </c>
      <c r="E691" s="298"/>
      <c r="F691" s="298" t="s">
        <v>2611</v>
      </c>
      <c r="G691" s="299" t="b">
        <v>0</v>
      </c>
      <c r="H691" s="299" t="b">
        <v>0</v>
      </c>
      <c r="J691" s="113" t="str">
        <f t="shared" si="21"/>
        <v>917446885</v>
      </c>
      <c r="K691" s="113" t="str">
        <f t="shared" si="22"/>
        <v>CG00737</v>
      </c>
    </row>
    <row r="692" spans="1:11" x14ac:dyDescent="0.3">
      <c r="A692" s="298" t="s">
        <v>2612</v>
      </c>
      <c r="B692" s="298" t="s">
        <v>2613</v>
      </c>
      <c r="C692" s="298" t="s">
        <v>884</v>
      </c>
      <c r="D692" s="298" t="s">
        <v>256</v>
      </c>
      <c r="E692" s="298"/>
      <c r="F692" s="298" t="s">
        <v>2614</v>
      </c>
      <c r="G692" s="299" t="b">
        <v>0</v>
      </c>
      <c r="H692" s="299" t="b">
        <v>0</v>
      </c>
      <c r="J692" s="113" t="str">
        <f t="shared" si="21"/>
        <v>913595729</v>
      </c>
      <c r="K692" s="113" t="str">
        <f t="shared" si="22"/>
        <v>CG00738</v>
      </c>
    </row>
    <row r="693" spans="1:11" x14ac:dyDescent="0.3">
      <c r="A693" s="298" t="s">
        <v>2615</v>
      </c>
      <c r="B693" s="298" t="s">
        <v>2616</v>
      </c>
      <c r="C693" s="298" t="s">
        <v>317</v>
      </c>
      <c r="D693" s="298" t="s">
        <v>256</v>
      </c>
      <c r="E693" s="298"/>
      <c r="F693" s="298" t="s">
        <v>2617</v>
      </c>
      <c r="G693" s="299" t="b">
        <v>0</v>
      </c>
      <c r="H693" s="299" t="b">
        <v>0</v>
      </c>
      <c r="J693" s="113" t="str">
        <f t="shared" si="21"/>
        <v>934208784</v>
      </c>
      <c r="K693" s="113" t="str">
        <f t="shared" si="22"/>
        <v>CG00739</v>
      </c>
    </row>
    <row r="694" spans="1:11" x14ac:dyDescent="0.3">
      <c r="A694" s="298" t="s">
        <v>2618</v>
      </c>
      <c r="B694" s="298" t="s">
        <v>2619</v>
      </c>
      <c r="C694" s="298" t="s">
        <v>2620</v>
      </c>
      <c r="D694" s="298" t="s">
        <v>256</v>
      </c>
      <c r="E694" s="298"/>
      <c r="F694" s="298" t="s">
        <v>2621</v>
      </c>
      <c r="G694" s="299" t="b">
        <v>0</v>
      </c>
      <c r="H694" s="299" t="b">
        <v>0</v>
      </c>
      <c r="J694" s="113" t="str">
        <f t="shared" si="21"/>
        <v>979445827</v>
      </c>
      <c r="K694" s="113" t="str">
        <f t="shared" si="22"/>
        <v>CG00740</v>
      </c>
    </row>
    <row r="695" spans="1:11" x14ac:dyDescent="0.3">
      <c r="A695" s="298" t="s">
        <v>2622</v>
      </c>
      <c r="B695" s="298" t="s">
        <v>12802</v>
      </c>
      <c r="C695" s="298" t="s">
        <v>12803</v>
      </c>
      <c r="D695" s="298" t="s">
        <v>256</v>
      </c>
      <c r="E695" s="298" t="s">
        <v>12804</v>
      </c>
      <c r="F695" s="298" t="s">
        <v>2623</v>
      </c>
      <c r="G695" s="299" t="b">
        <v>0</v>
      </c>
      <c r="H695" s="299" t="b">
        <v>0</v>
      </c>
      <c r="J695" s="113" t="str">
        <f t="shared" si="21"/>
        <v>963589688</v>
      </c>
      <c r="K695" s="113" t="str">
        <f t="shared" si="22"/>
        <v>CG00741</v>
      </c>
    </row>
    <row r="696" spans="1:11" x14ac:dyDescent="0.3">
      <c r="A696" s="298" t="s">
        <v>2624</v>
      </c>
      <c r="B696" s="298" t="s">
        <v>2625</v>
      </c>
      <c r="C696" s="298" t="s">
        <v>711</v>
      </c>
      <c r="D696" s="298" t="s">
        <v>256</v>
      </c>
      <c r="E696" s="298"/>
      <c r="F696" s="298" t="s">
        <v>2626</v>
      </c>
      <c r="G696" s="299" t="b">
        <v>0</v>
      </c>
      <c r="H696" s="299" t="b">
        <v>0</v>
      </c>
      <c r="J696" s="113" t="str">
        <f t="shared" si="21"/>
        <v>913550589</v>
      </c>
      <c r="K696" s="113" t="str">
        <f t="shared" si="22"/>
        <v>CG00742</v>
      </c>
    </row>
    <row r="697" spans="1:11" x14ac:dyDescent="0.3">
      <c r="A697" s="298" t="s">
        <v>2627</v>
      </c>
      <c r="B697" s="298" t="s">
        <v>2628</v>
      </c>
      <c r="C697" s="298" t="s">
        <v>2629</v>
      </c>
      <c r="D697" s="298" t="s">
        <v>256</v>
      </c>
      <c r="E697" s="298"/>
      <c r="F697" s="298" t="s">
        <v>2630</v>
      </c>
      <c r="G697" s="299" t="b">
        <v>0</v>
      </c>
      <c r="H697" s="299" t="b">
        <v>0</v>
      </c>
      <c r="J697" s="113" t="str">
        <f t="shared" si="21"/>
        <v>984258215</v>
      </c>
      <c r="K697" s="113" t="str">
        <f t="shared" si="22"/>
        <v>CG00743</v>
      </c>
    </row>
    <row r="698" spans="1:11" x14ac:dyDescent="0.3">
      <c r="A698" s="298" t="s">
        <v>2631</v>
      </c>
      <c r="B698" s="298" t="s">
        <v>2632</v>
      </c>
      <c r="C698" s="298" t="s">
        <v>993</v>
      </c>
      <c r="D698" s="298" t="s">
        <v>256</v>
      </c>
      <c r="E698" s="298"/>
      <c r="F698" s="298" t="s">
        <v>2633</v>
      </c>
      <c r="G698" s="299" t="b">
        <v>0</v>
      </c>
      <c r="H698" s="299" t="b">
        <v>0</v>
      </c>
      <c r="J698" s="113" t="str">
        <f t="shared" si="21"/>
        <v>983879929</v>
      </c>
      <c r="K698" s="113" t="str">
        <f t="shared" si="22"/>
        <v>CG00744</v>
      </c>
    </row>
    <row r="699" spans="1:11" x14ac:dyDescent="0.3">
      <c r="A699" s="298" t="s">
        <v>2634</v>
      </c>
      <c r="B699" s="298" t="s">
        <v>2635</v>
      </c>
      <c r="C699" s="298" t="s">
        <v>2051</v>
      </c>
      <c r="D699" s="298" t="s">
        <v>256</v>
      </c>
      <c r="E699" s="298"/>
      <c r="F699" s="298" t="s">
        <v>2636</v>
      </c>
      <c r="G699" s="299" t="b">
        <v>0</v>
      </c>
      <c r="H699" s="299" t="b">
        <v>0</v>
      </c>
      <c r="J699" s="113" t="str">
        <f t="shared" si="21"/>
        <v>913276522</v>
      </c>
      <c r="K699" s="113" t="str">
        <f t="shared" si="22"/>
        <v>CG00745</v>
      </c>
    </row>
    <row r="700" spans="1:11" x14ac:dyDescent="0.3">
      <c r="A700" s="298" t="s">
        <v>2637</v>
      </c>
      <c r="B700" s="298" t="s">
        <v>2638</v>
      </c>
      <c r="C700" s="298" t="s">
        <v>2639</v>
      </c>
      <c r="D700" s="298" t="s">
        <v>256</v>
      </c>
      <c r="E700" s="298"/>
      <c r="F700" s="298" t="s">
        <v>2640</v>
      </c>
      <c r="G700" s="299" t="b">
        <v>0</v>
      </c>
      <c r="H700" s="299" t="b">
        <v>0</v>
      </c>
      <c r="J700" s="113" t="str">
        <f t="shared" si="21"/>
        <v>977264776</v>
      </c>
      <c r="K700" s="113" t="str">
        <f t="shared" si="22"/>
        <v>CG00746</v>
      </c>
    </row>
    <row r="701" spans="1:11" x14ac:dyDescent="0.3">
      <c r="A701" s="298" t="s">
        <v>2641</v>
      </c>
      <c r="B701" s="298" t="s">
        <v>2642</v>
      </c>
      <c r="C701" s="298" t="s">
        <v>2643</v>
      </c>
      <c r="D701" s="298" t="s">
        <v>256</v>
      </c>
      <c r="E701" s="298"/>
      <c r="F701" s="298" t="s">
        <v>2644</v>
      </c>
      <c r="G701" s="299" t="b">
        <v>0</v>
      </c>
      <c r="H701" s="299" t="b">
        <v>0</v>
      </c>
      <c r="J701" s="113" t="str">
        <f t="shared" si="21"/>
        <v>981051713</v>
      </c>
      <c r="K701" s="113" t="str">
        <f t="shared" si="22"/>
        <v>CG00747</v>
      </c>
    </row>
    <row r="702" spans="1:11" x14ac:dyDescent="0.3">
      <c r="A702" s="298" t="s">
        <v>2645</v>
      </c>
      <c r="B702" s="298" t="s">
        <v>2646</v>
      </c>
      <c r="C702" s="298" t="s">
        <v>930</v>
      </c>
      <c r="D702" s="298" t="s">
        <v>256</v>
      </c>
      <c r="E702" s="298"/>
      <c r="F702" s="298" t="s">
        <v>2647</v>
      </c>
      <c r="G702" s="299" t="b">
        <v>0</v>
      </c>
      <c r="H702" s="299" t="b">
        <v>0</v>
      </c>
      <c r="J702" s="113" t="str">
        <f t="shared" si="21"/>
        <v>987353880</v>
      </c>
      <c r="K702" s="113" t="str">
        <f t="shared" si="22"/>
        <v>CG00748</v>
      </c>
    </row>
    <row r="703" spans="1:11" x14ac:dyDescent="0.3">
      <c r="A703" s="298" t="s">
        <v>2648</v>
      </c>
      <c r="B703" s="298" t="s">
        <v>2649</v>
      </c>
      <c r="C703" s="298" t="s">
        <v>2650</v>
      </c>
      <c r="D703" s="298" t="s">
        <v>256</v>
      </c>
      <c r="E703" s="298"/>
      <c r="F703" s="298" t="s">
        <v>2651</v>
      </c>
      <c r="G703" s="299" t="b">
        <v>0</v>
      </c>
      <c r="H703" s="299" t="b">
        <v>0</v>
      </c>
      <c r="J703" s="113" t="str">
        <f t="shared" si="21"/>
        <v>981819191</v>
      </c>
      <c r="K703" s="113" t="str">
        <f t="shared" si="22"/>
        <v>CG00749</v>
      </c>
    </row>
    <row r="704" spans="1:11" x14ac:dyDescent="0.3">
      <c r="A704" s="298" t="s">
        <v>2652</v>
      </c>
      <c r="B704" s="298" t="s">
        <v>2653</v>
      </c>
      <c r="C704" s="298" t="s">
        <v>2654</v>
      </c>
      <c r="D704" s="298" t="s">
        <v>256</v>
      </c>
      <c r="E704" s="298" t="s">
        <v>55</v>
      </c>
      <c r="F704" s="298" t="s">
        <v>2656</v>
      </c>
      <c r="G704" s="299" t="b">
        <v>0</v>
      </c>
      <c r="H704" s="299" t="b">
        <v>0</v>
      </c>
      <c r="J704" s="113" t="str">
        <f t="shared" si="21"/>
        <v>982245029</v>
      </c>
      <c r="K704" s="113" t="str">
        <f t="shared" si="22"/>
        <v>CG00750</v>
      </c>
    </row>
    <row r="705" spans="1:11" x14ac:dyDescent="0.3">
      <c r="A705" s="298" t="s">
        <v>2657</v>
      </c>
      <c r="B705" s="298" t="s">
        <v>2658</v>
      </c>
      <c r="C705" s="298" t="s">
        <v>2659</v>
      </c>
      <c r="D705" s="298" t="s">
        <v>256</v>
      </c>
      <c r="E705" s="298"/>
      <c r="F705" s="298" t="s">
        <v>2660</v>
      </c>
      <c r="G705" s="299" t="b">
        <v>0</v>
      </c>
      <c r="H705" s="299" t="b">
        <v>0</v>
      </c>
      <c r="J705" s="113" t="str">
        <f t="shared" si="21"/>
        <v>912302510</v>
      </c>
      <c r="K705" s="113" t="str">
        <f t="shared" si="22"/>
        <v>CG00751</v>
      </c>
    </row>
    <row r="706" spans="1:11" x14ac:dyDescent="0.3">
      <c r="A706" s="298" t="s">
        <v>2661</v>
      </c>
      <c r="B706" s="298" t="s">
        <v>2662</v>
      </c>
      <c r="C706" s="298" t="s">
        <v>547</v>
      </c>
      <c r="D706" s="298" t="s">
        <v>256</v>
      </c>
      <c r="E706" s="298"/>
      <c r="F706" s="298" t="s">
        <v>2663</v>
      </c>
      <c r="G706" s="299" t="b">
        <v>0</v>
      </c>
      <c r="H706" s="299" t="b">
        <v>0</v>
      </c>
      <c r="J706" s="113" t="str">
        <f t="shared" si="21"/>
        <v>967721888</v>
      </c>
      <c r="K706" s="113" t="str">
        <f t="shared" si="22"/>
        <v>CG00752</v>
      </c>
    </row>
    <row r="707" spans="1:11" x14ac:dyDescent="0.3">
      <c r="A707" s="298" t="s">
        <v>2664</v>
      </c>
      <c r="B707" s="298" t="s">
        <v>2665</v>
      </c>
      <c r="C707" s="298" t="s">
        <v>1508</v>
      </c>
      <c r="D707" s="298" t="s">
        <v>256</v>
      </c>
      <c r="E707" s="298"/>
      <c r="F707" s="298" t="s">
        <v>2666</v>
      </c>
      <c r="G707" s="299" t="b">
        <v>0</v>
      </c>
      <c r="H707" s="299" t="b">
        <v>0</v>
      </c>
      <c r="J707" s="113" t="str">
        <f t="shared" si="21"/>
        <v>975919491</v>
      </c>
      <c r="K707" s="113" t="str">
        <f t="shared" si="22"/>
        <v>CG00753</v>
      </c>
    </row>
    <row r="708" spans="1:11" x14ac:dyDescent="0.3">
      <c r="A708" s="298" t="s">
        <v>2667</v>
      </c>
      <c r="B708" s="298" t="s">
        <v>2668</v>
      </c>
      <c r="C708" s="298" t="s">
        <v>1615</v>
      </c>
      <c r="D708" s="298" t="s">
        <v>256</v>
      </c>
      <c r="E708" s="298"/>
      <c r="F708" s="298" t="s">
        <v>2669</v>
      </c>
      <c r="G708" s="299" t="b">
        <v>0</v>
      </c>
      <c r="H708" s="299" t="b">
        <v>0</v>
      </c>
      <c r="J708" s="113" t="str">
        <f t="shared" si="21"/>
        <v>984055446</v>
      </c>
      <c r="K708" s="113" t="str">
        <f t="shared" si="22"/>
        <v>CG00754</v>
      </c>
    </row>
    <row r="709" spans="1:11" x14ac:dyDescent="0.3">
      <c r="A709" s="298" t="s">
        <v>2670</v>
      </c>
      <c r="B709" s="298" t="s">
        <v>2671</v>
      </c>
      <c r="C709" s="298" t="s">
        <v>1286</v>
      </c>
      <c r="D709" s="298" t="s">
        <v>256</v>
      </c>
      <c r="E709" s="298"/>
      <c r="F709" s="298" t="s">
        <v>2672</v>
      </c>
      <c r="G709" s="299" t="b">
        <v>0</v>
      </c>
      <c r="H709" s="299" t="b">
        <v>0</v>
      </c>
      <c r="J709" s="113" t="str">
        <f t="shared" ref="J709:J772" si="23">RIGHT(B709,9)</f>
        <v>912006472</v>
      </c>
      <c r="K709" s="113" t="str">
        <f t="shared" ref="K709:K772" si="24">A709</f>
        <v>CG00755</v>
      </c>
    </row>
    <row r="710" spans="1:11" x14ac:dyDescent="0.3">
      <c r="A710" s="298" t="s">
        <v>2673</v>
      </c>
      <c r="B710" s="298" t="s">
        <v>2674</v>
      </c>
      <c r="C710" s="298" t="s">
        <v>416</v>
      </c>
      <c r="D710" s="298" t="s">
        <v>256</v>
      </c>
      <c r="E710" s="298"/>
      <c r="F710" s="298" t="s">
        <v>2675</v>
      </c>
      <c r="G710" s="299" t="b">
        <v>0</v>
      </c>
      <c r="H710" s="299" t="b">
        <v>0</v>
      </c>
      <c r="J710" s="113" t="str">
        <f t="shared" si="23"/>
        <v>912724262</v>
      </c>
      <c r="K710" s="113" t="str">
        <f t="shared" si="24"/>
        <v>CG00756</v>
      </c>
    </row>
    <row r="711" spans="1:11" x14ac:dyDescent="0.3">
      <c r="A711" s="298" t="s">
        <v>2676</v>
      </c>
      <c r="B711" s="298" t="s">
        <v>2677</v>
      </c>
      <c r="C711" s="298" t="s">
        <v>2678</v>
      </c>
      <c r="D711" s="298" t="s">
        <v>256</v>
      </c>
      <c r="E711" s="298"/>
      <c r="F711" s="298" t="s">
        <v>2679</v>
      </c>
      <c r="G711" s="299" t="b">
        <v>0</v>
      </c>
      <c r="H711" s="299" t="b">
        <v>0</v>
      </c>
      <c r="J711" s="113" t="str">
        <f t="shared" si="23"/>
        <v>385140222</v>
      </c>
      <c r="K711" s="113" t="str">
        <f t="shared" si="24"/>
        <v>CG00757</v>
      </c>
    </row>
    <row r="712" spans="1:11" x14ac:dyDescent="0.3">
      <c r="A712" s="298" t="s">
        <v>2680</v>
      </c>
      <c r="B712" s="298" t="s">
        <v>2681</v>
      </c>
      <c r="C712" s="298" t="s">
        <v>550</v>
      </c>
      <c r="D712" s="298" t="s">
        <v>256</v>
      </c>
      <c r="E712" s="298"/>
      <c r="F712" s="298" t="s">
        <v>2682</v>
      </c>
      <c r="G712" s="299" t="b">
        <v>0</v>
      </c>
      <c r="H712" s="299" t="b">
        <v>0</v>
      </c>
      <c r="J712" s="113" t="str">
        <f t="shared" si="23"/>
        <v>979271196</v>
      </c>
      <c r="K712" s="113" t="str">
        <f t="shared" si="24"/>
        <v>CG00758</v>
      </c>
    </row>
    <row r="713" spans="1:11" x14ac:dyDescent="0.3">
      <c r="A713" s="298" t="s">
        <v>2683</v>
      </c>
      <c r="B713" s="298" t="s">
        <v>2684</v>
      </c>
      <c r="C713" s="298" t="s">
        <v>1029</v>
      </c>
      <c r="D713" s="298" t="s">
        <v>256</v>
      </c>
      <c r="E713" s="298"/>
      <c r="F713" s="298" t="s">
        <v>2685</v>
      </c>
      <c r="G713" s="299" t="b">
        <v>0</v>
      </c>
      <c r="H713" s="299" t="b">
        <v>0</v>
      </c>
      <c r="J713" s="113" t="str">
        <f t="shared" si="23"/>
        <v>964843118</v>
      </c>
      <c r="K713" s="113" t="str">
        <f t="shared" si="24"/>
        <v>CG00759</v>
      </c>
    </row>
    <row r="714" spans="1:11" x14ac:dyDescent="0.3">
      <c r="A714" s="298" t="s">
        <v>2686</v>
      </c>
      <c r="B714" s="298" t="s">
        <v>2687</v>
      </c>
      <c r="C714" s="298" t="s">
        <v>289</v>
      </c>
      <c r="D714" s="298" t="s">
        <v>256</v>
      </c>
      <c r="E714" s="298"/>
      <c r="F714" s="298" t="s">
        <v>2688</v>
      </c>
      <c r="G714" s="299" t="b">
        <v>0</v>
      </c>
      <c r="H714" s="299" t="b">
        <v>0</v>
      </c>
      <c r="J714" s="113" t="str">
        <f t="shared" si="23"/>
        <v>982461067</v>
      </c>
      <c r="K714" s="113" t="str">
        <f t="shared" si="24"/>
        <v>CG00760</v>
      </c>
    </row>
    <row r="715" spans="1:11" x14ac:dyDescent="0.3">
      <c r="A715" s="298" t="s">
        <v>2689</v>
      </c>
      <c r="B715" s="298" t="s">
        <v>2690</v>
      </c>
      <c r="C715" s="298" t="s">
        <v>2691</v>
      </c>
      <c r="D715" s="298" t="s">
        <v>256</v>
      </c>
      <c r="E715" s="298"/>
      <c r="F715" s="298" t="s">
        <v>2692</v>
      </c>
      <c r="G715" s="299" t="b">
        <v>0</v>
      </c>
      <c r="H715" s="299" t="b">
        <v>0</v>
      </c>
      <c r="J715" s="113" t="str">
        <f t="shared" si="23"/>
        <v>912584653</v>
      </c>
      <c r="K715" s="113" t="str">
        <f t="shared" si="24"/>
        <v>CG00761</v>
      </c>
    </row>
    <row r="716" spans="1:11" x14ac:dyDescent="0.3">
      <c r="A716" s="298" t="s">
        <v>2693</v>
      </c>
      <c r="B716" s="298" t="s">
        <v>2694</v>
      </c>
      <c r="C716" s="298" t="s">
        <v>289</v>
      </c>
      <c r="D716" s="298" t="s">
        <v>256</v>
      </c>
      <c r="E716" s="298"/>
      <c r="F716" s="298" t="s">
        <v>2695</v>
      </c>
      <c r="G716" s="299" t="b">
        <v>0</v>
      </c>
      <c r="H716" s="299" t="b">
        <v>0</v>
      </c>
      <c r="J716" s="113" t="str">
        <f t="shared" si="23"/>
        <v>908782929</v>
      </c>
      <c r="K716" s="113" t="str">
        <f t="shared" si="24"/>
        <v>CG00762</v>
      </c>
    </row>
    <row r="717" spans="1:11" x14ac:dyDescent="0.3">
      <c r="A717" s="298" t="s">
        <v>2696</v>
      </c>
      <c r="B717" s="298" t="s">
        <v>2697</v>
      </c>
      <c r="C717" s="298" t="s">
        <v>289</v>
      </c>
      <c r="D717" s="298" t="s">
        <v>256</v>
      </c>
      <c r="E717" s="298"/>
      <c r="F717" s="298" t="s">
        <v>2698</v>
      </c>
      <c r="G717" s="299" t="b">
        <v>0</v>
      </c>
      <c r="H717" s="299" t="b">
        <v>0</v>
      </c>
      <c r="J717" s="113" t="str">
        <f t="shared" si="23"/>
        <v>916574898</v>
      </c>
      <c r="K717" s="113" t="str">
        <f t="shared" si="24"/>
        <v>CG00763</v>
      </c>
    </row>
    <row r="718" spans="1:11" x14ac:dyDescent="0.3">
      <c r="A718" s="298" t="s">
        <v>2699</v>
      </c>
      <c r="B718" s="298" t="s">
        <v>2700</v>
      </c>
      <c r="C718" s="298" t="s">
        <v>1335</v>
      </c>
      <c r="D718" s="298" t="s">
        <v>256</v>
      </c>
      <c r="E718" s="298"/>
      <c r="F718" s="298" t="s">
        <v>2701</v>
      </c>
      <c r="G718" s="299" t="b">
        <v>0</v>
      </c>
      <c r="H718" s="299" t="b">
        <v>0</v>
      </c>
      <c r="J718" s="113" t="str">
        <f t="shared" si="23"/>
        <v>977027333</v>
      </c>
      <c r="K718" s="113" t="str">
        <f t="shared" si="24"/>
        <v>CG00764</v>
      </c>
    </row>
    <row r="719" spans="1:11" x14ac:dyDescent="0.3">
      <c r="A719" s="298" t="s">
        <v>2702</v>
      </c>
      <c r="B719" s="298" t="s">
        <v>2703</v>
      </c>
      <c r="C719" s="298" t="s">
        <v>305</v>
      </c>
      <c r="D719" s="298" t="s">
        <v>256</v>
      </c>
      <c r="E719" s="298"/>
      <c r="F719" s="298" t="s">
        <v>2704</v>
      </c>
      <c r="G719" s="299" t="b">
        <v>0</v>
      </c>
      <c r="H719" s="299" t="b">
        <v>0</v>
      </c>
      <c r="J719" s="113" t="str">
        <f t="shared" si="23"/>
        <v>913073226</v>
      </c>
      <c r="K719" s="113" t="str">
        <f t="shared" si="24"/>
        <v>CG00765</v>
      </c>
    </row>
    <row r="720" spans="1:11" x14ac:dyDescent="0.3">
      <c r="A720" s="298" t="s">
        <v>2705</v>
      </c>
      <c r="B720" s="298" t="s">
        <v>2706</v>
      </c>
      <c r="C720" s="298" t="s">
        <v>487</v>
      </c>
      <c r="D720" s="298" t="s">
        <v>256</v>
      </c>
      <c r="E720" s="298"/>
      <c r="F720" s="298" t="s">
        <v>2707</v>
      </c>
      <c r="G720" s="299" t="b">
        <v>0</v>
      </c>
      <c r="H720" s="299" t="b">
        <v>0</v>
      </c>
      <c r="J720" s="113" t="str">
        <f t="shared" si="23"/>
        <v>912115370</v>
      </c>
      <c r="K720" s="113" t="str">
        <f t="shared" si="24"/>
        <v>CG00766</v>
      </c>
    </row>
    <row r="721" spans="1:11" x14ac:dyDescent="0.3">
      <c r="A721" s="298" t="s">
        <v>2708</v>
      </c>
      <c r="B721" s="298" t="s">
        <v>2709</v>
      </c>
      <c r="C721" s="298" t="s">
        <v>416</v>
      </c>
      <c r="D721" s="298" t="s">
        <v>256</v>
      </c>
      <c r="E721" s="298"/>
      <c r="F721" s="298" t="s">
        <v>2710</v>
      </c>
      <c r="G721" s="299" t="b">
        <v>0</v>
      </c>
      <c r="H721" s="299" t="b">
        <v>0</v>
      </c>
      <c r="J721" s="113" t="str">
        <f t="shared" si="23"/>
        <v>969114357</v>
      </c>
      <c r="K721" s="113" t="str">
        <f t="shared" si="24"/>
        <v>CG00767</v>
      </c>
    </row>
    <row r="722" spans="1:11" x14ac:dyDescent="0.3">
      <c r="A722" s="298" t="s">
        <v>2711</v>
      </c>
      <c r="B722" s="298" t="s">
        <v>2712</v>
      </c>
      <c r="C722" s="298" t="s">
        <v>2713</v>
      </c>
      <c r="D722" s="298" t="s">
        <v>256</v>
      </c>
      <c r="E722" s="298"/>
      <c r="F722" s="298" t="s">
        <v>2714</v>
      </c>
      <c r="G722" s="299" t="b">
        <v>0</v>
      </c>
      <c r="H722" s="299" t="b">
        <v>0</v>
      </c>
      <c r="J722" s="113" t="str">
        <f t="shared" si="23"/>
        <v>934263284</v>
      </c>
      <c r="K722" s="113" t="str">
        <f t="shared" si="24"/>
        <v>CG00768</v>
      </c>
    </row>
    <row r="723" spans="1:11" x14ac:dyDescent="0.3">
      <c r="A723" s="298" t="s">
        <v>2715</v>
      </c>
      <c r="B723" s="298" t="s">
        <v>2716</v>
      </c>
      <c r="C723" s="298" t="s">
        <v>1378</v>
      </c>
      <c r="D723" s="298" t="s">
        <v>256</v>
      </c>
      <c r="E723" s="298"/>
      <c r="F723" s="298" t="s">
        <v>2717</v>
      </c>
      <c r="G723" s="299" t="b">
        <v>0</v>
      </c>
      <c r="H723" s="299" t="b">
        <v>0</v>
      </c>
      <c r="J723" s="113" t="str">
        <f t="shared" si="23"/>
        <v>915839833</v>
      </c>
      <c r="K723" s="113" t="str">
        <f t="shared" si="24"/>
        <v>CG00769</v>
      </c>
    </row>
    <row r="724" spans="1:11" x14ac:dyDescent="0.3">
      <c r="A724" s="298" t="s">
        <v>2718</v>
      </c>
      <c r="B724" s="298" t="s">
        <v>2719</v>
      </c>
      <c r="C724" s="298" t="s">
        <v>2720</v>
      </c>
      <c r="D724" s="298" t="s">
        <v>256</v>
      </c>
      <c r="E724" s="298"/>
      <c r="F724" s="298" t="s">
        <v>2721</v>
      </c>
      <c r="G724" s="299" t="b">
        <v>0</v>
      </c>
      <c r="H724" s="299" t="b">
        <v>0</v>
      </c>
      <c r="J724" s="113" t="str">
        <f t="shared" si="23"/>
        <v>967134333</v>
      </c>
      <c r="K724" s="113" t="str">
        <f t="shared" si="24"/>
        <v>CG00770</v>
      </c>
    </row>
    <row r="725" spans="1:11" x14ac:dyDescent="0.3">
      <c r="A725" s="298" t="s">
        <v>2722</v>
      </c>
      <c r="B725" s="298" t="s">
        <v>2723</v>
      </c>
      <c r="C725" s="298" t="s">
        <v>809</v>
      </c>
      <c r="D725" s="298" t="s">
        <v>256</v>
      </c>
      <c r="E725" s="298"/>
      <c r="F725" s="298" t="s">
        <v>2724</v>
      </c>
      <c r="G725" s="299" t="b">
        <v>0</v>
      </c>
      <c r="H725" s="299" t="b">
        <v>0</v>
      </c>
      <c r="J725" s="113" t="str">
        <f t="shared" si="23"/>
        <v>397636928</v>
      </c>
      <c r="K725" s="113" t="str">
        <f t="shared" si="24"/>
        <v>CG00771</v>
      </c>
    </row>
    <row r="726" spans="1:11" x14ac:dyDescent="0.3">
      <c r="A726" s="298" t="s">
        <v>2725</v>
      </c>
      <c r="B726" s="298" t="s">
        <v>2726</v>
      </c>
      <c r="C726" s="298" t="s">
        <v>416</v>
      </c>
      <c r="D726" s="298" t="s">
        <v>256</v>
      </c>
      <c r="E726" s="298"/>
      <c r="F726" s="298" t="s">
        <v>2727</v>
      </c>
      <c r="G726" s="299" t="b">
        <v>0</v>
      </c>
      <c r="H726" s="299" t="b">
        <v>0</v>
      </c>
      <c r="J726" s="113" t="str">
        <f t="shared" si="23"/>
        <v>914444389</v>
      </c>
      <c r="K726" s="113" t="str">
        <f t="shared" si="24"/>
        <v>CG00772</v>
      </c>
    </row>
    <row r="727" spans="1:11" x14ac:dyDescent="0.3">
      <c r="A727" s="298" t="s">
        <v>2728</v>
      </c>
      <c r="B727" s="298" t="s">
        <v>2729</v>
      </c>
      <c r="C727" s="298" t="s">
        <v>1335</v>
      </c>
      <c r="D727" s="298" t="s">
        <v>256</v>
      </c>
      <c r="E727" s="298"/>
      <c r="F727" s="298" t="s">
        <v>2730</v>
      </c>
      <c r="G727" s="299" t="b">
        <v>0</v>
      </c>
      <c r="H727" s="299" t="b">
        <v>0</v>
      </c>
      <c r="J727" s="113" t="str">
        <f t="shared" si="23"/>
        <v>986153658</v>
      </c>
      <c r="K727" s="113" t="str">
        <f t="shared" si="24"/>
        <v>CG00774</v>
      </c>
    </row>
    <row r="728" spans="1:11" x14ac:dyDescent="0.3">
      <c r="A728" s="298" t="s">
        <v>2731</v>
      </c>
      <c r="B728" s="298" t="s">
        <v>2732</v>
      </c>
      <c r="C728" s="298" t="s">
        <v>416</v>
      </c>
      <c r="D728" s="298" t="s">
        <v>256</v>
      </c>
      <c r="E728" s="298"/>
      <c r="F728" s="298" t="s">
        <v>2733</v>
      </c>
      <c r="G728" s="299" t="b">
        <v>0</v>
      </c>
      <c r="H728" s="299" t="b">
        <v>0</v>
      </c>
      <c r="J728" s="113" t="str">
        <f t="shared" si="23"/>
        <v>904073154</v>
      </c>
      <c r="K728" s="113" t="str">
        <f t="shared" si="24"/>
        <v>CG00775</v>
      </c>
    </row>
    <row r="729" spans="1:11" x14ac:dyDescent="0.3">
      <c r="A729" s="298" t="s">
        <v>2734</v>
      </c>
      <c r="B729" s="298" t="s">
        <v>2735</v>
      </c>
      <c r="C729" s="298" t="s">
        <v>769</v>
      </c>
      <c r="D729" s="298" t="s">
        <v>256</v>
      </c>
      <c r="E729" s="298"/>
      <c r="F729" s="298" t="s">
        <v>2736</v>
      </c>
      <c r="G729" s="299" t="b">
        <v>0</v>
      </c>
      <c r="H729" s="299" t="b">
        <v>0</v>
      </c>
      <c r="J729" s="113" t="str">
        <f t="shared" si="23"/>
        <v>396594166</v>
      </c>
      <c r="K729" s="113" t="str">
        <f t="shared" si="24"/>
        <v>CG00776</v>
      </c>
    </row>
    <row r="730" spans="1:11" x14ac:dyDescent="0.3">
      <c r="A730" s="298" t="s">
        <v>2737</v>
      </c>
      <c r="B730" s="298" t="s">
        <v>2738</v>
      </c>
      <c r="C730" s="298" t="s">
        <v>2739</v>
      </c>
      <c r="D730" s="298" t="s">
        <v>256</v>
      </c>
      <c r="E730" s="298" t="s">
        <v>2740</v>
      </c>
      <c r="F730" s="298" t="s">
        <v>2741</v>
      </c>
      <c r="G730" s="299" t="b">
        <v>0</v>
      </c>
      <c r="H730" s="299" t="b">
        <v>0</v>
      </c>
      <c r="J730" s="113" t="str">
        <f t="shared" si="23"/>
        <v>900465777</v>
      </c>
      <c r="K730" s="113" t="str">
        <f t="shared" si="24"/>
        <v>CG00777</v>
      </c>
    </row>
    <row r="731" spans="1:11" x14ac:dyDescent="0.3">
      <c r="A731" s="298" t="s">
        <v>2742</v>
      </c>
      <c r="B731" s="298" t="s">
        <v>2743</v>
      </c>
      <c r="C731" s="298" t="s">
        <v>274</v>
      </c>
      <c r="D731" s="298" t="s">
        <v>256</v>
      </c>
      <c r="E731" s="298"/>
      <c r="F731" s="298" t="s">
        <v>2744</v>
      </c>
      <c r="G731" s="299" t="b">
        <v>0</v>
      </c>
      <c r="H731" s="299" t="b">
        <v>0</v>
      </c>
      <c r="J731" s="113" t="str">
        <f t="shared" si="23"/>
        <v>838253033</v>
      </c>
      <c r="K731" s="113" t="str">
        <f t="shared" si="24"/>
        <v>CG00778</v>
      </c>
    </row>
    <row r="732" spans="1:11" x14ac:dyDescent="0.3">
      <c r="A732" s="298" t="s">
        <v>2745</v>
      </c>
      <c r="B732" s="298" t="s">
        <v>2746</v>
      </c>
      <c r="C732" s="298" t="s">
        <v>416</v>
      </c>
      <c r="D732" s="298" t="s">
        <v>256</v>
      </c>
      <c r="E732" s="298"/>
      <c r="F732" s="298" t="s">
        <v>2747</v>
      </c>
      <c r="G732" s="299" t="b">
        <v>0</v>
      </c>
      <c r="H732" s="299" t="b">
        <v>0</v>
      </c>
      <c r="J732" s="113" t="str">
        <f t="shared" si="23"/>
        <v>913220151</v>
      </c>
      <c r="K732" s="113" t="str">
        <f t="shared" si="24"/>
        <v>CG00779</v>
      </c>
    </row>
    <row r="733" spans="1:11" x14ac:dyDescent="0.3">
      <c r="A733" s="298" t="s">
        <v>2748</v>
      </c>
      <c r="B733" s="298" t="s">
        <v>2749</v>
      </c>
      <c r="C733" s="298" t="s">
        <v>2659</v>
      </c>
      <c r="D733" s="298" t="s">
        <v>256</v>
      </c>
      <c r="E733" s="298"/>
      <c r="F733" s="298" t="s">
        <v>2750</v>
      </c>
      <c r="G733" s="299" t="b">
        <v>0</v>
      </c>
      <c r="H733" s="299" t="b">
        <v>0</v>
      </c>
      <c r="J733" s="113" t="str">
        <f t="shared" si="23"/>
        <v>389026613</v>
      </c>
      <c r="K733" s="113" t="str">
        <f t="shared" si="24"/>
        <v>CG00780</v>
      </c>
    </row>
    <row r="734" spans="1:11" x14ac:dyDescent="0.3">
      <c r="A734" s="298" t="s">
        <v>2751</v>
      </c>
      <c r="B734" s="298" t="s">
        <v>2752</v>
      </c>
      <c r="C734" s="298" t="s">
        <v>2753</v>
      </c>
      <c r="D734" s="298" t="s">
        <v>256</v>
      </c>
      <c r="E734" s="298"/>
      <c r="F734" s="298" t="s">
        <v>2754</v>
      </c>
      <c r="G734" s="299" t="b">
        <v>0</v>
      </c>
      <c r="H734" s="299" t="b">
        <v>0</v>
      </c>
      <c r="J734" s="113" t="str">
        <f t="shared" si="23"/>
        <v>982562875</v>
      </c>
      <c r="K734" s="113" t="str">
        <f t="shared" si="24"/>
        <v>CG00781</v>
      </c>
    </row>
    <row r="735" spans="1:11" x14ac:dyDescent="0.3">
      <c r="A735" s="298" t="s">
        <v>2755</v>
      </c>
      <c r="B735" s="298" t="s">
        <v>2756</v>
      </c>
      <c r="C735" s="298" t="s">
        <v>1508</v>
      </c>
      <c r="D735" s="298" t="s">
        <v>256</v>
      </c>
      <c r="E735" s="298"/>
      <c r="F735" s="298" t="s">
        <v>2757</v>
      </c>
      <c r="G735" s="299" t="b">
        <v>0</v>
      </c>
      <c r="H735" s="299" t="b">
        <v>0</v>
      </c>
      <c r="J735" s="113" t="str">
        <f t="shared" si="23"/>
        <v>986024089</v>
      </c>
      <c r="K735" s="113" t="str">
        <f t="shared" si="24"/>
        <v>CG00782</v>
      </c>
    </row>
    <row r="736" spans="1:11" x14ac:dyDescent="0.3">
      <c r="A736" s="298" t="s">
        <v>2758</v>
      </c>
      <c r="B736" s="298" t="s">
        <v>2759</v>
      </c>
      <c r="C736" s="298" t="s">
        <v>506</v>
      </c>
      <c r="D736" s="298" t="s">
        <v>256</v>
      </c>
      <c r="E736" s="298"/>
      <c r="F736" s="298" t="s">
        <v>2760</v>
      </c>
      <c r="G736" s="299" t="b">
        <v>0</v>
      </c>
      <c r="H736" s="299" t="b">
        <v>0</v>
      </c>
      <c r="J736" s="113" t="str">
        <f t="shared" si="23"/>
        <v>914872913</v>
      </c>
      <c r="K736" s="113" t="str">
        <f t="shared" si="24"/>
        <v>CG00783</v>
      </c>
    </row>
    <row r="737" spans="1:11" x14ac:dyDescent="0.3">
      <c r="A737" s="298" t="s">
        <v>2761</v>
      </c>
      <c r="B737" s="298" t="s">
        <v>2762</v>
      </c>
      <c r="C737" s="298" t="s">
        <v>2763</v>
      </c>
      <c r="D737" s="298" t="s">
        <v>256</v>
      </c>
      <c r="E737" s="298"/>
      <c r="F737" s="298" t="s">
        <v>2764</v>
      </c>
      <c r="G737" s="299" t="b">
        <v>0</v>
      </c>
      <c r="H737" s="299" t="b">
        <v>0</v>
      </c>
      <c r="J737" s="113" t="str">
        <f t="shared" si="23"/>
        <v>989372877</v>
      </c>
      <c r="K737" s="113" t="str">
        <f t="shared" si="24"/>
        <v>CG00784</v>
      </c>
    </row>
    <row r="738" spans="1:11" x14ac:dyDescent="0.3">
      <c r="A738" s="298" t="s">
        <v>2765</v>
      </c>
      <c r="B738" s="298" t="s">
        <v>2766</v>
      </c>
      <c r="C738" s="298" t="s">
        <v>1444</v>
      </c>
      <c r="D738" s="298" t="s">
        <v>256</v>
      </c>
      <c r="E738" s="298"/>
      <c r="F738" s="298" t="s">
        <v>2767</v>
      </c>
      <c r="G738" s="299" t="b">
        <v>0</v>
      </c>
      <c r="H738" s="299" t="b">
        <v>0</v>
      </c>
      <c r="J738" s="113" t="str">
        <f t="shared" si="23"/>
        <v>912339422</v>
      </c>
      <c r="K738" s="113" t="str">
        <f t="shared" si="24"/>
        <v>CG00785</v>
      </c>
    </row>
    <row r="739" spans="1:11" x14ac:dyDescent="0.3">
      <c r="A739" s="298" t="s">
        <v>2768</v>
      </c>
      <c r="B739" s="298" t="s">
        <v>2769</v>
      </c>
      <c r="C739" s="298" t="s">
        <v>2770</v>
      </c>
      <c r="D739" s="298" t="s">
        <v>256</v>
      </c>
      <c r="E739" s="298"/>
      <c r="F739" s="298" t="s">
        <v>2771</v>
      </c>
      <c r="G739" s="299" t="b">
        <v>0</v>
      </c>
      <c r="H739" s="299" t="b">
        <v>0</v>
      </c>
      <c r="J739" s="113" t="str">
        <f t="shared" si="23"/>
        <v>365128697</v>
      </c>
      <c r="K739" s="113" t="str">
        <f t="shared" si="24"/>
        <v>CG00786</v>
      </c>
    </row>
    <row r="740" spans="1:11" x14ac:dyDescent="0.3">
      <c r="A740" s="298" t="s">
        <v>2772</v>
      </c>
      <c r="B740" s="298" t="s">
        <v>2773</v>
      </c>
      <c r="C740" s="298" t="s">
        <v>930</v>
      </c>
      <c r="D740" s="298" t="s">
        <v>256</v>
      </c>
      <c r="E740" s="298"/>
      <c r="F740" s="298" t="s">
        <v>2774</v>
      </c>
      <c r="G740" s="299" t="b">
        <v>0</v>
      </c>
      <c r="H740" s="299" t="b">
        <v>0</v>
      </c>
      <c r="J740" s="113" t="str">
        <f t="shared" si="23"/>
        <v>989557547</v>
      </c>
      <c r="K740" s="113" t="str">
        <f t="shared" si="24"/>
        <v>CG00787</v>
      </c>
    </row>
    <row r="741" spans="1:11" x14ac:dyDescent="0.3">
      <c r="A741" s="298" t="s">
        <v>2775</v>
      </c>
      <c r="B741" s="298" t="s">
        <v>2776</v>
      </c>
      <c r="C741" s="298" t="s">
        <v>2777</v>
      </c>
      <c r="D741" s="298" t="s">
        <v>256</v>
      </c>
      <c r="E741" s="298"/>
      <c r="F741" s="298" t="s">
        <v>2778</v>
      </c>
      <c r="G741" s="299" t="b">
        <v>0</v>
      </c>
      <c r="H741" s="299" t="b">
        <v>0</v>
      </c>
      <c r="J741" s="113" t="str">
        <f t="shared" si="23"/>
        <v>974958308</v>
      </c>
      <c r="K741" s="113" t="str">
        <f t="shared" si="24"/>
        <v>CG00788</v>
      </c>
    </row>
    <row r="742" spans="1:11" x14ac:dyDescent="0.3">
      <c r="A742" s="298" t="s">
        <v>2779</v>
      </c>
      <c r="B742" s="298" t="s">
        <v>2780</v>
      </c>
      <c r="C742" s="298" t="s">
        <v>1135</v>
      </c>
      <c r="D742" s="298" t="s">
        <v>256</v>
      </c>
      <c r="E742" s="298"/>
      <c r="F742" s="298" t="s">
        <v>2781</v>
      </c>
      <c r="G742" s="299" t="b">
        <v>0</v>
      </c>
      <c r="H742" s="299" t="b">
        <v>0</v>
      </c>
      <c r="J742" s="113" t="str">
        <f t="shared" si="23"/>
        <v>983011198</v>
      </c>
      <c r="K742" s="113" t="str">
        <f t="shared" si="24"/>
        <v>CG00789</v>
      </c>
    </row>
    <row r="743" spans="1:11" x14ac:dyDescent="0.3">
      <c r="A743" s="298" t="s">
        <v>2782</v>
      </c>
      <c r="B743" s="298" t="s">
        <v>2783</v>
      </c>
      <c r="C743" s="298" t="s">
        <v>1508</v>
      </c>
      <c r="D743" s="298" t="s">
        <v>256</v>
      </c>
      <c r="E743" s="298"/>
      <c r="F743" s="298" t="s">
        <v>2784</v>
      </c>
      <c r="G743" s="299" t="b">
        <v>0</v>
      </c>
      <c r="H743" s="299" t="b">
        <v>0</v>
      </c>
      <c r="J743" s="113" t="str">
        <f t="shared" si="23"/>
        <v>974703218</v>
      </c>
      <c r="K743" s="113" t="str">
        <f t="shared" si="24"/>
        <v>CG00790</v>
      </c>
    </row>
    <row r="744" spans="1:11" x14ac:dyDescent="0.3">
      <c r="A744" s="298" t="s">
        <v>2785</v>
      </c>
      <c r="B744" s="298" t="s">
        <v>2786</v>
      </c>
      <c r="C744" s="298" t="s">
        <v>375</v>
      </c>
      <c r="D744" s="298" t="s">
        <v>256</v>
      </c>
      <c r="E744" s="298"/>
      <c r="F744" s="298" t="s">
        <v>2787</v>
      </c>
      <c r="G744" s="299" t="b">
        <v>0</v>
      </c>
      <c r="H744" s="299" t="b">
        <v>0</v>
      </c>
      <c r="J744" s="113" t="str">
        <f t="shared" si="23"/>
        <v>912031396</v>
      </c>
      <c r="K744" s="113" t="str">
        <f t="shared" si="24"/>
        <v>CG00791</v>
      </c>
    </row>
    <row r="745" spans="1:11" x14ac:dyDescent="0.3">
      <c r="A745" s="298" t="s">
        <v>2788</v>
      </c>
      <c r="B745" s="298" t="s">
        <v>2789</v>
      </c>
      <c r="C745" s="298" t="s">
        <v>584</v>
      </c>
      <c r="D745" s="298" t="s">
        <v>256</v>
      </c>
      <c r="E745" s="298"/>
      <c r="F745" s="298" t="s">
        <v>2790</v>
      </c>
      <c r="G745" s="299" t="b">
        <v>0</v>
      </c>
      <c r="H745" s="299" t="b">
        <v>0</v>
      </c>
      <c r="J745" s="113" t="str">
        <f t="shared" si="23"/>
        <v>912827405</v>
      </c>
      <c r="K745" s="113" t="str">
        <f t="shared" si="24"/>
        <v>CG00793</v>
      </c>
    </row>
    <row r="746" spans="1:11" x14ac:dyDescent="0.3">
      <c r="A746" s="298" t="s">
        <v>2791</v>
      </c>
      <c r="B746" s="298" t="s">
        <v>2792</v>
      </c>
      <c r="C746" s="298" t="s">
        <v>416</v>
      </c>
      <c r="D746" s="298" t="s">
        <v>256</v>
      </c>
      <c r="E746" s="298"/>
      <c r="F746" s="298" t="s">
        <v>2793</v>
      </c>
      <c r="G746" s="299" t="b">
        <v>0</v>
      </c>
      <c r="H746" s="299" t="b">
        <v>0</v>
      </c>
      <c r="J746" s="113" t="str">
        <f t="shared" si="23"/>
        <v>913098883</v>
      </c>
      <c r="K746" s="113" t="str">
        <f t="shared" si="24"/>
        <v>CG00794</v>
      </c>
    </row>
    <row r="747" spans="1:11" x14ac:dyDescent="0.3">
      <c r="A747" s="298" t="s">
        <v>2794</v>
      </c>
      <c r="B747" s="298" t="s">
        <v>2795</v>
      </c>
      <c r="C747" s="298" t="s">
        <v>312</v>
      </c>
      <c r="D747" s="298" t="s">
        <v>256</v>
      </c>
      <c r="E747" s="298"/>
      <c r="F747" s="298" t="s">
        <v>2796</v>
      </c>
      <c r="G747" s="299" t="b">
        <v>0</v>
      </c>
      <c r="H747" s="299" t="b">
        <v>0</v>
      </c>
      <c r="J747" s="113" t="str">
        <f t="shared" si="23"/>
        <v>972327858</v>
      </c>
      <c r="K747" s="113" t="str">
        <f t="shared" si="24"/>
        <v>CG00795</v>
      </c>
    </row>
    <row r="748" spans="1:11" x14ac:dyDescent="0.3">
      <c r="A748" s="298" t="s">
        <v>2797</v>
      </c>
      <c r="B748" s="298" t="s">
        <v>2798</v>
      </c>
      <c r="C748" s="298" t="s">
        <v>2799</v>
      </c>
      <c r="D748" s="298" t="s">
        <v>256</v>
      </c>
      <c r="E748" s="298"/>
      <c r="F748" s="298" t="s">
        <v>2800</v>
      </c>
      <c r="G748" s="299" t="b">
        <v>0</v>
      </c>
      <c r="H748" s="299" t="b">
        <v>0</v>
      </c>
      <c r="J748" s="113" t="str">
        <f t="shared" si="23"/>
        <v>918956938</v>
      </c>
      <c r="K748" s="113" t="str">
        <f t="shared" si="24"/>
        <v>CG00796</v>
      </c>
    </row>
    <row r="749" spans="1:11" x14ac:dyDescent="0.3">
      <c r="A749" s="298" t="s">
        <v>2801</v>
      </c>
      <c r="B749" s="298" t="s">
        <v>2802</v>
      </c>
      <c r="C749" s="298" t="s">
        <v>892</v>
      </c>
      <c r="D749" s="298" t="s">
        <v>256</v>
      </c>
      <c r="E749" s="298"/>
      <c r="F749" s="298" t="s">
        <v>2803</v>
      </c>
      <c r="G749" s="299" t="b">
        <v>0</v>
      </c>
      <c r="H749" s="299" t="b">
        <v>0</v>
      </c>
      <c r="J749" s="113" t="str">
        <f t="shared" si="23"/>
        <v>912334167</v>
      </c>
      <c r="K749" s="113" t="str">
        <f t="shared" si="24"/>
        <v>CG00797</v>
      </c>
    </row>
    <row r="750" spans="1:11" x14ac:dyDescent="0.3">
      <c r="A750" s="298" t="s">
        <v>2804</v>
      </c>
      <c r="B750" s="298" t="s">
        <v>2805</v>
      </c>
      <c r="C750" s="298" t="s">
        <v>409</v>
      </c>
      <c r="D750" s="298" t="s">
        <v>256</v>
      </c>
      <c r="E750" s="298"/>
      <c r="F750" s="298" t="s">
        <v>2806</v>
      </c>
      <c r="G750" s="299" t="b">
        <v>0</v>
      </c>
      <c r="H750" s="299" t="b">
        <v>0</v>
      </c>
      <c r="J750" s="113" t="str">
        <f t="shared" si="23"/>
        <v>987471443</v>
      </c>
      <c r="K750" s="113" t="str">
        <f t="shared" si="24"/>
        <v>CG00798</v>
      </c>
    </row>
    <row r="751" spans="1:11" x14ac:dyDescent="0.3">
      <c r="A751" s="298" t="s">
        <v>2807</v>
      </c>
      <c r="B751" s="298" t="s">
        <v>2808</v>
      </c>
      <c r="C751" s="298" t="s">
        <v>1890</v>
      </c>
      <c r="D751" s="298" t="s">
        <v>256</v>
      </c>
      <c r="E751" s="298"/>
      <c r="F751" s="298" t="s">
        <v>2809</v>
      </c>
      <c r="G751" s="299" t="b">
        <v>0</v>
      </c>
      <c r="H751" s="299" t="b">
        <v>0</v>
      </c>
      <c r="J751" s="113" t="str">
        <f t="shared" si="23"/>
        <v>915071903</v>
      </c>
      <c r="K751" s="113" t="str">
        <f t="shared" si="24"/>
        <v>CG00799</v>
      </c>
    </row>
    <row r="752" spans="1:11" x14ac:dyDescent="0.3">
      <c r="A752" s="298" t="s">
        <v>2810</v>
      </c>
      <c r="B752" s="298" t="s">
        <v>2811</v>
      </c>
      <c r="C752" s="298" t="s">
        <v>416</v>
      </c>
      <c r="D752" s="298" t="s">
        <v>256</v>
      </c>
      <c r="E752" s="298"/>
      <c r="F752" s="298" t="s">
        <v>2812</v>
      </c>
      <c r="G752" s="299" t="b">
        <v>0</v>
      </c>
      <c r="H752" s="299" t="b">
        <v>0</v>
      </c>
      <c r="J752" s="113" t="str">
        <f t="shared" si="23"/>
        <v>934360086</v>
      </c>
      <c r="K752" s="113" t="str">
        <f t="shared" si="24"/>
        <v>CG00800</v>
      </c>
    </row>
    <row r="753" spans="1:11" x14ac:dyDescent="0.3">
      <c r="A753" s="298" t="s">
        <v>2813</v>
      </c>
      <c r="B753" s="298" t="s">
        <v>2814</v>
      </c>
      <c r="C753" s="298" t="s">
        <v>884</v>
      </c>
      <c r="D753" s="298" t="s">
        <v>256</v>
      </c>
      <c r="E753" s="298"/>
      <c r="F753" s="298" t="s">
        <v>2815</v>
      </c>
      <c r="G753" s="299" t="b">
        <v>0</v>
      </c>
      <c r="H753" s="299" t="b">
        <v>0</v>
      </c>
      <c r="J753" s="113" t="str">
        <f t="shared" si="23"/>
        <v>912119212</v>
      </c>
      <c r="K753" s="113" t="str">
        <f t="shared" si="24"/>
        <v>CG00801</v>
      </c>
    </row>
    <row r="754" spans="1:11" x14ac:dyDescent="0.3">
      <c r="A754" s="298" t="s">
        <v>2816</v>
      </c>
      <c r="B754" s="298" t="s">
        <v>2817</v>
      </c>
      <c r="C754" s="298" t="s">
        <v>343</v>
      </c>
      <c r="D754" s="298" t="s">
        <v>256</v>
      </c>
      <c r="E754" s="298"/>
      <c r="F754" s="298" t="s">
        <v>2818</v>
      </c>
      <c r="G754" s="299" t="b">
        <v>0</v>
      </c>
      <c r="H754" s="299" t="b">
        <v>0</v>
      </c>
      <c r="J754" s="113" t="str">
        <f t="shared" si="23"/>
        <v>353496845</v>
      </c>
      <c r="K754" s="113" t="str">
        <f t="shared" si="24"/>
        <v>CG00803</v>
      </c>
    </row>
    <row r="755" spans="1:11" x14ac:dyDescent="0.3">
      <c r="A755" s="298" t="s">
        <v>2819</v>
      </c>
      <c r="B755" s="298" t="s">
        <v>2820</v>
      </c>
      <c r="C755" s="298" t="s">
        <v>343</v>
      </c>
      <c r="D755" s="298" t="s">
        <v>256</v>
      </c>
      <c r="E755" s="298"/>
      <c r="F755" s="298" t="s">
        <v>2821</v>
      </c>
      <c r="G755" s="299" t="b">
        <v>0</v>
      </c>
      <c r="H755" s="299" t="b">
        <v>0</v>
      </c>
      <c r="J755" s="113" t="str">
        <f t="shared" si="23"/>
        <v>936172393</v>
      </c>
      <c r="K755" s="113" t="str">
        <f t="shared" si="24"/>
        <v>CG00804</v>
      </c>
    </row>
    <row r="756" spans="1:11" x14ac:dyDescent="0.3">
      <c r="A756" s="298" t="s">
        <v>2822</v>
      </c>
      <c r="B756" s="298" t="s">
        <v>2823</v>
      </c>
      <c r="C756" s="298" t="s">
        <v>593</v>
      </c>
      <c r="D756" s="298" t="s">
        <v>256</v>
      </c>
      <c r="E756" s="298"/>
      <c r="F756" s="298" t="s">
        <v>2824</v>
      </c>
      <c r="G756" s="299" t="b">
        <v>0</v>
      </c>
      <c r="H756" s="299" t="b">
        <v>0</v>
      </c>
      <c r="J756" s="113" t="str">
        <f t="shared" si="23"/>
        <v>972843369</v>
      </c>
      <c r="K756" s="113" t="str">
        <f t="shared" si="24"/>
        <v>CG00805</v>
      </c>
    </row>
    <row r="757" spans="1:11" x14ac:dyDescent="0.3">
      <c r="A757" s="298" t="s">
        <v>2825</v>
      </c>
      <c r="B757" s="298" t="s">
        <v>2826</v>
      </c>
      <c r="C757" s="298" t="s">
        <v>328</v>
      </c>
      <c r="D757" s="298" t="s">
        <v>256</v>
      </c>
      <c r="E757" s="298"/>
      <c r="F757" s="298" t="s">
        <v>2827</v>
      </c>
      <c r="G757" s="299" t="b">
        <v>0</v>
      </c>
      <c r="H757" s="299" t="b">
        <v>0</v>
      </c>
      <c r="J757" s="113" t="str">
        <f t="shared" si="23"/>
        <v>904695262</v>
      </c>
      <c r="K757" s="113" t="str">
        <f t="shared" si="24"/>
        <v>CG00806</v>
      </c>
    </row>
    <row r="758" spans="1:11" x14ac:dyDescent="0.3">
      <c r="A758" s="298" t="s">
        <v>2828</v>
      </c>
      <c r="B758" s="298" t="s">
        <v>2829</v>
      </c>
      <c r="C758" s="298" t="s">
        <v>1407</v>
      </c>
      <c r="D758" s="298" t="s">
        <v>256</v>
      </c>
      <c r="E758" s="298" t="s">
        <v>2830</v>
      </c>
      <c r="F758" s="298" t="s">
        <v>2831</v>
      </c>
      <c r="G758" s="299" t="b">
        <v>0</v>
      </c>
      <c r="H758" s="299" t="b">
        <v>0</v>
      </c>
      <c r="J758" s="113" t="str">
        <f t="shared" si="23"/>
        <v>983175689</v>
      </c>
      <c r="K758" s="113" t="str">
        <f t="shared" si="24"/>
        <v>CG00807</v>
      </c>
    </row>
    <row r="759" spans="1:11" x14ac:dyDescent="0.3">
      <c r="A759" s="298" t="s">
        <v>2832</v>
      </c>
      <c r="B759" s="298" t="s">
        <v>2833</v>
      </c>
      <c r="C759" s="298" t="s">
        <v>352</v>
      </c>
      <c r="D759" s="298" t="s">
        <v>256</v>
      </c>
      <c r="E759" s="298"/>
      <c r="F759" s="298" t="s">
        <v>2834</v>
      </c>
      <c r="G759" s="299" t="b">
        <v>0</v>
      </c>
      <c r="H759" s="299" t="b">
        <v>0</v>
      </c>
      <c r="J759" s="113" t="str">
        <f t="shared" si="23"/>
        <v>912557377</v>
      </c>
      <c r="K759" s="113" t="str">
        <f t="shared" si="24"/>
        <v>CG00808</v>
      </c>
    </row>
    <row r="760" spans="1:11" x14ac:dyDescent="0.3">
      <c r="A760" s="298" t="s">
        <v>2835</v>
      </c>
      <c r="B760" s="298" t="s">
        <v>2836</v>
      </c>
      <c r="C760" s="298" t="s">
        <v>1386</v>
      </c>
      <c r="D760" s="298" t="s">
        <v>256</v>
      </c>
      <c r="E760" s="298"/>
      <c r="F760" s="298" t="s">
        <v>2837</v>
      </c>
      <c r="G760" s="299" t="b">
        <v>0</v>
      </c>
      <c r="H760" s="299" t="b">
        <v>0</v>
      </c>
      <c r="J760" s="113" t="str">
        <f t="shared" si="23"/>
        <v>334530745</v>
      </c>
      <c r="K760" s="113" t="str">
        <f t="shared" si="24"/>
        <v>CG00809</v>
      </c>
    </row>
    <row r="761" spans="1:11" x14ac:dyDescent="0.3">
      <c r="A761" s="298" t="s">
        <v>2838</v>
      </c>
      <c r="B761" s="298" t="s">
        <v>2839</v>
      </c>
      <c r="C761" s="298" t="s">
        <v>286</v>
      </c>
      <c r="D761" s="298" t="s">
        <v>256</v>
      </c>
      <c r="E761" s="298"/>
      <c r="F761" s="298" t="s">
        <v>2840</v>
      </c>
      <c r="G761" s="299" t="b">
        <v>0</v>
      </c>
      <c r="H761" s="299" t="b">
        <v>0</v>
      </c>
      <c r="J761" s="113" t="str">
        <f t="shared" si="23"/>
        <v>972302325</v>
      </c>
      <c r="K761" s="113" t="str">
        <f t="shared" si="24"/>
        <v>CG00810</v>
      </c>
    </row>
    <row r="762" spans="1:11" x14ac:dyDescent="0.3">
      <c r="A762" s="298" t="s">
        <v>2841</v>
      </c>
      <c r="B762" s="298" t="s">
        <v>2842</v>
      </c>
      <c r="C762" s="298" t="s">
        <v>953</v>
      </c>
      <c r="D762" s="298" t="s">
        <v>256</v>
      </c>
      <c r="E762" s="298"/>
      <c r="F762" s="298" t="s">
        <v>2843</v>
      </c>
      <c r="G762" s="299" t="b">
        <v>0</v>
      </c>
      <c r="H762" s="299" t="b">
        <v>0</v>
      </c>
      <c r="J762" s="113" t="str">
        <f t="shared" si="23"/>
        <v>976850526</v>
      </c>
      <c r="K762" s="113" t="str">
        <f t="shared" si="24"/>
        <v>CG00811</v>
      </c>
    </row>
    <row r="763" spans="1:11" x14ac:dyDescent="0.3">
      <c r="A763" s="298" t="s">
        <v>2844</v>
      </c>
      <c r="B763" s="298" t="s">
        <v>2845</v>
      </c>
      <c r="C763" s="298" t="s">
        <v>1335</v>
      </c>
      <c r="D763" s="298" t="s">
        <v>256</v>
      </c>
      <c r="E763" s="298"/>
      <c r="F763" s="298" t="s">
        <v>2846</v>
      </c>
      <c r="G763" s="299" t="b">
        <v>0</v>
      </c>
      <c r="H763" s="299" t="b">
        <v>0</v>
      </c>
      <c r="J763" s="113" t="str">
        <f t="shared" si="23"/>
        <v>916952426</v>
      </c>
      <c r="K763" s="113" t="str">
        <f t="shared" si="24"/>
        <v>CG00812</v>
      </c>
    </row>
    <row r="764" spans="1:11" x14ac:dyDescent="0.3">
      <c r="A764" s="298" t="s">
        <v>2847</v>
      </c>
      <c r="B764" s="298" t="s">
        <v>2848</v>
      </c>
      <c r="C764" s="298" t="s">
        <v>231</v>
      </c>
      <c r="D764" s="298" t="s">
        <v>256</v>
      </c>
      <c r="E764" s="298"/>
      <c r="F764" s="298" t="s">
        <v>2849</v>
      </c>
      <c r="G764" s="299" t="b">
        <v>0</v>
      </c>
      <c r="H764" s="299" t="b">
        <v>0</v>
      </c>
      <c r="J764" s="113" t="str">
        <f t="shared" si="23"/>
        <v>912910836</v>
      </c>
      <c r="K764" s="113" t="str">
        <f t="shared" si="24"/>
        <v>CG00813</v>
      </c>
    </row>
    <row r="765" spans="1:11" x14ac:dyDescent="0.3">
      <c r="A765" s="298" t="s">
        <v>2850</v>
      </c>
      <c r="B765" s="298" t="s">
        <v>2851</v>
      </c>
      <c r="C765" s="298" t="s">
        <v>231</v>
      </c>
      <c r="D765" s="298" t="s">
        <v>256</v>
      </c>
      <c r="E765" s="298"/>
      <c r="F765" s="298" t="s">
        <v>2852</v>
      </c>
      <c r="G765" s="299" t="b">
        <v>0</v>
      </c>
      <c r="H765" s="299" t="b">
        <v>0</v>
      </c>
      <c r="J765" s="113" t="str">
        <f t="shared" si="23"/>
        <v>904646220</v>
      </c>
      <c r="K765" s="113" t="str">
        <f t="shared" si="24"/>
        <v>CG00814</v>
      </c>
    </row>
    <row r="766" spans="1:11" x14ac:dyDescent="0.3">
      <c r="A766" s="298" t="s">
        <v>2853</v>
      </c>
      <c r="B766" s="298" t="s">
        <v>2854</v>
      </c>
      <c r="C766" s="298" t="s">
        <v>289</v>
      </c>
      <c r="D766" s="298" t="s">
        <v>256</v>
      </c>
      <c r="E766" s="298"/>
      <c r="F766" s="298" t="s">
        <v>2855</v>
      </c>
      <c r="G766" s="299" t="b">
        <v>0</v>
      </c>
      <c r="H766" s="299" t="b">
        <v>0</v>
      </c>
      <c r="J766" s="113" t="str">
        <f t="shared" si="23"/>
        <v>912365135</v>
      </c>
      <c r="K766" s="113" t="str">
        <f t="shared" si="24"/>
        <v>CG00815</v>
      </c>
    </row>
    <row r="767" spans="1:11" x14ac:dyDescent="0.3">
      <c r="A767" s="298" t="s">
        <v>2856</v>
      </c>
      <c r="B767" s="298" t="s">
        <v>2857</v>
      </c>
      <c r="C767" s="298" t="s">
        <v>2858</v>
      </c>
      <c r="D767" s="298" t="s">
        <v>256</v>
      </c>
      <c r="E767" s="298"/>
      <c r="F767" s="298" t="s">
        <v>2859</v>
      </c>
      <c r="G767" s="299" t="b">
        <v>0</v>
      </c>
      <c r="H767" s="299" t="b">
        <v>0</v>
      </c>
      <c r="J767" s="113" t="str">
        <f t="shared" si="23"/>
        <v>912104744</v>
      </c>
      <c r="K767" s="113" t="str">
        <f t="shared" si="24"/>
        <v>CG00816</v>
      </c>
    </row>
    <row r="768" spans="1:11" x14ac:dyDescent="0.3">
      <c r="A768" s="298" t="s">
        <v>2860</v>
      </c>
      <c r="B768" s="298" t="s">
        <v>2861</v>
      </c>
      <c r="C768" s="298" t="s">
        <v>2862</v>
      </c>
      <c r="D768" s="298" t="s">
        <v>256</v>
      </c>
      <c r="E768" s="298"/>
      <c r="F768" s="298" t="s">
        <v>2863</v>
      </c>
      <c r="G768" s="299" t="b">
        <v>0</v>
      </c>
      <c r="H768" s="299" t="b">
        <v>0</v>
      </c>
      <c r="J768" s="113" t="str">
        <f t="shared" si="23"/>
        <v>914226165</v>
      </c>
      <c r="K768" s="113" t="str">
        <f t="shared" si="24"/>
        <v>CG00817</v>
      </c>
    </row>
    <row r="769" spans="1:11" x14ac:dyDescent="0.3">
      <c r="A769" s="298" t="s">
        <v>2864</v>
      </c>
      <c r="B769" s="298" t="s">
        <v>14665</v>
      </c>
      <c r="C769" s="298" t="s">
        <v>231</v>
      </c>
      <c r="D769" s="298" t="s">
        <v>256</v>
      </c>
      <c r="E769" s="298"/>
      <c r="F769" s="298" t="s">
        <v>2865</v>
      </c>
      <c r="G769" s="299" t="b">
        <v>0</v>
      </c>
      <c r="H769" s="299" t="b">
        <v>0</v>
      </c>
      <c r="J769" s="113" t="str">
        <f t="shared" si="23"/>
        <v>978710768</v>
      </c>
      <c r="K769" s="113" t="str">
        <f t="shared" si="24"/>
        <v>CG00818</v>
      </c>
    </row>
    <row r="770" spans="1:11" x14ac:dyDescent="0.3">
      <c r="A770" s="298" t="s">
        <v>2866</v>
      </c>
      <c r="B770" s="298" t="s">
        <v>2867</v>
      </c>
      <c r="C770" s="298" t="s">
        <v>378</v>
      </c>
      <c r="D770" s="298" t="s">
        <v>256</v>
      </c>
      <c r="E770" s="298"/>
      <c r="F770" s="298" t="s">
        <v>2868</v>
      </c>
      <c r="G770" s="299" t="b">
        <v>0</v>
      </c>
      <c r="H770" s="299" t="b">
        <v>0</v>
      </c>
      <c r="J770" s="113" t="str">
        <f t="shared" si="23"/>
        <v>328295101</v>
      </c>
      <c r="K770" s="113" t="str">
        <f t="shared" si="24"/>
        <v>CG00819</v>
      </c>
    </row>
    <row r="771" spans="1:11" x14ac:dyDescent="0.3">
      <c r="A771" s="298" t="s">
        <v>2869</v>
      </c>
      <c r="B771" s="298" t="s">
        <v>2870</v>
      </c>
      <c r="C771" s="298" t="s">
        <v>2678</v>
      </c>
      <c r="D771" s="298" t="s">
        <v>256</v>
      </c>
      <c r="E771" s="298"/>
      <c r="F771" s="298" t="s">
        <v>2871</v>
      </c>
      <c r="G771" s="299" t="b">
        <v>0</v>
      </c>
      <c r="H771" s="299" t="b">
        <v>0</v>
      </c>
      <c r="J771" s="113" t="str">
        <f t="shared" si="23"/>
        <v>912401009</v>
      </c>
      <c r="K771" s="113" t="str">
        <f t="shared" si="24"/>
        <v>CG00821</v>
      </c>
    </row>
    <row r="772" spans="1:11" x14ac:dyDescent="0.3">
      <c r="A772" s="298" t="s">
        <v>2872</v>
      </c>
      <c r="B772" s="298" t="s">
        <v>2873</v>
      </c>
      <c r="C772" s="298" t="s">
        <v>317</v>
      </c>
      <c r="D772" s="298" t="s">
        <v>256</v>
      </c>
      <c r="E772" s="298"/>
      <c r="F772" s="298" t="s">
        <v>2874</v>
      </c>
      <c r="G772" s="299" t="b">
        <v>0</v>
      </c>
      <c r="H772" s="299" t="b">
        <v>0</v>
      </c>
      <c r="J772" s="113" t="str">
        <f t="shared" si="23"/>
        <v>983794409</v>
      </c>
      <c r="K772" s="113" t="str">
        <f t="shared" si="24"/>
        <v>CG00822</v>
      </c>
    </row>
    <row r="773" spans="1:11" x14ac:dyDescent="0.3">
      <c r="A773" s="298" t="s">
        <v>2875</v>
      </c>
      <c r="B773" s="298" t="s">
        <v>2876</v>
      </c>
      <c r="C773" s="298" t="s">
        <v>2877</v>
      </c>
      <c r="D773" s="298" t="s">
        <v>256</v>
      </c>
      <c r="E773" s="298"/>
      <c r="F773" s="298" t="s">
        <v>2878</v>
      </c>
      <c r="G773" s="299" t="b">
        <v>0</v>
      </c>
      <c r="H773" s="299" t="b">
        <v>0</v>
      </c>
      <c r="J773" s="113" t="str">
        <f t="shared" ref="J773:J836" si="25">RIGHT(B773,9)</f>
        <v>987987808</v>
      </c>
      <c r="K773" s="113" t="str">
        <f t="shared" ref="K773:K836" si="26">A773</f>
        <v>CG00823</v>
      </c>
    </row>
    <row r="774" spans="1:11" x14ac:dyDescent="0.3">
      <c r="A774" s="298" t="s">
        <v>2879</v>
      </c>
      <c r="B774" s="298" t="s">
        <v>2880</v>
      </c>
      <c r="C774" s="298" t="s">
        <v>609</v>
      </c>
      <c r="D774" s="298" t="s">
        <v>256</v>
      </c>
      <c r="E774" s="298"/>
      <c r="F774" s="298" t="s">
        <v>2881</v>
      </c>
      <c r="G774" s="299" t="b">
        <v>0</v>
      </c>
      <c r="H774" s="299" t="b">
        <v>0</v>
      </c>
      <c r="J774" s="113" t="str">
        <f t="shared" si="25"/>
        <v>913524725</v>
      </c>
      <c r="K774" s="113" t="str">
        <f t="shared" si="26"/>
        <v>CG00825</v>
      </c>
    </row>
    <row r="775" spans="1:11" x14ac:dyDescent="0.3">
      <c r="A775" s="298" t="s">
        <v>2882</v>
      </c>
      <c r="B775" s="298" t="s">
        <v>2883</v>
      </c>
      <c r="C775" s="298" t="s">
        <v>1103</v>
      </c>
      <c r="D775" s="298" t="s">
        <v>256</v>
      </c>
      <c r="E775" s="298" t="s">
        <v>2884</v>
      </c>
      <c r="F775" s="298" t="s">
        <v>2885</v>
      </c>
      <c r="G775" s="299" t="b">
        <v>0</v>
      </c>
      <c r="H775" s="299" t="b">
        <v>0</v>
      </c>
      <c r="J775" s="113" t="str">
        <f t="shared" si="25"/>
        <v>600970190</v>
      </c>
      <c r="K775" s="113" t="str">
        <f t="shared" si="26"/>
        <v>CG00826</v>
      </c>
    </row>
    <row r="776" spans="1:11" x14ac:dyDescent="0.3">
      <c r="A776" s="298" t="s">
        <v>2886</v>
      </c>
      <c r="B776" s="298" t="s">
        <v>2887</v>
      </c>
      <c r="C776" s="298" t="s">
        <v>593</v>
      </c>
      <c r="D776" s="298" t="s">
        <v>256</v>
      </c>
      <c r="E776" s="298"/>
      <c r="F776" s="298" t="s">
        <v>2888</v>
      </c>
      <c r="G776" s="299" t="b">
        <v>0</v>
      </c>
      <c r="H776" s="299" t="b">
        <v>0</v>
      </c>
      <c r="J776" s="113" t="str">
        <f t="shared" si="25"/>
        <v>934345379</v>
      </c>
      <c r="K776" s="113" t="str">
        <f t="shared" si="26"/>
        <v>CG00827</v>
      </c>
    </row>
    <row r="777" spans="1:11" x14ac:dyDescent="0.3">
      <c r="A777" s="298" t="s">
        <v>2889</v>
      </c>
      <c r="B777" s="298" t="s">
        <v>2890</v>
      </c>
      <c r="C777" s="298" t="s">
        <v>2891</v>
      </c>
      <c r="D777" s="298" t="s">
        <v>256</v>
      </c>
      <c r="E777" s="298"/>
      <c r="F777" s="298" t="s">
        <v>2892</v>
      </c>
      <c r="G777" s="299" t="b">
        <v>0</v>
      </c>
      <c r="H777" s="299" t="b">
        <v>0</v>
      </c>
      <c r="J777" s="113" t="str">
        <f t="shared" si="25"/>
        <v>985172456</v>
      </c>
      <c r="K777" s="113" t="str">
        <f t="shared" si="26"/>
        <v>CG00829</v>
      </c>
    </row>
    <row r="778" spans="1:11" x14ac:dyDescent="0.3">
      <c r="A778" s="298" t="s">
        <v>2893</v>
      </c>
      <c r="B778" s="298" t="s">
        <v>2894</v>
      </c>
      <c r="C778" s="298" t="s">
        <v>409</v>
      </c>
      <c r="D778" s="298" t="s">
        <v>256</v>
      </c>
      <c r="E778" s="298"/>
      <c r="F778" s="298" t="s">
        <v>2806</v>
      </c>
      <c r="G778" s="299" t="b">
        <v>0</v>
      </c>
      <c r="H778" s="299" t="b">
        <v>0</v>
      </c>
      <c r="J778" s="113" t="str">
        <f t="shared" si="25"/>
        <v>987471443</v>
      </c>
      <c r="K778" s="113" t="str">
        <f t="shared" si="26"/>
        <v>CG00830</v>
      </c>
    </row>
    <row r="779" spans="1:11" x14ac:dyDescent="0.3">
      <c r="A779" s="298" t="s">
        <v>2895</v>
      </c>
      <c r="B779" s="298" t="s">
        <v>2896</v>
      </c>
      <c r="C779" s="298" t="s">
        <v>2897</v>
      </c>
      <c r="D779" s="298" t="s">
        <v>256</v>
      </c>
      <c r="E779" s="298"/>
      <c r="F779" s="298" t="s">
        <v>2898</v>
      </c>
      <c r="G779" s="299" t="b">
        <v>0</v>
      </c>
      <c r="H779" s="299" t="b">
        <v>0</v>
      </c>
      <c r="J779" s="113" t="str">
        <f t="shared" si="25"/>
        <v>915543333</v>
      </c>
      <c r="K779" s="113" t="str">
        <f t="shared" si="26"/>
        <v>CG00831</v>
      </c>
    </row>
    <row r="780" spans="1:11" x14ac:dyDescent="0.3">
      <c r="A780" s="298" t="s">
        <v>2899</v>
      </c>
      <c r="B780" s="298" t="s">
        <v>2900</v>
      </c>
      <c r="C780" s="298" t="s">
        <v>1247</v>
      </c>
      <c r="D780" s="298" t="s">
        <v>256</v>
      </c>
      <c r="E780" s="298"/>
      <c r="F780" s="298" t="s">
        <v>2901</v>
      </c>
      <c r="G780" s="299" t="b">
        <v>0</v>
      </c>
      <c r="H780" s="299" t="b">
        <v>0</v>
      </c>
      <c r="J780" s="113" t="str">
        <f t="shared" si="25"/>
        <v>947107577</v>
      </c>
      <c r="K780" s="113" t="str">
        <f t="shared" si="26"/>
        <v>CG00832</v>
      </c>
    </row>
    <row r="781" spans="1:11" x14ac:dyDescent="0.3">
      <c r="A781" s="298" t="s">
        <v>2902</v>
      </c>
      <c r="B781" s="298" t="s">
        <v>2903</v>
      </c>
      <c r="C781" s="298" t="s">
        <v>2763</v>
      </c>
      <c r="D781" s="298" t="s">
        <v>256</v>
      </c>
      <c r="E781" s="298"/>
      <c r="F781" s="298" t="s">
        <v>2904</v>
      </c>
      <c r="G781" s="299" t="b">
        <v>0</v>
      </c>
      <c r="H781" s="299" t="b">
        <v>0</v>
      </c>
      <c r="J781" s="113" t="str">
        <f t="shared" si="25"/>
        <v>987052212</v>
      </c>
      <c r="K781" s="113" t="str">
        <f t="shared" si="26"/>
        <v>CG00833</v>
      </c>
    </row>
    <row r="782" spans="1:11" x14ac:dyDescent="0.3">
      <c r="A782" s="298" t="s">
        <v>2905</v>
      </c>
      <c r="B782" s="298" t="s">
        <v>2906</v>
      </c>
      <c r="C782" s="298" t="s">
        <v>416</v>
      </c>
      <c r="D782" s="298" t="s">
        <v>256</v>
      </c>
      <c r="E782" s="298"/>
      <c r="F782" s="298" t="s">
        <v>2907</v>
      </c>
      <c r="G782" s="299" t="b">
        <v>0</v>
      </c>
      <c r="H782" s="299" t="b">
        <v>0</v>
      </c>
      <c r="J782" s="113" t="str">
        <f t="shared" si="25"/>
        <v>903260657</v>
      </c>
      <c r="K782" s="113" t="str">
        <f t="shared" si="26"/>
        <v>CG00834</v>
      </c>
    </row>
    <row r="783" spans="1:11" x14ac:dyDescent="0.3">
      <c r="A783" s="298" t="s">
        <v>2908</v>
      </c>
      <c r="B783" s="298" t="s">
        <v>2909</v>
      </c>
      <c r="C783" s="298" t="s">
        <v>2910</v>
      </c>
      <c r="D783" s="298" t="s">
        <v>256</v>
      </c>
      <c r="E783" s="298"/>
      <c r="F783" s="298" t="s">
        <v>2911</v>
      </c>
      <c r="G783" s="299" t="b">
        <v>0</v>
      </c>
      <c r="H783" s="299" t="b">
        <v>0</v>
      </c>
      <c r="J783" s="113" t="str">
        <f t="shared" si="25"/>
        <v>977688007</v>
      </c>
      <c r="K783" s="113" t="str">
        <f t="shared" si="26"/>
        <v>CG00835</v>
      </c>
    </row>
    <row r="784" spans="1:11" x14ac:dyDescent="0.3">
      <c r="A784" s="298" t="s">
        <v>2912</v>
      </c>
      <c r="B784" s="298" t="s">
        <v>2913</v>
      </c>
      <c r="C784" s="298" t="s">
        <v>416</v>
      </c>
      <c r="D784" s="298" t="s">
        <v>256</v>
      </c>
      <c r="E784" s="298"/>
      <c r="F784" s="298" t="s">
        <v>2914</v>
      </c>
      <c r="G784" s="299" t="b">
        <v>0</v>
      </c>
      <c r="H784" s="299" t="b">
        <v>0</v>
      </c>
      <c r="J784" s="113" t="str">
        <f t="shared" si="25"/>
        <v>798836789</v>
      </c>
      <c r="K784" s="113" t="str">
        <f t="shared" si="26"/>
        <v>CG00836</v>
      </c>
    </row>
    <row r="785" spans="1:11" x14ac:dyDescent="0.3">
      <c r="A785" s="298" t="s">
        <v>2915</v>
      </c>
      <c r="B785" s="298" t="s">
        <v>2916</v>
      </c>
      <c r="C785" s="298" t="s">
        <v>609</v>
      </c>
      <c r="D785" s="298" t="s">
        <v>256</v>
      </c>
      <c r="E785" s="298"/>
      <c r="F785" s="298" t="s">
        <v>2917</v>
      </c>
      <c r="G785" s="299" t="b">
        <v>0</v>
      </c>
      <c r="H785" s="299" t="b">
        <v>0</v>
      </c>
      <c r="J785" s="113" t="str">
        <f t="shared" si="25"/>
        <v>912044147</v>
      </c>
      <c r="K785" s="113" t="str">
        <f t="shared" si="26"/>
        <v>CG00837</v>
      </c>
    </row>
    <row r="786" spans="1:11" x14ac:dyDescent="0.3">
      <c r="A786" s="298" t="s">
        <v>2918</v>
      </c>
      <c r="B786" s="298" t="s">
        <v>2919</v>
      </c>
      <c r="C786" s="298" t="s">
        <v>593</v>
      </c>
      <c r="D786" s="298" t="s">
        <v>256</v>
      </c>
      <c r="E786" s="298"/>
      <c r="F786" s="298" t="s">
        <v>2920</v>
      </c>
      <c r="G786" s="299" t="b">
        <v>0</v>
      </c>
      <c r="H786" s="299" t="b">
        <v>0</v>
      </c>
      <c r="J786" s="113" t="str">
        <f t="shared" si="25"/>
        <v>906229047</v>
      </c>
      <c r="K786" s="113" t="str">
        <f t="shared" si="26"/>
        <v>CG00838</v>
      </c>
    </row>
    <row r="787" spans="1:11" x14ac:dyDescent="0.3">
      <c r="A787" s="298" t="s">
        <v>2921</v>
      </c>
      <c r="B787" s="298" t="s">
        <v>2922</v>
      </c>
      <c r="C787" s="298" t="s">
        <v>816</v>
      </c>
      <c r="D787" s="298" t="s">
        <v>256</v>
      </c>
      <c r="E787" s="298"/>
      <c r="F787" s="298" t="s">
        <v>2923</v>
      </c>
      <c r="G787" s="299" t="b">
        <v>0</v>
      </c>
      <c r="H787" s="299" t="b">
        <v>0</v>
      </c>
      <c r="J787" s="113" t="str">
        <f t="shared" si="25"/>
        <v>912972161</v>
      </c>
      <c r="K787" s="113" t="str">
        <f t="shared" si="26"/>
        <v>CG00839</v>
      </c>
    </row>
    <row r="788" spans="1:11" x14ac:dyDescent="0.3">
      <c r="A788" s="298" t="s">
        <v>2924</v>
      </c>
      <c r="B788" s="298" t="s">
        <v>2925</v>
      </c>
      <c r="C788" s="298" t="s">
        <v>1658</v>
      </c>
      <c r="D788" s="298" t="s">
        <v>256</v>
      </c>
      <c r="E788" s="298"/>
      <c r="F788" s="298" t="s">
        <v>2926</v>
      </c>
      <c r="G788" s="299" t="b">
        <v>0</v>
      </c>
      <c r="H788" s="299" t="b">
        <v>0</v>
      </c>
      <c r="J788" s="113" t="str">
        <f t="shared" si="25"/>
        <v>912203244</v>
      </c>
      <c r="K788" s="113" t="str">
        <f t="shared" si="26"/>
        <v>CG00840</v>
      </c>
    </row>
    <row r="789" spans="1:11" x14ac:dyDescent="0.3">
      <c r="A789" s="298" t="s">
        <v>2927</v>
      </c>
      <c r="B789" s="298" t="s">
        <v>2928</v>
      </c>
      <c r="C789" s="298" t="s">
        <v>541</v>
      </c>
      <c r="D789" s="298" t="s">
        <v>256</v>
      </c>
      <c r="E789" s="298"/>
      <c r="F789" s="298" t="s">
        <v>2929</v>
      </c>
      <c r="G789" s="299" t="b">
        <v>0</v>
      </c>
      <c r="H789" s="299" t="b">
        <v>0</v>
      </c>
      <c r="J789" s="113" t="str">
        <f t="shared" si="25"/>
        <v>912630441</v>
      </c>
      <c r="K789" s="113" t="str">
        <f t="shared" si="26"/>
        <v>CG00841</v>
      </c>
    </row>
    <row r="790" spans="1:11" x14ac:dyDescent="0.3">
      <c r="A790" s="298" t="s">
        <v>2930</v>
      </c>
      <c r="B790" s="298" t="s">
        <v>2931</v>
      </c>
      <c r="C790" s="298" t="s">
        <v>2932</v>
      </c>
      <c r="D790" s="298" t="s">
        <v>256</v>
      </c>
      <c r="E790" s="298"/>
      <c r="F790" s="298" t="s">
        <v>2933</v>
      </c>
      <c r="G790" s="299" t="b">
        <v>0</v>
      </c>
      <c r="H790" s="299" t="b">
        <v>0</v>
      </c>
      <c r="J790" s="113" t="str">
        <f t="shared" si="25"/>
        <v>988084543</v>
      </c>
      <c r="K790" s="113" t="str">
        <f t="shared" si="26"/>
        <v>CG00842</v>
      </c>
    </row>
    <row r="791" spans="1:11" x14ac:dyDescent="0.3">
      <c r="A791" s="298" t="s">
        <v>2934</v>
      </c>
      <c r="B791" s="298" t="s">
        <v>2935</v>
      </c>
      <c r="C791" s="298" t="s">
        <v>317</v>
      </c>
      <c r="D791" s="298" t="s">
        <v>256</v>
      </c>
      <c r="E791" s="298"/>
      <c r="F791" s="298" t="s">
        <v>2936</v>
      </c>
      <c r="G791" s="299" t="b">
        <v>0</v>
      </c>
      <c r="H791" s="299" t="b">
        <v>0</v>
      </c>
      <c r="J791" s="113" t="str">
        <f t="shared" si="25"/>
        <v>354101999</v>
      </c>
      <c r="K791" s="113" t="str">
        <f t="shared" si="26"/>
        <v>CG00843</v>
      </c>
    </row>
    <row r="792" spans="1:11" x14ac:dyDescent="0.3">
      <c r="A792" s="298" t="s">
        <v>2937</v>
      </c>
      <c r="B792" s="298" t="s">
        <v>2938</v>
      </c>
      <c r="C792" s="298" t="s">
        <v>1615</v>
      </c>
      <c r="D792" s="298" t="s">
        <v>256</v>
      </c>
      <c r="E792" s="298"/>
      <c r="F792" s="298" t="s">
        <v>2939</v>
      </c>
      <c r="G792" s="299" t="b">
        <v>0</v>
      </c>
      <c r="H792" s="299" t="b">
        <v>0</v>
      </c>
      <c r="J792" s="113" t="str">
        <f t="shared" si="25"/>
        <v>982771570</v>
      </c>
      <c r="K792" s="113" t="str">
        <f t="shared" si="26"/>
        <v>CG00844</v>
      </c>
    </row>
    <row r="793" spans="1:11" x14ac:dyDescent="0.3">
      <c r="A793" s="298" t="s">
        <v>2940</v>
      </c>
      <c r="B793" s="298" t="s">
        <v>2941</v>
      </c>
      <c r="C793" s="298" t="s">
        <v>593</v>
      </c>
      <c r="D793" s="298" t="s">
        <v>256</v>
      </c>
      <c r="E793" s="298"/>
      <c r="F793" s="298" t="s">
        <v>2942</v>
      </c>
      <c r="G793" s="299" t="b">
        <v>0</v>
      </c>
      <c r="H793" s="299" t="b">
        <v>0</v>
      </c>
      <c r="J793" s="113" t="str">
        <f t="shared" si="25"/>
        <v>904119355</v>
      </c>
      <c r="K793" s="113" t="str">
        <f t="shared" si="26"/>
        <v>CG00845</v>
      </c>
    </row>
    <row r="794" spans="1:11" x14ac:dyDescent="0.3">
      <c r="A794" s="298" t="s">
        <v>2943</v>
      </c>
      <c r="B794" s="298" t="s">
        <v>2944</v>
      </c>
      <c r="C794" s="298" t="s">
        <v>536</v>
      </c>
      <c r="D794" s="298" t="s">
        <v>256</v>
      </c>
      <c r="E794" s="298"/>
      <c r="F794" s="298" t="s">
        <v>2945</v>
      </c>
      <c r="G794" s="299" t="b">
        <v>0</v>
      </c>
      <c r="H794" s="299" t="b">
        <v>0</v>
      </c>
      <c r="J794" s="113" t="str">
        <f t="shared" si="25"/>
        <v>912307748</v>
      </c>
      <c r="K794" s="113" t="str">
        <f t="shared" si="26"/>
        <v>CG00846</v>
      </c>
    </row>
    <row r="795" spans="1:11" x14ac:dyDescent="0.3">
      <c r="A795" s="298" t="s">
        <v>2946</v>
      </c>
      <c r="B795" s="298" t="s">
        <v>2947</v>
      </c>
      <c r="C795" s="298" t="s">
        <v>845</v>
      </c>
      <c r="D795" s="298" t="s">
        <v>256</v>
      </c>
      <c r="E795" s="298"/>
      <c r="F795" s="298" t="s">
        <v>2948</v>
      </c>
      <c r="G795" s="299" t="b">
        <v>0</v>
      </c>
      <c r="H795" s="299" t="b">
        <v>0</v>
      </c>
      <c r="J795" s="113" t="str">
        <f t="shared" si="25"/>
        <v>973505531</v>
      </c>
      <c r="K795" s="113" t="str">
        <f t="shared" si="26"/>
        <v>CG00848</v>
      </c>
    </row>
    <row r="796" spans="1:11" x14ac:dyDescent="0.3">
      <c r="A796" s="298" t="s">
        <v>2949</v>
      </c>
      <c r="B796" s="298" t="s">
        <v>2950</v>
      </c>
      <c r="C796" s="298" t="s">
        <v>416</v>
      </c>
      <c r="D796" s="298" t="s">
        <v>256</v>
      </c>
      <c r="E796" s="298"/>
      <c r="F796" s="298" t="s">
        <v>2951</v>
      </c>
      <c r="G796" s="299" t="b">
        <v>0</v>
      </c>
      <c r="H796" s="299" t="b">
        <v>0</v>
      </c>
      <c r="J796" s="113" t="str">
        <f t="shared" si="25"/>
        <v>912766567</v>
      </c>
      <c r="K796" s="113" t="str">
        <f t="shared" si="26"/>
        <v>CG00849</v>
      </c>
    </row>
    <row r="797" spans="1:11" x14ac:dyDescent="0.3">
      <c r="A797" s="298" t="s">
        <v>2952</v>
      </c>
      <c r="B797" s="298" t="s">
        <v>2953</v>
      </c>
      <c r="C797" s="298" t="s">
        <v>317</v>
      </c>
      <c r="D797" s="298" t="s">
        <v>256</v>
      </c>
      <c r="E797" s="298"/>
      <c r="F797" s="298" t="s">
        <v>2954</v>
      </c>
      <c r="G797" s="299" t="b">
        <v>0</v>
      </c>
      <c r="H797" s="299" t="b">
        <v>0</v>
      </c>
      <c r="J797" s="113" t="str">
        <f t="shared" si="25"/>
        <v>983899137</v>
      </c>
      <c r="K797" s="113" t="str">
        <f t="shared" si="26"/>
        <v>CG00850</v>
      </c>
    </row>
    <row r="798" spans="1:11" x14ac:dyDescent="0.3">
      <c r="A798" s="298" t="s">
        <v>2955</v>
      </c>
      <c r="B798" s="298" t="s">
        <v>2956</v>
      </c>
      <c r="C798" s="298" t="s">
        <v>375</v>
      </c>
      <c r="D798" s="298" t="s">
        <v>256</v>
      </c>
      <c r="E798" s="298"/>
      <c r="F798" s="298" t="s">
        <v>2957</v>
      </c>
      <c r="G798" s="299" t="b">
        <v>0</v>
      </c>
      <c r="H798" s="299" t="b">
        <v>0</v>
      </c>
      <c r="J798" s="113" t="str">
        <f t="shared" si="25"/>
        <v>916808891</v>
      </c>
      <c r="K798" s="113" t="str">
        <f t="shared" si="26"/>
        <v>CG00851</v>
      </c>
    </row>
    <row r="799" spans="1:11" x14ac:dyDescent="0.3">
      <c r="A799" s="298" t="s">
        <v>2958</v>
      </c>
      <c r="B799" s="298" t="s">
        <v>2959</v>
      </c>
      <c r="C799" s="298" t="s">
        <v>2763</v>
      </c>
      <c r="D799" s="298" t="s">
        <v>256</v>
      </c>
      <c r="E799" s="298"/>
      <c r="F799" s="298" t="s">
        <v>2960</v>
      </c>
      <c r="G799" s="299" t="b">
        <v>0</v>
      </c>
      <c r="H799" s="299" t="b">
        <v>0</v>
      </c>
      <c r="J799" s="113" t="str">
        <f t="shared" si="25"/>
        <v>973932932</v>
      </c>
      <c r="K799" s="113" t="str">
        <f t="shared" si="26"/>
        <v>CG00852</v>
      </c>
    </row>
    <row r="800" spans="1:11" x14ac:dyDescent="0.3">
      <c r="A800" s="298" t="s">
        <v>2961</v>
      </c>
      <c r="B800" s="298" t="s">
        <v>2962</v>
      </c>
      <c r="C800" s="298" t="s">
        <v>2963</v>
      </c>
      <c r="D800" s="298" t="s">
        <v>256</v>
      </c>
      <c r="E800" s="298"/>
      <c r="F800" s="298" t="s">
        <v>2964</v>
      </c>
      <c r="G800" s="299" t="b">
        <v>0</v>
      </c>
      <c r="H800" s="299" t="b">
        <v>0</v>
      </c>
      <c r="J800" s="113" t="str">
        <f t="shared" si="25"/>
        <v>967508383</v>
      </c>
      <c r="K800" s="113" t="str">
        <f t="shared" si="26"/>
        <v>CG00853</v>
      </c>
    </row>
    <row r="801" spans="1:11" x14ac:dyDescent="0.3">
      <c r="A801" s="298" t="s">
        <v>2965</v>
      </c>
      <c r="B801" s="298" t="s">
        <v>2966</v>
      </c>
      <c r="C801" s="298" t="s">
        <v>1508</v>
      </c>
      <c r="D801" s="298" t="s">
        <v>256</v>
      </c>
      <c r="E801" s="298"/>
      <c r="F801" s="298" t="s">
        <v>2967</v>
      </c>
      <c r="G801" s="299" t="b">
        <v>0</v>
      </c>
      <c r="H801" s="299" t="b">
        <v>0</v>
      </c>
      <c r="J801" s="113" t="str">
        <f t="shared" si="25"/>
        <v>934287169</v>
      </c>
      <c r="K801" s="113" t="str">
        <f t="shared" si="26"/>
        <v>CG00854</v>
      </c>
    </row>
    <row r="802" spans="1:11" x14ac:dyDescent="0.3">
      <c r="A802" s="298" t="s">
        <v>2968</v>
      </c>
      <c r="B802" s="298" t="s">
        <v>2969</v>
      </c>
      <c r="C802" s="298" t="s">
        <v>231</v>
      </c>
      <c r="D802" s="298" t="s">
        <v>256</v>
      </c>
      <c r="E802" s="298"/>
      <c r="F802" s="298" t="s">
        <v>2970</v>
      </c>
      <c r="G802" s="299" t="b">
        <v>0</v>
      </c>
      <c r="H802" s="299" t="b">
        <v>0</v>
      </c>
      <c r="J802" s="113" t="str">
        <f t="shared" si="25"/>
        <v>979885588</v>
      </c>
      <c r="K802" s="113" t="str">
        <f t="shared" si="26"/>
        <v>CG00855</v>
      </c>
    </row>
    <row r="803" spans="1:11" x14ac:dyDescent="0.3">
      <c r="A803" s="298" t="s">
        <v>2971</v>
      </c>
      <c r="B803" s="298" t="s">
        <v>2972</v>
      </c>
      <c r="C803" s="298" t="s">
        <v>500</v>
      </c>
      <c r="D803" s="298" t="s">
        <v>256</v>
      </c>
      <c r="E803" s="298"/>
      <c r="F803" s="298" t="s">
        <v>2973</v>
      </c>
      <c r="G803" s="299" t="b">
        <v>0</v>
      </c>
      <c r="H803" s="299" t="b">
        <v>0</v>
      </c>
      <c r="J803" s="113" t="str">
        <f t="shared" si="25"/>
        <v>988315172</v>
      </c>
      <c r="K803" s="113" t="str">
        <f t="shared" si="26"/>
        <v>CG00856</v>
      </c>
    </row>
    <row r="804" spans="1:11" x14ac:dyDescent="0.3">
      <c r="A804" s="298" t="s">
        <v>2974</v>
      </c>
      <c r="B804" s="298" t="s">
        <v>2975</v>
      </c>
      <c r="C804" s="298" t="s">
        <v>289</v>
      </c>
      <c r="D804" s="298" t="s">
        <v>256</v>
      </c>
      <c r="E804" s="298"/>
      <c r="F804" s="298" t="s">
        <v>2976</v>
      </c>
      <c r="G804" s="299" t="b">
        <v>0</v>
      </c>
      <c r="H804" s="299" t="b">
        <v>0</v>
      </c>
      <c r="J804" s="113" t="str">
        <f t="shared" si="25"/>
        <v>352505226</v>
      </c>
      <c r="K804" s="113" t="str">
        <f t="shared" si="26"/>
        <v>CG00857</v>
      </c>
    </row>
    <row r="805" spans="1:11" x14ac:dyDescent="0.3">
      <c r="A805" s="298" t="s">
        <v>2977</v>
      </c>
      <c r="B805" s="298" t="s">
        <v>2978</v>
      </c>
      <c r="C805" s="298" t="s">
        <v>2979</v>
      </c>
      <c r="D805" s="298" t="s">
        <v>256</v>
      </c>
      <c r="E805" s="298"/>
      <c r="F805" s="298" t="s">
        <v>2980</v>
      </c>
      <c r="G805" s="299" t="b">
        <v>0</v>
      </c>
      <c r="H805" s="299" t="b">
        <v>0</v>
      </c>
      <c r="J805" s="113" t="str">
        <f t="shared" si="25"/>
        <v>915376649</v>
      </c>
      <c r="K805" s="113" t="str">
        <f t="shared" si="26"/>
        <v>CG00858</v>
      </c>
    </row>
    <row r="806" spans="1:11" x14ac:dyDescent="0.3">
      <c r="A806" s="298" t="s">
        <v>2981</v>
      </c>
      <c r="B806" s="298" t="s">
        <v>2982</v>
      </c>
      <c r="C806" s="298" t="s">
        <v>349</v>
      </c>
      <c r="D806" s="298" t="s">
        <v>256</v>
      </c>
      <c r="E806" s="298"/>
      <c r="F806" s="298" t="s">
        <v>2983</v>
      </c>
      <c r="G806" s="299" t="b">
        <v>0</v>
      </c>
      <c r="H806" s="299" t="b">
        <v>0</v>
      </c>
      <c r="J806" s="113" t="str">
        <f t="shared" si="25"/>
        <v>983204378</v>
      </c>
      <c r="K806" s="113" t="str">
        <f t="shared" si="26"/>
        <v>CG00859</v>
      </c>
    </row>
    <row r="807" spans="1:11" x14ac:dyDescent="0.3">
      <c r="A807" s="298" t="s">
        <v>2984</v>
      </c>
      <c r="B807" s="298" t="s">
        <v>2985</v>
      </c>
      <c r="C807" s="298" t="s">
        <v>452</v>
      </c>
      <c r="D807" s="298" t="s">
        <v>256</v>
      </c>
      <c r="E807" s="298"/>
      <c r="F807" s="298" t="s">
        <v>2986</v>
      </c>
      <c r="G807" s="299" t="b">
        <v>0</v>
      </c>
      <c r="H807" s="299" t="b">
        <v>0</v>
      </c>
      <c r="J807" s="113" t="str">
        <f t="shared" si="25"/>
        <v>986982037</v>
      </c>
      <c r="K807" s="113" t="str">
        <f t="shared" si="26"/>
        <v>CG00861</v>
      </c>
    </row>
    <row r="808" spans="1:11" x14ac:dyDescent="0.3">
      <c r="A808" s="298" t="s">
        <v>2987</v>
      </c>
      <c r="B808" s="298" t="s">
        <v>2988</v>
      </c>
      <c r="C808" s="298" t="s">
        <v>231</v>
      </c>
      <c r="D808" s="298" t="s">
        <v>256</v>
      </c>
      <c r="E808" s="298"/>
      <c r="F808" s="298" t="s">
        <v>2989</v>
      </c>
      <c r="G808" s="299" t="b">
        <v>0</v>
      </c>
      <c r="H808" s="299" t="b">
        <v>0</v>
      </c>
      <c r="J808" s="113" t="str">
        <f t="shared" si="25"/>
        <v>855009228</v>
      </c>
      <c r="K808" s="113" t="str">
        <f t="shared" si="26"/>
        <v>CG00862</v>
      </c>
    </row>
    <row r="809" spans="1:11" x14ac:dyDescent="0.3">
      <c r="A809" s="298" t="s">
        <v>2990</v>
      </c>
      <c r="B809" s="298" t="s">
        <v>2991</v>
      </c>
      <c r="C809" s="298" t="s">
        <v>2186</v>
      </c>
      <c r="D809" s="298" t="s">
        <v>256</v>
      </c>
      <c r="E809" s="298"/>
      <c r="F809" s="298" t="s">
        <v>2992</v>
      </c>
      <c r="G809" s="299" t="b">
        <v>0</v>
      </c>
      <c r="H809" s="299" t="b">
        <v>0</v>
      </c>
      <c r="J809" s="113" t="str">
        <f t="shared" si="25"/>
        <v>912836615</v>
      </c>
      <c r="K809" s="113" t="str">
        <f t="shared" si="26"/>
        <v>CG00863</v>
      </c>
    </row>
    <row r="810" spans="1:11" x14ac:dyDescent="0.3">
      <c r="A810" s="298" t="s">
        <v>2993</v>
      </c>
      <c r="B810" s="298" t="s">
        <v>2994</v>
      </c>
      <c r="C810" s="298" t="s">
        <v>1420</v>
      </c>
      <c r="D810" s="298" t="s">
        <v>256</v>
      </c>
      <c r="E810" s="298"/>
      <c r="F810" s="298" t="s">
        <v>2995</v>
      </c>
      <c r="G810" s="299" t="b">
        <v>0</v>
      </c>
      <c r="H810" s="299" t="b">
        <v>0</v>
      </c>
      <c r="J810" s="113" t="str">
        <f t="shared" si="25"/>
        <v>982543912</v>
      </c>
      <c r="K810" s="113" t="str">
        <f t="shared" si="26"/>
        <v>CG00864</v>
      </c>
    </row>
    <row r="811" spans="1:11" x14ac:dyDescent="0.3">
      <c r="A811" s="298" t="s">
        <v>2996</v>
      </c>
      <c r="B811" s="298" t="s">
        <v>2997</v>
      </c>
      <c r="C811" s="298" t="s">
        <v>530</v>
      </c>
      <c r="D811" s="298" t="s">
        <v>256</v>
      </c>
      <c r="E811" s="298"/>
      <c r="F811" s="298" t="s">
        <v>2998</v>
      </c>
      <c r="G811" s="299" t="b">
        <v>0</v>
      </c>
      <c r="H811" s="299" t="b">
        <v>0</v>
      </c>
      <c r="J811" s="113" t="str">
        <f t="shared" si="25"/>
        <v>913298440</v>
      </c>
      <c r="K811" s="113" t="str">
        <f t="shared" si="26"/>
        <v>CG00865</v>
      </c>
    </row>
    <row r="812" spans="1:11" x14ac:dyDescent="0.3">
      <c r="A812" s="298" t="s">
        <v>2999</v>
      </c>
      <c r="B812" s="298" t="s">
        <v>3000</v>
      </c>
      <c r="C812" s="298" t="s">
        <v>3001</v>
      </c>
      <c r="D812" s="298" t="s">
        <v>256</v>
      </c>
      <c r="E812" s="298"/>
      <c r="F812" s="298" t="s">
        <v>3002</v>
      </c>
      <c r="G812" s="299" t="b">
        <v>0</v>
      </c>
      <c r="H812" s="299" t="b">
        <v>0</v>
      </c>
      <c r="J812" s="113" t="str">
        <f t="shared" si="25"/>
        <v>974933363</v>
      </c>
      <c r="K812" s="113" t="str">
        <f t="shared" si="26"/>
        <v>CG00866</v>
      </c>
    </row>
    <row r="813" spans="1:11" x14ac:dyDescent="0.3">
      <c r="A813" s="298" t="s">
        <v>3003</v>
      </c>
      <c r="B813" s="298" t="s">
        <v>3004</v>
      </c>
      <c r="C813" s="298" t="s">
        <v>3005</v>
      </c>
      <c r="D813" s="298" t="s">
        <v>256</v>
      </c>
      <c r="E813" s="298"/>
      <c r="F813" s="298" t="s">
        <v>3006</v>
      </c>
      <c r="G813" s="299" t="b">
        <v>0</v>
      </c>
      <c r="H813" s="299" t="b">
        <v>0</v>
      </c>
      <c r="J813" s="113" t="str">
        <f t="shared" si="25"/>
        <v>985213648</v>
      </c>
      <c r="K813" s="113" t="str">
        <f t="shared" si="26"/>
        <v>CG00867</v>
      </c>
    </row>
    <row r="814" spans="1:11" x14ac:dyDescent="0.3">
      <c r="A814" s="298" t="s">
        <v>3007</v>
      </c>
      <c r="B814" s="298" t="s">
        <v>3008</v>
      </c>
      <c r="C814" s="298" t="s">
        <v>231</v>
      </c>
      <c r="D814" s="298" t="s">
        <v>256</v>
      </c>
      <c r="E814" s="298"/>
      <c r="F814" s="298" t="s">
        <v>3009</v>
      </c>
      <c r="G814" s="299" t="b">
        <v>0</v>
      </c>
      <c r="H814" s="299" t="b">
        <v>0</v>
      </c>
      <c r="J814" s="113" t="str">
        <f t="shared" si="25"/>
        <v>948345107</v>
      </c>
      <c r="K814" s="113" t="str">
        <f t="shared" si="26"/>
        <v>CG00868</v>
      </c>
    </row>
    <row r="815" spans="1:11" x14ac:dyDescent="0.3">
      <c r="A815" s="298" t="s">
        <v>3010</v>
      </c>
      <c r="B815" s="298" t="s">
        <v>3011</v>
      </c>
      <c r="C815" s="298" t="s">
        <v>3012</v>
      </c>
      <c r="D815" s="298" t="s">
        <v>256</v>
      </c>
      <c r="E815" s="298"/>
      <c r="F815" s="298" t="s">
        <v>3013</v>
      </c>
      <c r="G815" s="299" t="b">
        <v>0</v>
      </c>
      <c r="H815" s="299" t="b">
        <v>0</v>
      </c>
      <c r="J815" s="113" t="str">
        <f t="shared" si="25"/>
        <v>905068416</v>
      </c>
      <c r="K815" s="113" t="str">
        <f t="shared" si="26"/>
        <v>CG00869</v>
      </c>
    </row>
    <row r="816" spans="1:11" x14ac:dyDescent="0.3">
      <c r="A816" s="298" t="s">
        <v>3014</v>
      </c>
      <c r="B816" s="298" t="s">
        <v>3015</v>
      </c>
      <c r="C816" s="298" t="s">
        <v>231</v>
      </c>
      <c r="D816" s="298" t="s">
        <v>256</v>
      </c>
      <c r="E816" s="298"/>
      <c r="F816" s="298" t="s">
        <v>3016</v>
      </c>
      <c r="G816" s="299" t="b">
        <v>0</v>
      </c>
      <c r="H816" s="299" t="b">
        <v>0</v>
      </c>
      <c r="J816" s="113" t="str">
        <f t="shared" si="25"/>
        <v>915302986</v>
      </c>
      <c r="K816" s="113" t="str">
        <f t="shared" si="26"/>
        <v>CG00870</v>
      </c>
    </row>
    <row r="817" spans="1:11" x14ac:dyDescent="0.3">
      <c r="A817" s="298" t="s">
        <v>3017</v>
      </c>
      <c r="B817" s="298" t="s">
        <v>3018</v>
      </c>
      <c r="C817" s="298" t="s">
        <v>930</v>
      </c>
      <c r="D817" s="298" t="s">
        <v>256</v>
      </c>
      <c r="E817" s="298"/>
      <c r="F817" s="298" t="s">
        <v>3019</v>
      </c>
      <c r="G817" s="299" t="b">
        <v>0</v>
      </c>
      <c r="H817" s="299" t="b">
        <v>0</v>
      </c>
      <c r="J817" s="113" t="str">
        <f t="shared" si="25"/>
        <v>976821893</v>
      </c>
      <c r="K817" s="113" t="str">
        <f t="shared" si="26"/>
        <v>CG00871</v>
      </c>
    </row>
    <row r="818" spans="1:11" x14ac:dyDescent="0.3">
      <c r="A818" s="298" t="s">
        <v>3020</v>
      </c>
      <c r="B818" s="298" t="s">
        <v>3021</v>
      </c>
      <c r="C818" s="298" t="s">
        <v>355</v>
      </c>
      <c r="D818" s="298" t="s">
        <v>256</v>
      </c>
      <c r="E818" s="298"/>
      <c r="F818" s="298" t="s">
        <v>3022</v>
      </c>
      <c r="G818" s="299" t="b">
        <v>0</v>
      </c>
      <c r="H818" s="299" t="b">
        <v>0</v>
      </c>
      <c r="J818" s="113" t="str">
        <f t="shared" si="25"/>
        <v>914622120</v>
      </c>
      <c r="K818" s="113" t="str">
        <f t="shared" si="26"/>
        <v>CG00872</v>
      </c>
    </row>
    <row r="819" spans="1:11" x14ac:dyDescent="0.3">
      <c r="A819" s="298" t="s">
        <v>3023</v>
      </c>
      <c r="B819" s="298" t="s">
        <v>3024</v>
      </c>
      <c r="C819" s="298" t="s">
        <v>1508</v>
      </c>
      <c r="D819" s="298" t="s">
        <v>256</v>
      </c>
      <c r="E819" s="298"/>
      <c r="F819" s="298" t="s">
        <v>3025</v>
      </c>
      <c r="G819" s="299" t="b">
        <v>0</v>
      </c>
      <c r="H819" s="299" t="b">
        <v>0</v>
      </c>
      <c r="J819" s="113" t="str">
        <f t="shared" si="25"/>
        <v>989955931</v>
      </c>
      <c r="K819" s="113" t="str">
        <f t="shared" si="26"/>
        <v>CG00873</v>
      </c>
    </row>
    <row r="820" spans="1:11" x14ac:dyDescent="0.3">
      <c r="A820" s="298" t="s">
        <v>3026</v>
      </c>
      <c r="B820" s="298" t="s">
        <v>3027</v>
      </c>
      <c r="C820" s="298" t="s">
        <v>1508</v>
      </c>
      <c r="D820" s="298" t="s">
        <v>256</v>
      </c>
      <c r="E820" s="298"/>
      <c r="F820" s="298" t="s">
        <v>3028</v>
      </c>
      <c r="G820" s="299" t="b">
        <v>0</v>
      </c>
      <c r="H820" s="299" t="b">
        <v>0</v>
      </c>
      <c r="J820" s="113" t="str">
        <f t="shared" si="25"/>
        <v>963388563</v>
      </c>
      <c r="K820" s="113" t="str">
        <f t="shared" si="26"/>
        <v>CG00874</v>
      </c>
    </row>
    <row r="821" spans="1:11" x14ac:dyDescent="0.3">
      <c r="A821" s="298" t="s">
        <v>3029</v>
      </c>
      <c r="B821" s="298" t="s">
        <v>3030</v>
      </c>
      <c r="C821" s="298" t="s">
        <v>375</v>
      </c>
      <c r="D821" s="298" t="s">
        <v>256</v>
      </c>
      <c r="E821" s="298"/>
      <c r="F821" s="298" t="s">
        <v>3031</v>
      </c>
      <c r="G821" s="299" t="b">
        <v>0</v>
      </c>
      <c r="H821" s="299" t="b">
        <v>0</v>
      </c>
      <c r="J821" s="113" t="str">
        <f t="shared" si="25"/>
        <v>912275065</v>
      </c>
      <c r="K821" s="113" t="str">
        <f t="shared" si="26"/>
        <v>CG00875</v>
      </c>
    </row>
    <row r="822" spans="1:11" x14ac:dyDescent="0.3">
      <c r="A822" s="298" t="s">
        <v>3032</v>
      </c>
      <c r="B822" s="298" t="s">
        <v>3033</v>
      </c>
      <c r="C822" s="298" t="s">
        <v>1196</v>
      </c>
      <c r="D822" s="298" t="s">
        <v>256</v>
      </c>
      <c r="E822" s="298"/>
      <c r="F822" s="298" t="s">
        <v>3034</v>
      </c>
      <c r="G822" s="299" t="b">
        <v>0</v>
      </c>
      <c r="H822" s="299" t="b">
        <v>0</v>
      </c>
      <c r="J822" s="113" t="str">
        <f t="shared" si="25"/>
        <v>984963414</v>
      </c>
      <c r="K822" s="113" t="str">
        <f t="shared" si="26"/>
        <v>CG00876</v>
      </c>
    </row>
    <row r="823" spans="1:11" x14ac:dyDescent="0.3">
      <c r="A823" s="298" t="s">
        <v>3035</v>
      </c>
      <c r="B823" s="298" t="s">
        <v>3036</v>
      </c>
      <c r="C823" s="298" t="s">
        <v>3037</v>
      </c>
      <c r="D823" s="298" t="s">
        <v>256</v>
      </c>
      <c r="E823" s="298"/>
      <c r="F823" s="298" t="s">
        <v>3038</v>
      </c>
      <c r="G823" s="299" t="b">
        <v>0</v>
      </c>
      <c r="H823" s="299" t="b">
        <v>0</v>
      </c>
      <c r="J823" s="113" t="str">
        <f t="shared" si="25"/>
        <v>947948189</v>
      </c>
      <c r="K823" s="113" t="str">
        <f t="shared" si="26"/>
        <v>CG00877</v>
      </c>
    </row>
    <row r="824" spans="1:11" x14ac:dyDescent="0.3">
      <c r="A824" s="298" t="s">
        <v>3039</v>
      </c>
      <c r="B824" s="298" t="s">
        <v>3040</v>
      </c>
      <c r="C824" s="298" t="s">
        <v>460</v>
      </c>
      <c r="D824" s="298" t="s">
        <v>256</v>
      </c>
      <c r="E824" s="298"/>
      <c r="F824" s="298" t="s">
        <v>3041</v>
      </c>
      <c r="G824" s="299" t="b">
        <v>0</v>
      </c>
      <c r="H824" s="299" t="b">
        <v>0</v>
      </c>
      <c r="J824" s="113" t="str">
        <f t="shared" si="25"/>
        <v>983434062</v>
      </c>
      <c r="K824" s="113" t="str">
        <f t="shared" si="26"/>
        <v>CG00879</v>
      </c>
    </row>
    <row r="825" spans="1:11" x14ac:dyDescent="0.3">
      <c r="A825" s="298" t="s">
        <v>3042</v>
      </c>
      <c r="B825" s="298" t="s">
        <v>3043</v>
      </c>
      <c r="C825" s="298" t="s">
        <v>3044</v>
      </c>
      <c r="D825" s="298" t="s">
        <v>256</v>
      </c>
      <c r="E825" s="298"/>
      <c r="F825" s="298" t="s">
        <v>3045</v>
      </c>
      <c r="G825" s="299" t="b">
        <v>0</v>
      </c>
      <c r="H825" s="299" t="b">
        <v>0</v>
      </c>
      <c r="J825" s="113" t="str">
        <f t="shared" si="25"/>
        <v>912794076</v>
      </c>
      <c r="K825" s="113" t="str">
        <f t="shared" si="26"/>
        <v>CG00880</v>
      </c>
    </row>
    <row r="826" spans="1:11" x14ac:dyDescent="0.3">
      <c r="A826" s="298" t="s">
        <v>3046</v>
      </c>
      <c r="B826" s="298" t="s">
        <v>3047</v>
      </c>
      <c r="C826" s="298" t="s">
        <v>289</v>
      </c>
      <c r="D826" s="298" t="s">
        <v>256</v>
      </c>
      <c r="E826" s="298"/>
      <c r="F826" s="298" t="s">
        <v>3048</v>
      </c>
      <c r="G826" s="299" t="b">
        <v>0</v>
      </c>
      <c r="H826" s="299" t="b">
        <v>0</v>
      </c>
      <c r="J826" s="113" t="str">
        <f t="shared" si="25"/>
        <v>984918599</v>
      </c>
      <c r="K826" s="113" t="str">
        <f t="shared" si="26"/>
        <v>CG00881</v>
      </c>
    </row>
    <row r="827" spans="1:11" x14ac:dyDescent="0.3">
      <c r="A827" s="298" t="s">
        <v>3049</v>
      </c>
      <c r="B827" s="298" t="s">
        <v>3050</v>
      </c>
      <c r="C827" s="298" t="s">
        <v>463</v>
      </c>
      <c r="D827" s="298" t="s">
        <v>256</v>
      </c>
      <c r="E827" s="298"/>
      <c r="F827" s="298" t="s">
        <v>3051</v>
      </c>
      <c r="G827" s="299" t="b">
        <v>0</v>
      </c>
      <c r="H827" s="299" t="b">
        <v>0</v>
      </c>
      <c r="J827" s="113" t="str">
        <f t="shared" si="25"/>
        <v>961056970</v>
      </c>
      <c r="K827" s="113" t="str">
        <f t="shared" si="26"/>
        <v>CG00882</v>
      </c>
    </row>
    <row r="828" spans="1:11" x14ac:dyDescent="0.3">
      <c r="A828" s="298" t="s">
        <v>3052</v>
      </c>
      <c r="B828" s="298" t="s">
        <v>3053</v>
      </c>
      <c r="C828" s="298" t="s">
        <v>463</v>
      </c>
      <c r="D828" s="298" t="s">
        <v>256</v>
      </c>
      <c r="E828" s="298"/>
      <c r="F828" s="298" t="s">
        <v>3054</v>
      </c>
      <c r="G828" s="299" t="b">
        <v>0</v>
      </c>
      <c r="H828" s="299" t="b">
        <v>0</v>
      </c>
      <c r="J828" s="113" t="str">
        <f t="shared" si="25"/>
        <v>912839748</v>
      </c>
      <c r="K828" s="113" t="str">
        <f t="shared" si="26"/>
        <v>CG00883</v>
      </c>
    </row>
    <row r="829" spans="1:11" x14ac:dyDescent="0.3">
      <c r="A829" s="298" t="s">
        <v>3055</v>
      </c>
      <c r="B829" s="298" t="s">
        <v>3056</v>
      </c>
      <c r="C829" s="298" t="s">
        <v>2620</v>
      </c>
      <c r="D829" s="298" t="s">
        <v>256</v>
      </c>
      <c r="E829" s="298"/>
      <c r="F829" s="298" t="s">
        <v>3057</v>
      </c>
      <c r="G829" s="299" t="b">
        <v>0</v>
      </c>
      <c r="H829" s="299" t="b">
        <v>0</v>
      </c>
      <c r="J829" s="113" t="str">
        <f t="shared" si="25"/>
        <v>968197756</v>
      </c>
      <c r="K829" s="113" t="str">
        <f t="shared" si="26"/>
        <v>CG00885</v>
      </c>
    </row>
    <row r="830" spans="1:11" x14ac:dyDescent="0.3">
      <c r="A830" s="298" t="s">
        <v>3058</v>
      </c>
      <c r="B830" s="298" t="s">
        <v>3059</v>
      </c>
      <c r="C830" s="298" t="s">
        <v>2186</v>
      </c>
      <c r="D830" s="298" t="s">
        <v>256</v>
      </c>
      <c r="E830" s="298"/>
      <c r="F830" s="298" t="s">
        <v>3060</v>
      </c>
      <c r="G830" s="299" t="b">
        <v>0</v>
      </c>
      <c r="H830" s="299" t="b">
        <v>0</v>
      </c>
      <c r="J830" s="113" t="str">
        <f t="shared" si="25"/>
        <v>915686968</v>
      </c>
      <c r="K830" s="113" t="str">
        <f t="shared" si="26"/>
        <v>CG00886</v>
      </c>
    </row>
    <row r="831" spans="1:11" x14ac:dyDescent="0.3">
      <c r="A831" s="298" t="s">
        <v>3061</v>
      </c>
      <c r="B831" s="298" t="s">
        <v>3062</v>
      </c>
      <c r="C831" s="298" t="s">
        <v>1508</v>
      </c>
      <c r="D831" s="298" t="s">
        <v>256</v>
      </c>
      <c r="E831" s="298"/>
      <c r="F831" s="298" t="s">
        <v>3063</v>
      </c>
      <c r="G831" s="299" t="b">
        <v>0</v>
      </c>
      <c r="H831" s="299" t="b">
        <v>0</v>
      </c>
      <c r="J831" s="113" t="str">
        <f t="shared" si="25"/>
        <v>906853826</v>
      </c>
      <c r="K831" s="113" t="str">
        <f t="shared" si="26"/>
        <v>CG00887</v>
      </c>
    </row>
    <row r="832" spans="1:11" x14ac:dyDescent="0.3">
      <c r="A832" s="298" t="s">
        <v>3064</v>
      </c>
      <c r="B832" s="298" t="s">
        <v>3065</v>
      </c>
      <c r="C832" s="298" t="s">
        <v>2364</v>
      </c>
      <c r="D832" s="298" t="s">
        <v>256</v>
      </c>
      <c r="E832" s="298"/>
      <c r="F832" s="298" t="s">
        <v>3066</v>
      </c>
      <c r="G832" s="299" t="b">
        <v>0</v>
      </c>
      <c r="H832" s="299" t="b">
        <v>0</v>
      </c>
      <c r="J832" s="113" t="str">
        <f t="shared" si="25"/>
        <v>968702552</v>
      </c>
      <c r="K832" s="113" t="str">
        <f t="shared" si="26"/>
        <v>CG00888</v>
      </c>
    </row>
    <row r="833" spans="1:11" x14ac:dyDescent="0.3">
      <c r="A833" s="298" t="s">
        <v>3067</v>
      </c>
      <c r="B833" s="298" t="s">
        <v>3068</v>
      </c>
      <c r="C833" s="298" t="s">
        <v>375</v>
      </c>
      <c r="D833" s="298" t="s">
        <v>256</v>
      </c>
      <c r="E833" s="298"/>
      <c r="F833" s="298" t="s">
        <v>3031</v>
      </c>
      <c r="G833" s="299" t="b">
        <v>0</v>
      </c>
      <c r="H833" s="299" t="b">
        <v>0</v>
      </c>
      <c r="J833" s="113" t="str">
        <f t="shared" si="25"/>
        <v>912275065</v>
      </c>
      <c r="K833" s="113" t="str">
        <f t="shared" si="26"/>
        <v>CG00889</v>
      </c>
    </row>
    <row r="834" spans="1:11" x14ac:dyDescent="0.3">
      <c r="A834" s="298" t="s">
        <v>3069</v>
      </c>
      <c r="B834" s="298" t="s">
        <v>3070</v>
      </c>
      <c r="C834" s="298" t="s">
        <v>3071</v>
      </c>
      <c r="D834" s="298" t="s">
        <v>256</v>
      </c>
      <c r="E834" s="298"/>
      <c r="F834" s="298" t="s">
        <v>3072</v>
      </c>
      <c r="G834" s="299" t="b">
        <v>0</v>
      </c>
      <c r="H834" s="299" t="b">
        <v>0</v>
      </c>
      <c r="J834" s="113" t="str">
        <f t="shared" si="25"/>
        <v>912726582</v>
      </c>
      <c r="K834" s="113" t="str">
        <f t="shared" si="26"/>
        <v>CG00891</v>
      </c>
    </row>
    <row r="835" spans="1:11" x14ac:dyDescent="0.3">
      <c r="A835" s="298" t="s">
        <v>3073</v>
      </c>
      <c r="B835" s="298" t="s">
        <v>13295</v>
      </c>
      <c r="C835" s="298" t="s">
        <v>13296</v>
      </c>
      <c r="D835" s="298" t="s">
        <v>256</v>
      </c>
      <c r="E835" s="298" t="s">
        <v>13297</v>
      </c>
      <c r="F835" s="298" t="s">
        <v>3074</v>
      </c>
      <c r="G835" s="299" t="b">
        <v>0</v>
      </c>
      <c r="H835" s="299" t="b">
        <v>0</v>
      </c>
      <c r="J835" s="113" t="str">
        <f t="shared" si="25"/>
        <v>904616304</v>
      </c>
      <c r="K835" s="113" t="str">
        <f t="shared" si="26"/>
        <v>CG00892</v>
      </c>
    </row>
    <row r="836" spans="1:11" x14ac:dyDescent="0.3">
      <c r="A836" s="298" t="s">
        <v>3075</v>
      </c>
      <c r="B836" s="298" t="s">
        <v>3076</v>
      </c>
      <c r="C836" s="298" t="s">
        <v>375</v>
      </c>
      <c r="D836" s="298" t="s">
        <v>256</v>
      </c>
      <c r="E836" s="298"/>
      <c r="F836" s="298" t="s">
        <v>3077</v>
      </c>
      <c r="G836" s="299" t="b">
        <v>0</v>
      </c>
      <c r="H836" s="299" t="b">
        <v>0</v>
      </c>
      <c r="J836" s="113" t="str">
        <f t="shared" si="25"/>
        <v>903223818</v>
      </c>
      <c r="K836" s="113" t="str">
        <f t="shared" si="26"/>
        <v>CG00893</v>
      </c>
    </row>
    <row r="837" spans="1:11" x14ac:dyDescent="0.3">
      <c r="A837" s="298" t="s">
        <v>3078</v>
      </c>
      <c r="B837" s="298" t="s">
        <v>3079</v>
      </c>
      <c r="C837" s="298" t="s">
        <v>375</v>
      </c>
      <c r="D837" s="298" t="s">
        <v>256</v>
      </c>
      <c r="E837" s="298"/>
      <c r="F837" s="298" t="s">
        <v>3080</v>
      </c>
      <c r="G837" s="299" t="b">
        <v>0</v>
      </c>
      <c r="H837" s="299" t="b">
        <v>0</v>
      </c>
      <c r="J837" s="113" t="str">
        <f t="shared" ref="J837:J900" si="27">RIGHT(B837,9)</f>
        <v>904738212</v>
      </c>
      <c r="K837" s="113" t="str">
        <f t="shared" ref="K837:K900" si="28">A837</f>
        <v>CG00894</v>
      </c>
    </row>
    <row r="838" spans="1:11" x14ac:dyDescent="0.3">
      <c r="A838" s="298" t="s">
        <v>3081</v>
      </c>
      <c r="B838" s="298" t="s">
        <v>3082</v>
      </c>
      <c r="C838" s="298" t="s">
        <v>340</v>
      </c>
      <c r="D838" s="298" t="s">
        <v>256</v>
      </c>
      <c r="E838" s="298"/>
      <c r="F838" s="298" t="s">
        <v>3083</v>
      </c>
      <c r="G838" s="299" t="b">
        <v>0</v>
      </c>
      <c r="H838" s="299" t="b">
        <v>0</v>
      </c>
      <c r="J838" s="113" t="str">
        <f t="shared" si="27"/>
        <v>936670943</v>
      </c>
      <c r="K838" s="113" t="str">
        <f t="shared" si="28"/>
        <v>CG00895</v>
      </c>
    </row>
    <row r="839" spans="1:11" x14ac:dyDescent="0.3">
      <c r="A839" s="298" t="s">
        <v>3084</v>
      </c>
      <c r="B839" s="298" t="s">
        <v>3085</v>
      </c>
      <c r="C839" s="298" t="s">
        <v>3086</v>
      </c>
      <c r="D839" s="298" t="s">
        <v>256</v>
      </c>
      <c r="E839" s="298" t="s">
        <v>3087</v>
      </c>
      <c r="F839" s="298" t="s">
        <v>3088</v>
      </c>
      <c r="G839" s="299" t="b">
        <v>0</v>
      </c>
      <c r="H839" s="299" t="b">
        <v>0</v>
      </c>
      <c r="J839" s="113" t="str">
        <f t="shared" si="27"/>
        <v>984883883</v>
      </c>
      <c r="K839" s="113" t="str">
        <f t="shared" si="28"/>
        <v>CG00896</v>
      </c>
    </row>
    <row r="840" spans="1:11" x14ac:dyDescent="0.3">
      <c r="A840" s="298" t="s">
        <v>3089</v>
      </c>
      <c r="B840" s="298" t="s">
        <v>3090</v>
      </c>
      <c r="C840" s="298" t="s">
        <v>1579</v>
      </c>
      <c r="D840" s="298" t="s">
        <v>256</v>
      </c>
      <c r="E840" s="298"/>
      <c r="F840" s="298" t="s">
        <v>3091</v>
      </c>
      <c r="G840" s="299" t="b">
        <v>0</v>
      </c>
      <c r="H840" s="299" t="b">
        <v>0</v>
      </c>
      <c r="J840" s="113" t="str">
        <f t="shared" si="27"/>
        <v>369608696</v>
      </c>
      <c r="K840" s="113" t="str">
        <f t="shared" si="28"/>
        <v>CG00898</v>
      </c>
    </row>
    <row r="841" spans="1:11" x14ac:dyDescent="0.3">
      <c r="A841" s="298" t="s">
        <v>3092</v>
      </c>
      <c r="B841" s="298" t="s">
        <v>3093</v>
      </c>
      <c r="C841" s="298" t="s">
        <v>416</v>
      </c>
      <c r="D841" s="298" t="s">
        <v>256</v>
      </c>
      <c r="E841" s="298"/>
      <c r="F841" s="298" t="s">
        <v>3094</v>
      </c>
      <c r="G841" s="299" t="b">
        <v>0</v>
      </c>
      <c r="H841" s="299" t="b">
        <v>0</v>
      </c>
      <c r="J841" s="113" t="str">
        <f t="shared" si="27"/>
        <v>984260832</v>
      </c>
      <c r="K841" s="113" t="str">
        <f t="shared" si="28"/>
        <v>CG00899</v>
      </c>
    </row>
    <row r="842" spans="1:11" x14ac:dyDescent="0.3">
      <c r="A842" s="298" t="s">
        <v>3095</v>
      </c>
      <c r="B842" s="298" t="s">
        <v>3096</v>
      </c>
      <c r="C842" s="298" t="s">
        <v>3097</v>
      </c>
      <c r="D842" s="298" t="s">
        <v>256</v>
      </c>
      <c r="E842" s="298"/>
      <c r="F842" s="298" t="s">
        <v>3098</v>
      </c>
      <c r="G842" s="299" t="b">
        <v>0</v>
      </c>
      <c r="H842" s="299" t="b">
        <v>0</v>
      </c>
      <c r="J842" s="113" t="str">
        <f t="shared" si="27"/>
        <v>968975576</v>
      </c>
      <c r="K842" s="113" t="str">
        <f t="shared" si="28"/>
        <v>CG00900</v>
      </c>
    </row>
    <row r="843" spans="1:11" x14ac:dyDescent="0.3">
      <c r="A843" s="298" t="s">
        <v>3099</v>
      </c>
      <c r="B843" s="298" t="s">
        <v>3100</v>
      </c>
      <c r="C843" s="298" t="s">
        <v>340</v>
      </c>
      <c r="D843" s="298" t="s">
        <v>256</v>
      </c>
      <c r="E843" s="298"/>
      <c r="F843" s="298" t="s">
        <v>3101</v>
      </c>
      <c r="G843" s="299" t="b">
        <v>0</v>
      </c>
      <c r="H843" s="299" t="b">
        <v>0</v>
      </c>
      <c r="J843" s="113" t="str">
        <f t="shared" si="27"/>
        <v>362760817</v>
      </c>
      <c r="K843" s="113" t="str">
        <f t="shared" si="28"/>
        <v>CG00901</v>
      </c>
    </row>
    <row r="844" spans="1:11" x14ac:dyDescent="0.3">
      <c r="A844" s="298" t="s">
        <v>3102</v>
      </c>
      <c r="B844" s="298" t="s">
        <v>3103</v>
      </c>
      <c r="C844" s="298" t="s">
        <v>231</v>
      </c>
      <c r="D844" s="298" t="s">
        <v>256</v>
      </c>
      <c r="E844" s="298"/>
      <c r="F844" s="298" t="s">
        <v>3104</v>
      </c>
      <c r="G844" s="299" t="b">
        <v>0</v>
      </c>
      <c r="H844" s="299" t="b">
        <v>0</v>
      </c>
      <c r="J844" s="113" t="str">
        <f t="shared" si="27"/>
        <v>944696696</v>
      </c>
      <c r="K844" s="113" t="str">
        <f t="shared" si="28"/>
        <v>CG00902</v>
      </c>
    </row>
    <row r="845" spans="1:11" x14ac:dyDescent="0.3">
      <c r="A845" s="298" t="s">
        <v>3105</v>
      </c>
      <c r="B845" s="298" t="s">
        <v>3106</v>
      </c>
      <c r="C845" s="298" t="s">
        <v>487</v>
      </c>
      <c r="D845" s="298" t="s">
        <v>256</v>
      </c>
      <c r="E845" s="298"/>
      <c r="F845" s="298" t="s">
        <v>3107</v>
      </c>
      <c r="G845" s="299" t="b">
        <v>0</v>
      </c>
      <c r="H845" s="299" t="b">
        <v>0</v>
      </c>
      <c r="J845" s="113" t="str">
        <f t="shared" si="27"/>
        <v>913499096</v>
      </c>
      <c r="K845" s="113" t="str">
        <f t="shared" si="28"/>
        <v>CG00903</v>
      </c>
    </row>
    <row r="846" spans="1:11" x14ac:dyDescent="0.3">
      <c r="A846" s="298" t="s">
        <v>3108</v>
      </c>
      <c r="B846" s="298" t="s">
        <v>3109</v>
      </c>
      <c r="C846" s="298" t="s">
        <v>3110</v>
      </c>
      <c r="D846" s="298" t="s">
        <v>256</v>
      </c>
      <c r="E846" s="298"/>
      <c r="F846" s="298" t="s">
        <v>3111</v>
      </c>
      <c r="G846" s="299" t="b">
        <v>0</v>
      </c>
      <c r="H846" s="299" t="b">
        <v>0</v>
      </c>
      <c r="J846" s="113" t="str">
        <f t="shared" si="27"/>
        <v>982415325</v>
      </c>
      <c r="K846" s="113" t="str">
        <f t="shared" si="28"/>
        <v>CG00904</v>
      </c>
    </row>
    <row r="847" spans="1:11" x14ac:dyDescent="0.3">
      <c r="A847" s="298" t="s">
        <v>3112</v>
      </c>
      <c r="B847" s="298" t="s">
        <v>3113</v>
      </c>
      <c r="C847" s="298" t="s">
        <v>3114</v>
      </c>
      <c r="D847" s="298" t="s">
        <v>256</v>
      </c>
      <c r="E847" s="298"/>
      <c r="F847" s="298" t="s">
        <v>3115</v>
      </c>
      <c r="G847" s="299" t="b">
        <v>0</v>
      </c>
      <c r="H847" s="299" t="b">
        <v>0</v>
      </c>
      <c r="J847" s="113" t="str">
        <f t="shared" si="27"/>
        <v>947589119</v>
      </c>
      <c r="K847" s="113" t="str">
        <f t="shared" si="28"/>
        <v>CG00906</v>
      </c>
    </row>
    <row r="848" spans="1:11" x14ac:dyDescent="0.3">
      <c r="A848" s="298" t="s">
        <v>3116</v>
      </c>
      <c r="B848" s="298" t="s">
        <v>3117</v>
      </c>
      <c r="C848" s="298" t="s">
        <v>2897</v>
      </c>
      <c r="D848" s="298" t="s">
        <v>256</v>
      </c>
      <c r="E848" s="298"/>
      <c r="F848" s="298" t="s">
        <v>3118</v>
      </c>
      <c r="G848" s="299" t="b">
        <v>0</v>
      </c>
      <c r="H848" s="299" t="b">
        <v>0</v>
      </c>
      <c r="J848" s="113" t="str">
        <f t="shared" si="27"/>
        <v>916116767</v>
      </c>
      <c r="K848" s="113" t="str">
        <f t="shared" si="28"/>
        <v>CG00907</v>
      </c>
    </row>
    <row r="849" spans="1:11" x14ac:dyDescent="0.3">
      <c r="A849" s="298" t="s">
        <v>3119</v>
      </c>
      <c r="B849" s="298" t="s">
        <v>3120</v>
      </c>
      <c r="C849" s="298" t="s">
        <v>1203</v>
      </c>
      <c r="D849" s="298" t="s">
        <v>256</v>
      </c>
      <c r="E849" s="298"/>
      <c r="F849" s="298" t="s">
        <v>3121</v>
      </c>
      <c r="G849" s="299" t="b">
        <v>0</v>
      </c>
      <c r="H849" s="299" t="b">
        <v>0</v>
      </c>
      <c r="J849" s="113" t="str">
        <f t="shared" si="27"/>
        <v>961136049</v>
      </c>
      <c r="K849" s="113" t="str">
        <f t="shared" si="28"/>
        <v>CG00908</v>
      </c>
    </row>
    <row r="850" spans="1:11" x14ac:dyDescent="0.3">
      <c r="A850" s="298" t="s">
        <v>3122</v>
      </c>
      <c r="B850" s="298" t="s">
        <v>3123</v>
      </c>
      <c r="C850" s="298" t="s">
        <v>3124</v>
      </c>
      <c r="D850" s="298" t="s">
        <v>256</v>
      </c>
      <c r="E850" s="298" t="s">
        <v>3125</v>
      </c>
      <c r="F850" s="298" t="s">
        <v>3126</v>
      </c>
      <c r="G850" s="299" t="b">
        <v>0</v>
      </c>
      <c r="H850" s="299" t="b">
        <v>0</v>
      </c>
      <c r="J850" s="113" t="str">
        <f t="shared" si="27"/>
        <v>912807888</v>
      </c>
      <c r="K850" s="113" t="str">
        <f t="shared" si="28"/>
        <v>CG00909</v>
      </c>
    </row>
    <row r="851" spans="1:11" x14ac:dyDescent="0.3">
      <c r="A851" s="298" t="s">
        <v>3127</v>
      </c>
      <c r="B851" s="298" t="s">
        <v>3128</v>
      </c>
      <c r="C851" s="298" t="s">
        <v>289</v>
      </c>
      <c r="D851" s="298" t="s">
        <v>256</v>
      </c>
      <c r="E851" s="298"/>
      <c r="F851" s="298" t="s">
        <v>3129</v>
      </c>
      <c r="G851" s="299" t="b">
        <v>0</v>
      </c>
      <c r="H851" s="299" t="b">
        <v>0</v>
      </c>
      <c r="J851" s="113" t="str">
        <f t="shared" si="27"/>
        <v>978029959</v>
      </c>
      <c r="K851" s="113" t="str">
        <f t="shared" si="28"/>
        <v>CG00910</v>
      </c>
    </row>
    <row r="852" spans="1:11" x14ac:dyDescent="0.3">
      <c r="A852" s="298" t="s">
        <v>3130</v>
      </c>
      <c r="B852" s="298" t="s">
        <v>3131</v>
      </c>
      <c r="C852" s="298" t="s">
        <v>3132</v>
      </c>
      <c r="D852" s="298" t="s">
        <v>256</v>
      </c>
      <c r="E852" s="298"/>
      <c r="F852" s="298" t="s">
        <v>3133</v>
      </c>
      <c r="G852" s="299" t="b">
        <v>0</v>
      </c>
      <c r="H852" s="299" t="b">
        <v>0</v>
      </c>
      <c r="J852" s="113" t="str">
        <f t="shared" si="27"/>
        <v>387364763</v>
      </c>
      <c r="K852" s="113" t="str">
        <f t="shared" si="28"/>
        <v>CG00911</v>
      </c>
    </row>
    <row r="853" spans="1:11" x14ac:dyDescent="0.3">
      <c r="A853" s="298" t="s">
        <v>3134</v>
      </c>
      <c r="B853" s="298" t="s">
        <v>3135</v>
      </c>
      <c r="C853" s="298" t="s">
        <v>1508</v>
      </c>
      <c r="D853" s="298" t="s">
        <v>256</v>
      </c>
      <c r="E853" s="298"/>
      <c r="F853" s="298" t="s">
        <v>3136</v>
      </c>
      <c r="G853" s="299" t="b">
        <v>0</v>
      </c>
      <c r="H853" s="299" t="b">
        <v>0</v>
      </c>
      <c r="J853" s="113" t="str">
        <f t="shared" si="27"/>
        <v>913888869</v>
      </c>
      <c r="K853" s="113" t="str">
        <f t="shared" si="28"/>
        <v>CG00912</v>
      </c>
    </row>
    <row r="854" spans="1:11" x14ac:dyDescent="0.3">
      <c r="A854" s="298" t="s">
        <v>3137</v>
      </c>
      <c r="B854" s="298" t="s">
        <v>3138</v>
      </c>
      <c r="C854" s="298" t="s">
        <v>231</v>
      </c>
      <c r="D854" s="298" t="s">
        <v>256</v>
      </c>
      <c r="E854" s="298"/>
      <c r="F854" s="298" t="s">
        <v>3139</v>
      </c>
      <c r="G854" s="299" t="b">
        <v>0</v>
      </c>
      <c r="H854" s="299" t="b">
        <v>0</v>
      </c>
      <c r="J854" s="113" t="str">
        <f t="shared" si="27"/>
        <v>973288011</v>
      </c>
      <c r="K854" s="113" t="str">
        <f t="shared" si="28"/>
        <v>CG00913</v>
      </c>
    </row>
    <row r="855" spans="1:11" x14ac:dyDescent="0.3">
      <c r="A855" s="298" t="s">
        <v>3140</v>
      </c>
      <c r="B855" s="298" t="s">
        <v>3141</v>
      </c>
      <c r="C855" s="298" t="s">
        <v>3142</v>
      </c>
      <c r="D855" s="298" t="s">
        <v>256</v>
      </c>
      <c r="E855" s="298"/>
      <c r="F855" s="298" t="s">
        <v>3143</v>
      </c>
      <c r="G855" s="299" t="b">
        <v>0</v>
      </c>
      <c r="H855" s="299" t="b">
        <v>0</v>
      </c>
      <c r="J855" s="113" t="str">
        <f t="shared" si="27"/>
        <v>962447886</v>
      </c>
      <c r="K855" s="113" t="str">
        <f t="shared" si="28"/>
        <v>CG00914</v>
      </c>
    </row>
    <row r="856" spans="1:11" x14ac:dyDescent="0.3">
      <c r="A856" s="298" t="s">
        <v>3144</v>
      </c>
      <c r="B856" s="298" t="s">
        <v>3145</v>
      </c>
      <c r="C856" s="298" t="s">
        <v>1488</v>
      </c>
      <c r="D856" s="298" t="s">
        <v>256</v>
      </c>
      <c r="E856" s="298"/>
      <c r="F856" s="298" t="s">
        <v>3146</v>
      </c>
      <c r="G856" s="299" t="b">
        <v>0</v>
      </c>
      <c r="H856" s="299" t="b">
        <v>0</v>
      </c>
      <c r="J856" s="113" t="str">
        <f t="shared" si="27"/>
        <v>989268568</v>
      </c>
      <c r="K856" s="113" t="str">
        <f t="shared" si="28"/>
        <v>CG00915</v>
      </c>
    </row>
    <row r="857" spans="1:11" x14ac:dyDescent="0.3">
      <c r="A857" s="298" t="s">
        <v>3147</v>
      </c>
      <c r="B857" s="298" t="s">
        <v>3148</v>
      </c>
      <c r="C857" s="298" t="s">
        <v>530</v>
      </c>
      <c r="D857" s="298" t="s">
        <v>256</v>
      </c>
      <c r="E857" s="298"/>
      <c r="F857" s="298" t="s">
        <v>3149</v>
      </c>
      <c r="G857" s="299" t="b">
        <v>0</v>
      </c>
      <c r="H857" s="299" t="b">
        <v>0</v>
      </c>
      <c r="J857" s="113" t="str">
        <f t="shared" si="27"/>
        <v>987711976</v>
      </c>
      <c r="K857" s="113" t="str">
        <f t="shared" si="28"/>
        <v>CG00916</v>
      </c>
    </row>
    <row r="858" spans="1:11" x14ac:dyDescent="0.3">
      <c r="A858" s="298" t="s">
        <v>3150</v>
      </c>
      <c r="B858" s="298" t="s">
        <v>3151</v>
      </c>
      <c r="C858" s="298" t="s">
        <v>1587</v>
      </c>
      <c r="D858" s="298" t="s">
        <v>256</v>
      </c>
      <c r="E858" s="298"/>
      <c r="F858" s="298" t="s">
        <v>3152</v>
      </c>
      <c r="G858" s="299" t="b">
        <v>0</v>
      </c>
      <c r="H858" s="299" t="b">
        <v>0</v>
      </c>
      <c r="J858" s="113" t="str">
        <f t="shared" si="27"/>
        <v>947778666</v>
      </c>
      <c r="K858" s="113" t="str">
        <f t="shared" si="28"/>
        <v>CG00917</v>
      </c>
    </row>
    <row r="859" spans="1:11" x14ac:dyDescent="0.3">
      <c r="A859" s="298" t="s">
        <v>3153</v>
      </c>
      <c r="B859" s="298" t="s">
        <v>3154</v>
      </c>
      <c r="C859" s="298" t="s">
        <v>355</v>
      </c>
      <c r="D859" s="298" t="s">
        <v>256</v>
      </c>
      <c r="E859" s="298"/>
      <c r="F859" s="298" t="s">
        <v>3155</v>
      </c>
      <c r="G859" s="299" t="b">
        <v>0</v>
      </c>
      <c r="H859" s="299" t="b">
        <v>0</v>
      </c>
      <c r="J859" s="113" t="str">
        <f t="shared" si="27"/>
        <v>946883533</v>
      </c>
      <c r="K859" s="113" t="str">
        <f t="shared" si="28"/>
        <v>CG00918</v>
      </c>
    </row>
    <row r="860" spans="1:11" x14ac:dyDescent="0.3">
      <c r="A860" s="298" t="s">
        <v>3156</v>
      </c>
      <c r="B860" s="298" t="s">
        <v>3157</v>
      </c>
      <c r="C860" s="298" t="s">
        <v>3158</v>
      </c>
      <c r="D860" s="298" t="s">
        <v>256</v>
      </c>
      <c r="E860" s="298"/>
      <c r="F860" s="298" t="s">
        <v>3159</v>
      </c>
      <c r="G860" s="299" t="b">
        <v>0</v>
      </c>
      <c r="H860" s="299" t="b">
        <v>0</v>
      </c>
      <c r="J860" s="113" t="str">
        <f t="shared" si="27"/>
        <v>913350422</v>
      </c>
      <c r="K860" s="113" t="str">
        <f t="shared" si="28"/>
        <v>CG00919</v>
      </c>
    </row>
    <row r="861" spans="1:11" x14ac:dyDescent="0.3">
      <c r="A861" s="298" t="s">
        <v>3160</v>
      </c>
      <c r="B861" s="298" t="s">
        <v>3161</v>
      </c>
      <c r="C861" s="298" t="s">
        <v>2458</v>
      </c>
      <c r="D861" s="298" t="s">
        <v>256</v>
      </c>
      <c r="E861" s="298"/>
      <c r="F861" s="298" t="s">
        <v>3162</v>
      </c>
      <c r="G861" s="299" t="b">
        <v>0</v>
      </c>
      <c r="H861" s="299" t="b">
        <v>0</v>
      </c>
      <c r="J861" s="113" t="str">
        <f t="shared" si="27"/>
        <v>989661126</v>
      </c>
      <c r="K861" s="113" t="str">
        <f t="shared" si="28"/>
        <v>CG00920</v>
      </c>
    </row>
    <row r="862" spans="1:11" x14ac:dyDescent="0.3">
      <c r="A862" s="298" t="s">
        <v>3163</v>
      </c>
      <c r="B862" s="298" t="s">
        <v>3164</v>
      </c>
      <c r="C862" s="298" t="s">
        <v>2897</v>
      </c>
      <c r="D862" s="298" t="s">
        <v>256</v>
      </c>
      <c r="E862" s="298"/>
      <c r="F862" s="298" t="s">
        <v>3165</v>
      </c>
      <c r="G862" s="299" t="b">
        <v>0</v>
      </c>
      <c r="H862" s="299" t="b">
        <v>0</v>
      </c>
      <c r="J862" s="113" t="str">
        <f t="shared" si="27"/>
        <v>912880220</v>
      </c>
      <c r="K862" s="113" t="str">
        <f t="shared" si="28"/>
        <v>CG00921</v>
      </c>
    </row>
    <row r="863" spans="1:11" x14ac:dyDescent="0.3">
      <c r="A863" s="298" t="s">
        <v>3166</v>
      </c>
      <c r="B863" s="298" t="s">
        <v>3167</v>
      </c>
      <c r="C863" s="298" t="s">
        <v>1042</v>
      </c>
      <c r="D863" s="298" t="s">
        <v>256</v>
      </c>
      <c r="E863" s="298"/>
      <c r="F863" s="298" t="s">
        <v>3168</v>
      </c>
      <c r="G863" s="299" t="b">
        <v>0</v>
      </c>
      <c r="H863" s="299" t="b">
        <v>0</v>
      </c>
      <c r="J863" s="113" t="str">
        <f t="shared" si="27"/>
        <v>936656464</v>
      </c>
      <c r="K863" s="113" t="str">
        <f t="shared" si="28"/>
        <v>CG00923</v>
      </c>
    </row>
    <row r="864" spans="1:11" x14ac:dyDescent="0.3">
      <c r="A864" s="298" t="s">
        <v>3169</v>
      </c>
      <c r="B864" s="298" t="s">
        <v>3170</v>
      </c>
      <c r="C864" s="298" t="s">
        <v>355</v>
      </c>
      <c r="D864" s="298" t="s">
        <v>256</v>
      </c>
      <c r="E864" s="298"/>
      <c r="F864" s="298" t="s">
        <v>3171</v>
      </c>
      <c r="G864" s="299" t="b">
        <v>0</v>
      </c>
      <c r="H864" s="299" t="b">
        <v>0</v>
      </c>
      <c r="J864" s="113" t="str">
        <f t="shared" si="27"/>
        <v>943021470</v>
      </c>
      <c r="K864" s="113" t="str">
        <f t="shared" si="28"/>
        <v>CG00925</v>
      </c>
    </row>
    <row r="865" spans="1:11" x14ac:dyDescent="0.3">
      <c r="A865" s="298" t="s">
        <v>3172</v>
      </c>
      <c r="B865" s="298" t="s">
        <v>3173</v>
      </c>
      <c r="C865" s="298" t="s">
        <v>877</v>
      </c>
      <c r="D865" s="298" t="s">
        <v>256</v>
      </c>
      <c r="E865" s="298"/>
      <c r="F865" s="298" t="s">
        <v>3174</v>
      </c>
      <c r="G865" s="299" t="b">
        <v>0</v>
      </c>
      <c r="H865" s="299" t="b">
        <v>0</v>
      </c>
      <c r="J865" s="113" t="str">
        <f t="shared" si="27"/>
        <v>986197398</v>
      </c>
      <c r="K865" s="113" t="str">
        <f t="shared" si="28"/>
        <v>CG00926</v>
      </c>
    </row>
    <row r="866" spans="1:11" x14ac:dyDescent="0.3">
      <c r="A866" s="298" t="s">
        <v>3175</v>
      </c>
      <c r="B866" s="298" t="s">
        <v>3176</v>
      </c>
      <c r="C866" s="298" t="s">
        <v>335</v>
      </c>
      <c r="D866" s="298" t="s">
        <v>256</v>
      </c>
      <c r="E866" s="298"/>
      <c r="F866" s="298" t="s">
        <v>3177</v>
      </c>
      <c r="G866" s="299" t="b">
        <v>0</v>
      </c>
      <c r="H866" s="299" t="b">
        <v>0</v>
      </c>
      <c r="J866" s="113" t="str">
        <f t="shared" si="27"/>
        <v>915052243</v>
      </c>
      <c r="K866" s="113" t="str">
        <f t="shared" si="28"/>
        <v>CG00927</v>
      </c>
    </row>
    <row r="867" spans="1:11" x14ac:dyDescent="0.3">
      <c r="A867" s="298" t="s">
        <v>3178</v>
      </c>
      <c r="B867" s="298" t="s">
        <v>3179</v>
      </c>
      <c r="C867" s="298" t="s">
        <v>390</v>
      </c>
      <c r="D867" s="298" t="s">
        <v>256</v>
      </c>
      <c r="E867" s="298"/>
      <c r="F867" s="298" t="s">
        <v>3180</v>
      </c>
      <c r="G867" s="299" t="b">
        <v>0</v>
      </c>
      <c r="H867" s="299" t="b">
        <v>0</v>
      </c>
      <c r="J867" s="113" t="str">
        <f t="shared" si="27"/>
        <v>902014616</v>
      </c>
      <c r="K867" s="113" t="str">
        <f t="shared" si="28"/>
        <v>CG00928</v>
      </c>
    </row>
    <row r="868" spans="1:11" x14ac:dyDescent="0.3">
      <c r="A868" s="298" t="s">
        <v>3181</v>
      </c>
      <c r="B868" s="298" t="s">
        <v>3182</v>
      </c>
      <c r="C868" s="298" t="s">
        <v>718</v>
      </c>
      <c r="D868" s="298" t="s">
        <v>256</v>
      </c>
      <c r="E868" s="298"/>
      <c r="F868" s="298" t="s">
        <v>3183</v>
      </c>
      <c r="G868" s="299" t="b">
        <v>0</v>
      </c>
      <c r="H868" s="299" t="b">
        <v>0</v>
      </c>
      <c r="J868" s="113" t="str">
        <f t="shared" si="27"/>
        <v>982284012</v>
      </c>
      <c r="K868" s="113" t="str">
        <f t="shared" si="28"/>
        <v>CG00929</v>
      </c>
    </row>
    <row r="869" spans="1:11" x14ac:dyDescent="0.3">
      <c r="A869" s="298" t="s">
        <v>3184</v>
      </c>
      <c r="B869" s="298" t="s">
        <v>3185</v>
      </c>
      <c r="C869" s="298" t="s">
        <v>1135</v>
      </c>
      <c r="D869" s="298" t="s">
        <v>256</v>
      </c>
      <c r="E869" s="298"/>
      <c r="F869" s="298" t="s">
        <v>3186</v>
      </c>
      <c r="G869" s="299" t="b">
        <v>0</v>
      </c>
      <c r="H869" s="299" t="b">
        <v>0</v>
      </c>
      <c r="J869" s="113" t="str">
        <f t="shared" si="27"/>
        <v>912330389</v>
      </c>
      <c r="K869" s="113" t="str">
        <f t="shared" si="28"/>
        <v>CG00931</v>
      </c>
    </row>
    <row r="870" spans="1:11" x14ac:dyDescent="0.3">
      <c r="A870" s="298" t="s">
        <v>3187</v>
      </c>
      <c r="B870" s="298" t="s">
        <v>3188</v>
      </c>
      <c r="C870" s="298" t="s">
        <v>274</v>
      </c>
      <c r="D870" s="298" t="s">
        <v>256</v>
      </c>
      <c r="E870" s="298"/>
      <c r="F870" s="298" t="s">
        <v>3189</v>
      </c>
      <c r="G870" s="299" t="b">
        <v>0</v>
      </c>
      <c r="H870" s="299" t="b">
        <v>0</v>
      </c>
      <c r="J870" s="113" t="str">
        <f t="shared" si="27"/>
        <v>915946969</v>
      </c>
      <c r="K870" s="113" t="str">
        <f t="shared" si="28"/>
        <v>CG00932</v>
      </c>
    </row>
    <row r="871" spans="1:11" x14ac:dyDescent="0.3">
      <c r="A871" s="298" t="s">
        <v>3190</v>
      </c>
      <c r="B871" s="298" t="s">
        <v>3191</v>
      </c>
      <c r="C871" s="298" t="s">
        <v>340</v>
      </c>
      <c r="D871" s="298" t="s">
        <v>256</v>
      </c>
      <c r="E871" s="298"/>
      <c r="F871" s="298" t="s">
        <v>3192</v>
      </c>
      <c r="G871" s="299" t="b">
        <v>0</v>
      </c>
      <c r="H871" s="299" t="b">
        <v>0</v>
      </c>
      <c r="J871" s="113" t="str">
        <f t="shared" si="27"/>
        <v>913084297</v>
      </c>
      <c r="K871" s="113" t="str">
        <f t="shared" si="28"/>
        <v>CG00933</v>
      </c>
    </row>
    <row r="872" spans="1:11" x14ac:dyDescent="0.3">
      <c r="A872" s="298" t="s">
        <v>3193</v>
      </c>
      <c r="B872" s="298" t="s">
        <v>3194</v>
      </c>
      <c r="C872" s="298" t="s">
        <v>1029</v>
      </c>
      <c r="D872" s="298" t="s">
        <v>256</v>
      </c>
      <c r="E872" s="298"/>
      <c r="F872" s="298" t="s">
        <v>3195</v>
      </c>
      <c r="G872" s="299" t="b">
        <v>0</v>
      </c>
      <c r="H872" s="299" t="b">
        <v>0</v>
      </c>
      <c r="J872" s="113" t="str">
        <f t="shared" si="27"/>
        <v>976169888</v>
      </c>
      <c r="K872" s="113" t="str">
        <f t="shared" si="28"/>
        <v>CG00934</v>
      </c>
    </row>
    <row r="873" spans="1:11" x14ac:dyDescent="0.3">
      <c r="A873" s="298" t="s">
        <v>3196</v>
      </c>
      <c r="B873" s="298" t="s">
        <v>3197</v>
      </c>
      <c r="C873" s="298" t="s">
        <v>231</v>
      </c>
      <c r="D873" s="298" t="s">
        <v>256</v>
      </c>
      <c r="E873" s="298"/>
      <c r="F873" s="298" t="s">
        <v>3198</v>
      </c>
      <c r="G873" s="299" t="b">
        <v>0</v>
      </c>
      <c r="H873" s="299" t="b">
        <v>0</v>
      </c>
      <c r="J873" s="113" t="str">
        <f t="shared" si="27"/>
        <v>914572778</v>
      </c>
      <c r="K873" s="113" t="str">
        <f t="shared" si="28"/>
        <v>CG00936</v>
      </c>
    </row>
    <row r="874" spans="1:11" x14ac:dyDescent="0.3">
      <c r="A874" s="298" t="s">
        <v>3199</v>
      </c>
      <c r="B874" s="298" t="s">
        <v>3200</v>
      </c>
      <c r="C874" s="298" t="s">
        <v>363</v>
      </c>
      <c r="D874" s="298" t="s">
        <v>256</v>
      </c>
      <c r="E874" s="298"/>
      <c r="F874" s="298" t="s">
        <v>3201</v>
      </c>
      <c r="G874" s="299" t="b">
        <v>0</v>
      </c>
      <c r="H874" s="299" t="b">
        <v>0</v>
      </c>
      <c r="J874" s="113" t="str">
        <f t="shared" si="27"/>
        <v>942995996</v>
      </c>
      <c r="K874" s="113" t="str">
        <f t="shared" si="28"/>
        <v>CG00937</v>
      </c>
    </row>
    <row r="875" spans="1:11" x14ac:dyDescent="0.3">
      <c r="A875" s="298" t="s">
        <v>3202</v>
      </c>
      <c r="B875" s="298" t="s">
        <v>3203</v>
      </c>
      <c r="C875" s="298" t="s">
        <v>2412</v>
      </c>
      <c r="D875" s="298" t="s">
        <v>256</v>
      </c>
      <c r="E875" s="298"/>
      <c r="F875" s="298" t="s">
        <v>3204</v>
      </c>
      <c r="G875" s="299" t="b">
        <v>0</v>
      </c>
      <c r="H875" s="299" t="b">
        <v>0</v>
      </c>
      <c r="J875" s="113" t="str">
        <f t="shared" si="27"/>
        <v>916203158</v>
      </c>
      <c r="K875" s="113" t="str">
        <f t="shared" si="28"/>
        <v>CG00938</v>
      </c>
    </row>
    <row r="876" spans="1:11" x14ac:dyDescent="0.3">
      <c r="A876" s="298" t="s">
        <v>3205</v>
      </c>
      <c r="B876" s="298" t="s">
        <v>3206</v>
      </c>
      <c r="C876" s="298" t="s">
        <v>3207</v>
      </c>
      <c r="D876" s="298" t="s">
        <v>256</v>
      </c>
      <c r="E876" s="298"/>
      <c r="F876" s="298" t="s">
        <v>3208</v>
      </c>
      <c r="G876" s="299" t="b">
        <v>0</v>
      </c>
      <c r="H876" s="299" t="b">
        <v>0</v>
      </c>
      <c r="J876" s="113" t="str">
        <f t="shared" si="27"/>
        <v>913346712</v>
      </c>
      <c r="K876" s="113" t="str">
        <f t="shared" si="28"/>
        <v>CG00939</v>
      </c>
    </row>
    <row r="877" spans="1:11" x14ac:dyDescent="0.3">
      <c r="A877" s="298" t="s">
        <v>3209</v>
      </c>
      <c r="B877" s="298" t="s">
        <v>3210</v>
      </c>
      <c r="C877" s="298" t="s">
        <v>565</v>
      </c>
      <c r="D877" s="298" t="s">
        <v>256</v>
      </c>
      <c r="E877" s="298"/>
      <c r="F877" s="298" t="s">
        <v>3211</v>
      </c>
      <c r="G877" s="299" t="b">
        <v>0</v>
      </c>
      <c r="H877" s="299" t="b">
        <v>0</v>
      </c>
      <c r="J877" s="113" t="str">
        <f t="shared" si="27"/>
        <v>912331788</v>
      </c>
      <c r="K877" s="113" t="str">
        <f t="shared" si="28"/>
        <v>CG00940</v>
      </c>
    </row>
    <row r="878" spans="1:11" x14ac:dyDescent="0.3">
      <c r="A878" s="298" t="s">
        <v>3212</v>
      </c>
      <c r="B878" s="298" t="s">
        <v>3213</v>
      </c>
      <c r="C878" s="298" t="s">
        <v>3214</v>
      </c>
      <c r="D878" s="298" t="s">
        <v>256</v>
      </c>
      <c r="E878" s="298"/>
      <c r="F878" s="298" t="s">
        <v>3215</v>
      </c>
      <c r="G878" s="299" t="b">
        <v>0</v>
      </c>
      <c r="H878" s="299" t="b">
        <v>0</v>
      </c>
      <c r="J878" s="113" t="str">
        <f t="shared" si="27"/>
        <v>985552222</v>
      </c>
      <c r="K878" s="113" t="str">
        <f t="shared" si="28"/>
        <v>CG00941</v>
      </c>
    </row>
    <row r="879" spans="1:11" x14ac:dyDescent="0.3">
      <c r="A879" s="298" t="s">
        <v>3216</v>
      </c>
      <c r="B879" s="298" t="s">
        <v>3217</v>
      </c>
      <c r="C879" s="298" t="s">
        <v>231</v>
      </c>
      <c r="D879" s="298" t="s">
        <v>256</v>
      </c>
      <c r="E879" s="298"/>
      <c r="F879" s="298" t="s">
        <v>3218</v>
      </c>
      <c r="G879" s="299" t="b">
        <v>0</v>
      </c>
      <c r="H879" s="299" t="b">
        <v>0</v>
      </c>
      <c r="J879" s="113" t="str">
        <f t="shared" si="27"/>
        <v>915040215</v>
      </c>
      <c r="K879" s="113" t="str">
        <f t="shared" si="28"/>
        <v>CG00942</v>
      </c>
    </row>
    <row r="880" spans="1:11" x14ac:dyDescent="0.3">
      <c r="A880" s="298" t="s">
        <v>3219</v>
      </c>
      <c r="B880" s="298" t="s">
        <v>3220</v>
      </c>
      <c r="C880" s="298" t="s">
        <v>375</v>
      </c>
      <c r="D880" s="298" t="s">
        <v>256</v>
      </c>
      <c r="E880" s="298"/>
      <c r="F880" s="298" t="s">
        <v>3221</v>
      </c>
      <c r="G880" s="299" t="b">
        <v>0</v>
      </c>
      <c r="H880" s="299" t="b">
        <v>0</v>
      </c>
      <c r="J880" s="113" t="str">
        <f t="shared" si="27"/>
        <v>382392451</v>
      </c>
      <c r="K880" s="113" t="str">
        <f t="shared" si="28"/>
        <v>CG00943</v>
      </c>
    </row>
    <row r="881" spans="1:11" x14ac:dyDescent="0.3">
      <c r="A881" s="298" t="s">
        <v>3222</v>
      </c>
      <c r="B881" s="298" t="s">
        <v>3223</v>
      </c>
      <c r="C881" s="298" t="s">
        <v>1335</v>
      </c>
      <c r="D881" s="298" t="s">
        <v>256</v>
      </c>
      <c r="E881" s="298"/>
      <c r="F881" s="298" t="s">
        <v>3224</v>
      </c>
      <c r="G881" s="299" t="b">
        <v>0</v>
      </c>
      <c r="H881" s="299" t="b">
        <v>0</v>
      </c>
      <c r="J881" s="113" t="str">
        <f t="shared" si="27"/>
        <v>988767789</v>
      </c>
      <c r="K881" s="113" t="str">
        <f t="shared" si="28"/>
        <v>CG00944</v>
      </c>
    </row>
    <row r="882" spans="1:11" x14ac:dyDescent="0.3">
      <c r="A882" s="298" t="s">
        <v>3225</v>
      </c>
      <c r="B882" s="298" t="s">
        <v>3226</v>
      </c>
      <c r="C882" s="298" t="s">
        <v>1776</v>
      </c>
      <c r="D882" s="298" t="s">
        <v>256</v>
      </c>
      <c r="E882" s="298"/>
      <c r="F882" s="298" t="s">
        <v>3227</v>
      </c>
      <c r="G882" s="299" t="b">
        <v>0</v>
      </c>
      <c r="H882" s="299" t="b">
        <v>0</v>
      </c>
      <c r="J882" s="113" t="str">
        <f t="shared" si="27"/>
        <v>904380225</v>
      </c>
      <c r="K882" s="113" t="str">
        <f t="shared" si="28"/>
        <v>CG00945</v>
      </c>
    </row>
    <row r="883" spans="1:11" x14ac:dyDescent="0.3">
      <c r="A883" s="298" t="s">
        <v>3228</v>
      </c>
      <c r="B883" s="298" t="s">
        <v>3229</v>
      </c>
      <c r="C883" s="298" t="s">
        <v>3230</v>
      </c>
      <c r="D883" s="298" t="s">
        <v>256</v>
      </c>
      <c r="E883" s="298"/>
      <c r="F883" s="298" t="s">
        <v>3231</v>
      </c>
      <c r="G883" s="299" t="b">
        <v>0</v>
      </c>
      <c r="H883" s="299" t="b">
        <v>0</v>
      </c>
      <c r="J883" s="113" t="str">
        <f t="shared" si="27"/>
        <v>971990043</v>
      </c>
      <c r="K883" s="113" t="str">
        <f t="shared" si="28"/>
        <v>CG00946</v>
      </c>
    </row>
    <row r="884" spans="1:11" x14ac:dyDescent="0.3">
      <c r="A884" s="298" t="s">
        <v>3232</v>
      </c>
      <c r="B884" s="298" t="s">
        <v>3233</v>
      </c>
      <c r="C884" s="298" t="s">
        <v>3214</v>
      </c>
      <c r="D884" s="298" t="s">
        <v>256</v>
      </c>
      <c r="E884" s="298"/>
      <c r="F884" s="298" t="s">
        <v>3234</v>
      </c>
      <c r="G884" s="299" t="b">
        <v>0</v>
      </c>
      <c r="H884" s="299" t="b">
        <v>0</v>
      </c>
      <c r="J884" s="113" t="str">
        <f t="shared" si="27"/>
        <v>973962222</v>
      </c>
      <c r="K884" s="113" t="str">
        <f t="shared" si="28"/>
        <v>CG00947</v>
      </c>
    </row>
    <row r="885" spans="1:11" x14ac:dyDescent="0.3">
      <c r="A885" s="298" t="s">
        <v>3235</v>
      </c>
      <c r="B885" s="298" t="s">
        <v>3236</v>
      </c>
      <c r="C885" s="298" t="s">
        <v>2763</v>
      </c>
      <c r="D885" s="298" t="s">
        <v>256</v>
      </c>
      <c r="E885" s="298"/>
      <c r="F885" s="298" t="s">
        <v>3237</v>
      </c>
      <c r="G885" s="299" t="b">
        <v>0</v>
      </c>
      <c r="H885" s="299" t="b">
        <v>0</v>
      </c>
      <c r="J885" s="113" t="str">
        <f t="shared" si="27"/>
        <v>913311266</v>
      </c>
      <c r="K885" s="113" t="str">
        <f t="shared" si="28"/>
        <v>CG00948</v>
      </c>
    </row>
    <row r="886" spans="1:11" x14ac:dyDescent="0.3">
      <c r="A886" s="298" t="s">
        <v>3238</v>
      </c>
      <c r="B886" s="298" t="s">
        <v>13298</v>
      </c>
      <c r="C886" s="298" t="s">
        <v>8097</v>
      </c>
      <c r="D886" s="298" t="s">
        <v>256</v>
      </c>
      <c r="E886" s="298"/>
      <c r="F886" s="298" t="s">
        <v>3239</v>
      </c>
      <c r="G886" s="299" t="b">
        <v>0</v>
      </c>
      <c r="H886" s="299" t="b">
        <v>0</v>
      </c>
      <c r="J886" s="113" t="str">
        <f t="shared" si="27"/>
        <v>987445379</v>
      </c>
      <c r="K886" s="113" t="str">
        <f t="shared" si="28"/>
        <v>CG00949</v>
      </c>
    </row>
    <row r="887" spans="1:11" x14ac:dyDescent="0.3">
      <c r="A887" s="298" t="s">
        <v>3240</v>
      </c>
      <c r="B887" s="298" t="s">
        <v>3241</v>
      </c>
      <c r="C887" s="298" t="s">
        <v>463</v>
      </c>
      <c r="D887" s="298" t="s">
        <v>256</v>
      </c>
      <c r="E887" s="298"/>
      <c r="F887" s="298" t="s">
        <v>3242</v>
      </c>
      <c r="G887" s="299" t="b">
        <v>0</v>
      </c>
      <c r="H887" s="299" t="b">
        <v>0</v>
      </c>
      <c r="J887" s="113" t="str">
        <f t="shared" si="27"/>
        <v>982577997</v>
      </c>
      <c r="K887" s="113" t="str">
        <f t="shared" si="28"/>
        <v>CG00950</v>
      </c>
    </row>
    <row r="888" spans="1:11" x14ac:dyDescent="0.3">
      <c r="A888" s="298" t="s">
        <v>3243</v>
      </c>
      <c r="B888" s="298" t="s">
        <v>3244</v>
      </c>
      <c r="C888" s="298" t="s">
        <v>593</v>
      </c>
      <c r="D888" s="298" t="s">
        <v>256</v>
      </c>
      <c r="E888" s="298"/>
      <c r="F888" s="298" t="s">
        <v>3245</v>
      </c>
      <c r="G888" s="299" t="b">
        <v>0</v>
      </c>
      <c r="H888" s="299" t="b">
        <v>0</v>
      </c>
      <c r="J888" s="113" t="str">
        <f t="shared" si="27"/>
        <v>384498962</v>
      </c>
      <c r="K888" s="113" t="str">
        <f t="shared" si="28"/>
        <v>CG00951</v>
      </c>
    </row>
    <row r="889" spans="1:11" x14ac:dyDescent="0.3">
      <c r="A889" s="298" t="s">
        <v>3246</v>
      </c>
      <c r="B889" s="298" t="s">
        <v>3247</v>
      </c>
      <c r="C889" s="298" t="s">
        <v>809</v>
      </c>
      <c r="D889" s="298" t="s">
        <v>256</v>
      </c>
      <c r="E889" s="298"/>
      <c r="F889" s="298" t="s">
        <v>2724</v>
      </c>
      <c r="G889" s="299" t="b">
        <v>0</v>
      </c>
      <c r="H889" s="299" t="b">
        <v>0</v>
      </c>
      <c r="J889" s="113" t="str">
        <f t="shared" si="27"/>
        <v>397636928</v>
      </c>
      <c r="K889" s="113" t="str">
        <f t="shared" si="28"/>
        <v>CG00952</v>
      </c>
    </row>
    <row r="890" spans="1:11" x14ac:dyDescent="0.3">
      <c r="A890" s="298" t="s">
        <v>3248</v>
      </c>
      <c r="B890" s="298" t="s">
        <v>3249</v>
      </c>
      <c r="C890" s="298" t="s">
        <v>305</v>
      </c>
      <c r="D890" s="298" t="s">
        <v>256</v>
      </c>
      <c r="E890" s="298"/>
      <c r="F890" s="298" t="s">
        <v>3250</v>
      </c>
      <c r="G890" s="299" t="b">
        <v>0</v>
      </c>
      <c r="H890" s="299" t="b">
        <v>0</v>
      </c>
      <c r="J890" s="113" t="str">
        <f t="shared" si="27"/>
        <v>985663456</v>
      </c>
      <c r="K890" s="113" t="str">
        <f t="shared" si="28"/>
        <v>CG00953</v>
      </c>
    </row>
    <row r="891" spans="1:11" x14ac:dyDescent="0.3">
      <c r="A891" s="298" t="s">
        <v>3251</v>
      </c>
      <c r="B891" s="298" t="s">
        <v>3252</v>
      </c>
      <c r="C891" s="298" t="s">
        <v>3253</v>
      </c>
      <c r="D891" s="298" t="s">
        <v>256</v>
      </c>
      <c r="E891" s="298"/>
      <c r="F891" s="298" t="s">
        <v>3254</v>
      </c>
      <c r="G891" s="299" t="b">
        <v>0</v>
      </c>
      <c r="H891" s="299" t="b">
        <v>0</v>
      </c>
      <c r="J891" s="113" t="str">
        <f t="shared" si="27"/>
        <v>979492949</v>
      </c>
      <c r="K891" s="113" t="str">
        <f t="shared" si="28"/>
        <v>CG00954</v>
      </c>
    </row>
    <row r="892" spans="1:11" x14ac:dyDescent="0.3">
      <c r="A892" s="298" t="s">
        <v>3255</v>
      </c>
      <c r="B892" s="298" t="s">
        <v>3256</v>
      </c>
      <c r="C892" s="298" t="s">
        <v>3257</v>
      </c>
      <c r="D892" s="298" t="s">
        <v>256</v>
      </c>
      <c r="E892" s="298"/>
      <c r="F892" s="298" t="s">
        <v>3258</v>
      </c>
      <c r="G892" s="299" t="b">
        <v>0</v>
      </c>
      <c r="H892" s="299" t="b">
        <v>0</v>
      </c>
      <c r="J892" s="113" t="str">
        <f t="shared" si="27"/>
        <v>982622016</v>
      </c>
      <c r="K892" s="113" t="str">
        <f t="shared" si="28"/>
        <v>CG00955</v>
      </c>
    </row>
    <row r="893" spans="1:11" x14ac:dyDescent="0.3">
      <c r="A893" s="298" t="s">
        <v>3259</v>
      </c>
      <c r="B893" s="298" t="s">
        <v>3260</v>
      </c>
      <c r="C893" s="298" t="s">
        <v>317</v>
      </c>
      <c r="D893" s="298" t="s">
        <v>256</v>
      </c>
      <c r="E893" s="298"/>
      <c r="F893" s="298" t="s">
        <v>3261</v>
      </c>
      <c r="G893" s="299" t="b">
        <v>0</v>
      </c>
      <c r="H893" s="299" t="b">
        <v>0</v>
      </c>
      <c r="J893" s="113" t="str">
        <f t="shared" si="27"/>
        <v>987539562</v>
      </c>
      <c r="K893" s="113" t="str">
        <f t="shared" si="28"/>
        <v>CG00956</v>
      </c>
    </row>
    <row r="894" spans="1:11" x14ac:dyDescent="0.3">
      <c r="A894" s="298" t="s">
        <v>3262</v>
      </c>
      <c r="B894" s="298" t="s">
        <v>3263</v>
      </c>
      <c r="C894" s="298" t="s">
        <v>2170</v>
      </c>
      <c r="D894" s="298" t="s">
        <v>256</v>
      </c>
      <c r="E894" s="298"/>
      <c r="F894" s="298" t="s">
        <v>3264</v>
      </c>
      <c r="G894" s="299" t="b">
        <v>0</v>
      </c>
      <c r="H894" s="299" t="b">
        <v>0</v>
      </c>
      <c r="J894" s="113" t="str">
        <f t="shared" si="27"/>
        <v>973275473</v>
      </c>
      <c r="K894" s="113" t="str">
        <f t="shared" si="28"/>
        <v>CG00957</v>
      </c>
    </row>
    <row r="895" spans="1:11" x14ac:dyDescent="0.3">
      <c r="A895" s="298" t="s">
        <v>3265</v>
      </c>
      <c r="B895" s="298" t="s">
        <v>3266</v>
      </c>
      <c r="C895" s="298" t="s">
        <v>809</v>
      </c>
      <c r="D895" s="298" t="s">
        <v>256</v>
      </c>
      <c r="E895" s="298"/>
      <c r="F895" s="298" t="s">
        <v>3267</v>
      </c>
      <c r="G895" s="299" t="b">
        <v>0</v>
      </c>
      <c r="H895" s="299" t="b">
        <v>0</v>
      </c>
      <c r="J895" s="113" t="str">
        <f t="shared" si="27"/>
        <v>976294706</v>
      </c>
      <c r="K895" s="113" t="str">
        <f t="shared" si="28"/>
        <v>CG00958</v>
      </c>
    </row>
    <row r="896" spans="1:11" x14ac:dyDescent="0.3">
      <c r="A896" s="298" t="s">
        <v>3268</v>
      </c>
      <c r="B896" s="298" t="s">
        <v>13299</v>
      </c>
      <c r="C896" s="298" t="s">
        <v>1508</v>
      </c>
      <c r="D896" s="298" t="s">
        <v>256</v>
      </c>
      <c r="E896" s="298"/>
      <c r="F896" s="298" t="s">
        <v>3269</v>
      </c>
      <c r="G896" s="299" t="b">
        <v>0</v>
      </c>
      <c r="H896" s="299" t="b">
        <v>0</v>
      </c>
      <c r="J896" s="113" t="str">
        <f t="shared" si="27"/>
        <v>963188831</v>
      </c>
      <c r="K896" s="113" t="str">
        <f t="shared" si="28"/>
        <v>CG00959</v>
      </c>
    </row>
    <row r="897" spans="1:11" x14ac:dyDescent="0.3">
      <c r="A897" s="298" t="s">
        <v>3270</v>
      </c>
      <c r="B897" s="298" t="s">
        <v>3271</v>
      </c>
      <c r="C897" s="298" t="s">
        <v>2170</v>
      </c>
      <c r="D897" s="298" t="s">
        <v>256</v>
      </c>
      <c r="E897" s="298"/>
      <c r="F897" s="298" t="s">
        <v>3272</v>
      </c>
      <c r="G897" s="299" t="b">
        <v>0</v>
      </c>
      <c r="H897" s="299" t="b">
        <v>0</v>
      </c>
      <c r="J897" s="113" t="str">
        <f t="shared" si="27"/>
        <v>915899894</v>
      </c>
      <c r="K897" s="113" t="str">
        <f t="shared" si="28"/>
        <v>CG00960</v>
      </c>
    </row>
    <row r="898" spans="1:11" x14ac:dyDescent="0.3">
      <c r="A898" s="298" t="s">
        <v>3273</v>
      </c>
      <c r="B898" s="298" t="s">
        <v>3274</v>
      </c>
      <c r="C898" s="298" t="s">
        <v>355</v>
      </c>
      <c r="D898" s="298" t="s">
        <v>256</v>
      </c>
      <c r="E898" s="298"/>
      <c r="F898" s="298" t="s">
        <v>3275</v>
      </c>
      <c r="G898" s="299" t="b">
        <v>0</v>
      </c>
      <c r="H898" s="299" t="b">
        <v>0</v>
      </c>
      <c r="J898" s="113" t="str">
        <f t="shared" si="27"/>
        <v>912456193</v>
      </c>
      <c r="K898" s="113" t="str">
        <f t="shared" si="28"/>
        <v>CG00961</v>
      </c>
    </row>
    <row r="899" spans="1:11" x14ac:dyDescent="0.3">
      <c r="A899" s="298" t="s">
        <v>3276</v>
      </c>
      <c r="B899" s="298" t="s">
        <v>3277</v>
      </c>
      <c r="C899" s="298" t="s">
        <v>2170</v>
      </c>
      <c r="D899" s="298" t="s">
        <v>256</v>
      </c>
      <c r="E899" s="298"/>
      <c r="F899" s="298" t="s">
        <v>3278</v>
      </c>
      <c r="G899" s="299" t="b">
        <v>0</v>
      </c>
      <c r="H899" s="299" t="b">
        <v>0</v>
      </c>
      <c r="J899" s="113" t="str">
        <f t="shared" si="27"/>
        <v>965637966</v>
      </c>
      <c r="K899" s="113" t="str">
        <f t="shared" si="28"/>
        <v>CG00962</v>
      </c>
    </row>
    <row r="900" spans="1:11" x14ac:dyDescent="0.3">
      <c r="A900" s="298" t="s">
        <v>3279</v>
      </c>
      <c r="B900" s="298" t="s">
        <v>3280</v>
      </c>
      <c r="C900" s="298" t="s">
        <v>3281</v>
      </c>
      <c r="D900" s="298" t="s">
        <v>256</v>
      </c>
      <c r="E900" s="298"/>
      <c r="F900" s="298" t="s">
        <v>3282</v>
      </c>
      <c r="G900" s="299" t="b">
        <v>0</v>
      </c>
      <c r="H900" s="299" t="b">
        <v>0</v>
      </c>
      <c r="J900" s="113" t="str">
        <f t="shared" si="27"/>
        <v>973034055</v>
      </c>
      <c r="K900" s="113" t="str">
        <f t="shared" si="28"/>
        <v>CG00963</v>
      </c>
    </row>
    <row r="901" spans="1:11" x14ac:dyDescent="0.3">
      <c r="A901" s="298" t="s">
        <v>3283</v>
      </c>
      <c r="B901" s="298" t="s">
        <v>3284</v>
      </c>
      <c r="C901" s="298" t="s">
        <v>3285</v>
      </c>
      <c r="D901" s="298" t="s">
        <v>256</v>
      </c>
      <c r="E901" s="298"/>
      <c r="F901" s="298" t="s">
        <v>3286</v>
      </c>
      <c r="G901" s="299" t="b">
        <v>0</v>
      </c>
      <c r="H901" s="299" t="b">
        <v>0</v>
      </c>
      <c r="J901" s="113" t="str">
        <f t="shared" ref="J901:J964" si="29">RIGHT(B901,9)</f>
        <v>906140267</v>
      </c>
      <c r="K901" s="113" t="str">
        <f t="shared" ref="K901:K964" si="30">A901</f>
        <v>CG00964</v>
      </c>
    </row>
    <row r="902" spans="1:11" x14ac:dyDescent="0.3">
      <c r="A902" s="298" t="s">
        <v>3287</v>
      </c>
      <c r="B902" s="298" t="s">
        <v>3288</v>
      </c>
      <c r="C902" s="298" t="s">
        <v>809</v>
      </c>
      <c r="D902" s="298" t="s">
        <v>256</v>
      </c>
      <c r="E902" s="298"/>
      <c r="F902" s="298" t="s">
        <v>3289</v>
      </c>
      <c r="G902" s="299" t="b">
        <v>0</v>
      </c>
      <c r="H902" s="299" t="b">
        <v>0</v>
      </c>
      <c r="J902" s="113" t="str">
        <f t="shared" si="29"/>
        <v>915236369</v>
      </c>
      <c r="K902" s="113" t="str">
        <f t="shared" si="30"/>
        <v>CG00965</v>
      </c>
    </row>
    <row r="903" spans="1:11" x14ac:dyDescent="0.3">
      <c r="A903" s="298" t="s">
        <v>3290</v>
      </c>
      <c r="B903" s="298" t="s">
        <v>3291</v>
      </c>
      <c r="C903" s="298" t="s">
        <v>718</v>
      </c>
      <c r="D903" s="298" t="s">
        <v>256</v>
      </c>
      <c r="E903" s="298"/>
      <c r="F903" s="298" t="s">
        <v>3292</v>
      </c>
      <c r="G903" s="299" t="b">
        <v>0</v>
      </c>
      <c r="H903" s="299" t="b">
        <v>0</v>
      </c>
      <c r="J903" s="113" t="str">
        <f t="shared" si="29"/>
        <v>904518318</v>
      </c>
      <c r="K903" s="113" t="str">
        <f t="shared" si="30"/>
        <v>CG00967</v>
      </c>
    </row>
    <row r="904" spans="1:11" x14ac:dyDescent="0.3">
      <c r="A904" s="298" t="s">
        <v>3293</v>
      </c>
      <c r="B904" s="298" t="s">
        <v>3294</v>
      </c>
      <c r="C904" s="298" t="s">
        <v>541</v>
      </c>
      <c r="D904" s="298" t="s">
        <v>256</v>
      </c>
      <c r="E904" s="298"/>
      <c r="F904" s="298" t="s">
        <v>3295</v>
      </c>
      <c r="G904" s="299" t="b">
        <v>0</v>
      </c>
      <c r="H904" s="299" t="b">
        <v>0</v>
      </c>
      <c r="J904" s="113" t="str">
        <f t="shared" si="29"/>
        <v>965831986</v>
      </c>
      <c r="K904" s="113" t="str">
        <f t="shared" si="30"/>
        <v>CG00968</v>
      </c>
    </row>
    <row r="905" spans="1:11" x14ac:dyDescent="0.3">
      <c r="A905" s="298" t="s">
        <v>3296</v>
      </c>
      <c r="B905" s="298" t="s">
        <v>3297</v>
      </c>
      <c r="C905" s="298" t="s">
        <v>3001</v>
      </c>
      <c r="D905" s="298" t="s">
        <v>256</v>
      </c>
      <c r="E905" s="298"/>
      <c r="F905" s="298" t="s">
        <v>3298</v>
      </c>
      <c r="G905" s="299" t="b">
        <v>0</v>
      </c>
      <c r="H905" s="299" t="b">
        <v>0</v>
      </c>
      <c r="J905" s="113" t="str">
        <f t="shared" si="29"/>
        <v>979636688</v>
      </c>
      <c r="K905" s="113" t="str">
        <f t="shared" si="30"/>
        <v>CG00969</v>
      </c>
    </row>
    <row r="906" spans="1:11" x14ac:dyDescent="0.3">
      <c r="A906" s="298" t="s">
        <v>3299</v>
      </c>
      <c r="B906" s="298" t="s">
        <v>3300</v>
      </c>
      <c r="C906" s="298" t="s">
        <v>621</v>
      </c>
      <c r="D906" s="298" t="s">
        <v>256</v>
      </c>
      <c r="E906" s="298"/>
      <c r="F906" s="298" t="s">
        <v>3301</v>
      </c>
      <c r="G906" s="299" t="b">
        <v>0</v>
      </c>
      <c r="H906" s="299" t="b">
        <v>0</v>
      </c>
      <c r="J906" s="113" t="str">
        <f t="shared" si="29"/>
        <v>984163406</v>
      </c>
      <c r="K906" s="113" t="str">
        <f t="shared" si="30"/>
        <v>CG00970</v>
      </c>
    </row>
    <row r="907" spans="1:11" x14ac:dyDescent="0.3">
      <c r="A907" s="298" t="s">
        <v>3302</v>
      </c>
      <c r="B907" s="298" t="s">
        <v>3303</v>
      </c>
      <c r="C907" s="298" t="s">
        <v>1508</v>
      </c>
      <c r="D907" s="298" t="s">
        <v>256</v>
      </c>
      <c r="E907" s="298"/>
      <c r="F907" s="298" t="s">
        <v>3304</v>
      </c>
      <c r="G907" s="299" t="b">
        <v>0</v>
      </c>
      <c r="H907" s="299" t="b">
        <v>0</v>
      </c>
      <c r="J907" s="113" t="str">
        <f t="shared" si="29"/>
        <v>989888626</v>
      </c>
      <c r="K907" s="113" t="str">
        <f t="shared" si="30"/>
        <v>CG00971</v>
      </c>
    </row>
    <row r="908" spans="1:11" x14ac:dyDescent="0.3">
      <c r="A908" s="298" t="s">
        <v>3305</v>
      </c>
      <c r="B908" s="298" t="s">
        <v>3306</v>
      </c>
      <c r="C908" s="298" t="s">
        <v>1059</v>
      </c>
      <c r="D908" s="298" t="s">
        <v>256</v>
      </c>
      <c r="E908" s="298"/>
      <c r="F908" s="298" t="s">
        <v>3307</v>
      </c>
      <c r="G908" s="299" t="b">
        <v>0</v>
      </c>
      <c r="H908" s="299" t="b">
        <v>0</v>
      </c>
      <c r="J908" s="113" t="str">
        <f t="shared" si="29"/>
        <v>904513055</v>
      </c>
      <c r="K908" s="113" t="str">
        <f t="shared" si="30"/>
        <v>CG00972</v>
      </c>
    </row>
    <row r="909" spans="1:11" x14ac:dyDescent="0.3">
      <c r="A909" s="298" t="s">
        <v>3308</v>
      </c>
      <c r="B909" s="298" t="s">
        <v>3309</v>
      </c>
      <c r="C909" s="298" t="s">
        <v>286</v>
      </c>
      <c r="D909" s="298" t="s">
        <v>256</v>
      </c>
      <c r="E909" s="298"/>
      <c r="F909" s="298" t="s">
        <v>3310</v>
      </c>
      <c r="G909" s="299" t="b">
        <v>0</v>
      </c>
      <c r="H909" s="299" t="b">
        <v>0</v>
      </c>
      <c r="J909" s="113" t="str">
        <f t="shared" si="29"/>
        <v>987725648</v>
      </c>
      <c r="K909" s="113" t="str">
        <f t="shared" si="30"/>
        <v>CG00973</v>
      </c>
    </row>
    <row r="910" spans="1:11" x14ac:dyDescent="0.3">
      <c r="A910" s="298" t="s">
        <v>3311</v>
      </c>
      <c r="B910" s="298" t="s">
        <v>3312</v>
      </c>
      <c r="C910" s="298" t="s">
        <v>328</v>
      </c>
      <c r="D910" s="298" t="s">
        <v>256</v>
      </c>
      <c r="E910" s="298" t="s">
        <v>3313</v>
      </c>
      <c r="F910" s="298" t="s">
        <v>3314</v>
      </c>
      <c r="G910" s="299" t="b">
        <v>0</v>
      </c>
      <c r="H910" s="299" t="b">
        <v>0</v>
      </c>
      <c r="J910" s="113" t="str">
        <f t="shared" si="29"/>
        <v>912437433</v>
      </c>
      <c r="K910" s="113" t="str">
        <f t="shared" si="30"/>
        <v>CG00974</v>
      </c>
    </row>
    <row r="911" spans="1:11" x14ac:dyDescent="0.3">
      <c r="A911" s="298" t="s">
        <v>3315</v>
      </c>
      <c r="B911" s="298" t="s">
        <v>3316</v>
      </c>
      <c r="C911" s="298" t="s">
        <v>541</v>
      </c>
      <c r="D911" s="298" t="s">
        <v>256</v>
      </c>
      <c r="E911" s="298"/>
      <c r="F911" s="298" t="s">
        <v>3317</v>
      </c>
      <c r="G911" s="299" t="b">
        <v>0</v>
      </c>
      <c r="H911" s="299" t="b">
        <v>0</v>
      </c>
      <c r="J911" s="113" t="str">
        <f t="shared" si="29"/>
        <v>983739523</v>
      </c>
      <c r="K911" s="113" t="str">
        <f t="shared" si="30"/>
        <v>CG00976</v>
      </c>
    </row>
    <row r="912" spans="1:11" x14ac:dyDescent="0.3">
      <c r="A912" s="298" t="s">
        <v>3318</v>
      </c>
      <c r="B912" s="298" t="s">
        <v>3319</v>
      </c>
      <c r="C912" s="298" t="s">
        <v>1671</v>
      </c>
      <c r="D912" s="298" t="s">
        <v>256</v>
      </c>
      <c r="E912" s="298"/>
      <c r="F912" s="298" t="s">
        <v>3320</v>
      </c>
      <c r="G912" s="299" t="b">
        <v>0</v>
      </c>
      <c r="H912" s="299" t="b">
        <v>0</v>
      </c>
      <c r="J912" s="113" t="str">
        <f t="shared" si="29"/>
        <v>984989050</v>
      </c>
      <c r="K912" s="113" t="str">
        <f t="shared" si="30"/>
        <v>CG00977</v>
      </c>
    </row>
    <row r="913" spans="1:11" x14ac:dyDescent="0.3">
      <c r="A913" s="298" t="s">
        <v>3321</v>
      </c>
      <c r="B913" s="298" t="s">
        <v>3322</v>
      </c>
      <c r="C913" s="298" t="s">
        <v>1615</v>
      </c>
      <c r="D913" s="298" t="s">
        <v>256</v>
      </c>
      <c r="E913" s="298"/>
      <c r="F913" s="298" t="s">
        <v>3323</v>
      </c>
      <c r="G913" s="299" t="b">
        <v>0</v>
      </c>
      <c r="H913" s="299" t="b">
        <v>0</v>
      </c>
      <c r="J913" s="113" t="str">
        <f t="shared" si="29"/>
        <v>986927341</v>
      </c>
      <c r="K913" s="113" t="str">
        <f t="shared" si="30"/>
        <v>CG00978</v>
      </c>
    </row>
    <row r="914" spans="1:11" x14ac:dyDescent="0.3">
      <c r="A914" s="298" t="s">
        <v>3324</v>
      </c>
      <c r="B914" s="298" t="s">
        <v>3325</v>
      </c>
      <c r="C914" s="298" t="s">
        <v>3326</v>
      </c>
      <c r="D914" s="298" t="s">
        <v>256</v>
      </c>
      <c r="E914" s="298"/>
      <c r="F914" s="298" t="s">
        <v>3327</v>
      </c>
      <c r="G914" s="299" t="b">
        <v>0</v>
      </c>
      <c r="H914" s="299" t="b">
        <v>0</v>
      </c>
      <c r="J914" s="113" t="str">
        <f t="shared" si="29"/>
        <v>912615472</v>
      </c>
      <c r="K914" s="113" t="str">
        <f t="shared" si="30"/>
        <v>CG00979</v>
      </c>
    </row>
    <row r="915" spans="1:11" x14ac:dyDescent="0.3">
      <c r="A915" s="298" t="s">
        <v>3328</v>
      </c>
      <c r="B915" s="298" t="s">
        <v>3329</v>
      </c>
      <c r="C915" s="298" t="s">
        <v>2269</v>
      </c>
      <c r="D915" s="298" t="s">
        <v>256</v>
      </c>
      <c r="E915" s="298"/>
      <c r="F915" s="298" t="s">
        <v>3330</v>
      </c>
      <c r="G915" s="299" t="b">
        <v>0</v>
      </c>
      <c r="H915" s="299" t="b">
        <v>0</v>
      </c>
      <c r="J915" s="113" t="str">
        <f t="shared" si="29"/>
        <v>986857915</v>
      </c>
      <c r="K915" s="113" t="str">
        <f t="shared" si="30"/>
        <v>CG00981</v>
      </c>
    </row>
    <row r="916" spans="1:11" x14ac:dyDescent="0.3">
      <c r="A916" s="298" t="s">
        <v>3331</v>
      </c>
      <c r="B916" s="298" t="s">
        <v>3332</v>
      </c>
      <c r="C916" s="298" t="s">
        <v>335</v>
      </c>
      <c r="D916" s="298" t="s">
        <v>256</v>
      </c>
      <c r="E916" s="298"/>
      <c r="F916" s="298" t="s">
        <v>3333</v>
      </c>
      <c r="G916" s="299" t="b">
        <v>0</v>
      </c>
      <c r="H916" s="299" t="b">
        <v>0</v>
      </c>
      <c r="J916" s="113" t="str">
        <f t="shared" si="29"/>
        <v>911448599</v>
      </c>
      <c r="K916" s="113" t="str">
        <f t="shared" si="30"/>
        <v>CG00982</v>
      </c>
    </row>
    <row r="917" spans="1:11" x14ac:dyDescent="0.3">
      <c r="A917" s="298" t="s">
        <v>3334</v>
      </c>
      <c r="B917" s="298" t="s">
        <v>3335</v>
      </c>
      <c r="C917" s="298" t="s">
        <v>3336</v>
      </c>
      <c r="D917" s="298" t="s">
        <v>256</v>
      </c>
      <c r="E917" s="298"/>
      <c r="F917" s="298" t="s">
        <v>3337</v>
      </c>
      <c r="G917" s="299" t="b">
        <v>0</v>
      </c>
      <c r="H917" s="299" t="b">
        <v>0</v>
      </c>
      <c r="J917" s="113" t="str">
        <f t="shared" si="29"/>
        <v>912394990</v>
      </c>
      <c r="K917" s="113" t="str">
        <f t="shared" si="30"/>
        <v>CG00983</v>
      </c>
    </row>
    <row r="918" spans="1:11" x14ac:dyDescent="0.3">
      <c r="A918" s="298" t="s">
        <v>3338</v>
      </c>
      <c r="B918" s="298" t="s">
        <v>3339</v>
      </c>
      <c r="C918" s="298" t="s">
        <v>1257</v>
      </c>
      <c r="D918" s="298" t="s">
        <v>256</v>
      </c>
      <c r="E918" s="298"/>
      <c r="F918" s="298" t="s">
        <v>3340</v>
      </c>
      <c r="G918" s="299" t="b">
        <v>0</v>
      </c>
      <c r="H918" s="299" t="b">
        <v>0</v>
      </c>
      <c r="J918" s="113" t="str">
        <f t="shared" si="29"/>
        <v>985570396</v>
      </c>
      <c r="K918" s="113" t="str">
        <f t="shared" si="30"/>
        <v>CG00984</v>
      </c>
    </row>
    <row r="919" spans="1:11" x14ac:dyDescent="0.3">
      <c r="A919" s="298" t="s">
        <v>3341</v>
      </c>
      <c r="B919" s="298" t="s">
        <v>3342</v>
      </c>
      <c r="C919" s="298" t="s">
        <v>1587</v>
      </c>
      <c r="D919" s="298" t="s">
        <v>256</v>
      </c>
      <c r="E919" s="298"/>
      <c r="F919" s="298" t="s">
        <v>3343</v>
      </c>
      <c r="G919" s="299" t="b">
        <v>0</v>
      </c>
      <c r="H919" s="299" t="b">
        <v>0</v>
      </c>
      <c r="J919" s="113" t="str">
        <f t="shared" si="29"/>
        <v>912860599</v>
      </c>
      <c r="K919" s="113" t="str">
        <f t="shared" si="30"/>
        <v>CG00985</v>
      </c>
    </row>
    <row r="920" spans="1:11" x14ac:dyDescent="0.3">
      <c r="A920" s="298" t="s">
        <v>3344</v>
      </c>
      <c r="B920" s="298" t="s">
        <v>3345</v>
      </c>
      <c r="C920" s="298" t="s">
        <v>289</v>
      </c>
      <c r="D920" s="298" t="s">
        <v>256</v>
      </c>
      <c r="E920" s="298"/>
      <c r="F920" s="298" t="s">
        <v>3346</v>
      </c>
      <c r="G920" s="299" t="b">
        <v>0</v>
      </c>
      <c r="H920" s="299" t="b">
        <v>0</v>
      </c>
      <c r="J920" s="113" t="str">
        <f t="shared" si="29"/>
        <v>915946655</v>
      </c>
      <c r="K920" s="113" t="str">
        <f t="shared" si="30"/>
        <v>CG00986</v>
      </c>
    </row>
    <row r="921" spans="1:11" x14ac:dyDescent="0.3">
      <c r="A921" s="298" t="s">
        <v>3347</v>
      </c>
      <c r="B921" s="298" t="s">
        <v>3348</v>
      </c>
      <c r="C921" s="298" t="s">
        <v>993</v>
      </c>
      <c r="D921" s="298" t="s">
        <v>256</v>
      </c>
      <c r="E921" s="298"/>
      <c r="F921" s="298" t="s">
        <v>3349</v>
      </c>
      <c r="G921" s="299" t="b">
        <v>0</v>
      </c>
      <c r="H921" s="299" t="b">
        <v>0</v>
      </c>
      <c r="J921" s="113" t="str">
        <f t="shared" si="29"/>
        <v>912133533</v>
      </c>
      <c r="K921" s="113" t="str">
        <f t="shared" si="30"/>
        <v>CG00987</v>
      </c>
    </row>
    <row r="922" spans="1:11" x14ac:dyDescent="0.3">
      <c r="A922" s="298" t="s">
        <v>3350</v>
      </c>
      <c r="B922" s="298" t="s">
        <v>3351</v>
      </c>
      <c r="C922" s="298" t="s">
        <v>1776</v>
      </c>
      <c r="D922" s="298" t="s">
        <v>256</v>
      </c>
      <c r="E922" s="298"/>
      <c r="F922" s="298" t="s">
        <v>3352</v>
      </c>
      <c r="G922" s="299" t="b">
        <v>0</v>
      </c>
      <c r="H922" s="299" t="b">
        <v>0</v>
      </c>
      <c r="J922" s="113" t="str">
        <f t="shared" si="29"/>
        <v>313505375</v>
      </c>
      <c r="K922" s="113" t="str">
        <f t="shared" si="30"/>
        <v>CG00988</v>
      </c>
    </row>
    <row r="923" spans="1:11" x14ac:dyDescent="0.3">
      <c r="A923" s="298" t="s">
        <v>3353</v>
      </c>
      <c r="B923" s="298" t="s">
        <v>3354</v>
      </c>
      <c r="C923" s="298" t="s">
        <v>286</v>
      </c>
      <c r="D923" s="298" t="s">
        <v>256</v>
      </c>
      <c r="E923" s="298"/>
      <c r="F923" s="298" t="s">
        <v>3355</v>
      </c>
      <c r="G923" s="299" t="b">
        <v>0</v>
      </c>
      <c r="H923" s="299" t="b">
        <v>0</v>
      </c>
      <c r="J923" s="113" t="str">
        <f t="shared" si="29"/>
        <v>915033193</v>
      </c>
      <c r="K923" s="113" t="str">
        <f t="shared" si="30"/>
        <v>CG00989</v>
      </c>
    </row>
    <row r="924" spans="1:11" x14ac:dyDescent="0.3">
      <c r="A924" s="298" t="s">
        <v>3356</v>
      </c>
      <c r="B924" s="298" t="s">
        <v>3357</v>
      </c>
      <c r="C924" s="298" t="s">
        <v>1508</v>
      </c>
      <c r="D924" s="298" t="s">
        <v>256</v>
      </c>
      <c r="E924" s="298"/>
      <c r="F924" s="298" t="s">
        <v>3358</v>
      </c>
      <c r="G924" s="299" t="b">
        <v>0</v>
      </c>
      <c r="H924" s="299" t="b">
        <v>0</v>
      </c>
      <c r="J924" s="113" t="str">
        <f t="shared" si="29"/>
        <v>986261668</v>
      </c>
      <c r="K924" s="113" t="str">
        <f t="shared" si="30"/>
        <v>CG00990</v>
      </c>
    </row>
    <row r="925" spans="1:11" x14ac:dyDescent="0.3">
      <c r="A925" s="298" t="s">
        <v>3359</v>
      </c>
      <c r="B925" s="298" t="s">
        <v>3360</v>
      </c>
      <c r="C925" s="298" t="s">
        <v>769</v>
      </c>
      <c r="D925" s="298" t="s">
        <v>256</v>
      </c>
      <c r="E925" s="298"/>
      <c r="F925" s="298" t="s">
        <v>3361</v>
      </c>
      <c r="G925" s="299" t="b">
        <v>0</v>
      </c>
      <c r="H925" s="299" t="b">
        <v>0</v>
      </c>
      <c r="J925" s="113" t="str">
        <f t="shared" si="29"/>
        <v>934436620</v>
      </c>
      <c r="K925" s="113" t="str">
        <f t="shared" si="30"/>
        <v>CG00991</v>
      </c>
    </row>
    <row r="926" spans="1:11" x14ac:dyDescent="0.3">
      <c r="A926" s="298" t="s">
        <v>3362</v>
      </c>
      <c r="B926" s="298" t="s">
        <v>14666</v>
      </c>
      <c r="C926" s="298" t="s">
        <v>693</v>
      </c>
      <c r="D926" s="298" t="s">
        <v>256</v>
      </c>
      <c r="E926" s="298"/>
      <c r="F926" s="298" t="s">
        <v>3363</v>
      </c>
      <c r="G926" s="299" t="b">
        <v>0</v>
      </c>
      <c r="H926" s="299" t="b">
        <v>0</v>
      </c>
      <c r="J926" s="113" t="str">
        <f t="shared" si="29"/>
        <v>968721797</v>
      </c>
      <c r="K926" s="113" t="str">
        <f t="shared" si="30"/>
        <v>CG00992</v>
      </c>
    </row>
    <row r="927" spans="1:11" x14ac:dyDescent="0.3">
      <c r="A927" s="298" t="s">
        <v>3364</v>
      </c>
      <c r="B927" s="298" t="s">
        <v>3365</v>
      </c>
      <c r="C927" s="298" t="s">
        <v>286</v>
      </c>
      <c r="D927" s="298" t="s">
        <v>256</v>
      </c>
      <c r="E927" s="298"/>
      <c r="F927" s="298" t="s">
        <v>3366</v>
      </c>
      <c r="G927" s="299" t="b">
        <v>0</v>
      </c>
      <c r="H927" s="299" t="b">
        <v>0</v>
      </c>
      <c r="J927" s="113" t="str">
        <f t="shared" si="29"/>
        <v>913260274</v>
      </c>
      <c r="K927" s="113" t="str">
        <f t="shared" si="30"/>
        <v>CG00993</v>
      </c>
    </row>
    <row r="928" spans="1:11" x14ac:dyDescent="0.3">
      <c r="A928" s="298" t="s">
        <v>3367</v>
      </c>
      <c r="B928" s="298" t="s">
        <v>3368</v>
      </c>
      <c r="C928" s="298" t="s">
        <v>2170</v>
      </c>
      <c r="D928" s="298" t="s">
        <v>256</v>
      </c>
      <c r="E928" s="298"/>
      <c r="F928" s="298" t="s">
        <v>3369</v>
      </c>
      <c r="G928" s="299" t="b">
        <v>0</v>
      </c>
      <c r="H928" s="299" t="b">
        <v>0</v>
      </c>
      <c r="J928" s="113" t="str">
        <f t="shared" si="29"/>
        <v>986021998</v>
      </c>
      <c r="K928" s="113" t="str">
        <f t="shared" si="30"/>
        <v>CG00995</v>
      </c>
    </row>
    <row r="929" spans="1:11" x14ac:dyDescent="0.3">
      <c r="A929" s="298" t="s">
        <v>3370</v>
      </c>
      <c r="B929" s="298" t="s">
        <v>3371</v>
      </c>
      <c r="C929" s="298" t="s">
        <v>3372</v>
      </c>
      <c r="D929" s="298" t="s">
        <v>256</v>
      </c>
      <c r="E929" s="298"/>
      <c r="F929" s="298" t="s">
        <v>3373</v>
      </c>
      <c r="G929" s="299" t="b">
        <v>0</v>
      </c>
      <c r="H929" s="299" t="b">
        <v>0</v>
      </c>
      <c r="J929" s="113" t="str">
        <f t="shared" si="29"/>
        <v>982833632</v>
      </c>
      <c r="K929" s="113" t="str">
        <f t="shared" si="30"/>
        <v>CG00996</v>
      </c>
    </row>
    <row r="930" spans="1:11" x14ac:dyDescent="0.3">
      <c r="A930" s="298" t="s">
        <v>3374</v>
      </c>
      <c r="B930" s="298" t="s">
        <v>3375</v>
      </c>
      <c r="C930" s="298" t="s">
        <v>1335</v>
      </c>
      <c r="D930" s="298" t="s">
        <v>256</v>
      </c>
      <c r="E930" s="298"/>
      <c r="F930" s="298" t="s">
        <v>3376</v>
      </c>
      <c r="G930" s="299" t="b">
        <v>0</v>
      </c>
      <c r="H930" s="299" t="b">
        <v>0</v>
      </c>
      <c r="J930" s="113" t="str">
        <f t="shared" si="29"/>
        <v>974569977</v>
      </c>
      <c r="K930" s="113" t="str">
        <f t="shared" si="30"/>
        <v>CG00997</v>
      </c>
    </row>
    <row r="931" spans="1:11" x14ac:dyDescent="0.3">
      <c r="A931" s="298" t="s">
        <v>3377</v>
      </c>
      <c r="B931" s="298" t="s">
        <v>3378</v>
      </c>
      <c r="C931" s="298" t="s">
        <v>317</v>
      </c>
      <c r="D931" s="298" t="s">
        <v>256</v>
      </c>
      <c r="E931" s="298"/>
      <c r="F931" s="298" t="s">
        <v>3379</v>
      </c>
      <c r="G931" s="299" t="b">
        <v>0</v>
      </c>
      <c r="H931" s="299" t="b">
        <v>0</v>
      </c>
      <c r="J931" s="113" t="str">
        <f t="shared" si="29"/>
        <v>966598094</v>
      </c>
      <c r="K931" s="113" t="str">
        <f t="shared" si="30"/>
        <v>CG00998</v>
      </c>
    </row>
    <row r="932" spans="1:11" x14ac:dyDescent="0.3">
      <c r="A932" s="298" t="s">
        <v>3380</v>
      </c>
      <c r="B932" s="298" t="s">
        <v>3381</v>
      </c>
      <c r="C932" s="298" t="s">
        <v>3382</v>
      </c>
      <c r="D932" s="298" t="s">
        <v>256</v>
      </c>
      <c r="E932" s="298"/>
      <c r="F932" s="298" t="s">
        <v>3383</v>
      </c>
      <c r="G932" s="299" t="b">
        <v>0</v>
      </c>
      <c r="H932" s="299" t="b">
        <v>0</v>
      </c>
      <c r="J932" s="113" t="str">
        <f t="shared" si="29"/>
        <v>985781999</v>
      </c>
      <c r="K932" s="113" t="str">
        <f t="shared" si="30"/>
        <v>CG00999</v>
      </c>
    </row>
    <row r="933" spans="1:11" x14ac:dyDescent="0.3">
      <c r="A933" s="298" t="s">
        <v>3384</v>
      </c>
      <c r="B933" s="298" t="s">
        <v>3385</v>
      </c>
      <c r="C933" s="298" t="s">
        <v>1776</v>
      </c>
      <c r="D933" s="298" t="s">
        <v>256</v>
      </c>
      <c r="E933" s="298"/>
      <c r="F933" s="298" t="s">
        <v>3386</v>
      </c>
      <c r="G933" s="299" t="b">
        <v>0</v>
      </c>
      <c r="H933" s="299" t="b">
        <v>0</v>
      </c>
      <c r="J933" s="113" t="str">
        <f t="shared" si="29"/>
        <v>787311646</v>
      </c>
      <c r="K933" s="113" t="str">
        <f t="shared" si="30"/>
        <v>CG01000</v>
      </c>
    </row>
    <row r="934" spans="1:11" x14ac:dyDescent="0.3">
      <c r="A934" s="298" t="s">
        <v>3387</v>
      </c>
      <c r="B934" s="298" t="s">
        <v>3388</v>
      </c>
      <c r="C934" s="298" t="s">
        <v>625</v>
      </c>
      <c r="D934" s="298" t="s">
        <v>256</v>
      </c>
      <c r="E934" s="298"/>
      <c r="F934" s="298" t="s">
        <v>3389</v>
      </c>
      <c r="G934" s="299" t="b">
        <v>0</v>
      </c>
      <c r="H934" s="299" t="b">
        <v>0</v>
      </c>
      <c r="J934" s="113" t="str">
        <f t="shared" si="29"/>
        <v>985377907</v>
      </c>
      <c r="K934" s="113" t="str">
        <f t="shared" si="30"/>
        <v>CG01001</v>
      </c>
    </row>
    <row r="935" spans="1:11" x14ac:dyDescent="0.3">
      <c r="A935" s="298" t="s">
        <v>3390</v>
      </c>
      <c r="B935" s="298" t="s">
        <v>3391</v>
      </c>
      <c r="C935" s="298" t="s">
        <v>1671</v>
      </c>
      <c r="D935" s="298" t="s">
        <v>256</v>
      </c>
      <c r="E935" s="298"/>
      <c r="F935" s="298" t="s">
        <v>3392</v>
      </c>
      <c r="G935" s="299" t="b">
        <v>0</v>
      </c>
      <c r="H935" s="299" t="b">
        <v>0</v>
      </c>
      <c r="J935" s="113" t="str">
        <f t="shared" si="29"/>
        <v>978157300</v>
      </c>
      <c r="K935" s="113" t="str">
        <f t="shared" si="30"/>
        <v>CG01002</v>
      </c>
    </row>
    <row r="936" spans="1:11" x14ac:dyDescent="0.3">
      <c r="A936" s="298" t="s">
        <v>3393</v>
      </c>
      <c r="B936" s="298" t="s">
        <v>3394</v>
      </c>
      <c r="C936" s="298" t="s">
        <v>1671</v>
      </c>
      <c r="D936" s="298" t="s">
        <v>256</v>
      </c>
      <c r="E936" s="298"/>
      <c r="F936" s="298" t="s">
        <v>3395</v>
      </c>
      <c r="G936" s="299" t="b">
        <v>0</v>
      </c>
      <c r="H936" s="299" t="b">
        <v>0</v>
      </c>
      <c r="J936" s="113" t="str">
        <f t="shared" si="29"/>
        <v>904766215</v>
      </c>
      <c r="K936" s="113" t="str">
        <f t="shared" si="30"/>
        <v>CG01003</v>
      </c>
    </row>
    <row r="937" spans="1:11" x14ac:dyDescent="0.3">
      <c r="A937" s="298" t="s">
        <v>3396</v>
      </c>
      <c r="B937" s="298" t="s">
        <v>3397</v>
      </c>
      <c r="C937" s="298" t="s">
        <v>664</v>
      </c>
      <c r="D937" s="298" t="s">
        <v>256</v>
      </c>
      <c r="E937" s="298"/>
      <c r="F937" s="298" t="s">
        <v>3398</v>
      </c>
      <c r="G937" s="299" t="b">
        <v>0</v>
      </c>
      <c r="H937" s="299" t="b">
        <v>0</v>
      </c>
      <c r="J937" s="113" t="str">
        <f t="shared" si="29"/>
        <v>902156368</v>
      </c>
      <c r="K937" s="113" t="str">
        <f t="shared" si="30"/>
        <v>CG01004</v>
      </c>
    </row>
    <row r="938" spans="1:11" x14ac:dyDescent="0.3">
      <c r="A938" s="298" t="s">
        <v>3399</v>
      </c>
      <c r="B938" s="298" t="s">
        <v>3400</v>
      </c>
      <c r="C938" s="298" t="s">
        <v>230</v>
      </c>
      <c r="D938" s="298" t="s">
        <v>256</v>
      </c>
      <c r="E938" s="298"/>
      <c r="F938" s="298" t="s">
        <v>3401</v>
      </c>
      <c r="G938" s="299" t="b">
        <v>0</v>
      </c>
      <c r="H938" s="299" t="b">
        <v>0</v>
      </c>
      <c r="J938" s="113" t="str">
        <f t="shared" si="29"/>
        <v>983183513</v>
      </c>
      <c r="K938" s="113" t="str">
        <f t="shared" si="30"/>
        <v>CG01005</v>
      </c>
    </row>
    <row r="939" spans="1:11" x14ac:dyDescent="0.3">
      <c r="A939" s="298" t="s">
        <v>3402</v>
      </c>
      <c r="B939" s="298" t="s">
        <v>14667</v>
      </c>
      <c r="C939" s="298" t="s">
        <v>231</v>
      </c>
      <c r="D939" s="298" t="s">
        <v>256</v>
      </c>
      <c r="E939" s="298"/>
      <c r="F939" s="298" t="s">
        <v>3403</v>
      </c>
      <c r="G939" s="299" t="b">
        <v>0</v>
      </c>
      <c r="H939" s="299" t="b">
        <v>0</v>
      </c>
      <c r="J939" s="113" t="str">
        <f t="shared" si="29"/>
        <v>327478899</v>
      </c>
      <c r="K939" s="113" t="str">
        <f t="shared" si="30"/>
        <v>CG01006</v>
      </c>
    </row>
    <row r="940" spans="1:11" x14ac:dyDescent="0.3">
      <c r="A940" s="298" t="s">
        <v>3404</v>
      </c>
      <c r="B940" s="298" t="s">
        <v>3405</v>
      </c>
      <c r="C940" s="298" t="s">
        <v>1873</v>
      </c>
      <c r="D940" s="298" t="s">
        <v>256</v>
      </c>
      <c r="E940" s="298"/>
      <c r="F940" s="298" t="s">
        <v>3406</v>
      </c>
      <c r="G940" s="299" t="b">
        <v>0</v>
      </c>
      <c r="H940" s="299" t="b">
        <v>0</v>
      </c>
      <c r="J940" s="113" t="str">
        <f t="shared" si="29"/>
        <v>915181310</v>
      </c>
      <c r="K940" s="113" t="str">
        <f t="shared" si="30"/>
        <v>CG01007</v>
      </c>
    </row>
    <row r="941" spans="1:11" x14ac:dyDescent="0.3">
      <c r="A941" s="298" t="s">
        <v>3407</v>
      </c>
      <c r="B941" s="298" t="s">
        <v>3408</v>
      </c>
      <c r="C941" s="298" t="s">
        <v>1873</v>
      </c>
      <c r="D941" s="298" t="s">
        <v>256</v>
      </c>
      <c r="E941" s="298"/>
      <c r="F941" s="298" t="s">
        <v>3409</v>
      </c>
      <c r="G941" s="299" t="b">
        <v>0</v>
      </c>
      <c r="H941" s="299" t="b">
        <v>0</v>
      </c>
      <c r="J941" s="113" t="str">
        <f t="shared" si="29"/>
        <v>857955752</v>
      </c>
      <c r="K941" s="113" t="str">
        <f t="shared" si="30"/>
        <v>CG01008</v>
      </c>
    </row>
    <row r="942" spans="1:11" x14ac:dyDescent="0.3">
      <c r="A942" s="298" t="s">
        <v>3410</v>
      </c>
      <c r="B942" s="298" t="s">
        <v>3411</v>
      </c>
      <c r="C942" s="298" t="s">
        <v>3412</v>
      </c>
      <c r="D942" s="298" t="s">
        <v>256</v>
      </c>
      <c r="E942" s="298"/>
      <c r="F942" s="298" t="s">
        <v>3413</v>
      </c>
      <c r="G942" s="299" t="b">
        <v>0</v>
      </c>
      <c r="H942" s="299" t="b">
        <v>0</v>
      </c>
      <c r="J942" s="113" t="str">
        <f t="shared" si="29"/>
        <v>902025599</v>
      </c>
      <c r="K942" s="113" t="str">
        <f t="shared" si="30"/>
        <v>CG01009</v>
      </c>
    </row>
    <row r="943" spans="1:11" x14ac:dyDescent="0.3">
      <c r="A943" s="298" t="s">
        <v>3414</v>
      </c>
      <c r="B943" s="298" t="s">
        <v>3415</v>
      </c>
      <c r="C943" s="298" t="s">
        <v>286</v>
      </c>
      <c r="D943" s="298" t="s">
        <v>256</v>
      </c>
      <c r="E943" s="298"/>
      <c r="F943" s="298" t="s">
        <v>3416</v>
      </c>
      <c r="G943" s="299" t="b">
        <v>0</v>
      </c>
      <c r="H943" s="299" t="b">
        <v>0</v>
      </c>
      <c r="J943" s="113" t="str">
        <f t="shared" si="29"/>
        <v>336146789</v>
      </c>
      <c r="K943" s="113" t="str">
        <f t="shared" si="30"/>
        <v>CG01010</v>
      </c>
    </row>
    <row r="944" spans="1:11" x14ac:dyDescent="0.3">
      <c r="A944" s="298" t="s">
        <v>3417</v>
      </c>
      <c r="B944" s="298" t="s">
        <v>3418</v>
      </c>
      <c r="C944" s="298" t="s">
        <v>230</v>
      </c>
      <c r="D944" s="298" t="s">
        <v>256</v>
      </c>
      <c r="E944" s="298"/>
      <c r="F944" s="298" t="s">
        <v>3419</v>
      </c>
      <c r="G944" s="299" t="b">
        <v>0</v>
      </c>
      <c r="H944" s="299" t="b">
        <v>0</v>
      </c>
      <c r="J944" s="113" t="str">
        <f t="shared" si="29"/>
        <v>989534649</v>
      </c>
      <c r="K944" s="113" t="str">
        <f t="shared" si="30"/>
        <v>CG01011</v>
      </c>
    </row>
    <row r="945" spans="1:11" x14ac:dyDescent="0.3">
      <c r="A945" s="298" t="s">
        <v>3420</v>
      </c>
      <c r="B945" s="298" t="s">
        <v>3421</v>
      </c>
      <c r="C945" s="298" t="s">
        <v>230</v>
      </c>
      <c r="D945" s="298" t="s">
        <v>256</v>
      </c>
      <c r="E945" s="298"/>
      <c r="F945" s="298" t="s">
        <v>3422</v>
      </c>
      <c r="G945" s="299" t="b">
        <v>0</v>
      </c>
      <c r="H945" s="299" t="b">
        <v>0</v>
      </c>
      <c r="J945" s="113" t="str">
        <f t="shared" si="29"/>
        <v>948422372</v>
      </c>
      <c r="K945" s="113" t="str">
        <f t="shared" si="30"/>
        <v>CG01012</v>
      </c>
    </row>
    <row r="946" spans="1:11" x14ac:dyDescent="0.3">
      <c r="A946" s="298" t="s">
        <v>3423</v>
      </c>
      <c r="B946" s="298" t="s">
        <v>3424</v>
      </c>
      <c r="C946" s="298" t="s">
        <v>2763</v>
      </c>
      <c r="D946" s="298" t="s">
        <v>256</v>
      </c>
      <c r="E946" s="298"/>
      <c r="F946" s="298" t="s">
        <v>3425</v>
      </c>
      <c r="G946" s="299" t="b">
        <v>0</v>
      </c>
      <c r="H946" s="299" t="b">
        <v>0</v>
      </c>
      <c r="J946" s="113" t="str">
        <f t="shared" si="29"/>
        <v>978166668</v>
      </c>
      <c r="K946" s="113" t="str">
        <f t="shared" si="30"/>
        <v>CG01013</v>
      </c>
    </row>
    <row r="947" spans="1:11" x14ac:dyDescent="0.3">
      <c r="A947" s="298" t="s">
        <v>3426</v>
      </c>
      <c r="B947" s="298" t="s">
        <v>3427</v>
      </c>
      <c r="C947" s="298" t="s">
        <v>2368</v>
      </c>
      <c r="D947" s="298" t="s">
        <v>256</v>
      </c>
      <c r="E947" s="298"/>
      <c r="F947" s="298" t="s">
        <v>3428</v>
      </c>
      <c r="G947" s="299" t="b">
        <v>0</v>
      </c>
      <c r="H947" s="299" t="b">
        <v>0</v>
      </c>
      <c r="J947" s="113" t="str">
        <f t="shared" si="29"/>
        <v>978357858</v>
      </c>
      <c r="K947" s="113" t="str">
        <f t="shared" si="30"/>
        <v>CG01014</v>
      </c>
    </row>
    <row r="948" spans="1:11" x14ac:dyDescent="0.3">
      <c r="A948" s="298" t="s">
        <v>3429</v>
      </c>
      <c r="B948" s="298" t="s">
        <v>3430</v>
      </c>
      <c r="C948" s="298" t="s">
        <v>289</v>
      </c>
      <c r="D948" s="298" t="s">
        <v>256</v>
      </c>
      <c r="E948" s="298"/>
      <c r="F948" s="298" t="s">
        <v>3431</v>
      </c>
      <c r="G948" s="299" t="b">
        <v>0</v>
      </c>
      <c r="H948" s="299" t="b">
        <v>0</v>
      </c>
      <c r="J948" s="113" t="str">
        <f t="shared" si="29"/>
        <v>373209259</v>
      </c>
      <c r="K948" s="113" t="str">
        <f t="shared" si="30"/>
        <v>CG01015</v>
      </c>
    </row>
    <row r="949" spans="1:11" x14ac:dyDescent="0.3">
      <c r="A949" s="298" t="s">
        <v>3432</v>
      </c>
      <c r="B949" s="298" t="s">
        <v>3433</v>
      </c>
      <c r="C949" s="298" t="s">
        <v>1825</v>
      </c>
      <c r="D949" s="298" t="s">
        <v>256</v>
      </c>
      <c r="E949" s="298"/>
      <c r="F949" s="298" t="s">
        <v>3434</v>
      </c>
      <c r="G949" s="299" t="b">
        <v>0</v>
      </c>
      <c r="H949" s="299" t="b">
        <v>0</v>
      </c>
      <c r="J949" s="113" t="str">
        <f t="shared" si="29"/>
        <v>984378511</v>
      </c>
      <c r="K949" s="113" t="str">
        <f t="shared" si="30"/>
        <v>CG01016</v>
      </c>
    </row>
    <row r="950" spans="1:11" x14ac:dyDescent="0.3">
      <c r="A950" s="298" t="s">
        <v>3435</v>
      </c>
      <c r="B950" s="298" t="s">
        <v>3436</v>
      </c>
      <c r="C950" s="298" t="s">
        <v>1825</v>
      </c>
      <c r="D950" s="298" t="s">
        <v>256</v>
      </c>
      <c r="E950" s="298"/>
      <c r="F950" s="298" t="s">
        <v>3437</v>
      </c>
      <c r="G950" s="299" t="b">
        <v>0</v>
      </c>
      <c r="H950" s="299" t="b">
        <v>0</v>
      </c>
      <c r="J950" s="113" t="str">
        <f t="shared" si="29"/>
        <v>919521718</v>
      </c>
      <c r="K950" s="113" t="str">
        <f t="shared" si="30"/>
        <v>CG01017</v>
      </c>
    </row>
    <row r="951" spans="1:11" x14ac:dyDescent="0.3">
      <c r="A951" s="298" t="s">
        <v>3438</v>
      </c>
      <c r="B951" s="298" t="s">
        <v>3439</v>
      </c>
      <c r="C951" s="298" t="s">
        <v>230</v>
      </c>
      <c r="D951" s="298" t="s">
        <v>256</v>
      </c>
      <c r="E951" s="298"/>
      <c r="F951" s="298" t="s">
        <v>3440</v>
      </c>
      <c r="G951" s="299" t="b">
        <v>0</v>
      </c>
      <c r="H951" s="299" t="b">
        <v>0</v>
      </c>
      <c r="J951" s="113" t="str">
        <f t="shared" si="29"/>
        <v>948253777</v>
      </c>
      <c r="K951" s="113" t="str">
        <f t="shared" si="30"/>
        <v>CG01018</v>
      </c>
    </row>
    <row r="952" spans="1:11" x14ac:dyDescent="0.3">
      <c r="A952" s="298" t="s">
        <v>3441</v>
      </c>
      <c r="B952" s="298" t="s">
        <v>3442</v>
      </c>
      <c r="C952" s="298" t="s">
        <v>1587</v>
      </c>
      <c r="D952" s="298" t="s">
        <v>256</v>
      </c>
      <c r="E952" s="298"/>
      <c r="F952" s="298" t="s">
        <v>3443</v>
      </c>
      <c r="G952" s="299" t="b">
        <v>0</v>
      </c>
      <c r="H952" s="299" t="b">
        <v>0</v>
      </c>
      <c r="J952" s="113" t="str">
        <f t="shared" si="29"/>
        <v>913031871</v>
      </c>
      <c r="K952" s="113" t="str">
        <f t="shared" si="30"/>
        <v>CG01019</v>
      </c>
    </row>
    <row r="953" spans="1:11" x14ac:dyDescent="0.3">
      <c r="A953" s="298" t="s">
        <v>3444</v>
      </c>
      <c r="B953" s="298" t="s">
        <v>3445</v>
      </c>
      <c r="C953" s="298" t="s">
        <v>3446</v>
      </c>
      <c r="D953" s="298" t="s">
        <v>256</v>
      </c>
      <c r="E953" s="298" t="s">
        <v>3447</v>
      </c>
      <c r="F953" s="298" t="s">
        <v>3448</v>
      </c>
      <c r="G953" s="299" t="b">
        <v>0</v>
      </c>
      <c r="H953" s="299" t="b">
        <v>0</v>
      </c>
      <c r="J953" s="113" t="str">
        <f t="shared" si="29"/>
        <v>983015034</v>
      </c>
      <c r="K953" s="113" t="str">
        <f t="shared" si="30"/>
        <v>CG01020</v>
      </c>
    </row>
    <row r="954" spans="1:11" x14ac:dyDescent="0.3">
      <c r="A954" s="298" t="s">
        <v>3449</v>
      </c>
      <c r="B954" s="298" t="s">
        <v>3450</v>
      </c>
      <c r="C954" s="298" t="s">
        <v>3451</v>
      </c>
      <c r="D954" s="298" t="s">
        <v>256</v>
      </c>
      <c r="E954" s="298"/>
      <c r="F954" s="298" t="s">
        <v>3452</v>
      </c>
      <c r="G954" s="299" t="b">
        <v>0</v>
      </c>
      <c r="H954" s="299" t="b">
        <v>0</v>
      </c>
      <c r="J954" s="113" t="str">
        <f t="shared" si="29"/>
        <v>902113873</v>
      </c>
      <c r="K954" s="113" t="str">
        <f t="shared" si="30"/>
        <v>CG01021</v>
      </c>
    </row>
    <row r="955" spans="1:11" x14ac:dyDescent="0.3">
      <c r="A955" s="298" t="s">
        <v>3453</v>
      </c>
      <c r="B955" s="298" t="s">
        <v>3454</v>
      </c>
      <c r="C955" s="298" t="s">
        <v>3455</v>
      </c>
      <c r="D955" s="298" t="s">
        <v>256</v>
      </c>
      <c r="E955" s="298"/>
      <c r="F955" s="298" t="s">
        <v>3456</v>
      </c>
      <c r="G955" s="299" t="b">
        <v>0</v>
      </c>
      <c r="H955" s="299" t="b">
        <v>0</v>
      </c>
      <c r="J955" s="113" t="str">
        <f t="shared" si="29"/>
        <v>386691138</v>
      </c>
      <c r="K955" s="113" t="str">
        <f t="shared" si="30"/>
        <v>CG01022</v>
      </c>
    </row>
    <row r="956" spans="1:11" x14ac:dyDescent="0.3">
      <c r="A956" s="298" t="s">
        <v>3457</v>
      </c>
      <c r="B956" s="298" t="s">
        <v>3458</v>
      </c>
      <c r="C956" s="298" t="s">
        <v>3459</v>
      </c>
      <c r="D956" s="298" t="s">
        <v>256</v>
      </c>
      <c r="E956" s="298"/>
      <c r="F956" s="298" t="s">
        <v>3460</v>
      </c>
      <c r="G956" s="299" t="b">
        <v>0</v>
      </c>
      <c r="H956" s="299" t="b">
        <v>0</v>
      </c>
      <c r="J956" s="113" t="str">
        <f t="shared" si="29"/>
        <v>974026669</v>
      </c>
      <c r="K956" s="113" t="str">
        <f t="shared" si="30"/>
        <v>CG01023</v>
      </c>
    </row>
    <row r="957" spans="1:11" x14ac:dyDescent="0.3">
      <c r="A957" s="298" t="s">
        <v>3461</v>
      </c>
      <c r="B957" s="298" t="s">
        <v>3462</v>
      </c>
      <c r="C957" s="298" t="s">
        <v>231</v>
      </c>
      <c r="D957" s="298" t="s">
        <v>256</v>
      </c>
      <c r="E957" s="298"/>
      <c r="F957" s="298" t="s">
        <v>3463</v>
      </c>
      <c r="G957" s="299" t="b">
        <v>0</v>
      </c>
      <c r="H957" s="299" t="b">
        <v>0</v>
      </c>
      <c r="J957" s="113" t="str">
        <f t="shared" si="29"/>
        <v>912171174</v>
      </c>
      <c r="K957" s="113" t="str">
        <f t="shared" si="30"/>
        <v>CG01024</v>
      </c>
    </row>
    <row r="958" spans="1:11" x14ac:dyDescent="0.3">
      <c r="A958" s="298" t="s">
        <v>3464</v>
      </c>
      <c r="B958" s="298" t="s">
        <v>3465</v>
      </c>
      <c r="C958" s="298" t="s">
        <v>711</v>
      </c>
      <c r="D958" s="298" t="s">
        <v>256</v>
      </c>
      <c r="E958" s="298"/>
      <c r="F958" s="298" t="s">
        <v>3466</v>
      </c>
      <c r="G958" s="299" t="b">
        <v>0</v>
      </c>
      <c r="H958" s="299" t="b">
        <v>0</v>
      </c>
      <c r="J958" s="113" t="str">
        <f t="shared" si="29"/>
        <v>979831797</v>
      </c>
      <c r="K958" s="113" t="str">
        <f t="shared" si="30"/>
        <v>CG01025</v>
      </c>
    </row>
    <row r="959" spans="1:11" x14ac:dyDescent="0.3">
      <c r="A959" s="298" t="s">
        <v>3467</v>
      </c>
      <c r="B959" s="298" t="s">
        <v>3468</v>
      </c>
      <c r="C959" s="298" t="s">
        <v>231</v>
      </c>
      <c r="D959" s="298" t="s">
        <v>256</v>
      </c>
      <c r="E959" s="298"/>
      <c r="F959" s="298" t="s">
        <v>3469</v>
      </c>
      <c r="G959" s="299" t="b">
        <v>0</v>
      </c>
      <c r="H959" s="299" t="b">
        <v>0</v>
      </c>
      <c r="J959" s="113" t="str">
        <f t="shared" si="29"/>
        <v>916109981</v>
      </c>
      <c r="K959" s="113" t="str">
        <f t="shared" si="30"/>
        <v>CG01026</v>
      </c>
    </row>
    <row r="960" spans="1:11" x14ac:dyDescent="0.3">
      <c r="A960" s="298" t="s">
        <v>3470</v>
      </c>
      <c r="B960" s="298" t="s">
        <v>3471</v>
      </c>
      <c r="C960" s="298" t="s">
        <v>718</v>
      </c>
      <c r="D960" s="298" t="s">
        <v>256</v>
      </c>
      <c r="E960" s="298"/>
      <c r="F960" s="298" t="s">
        <v>3472</v>
      </c>
      <c r="G960" s="299" t="b">
        <v>0</v>
      </c>
      <c r="H960" s="299" t="b">
        <v>0</v>
      </c>
      <c r="J960" s="113" t="str">
        <f t="shared" si="29"/>
        <v>913418680</v>
      </c>
      <c r="K960" s="113" t="str">
        <f t="shared" si="30"/>
        <v>CG01027</v>
      </c>
    </row>
    <row r="961" spans="1:11" x14ac:dyDescent="0.3">
      <c r="A961" s="298" t="s">
        <v>3473</v>
      </c>
      <c r="B961" s="298" t="s">
        <v>3474</v>
      </c>
      <c r="C961" s="298" t="s">
        <v>2354</v>
      </c>
      <c r="D961" s="298" t="s">
        <v>256</v>
      </c>
      <c r="E961" s="298"/>
      <c r="F961" s="298" t="s">
        <v>3475</v>
      </c>
      <c r="G961" s="299" t="b">
        <v>0</v>
      </c>
      <c r="H961" s="299" t="b">
        <v>0</v>
      </c>
      <c r="J961" s="113" t="str">
        <f t="shared" si="29"/>
        <v>986234079</v>
      </c>
      <c r="K961" s="113" t="str">
        <f t="shared" si="30"/>
        <v>CG01028</v>
      </c>
    </row>
    <row r="962" spans="1:11" x14ac:dyDescent="0.3">
      <c r="A962" s="298" t="s">
        <v>3476</v>
      </c>
      <c r="B962" s="298" t="s">
        <v>3477</v>
      </c>
      <c r="C962" s="298" t="s">
        <v>1508</v>
      </c>
      <c r="D962" s="298" t="s">
        <v>256</v>
      </c>
      <c r="E962" s="298"/>
      <c r="F962" s="298" t="s">
        <v>3478</v>
      </c>
      <c r="G962" s="299" t="b">
        <v>0</v>
      </c>
      <c r="H962" s="299" t="b">
        <v>0</v>
      </c>
      <c r="J962" s="113" t="str">
        <f t="shared" si="29"/>
        <v>902211003</v>
      </c>
      <c r="K962" s="113" t="str">
        <f t="shared" si="30"/>
        <v>CG01029</v>
      </c>
    </row>
    <row r="963" spans="1:11" x14ac:dyDescent="0.3">
      <c r="A963" s="298" t="s">
        <v>3479</v>
      </c>
      <c r="B963" s="298" t="s">
        <v>3480</v>
      </c>
      <c r="C963" s="298" t="s">
        <v>877</v>
      </c>
      <c r="D963" s="298" t="s">
        <v>256</v>
      </c>
      <c r="E963" s="298"/>
      <c r="F963" s="298" t="s">
        <v>3481</v>
      </c>
      <c r="G963" s="299" t="b">
        <v>0</v>
      </c>
      <c r="H963" s="299" t="b">
        <v>0</v>
      </c>
      <c r="J963" s="113" t="str">
        <f t="shared" si="29"/>
        <v>975845176</v>
      </c>
      <c r="K963" s="113" t="str">
        <f t="shared" si="30"/>
        <v>CG01030</v>
      </c>
    </row>
    <row r="964" spans="1:11" x14ac:dyDescent="0.3">
      <c r="A964" s="298" t="s">
        <v>3482</v>
      </c>
      <c r="B964" s="298" t="s">
        <v>3483</v>
      </c>
      <c r="C964" s="298" t="s">
        <v>487</v>
      </c>
      <c r="D964" s="298" t="s">
        <v>256</v>
      </c>
      <c r="E964" s="298"/>
      <c r="F964" s="298" t="s">
        <v>3484</v>
      </c>
      <c r="G964" s="299" t="b">
        <v>0</v>
      </c>
      <c r="H964" s="299" t="b">
        <v>0</v>
      </c>
      <c r="J964" s="113" t="str">
        <f t="shared" si="29"/>
        <v>946566816</v>
      </c>
      <c r="K964" s="113" t="str">
        <f t="shared" si="30"/>
        <v>CG01031</v>
      </c>
    </row>
    <row r="965" spans="1:11" x14ac:dyDescent="0.3">
      <c r="A965" s="298" t="s">
        <v>3485</v>
      </c>
      <c r="B965" s="298" t="s">
        <v>3486</v>
      </c>
      <c r="C965" s="298" t="s">
        <v>292</v>
      </c>
      <c r="D965" s="298" t="s">
        <v>256</v>
      </c>
      <c r="E965" s="298"/>
      <c r="F965" s="298" t="s">
        <v>3487</v>
      </c>
      <c r="G965" s="299" t="b">
        <v>0</v>
      </c>
      <c r="H965" s="299" t="b">
        <v>0</v>
      </c>
      <c r="J965" s="113" t="str">
        <f t="shared" ref="J965:J1028" si="31">RIGHT(B965,9)</f>
        <v>906052779</v>
      </c>
      <c r="K965" s="113" t="str">
        <f t="shared" ref="K965:K1028" si="32">A965</f>
        <v>CG01032</v>
      </c>
    </row>
    <row r="966" spans="1:11" x14ac:dyDescent="0.3">
      <c r="A966" s="298" t="s">
        <v>3488</v>
      </c>
      <c r="B966" s="298" t="s">
        <v>3489</v>
      </c>
      <c r="C966" s="298" t="s">
        <v>1159</v>
      </c>
      <c r="D966" s="298" t="s">
        <v>256</v>
      </c>
      <c r="E966" s="298"/>
      <c r="F966" s="298" t="s">
        <v>3490</v>
      </c>
      <c r="G966" s="299" t="b">
        <v>0</v>
      </c>
      <c r="H966" s="299" t="b">
        <v>0</v>
      </c>
      <c r="J966" s="113" t="str">
        <f t="shared" si="31"/>
        <v>974209996</v>
      </c>
      <c r="K966" s="113" t="str">
        <f t="shared" si="32"/>
        <v>CG01033</v>
      </c>
    </row>
    <row r="967" spans="1:11" x14ac:dyDescent="0.3">
      <c r="A967" s="298" t="s">
        <v>3491</v>
      </c>
      <c r="B967" s="298" t="s">
        <v>3492</v>
      </c>
      <c r="C967" s="298" t="s">
        <v>3493</v>
      </c>
      <c r="D967" s="298" t="s">
        <v>256</v>
      </c>
      <c r="E967" s="298"/>
      <c r="F967" s="298" t="s">
        <v>3494</v>
      </c>
      <c r="G967" s="299" t="b">
        <v>0</v>
      </c>
      <c r="H967" s="299" t="b">
        <v>0</v>
      </c>
      <c r="J967" s="113" t="str">
        <f t="shared" si="31"/>
        <v>986018859</v>
      </c>
      <c r="K967" s="113" t="str">
        <f t="shared" si="32"/>
        <v>CG01034</v>
      </c>
    </row>
    <row r="968" spans="1:11" x14ac:dyDescent="0.3">
      <c r="A968" s="298" t="s">
        <v>3495</v>
      </c>
      <c r="B968" s="298" t="s">
        <v>3496</v>
      </c>
      <c r="C968" s="298" t="s">
        <v>463</v>
      </c>
      <c r="D968" s="298" t="s">
        <v>256</v>
      </c>
      <c r="E968" s="298"/>
      <c r="F968" s="298" t="s">
        <v>3497</v>
      </c>
      <c r="G968" s="299" t="b">
        <v>0</v>
      </c>
      <c r="H968" s="299" t="b">
        <v>0</v>
      </c>
      <c r="J968" s="113" t="str">
        <f t="shared" si="31"/>
        <v>988128269</v>
      </c>
      <c r="K968" s="113" t="str">
        <f t="shared" si="32"/>
        <v>CG01035</v>
      </c>
    </row>
    <row r="969" spans="1:11" x14ac:dyDescent="0.3">
      <c r="A969" s="298" t="s">
        <v>3498</v>
      </c>
      <c r="B969" s="298" t="s">
        <v>3499</v>
      </c>
      <c r="C969" s="298" t="s">
        <v>340</v>
      </c>
      <c r="D969" s="298" t="s">
        <v>256</v>
      </c>
      <c r="E969" s="298"/>
      <c r="F969" s="298" t="s">
        <v>3500</v>
      </c>
      <c r="G969" s="299" t="b">
        <v>0</v>
      </c>
      <c r="H969" s="299" t="b">
        <v>0</v>
      </c>
      <c r="J969" s="113" t="str">
        <f t="shared" si="31"/>
        <v>839498668</v>
      </c>
      <c r="K969" s="113" t="str">
        <f t="shared" si="32"/>
        <v>CG01036</v>
      </c>
    </row>
    <row r="970" spans="1:11" x14ac:dyDescent="0.3">
      <c r="A970" s="298" t="s">
        <v>3501</v>
      </c>
      <c r="B970" s="298" t="s">
        <v>3502</v>
      </c>
      <c r="C970" s="298" t="s">
        <v>3005</v>
      </c>
      <c r="D970" s="298" t="s">
        <v>256</v>
      </c>
      <c r="E970" s="298"/>
      <c r="F970" s="298" t="s">
        <v>3503</v>
      </c>
      <c r="G970" s="299" t="b">
        <v>0</v>
      </c>
      <c r="H970" s="299" t="b">
        <v>0</v>
      </c>
      <c r="J970" s="113" t="str">
        <f t="shared" si="31"/>
        <v>796492977</v>
      </c>
      <c r="K970" s="113" t="str">
        <f t="shared" si="32"/>
        <v>CG01037</v>
      </c>
    </row>
    <row r="971" spans="1:11" x14ac:dyDescent="0.3">
      <c r="A971" s="298" t="s">
        <v>3504</v>
      </c>
      <c r="B971" s="298" t="s">
        <v>3505</v>
      </c>
      <c r="C971" s="298" t="s">
        <v>261</v>
      </c>
      <c r="D971" s="298" t="s">
        <v>256</v>
      </c>
      <c r="E971" s="298"/>
      <c r="F971" s="298" t="s">
        <v>3506</v>
      </c>
      <c r="G971" s="299" t="b">
        <v>0</v>
      </c>
      <c r="H971" s="299" t="b">
        <v>0</v>
      </c>
      <c r="J971" s="113" t="str">
        <f t="shared" si="31"/>
        <v>912394361</v>
      </c>
      <c r="K971" s="113" t="str">
        <f t="shared" si="32"/>
        <v>CG01038</v>
      </c>
    </row>
    <row r="972" spans="1:11" x14ac:dyDescent="0.3">
      <c r="A972" s="298" t="s">
        <v>3507</v>
      </c>
      <c r="B972" s="298" t="s">
        <v>3508</v>
      </c>
      <c r="C972" s="298" t="s">
        <v>884</v>
      </c>
      <c r="D972" s="298" t="s">
        <v>256</v>
      </c>
      <c r="E972" s="298"/>
      <c r="F972" s="298" t="s">
        <v>3509</v>
      </c>
      <c r="G972" s="299" t="b">
        <v>0</v>
      </c>
      <c r="H972" s="299" t="b">
        <v>0</v>
      </c>
      <c r="J972" s="113" t="str">
        <f t="shared" si="31"/>
        <v>916157222</v>
      </c>
      <c r="K972" s="113" t="str">
        <f t="shared" si="32"/>
        <v>CG01039</v>
      </c>
    </row>
    <row r="973" spans="1:11" x14ac:dyDescent="0.3">
      <c r="A973" s="298" t="s">
        <v>3510</v>
      </c>
      <c r="B973" s="298" t="s">
        <v>3511</v>
      </c>
      <c r="C973" s="298" t="s">
        <v>3512</v>
      </c>
      <c r="D973" s="298" t="s">
        <v>256</v>
      </c>
      <c r="E973" s="298"/>
      <c r="F973" s="298" t="s">
        <v>3513</v>
      </c>
      <c r="G973" s="299" t="b">
        <v>0</v>
      </c>
      <c r="H973" s="299" t="b">
        <v>0</v>
      </c>
      <c r="J973" s="113" t="str">
        <f t="shared" si="31"/>
        <v>969677888</v>
      </c>
      <c r="K973" s="113" t="str">
        <f t="shared" si="32"/>
        <v>CG01040</v>
      </c>
    </row>
    <row r="974" spans="1:11" x14ac:dyDescent="0.3">
      <c r="A974" s="298" t="s">
        <v>3514</v>
      </c>
      <c r="B974" s="298" t="s">
        <v>3515</v>
      </c>
      <c r="C974" s="298" t="s">
        <v>3516</v>
      </c>
      <c r="D974" s="298" t="s">
        <v>256</v>
      </c>
      <c r="E974" s="298"/>
      <c r="F974" s="298" t="s">
        <v>3517</v>
      </c>
      <c r="G974" s="299" t="b">
        <v>0</v>
      </c>
      <c r="H974" s="299" t="b">
        <v>0</v>
      </c>
      <c r="J974" s="113" t="str">
        <f t="shared" si="31"/>
        <v>984253977</v>
      </c>
      <c r="K974" s="113" t="str">
        <f t="shared" si="32"/>
        <v>CG01041</v>
      </c>
    </row>
    <row r="975" spans="1:11" x14ac:dyDescent="0.3">
      <c r="A975" s="298" t="s">
        <v>3518</v>
      </c>
      <c r="B975" s="298" t="s">
        <v>3519</v>
      </c>
      <c r="C975" s="298" t="s">
        <v>409</v>
      </c>
      <c r="D975" s="298" t="s">
        <v>256</v>
      </c>
      <c r="E975" s="298"/>
      <c r="F975" s="298" t="s">
        <v>3520</v>
      </c>
      <c r="G975" s="299" t="b">
        <v>0</v>
      </c>
      <c r="H975" s="299" t="b">
        <v>0</v>
      </c>
      <c r="J975" s="113" t="str">
        <f t="shared" si="31"/>
        <v>986916286</v>
      </c>
      <c r="K975" s="113" t="str">
        <f t="shared" si="32"/>
        <v>CG01042</v>
      </c>
    </row>
    <row r="976" spans="1:11" x14ac:dyDescent="0.3">
      <c r="A976" s="298" t="s">
        <v>3521</v>
      </c>
      <c r="B976" s="298" t="s">
        <v>3522</v>
      </c>
      <c r="C976" s="298" t="s">
        <v>506</v>
      </c>
      <c r="D976" s="298" t="s">
        <v>256</v>
      </c>
      <c r="E976" s="298"/>
      <c r="F976" s="298" t="s">
        <v>3523</v>
      </c>
      <c r="G976" s="299" t="b">
        <v>0</v>
      </c>
      <c r="H976" s="299" t="b">
        <v>0</v>
      </c>
      <c r="J976" s="113" t="str">
        <f t="shared" si="31"/>
        <v>986480735</v>
      </c>
      <c r="K976" s="113" t="str">
        <f t="shared" si="32"/>
        <v>CG01043</v>
      </c>
    </row>
    <row r="977" spans="1:11" x14ac:dyDescent="0.3">
      <c r="A977" s="298" t="s">
        <v>3524</v>
      </c>
      <c r="B977" s="298" t="s">
        <v>3525</v>
      </c>
      <c r="C977" s="298" t="s">
        <v>286</v>
      </c>
      <c r="D977" s="298" t="s">
        <v>256</v>
      </c>
      <c r="E977" s="298"/>
      <c r="F977" s="298" t="s">
        <v>3526</v>
      </c>
      <c r="G977" s="299" t="b">
        <v>0</v>
      </c>
      <c r="H977" s="299" t="b">
        <v>0</v>
      </c>
      <c r="J977" s="113" t="str">
        <f t="shared" si="31"/>
        <v>936151226</v>
      </c>
      <c r="K977" s="113" t="str">
        <f t="shared" si="32"/>
        <v>CG01044</v>
      </c>
    </row>
    <row r="978" spans="1:11" x14ac:dyDescent="0.3">
      <c r="A978" s="298" t="s">
        <v>3527</v>
      </c>
      <c r="B978" s="298" t="s">
        <v>3528</v>
      </c>
      <c r="C978" s="298" t="s">
        <v>3529</v>
      </c>
      <c r="D978" s="298" t="s">
        <v>256</v>
      </c>
      <c r="E978" s="298" t="s">
        <v>3530</v>
      </c>
      <c r="F978" s="298" t="s">
        <v>3531</v>
      </c>
      <c r="G978" s="299" t="b">
        <v>0</v>
      </c>
      <c r="H978" s="299" t="b">
        <v>0</v>
      </c>
      <c r="J978" s="113" t="str">
        <f t="shared" si="31"/>
        <v>916933323</v>
      </c>
      <c r="K978" s="113" t="str">
        <f t="shared" si="32"/>
        <v>CG01045</v>
      </c>
    </row>
    <row r="979" spans="1:11" x14ac:dyDescent="0.3">
      <c r="A979" s="298" t="s">
        <v>3532</v>
      </c>
      <c r="B979" s="298" t="s">
        <v>3533</v>
      </c>
      <c r="C979" s="298" t="s">
        <v>3534</v>
      </c>
      <c r="D979" s="298" t="s">
        <v>256</v>
      </c>
      <c r="E979" s="298" t="s">
        <v>3535</v>
      </c>
      <c r="F979" s="298" t="s">
        <v>3536</v>
      </c>
      <c r="G979" s="299" t="b">
        <v>0</v>
      </c>
      <c r="H979" s="299" t="b">
        <v>0</v>
      </c>
      <c r="J979" s="113" t="str">
        <f t="shared" si="31"/>
        <v>947191157</v>
      </c>
      <c r="K979" s="113" t="str">
        <f t="shared" si="32"/>
        <v>CG01046</v>
      </c>
    </row>
    <row r="980" spans="1:11" x14ac:dyDescent="0.3">
      <c r="A980" s="298" t="s">
        <v>3537</v>
      </c>
      <c r="B980" s="298" t="s">
        <v>3538</v>
      </c>
      <c r="C980" s="298" t="s">
        <v>3539</v>
      </c>
      <c r="D980" s="298" t="s">
        <v>256</v>
      </c>
      <c r="E980" s="298"/>
      <c r="F980" s="298" t="s">
        <v>3540</v>
      </c>
      <c r="G980" s="299" t="b">
        <v>0</v>
      </c>
      <c r="H980" s="299" t="b">
        <v>0</v>
      </c>
      <c r="J980" s="113" t="str">
        <f t="shared" si="31"/>
        <v>987165272</v>
      </c>
      <c r="K980" s="113" t="str">
        <f t="shared" si="32"/>
        <v>CG01047</v>
      </c>
    </row>
    <row r="981" spans="1:11" x14ac:dyDescent="0.3">
      <c r="A981" s="298" t="s">
        <v>3541</v>
      </c>
      <c r="B981" s="298" t="s">
        <v>3542</v>
      </c>
      <c r="C981" s="298" t="s">
        <v>785</v>
      </c>
      <c r="D981" s="298" t="s">
        <v>256</v>
      </c>
      <c r="E981" s="298"/>
      <c r="F981" s="298" t="s">
        <v>3543</v>
      </c>
      <c r="G981" s="299" t="b">
        <v>0</v>
      </c>
      <c r="H981" s="299" t="b">
        <v>0</v>
      </c>
      <c r="J981" s="113" t="str">
        <f t="shared" si="31"/>
        <v>912580254</v>
      </c>
      <c r="K981" s="113" t="str">
        <f t="shared" si="32"/>
        <v>CG01048</v>
      </c>
    </row>
    <row r="982" spans="1:11" x14ac:dyDescent="0.3">
      <c r="A982" s="298" t="s">
        <v>3544</v>
      </c>
      <c r="B982" s="298" t="s">
        <v>3545</v>
      </c>
      <c r="C982" s="298" t="s">
        <v>230</v>
      </c>
      <c r="D982" s="298" t="s">
        <v>256</v>
      </c>
      <c r="E982" s="298"/>
      <c r="F982" s="298" t="s">
        <v>3546</v>
      </c>
      <c r="G982" s="299" t="b">
        <v>0</v>
      </c>
      <c r="H982" s="299" t="b">
        <v>0</v>
      </c>
      <c r="J982" s="113" t="str">
        <f t="shared" si="31"/>
        <v>977476556</v>
      </c>
      <c r="K982" s="113" t="str">
        <f t="shared" si="32"/>
        <v>CG01049</v>
      </c>
    </row>
    <row r="983" spans="1:11" x14ac:dyDescent="0.3">
      <c r="A983" s="298" t="s">
        <v>3547</v>
      </c>
      <c r="B983" s="298" t="s">
        <v>3548</v>
      </c>
      <c r="C983" s="298" t="s">
        <v>3549</v>
      </c>
      <c r="D983" s="298" t="s">
        <v>256</v>
      </c>
      <c r="E983" s="298" t="s">
        <v>3550</v>
      </c>
      <c r="F983" s="298" t="s">
        <v>3551</v>
      </c>
      <c r="G983" s="299" t="b">
        <v>0</v>
      </c>
      <c r="H983" s="299" t="b">
        <v>0</v>
      </c>
      <c r="J983" s="113" t="str">
        <f t="shared" si="31"/>
        <v>983058117</v>
      </c>
      <c r="K983" s="113" t="str">
        <f t="shared" si="32"/>
        <v>CG01050</v>
      </c>
    </row>
    <row r="984" spans="1:11" x14ac:dyDescent="0.3">
      <c r="A984" s="298" t="s">
        <v>3552</v>
      </c>
      <c r="B984" s="298" t="s">
        <v>3553</v>
      </c>
      <c r="C984" s="298" t="s">
        <v>541</v>
      </c>
      <c r="D984" s="298" t="s">
        <v>256</v>
      </c>
      <c r="E984" s="298"/>
      <c r="F984" s="298" t="s">
        <v>3554</v>
      </c>
      <c r="G984" s="299" t="b">
        <v>0</v>
      </c>
      <c r="H984" s="299" t="b">
        <v>0</v>
      </c>
      <c r="J984" s="113" t="str">
        <f t="shared" si="31"/>
        <v>912573505</v>
      </c>
      <c r="K984" s="113" t="str">
        <f t="shared" si="32"/>
        <v>CG01051</v>
      </c>
    </row>
    <row r="985" spans="1:11" x14ac:dyDescent="0.3">
      <c r="A985" s="298" t="s">
        <v>3555</v>
      </c>
      <c r="B985" s="298" t="s">
        <v>3556</v>
      </c>
      <c r="C985" s="298" t="s">
        <v>3557</v>
      </c>
      <c r="D985" s="298" t="s">
        <v>256</v>
      </c>
      <c r="E985" s="298"/>
      <c r="F985" s="298" t="s">
        <v>3558</v>
      </c>
      <c r="G985" s="299" t="b">
        <v>0</v>
      </c>
      <c r="H985" s="299" t="b">
        <v>0</v>
      </c>
      <c r="J985" s="113" t="str">
        <f t="shared" si="31"/>
        <v>982868576</v>
      </c>
      <c r="K985" s="113" t="str">
        <f t="shared" si="32"/>
        <v>CG01052</v>
      </c>
    </row>
    <row r="986" spans="1:11" x14ac:dyDescent="0.3">
      <c r="A986" s="298" t="s">
        <v>3559</v>
      </c>
      <c r="B986" s="298" t="s">
        <v>3560</v>
      </c>
      <c r="C986" s="298" t="s">
        <v>1222</v>
      </c>
      <c r="D986" s="298" t="s">
        <v>256</v>
      </c>
      <c r="E986" s="298"/>
      <c r="F986" s="298" t="s">
        <v>3561</v>
      </c>
      <c r="G986" s="299" t="b">
        <v>0</v>
      </c>
      <c r="H986" s="299" t="b">
        <v>0</v>
      </c>
      <c r="J986" s="113" t="str">
        <f t="shared" si="31"/>
        <v>334925942</v>
      </c>
      <c r="K986" s="113" t="str">
        <f t="shared" si="32"/>
        <v>CG01053</v>
      </c>
    </row>
    <row r="987" spans="1:11" x14ac:dyDescent="0.3">
      <c r="A987" s="298" t="s">
        <v>3562</v>
      </c>
      <c r="B987" s="298" t="s">
        <v>3563</v>
      </c>
      <c r="C987" s="298" t="s">
        <v>613</v>
      </c>
      <c r="D987" s="298" t="s">
        <v>256</v>
      </c>
      <c r="E987" s="298"/>
      <c r="F987" s="298" t="s">
        <v>3564</v>
      </c>
      <c r="G987" s="299" t="b">
        <v>0</v>
      </c>
      <c r="H987" s="299" t="b">
        <v>0</v>
      </c>
      <c r="J987" s="113" t="str">
        <f t="shared" si="31"/>
        <v>973255524</v>
      </c>
      <c r="K987" s="113" t="str">
        <f t="shared" si="32"/>
        <v>CG01054</v>
      </c>
    </row>
    <row r="988" spans="1:11" x14ac:dyDescent="0.3">
      <c r="A988" s="298" t="s">
        <v>3565</v>
      </c>
      <c r="B988" s="298" t="s">
        <v>3566</v>
      </c>
      <c r="C988" s="298" t="s">
        <v>416</v>
      </c>
      <c r="D988" s="298" t="s">
        <v>256</v>
      </c>
      <c r="E988" s="298"/>
      <c r="F988" s="298" t="s">
        <v>3567</v>
      </c>
      <c r="G988" s="299" t="b">
        <v>0</v>
      </c>
      <c r="H988" s="299" t="b">
        <v>0</v>
      </c>
      <c r="J988" s="113" t="str">
        <f t="shared" si="31"/>
        <v>976258082</v>
      </c>
      <c r="K988" s="113" t="str">
        <f t="shared" si="32"/>
        <v>CG01055</v>
      </c>
    </row>
    <row r="989" spans="1:11" x14ac:dyDescent="0.3">
      <c r="A989" s="298" t="s">
        <v>3568</v>
      </c>
      <c r="B989" s="298" t="s">
        <v>3569</v>
      </c>
      <c r="C989" s="298" t="s">
        <v>277</v>
      </c>
      <c r="D989" s="298" t="s">
        <v>256</v>
      </c>
      <c r="E989" s="298"/>
      <c r="F989" s="298" t="s">
        <v>3570</v>
      </c>
      <c r="G989" s="299" t="b">
        <v>0</v>
      </c>
      <c r="H989" s="299" t="b">
        <v>0</v>
      </c>
      <c r="J989" s="113" t="str">
        <f t="shared" si="31"/>
        <v>358765996</v>
      </c>
      <c r="K989" s="113" t="str">
        <f t="shared" si="32"/>
        <v>CG01056</v>
      </c>
    </row>
    <row r="990" spans="1:11" x14ac:dyDescent="0.3">
      <c r="A990" s="298" t="s">
        <v>3571</v>
      </c>
      <c r="B990" s="298" t="s">
        <v>3572</v>
      </c>
      <c r="C990" s="298" t="s">
        <v>3573</v>
      </c>
      <c r="D990" s="298" t="s">
        <v>256</v>
      </c>
      <c r="E990" s="298"/>
      <c r="F990" s="298" t="s">
        <v>3574</v>
      </c>
      <c r="G990" s="299" t="b">
        <v>0</v>
      </c>
      <c r="H990" s="299" t="b">
        <v>0</v>
      </c>
      <c r="J990" s="113" t="str">
        <f t="shared" si="31"/>
        <v>988862520</v>
      </c>
      <c r="K990" s="113" t="str">
        <f t="shared" si="32"/>
        <v>CG01057</v>
      </c>
    </row>
    <row r="991" spans="1:11" x14ac:dyDescent="0.3">
      <c r="A991" s="298" t="s">
        <v>3575</v>
      </c>
      <c r="B991" s="298" t="s">
        <v>3576</v>
      </c>
      <c r="C991" s="298" t="s">
        <v>286</v>
      </c>
      <c r="D991" s="298" t="s">
        <v>256</v>
      </c>
      <c r="E991" s="298"/>
      <c r="F991" s="298" t="s">
        <v>3577</v>
      </c>
      <c r="G991" s="299" t="b">
        <v>0</v>
      </c>
      <c r="H991" s="299" t="b">
        <v>0</v>
      </c>
      <c r="J991" s="113" t="str">
        <f t="shared" si="31"/>
        <v>968511389</v>
      </c>
      <c r="K991" s="113" t="str">
        <f t="shared" si="32"/>
        <v>CG01058</v>
      </c>
    </row>
    <row r="992" spans="1:11" x14ac:dyDescent="0.3">
      <c r="A992" s="298" t="s">
        <v>3578</v>
      </c>
      <c r="B992" s="298" t="s">
        <v>3579</v>
      </c>
      <c r="C992" s="298" t="s">
        <v>3580</v>
      </c>
      <c r="D992" s="298" t="s">
        <v>256</v>
      </c>
      <c r="E992" s="298"/>
      <c r="F992" s="298" t="s">
        <v>3581</v>
      </c>
      <c r="G992" s="299" t="b">
        <v>0</v>
      </c>
      <c r="H992" s="299" t="b">
        <v>0</v>
      </c>
      <c r="J992" s="113" t="str">
        <f t="shared" si="31"/>
        <v>984610833</v>
      </c>
      <c r="K992" s="113" t="str">
        <f t="shared" si="32"/>
        <v>CG01059</v>
      </c>
    </row>
    <row r="993" spans="1:11" x14ac:dyDescent="0.3">
      <c r="A993" s="298" t="s">
        <v>3582</v>
      </c>
      <c r="B993" s="298" t="s">
        <v>3583</v>
      </c>
      <c r="C993" s="298" t="s">
        <v>355</v>
      </c>
      <c r="D993" s="298" t="s">
        <v>256</v>
      </c>
      <c r="E993" s="298"/>
      <c r="F993" s="298" t="s">
        <v>3584</v>
      </c>
      <c r="G993" s="299" t="b">
        <v>0</v>
      </c>
      <c r="H993" s="299" t="b">
        <v>0</v>
      </c>
      <c r="J993" s="113" t="str">
        <f t="shared" si="31"/>
        <v>912970198</v>
      </c>
      <c r="K993" s="113" t="str">
        <f t="shared" si="32"/>
        <v>CG01060</v>
      </c>
    </row>
    <row r="994" spans="1:11" x14ac:dyDescent="0.3">
      <c r="A994" s="298" t="s">
        <v>3585</v>
      </c>
      <c r="B994" s="298" t="s">
        <v>3586</v>
      </c>
      <c r="C994" s="298" t="s">
        <v>1973</v>
      </c>
      <c r="D994" s="298" t="s">
        <v>256</v>
      </c>
      <c r="E994" s="298"/>
      <c r="F994" s="298" t="s">
        <v>3587</v>
      </c>
      <c r="G994" s="299" t="b">
        <v>0</v>
      </c>
      <c r="H994" s="299" t="b">
        <v>0</v>
      </c>
      <c r="J994" s="113" t="str">
        <f t="shared" si="31"/>
        <v>936698259</v>
      </c>
      <c r="K994" s="113" t="str">
        <f t="shared" si="32"/>
        <v>CG01061</v>
      </c>
    </row>
    <row r="995" spans="1:11" x14ac:dyDescent="0.3">
      <c r="A995" s="298" t="s">
        <v>3588</v>
      </c>
      <c r="B995" s="298" t="s">
        <v>3589</v>
      </c>
      <c r="C995" s="298" t="s">
        <v>1335</v>
      </c>
      <c r="D995" s="298" t="s">
        <v>256</v>
      </c>
      <c r="E995" s="298"/>
      <c r="F995" s="298" t="s">
        <v>3590</v>
      </c>
      <c r="G995" s="299" t="b">
        <v>0</v>
      </c>
      <c r="H995" s="299" t="b">
        <v>0</v>
      </c>
      <c r="J995" s="113" t="str">
        <f t="shared" si="31"/>
        <v>972218894</v>
      </c>
      <c r="K995" s="113" t="str">
        <f t="shared" si="32"/>
        <v>CG01062</v>
      </c>
    </row>
    <row r="996" spans="1:11" x14ac:dyDescent="0.3">
      <c r="A996" s="298" t="s">
        <v>3591</v>
      </c>
      <c r="B996" s="298" t="s">
        <v>3592</v>
      </c>
      <c r="C996" s="298" t="s">
        <v>3593</v>
      </c>
      <c r="D996" s="298" t="s">
        <v>256</v>
      </c>
      <c r="E996" s="298" t="s">
        <v>3594</v>
      </c>
      <c r="F996" s="298" t="s">
        <v>3595</v>
      </c>
      <c r="G996" s="299" t="b">
        <v>0</v>
      </c>
      <c r="H996" s="299" t="b">
        <v>0</v>
      </c>
      <c r="J996" s="113" t="str">
        <f t="shared" si="31"/>
        <v>912392055</v>
      </c>
      <c r="K996" s="113" t="str">
        <f t="shared" si="32"/>
        <v>CG01063</v>
      </c>
    </row>
    <row r="997" spans="1:11" x14ac:dyDescent="0.3">
      <c r="A997" s="298" t="s">
        <v>3596</v>
      </c>
      <c r="B997" s="298" t="s">
        <v>3597</v>
      </c>
      <c r="C997" s="298" t="s">
        <v>416</v>
      </c>
      <c r="D997" s="298" t="s">
        <v>256</v>
      </c>
      <c r="E997" s="298"/>
      <c r="F997" s="298" t="s">
        <v>3598</v>
      </c>
      <c r="G997" s="299" t="b">
        <v>0</v>
      </c>
      <c r="H997" s="299" t="b">
        <v>0</v>
      </c>
      <c r="J997" s="113" t="str">
        <f t="shared" si="31"/>
        <v>989067636</v>
      </c>
      <c r="K997" s="113" t="str">
        <f t="shared" si="32"/>
        <v>CG01064</v>
      </c>
    </row>
    <row r="998" spans="1:11" x14ac:dyDescent="0.3">
      <c r="A998" s="298" t="s">
        <v>3599</v>
      </c>
      <c r="B998" s="298" t="s">
        <v>3600</v>
      </c>
      <c r="C998" s="298" t="s">
        <v>3257</v>
      </c>
      <c r="D998" s="298" t="s">
        <v>256</v>
      </c>
      <c r="E998" s="298"/>
      <c r="F998" s="298" t="s">
        <v>3601</v>
      </c>
      <c r="G998" s="299" t="b">
        <v>0</v>
      </c>
      <c r="H998" s="299" t="b">
        <v>0</v>
      </c>
      <c r="J998" s="113" t="str">
        <f t="shared" si="31"/>
        <v>974471043</v>
      </c>
      <c r="K998" s="113" t="str">
        <f t="shared" si="32"/>
        <v>CG01065</v>
      </c>
    </row>
    <row r="999" spans="1:11" x14ac:dyDescent="0.3">
      <c r="A999" s="298" t="s">
        <v>3602</v>
      </c>
      <c r="B999" s="298" t="s">
        <v>3603</v>
      </c>
      <c r="C999" s="298" t="s">
        <v>3005</v>
      </c>
      <c r="D999" s="298" t="s">
        <v>256</v>
      </c>
      <c r="E999" s="298"/>
      <c r="F999" s="298" t="s">
        <v>3604</v>
      </c>
      <c r="G999" s="299" t="b">
        <v>0</v>
      </c>
      <c r="H999" s="299" t="b">
        <v>0</v>
      </c>
      <c r="J999" s="113" t="str">
        <f t="shared" si="31"/>
        <v>782010425</v>
      </c>
      <c r="K999" s="113" t="str">
        <f t="shared" si="32"/>
        <v>CG01066</v>
      </c>
    </row>
    <row r="1000" spans="1:11" x14ac:dyDescent="0.3">
      <c r="A1000" s="298" t="s">
        <v>3605</v>
      </c>
      <c r="B1000" s="298" t="s">
        <v>3606</v>
      </c>
      <c r="C1000" s="298" t="s">
        <v>289</v>
      </c>
      <c r="D1000" s="298" t="s">
        <v>256</v>
      </c>
      <c r="E1000" s="298"/>
      <c r="F1000" s="298" t="s">
        <v>3607</v>
      </c>
      <c r="G1000" s="299" t="b">
        <v>0</v>
      </c>
      <c r="H1000" s="299" t="b">
        <v>0</v>
      </c>
      <c r="J1000" s="113" t="str">
        <f t="shared" si="31"/>
        <v>974318668</v>
      </c>
      <c r="K1000" s="113" t="str">
        <f t="shared" si="32"/>
        <v>CG01067</v>
      </c>
    </row>
    <row r="1001" spans="1:11" x14ac:dyDescent="0.3">
      <c r="A1001" s="298" t="s">
        <v>3608</v>
      </c>
      <c r="B1001" s="298" t="s">
        <v>3609</v>
      </c>
      <c r="C1001" s="298" t="s">
        <v>289</v>
      </c>
      <c r="D1001" s="298" t="s">
        <v>256</v>
      </c>
      <c r="E1001" s="298"/>
      <c r="F1001" s="298" t="s">
        <v>3610</v>
      </c>
      <c r="G1001" s="299" t="b">
        <v>0</v>
      </c>
      <c r="H1001" s="299" t="b">
        <v>0</v>
      </c>
      <c r="J1001" s="113" t="str">
        <f t="shared" si="31"/>
        <v>834196688</v>
      </c>
      <c r="K1001" s="113" t="str">
        <f t="shared" si="32"/>
        <v>CG01068</v>
      </c>
    </row>
    <row r="1002" spans="1:11" x14ac:dyDescent="0.3">
      <c r="A1002" s="298" t="s">
        <v>3611</v>
      </c>
      <c r="B1002" s="298" t="s">
        <v>3612</v>
      </c>
      <c r="C1002" s="298" t="s">
        <v>2324</v>
      </c>
      <c r="D1002" s="298" t="s">
        <v>256</v>
      </c>
      <c r="E1002" s="298"/>
      <c r="F1002" s="298" t="s">
        <v>3613</v>
      </c>
      <c r="G1002" s="299" t="b">
        <v>0</v>
      </c>
      <c r="H1002" s="299" t="b">
        <v>0</v>
      </c>
      <c r="J1002" s="113" t="str">
        <f t="shared" si="31"/>
        <v>963487556</v>
      </c>
      <c r="K1002" s="113" t="str">
        <f t="shared" si="32"/>
        <v>CG01069</v>
      </c>
    </row>
    <row r="1003" spans="1:11" x14ac:dyDescent="0.3">
      <c r="A1003" s="298" t="s">
        <v>3614</v>
      </c>
      <c r="B1003" s="298" t="s">
        <v>3615</v>
      </c>
      <c r="C1003" s="298" t="s">
        <v>2346</v>
      </c>
      <c r="D1003" s="298" t="s">
        <v>256</v>
      </c>
      <c r="E1003" s="298"/>
      <c r="F1003" s="298" t="s">
        <v>3616</v>
      </c>
      <c r="G1003" s="299" t="b">
        <v>0</v>
      </c>
      <c r="H1003" s="299" t="b">
        <v>0</v>
      </c>
      <c r="J1003" s="113" t="str">
        <f t="shared" si="31"/>
        <v>912285686</v>
      </c>
      <c r="K1003" s="113" t="str">
        <f t="shared" si="32"/>
        <v>CG01070</v>
      </c>
    </row>
    <row r="1004" spans="1:11" x14ac:dyDescent="0.3">
      <c r="A1004" s="298" t="s">
        <v>3617</v>
      </c>
      <c r="B1004" s="298" t="s">
        <v>3618</v>
      </c>
      <c r="C1004" s="298" t="s">
        <v>3619</v>
      </c>
      <c r="D1004" s="298" t="s">
        <v>256</v>
      </c>
      <c r="E1004" s="298"/>
      <c r="F1004" s="298" t="s">
        <v>3620</v>
      </c>
      <c r="G1004" s="299" t="b">
        <v>0</v>
      </c>
      <c r="H1004" s="299" t="b">
        <v>0</v>
      </c>
      <c r="J1004" s="113" t="str">
        <f t="shared" si="31"/>
        <v>987606320</v>
      </c>
      <c r="K1004" s="113" t="str">
        <f t="shared" si="32"/>
        <v>CG01071</v>
      </c>
    </row>
    <row r="1005" spans="1:11" x14ac:dyDescent="0.3">
      <c r="A1005" s="298" t="s">
        <v>3621</v>
      </c>
      <c r="B1005" s="298" t="s">
        <v>3622</v>
      </c>
      <c r="C1005" s="298" t="s">
        <v>3005</v>
      </c>
      <c r="D1005" s="298" t="s">
        <v>256</v>
      </c>
      <c r="E1005" s="298"/>
      <c r="F1005" s="298" t="s">
        <v>3623</v>
      </c>
      <c r="G1005" s="299" t="b">
        <v>0</v>
      </c>
      <c r="H1005" s="299" t="b">
        <v>0</v>
      </c>
      <c r="J1005" s="113" t="str">
        <f t="shared" si="31"/>
        <v>378544723</v>
      </c>
      <c r="K1005" s="113" t="str">
        <f t="shared" si="32"/>
        <v>CG01072</v>
      </c>
    </row>
    <row r="1006" spans="1:11" x14ac:dyDescent="0.3">
      <c r="A1006" s="298" t="s">
        <v>3624</v>
      </c>
      <c r="B1006" s="298" t="s">
        <v>3625</v>
      </c>
      <c r="C1006" s="298" t="s">
        <v>1587</v>
      </c>
      <c r="D1006" s="298" t="s">
        <v>256</v>
      </c>
      <c r="E1006" s="298"/>
      <c r="F1006" s="298" t="s">
        <v>3626</v>
      </c>
      <c r="G1006" s="299" t="b">
        <v>0</v>
      </c>
      <c r="H1006" s="299" t="b">
        <v>0</v>
      </c>
      <c r="J1006" s="113" t="str">
        <f t="shared" si="31"/>
        <v>328532018</v>
      </c>
      <c r="K1006" s="113" t="str">
        <f t="shared" si="32"/>
        <v>CG01073</v>
      </c>
    </row>
    <row r="1007" spans="1:11" x14ac:dyDescent="0.3">
      <c r="A1007" s="298" t="s">
        <v>3627</v>
      </c>
      <c r="B1007" s="298" t="s">
        <v>3628</v>
      </c>
      <c r="C1007" s="298" t="s">
        <v>305</v>
      </c>
      <c r="D1007" s="298" t="s">
        <v>256</v>
      </c>
      <c r="E1007" s="298"/>
      <c r="F1007" s="298" t="s">
        <v>3629</v>
      </c>
      <c r="G1007" s="299" t="b">
        <v>0</v>
      </c>
      <c r="H1007" s="299" t="b">
        <v>0</v>
      </c>
      <c r="J1007" s="113" t="str">
        <f t="shared" si="31"/>
        <v>983419633</v>
      </c>
      <c r="K1007" s="113" t="str">
        <f t="shared" si="32"/>
        <v>CG01074</v>
      </c>
    </row>
    <row r="1008" spans="1:11" x14ac:dyDescent="0.3">
      <c r="A1008" s="298" t="s">
        <v>3630</v>
      </c>
      <c r="B1008" s="298" t="s">
        <v>3631</v>
      </c>
      <c r="C1008" s="298" t="s">
        <v>785</v>
      </c>
      <c r="D1008" s="298" t="s">
        <v>256</v>
      </c>
      <c r="E1008" s="298"/>
      <c r="F1008" s="298" t="s">
        <v>3632</v>
      </c>
      <c r="G1008" s="299" t="b">
        <v>0</v>
      </c>
      <c r="H1008" s="299" t="b">
        <v>0</v>
      </c>
      <c r="J1008" s="113" t="str">
        <f t="shared" si="31"/>
        <v>303507412</v>
      </c>
      <c r="K1008" s="113" t="str">
        <f t="shared" si="32"/>
        <v>CG01075</v>
      </c>
    </row>
    <row r="1009" spans="1:11" x14ac:dyDescent="0.3">
      <c r="A1009" s="298" t="s">
        <v>3633</v>
      </c>
      <c r="B1009" s="298" t="s">
        <v>3634</v>
      </c>
      <c r="C1009" s="298" t="s">
        <v>375</v>
      </c>
      <c r="D1009" s="298" t="s">
        <v>256</v>
      </c>
      <c r="E1009" s="298"/>
      <c r="F1009" s="298" t="s">
        <v>3635</v>
      </c>
      <c r="G1009" s="299" t="b">
        <v>0</v>
      </c>
      <c r="H1009" s="299" t="b">
        <v>0</v>
      </c>
      <c r="J1009" s="113" t="str">
        <f t="shared" si="31"/>
        <v>973736850</v>
      </c>
      <c r="K1009" s="113" t="str">
        <f t="shared" si="32"/>
        <v>CG01076</v>
      </c>
    </row>
    <row r="1010" spans="1:11" x14ac:dyDescent="0.3">
      <c r="A1010" s="298" t="s">
        <v>3636</v>
      </c>
      <c r="B1010" s="298" t="s">
        <v>3637</v>
      </c>
      <c r="C1010" s="298" t="s">
        <v>3638</v>
      </c>
      <c r="D1010" s="298" t="s">
        <v>256</v>
      </c>
      <c r="E1010" s="298" t="s">
        <v>3639</v>
      </c>
      <c r="F1010" s="298" t="s">
        <v>3640</v>
      </c>
      <c r="G1010" s="299" t="b">
        <v>0</v>
      </c>
      <c r="H1010" s="299" t="b">
        <v>0</v>
      </c>
      <c r="J1010" s="113" t="str">
        <f t="shared" si="31"/>
        <v>904783534</v>
      </c>
      <c r="K1010" s="113" t="str">
        <f t="shared" si="32"/>
        <v>CG01077</v>
      </c>
    </row>
    <row r="1011" spans="1:11" x14ac:dyDescent="0.3">
      <c r="A1011" s="298" t="s">
        <v>3641</v>
      </c>
      <c r="B1011" s="298" t="s">
        <v>3642</v>
      </c>
      <c r="C1011" s="298" t="s">
        <v>3451</v>
      </c>
      <c r="D1011" s="298" t="s">
        <v>256</v>
      </c>
      <c r="E1011" s="298"/>
      <c r="F1011" s="298" t="s">
        <v>3643</v>
      </c>
      <c r="G1011" s="299" t="b">
        <v>0</v>
      </c>
      <c r="H1011" s="299" t="b">
        <v>0</v>
      </c>
      <c r="J1011" s="113" t="str">
        <f t="shared" si="31"/>
        <v>961328268</v>
      </c>
      <c r="K1011" s="113" t="str">
        <f t="shared" si="32"/>
        <v>CG01078</v>
      </c>
    </row>
    <row r="1012" spans="1:11" x14ac:dyDescent="0.3">
      <c r="A1012" s="298" t="s">
        <v>3644</v>
      </c>
      <c r="B1012" s="298" t="s">
        <v>3645</v>
      </c>
      <c r="C1012" s="298" t="s">
        <v>230</v>
      </c>
      <c r="D1012" s="298" t="s">
        <v>256</v>
      </c>
      <c r="E1012" s="298"/>
      <c r="F1012" s="298" t="s">
        <v>3646</v>
      </c>
      <c r="G1012" s="299" t="b">
        <v>0</v>
      </c>
      <c r="H1012" s="299" t="b">
        <v>0</v>
      </c>
      <c r="J1012" s="113" t="str">
        <f t="shared" si="31"/>
        <v>915005013</v>
      </c>
      <c r="K1012" s="113" t="str">
        <f t="shared" si="32"/>
        <v>CG01079</v>
      </c>
    </row>
    <row r="1013" spans="1:11" x14ac:dyDescent="0.3">
      <c r="A1013" s="298" t="s">
        <v>3647</v>
      </c>
      <c r="B1013" s="298" t="s">
        <v>3648</v>
      </c>
      <c r="C1013" s="298" t="s">
        <v>289</v>
      </c>
      <c r="D1013" s="298" t="s">
        <v>256</v>
      </c>
      <c r="E1013" s="298"/>
      <c r="F1013" s="298" t="s">
        <v>3649</v>
      </c>
      <c r="G1013" s="299" t="b">
        <v>0</v>
      </c>
      <c r="H1013" s="299" t="b">
        <v>0</v>
      </c>
      <c r="J1013" s="113" t="str">
        <f t="shared" si="31"/>
        <v>989924422</v>
      </c>
      <c r="K1013" s="113" t="str">
        <f t="shared" si="32"/>
        <v>CG01080</v>
      </c>
    </row>
    <row r="1014" spans="1:11" x14ac:dyDescent="0.3">
      <c r="A1014" s="298" t="s">
        <v>3650</v>
      </c>
      <c r="B1014" s="298" t="s">
        <v>3651</v>
      </c>
      <c r="C1014" s="298" t="s">
        <v>231</v>
      </c>
      <c r="D1014" s="298" t="s">
        <v>256</v>
      </c>
      <c r="E1014" s="298"/>
      <c r="F1014" s="298" t="s">
        <v>3652</v>
      </c>
      <c r="G1014" s="299" t="b">
        <v>0</v>
      </c>
      <c r="H1014" s="299" t="b">
        <v>0</v>
      </c>
      <c r="J1014" s="113" t="str">
        <f t="shared" si="31"/>
        <v>918538415</v>
      </c>
      <c r="K1014" s="113" t="str">
        <f t="shared" si="32"/>
        <v>CG01081</v>
      </c>
    </row>
    <row r="1015" spans="1:11" x14ac:dyDescent="0.3">
      <c r="A1015" s="298" t="s">
        <v>3653</v>
      </c>
      <c r="B1015" s="298" t="s">
        <v>3654</v>
      </c>
      <c r="C1015" s="298" t="s">
        <v>375</v>
      </c>
      <c r="D1015" s="298" t="s">
        <v>256</v>
      </c>
      <c r="E1015" s="298"/>
      <c r="F1015" s="298" t="s">
        <v>3655</v>
      </c>
      <c r="G1015" s="299" t="b">
        <v>0</v>
      </c>
      <c r="H1015" s="299" t="b">
        <v>0</v>
      </c>
      <c r="J1015" s="113" t="str">
        <f t="shared" si="31"/>
        <v>968161599</v>
      </c>
      <c r="K1015" s="113" t="str">
        <f t="shared" si="32"/>
        <v>CG01082</v>
      </c>
    </row>
    <row r="1016" spans="1:11" x14ac:dyDescent="0.3">
      <c r="A1016" s="298" t="s">
        <v>3656</v>
      </c>
      <c r="B1016" s="298" t="s">
        <v>3657</v>
      </c>
      <c r="C1016" s="298" t="s">
        <v>3658</v>
      </c>
      <c r="D1016" s="298" t="s">
        <v>256</v>
      </c>
      <c r="E1016" s="298"/>
      <c r="F1016" s="298" t="s">
        <v>3659</v>
      </c>
      <c r="G1016" s="299" t="b">
        <v>0</v>
      </c>
      <c r="H1016" s="299" t="b">
        <v>0</v>
      </c>
      <c r="J1016" s="113" t="str">
        <f t="shared" si="31"/>
        <v>795399806</v>
      </c>
      <c r="K1016" s="113" t="str">
        <f t="shared" si="32"/>
        <v>CG01083</v>
      </c>
    </row>
    <row r="1017" spans="1:11" x14ac:dyDescent="0.3">
      <c r="A1017" s="298" t="s">
        <v>3660</v>
      </c>
      <c r="B1017" s="298" t="s">
        <v>3661</v>
      </c>
      <c r="C1017" s="298" t="s">
        <v>2324</v>
      </c>
      <c r="D1017" s="298" t="s">
        <v>256</v>
      </c>
      <c r="E1017" s="298"/>
      <c r="F1017" s="298" t="s">
        <v>3662</v>
      </c>
      <c r="G1017" s="299" t="b">
        <v>0</v>
      </c>
      <c r="H1017" s="299" t="b">
        <v>0</v>
      </c>
      <c r="J1017" s="113" t="str">
        <f t="shared" si="31"/>
        <v>912664330</v>
      </c>
      <c r="K1017" s="113" t="str">
        <f t="shared" si="32"/>
        <v>CG01084</v>
      </c>
    </row>
    <row r="1018" spans="1:11" x14ac:dyDescent="0.3">
      <c r="A1018" s="298" t="s">
        <v>3663</v>
      </c>
      <c r="B1018" s="298" t="s">
        <v>3664</v>
      </c>
      <c r="C1018" s="298" t="s">
        <v>231</v>
      </c>
      <c r="D1018" s="298" t="s">
        <v>256</v>
      </c>
      <c r="E1018" s="298"/>
      <c r="F1018" s="298" t="s">
        <v>3665</v>
      </c>
      <c r="G1018" s="299" t="b">
        <v>0</v>
      </c>
      <c r="H1018" s="299" t="b">
        <v>0</v>
      </c>
      <c r="J1018" s="113" t="str">
        <f t="shared" si="31"/>
        <v>946055869</v>
      </c>
      <c r="K1018" s="113" t="str">
        <f t="shared" si="32"/>
        <v>CG01085</v>
      </c>
    </row>
    <row r="1019" spans="1:11" x14ac:dyDescent="0.3">
      <c r="A1019" s="298" t="s">
        <v>3666</v>
      </c>
      <c r="B1019" s="298" t="s">
        <v>3667</v>
      </c>
      <c r="C1019" s="298" t="s">
        <v>230</v>
      </c>
      <c r="D1019" s="298" t="s">
        <v>256</v>
      </c>
      <c r="E1019" s="298"/>
      <c r="F1019" s="298" t="s">
        <v>3668</v>
      </c>
      <c r="G1019" s="299" t="b">
        <v>0</v>
      </c>
      <c r="H1019" s="299" t="b">
        <v>0</v>
      </c>
      <c r="J1019" s="113" t="str">
        <f t="shared" si="31"/>
        <v>389953333</v>
      </c>
      <c r="K1019" s="113" t="str">
        <f t="shared" si="32"/>
        <v>CG01086</v>
      </c>
    </row>
    <row r="1020" spans="1:11" x14ac:dyDescent="0.3">
      <c r="A1020" s="298" t="s">
        <v>3669</v>
      </c>
      <c r="B1020" s="298" t="s">
        <v>3670</v>
      </c>
      <c r="C1020" s="298" t="s">
        <v>565</v>
      </c>
      <c r="D1020" s="298" t="s">
        <v>256</v>
      </c>
      <c r="E1020" s="298"/>
      <c r="F1020" s="298" t="s">
        <v>3671</v>
      </c>
      <c r="G1020" s="299" t="b">
        <v>0</v>
      </c>
      <c r="H1020" s="299" t="b">
        <v>0</v>
      </c>
      <c r="J1020" s="113" t="str">
        <f t="shared" si="31"/>
        <v>914598071</v>
      </c>
      <c r="K1020" s="113" t="str">
        <f t="shared" si="32"/>
        <v>CG01087</v>
      </c>
    </row>
    <row r="1021" spans="1:11" x14ac:dyDescent="0.3">
      <c r="A1021" s="298" t="s">
        <v>3672</v>
      </c>
      <c r="B1021" s="298" t="s">
        <v>3673</v>
      </c>
      <c r="C1021" s="298" t="s">
        <v>3674</v>
      </c>
      <c r="D1021" s="298" t="s">
        <v>256</v>
      </c>
      <c r="E1021" s="298"/>
      <c r="F1021" s="298" t="s">
        <v>3675</v>
      </c>
      <c r="G1021" s="299" t="b">
        <v>0</v>
      </c>
      <c r="H1021" s="299" t="b">
        <v>0</v>
      </c>
      <c r="J1021" s="113" t="str">
        <f t="shared" si="31"/>
        <v>913439227</v>
      </c>
      <c r="K1021" s="113" t="str">
        <f t="shared" si="32"/>
        <v>CG01088</v>
      </c>
    </row>
    <row r="1022" spans="1:11" x14ac:dyDescent="0.3">
      <c r="A1022" s="298" t="s">
        <v>3676</v>
      </c>
      <c r="B1022" s="298" t="s">
        <v>3677</v>
      </c>
      <c r="C1022" s="298" t="s">
        <v>1237</v>
      </c>
      <c r="D1022" s="298" t="s">
        <v>256</v>
      </c>
      <c r="E1022" s="298"/>
      <c r="F1022" s="298" t="s">
        <v>3678</v>
      </c>
      <c r="G1022" s="299" t="b">
        <v>0</v>
      </c>
      <c r="H1022" s="299" t="b">
        <v>0</v>
      </c>
      <c r="J1022" s="113" t="str">
        <f t="shared" si="31"/>
        <v>915054845</v>
      </c>
      <c r="K1022" s="113" t="str">
        <f t="shared" si="32"/>
        <v>CG01089</v>
      </c>
    </row>
    <row r="1023" spans="1:11" x14ac:dyDescent="0.3">
      <c r="A1023" s="298" t="s">
        <v>3679</v>
      </c>
      <c r="B1023" s="298" t="s">
        <v>3680</v>
      </c>
      <c r="C1023" s="298" t="s">
        <v>1237</v>
      </c>
      <c r="D1023" s="298" t="s">
        <v>256</v>
      </c>
      <c r="E1023" s="298"/>
      <c r="F1023" s="298" t="s">
        <v>3681</v>
      </c>
      <c r="G1023" s="299" t="b">
        <v>0</v>
      </c>
      <c r="H1023" s="299" t="b">
        <v>0</v>
      </c>
      <c r="J1023" s="113" t="str">
        <f t="shared" si="31"/>
        <v>912681299</v>
      </c>
      <c r="K1023" s="113" t="str">
        <f t="shared" si="32"/>
        <v>CG01090</v>
      </c>
    </row>
    <row r="1024" spans="1:11" x14ac:dyDescent="0.3">
      <c r="A1024" s="298" t="s">
        <v>3682</v>
      </c>
      <c r="B1024" s="298" t="s">
        <v>3683</v>
      </c>
      <c r="C1024" s="298" t="s">
        <v>416</v>
      </c>
      <c r="D1024" s="298" t="s">
        <v>256</v>
      </c>
      <c r="E1024" s="298"/>
      <c r="F1024" s="298" t="s">
        <v>3684</v>
      </c>
      <c r="G1024" s="299" t="b">
        <v>0</v>
      </c>
      <c r="H1024" s="299" t="b">
        <v>0</v>
      </c>
      <c r="J1024" s="113" t="str">
        <f t="shared" si="31"/>
        <v>989999699</v>
      </c>
      <c r="K1024" s="113" t="str">
        <f t="shared" si="32"/>
        <v>CG01091</v>
      </c>
    </row>
    <row r="1025" spans="1:11" x14ac:dyDescent="0.3">
      <c r="A1025" s="298" t="s">
        <v>3685</v>
      </c>
      <c r="B1025" s="298" t="s">
        <v>3686</v>
      </c>
      <c r="C1025" s="298" t="s">
        <v>289</v>
      </c>
      <c r="D1025" s="298" t="s">
        <v>256</v>
      </c>
      <c r="E1025" s="298"/>
      <c r="F1025" s="298" t="s">
        <v>3687</v>
      </c>
      <c r="G1025" s="299" t="b">
        <v>0</v>
      </c>
      <c r="H1025" s="299" t="b">
        <v>0</v>
      </c>
      <c r="J1025" s="113" t="str">
        <f t="shared" si="31"/>
        <v>915075423</v>
      </c>
      <c r="K1025" s="113" t="str">
        <f t="shared" si="32"/>
        <v>CG01092</v>
      </c>
    </row>
    <row r="1026" spans="1:11" x14ac:dyDescent="0.3">
      <c r="A1026" s="298" t="s">
        <v>3688</v>
      </c>
      <c r="B1026" s="298" t="s">
        <v>3689</v>
      </c>
      <c r="C1026" s="298" t="s">
        <v>3690</v>
      </c>
      <c r="D1026" s="298" t="s">
        <v>256</v>
      </c>
      <c r="E1026" s="298"/>
      <c r="F1026" s="298" t="s">
        <v>3691</v>
      </c>
      <c r="G1026" s="299" t="b">
        <v>0</v>
      </c>
      <c r="H1026" s="299" t="b">
        <v>0</v>
      </c>
      <c r="J1026" s="113" t="str">
        <f t="shared" si="31"/>
        <v>949558888</v>
      </c>
      <c r="K1026" s="113" t="str">
        <f t="shared" si="32"/>
        <v>CG01093</v>
      </c>
    </row>
    <row r="1027" spans="1:11" x14ac:dyDescent="0.3">
      <c r="A1027" s="298" t="s">
        <v>3692</v>
      </c>
      <c r="B1027" s="298" t="s">
        <v>3693</v>
      </c>
      <c r="C1027" s="298" t="s">
        <v>3694</v>
      </c>
      <c r="D1027" s="298" t="s">
        <v>256</v>
      </c>
      <c r="E1027" s="298"/>
      <c r="F1027" s="298" t="s">
        <v>3695</v>
      </c>
      <c r="G1027" s="299" t="b">
        <v>0</v>
      </c>
      <c r="H1027" s="299" t="b">
        <v>0</v>
      </c>
      <c r="J1027" s="113" t="str">
        <f t="shared" si="31"/>
        <v>903423228</v>
      </c>
      <c r="K1027" s="113" t="str">
        <f t="shared" si="32"/>
        <v>CG01094</v>
      </c>
    </row>
    <row r="1028" spans="1:11" x14ac:dyDescent="0.3">
      <c r="A1028" s="298" t="s">
        <v>3696</v>
      </c>
      <c r="B1028" s="298" t="s">
        <v>3697</v>
      </c>
      <c r="C1028" s="298" t="s">
        <v>230</v>
      </c>
      <c r="D1028" s="298" t="s">
        <v>256</v>
      </c>
      <c r="E1028" s="298"/>
      <c r="F1028" s="298" t="s">
        <v>3698</v>
      </c>
      <c r="G1028" s="299" t="b">
        <v>0</v>
      </c>
      <c r="H1028" s="299" t="b">
        <v>0</v>
      </c>
      <c r="J1028" s="113" t="str">
        <f t="shared" si="31"/>
        <v>986660300</v>
      </c>
      <c r="K1028" s="113" t="str">
        <f t="shared" si="32"/>
        <v>CG01095</v>
      </c>
    </row>
    <row r="1029" spans="1:11" x14ac:dyDescent="0.3">
      <c r="A1029" s="298" t="s">
        <v>3699</v>
      </c>
      <c r="B1029" s="298" t="s">
        <v>3700</v>
      </c>
      <c r="C1029" s="298" t="s">
        <v>845</v>
      </c>
      <c r="D1029" s="298" t="s">
        <v>256</v>
      </c>
      <c r="E1029" s="298"/>
      <c r="F1029" s="298" t="s">
        <v>3701</v>
      </c>
      <c r="G1029" s="299" t="b">
        <v>0</v>
      </c>
      <c r="H1029" s="299" t="b">
        <v>0</v>
      </c>
      <c r="J1029" s="113" t="str">
        <f t="shared" ref="J1029:J1092" si="33">RIGHT(B1029,9)</f>
        <v>944029096</v>
      </c>
      <c r="K1029" s="113" t="str">
        <f t="shared" ref="K1029:K1092" si="34">A1029</f>
        <v>CG01096</v>
      </c>
    </row>
    <row r="1030" spans="1:11" x14ac:dyDescent="0.3">
      <c r="A1030" s="298" t="s">
        <v>3702</v>
      </c>
      <c r="B1030" s="298" t="s">
        <v>3703</v>
      </c>
      <c r="C1030" s="298" t="s">
        <v>1508</v>
      </c>
      <c r="D1030" s="298" t="s">
        <v>256</v>
      </c>
      <c r="E1030" s="298"/>
      <c r="F1030" s="298" t="s">
        <v>3704</v>
      </c>
      <c r="G1030" s="299" t="b">
        <v>0</v>
      </c>
      <c r="H1030" s="299" t="b">
        <v>0</v>
      </c>
      <c r="J1030" s="113" t="str">
        <f t="shared" si="33"/>
        <v>917078388</v>
      </c>
      <c r="K1030" s="113" t="str">
        <f t="shared" si="34"/>
        <v>CG01097</v>
      </c>
    </row>
    <row r="1031" spans="1:11" x14ac:dyDescent="0.3">
      <c r="A1031" s="298" t="s">
        <v>3705</v>
      </c>
      <c r="B1031" s="298" t="s">
        <v>3706</v>
      </c>
      <c r="C1031" s="298" t="s">
        <v>1508</v>
      </c>
      <c r="D1031" s="298" t="s">
        <v>256</v>
      </c>
      <c r="E1031" s="298"/>
      <c r="F1031" s="298" t="s">
        <v>3707</v>
      </c>
      <c r="G1031" s="299" t="b">
        <v>0</v>
      </c>
      <c r="H1031" s="299" t="b">
        <v>0</v>
      </c>
      <c r="J1031" s="113" t="str">
        <f t="shared" si="33"/>
        <v>989855694</v>
      </c>
      <c r="K1031" s="113" t="str">
        <f t="shared" si="34"/>
        <v>CG01098</v>
      </c>
    </row>
    <row r="1032" spans="1:11" x14ac:dyDescent="0.3">
      <c r="A1032" s="298" t="s">
        <v>3708</v>
      </c>
      <c r="B1032" s="298" t="s">
        <v>14668</v>
      </c>
      <c r="C1032" s="298" t="s">
        <v>495</v>
      </c>
      <c r="D1032" s="298" t="s">
        <v>256</v>
      </c>
      <c r="E1032" s="298"/>
      <c r="F1032" s="298" t="s">
        <v>3709</v>
      </c>
      <c r="G1032" s="299" t="b">
        <v>0</v>
      </c>
      <c r="H1032" s="299" t="b">
        <v>0</v>
      </c>
      <c r="J1032" s="113" t="str">
        <f t="shared" si="33"/>
        <v>978678889</v>
      </c>
      <c r="K1032" s="113" t="str">
        <f t="shared" si="34"/>
        <v>CG01099</v>
      </c>
    </row>
    <row r="1033" spans="1:11" x14ac:dyDescent="0.3">
      <c r="A1033" s="298" t="s">
        <v>3710</v>
      </c>
      <c r="B1033" s="298" t="s">
        <v>3711</v>
      </c>
      <c r="C1033" s="298" t="s">
        <v>541</v>
      </c>
      <c r="D1033" s="298" t="s">
        <v>256</v>
      </c>
      <c r="E1033" s="298"/>
      <c r="F1033" s="298" t="s">
        <v>3712</v>
      </c>
      <c r="G1033" s="299" t="b">
        <v>0</v>
      </c>
      <c r="H1033" s="299" t="b">
        <v>0</v>
      </c>
      <c r="J1033" s="113" t="str">
        <f t="shared" si="33"/>
        <v>904066358</v>
      </c>
      <c r="K1033" s="113" t="str">
        <f t="shared" si="34"/>
        <v>CG01100</v>
      </c>
    </row>
    <row r="1034" spans="1:11" x14ac:dyDescent="0.3">
      <c r="A1034" s="298" t="s">
        <v>3713</v>
      </c>
      <c r="B1034" s="298" t="s">
        <v>3714</v>
      </c>
      <c r="C1034" s="298" t="s">
        <v>997</v>
      </c>
      <c r="D1034" s="298" t="s">
        <v>256</v>
      </c>
      <c r="E1034" s="298"/>
      <c r="F1034" s="298" t="s">
        <v>3715</v>
      </c>
      <c r="G1034" s="299" t="b">
        <v>0</v>
      </c>
      <c r="H1034" s="299" t="b">
        <v>0</v>
      </c>
      <c r="J1034" s="113" t="str">
        <f t="shared" si="33"/>
        <v>834416396</v>
      </c>
      <c r="K1034" s="113" t="str">
        <f t="shared" si="34"/>
        <v>CG01101</v>
      </c>
    </row>
    <row r="1035" spans="1:11" x14ac:dyDescent="0.3">
      <c r="A1035" s="298" t="s">
        <v>3716</v>
      </c>
      <c r="B1035" s="298" t="s">
        <v>3717</v>
      </c>
      <c r="C1035" s="298" t="s">
        <v>230</v>
      </c>
      <c r="D1035" s="298" t="s">
        <v>256</v>
      </c>
      <c r="E1035" s="298"/>
      <c r="F1035" s="298" t="s">
        <v>3718</v>
      </c>
      <c r="G1035" s="299" t="b">
        <v>0</v>
      </c>
      <c r="H1035" s="299" t="b">
        <v>0</v>
      </c>
      <c r="J1035" s="113" t="str">
        <f t="shared" si="33"/>
        <v>949688950</v>
      </c>
      <c r="K1035" s="113" t="str">
        <f t="shared" si="34"/>
        <v>CG01102</v>
      </c>
    </row>
    <row r="1036" spans="1:11" x14ac:dyDescent="0.3">
      <c r="A1036" s="298" t="s">
        <v>3719</v>
      </c>
      <c r="B1036" s="298" t="s">
        <v>3720</v>
      </c>
      <c r="C1036" s="298" t="s">
        <v>230</v>
      </c>
      <c r="D1036" s="298" t="s">
        <v>256</v>
      </c>
      <c r="E1036" s="298"/>
      <c r="F1036" s="298" t="s">
        <v>3721</v>
      </c>
      <c r="G1036" s="299" t="b">
        <v>0</v>
      </c>
      <c r="H1036" s="299" t="b">
        <v>0</v>
      </c>
      <c r="J1036" s="113" t="str">
        <f t="shared" si="33"/>
        <v>986139749</v>
      </c>
      <c r="K1036" s="113" t="str">
        <f t="shared" si="34"/>
        <v>CG01103</v>
      </c>
    </row>
    <row r="1037" spans="1:11" x14ac:dyDescent="0.3">
      <c r="A1037" s="298" t="s">
        <v>3722</v>
      </c>
      <c r="B1037" s="298" t="s">
        <v>3723</v>
      </c>
      <c r="C1037" s="298" t="s">
        <v>375</v>
      </c>
      <c r="D1037" s="298" t="s">
        <v>256</v>
      </c>
      <c r="E1037" s="298"/>
      <c r="F1037" s="298" t="s">
        <v>3724</v>
      </c>
      <c r="G1037" s="299" t="b">
        <v>0</v>
      </c>
      <c r="H1037" s="299" t="b">
        <v>0</v>
      </c>
      <c r="J1037" s="113" t="str">
        <f t="shared" si="33"/>
        <v>399545407</v>
      </c>
      <c r="K1037" s="113" t="str">
        <f t="shared" si="34"/>
        <v>CG01104</v>
      </c>
    </row>
    <row r="1038" spans="1:11" x14ac:dyDescent="0.3">
      <c r="A1038" s="298" t="s">
        <v>3725</v>
      </c>
      <c r="B1038" s="298" t="s">
        <v>3726</v>
      </c>
      <c r="C1038" s="298" t="s">
        <v>409</v>
      </c>
      <c r="D1038" s="298" t="s">
        <v>256</v>
      </c>
      <c r="E1038" s="298"/>
      <c r="F1038" s="298" t="s">
        <v>3727</v>
      </c>
      <c r="G1038" s="299" t="b">
        <v>0</v>
      </c>
      <c r="H1038" s="299" t="b">
        <v>0</v>
      </c>
      <c r="J1038" s="113" t="str">
        <f t="shared" si="33"/>
        <v>986836868</v>
      </c>
      <c r="K1038" s="113" t="str">
        <f t="shared" si="34"/>
        <v>CG01105</v>
      </c>
    </row>
    <row r="1039" spans="1:11" x14ac:dyDescent="0.3">
      <c r="A1039" s="298" t="s">
        <v>3728</v>
      </c>
      <c r="B1039" s="298" t="s">
        <v>3729</v>
      </c>
      <c r="C1039" s="298" t="s">
        <v>230</v>
      </c>
      <c r="D1039" s="298" t="s">
        <v>256</v>
      </c>
      <c r="E1039" s="298"/>
      <c r="F1039" s="298" t="s">
        <v>3730</v>
      </c>
      <c r="G1039" s="299" t="b">
        <v>0</v>
      </c>
      <c r="H1039" s="299" t="b">
        <v>0</v>
      </c>
      <c r="J1039" s="113" t="str">
        <f t="shared" si="33"/>
        <v>919405345</v>
      </c>
      <c r="K1039" s="113" t="str">
        <f t="shared" si="34"/>
        <v>CG01106</v>
      </c>
    </row>
    <row r="1040" spans="1:11" x14ac:dyDescent="0.3">
      <c r="A1040" s="298" t="s">
        <v>3731</v>
      </c>
      <c r="B1040" s="298" t="s">
        <v>3732</v>
      </c>
      <c r="C1040" s="298" t="s">
        <v>1776</v>
      </c>
      <c r="D1040" s="298" t="s">
        <v>256</v>
      </c>
      <c r="E1040" s="298"/>
      <c r="F1040" s="298" t="s">
        <v>3733</v>
      </c>
      <c r="G1040" s="299" t="b">
        <v>0</v>
      </c>
      <c r="H1040" s="299" t="b">
        <v>0</v>
      </c>
      <c r="J1040" s="113" t="str">
        <f t="shared" si="33"/>
        <v>913527803</v>
      </c>
      <c r="K1040" s="113" t="str">
        <f t="shared" si="34"/>
        <v>CG01107</v>
      </c>
    </row>
    <row r="1041" spans="1:11" x14ac:dyDescent="0.3">
      <c r="A1041" s="298" t="s">
        <v>3734</v>
      </c>
      <c r="B1041" s="298" t="s">
        <v>3735</v>
      </c>
      <c r="C1041" s="298" t="s">
        <v>2114</v>
      </c>
      <c r="D1041" s="298" t="s">
        <v>256</v>
      </c>
      <c r="E1041" s="298"/>
      <c r="F1041" s="298" t="s">
        <v>3736</v>
      </c>
      <c r="G1041" s="299" t="b">
        <v>0</v>
      </c>
      <c r="H1041" s="299" t="b">
        <v>0</v>
      </c>
      <c r="J1041" s="113" t="str">
        <f t="shared" si="33"/>
        <v>913538395</v>
      </c>
      <c r="K1041" s="113" t="str">
        <f t="shared" si="34"/>
        <v>CG01108</v>
      </c>
    </row>
    <row r="1042" spans="1:11" x14ac:dyDescent="0.3">
      <c r="A1042" s="298" t="s">
        <v>3737</v>
      </c>
      <c r="B1042" s="298" t="s">
        <v>3738</v>
      </c>
      <c r="C1042" s="298" t="s">
        <v>510</v>
      </c>
      <c r="D1042" s="298" t="s">
        <v>256</v>
      </c>
      <c r="E1042" s="298"/>
      <c r="F1042" s="298" t="s">
        <v>3739</v>
      </c>
      <c r="G1042" s="299" t="b">
        <v>0</v>
      </c>
      <c r="H1042" s="299" t="b">
        <v>0</v>
      </c>
      <c r="J1042" s="113" t="str">
        <f t="shared" si="33"/>
        <v>912959766</v>
      </c>
      <c r="K1042" s="113" t="str">
        <f t="shared" si="34"/>
        <v>CG01109</v>
      </c>
    </row>
    <row r="1043" spans="1:11" x14ac:dyDescent="0.3">
      <c r="A1043" s="298" t="s">
        <v>3740</v>
      </c>
      <c r="B1043" s="298" t="s">
        <v>3741</v>
      </c>
      <c r="C1043" s="298" t="s">
        <v>3742</v>
      </c>
      <c r="D1043" s="298" t="s">
        <v>256</v>
      </c>
      <c r="E1043" s="298"/>
      <c r="F1043" s="298" t="s">
        <v>3743</v>
      </c>
      <c r="G1043" s="299" t="b">
        <v>0</v>
      </c>
      <c r="H1043" s="299" t="b">
        <v>0</v>
      </c>
      <c r="J1043" s="113" t="str">
        <f t="shared" si="33"/>
        <v>902239676</v>
      </c>
      <c r="K1043" s="113" t="str">
        <f t="shared" si="34"/>
        <v>CG01110</v>
      </c>
    </row>
    <row r="1044" spans="1:11" x14ac:dyDescent="0.3">
      <c r="A1044" s="298" t="s">
        <v>3744</v>
      </c>
      <c r="B1044" s="298" t="s">
        <v>3745</v>
      </c>
      <c r="C1044" s="298" t="s">
        <v>375</v>
      </c>
      <c r="D1044" s="298" t="s">
        <v>256</v>
      </c>
      <c r="E1044" s="298"/>
      <c r="F1044" s="298" t="s">
        <v>3746</v>
      </c>
      <c r="G1044" s="299" t="b">
        <v>0</v>
      </c>
      <c r="H1044" s="299" t="b">
        <v>0</v>
      </c>
      <c r="J1044" s="113" t="str">
        <f t="shared" si="33"/>
        <v>918047622</v>
      </c>
      <c r="K1044" s="113" t="str">
        <f t="shared" si="34"/>
        <v>CG01111</v>
      </c>
    </row>
    <row r="1045" spans="1:11" x14ac:dyDescent="0.3">
      <c r="A1045" s="298" t="s">
        <v>3747</v>
      </c>
      <c r="B1045" s="298" t="s">
        <v>3748</v>
      </c>
      <c r="C1045" s="298" t="s">
        <v>3749</v>
      </c>
      <c r="D1045" s="298" t="s">
        <v>256</v>
      </c>
      <c r="E1045" s="298"/>
      <c r="F1045" s="298" t="s">
        <v>3750</v>
      </c>
      <c r="G1045" s="299" t="b">
        <v>0</v>
      </c>
      <c r="H1045" s="299" t="b">
        <v>0</v>
      </c>
      <c r="J1045" s="113" t="str">
        <f t="shared" si="33"/>
        <v>979498567</v>
      </c>
      <c r="K1045" s="113" t="str">
        <f t="shared" si="34"/>
        <v>CG01112</v>
      </c>
    </row>
    <row r="1046" spans="1:11" x14ac:dyDescent="0.3">
      <c r="A1046" s="298" t="s">
        <v>3751</v>
      </c>
      <c r="B1046" s="298" t="s">
        <v>3752</v>
      </c>
      <c r="C1046" s="298" t="s">
        <v>3753</v>
      </c>
      <c r="D1046" s="298" t="s">
        <v>256</v>
      </c>
      <c r="E1046" s="298"/>
      <c r="F1046" s="298" t="s">
        <v>3754</v>
      </c>
      <c r="G1046" s="299" t="b">
        <v>0</v>
      </c>
      <c r="H1046" s="299" t="b">
        <v>0</v>
      </c>
      <c r="J1046" s="113" t="str">
        <f t="shared" si="33"/>
        <v>915348557</v>
      </c>
      <c r="K1046" s="113" t="str">
        <f t="shared" si="34"/>
        <v>CG01113</v>
      </c>
    </row>
    <row r="1047" spans="1:11" x14ac:dyDescent="0.3">
      <c r="A1047" s="298" t="s">
        <v>3755</v>
      </c>
      <c r="B1047" s="298" t="s">
        <v>3756</v>
      </c>
      <c r="C1047" s="298" t="s">
        <v>3757</v>
      </c>
      <c r="D1047" s="298" t="s">
        <v>256</v>
      </c>
      <c r="E1047" s="298"/>
      <c r="F1047" s="298" t="s">
        <v>3758</v>
      </c>
      <c r="G1047" s="299" t="b">
        <v>0</v>
      </c>
      <c r="H1047" s="299" t="b">
        <v>0</v>
      </c>
      <c r="J1047" s="113" t="str">
        <f t="shared" si="33"/>
        <v>919838559</v>
      </c>
      <c r="K1047" s="113" t="str">
        <f t="shared" si="34"/>
        <v>CG01114</v>
      </c>
    </row>
    <row r="1048" spans="1:11" x14ac:dyDescent="0.3">
      <c r="A1048" s="298" t="s">
        <v>3759</v>
      </c>
      <c r="B1048" s="298" t="s">
        <v>3760</v>
      </c>
      <c r="C1048" s="298" t="s">
        <v>3761</v>
      </c>
      <c r="D1048" s="298" t="s">
        <v>256</v>
      </c>
      <c r="E1048" s="298"/>
      <c r="F1048" s="298" t="s">
        <v>3762</v>
      </c>
      <c r="G1048" s="299" t="b">
        <v>0</v>
      </c>
      <c r="H1048" s="299" t="b">
        <v>0</v>
      </c>
      <c r="J1048" s="113" t="str">
        <f t="shared" si="33"/>
        <v>912151912</v>
      </c>
      <c r="K1048" s="113" t="str">
        <f t="shared" si="34"/>
        <v>CG01115</v>
      </c>
    </row>
    <row r="1049" spans="1:11" x14ac:dyDescent="0.3">
      <c r="A1049" s="298" t="s">
        <v>3763</v>
      </c>
      <c r="B1049" s="298" t="s">
        <v>3764</v>
      </c>
      <c r="C1049" s="298" t="s">
        <v>3765</v>
      </c>
      <c r="D1049" s="298" t="s">
        <v>256</v>
      </c>
      <c r="E1049" s="298"/>
      <c r="F1049" s="298" t="s">
        <v>3766</v>
      </c>
      <c r="G1049" s="299" t="b">
        <v>0</v>
      </c>
      <c r="H1049" s="299" t="b">
        <v>0</v>
      </c>
      <c r="J1049" s="113" t="str">
        <f t="shared" si="33"/>
        <v>904636598</v>
      </c>
      <c r="K1049" s="113" t="str">
        <f t="shared" si="34"/>
        <v>CG01116</v>
      </c>
    </row>
    <row r="1050" spans="1:11" x14ac:dyDescent="0.3">
      <c r="A1050" s="298" t="s">
        <v>3767</v>
      </c>
      <c r="B1050" s="298" t="s">
        <v>3768</v>
      </c>
      <c r="C1050" s="298" t="s">
        <v>500</v>
      </c>
      <c r="D1050" s="298" t="s">
        <v>256</v>
      </c>
      <c r="E1050" s="298"/>
      <c r="F1050" s="298" t="s">
        <v>3769</v>
      </c>
      <c r="G1050" s="299" t="b">
        <v>0</v>
      </c>
      <c r="H1050" s="299" t="b">
        <v>0</v>
      </c>
      <c r="J1050" s="113" t="str">
        <f t="shared" si="33"/>
        <v>906179992</v>
      </c>
      <c r="K1050" s="113" t="str">
        <f t="shared" si="34"/>
        <v>CG01117</v>
      </c>
    </row>
    <row r="1051" spans="1:11" x14ac:dyDescent="0.3">
      <c r="A1051" s="298" t="s">
        <v>3770</v>
      </c>
      <c r="B1051" s="298" t="s">
        <v>3771</v>
      </c>
      <c r="C1051" s="298" t="s">
        <v>432</v>
      </c>
      <c r="D1051" s="298" t="s">
        <v>256</v>
      </c>
      <c r="E1051" s="298"/>
      <c r="F1051" s="298" t="s">
        <v>3772</v>
      </c>
      <c r="G1051" s="299" t="b">
        <v>0</v>
      </c>
      <c r="H1051" s="299" t="b">
        <v>0</v>
      </c>
      <c r="J1051" s="113" t="str">
        <f t="shared" si="33"/>
        <v>976443430</v>
      </c>
      <c r="K1051" s="113" t="str">
        <f t="shared" si="34"/>
        <v>CG01118</v>
      </c>
    </row>
    <row r="1052" spans="1:11" x14ac:dyDescent="0.3">
      <c r="A1052" s="298" t="s">
        <v>3773</v>
      </c>
      <c r="B1052" s="298" t="s">
        <v>3774</v>
      </c>
      <c r="C1052" s="298" t="s">
        <v>809</v>
      </c>
      <c r="D1052" s="298" t="s">
        <v>256</v>
      </c>
      <c r="E1052" s="298"/>
      <c r="F1052" s="298" t="s">
        <v>3775</v>
      </c>
      <c r="G1052" s="299" t="b">
        <v>0</v>
      </c>
      <c r="H1052" s="299" t="b">
        <v>0</v>
      </c>
      <c r="J1052" s="113" t="str">
        <f t="shared" si="33"/>
        <v>384225612</v>
      </c>
      <c r="K1052" s="113" t="str">
        <f t="shared" si="34"/>
        <v>CG01119</v>
      </c>
    </row>
    <row r="1053" spans="1:11" x14ac:dyDescent="0.3">
      <c r="A1053" s="298" t="s">
        <v>3776</v>
      </c>
      <c r="B1053" s="298" t="s">
        <v>3777</v>
      </c>
      <c r="C1053" s="298" t="s">
        <v>593</v>
      </c>
      <c r="D1053" s="298" t="s">
        <v>256</v>
      </c>
      <c r="E1053" s="298"/>
      <c r="F1053" s="298" t="s">
        <v>3778</v>
      </c>
      <c r="G1053" s="299" t="b">
        <v>0</v>
      </c>
      <c r="H1053" s="299" t="b">
        <v>0</v>
      </c>
      <c r="J1053" s="113" t="str">
        <f t="shared" si="33"/>
        <v>936834559</v>
      </c>
      <c r="K1053" s="113" t="str">
        <f t="shared" si="34"/>
        <v>CG01120</v>
      </c>
    </row>
    <row r="1054" spans="1:11" x14ac:dyDescent="0.3">
      <c r="A1054" s="298" t="s">
        <v>3779</v>
      </c>
      <c r="B1054" s="298" t="s">
        <v>3780</v>
      </c>
      <c r="C1054" s="298" t="s">
        <v>916</v>
      </c>
      <c r="D1054" s="298" t="s">
        <v>256</v>
      </c>
      <c r="E1054" s="298"/>
      <c r="F1054" s="298" t="s">
        <v>3781</v>
      </c>
      <c r="G1054" s="299" t="b">
        <v>0</v>
      </c>
      <c r="H1054" s="299" t="b">
        <v>0</v>
      </c>
      <c r="J1054" s="113" t="str">
        <f t="shared" si="33"/>
        <v>965238889</v>
      </c>
      <c r="K1054" s="113" t="str">
        <f t="shared" si="34"/>
        <v>CG01121</v>
      </c>
    </row>
    <row r="1055" spans="1:11" x14ac:dyDescent="0.3">
      <c r="A1055" s="298" t="s">
        <v>3782</v>
      </c>
      <c r="B1055" s="298" t="s">
        <v>3783</v>
      </c>
      <c r="C1055" s="298" t="s">
        <v>355</v>
      </c>
      <c r="D1055" s="298" t="s">
        <v>256</v>
      </c>
      <c r="E1055" s="298"/>
      <c r="F1055" s="298" t="s">
        <v>3784</v>
      </c>
      <c r="G1055" s="299" t="b">
        <v>0</v>
      </c>
      <c r="H1055" s="299" t="b">
        <v>0</v>
      </c>
      <c r="J1055" s="113" t="str">
        <f t="shared" si="33"/>
        <v>912178336</v>
      </c>
      <c r="K1055" s="113" t="str">
        <f t="shared" si="34"/>
        <v>CG01122</v>
      </c>
    </row>
    <row r="1056" spans="1:11" x14ac:dyDescent="0.3">
      <c r="A1056" s="298" t="s">
        <v>3785</v>
      </c>
      <c r="B1056" s="298" t="s">
        <v>3786</v>
      </c>
      <c r="C1056" s="298" t="s">
        <v>1671</v>
      </c>
      <c r="D1056" s="298" t="s">
        <v>256</v>
      </c>
      <c r="E1056" s="298"/>
      <c r="F1056" s="298" t="s">
        <v>3787</v>
      </c>
      <c r="G1056" s="299" t="b">
        <v>0</v>
      </c>
      <c r="H1056" s="299" t="b">
        <v>0</v>
      </c>
      <c r="J1056" s="113" t="str">
        <f t="shared" si="33"/>
        <v>936671423</v>
      </c>
      <c r="K1056" s="113" t="str">
        <f t="shared" si="34"/>
        <v>CG01124</v>
      </c>
    </row>
    <row r="1057" spans="1:11" x14ac:dyDescent="0.3">
      <c r="A1057" s="298" t="s">
        <v>3788</v>
      </c>
      <c r="B1057" s="298" t="s">
        <v>3789</v>
      </c>
      <c r="C1057" s="298" t="s">
        <v>1004</v>
      </c>
      <c r="D1057" s="298" t="s">
        <v>256</v>
      </c>
      <c r="E1057" s="298"/>
      <c r="F1057" s="298" t="s">
        <v>3790</v>
      </c>
      <c r="G1057" s="299" t="b">
        <v>0</v>
      </c>
      <c r="H1057" s="299" t="b">
        <v>0</v>
      </c>
      <c r="J1057" s="113" t="str">
        <f t="shared" si="33"/>
        <v>962838668</v>
      </c>
      <c r="K1057" s="113" t="str">
        <f t="shared" si="34"/>
        <v>CG01125</v>
      </c>
    </row>
    <row r="1058" spans="1:11" x14ac:dyDescent="0.3">
      <c r="A1058" s="298" t="s">
        <v>3791</v>
      </c>
      <c r="B1058" s="298" t="s">
        <v>3792</v>
      </c>
      <c r="C1058" s="298" t="s">
        <v>340</v>
      </c>
      <c r="D1058" s="298" t="s">
        <v>256</v>
      </c>
      <c r="E1058" s="298"/>
      <c r="F1058" s="298" t="s">
        <v>3793</v>
      </c>
      <c r="G1058" s="299" t="b">
        <v>0</v>
      </c>
      <c r="H1058" s="299" t="b">
        <v>0</v>
      </c>
      <c r="J1058" s="113" t="str">
        <f t="shared" si="33"/>
        <v>976498461</v>
      </c>
      <c r="K1058" s="113" t="str">
        <f t="shared" si="34"/>
        <v>CG01126</v>
      </c>
    </row>
    <row r="1059" spans="1:11" x14ac:dyDescent="0.3">
      <c r="A1059" s="298" t="s">
        <v>3794</v>
      </c>
      <c r="B1059" s="298" t="s">
        <v>3795</v>
      </c>
      <c r="C1059" s="298" t="s">
        <v>1607</v>
      </c>
      <c r="D1059" s="298" t="s">
        <v>256</v>
      </c>
      <c r="E1059" s="298"/>
      <c r="F1059" s="298" t="s">
        <v>3796</v>
      </c>
      <c r="G1059" s="299" t="b">
        <v>0</v>
      </c>
      <c r="H1059" s="299" t="b">
        <v>0</v>
      </c>
      <c r="J1059" s="113" t="str">
        <f t="shared" si="33"/>
        <v>912709119</v>
      </c>
      <c r="K1059" s="113" t="str">
        <f t="shared" si="34"/>
        <v>CG01127</v>
      </c>
    </row>
    <row r="1060" spans="1:11" x14ac:dyDescent="0.3">
      <c r="A1060" s="298" t="s">
        <v>3797</v>
      </c>
      <c r="B1060" s="298" t="s">
        <v>3798</v>
      </c>
      <c r="C1060" s="298" t="s">
        <v>550</v>
      </c>
      <c r="D1060" s="298" t="s">
        <v>256</v>
      </c>
      <c r="E1060" s="298"/>
      <c r="F1060" s="298" t="s">
        <v>3799</v>
      </c>
      <c r="G1060" s="299" t="b">
        <v>0</v>
      </c>
      <c r="H1060" s="299" t="b">
        <v>0</v>
      </c>
      <c r="J1060" s="113" t="str">
        <f t="shared" si="33"/>
        <v>973895555</v>
      </c>
      <c r="K1060" s="113" t="str">
        <f t="shared" si="34"/>
        <v>CG01128</v>
      </c>
    </row>
    <row r="1061" spans="1:11" x14ac:dyDescent="0.3">
      <c r="A1061" s="298" t="s">
        <v>3800</v>
      </c>
      <c r="B1061" s="298" t="s">
        <v>3801</v>
      </c>
      <c r="C1061" s="298" t="s">
        <v>3802</v>
      </c>
      <c r="D1061" s="298" t="s">
        <v>256</v>
      </c>
      <c r="E1061" s="298"/>
      <c r="F1061" s="298" t="s">
        <v>3803</v>
      </c>
      <c r="G1061" s="299" t="b">
        <v>0</v>
      </c>
      <c r="H1061" s="299" t="b">
        <v>0</v>
      </c>
      <c r="J1061" s="113" t="str">
        <f t="shared" si="33"/>
        <v>976490556</v>
      </c>
      <c r="K1061" s="113" t="str">
        <f t="shared" si="34"/>
        <v>CG01129</v>
      </c>
    </row>
    <row r="1062" spans="1:11" x14ac:dyDescent="0.3">
      <c r="A1062" s="298" t="s">
        <v>3804</v>
      </c>
      <c r="B1062" s="298" t="s">
        <v>3805</v>
      </c>
      <c r="C1062" s="298" t="s">
        <v>2412</v>
      </c>
      <c r="D1062" s="298" t="s">
        <v>256</v>
      </c>
      <c r="E1062" s="298"/>
      <c r="F1062" s="298" t="s">
        <v>3806</v>
      </c>
      <c r="G1062" s="299" t="b">
        <v>0</v>
      </c>
      <c r="H1062" s="299" t="b">
        <v>0</v>
      </c>
      <c r="J1062" s="113" t="str">
        <f t="shared" si="33"/>
        <v>913094213</v>
      </c>
      <c r="K1062" s="113" t="str">
        <f t="shared" si="34"/>
        <v>CG01130</v>
      </c>
    </row>
    <row r="1063" spans="1:11" x14ac:dyDescent="0.3">
      <c r="A1063" s="298" t="s">
        <v>3807</v>
      </c>
      <c r="B1063" s="298" t="s">
        <v>3808</v>
      </c>
      <c r="C1063" s="298" t="s">
        <v>541</v>
      </c>
      <c r="D1063" s="298" t="s">
        <v>256</v>
      </c>
      <c r="E1063" s="298"/>
      <c r="F1063" s="298" t="s">
        <v>3809</v>
      </c>
      <c r="G1063" s="299" t="b">
        <v>0</v>
      </c>
      <c r="H1063" s="299" t="b">
        <v>0</v>
      </c>
      <c r="J1063" s="113" t="str">
        <f t="shared" si="33"/>
        <v>396811036</v>
      </c>
      <c r="K1063" s="113" t="str">
        <f t="shared" si="34"/>
        <v>CG01131</v>
      </c>
    </row>
    <row r="1064" spans="1:11" x14ac:dyDescent="0.3">
      <c r="A1064" s="298" t="s">
        <v>3810</v>
      </c>
      <c r="B1064" s="298" t="s">
        <v>3811</v>
      </c>
      <c r="C1064" s="298" t="s">
        <v>292</v>
      </c>
      <c r="D1064" s="298" t="s">
        <v>256</v>
      </c>
      <c r="E1064" s="298"/>
      <c r="F1064" s="298" t="s">
        <v>3812</v>
      </c>
      <c r="G1064" s="299" t="b">
        <v>0</v>
      </c>
      <c r="H1064" s="299" t="b">
        <v>0</v>
      </c>
      <c r="J1064" s="113" t="str">
        <f t="shared" si="33"/>
        <v>944429894</v>
      </c>
      <c r="K1064" s="113" t="str">
        <f t="shared" si="34"/>
        <v>CG01132</v>
      </c>
    </row>
    <row r="1065" spans="1:11" x14ac:dyDescent="0.3">
      <c r="A1065" s="298" t="s">
        <v>3813</v>
      </c>
      <c r="B1065" s="298" t="s">
        <v>3814</v>
      </c>
      <c r="C1065" s="298" t="s">
        <v>1508</v>
      </c>
      <c r="D1065" s="298" t="s">
        <v>256</v>
      </c>
      <c r="E1065" s="298"/>
      <c r="F1065" s="298" t="s">
        <v>3815</v>
      </c>
      <c r="G1065" s="299" t="b">
        <v>0</v>
      </c>
      <c r="H1065" s="299" t="b">
        <v>0</v>
      </c>
      <c r="J1065" s="113" t="str">
        <f t="shared" si="33"/>
        <v>965066848</v>
      </c>
      <c r="K1065" s="113" t="str">
        <f t="shared" si="34"/>
        <v>CG01133</v>
      </c>
    </row>
    <row r="1066" spans="1:11" x14ac:dyDescent="0.3">
      <c r="A1066" s="298" t="s">
        <v>3816</v>
      </c>
      <c r="B1066" s="298" t="s">
        <v>3817</v>
      </c>
      <c r="C1066" s="298" t="s">
        <v>1508</v>
      </c>
      <c r="D1066" s="298" t="s">
        <v>256</v>
      </c>
      <c r="E1066" s="298"/>
      <c r="F1066" s="298" t="s">
        <v>3818</v>
      </c>
      <c r="G1066" s="299" t="b">
        <v>0</v>
      </c>
      <c r="H1066" s="299" t="b">
        <v>0</v>
      </c>
      <c r="J1066" s="113" t="str">
        <f t="shared" si="33"/>
        <v>985099846</v>
      </c>
      <c r="K1066" s="113" t="str">
        <f t="shared" si="34"/>
        <v>CG01134</v>
      </c>
    </row>
    <row r="1067" spans="1:11" x14ac:dyDescent="0.3">
      <c r="A1067" s="298" t="s">
        <v>3819</v>
      </c>
      <c r="B1067" s="298" t="s">
        <v>3820</v>
      </c>
      <c r="C1067" s="298" t="s">
        <v>231</v>
      </c>
      <c r="D1067" s="298" t="s">
        <v>256</v>
      </c>
      <c r="E1067" s="298"/>
      <c r="F1067" s="298" t="s">
        <v>3821</v>
      </c>
      <c r="G1067" s="299" t="b">
        <v>0</v>
      </c>
      <c r="H1067" s="299" t="b">
        <v>0</v>
      </c>
      <c r="J1067" s="113" t="str">
        <f t="shared" si="33"/>
        <v>973077727</v>
      </c>
      <c r="K1067" s="113" t="str">
        <f t="shared" si="34"/>
        <v>CG01135</v>
      </c>
    </row>
    <row r="1068" spans="1:11" x14ac:dyDescent="0.3">
      <c r="A1068" s="298" t="s">
        <v>3822</v>
      </c>
      <c r="B1068" s="298" t="s">
        <v>3823</v>
      </c>
      <c r="C1068" s="298" t="s">
        <v>1237</v>
      </c>
      <c r="D1068" s="298" t="s">
        <v>256</v>
      </c>
      <c r="E1068" s="298"/>
      <c r="F1068" s="298" t="s">
        <v>3824</v>
      </c>
      <c r="G1068" s="299" t="b">
        <v>0</v>
      </c>
      <c r="H1068" s="299" t="b">
        <v>0</v>
      </c>
      <c r="J1068" s="113" t="str">
        <f t="shared" si="33"/>
        <v>947157629</v>
      </c>
      <c r="K1068" s="113" t="str">
        <f t="shared" si="34"/>
        <v>CG01136</v>
      </c>
    </row>
    <row r="1069" spans="1:11" x14ac:dyDescent="0.3">
      <c r="A1069" s="298" t="s">
        <v>3825</v>
      </c>
      <c r="B1069" s="298" t="s">
        <v>3826</v>
      </c>
      <c r="C1069" s="298" t="s">
        <v>942</v>
      </c>
      <c r="D1069" s="298" t="s">
        <v>256</v>
      </c>
      <c r="E1069" s="298"/>
      <c r="F1069" s="298" t="s">
        <v>3827</v>
      </c>
      <c r="G1069" s="299" t="b">
        <v>0</v>
      </c>
      <c r="H1069" s="299" t="b">
        <v>0</v>
      </c>
      <c r="J1069" s="113" t="str">
        <f t="shared" si="33"/>
        <v>912065359</v>
      </c>
      <c r="K1069" s="113" t="str">
        <f t="shared" si="34"/>
        <v>CG01137</v>
      </c>
    </row>
    <row r="1070" spans="1:11" x14ac:dyDescent="0.3">
      <c r="A1070" s="298" t="s">
        <v>3828</v>
      </c>
      <c r="B1070" s="298" t="s">
        <v>3829</v>
      </c>
      <c r="C1070" s="298" t="s">
        <v>289</v>
      </c>
      <c r="D1070" s="298" t="s">
        <v>256</v>
      </c>
      <c r="E1070" s="298"/>
      <c r="F1070" s="298" t="s">
        <v>3830</v>
      </c>
      <c r="G1070" s="299" t="b">
        <v>0</v>
      </c>
      <c r="H1070" s="299" t="b">
        <v>0</v>
      </c>
      <c r="J1070" s="113" t="str">
        <f t="shared" si="33"/>
        <v>383464832</v>
      </c>
      <c r="K1070" s="113" t="str">
        <f t="shared" si="34"/>
        <v>CG01138</v>
      </c>
    </row>
    <row r="1071" spans="1:11" x14ac:dyDescent="0.3">
      <c r="A1071" s="298" t="s">
        <v>3831</v>
      </c>
      <c r="B1071" s="298" t="s">
        <v>3832</v>
      </c>
      <c r="C1071" s="298" t="s">
        <v>416</v>
      </c>
      <c r="D1071" s="298" t="s">
        <v>256</v>
      </c>
      <c r="E1071" s="298"/>
      <c r="F1071" s="298" t="s">
        <v>3833</v>
      </c>
      <c r="G1071" s="299" t="b">
        <v>0</v>
      </c>
      <c r="H1071" s="299" t="b">
        <v>0</v>
      </c>
      <c r="J1071" s="113" t="str">
        <f t="shared" si="33"/>
        <v>943838877</v>
      </c>
      <c r="K1071" s="113" t="str">
        <f t="shared" si="34"/>
        <v>CG01139</v>
      </c>
    </row>
    <row r="1072" spans="1:11" x14ac:dyDescent="0.3">
      <c r="A1072" s="298" t="s">
        <v>3834</v>
      </c>
      <c r="B1072" s="298" t="s">
        <v>3835</v>
      </c>
      <c r="C1072" s="298" t="s">
        <v>3836</v>
      </c>
      <c r="D1072" s="298" t="s">
        <v>256</v>
      </c>
      <c r="E1072" s="298"/>
      <c r="F1072" s="298" t="s">
        <v>3837</v>
      </c>
      <c r="G1072" s="299" t="b">
        <v>0</v>
      </c>
      <c r="H1072" s="299" t="b">
        <v>0</v>
      </c>
      <c r="J1072" s="113" t="str">
        <f t="shared" si="33"/>
        <v>978382800</v>
      </c>
      <c r="K1072" s="113" t="str">
        <f t="shared" si="34"/>
        <v>CG01140</v>
      </c>
    </row>
    <row r="1073" spans="1:11" x14ac:dyDescent="0.3">
      <c r="A1073" s="298" t="s">
        <v>3838</v>
      </c>
      <c r="B1073" s="298" t="s">
        <v>3839</v>
      </c>
      <c r="C1073" s="298" t="s">
        <v>1508</v>
      </c>
      <c r="D1073" s="298" t="s">
        <v>256</v>
      </c>
      <c r="E1073" s="298"/>
      <c r="F1073" s="298" t="s">
        <v>3840</v>
      </c>
      <c r="G1073" s="299" t="b">
        <v>0</v>
      </c>
      <c r="H1073" s="299" t="b">
        <v>0</v>
      </c>
      <c r="J1073" s="113" t="str">
        <f t="shared" si="33"/>
        <v>904786098</v>
      </c>
      <c r="K1073" s="113" t="str">
        <f t="shared" si="34"/>
        <v>CG01141</v>
      </c>
    </row>
    <row r="1074" spans="1:11" x14ac:dyDescent="0.3">
      <c r="A1074" s="298" t="s">
        <v>3841</v>
      </c>
      <c r="B1074" s="298" t="s">
        <v>3842</v>
      </c>
      <c r="C1074" s="298" t="s">
        <v>1587</v>
      </c>
      <c r="D1074" s="298" t="s">
        <v>256</v>
      </c>
      <c r="E1074" s="298"/>
      <c r="F1074" s="298" t="s">
        <v>3843</v>
      </c>
      <c r="G1074" s="299" t="b">
        <v>0</v>
      </c>
      <c r="H1074" s="299" t="b">
        <v>0</v>
      </c>
      <c r="J1074" s="113" t="str">
        <f t="shared" si="33"/>
        <v>913578957</v>
      </c>
      <c r="K1074" s="113" t="str">
        <f t="shared" si="34"/>
        <v>CG01142</v>
      </c>
    </row>
    <row r="1075" spans="1:11" x14ac:dyDescent="0.3">
      <c r="A1075" s="298" t="s">
        <v>3844</v>
      </c>
      <c r="B1075" s="298" t="s">
        <v>3845</v>
      </c>
      <c r="C1075" s="298" t="s">
        <v>718</v>
      </c>
      <c r="D1075" s="298" t="s">
        <v>256</v>
      </c>
      <c r="E1075" s="298"/>
      <c r="F1075" s="298" t="s">
        <v>3846</v>
      </c>
      <c r="G1075" s="299" t="b">
        <v>0</v>
      </c>
      <c r="H1075" s="299" t="b">
        <v>0</v>
      </c>
      <c r="J1075" s="113" t="str">
        <f t="shared" si="33"/>
        <v>988590070</v>
      </c>
      <c r="K1075" s="113" t="str">
        <f t="shared" si="34"/>
        <v>CG01143</v>
      </c>
    </row>
    <row r="1076" spans="1:11" x14ac:dyDescent="0.3">
      <c r="A1076" s="298" t="s">
        <v>3847</v>
      </c>
      <c r="B1076" s="298" t="s">
        <v>3848</v>
      </c>
      <c r="C1076" s="298" t="s">
        <v>416</v>
      </c>
      <c r="D1076" s="298" t="s">
        <v>256</v>
      </c>
      <c r="E1076" s="298"/>
      <c r="F1076" s="298" t="s">
        <v>3849</v>
      </c>
      <c r="G1076" s="299" t="b">
        <v>0</v>
      </c>
      <c r="H1076" s="299" t="b">
        <v>0</v>
      </c>
      <c r="J1076" s="113" t="str">
        <f t="shared" si="33"/>
        <v>349622681</v>
      </c>
      <c r="K1076" s="113" t="str">
        <f t="shared" si="34"/>
        <v>CG01144</v>
      </c>
    </row>
    <row r="1077" spans="1:11" x14ac:dyDescent="0.3">
      <c r="A1077" s="298" t="s">
        <v>3850</v>
      </c>
      <c r="B1077" s="298" t="s">
        <v>3851</v>
      </c>
      <c r="C1077" s="298" t="s">
        <v>355</v>
      </c>
      <c r="D1077" s="298" t="s">
        <v>256</v>
      </c>
      <c r="E1077" s="298"/>
      <c r="F1077" s="298" t="s">
        <v>3852</v>
      </c>
      <c r="G1077" s="299" t="b">
        <v>0</v>
      </c>
      <c r="H1077" s="299" t="b">
        <v>0</v>
      </c>
      <c r="J1077" s="113" t="str">
        <f t="shared" si="33"/>
        <v>916144885</v>
      </c>
      <c r="K1077" s="113" t="str">
        <f t="shared" si="34"/>
        <v>CG01145</v>
      </c>
    </row>
    <row r="1078" spans="1:11" x14ac:dyDescent="0.3">
      <c r="A1078" s="298" t="s">
        <v>3853</v>
      </c>
      <c r="B1078" s="298" t="s">
        <v>3854</v>
      </c>
      <c r="C1078" s="298" t="s">
        <v>452</v>
      </c>
      <c r="D1078" s="298" t="s">
        <v>256</v>
      </c>
      <c r="E1078" s="298"/>
      <c r="F1078" s="298" t="s">
        <v>3855</v>
      </c>
      <c r="G1078" s="299" t="b">
        <v>0</v>
      </c>
      <c r="H1078" s="299" t="b">
        <v>0</v>
      </c>
      <c r="J1078" s="113" t="str">
        <f t="shared" si="33"/>
        <v>912024632</v>
      </c>
      <c r="K1078" s="113" t="str">
        <f t="shared" si="34"/>
        <v>CG01146</v>
      </c>
    </row>
    <row r="1079" spans="1:11" x14ac:dyDescent="0.3">
      <c r="A1079" s="298" t="s">
        <v>3856</v>
      </c>
      <c r="B1079" s="298" t="s">
        <v>3857</v>
      </c>
      <c r="C1079" s="298" t="s">
        <v>3858</v>
      </c>
      <c r="D1079" s="298" t="s">
        <v>256</v>
      </c>
      <c r="E1079" s="298"/>
      <c r="F1079" s="298" t="s">
        <v>3859</v>
      </c>
      <c r="G1079" s="299" t="b">
        <v>0</v>
      </c>
      <c r="H1079" s="299" t="b">
        <v>0</v>
      </c>
      <c r="J1079" s="113" t="str">
        <f t="shared" si="33"/>
        <v>977972974</v>
      </c>
      <c r="K1079" s="113" t="str">
        <f t="shared" si="34"/>
        <v>CG01147</v>
      </c>
    </row>
    <row r="1080" spans="1:11" x14ac:dyDescent="0.3">
      <c r="A1080" s="298" t="s">
        <v>3860</v>
      </c>
      <c r="B1080" s="298" t="s">
        <v>3861</v>
      </c>
      <c r="C1080" s="298" t="s">
        <v>2170</v>
      </c>
      <c r="D1080" s="298" t="s">
        <v>256</v>
      </c>
      <c r="E1080" s="298"/>
      <c r="F1080" s="298" t="s">
        <v>3862</v>
      </c>
      <c r="G1080" s="299" t="b">
        <v>0</v>
      </c>
      <c r="H1080" s="299" t="b">
        <v>0</v>
      </c>
      <c r="J1080" s="113" t="str">
        <f t="shared" si="33"/>
        <v>945957702</v>
      </c>
      <c r="K1080" s="113" t="str">
        <f t="shared" si="34"/>
        <v>CG01148</v>
      </c>
    </row>
    <row r="1081" spans="1:11" x14ac:dyDescent="0.3">
      <c r="A1081" s="298" t="s">
        <v>3863</v>
      </c>
      <c r="B1081" s="298" t="s">
        <v>3864</v>
      </c>
      <c r="C1081" s="298" t="s">
        <v>541</v>
      </c>
      <c r="D1081" s="298" t="s">
        <v>256</v>
      </c>
      <c r="E1081" s="298"/>
      <c r="F1081" s="298" t="s">
        <v>3865</v>
      </c>
      <c r="G1081" s="299" t="b">
        <v>0</v>
      </c>
      <c r="H1081" s="299" t="b">
        <v>0</v>
      </c>
      <c r="J1081" s="113" t="str">
        <f t="shared" si="33"/>
        <v>913879599</v>
      </c>
      <c r="K1081" s="113" t="str">
        <f t="shared" si="34"/>
        <v>CG01149</v>
      </c>
    </row>
    <row r="1082" spans="1:11" x14ac:dyDescent="0.3">
      <c r="A1082" s="298" t="s">
        <v>3866</v>
      </c>
      <c r="B1082" s="298" t="s">
        <v>3867</v>
      </c>
      <c r="C1082" s="298" t="s">
        <v>3868</v>
      </c>
      <c r="D1082" s="298" t="s">
        <v>256</v>
      </c>
      <c r="E1082" s="298"/>
      <c r="F1082" s="298" t="s">
        <v>3869</v>
      </c>
      <c r="G1082" s="299" t="b">
        <v>0</v>
      </c>
      <c r="H1082" s="299" t="b">
        <v>0</v>
      </c>
      <c r="J1082" s="113" t="str">
        <f t="shared" si="33"/>
        <v>915469881</v>
      </c>
      <c r="K1082" s="113" t="str">
        <f t="shared" si="34"/>
        <v>CG01150</v>
      </c>
    </row>
    <row r="1083" spans="1:11" x14ac:dyDescent="0.3">
      <c r="A1083" s="298" t="s">
        <v>3870</v>
      </c>
      <c r="B1083" s="298" t="s">
        <v>3871</v>
      </c>
      <c r="C1083" s="298" t="s">
        <v>1451</v>
      </c>
      <c r="D1083" s="298" t="s">
        <v>256</v>
      </c>
      <c r="E1083" s="298"/>
      <c r="F1083" s="298" t="s">
        <v>3872</v>
      </c>
      <c r="G1083" s="299" t="b">
        <v>0</v>
      </c>
      <c r="H1083" s="299" t="b">
        <v>0</v>
      </c>
      <c r="J1083" s="113" t="str">
        <f t="shared" si="33"/>
        <v>908756966</v>
      </c>
      <c r="K1083" s="113" t="str">
        <f t="shared" si="34"/>
        <v>CG01151</v>
      </c>
    </row>
    <row r="1084" spans="1:11" x14ac:dyDescent="0.3">
      <c r="A1084" s="298" t="s">
        <v>3873</v>
      </c>
      <c r="B1084" s="298" t="s">
        <v>3874</v>
      </c>
      <c r="C1084" s="298" t="s">
        <v>820</v>
      </c>
      <c r="D1084" s="298" t="s">
        <v>256</v>
      </c>
      <c r="E1084" s="298"/>
      <c r="F1084" s="298" t="s">
        <v>3875</v>
      </c>
      <c r="G1084" s="299" t="b">
        <v>0</v>
      </c>
      <c r="H1084" s="299" t="b">
        <v>0</v>
      </c>
      <c r="J1084" s="113" t="str">
        <f t="shared" si="33"/>
        <v>913252833</v>
      </c>
      <c r="K1084" s="113" t="str">
        <f t="shared" si="34"/>
        <v>CG01152</v>
      </c>
    </row>
    <row r="1085" spans="1:11" x14ac:dyDescent="0.3">
      <c r="A1085" s="298" t="s">
        <v>3876</v>
      </c>
      <c r="B1085" s="298" t="s">
        <v>3877</v>
      </c>
      <c r="C1085" s="298" t="s">
        <v>390</v>
      </c>
      <c r="D1085" s="298" t="s">
        <v>256</v>
      </c>
      <c r="E1085" s="298"/>
      <c r="F1085" s="298" t="s">
        <v>3878</v>
      </c>
      <c r="G1085" s="299" t="b">
        <v>0</v>
      </c>
      <c r="H1085" s="299" t="b">
        <v>0</v>
      </c>
      <c r="J1085" s="113" t="str">
        <f t="shared" si="33"/>
        <v>967652269</v>
      </c>
      <c r="K1085" s="113" t="str">
        <f t="shared" si="34"/>
        <v>CG01153</v>
      </c>
    </row>
    <row r="1086" spans="1:11" x14ac:dyDescent="0.3">
      <c r="A1086" s="298" t="s">
        <v>3879</v>
      </c>
      <c r="B1086" s="298" t="s">
        <v>3880</v>
      </c>
      <c r="C1086" s="298" t="s">
        <v>3881</v>
      </c>
      <c r="D1086" s="298" t="s">
        <v>256</v>
      </c>
      <c r="E1086" s="298"/>
      <c r="F1086" s="298" t="s">
        <v>3882</v>
      </c>
      <c r="G1086" s="299" t="b">
        <v>0</v>
      </c>
      <c r="H1086" s="299" t="b">
        <v>0</v>
      </c>
      <c r="J1086" s="113" t="str">
        <f t="shared" si="33"/>
        <v>912343294</v>
      </c>
      <c r="K1086" s="113" t="str">
        <f t="shared" si="34"/>
        <v>CG01154</v>
      </c>
    </row>
    <row r="1087" spans="1:11" x14ac:dyDescent="0.3">
      <c r="A1087" s="298" t="s">
        <v>3883</v>
      </c>
      <c r="B1087" s="298" t="s">
        <v>3884</v>
      </c>
      <c r="C1087" s="298" t="s">
        <v>1579</v>
      </c>
      <c r="D1087" s="298" t="s">
        <v>256</v>
      </c>
      <c r="E1087" s="298"/>
      <c r="F1087" s="298" t="s">
        <v>3885</v>
      </c>
      <c r="G1087" s="299" t="b">
        <v>0</v>
      </c>
      <c r="H1087" s="299" t="b">
        <v>0</v>
      </c>
      <c r="J1087" s="113" t="str">
        <f t="shared" si="33"/>
        <v>984610789</v>
      </c>
      <c r="K1087" s="113" t="str">
        <f t="shared" si="34"/>
        <v>CG01155</v>
      </c>
    </row>
    <row r="1088" spans="1:11" x14ac:dyDescent="0.3">
      <c r="A1088" s="298" t="s">
        <v>3886</v>
      </c>
      <c r="B1088" s="298" t="s">
        <v>3887</v>
      </c>
      <c r="C1088" s="298" t="s">
        <v>230</v>
      </c>
      <c r="D1088" s="298" t="s">
        <v>256</v>
      </c>
      <c r="E1088" s="298"/>
      <c r="F1088" s="298" t="s">
        <v>3888</v>
      </c>
      <c r="G1088" s="299" t="b">
        <v>0</v>
      </c>
      <c r="H1088" s="299" t="b">
        <v>0</v>
      </c>
      <c r="J1088" s="113" t="str">
        <f t="shared" si="33"/>
        <v>983385530</v>
      </c>
      <c r="K1088" s="113" t="str">
        <f t="shared" si="34"/>
        <v>CG01157</v>
      </c>
    </row>
    <row r="1089" spans="1:11" x14ac:dyDescent="0.3">
      <c r="A1089" s="298" t="s">
        <v>3889</v>
      </c>
      <c r="B1089" s="298" t="s">
        <v>3890</v>
      </c>
      <c r="C1089" s="298" t="s">
        <v>3005</v>
      </c>
      <c r="D1089" s="298" t="s">
        <v>256</v>
      </c>
      <c r="E1089" s="298"/>
      <c r="F1089" s="298" t="s">
        <v>3891</v>
      </c>
      <c r="G1089" s="299" t="b">
        <v>0</v>
      </c>
      <c r="H1089" s="299" t="b">
        <v>0</v>
      </c>
      <c r="J1089" s="113" t="str">
        <f t="shared" si="33"/>
        <v>856901114</v>
      </c>
      <c r="K1089" s="113" t="str">
        <f t="shared" si="34"/>
        <v>CG01158</v>
      </c>
    </row>
    <row r="1090" spans="1:11" x14ac:dyDescent="0.3">
      <c r="A1090" s="298" t="s">
        <v>3892</v>
      </c>
      <c r="B1090" s="298" t="s">
        <v>3893</v>
      </c>
      <c r="C1090" s="298" t="s">
        <v>3894</v>
      </c>
      <c r="D1090" s="298" t="s">
        <v>256</v>
      </c>
      <c r="E1090" s="298"/>
      <c r="F1090" s="298" t="s">
        <v>3895</v>
      </c>
      <c r="G1090" s="299" t="b">
        <v>0</v>
      </c>
      <c r="H1090" s="299" t="b">
        <v>0</v>
      </c>
      <c r="J1090" s="113" t="str">
        <f t="shared" si="33"/>
        <v>392059569</v>
      </c>
      <c r="K1090" s="113" t="str">
        <f t="shared" si="34"/>
        <v>CG01159</v>
      </c>
    </row>
    <row r="1091" spans="1:11" x14ac:dyDescent="0.3">
      <c r="A1091" s="298" t="s">
        <v>3896</v>
      </c>
      <c r="B1091" s="298" t="s">
        <v>3897</v>
      </c>
      <c r="C1091" s="298" t="s">
        <v>317</v>
      </c>
      <c r="D1091" s="298" t="s">
        <v>256</v>
      </c>
      <c r="E1091" s="298"/>
      <c r="F1091" s="298" t="s">
        <v>3898</v>
      </c>
      <c r="G1091" s="299" t="b">
        <v>0</v>
      </c>
      <c r="H1091" s="299" t="b">
        <v>0</v>
      </c>
      <c r="J1091" s="113" t="str">
        <f t="shared" si="33"/>
        <v>389309417</v>
      </c>
      <c r="K1091" s="113" t="str">
        <f t="shared" si="34"/>
        <v>CG01160</v>
      </c>
    </row>
    <row r="1092" spans="1:11" x14ac:dyDescent="0.3">
      <c r="A1092" s="298" t="s">
        <v>3899</v>
      </c>
      <c r="B1092" s="298" t="s">
        <v>3900</v>
      </c>
      <c r="C1092" s="298" t="s">
        <v>477</v>
      </c>
      <c r="D1092" s="298" t="s">
        <v>256</v>
      </c>
      <c r="E1092" s="298"/>
      <c r="F1092" s="298" t="s">
        <v>3901</v>
      </c>
      <c r="G1092" s="299" t="b">
        <v>0</v>
      </c>
      <c r="H1092" s="299" t="b">
        <v>0</v>
      </c>
      <c r="J1092" s="113" t="str">
        <f t="shared" si="33"/>
        <v>368888880</v>
      </c>
      <c r="K1092" s="113" t="str">
        <f t="shared" si="34"/>
        <v>CG01161</v>
      </c>
    </row>
    <row r="1093" spans="1:11" x14ac:dyDescent="0.3">
      <c r="A1093" s="298" t="s">
        <v>3902</v>
      </c>
      <c r="B1093" s="298" t="s">
        <v>3903</v>
      </c>
      <c r="C1093" s="298" t="s">
        <v>355</v>
      </c>
      <c r="D1093" s="298" t="s">
        <v>256</v>
      </c>
      <c r="E1093" s="298"/>
      <c r="F1093" s="298" t="s">
        <v>3904</v>
      </c>
      <c r="G1093" s="299" t="b">
        <v>0</v>
      </c>
      <c r="H1093" s="299" t="b">
        <v>0</v>
      </c>
      <c r="J1093" s="113" t="str">
        <f t="shared" ref="J1093:J1156" si="35">RIGHT(B1093,9)</f>
        <v>967982396</v>
      </c>
      <c r="K1093" s="113" t="str">
        <f t="shared" ref="K1093:K1156" si="36">A1093</f>
        <v>CG01162</v>
      </c>
    </row>
    <row r="1094" spans="1:11" x14ac:dyDescent="0.3">
      <c r="A1094" s="298" t="s">
        <v>3905</v>
      </c>
      <c r="B1094" s="298" t="s">
        <v>3906</v>
      </c>
      <c r="C1094" s="298" t="s">
        <v>1159</v>
      </c>
      <c r="D1094" s="298" t="s">
        <v>256</v>
      </c>
      <c r="E1094" s="298"/>
      <c r="F1094" s="298" t="s">
        <v>3907</v>
      </c>
      <c r="G1094" s="299" t="b">
        <v>0</v>
      </c>
      <c r="H1094" s="299" t="b">
        <v>0</v>
      </c>
      <c r="J1094" s="113" t="str">
        <f t="shared" si="35"/>
        <v>902138381</v>
      </c>
      <c r="K1094" s="113" t="str">
        <f t="shared" si="36"/>
        <v>CG01163</v>
      </c>
    </row>
    <row r="1095" spans="1:11" x14ac:dyDescent="0.3">
      <c r="A1095" s="298" t="s">
        <v>3908</v>
      </c>
      <c r="B1095" s="298" t="s">
        <v>3909</v>
      </c>
      <c r="C1095" s="298" t="s">
        <v>1508</v>
      </c>
      <c r="D1095" s="298" t="s">
        <v>256</v>
      </c>
      <c r="E1095" s="298"/>
      <c r="F1095" s="298" t="s">
        <v>3910</v>
      </c>
      <c r="G1095" s="299" t="b">
        <v>0</v>
      </c>
      <c r="H1095" s="299" t="b">
        <v>0</v>
      </c>
      <c r="J1095" s="113" t="str">
        <f t="shared" si="35"/>
        <v>972002211</v>
      </c>
      <c r="K1095" s="113" t="str">
        <f t="shared" si="36"/>
        <v>CG01164</v>
      </c>
    </row>
    <row r="1096" spans="1:11" x14ac:dyDescent="0.3">
      <c r="A1096" s="298" t="s">
        <v>3911</v>
      </c>
      <c r="B1096" s="298" t="s">
        <v>3912</v>
      </c>
      <c r="C1096" s="298" t="s">
        <v>3257</v>
      </c>
      <c r="D1096" s="298" t="s">
        <v>256</v>
      </c>
      <c r="E1096" s="298"/>
      <c r="F1096" s="298" t="s">
        <v>3913</v>
      </c>
      <c r="G1096" s="299" t="b">
        <v>0</v>
      </c>
      <c r="H1096" s="299" t="b">
        <v>0</v>
      </c>
      <c r="J1096" s="113" t="str">
        <f t="shared" si="35"/>
        <v>912096296</v>
      </c>
      <c r="K1096" s="113" t="str">
        <f t="shared" si="36"/>
        <v>CG01165</v>
      </c>
    </row>
    <row r="1097" spans="1:11" x14ac:dyDescent="0.3">
      <c r="A1097" s="298" t="s">
        <v>3914</v>
      </c>
      <c r="B1097" s="298" t="s">
        <v>3915</v>
      </c>
      <c r="C1097" s="298" t="s">
        <v>2412</v>
      </c>
      <c r="D1097" s="298" t="s">
        <v>256</v>
      </c>
      <c r="E1097" s="298"/>
      <c r="F1097" s="298" t="s">
        <v>3916</v>
      </c>
      <c r="G1097" s="299" t="b">
        <v>0</v>
      </c>
      <c r="H1097" s="299" t="b">
        <v>0</v>
      </c>
      <c r="J1097" s="113" t="str">
        <f t="shared" si="35"/>
        <v>988421991</v>
      </c>
      <c r="K1097" s="113" t="str">
        <f t="shared" si="36"/>
        <v>CG01166</v>
      </c>
    </row>
    <row r="1098" spans="1:11" x14ac:dyDescent="0.3">
      <c r="A1098" s="298" t="s">
        <v>3917</v>
      </c>
      <c r="B1098" s="298" t="s">
        <v>3918</v>
      </c>
      <c r="C1098" s="298" t="s">
        <v>3919</v>
      </c>
      <c r="D1098" s="298" t="s">
        <v>256</v>
      </c>
      <c r="E1098" s="298"/>
      <c r="F1098" s="298" t="s">
        <v>3920</v>
      </c>
      <c r="G1098" s="299" t="b">
        <v>0</v>
      </c>
      <c r="H1098" s="299" t="b">
        <v>0</v>
      </c>
      <c r="J1098" s="113" t="str">
        <f t="shared" si="35"/>
        <v>972266888</v>
      </c>
      <c r="K1098" s="113" t="str">
        <f t="shared" si="36"/>
        <v>CG01167</v>
      </c>
    </row>
    <row r="1099" spans="1:11" x14ac:dyDescent="0.3">
      <c r="A1099" s="298" t="s">
        <v>3921</v>
      </c>
      <c r="B1099" s="298" t="s">
        <v>3922</v>
      </c>
      <c r="C1099" s="298" t="s">
        <v>613</v>
      </c>
      <c r="D1099" s="298" t="s">
        <v>256</v>
      </c>
      <c r="E1099" s="298"/>
      <c r="F1099" s="298" t="s">
        <v>3923</v>
      </c>
      <c r="G1099" s="299" t="b">
        <v>0</v>
      </c>
      <c r="H1099" s="299" t="b">
        <v>0</v>
      </c>
      <c r="J1099" s="113" t="str">
        <f t="shared" si="35"/>
        <v>904117116</v>
      </c>
      <c r="K1099" s="113" t="str">
        <f t="shared" si="36"/>
        <v>CG01168</v>
      </c>
    </row>
    <row r="1100" spans="1:11" x14ac:dyDescent="0.3">
      <c r="A1100" s="298" t="s">
        <v>3924</v>
      </c>
      <c r="B1100" s="298" t="s">
        <v>3925</v>
      </c>
      <c r="C1100" s="298" t="s">
        <v>3926</v>
      </c>
      <c r="D1100" s="298" t="s">
        <v>256</v>
      </c>
      <c r="E1100" s="298"/>
      <c r="F1100" s="298" t="s">
        <v>3927</v>
      </c>
      <c r="G1100" s="299" t="b">
        <v>0</v>
      </c>
      <c r="H1100" s="299" t="b">
        <v>0</v>
      </c>
      <c r="J1100" s="113" t="str">
        <f t="shared" si="35"/>
        <v>917609648</v>
      </c>
      <c r="K1100" s="113" t="str">
        <f t="shared" si="36"/>
        <v>CG01169</v>
      </c>
    </row>
    <row r="1101" spans="1:11" x14ac:dyDescent="0.3">
      <c r="A1101" s="298" t="s">
        <v>3928</v>
      </c>
      <c r="B1101" s="298" t="s">
        <v>3929</v>
      </c>
      <c r="C1101" s="298" t="s">
        <v>355</v>
      </c>
      <c r="D1101" s="298" t="s">
        <v>256</v>
      </c>
      <c r="E1101" s="298"/>
      <c r="F1101" s="298" t="s">
        <v>3930</v>
      </c>
      <c r="G1101" s="299" t="b">
        <v>0</v>
      </c>
      <c r="H1101" s="299" t="b">
        <v>0</v>
      </c>
      <c r="J1101" s="113" t="str">
        <f t="shared" si="35"/>
        <v>973668686</v>
      </c>
      <c r="K1101" s="113" t="str">
        <f t="shared" si="36"/>
        <v>CG01170</v>
      </c>
    </row>
    <row r="1102" spans="1:11" x14ac:dyDescent="0.3">
      <c r="A1102" s="298" t="s">
        <v>3931</v>
      </c>
      <c r="B1102" s="298" t="s">
        <v>3932</v>
      </c>
      <c r="C1102" s="298" t="s">
        <v>1237</v>
      </c>
      <c r="D1102" s="298" t="s">
        <v>256</v>
      </c>
      <c r="E1102" s="298"/>
      <c r="F1102" s="298" t="s">
        <v>3933</v>
      </c>
      <c r="G1102" s="299" t="b">
        <v>0</v>
      </c>
      <c r="H1102" s="299" t="b">
        <v>0</v>
      </c>
      <c r="J1102" s="113" t="str">
        <f t="shared" si="35"/>
        <v>981159111</v>
      </c>
      <c r="K1102" s="113" t="str">
        <f t="shared" si="36"/>
        <v>CG01171</v>
      </c>
    </row>
    <row r="1103" spans="1:11" x14ac:dyDescent="0.3">
      <c r="A1103" s="298" t="s">
        <v>3934</v>
      </c>
      <c r="B1103" s="298" t="s">
        <v>3935</v>
      </c>
      <c r="C1103" s="298" t="s">
        <v>693</v>
      </c>
      <c r="D1103" s="298" t="s">
        <v>256</v>
      </c>
      <c r="E1103" s="298" t="s">
        <v>3936</v>
      </c>
      <c r="F1103" s="298" t="s">
        <v>3937</v>
      </c>
      <c r="G1103" s="299" t="b">
        <v>0</v>
      </c>
      <c r="H1103" s="299" t="b">
        <v>0</v>
      </c>
      <c r="J1103" s="113" t="str">
        <f t="shared" si="35"/>
        <v>947186892</v>
      </c>
      <c r="K1103" s="113" t="str">
        <f t="shared" si="36"/>
        <v>CG01172</v>
      </c>
    </row>
    <row r="1104" spans="1:11" x14ac:dyDescent="0.3">
      <c r="A1104" s="298" t="s">
        <v>3938</v>
      </c>
      <c r="B1104" s="298" t="s">
        <v>3939</v>
      </c>
      <c r="C1104" s="298" t="s">
        <v>343</v>
      </c>
      <c r="D1104" s="298" t="s">
        <v>256</v>
      </c>
      <c r="E1104" s="298"/>
      <c r="F1104" s="298" t="s">
        <v>3940</v>
      </c>
      <c r="G1104" s="299" t="b">
        <v>0</v>
      </c>
      <c r="H1104" s="299" t="b">
        <v>0</v>
      </c>
      <c r="J1104" s="113" t="str">
        <f t="shared" si="35"/>
        <v>984810250</v>
      </c>
      <c r="K1104" s="113" t="str">
        <f t="shared" si="36"/>
        <v>CG01173</v>
      </c>
    </row>
    <row r="1105" spans="1:11" x14ac:dyDescent="0.3">
      <c r="A1105" s="298" t="s">
        <v>3941</v>
      </c>
      <c r="B1105" s="298" t="s">
        <v>3942</v>
      </c>
      <c r="C1105" s="298" t="s">
        <v>463</v>
      </c>
      <c r="D1105" s="298" t="s">
        <v>256</v>
      </c>
      <c r="E1105" s="298"/>
      <c r="F1105" s="298" t="s">
        <v>3943</v>
      </c>
      <c r="G1105" s="299" t="b">
        <v>0</v>
      </c>
      <c r="H1105" s="299" t="b">
        <v>0</v>
      </c>
      <c r="J1105" s="113" t="str">
        <f t="shared" si="35"/>
        <v>989733853</v>
      </c>
      <c r="K1105" s="113" t="str">
        <f t="shared" si="36"/>
        <v>CG01174</v>
      </c>
    </row>
    <row r="1106" spans="1:11" x14ac:dyDescent="0.3">
      <c r="A1106" s="298" t="s">
        <v>3944</v>
      </c>
      <c r="B1106" s="298" t="s">
        <v>3945</v>
      </c>
      <c r="C1106" s="298" t="s">
        <v>416</v>
      </c>
      <c r="D1106" s="298" t="s">
        <v>256</v>
      </c>
      <c r="E1106" s="298"/>
      <c r="F1106" s="298" t="s">
        <v>3946</v>
      </c>
      <c r="G1106" s="299" t="b">
        <v>0</v>
      </c>
      <c r="H1106" s="299" t="b">
        <v>0</v>
      </c>
      <c r="J1106" s="113" t="str">
        <f t="shared" si="35"/>
        <v>973078016</v>
      </c>
      <c r="K1106" s="113" t="str">
        <f t="shared" si="36"/>
        <v>CG01175</v>
      </c>
    </row>
    <row r="1107" spans="1:11" x14ac:dyDescent="0.3">
      <c r="A1107" s="298" t="s">
        <v>3947</v>
      </c>
      <c r="B1107" s="298" t="s">
        <v>3948</v>
      </c>
      <c r="C1107" s="298" t="s">
        <v>409</v>
      </c>
      <c r="D1107" s="298" t="s">
        <v>256</v>
      </c>
      <c r="E1107" s="298"/>
      <c r="F1107" s="298" t="s">
        <v>3949</v>
      </c>
      <c r="G1107" s="299" t="b">
        <v>0</v>
      </c>
      <c r="H1107" s="299" t="b">
        <v>0</v>
      </c>
      <c r="J1107" s="113" t="str">
        <f t="shared" si="35"/>
        <v>975266214</v>
      </c>
      <c r="K1107" s="113" t="str">
        <f t="shared" si="36"/>
        <v>CG01176</v>
      </c>
    </row>
    <row r="1108" spans="1:11" x14ac:dyDescent="0.3">
      <c r="A1108" s="298" t="s">
        <v>3950</v>
      </c>
      <c r="B1108" s="298" t="s">
        <v>3951</v>
      </c>
      <c r="C1108" s="298" t="s">
        <v>593</v>
      </c>
      <c r="D1108" s="298" t="s">
        <v>256</v>
      </c>
      <c r="E1108" s="298"/>
      <c r="F1108" s="298" t="s">
        <v>3952</v>
      </c>
      <c r="G1108" s="299" t="b">
        <v>0</v>
      </c>
      <c r="H1108" s="299" t="b">
        <v>0</v>
      </c>
      <c r="J1108" s="113" t="str">
        <f t="shared" si="35"/>
        <v>975675778</v>
      </c>
      <c r="K1108" s="113" t="str">
        <f t="shared" si="36"/>
        <v>CG01177</v>
      </c>
    </row>
    <row r="1109" spans="1:11" x14ac:dyDescent="0.3">
      <c r="A1109" s="298" t="s">
        <v>3953</v>
      </c>
      <c r="B1109" s="298" t="s">
        <v>3954</v>
      </c>
      <c r="C1109" s="298" t="s">
        <v>3955</v>
      </c>
      <c r="D1109" s="298" t="s">
        <v>256</v>
      </c>
      <c r="E1109" s="298"/>
      <c r="F1109" s="298" t="s">
        <v>3956</v>
      </c>
      <c r="G1109" s="299" t="b">
        <v>0</v>
      </c>
      <c r="H1109" s="299" t="b">
        <v>0</v>
      </c>
      <c r="J1109" s="113" t="str">
        <f t="shared" si="35"/>
        <v>946005116</v>
      </c>
      <c r="K1109" s="113" t="str">
        <f t="shared" si="36"/>
        <v>CG01178</v>
      </c>
    </row>
    <row r="1110" spans="1:11" x14ac:dyDescent="0.3">
      <c r="A1110" s="298" t="s">
        <v>3957</v>
      </c>
      <c r="B1110" s="298" t="s">
        <v>3958</v>
      </c>
      <c r="C1110" s="298" t="s">
        <v>432</v>
      </c>
      <c r="D1110" s="298" t="s">
        <v>256</v>
      </c>
      <c r="E1110" s="298"/>
      <c r="F1110" s="298" t="s">
        <v>3959</v>
      </c>
      <c r="G1110" s="299" t="b">
        <v>0</v>
      </c>
      <c r="H1110" s="299" t="b">
        <v>0</v>
      </c>
      <c r="J1110" s="113" t="str">
        <f t="shared" si="35"/>
        <v>986223455</v>
      </c>
      <c r="K1110" s="113" t="str">
        <f t="shared" si="36"/>
        <v>CG01180</v>
      </c>
    </row>
    <row r="1111" spans="1:11" x14ac:dyDescent="0.3">
      <c r="A1111" s="298" t="s">
        <v>3960</v>
      </c>
      <c r="B1111" s="298" t="s">
        <v>3961</v>
      </c>
      <c r="C1111" s="298" t="s">
        <v>3962</v>
      </c>
      <c r="D1111" s="298" t="s">
        <v>256</v>
      </c>
      <c r="E1111" s="298"/>
      <c r="F1111" s="298" t="s">
        <v>3963</v>
      </c>
      <c r="G1111" s="299" t="b">
        <v>0</v>
      </c>
      <c r="H1111" s="299" t="b">
        <v>0</v>
      </c>
      <c r="J1111" s="113" t="str">
        <f t="shared" si="35"/>
        <v>916492339</v>
      </c>
      <c r="K1111" s="113" t="str">
        <f t="shared" si="36"/>
        <v>CG01181</v>
      </c>
    </row>
    <row r="1112" spans="1:11" x14ac:dyDescent="0.3">
      <c r="A1112" s="298" t="s">
        <v>3964</v>
      </c>
      <c r="B1112" s="298" t="s">
        <v>3965</v>
      </c>
      <c r="C1112" s="298" t="s">
        <v>3966</v>
      </c>
      <c r="D1112" s="298" t="s">
        <v>256</v>
      </c>
      <c r="E1112" s="298"/>
      <c r="F1112" s="298" t="s">
        <v>3967</v>
      </c>
      <c r="G1112" s="299" t="b">
        <v>0</v>
      </c>
      <c r="H1112" s="299" t="b">
        <v>0</v>
      </c>
      <c r="J1112" s="113" t="str">
        <f t="shared" si="35"/>
        <v>816385388</v>
      </c>
      <c r="K1112" s="113" t="str">
        <f t="shared" si="36"/>
        <v>CG01182</v>
      </c>
    </row>
    <row r="1113" spans="1:11" x14ac:dyDescent="0.3">
      <c r="A1113" s="298" t="s">
        <v>3968</v>
      </c>
      <c r="B1113" s="298" t="s">
        <v>3969</v>
      </c>
      <c r="C1113" s="298" t="s">
        <v>390</v>
      </c>
      <c r="D1113" s="298" t="s">
        <v>256</v>
      </c>
      <c r="E1113" s="298"/>
      <c r="F1113" s="298" t="s">
        <v>3970</v>
      </c>
      <c r="G1113" s="299" t="b">
        <v>0</v>
      </c>
      <c r="H1113" s="299" t="b">
        <v>0</v>
      </c>
      <c r="J1113" s="113" t="str">
        <f t="shared" si="35"/>
        <v>977767777</v>
      </c>
      <c r="K1113" s="113" t="str">
        <f t="shared" si="36"/>
        <v>CG01183</v>
      </c>
    </row>
    <row r="1114" spans="1:11" x14ac:dyDescent="0.3">
      <c r="A1114" s="298" t="s">
        <v>3971</v>
      </c>
      <c r="B1114" s="298" t="s">
        <v>3972</v>
      </c>
      <c r="C1114" s="298" t="s">
        <v>1821</v>
      </c>
      <c r="D1114" s="298" t="s">
        <v>256</v>
      </c>
      <c r="E1114" s="298"/>
      <c r="F1114" s="298" t="s">
        <v>3973</v>
      </c>
      <c r="G1114" s="299" t="b">
        <v>0</v>
      </c>
      <c r="H1114" s="299" t="b">
        <v>0</v>
      </c>
      <c r="J1114" s="113" t="str">
        <f t="shared" si="35"/>
        <v>983165544</v>
      </c>
      <c r="K1114" s="113" t="str">
        <f t="shared" si="36"/>
        <v>CG01184</v>
      </c>
    </row>
    <row r="1115" spans="1:11" x14ac:dyDescent="0.3">
      <c r="A1115" s="298" t="s">
        <v>3974</v>
      </c>
      <c r="B1115" s="298" t="s">
        <v>3975</v>
      </c>
      <c r="C1115" s="298" t="s">
        <v>230</v>
      </c>
      <c r="D1115" s="298" t="s">
        <v>256</v>
      </c>
      <c r="E1115" s="298"/>
      <c r="F1115" s="298" t="s">
        <v>3976</v>
      </c>
      <c r="G1115" s="299" t="b">
        <v>0</v>
      </c>
      <c r="H1115" s="299" t="b">
        <v>0</v>
      </c>
      <c r="J1115" s="113" t="str">
        <f t="shared" si="35"/>
        <v>911272368</v>
      </c>
      <c r="K1115" s="113" t="str">
        <f t="shared" si="36"/>
        <v>CG01185</v>
      </c>
    </row>
    <row r="1116" spans="1:11" x14ac:dyDescent="0.3">
      <c r="A1116" s="298" t="s">
        <v>3977</v>
      </c>
      <c r="B1116" s="298" t="s">
        <v>3978</v>
      </c>
      <c r="C1116" s="298" t="s">
        <v>1335</v>
      </c>
      <c r="D1116" s="298" t="s">
        <v>256</v>
      </c>
      <c r="E1116" s="298"/>
      <c r="F1116" s="298" t="s">
        <v>3979</v>
      </c>
      <c r="G1116" s="299" t="b">
        <v>0</v>
      </c>
      <c r="H1116" s="299" t="b">
        <v>0</v>
      </c>
      <c r="J1116" s="113" t="str">
        <f t="shared" si="35"/>
        <v>981821818</v>
      </c>
      <c r="K1116" s="113" t="str">
        <f t="shared" si="36"/>
        <v>CG01186</v>
      </c>
    </row>
    <row r="1117" spans="1:11" x14ac:dyDescent="0.3">
      <c r="A1117" s="298" t="s">
        <v>3980</v>
      </c>
      <c r="B1117" s="298" t="s">
        <v>3981</v>
      </c>
      <c r="C1117" s="298" t="s">
        <v>390</v>
      </c>
      <c r="D1117" s="298" t="s">
        <v>256</v>
      </c>
      <c r="E1117" s="298"/>
      <c r="F1117" s="298" t="s">
        <v>3982</v>
      </c>
      <c r="G1117" s="299" t="b">
        <v>0</v>
      </c>
      <c r="H1117" s="299" t="b">
        <v>0</v>
      </c>
      <c r="J1117" s="113" t="str">
        <f t="shared" si="35"/>
        <v>961235588</v>
      </c>
      <c r="K1117" s="113" t="str">
        <f t="shared" si="36"/>
        <v>CG01187</v>
      </c>
    </row>
    <row r="1118" spans="1:11" x14ac:dyDescent="0.3">
      <c r="A1118" s="298" t="s">
        <v>3983</v>
      </c>
      <c r="B1118" s="298" t="s">
        <v>3984</v>
      </c>
      <c r="C1118" s="298" t="s">
        <v>3985</v>
      </c>
      <c r="D1118" s="298" t="s">
        <v>256</v>
      </c>
      <c r="E1118" s="298"/>
      <c r="F1118" s="298" t="s">
        <v>3986</v>
      </c>
      <c r="G1118" s="299" t="b">
        <v>0</v>
      </c>
      <c r="H1118" s="299" t="b">
        <v>0</v>
      </c>
      <c r="J1118" s="113" t="str">
        <f t="shared" si="35"/>
        <v>914104307</v>
      </c>
      <c r="K1118" s="113" t="str">
        <f t="shared" si="36"/>
        <v>CG01188</v>
      </c>
    </row>
    <row r="1119" spans="1:11" x14ac:dyDescent="0.3">
      <c r="A1119" s="298" t="s">
        <v>3987</v>
      </c>
      <c r="B1119" s="298" t="s">
        <v>3988</v>
      </c>
      <c r="C1119" s="298" t="s">
        <v>289</v>
      </c>
      <c r="D1119" s="298" t="s">
        <v>256</v>
      </c>
      <c r="E1119" s="298"/>
      <c r="F1119" s="298" t="s">
        <v>3989</v>
      </c>
      <c r="G1119" s="299" t="b">
        <v>0</v>
      </c>
      <c r="H1119" s="299" t="b">
        <v>0</v>
      </c>
      <c r="J1119" s="113" t="str">
        <f t="shared" si="35"/>
        <v>943326917</v>
      </c>
      <c r="K1119" s="113" t="str">
        <f t="shared" si="36"/>
        <v>CG01189</v>
      </c>
    </row>
    <row r="1120" spans="1:11" x14ac:dyDescent="0.3">
      <c r="A1120" s="298" t="s">
        <v>3990</v>
      </c>
      <c r="B1120" s="298" t="s">
        <v>3991</v>
      </c>
      <c r="C1120" s="298" t="s">
        <v>1873</v>
      </c>
      <c r="D1120" s="298" t="s">
        <v>256</v>
      </c>
      <c r="E1120" s="298"/>
      <c r="F1120" s="298" t="s">
        <v>3992</v>
      </c>
      <c r="G1120" s="299" t="b">
        <v>0</v>
      </c>
      <c r="H1120" s="299" t="b">
        <v>0</v>
      </c>
      <c r="J1120" s="113" t="str">
        <f t="shared" si="35"/>
        <v>816483620</v>
      </c>
      <c r="K1120" s="113" t="str">
        <f t="shared" si="36"/>
        <v>CG01190</v>
      </c>
    </row>
    <row r="1121" spans="1:11" x14ac:dyDescent="0.3">
      <c r="A1121" s="298" t="s">
        <v>3993</v>
      </c>
      <c r="B1121" s="298" t="s">
        <v>3994</v>
      </c>
      <c r="C1121" s="298" t="s">
        <v>541</v>
      </c>
      <c r="D1121" s="298" t="s">
        <v>256</v>
      </c>
      <c r="E1121" s="298"/>
      <c r="F1121" s="298" t="s">
        <v>3995</v>
      </c>
      <c r="G1121" s="299" t="b">
        <v>0</v>
      </c>
      <c r="H1121" s="299" t="b">
        <v>0</v>
      </c>
      <c r="J1121" s="113" t="str">
        <f t="shared" si="35"/>
        <v>913530445</v>
      </c>
      <c r="K1121" s="113" t="str">
        <f t="shared" si="36"/>
        <v>CG01191</v>
      </c>
    </row>
    <row r="1122" spans="1:11" x14ac:dyDescent="0.3">
      <c r="A1122" s="298" t="s">
        <v>3996</v>
      </c>
      <c r="B1122" s="298" t="s">
        <v>3997</v>
      </c>
      <c r="C1122" s="298" t="s">
        <v>289</v>
      </c>
      <c r="D1122" s="298" t="s">
        <v>256</v>
      </c>
      <c r="E1122" s="298"/>
      <c r="F1122" s="298" t="s">
        <v>3998</v>
      </c>
      <c r="G1122" s="299" t="b">
        <v>0</v>
      </c>
      <c r="H1122" s="299" t="b">
        <v>0</v>
      </c>
      <c r="J1122" s="113" t="str">
        <f t="shared" si="35"/>
        <v>914931117</v>
      </c>
      <c r="K1122" s="113" t="str">
        <f t="shared" si="36"/>
        <v>CG01192</v>
      </c>
    </row>
    <row r="1123" spans="1:11" x14ac:dyDescent="0.3">
      <c r="A1123" s="298" t="s">
        <v>3999</v>
      </c>
      <c r="B1123" s="298" t="s">
        <v>4000</v>
      </c>
      <c r="C1123" s="298" t="s">
        <v>884</v>
      </c>
      <c r="D1123" s="298" t="s">
        <v>256</v>
      </c>
      <c r="E1123" s="298"/>
      <c r="F1123" s="298" t="s">
        <v>4001</v>
      </c>
      <c r="G1123" s="299" t="b">
        <v>0</v>
      </c>
      <c r="H1123" s="299" t="b">
        <v>0</v>
      </c>
      <c r="J1123" s="113" t="str">
        <f t="shared" si="35"/>
        <v>912387782</v>
      </c>
      <c r="K1123" s="113" t="str">
        <f t="shared" si="36"/>
        <v>CG01193</v>
      </c>
    </row>
    <row r="1124" spans="1:11" x14ac:dyDescent="0.3">
      <c r="A1124" s="298" t="s">
        <v>4002</v>
      </c>
      <c r="B1124" s="298" t="s">
        <v>4003</v>
      </c>
      <c r="C1124" s="298" t="s">
        <v>4004</v>
      </c>
      <c r="D1124" s="298" t="s">
        <v>256</v>
      </c>
      <c r="E1124" s="298" t="s">
        <v>4005</v>
      </c>
      <c r="F1124" s="298" t="s">
        <v>4006</v>
      </c>
      <c r="G1124" s="299" t="b">
        <v>0</v>
      </c>
      <c r="H1124" s="299" t="b">
        <v>0</v>
      </c>
      <c r="J1124" s="113" t="str">
        <f t="shared" si="35"/>
        <v>978478662</v>
      </c>
      <c r="K1124" s="113" t="str">
        <f t="shared" si="36"/>
        <v>CG01194</v>
      </c>
    </row>
    <row r="1125" spans="1:11" x14ac:dyDescent="0.3">
      <c r="A1125" s="298" t="s">
        <v>4007</v>
      </c>
      <c r="B1125" s="298" t="s">
        <v>4008</v>
      </c>
      <c r="C1125" s="298" t="s">
        <v>4009</v>
      </c>
      <c r="D1125" s="298" t="s">
        <v>256</v>
      </c>
      <c r="E1125" s="298"/>
      <c r="F1125" s="298" t="s">
        <v>4010</v>
      </c>
      <c r="G1125" s="299" t="b">
        <v>0</v>
      </c>
      <c r="H1125" s="299" t="b">
        <v>0</v>
      </c>
      <c r="J1125" s="113" t="str">
        <f t="shared" si="35"/>
        <v>945848743</v>
      </c>
      <c r="K1125" s="113" t="str">
        <f t="shared" si="36"/>
        <v>CG01195</v>
      </c>
    </row>
    <row r="1126" spans="1:11" x14ac:dyDescent="0.3">
      <c r="A1126" s="298" t="s">
        <v>4011</v>
      </c>
      <c r="B1126" s="298" t="s">
        <v>4012</v>
      </c>
      <c r="C1126" s="298" t="s">
        <v>343</v>
      </c>
      <c r="D1126" s="298" t="s">
        <v>256</v>
      </c>
      <c r="E1126" s="298"/>
      <c r="F1126" s="298" t="s">
        <v>4013</v>
      </c>
      <c r="G1126" s="299" t="b">
        <v>0</v>
      </c>
      <c r="H1126" s="299" t="b">
        <v>0</v>
      </c>
      <c r="J1126" s="113" t="str">
        <f t="shared" si="35"/>
        <v>913863578</v>
      </c>
      <c r="K1126" s="113" t="str">
        <f t="shared" si="36"/>
        <v>CG01196</v>
      </c>
    </row>
    <row r="1127" spans="1:11" x14ac:dyDescent="0.3">
      <c r="A1127" s="298" t="s">
        <v>4014</v>
      </c>
      <c r="B1127" s="298" t="s">
        <v>4015</v>
      </c>
      <c r="C1127" s="298" t="s">
        <v>1247</v>
      </c>
      <c r="D1127" s="298" t="s">
        <v>256</v>
      </c>
      <c r="E1127" s="298"/>
      <c r="F1127" s="298" t="s">
        <v>4016</v>
      </c>
      <c r="G1127" s="299" t="b">
        <v>0</v>
      </c>
      <c r="H1127" s="299" t="b">
        <v>0</v>
      </c>
      <c r="J1127" s="113" t="str">
        <f t="shared" si="35"/>
        <v>947346165</v>
      </c>
      <c r="K1127" s="113" t="str">
        <f t="shared" si="36"/>
        <v>CG01197</v>
      </c>
    </row>
    <row r="1128" spans="1:11" x14ac:dyDescent="0.3">
      <c r="A1128" s="298" t="s">
        <v>4017</v>
      </c>
      <c r="B1128" s="298" t="s">
        <v>4018</v>
      </c>
      <c r="C1128" s="298" t="s">
        <v>4019</v>
      </c>
      <c r="D1128" s="298" t="s">
        <v>256</v>
      </c>
      <c r="E1128" s="298"/>
      <c r="F1128" s="298" t="s">
        <v>4020</v>
      </c>
      <c r="G1128" s="299" t="b">
        <v>0</v>
      </c>
      <c r="H1128" s="299" t="b">
        <v>0</v>
      </c>
      <c r="J1128" s="113" t="str">
        <f t="shared" si="35"/>
        <v>969364559</v>
      </c>
      <c r="K1128" s="113" t="str">
        <f t="shared" si="36"/>
        <v>CG01198</v>
      </c>
    </row>
    <row r="1129" spans="1:11" x14ac:dyDescent="0.3">
      <c r="A1129" s="298" t="s">
        <v>4021</v>
      </c>
      <c r="B1129" s="298" t="s">
        <v>4022</v>
      </c>
      <c r="C1129" s="298" t="s">
        <v>824</v>
      </c>
      <c r="D1129" s="298" t="s">
        <v>256</v>
      </c>
      <c r="E1129" s="298"/>
      <c r="F1129" s="298" t="s">
        <v>4023</v>
      </c>
      <c r="G1129" s="299" t="b">
        <v>0</v>
      </c>
      <c r="H1129" s="299" t="b">
        <v>0</v>
      </c>
      <c r="J1129" s="113" t="str">
        <f t="shared" si="35"/>
        <v>902245827</v>
      </c>
      <c r="K1129" s="113" t="str">
        <f t="shared" si="36"/>
        <v>CG01199</v>
      </c>
    </row>
    <row r="1130" spans="1:11" x14ac:dyDescent="0.3">
      <c r="A1130" s="298" t="s">
        <v>4024</v>
      </c>
      <c r="B1130" s="298" t="s">
        <v>4025</v>
      </c>
      <c r="C1130" s="298" t="s">
        <v>495</v>
      </c>
      <c r="D1130" s="298" t="s">
        <v>256</v>
      </c>
      <c r="E1130" s="298"/>
      <c r="F1130" s="298" t="s">
        <v>4026</v>
      </c>
      <c r="G1130" s="299" t="b">
        <v>0</v>
      </c>
      <c r="H1130" s="299" t="b">
        <v>0</v>
      </c>
      <c r="J1130" s="113" t="str">
        <f t="shared" si="35"/>
        <v>974789999</v>
      </c>
      <c r="K1130" s="113" t="str">
        <f t="shared" si="36"/>
        <v>CG01200</v>
      </c>
    </row>
    <row r="1131" spans="1:11" x14ac:dyDescent="0.3">
      <c r="A1131" s="298" t="s">
        <v>4027</v>
      </c>
      <c r="B1131" s="298" t="s">
        <v>4028</v>
      </c>
      <c r="C1131" s="298" t="s">
        <v>2897</v>
      </c>
      <c r="D1131" s="298" t="s">
        <v>256</v>
      </c>
      <c r="E1131" s="298"/>
      <c r="F1131" s="298" t="s">
        <v>4029</v>
      </c>
      <c r="G1131" s="299" t="b">
        <v>0</v>
      </c>
      <c r="H1131" s="299" t="b">
        <v>0</v>
      </c>
      <c r="J1131" s="113" t="str">
        <f t="shared" si="35"/>
        <v>964406555</v>
      </c>
      <c r="K1131" s="113" t="str">
        <f t="shared" si="36"/>
        <v>CG01201</v>
      </c>
    </row>
    <row r="1132" spans="1:11" x14ac:dyDescent="0.3">
      <c r="A1132" s="298" t="s">
        <v>4030</v>
      </c>
      <c r="B1132" s="298" t="s">
        <v>14669</v>
      </c>
      <c r="C1132" s="298" t="s">
        <v>1579</v>
      </c>
      <c r="D1132" s="298" t="s">
        <v>256</v>
      </c>
      <c r="E1132" s="298"/>
      <c r="F1132" s="298" t="s">
        <v>14670</v>
      </c>
      <c r="G1132" s="299" t="b">
        <v>0</v>
      </c>
      <c r="H1132" s="299" t="b">
        <v>0</v>
      </c>
      <c r="J1132" s="113" t="str">
        <f t="shared" si="35"/>
        <v>975762778</v>
      </c>
      <c r="K1132" s="113" t="str">
        <f t="shared" si="36"/>
        <v>CG01202</v>
      </c>
    </row>
    <row r="1133" spans="1:11" x14ac:dyDescent="0.3">
      <c r="A1133" s="298" t="s">
        <v>4031</v>
      </c>
      <c r="B1133" s="298" t="s">
        <v>4032</v>
      </c>
      <c r="C1133" s="298" t="s">
        <v>3005</v>
      </c>
      <c r="D1133" s="298" t="s">
        <v>256</v>
      </c>
      <c r="E1133" s="298"/>
      <c r="F1133" s="298" t="s">
        <v>4033</v>
      </c>
      <c r="G1133" s="299" t="b">
        <v>0</v>
      </c>
      <c r="H1133" s="299" t="b">
        <v>0</v>
      </c>
      <c r="J1133" s="113" t="str">
        <f t="shared" si="35"/>
        <v>963804289</v>
      </c>
      <c r="K1133" s="113" t="str">
        <f t="shared" si="36"/>
        <v>CG01203</v>
      </c>
    </row>
    <row r="1134" spans="1:11" x14ac:dyDescent="0.3">
      <c r="A1134" s="298" t="s">
        <v>4034</v>
      </c>
      <c r="B1134" s="298" t="s">
        <v>4035</v>
      </c>
      <c r="C1134" s="298" t="s">
        <v>355</v>
      </c>
      <c r="D1134" s="298" t="s">
        <v>256</v>
      </c>
      <c r="E1134" s="298"/>
      <c r="F1134" s="298" t="s">
        <v>4036</v>
      </c>
      <c r="G1134" s="299" t="b">
        <v>0</v>
      </c>
      <c r="H1134" s="299" t="b">
        <v>0</v>
      </c>
      <c r="J1134" s="113" t="str">
        <f t="shared" si="35"/>
        <v>917644099</v>
      </c>
      <c r="K1134" s="113" t="str">
        <f t="shared" si="36"/>
        <v>CG01204</v>
      </c>
    </row>
    <row r="1135" spans="1:11" x14ac:dyDescent="0.3">
      <c r="A1135" s="298" t="s">
        <v>4037</v>
      </c>
      <c r="B1135" s="298" t="s">
        <v>4038</v>
      </c>
      <c r="C1135" s="298" t="s">
        <v>942</v>
      </c>
      <c r="D1135" s="298" t="s">
        <v>256</v>
      </c>
      <c r="E1135" s="298"/>
      <c r="F1135" s="298" t="s">
        <v>4039</v>
      </c>
      <c r="G1135" s="299" t="b">
        <v>0</v>
      </c>
      <c r="H1135" s="299" t="b">
        <v>0</v>
      </c>
      <c r="J1135" s="113" t="str">
        <f t="shared" si="35"/>
        <v>948056525</v>
      </c>
      <c r="K1135" s="113" t="str">
        <f t="shared" si="36"/>
        <v>CG01205</v>
      </c>
    </row>
    <row r="1136" spans="1:11" x14ac:dyDescent="0.3">
      <c r="A1136" s="298" t="s">
        <v>4040</v>
      </c>
      <c r="B1136" s="298" t="s">
        <v>4041</v>
      </c>
      <c r="C1136" s="298" t="s">
        <v>2051</v>
      </c>
      <c r="D1136" s="298" t="s">
        <v>256</v>
      </c>
      <c r="E1136" s="298"/>
      <c r="F1136" s="298" t="s">
        <v>4042</v>
      </c>
      <c r="G1136" s="299" t="b">
        <v>0</v>
      </c>
      <c r="H1136" s="299" t="b">
        <v>0</v>
      </c>
      <c r="J1136" s="113" t="str">
        <f t="shared" si="35"/>
        <v>913313514</v>
      </c>
      <c r="K1136" s="113" t="str">
        <f t="shared" si="36"/>
        <v>CG01206</v>
      </c>
    </row>
    <row r="1137" spans="1:11" x14ac:dyDescent="0.3">
      <c r="A1137" s="298" t="s">
        <v>4043</v>
      </c>
      <c r="B1137" s="298" t="s">
        <v>4044</v>
      </c>
      <c r="C1137" s="298" t="s">
        <v>613</v>
      </c>
      <c r="D1137" s="298" t="s">
        <v>256</v>
      </c>
      <c r="E1137" s="298"/>
      <c r="F1137" s="298" t="s">
        <v>4045</v>
      </c>
      <c r="G1137" s="299" t="b">
        <v>0</v>
      </c>
      <c r="H1137" s="299" t="b">
        <v>0</v>
      </c>
      <c r="J1137" s="113" t="str">
        <f t="shared" si="35"/>
        <v>966351268</v>
      </c>
      <c r="K1137" s="113" t="str">
        <f t="shared" si="36"/>
        <v>CG01207</v>
      </c>
    </row>
    <row r="1138" spans="1:11" x14ac:dyDescent="0.3">
      <c r="A1138" s="298" t="s">
        <v>4046</v>
      </c>
      <c r="B1138" s="298" t="s">
        <v>4047</v>
      </c>
      <c r="C1138" s="298" t="s">
        <v>230</v>
      </c>
      <c r="D1138" s="298" t="s">
        <v>256</v>
      </c>
      <c r="E1138" s="298"/>
      <c r="F1138" s="298" t="s">
        <v>4048</v>
      </c>
      <c r="G1138" s="299" t="b">
        <v>0</v>
      </c>
      <c r="H1138" s="299" t="b">
        <v>0</v>
      </c>
      <c r="J1138" s="113" t="str">
        <f t="shared" si="35"/>
        <v>913140968</v>
      </c>
      <c r="K1138" s="113" t="str">
        <f t="shared" si="36"/>
        <v>CG01208</v>
      </c>
    </row>
    <row r="1139" spans="1:11" x14ac:dyDescent="0.3">
      <c r="A1139" s="298" t="s">
        <v>4049</v>
      </c>
      <c r="B1139" s="298" t="s">
        <v>4050</v>
      </c>
      <c r="C1139" s="298" t="s">
        <v>4051</v>
      </c>
      <c r="D1139" s="298" t="s">
        <v>256</v>
      </c>
      <c r="E1139" s="298"/>
      <c r="F1139" s="298" t="s">
        <v>4052</v>
      </c>
      <c r="G1139" s="299" t="b">
        <v>0</v>
      </c>
      <c r="H1139" s="299" t="b">
        <v>0</v>
      </c>
      <c r="J1139" s="113" t="str">
        <f t="shared" si="35"/>
        <v>977491997</v>
      </c>
      <c r="K1139" s="113" t="str">
        <f t="shared" si="36"/>
        <v>CG01209</v>
      </c>
    </row>
    <row r="1140" spans="1:11" x14ac:dyDescent="0.3">
      <c r="A1140" s="298" t="s">
        <v>4053</v>
      </c>
      <c r="B1140" s="298" t="s">
        <v>4054</v>
      </c>
      <c r="C1140" s="298" t="s">
        <v>4055</v>
      </c>
      <c r="D1140" s="298" t="s">
        <v>256</v>
      </c>
      <c r="E1140" s="298" t="s">
        <v>4056</v>
      </c>
      <c r="F1140" s="298" t="s">
        <v>4057</v>
      </c>
      <c r="G1140" s="299" t="b">
        <v>0</v>
      </c>
      <c r="H1140" s="299" t="b">
        <v>0</v>
      </c>
      <c r="J1140" s="113" t="str">
        <f t="shared" si="35"/>
        <v xml:space="preserve">00300796 </v>
      </c>
      <c r="K1140" s="113" t="str">
        <f t="shared" si="36"/>
        <v>CG01210</v>
      </c>
    </row>
    <row r="1141" spans="1:11" x14ac:dyDescent="0.3">
      <c r="A1141" s="298" t="s">
        <v>4058</v>
      </c>
      <c r="B1141" s="298" t="s">
        <v>4059</v>
      </c>
      <c r="C1141" s="298" t="s">
        <v>340</v>
      </c>
      <c r="D1141" s="298" t="s">
        <v>256</v>
      </c>
      <c r="E1141" s="298"/>
      <c r="F1141" s="298" t="s">
        <v>4060</v>
      </c>
      <c r="G1141" s="299" t="b">
        <v>0</v>
      </c>
      <c r="H1141" s="299" t="b">
        <v>0</v>
      </c>
      <c r="J1141" s="113" t="str">
        <f t="shared" si="35"/>
        <v>988798602</v>
      </c>
      <c r="K1141" s="113" t="str">
        <f t="shared" si="36"/>
        <v>CG01211</v>
      </c>
    </row>
    <row r="1142" spans="1:11" x14ac:dyDescent="0.3">
      <c r="A1142" s="298" t="s">
        <v>4061</v>
      </c>
      <c r="B1142" s="298" t="s">
        <v>4062</v>
      </c>
      <c r="C1142" s="298" t="s">
        <v>1508</v>
      </c>
      <c r="D1142" s="298" t="s">
        <v>256</v>
      </c>
      <c r="E1142" s="298"/>
      <c r="F1142" s="298" t="s">
        <v>4063</v>
      </c>
      <c r="G1142" s="299" t="b">
        <v>0</v>
      </c>
      <c r="H1142" s="299" t="b">
        <v>0</v>
      </c>
      <c r="J1142" s="113" t="str">
        <f t="shared" si="35"/>
        <v>982887777</v>
      </c>
      <c r="K1142" s="113" t="str">
        <f t="shared" si="36"/>
        <v>CG01212</v>
      </c>
    </row>
    <row r="1143" spans="1:11" x14ac:dyDescent="0.3">
      <c r="A1143" s="298" t="s">
        <v>4064</v>
      </c>
      <c r="B1143" s="298" t="s">
        <v>4065</v>
      </c>
      <c r="C1143" s="298" t="s">
        <v>1508</v>
      </c>
      <c r="D1143" s="298" t="s">
        <v>256</v>
      </c>
      <c r="E1143" s="298"/>
      <c r="F1143" s="298" t="s">
        <v>4066</v>
      </c>
      <c r="G1143" s="299" t="b">
        <v>0</v>
      </c>
      <c r="H1143" s="299" t="b">
        <v>0</v>
      </c>
      <c r="J1143" s="113" t="str">
        <f t="shared" si="35"/>
        <v>976118000</v>
      </c>
      <c r="K1143" s="113" t="str">
        <f t="shared" si="36"/>
        <v>CG01213</v>
      </c>
    </row>
    <row r="1144" spans="1:11" x14ac:dyDescent="0.3">
      <c r="A1144" s="298" t="s">
        <v>4067</v>
      </c>
      <c r="B1144" s="298" t="s">
        <v>4068</v>
      </c>
      <c r="C1144" s="298" t="s">
        <v>286</v>
      </c>
      <c r="D1144" s="298" t="s">
        <v>256</v>
      </c>
      <c r="E1144" s="298"/>
      <c r="F1144" s="298" t="s">
        <v>4069</v>
      </c>
      <c r="G1144" s="299" t="b">
        <v>0</v>
      </c>
      <c r="H1144" s="299" t="b">
        <v>0</v>
      </c>
      <c r="J1144" s="113" t="str">
        <f t="shared" si="35"/>
        <v>983753340</v>
      </c>
      <c r="K1144" s="113" t="str">
        <f t="shared" si="36"/>
        <v>CG01214</v>
      </c>
    </row>
    <row r="1145" spans="1:11" x14ac:dyDescent="0.3">
      <c r="A1145" s="298" t="s">
        <v>4070</v>
      </c>
      <c r="B1145" s="298" t="s">
        <v>4071</v>
      </c>
      <c r="C1145" s="298" t="s">
        <v>355</v>
      </c>
      <c r="D1145" s="298" t="s">
        <v>256</v>
      </c>
      <c r="E1145" s="298"/>
      <c r="F1145" s="298" t="s">
        <v>4072</v>
      </c>
      <c r="G1145" s="299" t="b">
        <v>0</v>
      </c>
      <c r="H1145" s="299" t="b">
        <v>0</v>
      </c>
      <c r="J1145" s="113" t="str">
        <f t="shared" si="35"/>
        <v>912846846</v>
      </c>
      <c r="K1145" s="113" t="str">
        <f t="shared" si="36"/>
        <v>CG01215</v>
      </c>
    </row>
    <row r="1146" spans="1:11" x14ac:dyDescent="0.3">
      <c r="A1146" s="298" t="s">
        <v>4073</v>
      </c>
      <c r="B1146" s="298" t="s">
        <v>4074</v>
      </c>
      <c r="C1146" s="298" t="s">
        <v>809</v>
      </c>
      <c r="D1146" s="298" t="s">
        <v>256</v>
      </c>
      <c r="E1146" s="298"/>
      <c r="F1146" s="298" t="s">
        <v>4075</v>
      </c>
      <c r="G1146" s="299" t="b">
        <v>0</v>
      </c>
      <c r="H1146" s="299" t="b">
        <v>0</v>
      </c>
      <c r="J1146" s="113" t="str">
        <f t="shared" si="35"/>
        <v>977087884</v>
      </c>
      <c r="K1146" s="113" t="str">
        <f t="shared" si="36"/>
        <v>CG01216</v>
      </c>
    </row>
    <row r="1147" spans="1:11" x14ac:dyDescent="0.3">
      <c r="A1147" s="298" t="s">
        <v>4076</v>
      </c>
      <c r="B1147" s="298" t="s">
        <v>4077</v>
      </c>
      <c r="C1147" s="298" t="s">
        <v>4078</v>
      </c>
      <c r="D1147" s="298" t="s">
        <v>256</v>
      </c>
      <c r="E1147" s="298"/>
      <c r="F1147" s="298" t="s">
        <v>4079</v>
      </c>
      <c r="G1147" s="299" t="b">
        <v>0</v>
      </c>
      <c r="H1147" s="299" t="b">
        <v>0</v>
      </c>
      <c r="J1147" s="113" t="str">
        <f t="shared" si="35"/>
        <v>972958333</v>
      </c>
      <c r="K1147" s="113" t="str">
        <f t="shared" si="36"/>
        <v>CG01217</v>
      </c>
    </row>
    <row r="1148" spans="1:11" x14ac:dyDescent="0.3">
      <c r="A1148" s="298" t="s">
        <v>4080</v>
      </c>
      <c r="B1148" s="298" t="s">
        <v>4081</v>
      </c>
      <c r="C1148" s="298" t="s">
        <v>309</v>
      </c>
      <c r="D1148" s="298" t="s">
        <v>256</v>
      </c>
      <c r="E1148" s="298"/>
      <c r="F1148" s="298" t="s">
        <v>4082</v>
      </c>
      <c r="G1148" s="299" t="b">
        <v>0</v>
      </c>
      <c r="H1148" s="299" t="b">
        <v>0</v>
      </c>
      <c r="J1148" s="113" t="str">
        <f t="shared" si="35"/>
        <v>915102255</v>
      </c>
      <c r="K1148" s="113" t="str">
        <f t="shared" si="36"/>
        <v>CG01218</v>
      </c>
    </row>
    <row r="1149" spans="1:11" x14ac:dyDescent="0.3">
      <c r="A1149" s="298" t="s">
        <v>4083</v>
      </c>
      <c r="B1149" s="298" t="s">
        <v>4084</v>
      </c>
      <c r="C1149" s="298" t="s">
        <v>1508</v>
      </c>
      <c r="D1149" s="298" t="s">
        <v>256</v>
      </c>
      <c r="E1149" s="298"/>
      <c r="F1149" s="298" t="s">
        <v>4085</v>
      </c>
      <c r="G1149" s="299" t="b">
        <v>0</v>
      </c>
      <c r="H1149" s="299" t="b">
        <v>0</v>
      </c>
      <c r="J1149" s="113" t="str">
        <f t="shared" si="35"/>
        <v>962558286</v>
      </c>
      <c r="K1149" s="113" t="str">
        <f t="shared" si="36"/>
        <v>CG01219</v>
      </c>
    </row>
    <row r="1150" spans="1:11" x14ac:dyDescent="0.3">
      <c r="A1150" s="298" t="s">
        <v>4086</v>
      </c>
      <c r="B1150" s="298" t="s">
        <v>4087</v>
      </c>
      <c r="C1150" s="298" t="s">
        <v>343</v>
      </c>
      <c r="D1150" s="298" t="s">
        <v>256</v>
      </c>
      <c r="E1150" s="298"/>
      <c r="F1150" s="298" t="s">
        <v>4088</v>
      </c>
      <c r="G1150" s="299" t="b">
        <v>0</v>
      </c>
      <c r="H1150" s="299" t="b">
        <v>0</v>
      </c>
      <c r="J1150" s="113" t="str">
        <f t="shared" si="35"/>
        <v>987571123</v>
      </c>
      <c r="K1150" s="113" t="str">
        <f t="shared" si="36"/>
        <v>CG01220</v>
      </c>
    </row>
    <row r="1151" spans="1:11" x14ac:dyDescent="0.3">
      <c r="A1151" s="298" t="s">
        <v>4089</v>
      </c>
      <c r="B1151" s="298" t="s">
        <v>4090</v>
      </c>
      <c r="C1151" s="298" t="s">
        <v>1873</v>
      </c>
      <c r="D1151" s="298" t="s">
        <v>256</v>
      </c>
      <c r="E1151" s="298"/>
      <c r="F1151" s="298" t="s">
        <v>4091</v>
      </c>
      <c r="G1151" s="299" t="b">
        <v>0</v>
      </c>
      <c r="H1151" s="299" t="b">
        <v>0</v>
      </c>
      <c r="J1151" s="113" t="str">
        <f t="shared" si="35"/>
        <v>979059502</v>
      </c>
      <c r="K1151" s="113" t="str">
        <f t="shared" si="36"/>
        <v>CG01221</v>
      </c>
    </row>
    <row r="1152" spans="1:11" x14ac:dyDescent="0.3">
      <c r="A1152" s="298" t="s">
        <v>4092</v>
      </c>
      <c r="B1152" s="298" t="s">
        <v>4093</v>
      </c>
      <c r="C1152" s="298" t="s">
        <v>335</v>
      </c>
      <c r="D1152" s="298" t="s">
        <v>256</v>
      </c>
      <c r="E1152" s="298"/>
      <c r="F1152" s="298" t="s">
        <v>4094</v>
      </c>
      <c r="G1152" s="299" t="b">
        <v>0</v>
      </c>
      <c r="H1152" s="299" t="b">
        <v>0</v>
      </c>
      <c r="J1152" s="113" t="str">
        <f t="shared" si="35"/>
        <v>963334116</v>
      </c>
      <c r="K1152" s="113" t="str">
        <f t="shared" si="36"/>
        <v>CG01222</v>
      </c>
    </row>
    <row r="1153" spans="1:11" x14ac:dyDescent="0.3">
      <c r="A1153" s="298" t="s">
        <v>4095</v>
      </c>
      <c r="B1153" s="298" t="s">
        <v>4096</v>
      </c>
      <c r="C1153" s="298" t="s">
        <v>1497</v>
      </c>
      <c r="D1153" s="298" t="s">
        <v>256</v>
      </c>
      <c r="E1153" s="298"/>
      <c r="F1153" s="298" t="s">
        <v>4097</v>
      </c>
      <c r="G1153" s="299" t="b">
        <v>0</v>
      </c>
      <c r="H1153" s="299" t="b">
        <v>0</v>
      </c>
      <c r="J1153" s="113" t="str">
        <f t="shared" si="35"/>
        <v>968224668</v>
      </c>
      <c r="K1153" s="113" t="str">
        <f t="shared" si="36"/>
        <v>CG01223</v>
      </c>
    </row>
    <row r="1154" spans="1:11" x14ac:dyDescent="0.3">
      <c r="A1154" s="298" t="s">
        <v>4098</v>
      </c>
      <c r="B1154" s="298" t="s">
        <v>4099</v>
      </c>
      <c r="C1154" s="298" t="s">
        <v>289</v>
      </c>
      <c r="D1154" s="298" t="s">
        <v>256</v>
      </c>
      <c r="E1154" s="298"/>
      <c r="F1154" s="298" t="s">
        <v>4100</v>
      </c>
      <c r="G1154" s="299" t="b">
        <v>0</v>
      </c>
      <c r="H1154" s="299" t="b">
        <v>0</v>
      </c>
      <c r="J1154" s="113" t="str">
        <f t="shared" si="35"/>
        <v>976261969</v>
      </c>
      <c r="K1154" s="113" t="str">
        <f t="shared" si="36"/>
        <v>CG01224</v>
      </c>
    </row>
    <row r="1155" spans="1:11" x14ac:dyDescent="0.3">
      <c r="A1155" s="298" t="s">
        <v>4101</v>
      </c>
      <c r="B1155" s="298" t="s">
        <v>4102</v>
      </c>
      <c r="C1155" s="298" t="s">
        <v>416</v>
      </c>
      <c r="D1155" s="298" t="s">
        <v>256</v>
      </c>
      <c r="E1155" s="298"/>
      <c r="F1155" s="298" t="s">
        <v>4103</v>
      </c>
      <c r="G1155" s="299" t="b">
        <v>0</v>
      </c>
      <c r="H1155" s="299" t="b">
        <v>0</v>
      </c>
      <c r="J1155" s="113" t="str">
        <f t="shared" si="35"/>
        <v>987180584</v>
      </c>
      <c r="K1155" s="113" t="str">
        <f t="shared" si="36"/>
        <v>CG01225</v>
      </c>
    </row>
    <row r="1156" spans="1:11" x14ac:dyDescent="0.3">
      <c r="A1156" s="298" t="s">
        <v>4104</v>
      </c>
      <c r="B1156" s="298" t="s">
        <v>4105</v>
      </c>
      <c r="C1156" s="298" t="s">
        <v>286</v>
      </c>
      <c r="D1156" s="298" t="s">
        <v>256</v>
      </c>
      <c r="E1156" s="298"/>
      <c r="F1156" s="298" t="s">
        <v>4106</v>
      </c>
      <c r="G1156" s="299" t="b">
        <v>0</v>
      </c>
      <c r="H1156" s="299" t="b">
        <v>0</v>
      </c>
      <c r="J1156" s="113" t="str">
        <f t="shared" si="35"/>
        <v>983945268</v>
      </c>
      <c r="K1156" s="113" t="str">
        <f t="shared" si="36"/>
        <v>CG01226</v>
      </c>
    </row>
    <row r="1157" spans="1:11" x14ac:dyDescent="0.3">
      <c r="A1157" s="298" t="s">
        <v>4107</v>
      </c>
      <c r="B1157" s="298" t="s">
        <v>4108</v>
      </c>
      <c r="C1157" s="298" t="s">
        <v>1335</v>
      </c>
      <c r="D1157" s="298" t="s">
        <v>256</v>
      </c>
      <c r="E1157" s="298"/>
      <c r="F1157" s="298" t="s">
        <v>4109</v>
      </c>
      <c r="G1157" s="299" t="b">
        <v>0</v>
      </c>
      <c r="H1157" s="299" t="b">
        <v>0</v>
      </c>
      <c r="J1157" s="113" t="str">
        <f t="shared" ref="J1157:J1220" si="37">RIGHT(B1157,9)</f>
        <v>904065789</v>
      </c>
      <c r="K1157" s="113" t="str">
        <f t="shared" ref="K1157:K1220" si="38">A1157</f>
        <v>CG01227</v>
      </c>
    </row>
    <row r="1158" spans="1:11" x14ac:dyDescent="0.3">
      <c r="A1158" s="298" t="s">
        <v>4110</v>
      </c>
      <c r="B1158" s="298" t="s">
        <v>4111</v>
      </c>
      <c r="C1158" s="298" t="s">
        <v>289</v>
      </c>
      <c r="D1158" s="298" t="s">
        <v>256</v>
      </c>
      <c r="E1158" s="298"/>
      <c r="F1158" s="298" t="s">
        <v>4112</v>
      </c>
      <c r="G1158" s="299" t="b">
        <v>0</v>
      </c>
      <c r="H1158" s="299" t="b">
        <v>0</v>
      </c>
      <c r="J1158" s="113" t="str">
        <f t="shared" si="37"/>
        <v>917107638</v>
      </c>
      <c r="K1158" s="113" t="str">
        <f t="shared" si="38"/>
        <v>CG01228</v>
      </c>
    </row>
    <row r="1159" spans="1:11" x14ac:dyDescent="0.3">
      <c r="A1159" s="298" t="s">
        <v>4113</v>
      </c>
      <c r="B1159" s="298" t="s">
        <v>4114</v>
      </c>
      <c r="C1159" s="298" t="s">
        <v>230</v>
      </c>
      <c r="D1159" s="298" t="s">
        <v>256</v>
      </c>
      <c r="E1159" s="298"/>
      <c r="F1159" s="298" t="s">
        <v>4115</v>
      </c>
      <c r="G1159" s="299" t="b">
        <v>0</v>
      </c>
      <c r="H1159" s="299" t="b">
        <v>0</v>
      </c>
      <c r="J1159" s="113" t="str">
        <f t="shared" si="37"/>
        <v>914274361</v>
      </c>
      <c r="K1159" s="113" t="str">
        <f t="shared" si="38"/>
        <v>CG01229</v>
      </c>
    </row>
    <row r="1160" spans="1:11" x14ac:dyDescent="0.3">
      <c r="A1160" s="298" t="s">
        <v>4116</v>
      </c>
      <c r="B1160" s="298" t="s">
        <v>4117</v>
      </c>
      <c r="C1160" s="298" t="s">
        <v>711</v>
      </c>
      <c r="D1160" s="298" t="s">
        <v>256</v>
      </c>
      <c r="E1160" s="298"/>
      <c r="F1160" s="298" t="s">
        <v>4118</v>
      </c>
      <c r="G1160" s="299" t="b">
        <v>0</v>
      </c>
      <c r="H1160" s="299" t="b">
        <v>0</v>
      </c>
      <c r="J1160" s="113" t="str">
        <f t="shared" si="37"/>
        <v>977377696</v>
      </c>
      <c r="K1160" s="113" t="str">
        <f t="shared" si="38"/>
        <v>CG01230</v>
      </c>
    </row>
    <row r="1161" spans="1:11" x14ac:dyDescent="0.3">
      <c r="A1161" s="298" t="s">
        <v>4119</v>
      </c>
      <c r="B1161" s="298" t="s">
        <v>4120</v>
      </c>
      <c r="C1161" s="298" t="s">
        <v>495</v>
      </c>
      <c r="D1161" s="298" t="s">
        <v>256</v>
      </c>
      <c r="E1161" s="298"/>
      <c r="F1161" s="298" t="s">
        <v>4121</v>
      </c>
      <c r="G1161" s="299" t="b">
        <v>0</v>
      </c>
      <c r="H1161" s="299" t="b">
        <v>0</v>
      </c>
      <c r="J1161" s="113" t="str">
        <f t="shared" si="37"/>
        <v>982949161</v>
      </c>
      <c r="K1161" s="113" t="str">
        <f t="shared" si="38"/>
        <v>CG01231</v>
      </c>
    </row>
    <row r="1162" spans="1:11" x14ac:dyDescent="0.3">
      <c r="A1162" s="298" t="s">
        <v>4122</v>
      </c>
      <c r="B1162" s="298" t="s">
        <v>4123</v>
      </c>
      <c r="C1162" s="298" t="s">
        <v>989</v>
      </c>
      <c r="D1162" s="298" t="s">
        <v>256</v>
      </c>
      <c r="E1162" s="298"/>
      <c r="F1162" s="298" t="s">
        <v>4124</v>
      </c>
      <c r="G1162" s="299" t="b">
        <v>0</v>
      </c>
      <c r="H1162" s="299" t="b">
        <v>0</v>
      </c>
      <c r="J1162" s="113" t="str">
        <f t="shared" si="37"/>
        <v>909015696</v>
      </c>
      <c r="K1162" s="113" t="str">
        <f t="shared" si="38"/>
        <v>CG01232</v>
      </c>
    </row>
    <row r="1163" spans="1:11" x14ac:dyDescent="0.3">
      <c r="A1163" s="298" t="s">
        <v>4125</v>
      </c>
      <c r="B1163" s="298" t="s">
        <v>4126</v>
      </c>
      <c r="C1163" s="298" t="s">
        <v>613</v>
      </c>
      <c r="D1163" s="298" t="s">
        <v>256</v>
      </c>
      <c r="E1163" s="298"/>
      <c r="F1163" s="298" t="s">
        <v>4127</v>
      </c>
      <c r="G1163" s="299" t="b">
        <v>0</v>
      </c>
      <c r="H1163" s="299" t="b">
        <v>0</v>
      </c>
      <c r="J1163" s="113" t="str">
        <f t="shared" si="37"/>
        <v>912129266</v>
      </c>
      <c r="K1163" s="113" t="str">
        <f t="shared" si="38"/>
        <v>CG01233</v>
      </c>
    </row>
    <row r="1164" spans="1:11" x14ac:dyDescent="0.3">
      <c r="A1164" s="298" t="s">
        <v>4128</v>
      </c>
      <c r="B1164" s="298" t="s">
        <v>4129</v>
      </c>
      <c r="C1164" s="298" t="s">
        <v>355</v>
      </c>
      <c r="D1164" s="298" t="s">
        <v>256</v>
      </c>
      <c r="E1164" s="298"/>
      <c r="F1164" s="298" t="s">
        <v>4130</v>
      </c>
      <c r="G1164" s="299" t="b">
        <v>0</v>
      </c>
      <c r="H1164" s="299" t="b">
        <v>0</v>
      </c>
      <c r="J1164" s="113" t="str">
        <f t="shared" si="37"/>
        <v>983111034</v>
      </c>
      <c r="K1164" s="113" t="str">
        <f t="shared" si="38"/>
        <v>CG01234</v>
      </c>
    </row>
    <row r="1165" spans="1:11" x14ac:dyDescent="0.3">
      <c r="A1165" s="298" t="s">
        <v>4131</v>
      </c>
      <c r="B1165" s="298" t="s">
        <v>4132</v>
      </c>
      <c r="C1165" s="298" t="s">
        <v>536</v>
      </c>
      <c r="D1165" s="298" t="s">
        <v>256</v>
      </c>
      <c r="E1165" s="298"/>
      <c r="F1165" s="298" t="s">
        <v>4133</v>
      </c>
      <c r="G1165" s="299" t="b">
        <v>0</v>
      </c>
      <c r="H1165" s="299" t="b">
        <v>0</v>
      </c>
      <c r="J1165" s="113" t="str">
        <f t="shared" si="37"/>
        <v>914842725</v>
      </c>
      <c r="K1165" s="113" t="str">
        <f t="shared" si="38"/>
        <v>CG01235</v>
      </c>
    </row>
    <row r="1166" spans="1:11" x14ac:dyDescent="0.3">
      <c r="A1166" s="298" t="s">
        <v>4134</v>
      </c>
      <c r="B1166" s="298" t="s">
        <v>4135</v>
      </c>
      <c r="C1166" s="298" t="s">
        <v>1237</v>
      </c>
      <c r="D1166" s="298" t="s">
        <v>256</v>
      </c>
      <c r="E1166" s="298"/>
      <c r="F1166" s="298" t="s">
        <v>4136</v>
      </c>
      <c r="G1166" s="299" t="b">
        <v>0</v>
      </c>
      <c r="H1166" s="299" t="b">
        <v>0</v>
      </c>
      <c r="J1166" s="113" t="str">
        <f t="shared" si="37"/>
        <v>789195278</v>
      </c>
      <c r="K1166" s="113" t="str">
        <f t="shared" si="38"/>
        <v>CG01236</v>
      </c>
    </row>
    <row r="1167" spans="1:11" x14ac:dyDescent="0.3">
      <c r="A1167" s="298" t="s">
        <v>4137</v>
      </c>
      <c r="B1167" s="298" t="s">
        <v>4138</v>
      </c>
      <c r="C1167" s="298" t="s">
        <v>4139</v>
      </c>
      <c r="D1167" s="298" t="s">
        <v>256</v>
      </c>
      <c r="E1167" s="298"/>
      <c r="F1167" s="298" t="s">
        <v>4140</v>
      </c>
      <c r="G1167" s="299" t="b">
        <v>0</v>
      </c>
      <c r="H1167" s="299" t="b">
        <v>0</v>
      </c>
      <c r="J1167" s="113" t="str">
        <f t="shared" si="37"/>
        <v>396099919</v>
      </c>
      <c r="K1167" s="113" t="str">
        <f t="shared" si="38"/>
        <v>CG01237</v>
      </c>
    </row>
    <row r="1168" spans="1:11" x14ac:dyDescent="0.3">
      <c r="A1168" s="298" t="s">
        <v>4141</v>
      </c>
      <c r="B1168" s="298" t="s">
        <v>4142</v>
      </c>
      <c r="C1168" s="298" t="s">
        <v>536</v>
      </c>
      <c r="D1168" s="298" t="s">
        <v>256</v>
      </c>
      <c r="E1168" s="298"/>
      <c r="F1168" s="298" t="s">
        <v>4143</v>
      </c>
      <c r="G1168" s="299" t="b">
        <v>0</v>
      </c>
      <c r="H1168" s="299" t="b">
        <v>0</v>
      </c>
      <c r="J1168" s="113" t="str">
        <f t="shared" si="37"/>
        <v>914653352</v>
      </c>
      <c r="K1168" s="113" t="str">
        <f t="shared" si="38"/>
        <v>CG01238</v>
      </c>
    </row>
    <row r="1169" spans="1:11" x14ac:dyDescent="0.3">
      <c r="A1169" s="298" t="s">
        <v>4144</v>
      </c>
      <c r="B1169" s="298" t="s">
        <v>4145</v>
      </c>
      <c r="C1169" s="298" t="s">
        <v>375</v>
      </c>
      <c r="D1169" s="298" t="s">
        <v>256</v>
      </c>
      <c r="E1169" s="298"/>
      <c r="F1169" s="298" t="s">
        <v>4146</v>
      </c>
      <c r="G1169" s="299" t="b">
        <v>0</v>
      </c>
      <c r="H1169" s="299" t="b">
        <v>0</v>
      </c>
      <c r="J1169" s="113" t="str">
        <f t="shared" si="37"/>
        <v>913293799</v>
      </c>
      <c r="K1169" s="113" t="str">
        <f t="shared" si="38"/>
        <v>CG01239</v>
      </c>
    </row>
    <row r="1170" spans="1:11" x14ac:dyDescent="0.3">
      <c r="A1170" s="298" t="s">
        <v>4147</v>
      </c>
      <c r="B1170" s="298" t="s">
        <v>4148</v>
      </c>
      <c r="C1170" s="298" t="s">
        <v>613</v>
      </c>
      <c r="D1170" s="298" t="s">
        <v>256</v>
      </c>
      <c r="E1170" s="298"/>
      <c r="F1170" s="298" t="s">
        <v>4149</v>
      </c>
      <c r="G1170" s="299" t="b">
        <v>0</v>
      </c>
      <c r="H1170" s="299" t="b">
        <v>0</v>
      </c>
      <c r="J1170" s="113" t="str">
        <f t="shared" si="37"/>
        <v>903435930</v>
      </c>
      <c r="K1170" s="113" t="str">
        <f t="shared" si="38"/>
        <v>CG01240</v>
      </c>
    </row>
    <row r="1171" spans="1:11" x14ac:dyDescent="0.3">
      <c r="A1171" s="298" t="s">
        <v>4150</v>
      </c>
      <c r="B1171" s="298" t="s">
        <v>4151</v>
      </c>
      <c r="C1171" s="298" t="s">
        <v>4152</v>
      </c>
      <c r="D1171" s="298" t="s">
        <v>256</v>
      </c>
      <c r="E1171" s="298"/>
      <c r="F1171" s="298" t="s">
        <v>4153</v>
      </c>
      <c r="G1171" s="299" t="b">
        <v>0</v>
      </c>
      <c r="H1171" s="299" t="b">
        <v>0</v>
      </c>
      <c r="J1171" s="113" t="str">
        <f t="shared" si="37"/>
        <v>977434603</v>
      </c>
      <c r="K1171" s="113" t="str">
        <f t="shared" si="38"/>
        <v>CG01241</v>
      </c>
    </row>
    <row r="1172" spans="1:11" x14ac:dyDescent="0.3">
      <c r="A1172" s="298" t="s">
        <v>4154</v>
      </c>
      <c r="B1172" s="298" t="s">
        <v>4155</v>
      </c>
      <c r="C1172" s="298" t="s">
        <v>416</v>
      </c>
      <c r="D1172" s="298" t="s">
        <v>256</v>
      </c>
      <c r="E1172" s="298"/>
      <c r="F1172" s="298" t="s">
        <v>4156</v>
      </c>
      <c r="G1172" s="299" t="b">
        <v>0</v>
      </c>
      <c r="H1172" s="299" t="b">
        <v>0</v>
      </c>
      <c r="J1172" s="113" t="str">
        <f t="shared" si="37"/>
        <v>983792756</v>
      </c>
      <c r="K1172" s="113" t="str">
        <f t="shared" si="38"/>
        <v>CG01242</v>
      </c>
    </row>
    <row r="1173" spans="1:11" x14ac:dyDescent="0.3">
      <c r="A1173" s="298" t="s">
        <v>4157</v>
      </c>
      <c r="B1173" s="298" t="s">
        <v>4158</v>
      </c>
      <c r="C1173" s="298" t="s">
        <v>1575</v>
      </c>
      <c r="D1173" s="298" t="s">
        <v>256</v>
      </c>
      <c r="E1173" s="298"/>
      <c r="F1173" s="298" t="s">
        <v>4159</v>
      </c>
      <c r="G1173" s="299" t="b">
        <v>0</v>
      </c>
      <c r="H1173" s="299" t="b">
        <v>0</v>
      </c>
      <c r="J1173" s="113" t="str">
        <f t="shared" si="37"/>
        <v>912167888</v>
      </c>
      <c r="K1173" s="113" t="str">
        <f t="shared" si="38"/>
        <v>CG01243</v>
      </c>
    </row>
    <row r="1174" spans="1:11" x14ac:dyDescent="0.3">
      <c r="A1174" s="298" t="s">
        <v>4160</v>
      </c>
      <c r="B1174" s="298" t="s">
        <v>4161</v>
      </c>
      <c r="C1174" s="298" t="s">
        <v>4162</v>
      </c>
      <c r="D1174" s="298" t="s">
        <v>256</v>
      </c>
      <c r="E1174" s="298"/>
      <c r="F1174" s="298" t="s">
        <v>4163</v>
      </c>
      <c r="G1174" s="299" t="b">
        <v>0</v>
      </c>
      <c r="H1174" s="299" t="b">
        <v>0</v>
      </c>
      <c r="J1174" s="113" t="str">
        <f t="shared" si="37"/>
        <v>967666226</v>
      </c>
      <c r="K1174" s="113" t="str">
        <f t="shared" si="38"/>
        <v>CG01244</v>
      </c>
    </row>
    <row r="1175" spans="1:11" x14ac:dyDescent="0.3">
      <c r="A1175" s="298" t="s">
        <v>4164</v>
      </c>
      <c r="B1175" s="298" t="s">
        <v>4165</v>
      </c>
      <c r="C1175" s="298" t="s">
        <v>4166</v>
      </c>
      <c r="D1175" s="298" t="s">
        <v>256</v>
      </c>
      <c r="E1175" s="298"/>
      <c r="F1175" s="298" t="s">
        <v>4167</v>
      </c>
      <c r="G1175" s="299" t="b">
        <v>0</v>
      </c>
      <c r="H1175" s="299" t="b">
        <v>0</v>
      </c>
      <c r="J1175" s="113" t="str">
        <f t="shared" si="37"/>
        <v>947185616</v>
      </c>
      <c r="K1175" s="113" t="str">
        <f t="shared" si="38"/>
        <v>CG01245</v>
      </c>
    </row>
    <row r="1176" spans="1:11" x14ac:dyDescent="0.3">
      <c r="A1176" s="298" t="s">
        <v>4168</v>
      </c>
      <c r="B1176" s="298" t="s">
        <v>4169</v>
      </c>
      <c r="C1176" s="298" t="s">
        <v>3742</v>
      </c>
      <c r="D1176" s="298" t="s">
        <v>256</v>
      </c>
      <c r="E1176" s="298"/>
      <c r="F1176" s="298" t="s">
        <v>4170</v>
      </c>
      <c r="G1176" s="299" t="b">
        <v>0</v>
      </c>
      <c r="H1176" s="299" t="b">
        <v>0</v>
      </c>
      <c r="J1176" s="113" t="str">
        <f t="shared" si="37"/>
        <v>982961567</v>
      </c>
      <c r="K1176" s="113" t="str">
        <f t="shared" si="38"/>
        <v>CG01246</v>
      </c>
    </row>
    <row r="1177" spans="1:11" x14ac:dyDescent="0.3">
      <c r="A1177" s="298" t="s">
        <v>4171</v>
      </c>
      <c r="B1177" s="298" t="s">
        <v>14671</v>
      </c>
      <c r="C1177" s="298" t="s">
        <v>584</v>
      </c>
      <c r="D1177" s="298" t="s">
        <v>256</v>
      </c>
      <c r="E1177" s="298"/>
      <c r="F1177" s="298" t="s">
        <v>4172</v>
      </c>
      <c r="G1177" s="299" t="b">
        <v>0</v>
      </c>
      <c r="H1177" s="299" t="b">
        <v>0</v>
      </c>
      <c r="J1177" s="113" t="str">
        <f t="shared" si="37"/>
        <v>976662888</v>
      </c>
      <c r="K1177" s="113" t="str">
        <f t="shared" si="38"/>
        <v>CG01247</v>
      </c>
    </row>
    <row r="1178" spans="1:11" x14ac:dyDescent="0.3">
      <c r="A1178" s="298" t="s">
        <v>4173</v>
      </c>
      <c r="B1178" s="298" t="s">
        <v>4174</v>
      </c>
      <c r="C1178" s="298" t="s">
        <v>231</v>
      </c>
      <c r="D1178" s="298" t="s">
        <v>256</v>
      </c>
      <c r="E1178" s="298"/>
      <c r="F1178" s="298" t="s">
        <v>4175</v>
      </c>
      <c r="G1178" s="299" t="b">
        <v>0</v>
      </c>
      <c r="H1178" s="299" t="b">
        <v>0</v>
      </c>
      <c r="J1178" s="113" t="str">
        <f t="shared" si="37"/>
        <v>972059705</v>
      </c>
      <c r="K1178" s="113" t="str">
        <f t="shared" si="38"/>
        <v>CG01248</v>
      </c>
    </row>
    <row r="1179" spans="1:11" x14ac:dyDescent="0.3">
      <c r="A1179" s="298" t="s">
        <v>4176</v>
      </c>
      <c r="B1179" s="298" t="s">
        <v>4177</v>
      </c>
      <c r="C1179" s="298" t="s">
        <v>466</v>
      </c>
      <c r="D1179" s="298" t="s">
        <v>256</v>
      </c>
      <c r="E1179" s="298"/>
      <c r="F1179" s="298" t="s">
        <v>4178</v>
      </c>
      <c r="G1179" s="299" t="b">
        <v>0</v>
      </c>
      <c r="H1179" s="299" t="b">
        <v>0</v>
      </c>
      <c r="J1179" s="113" t="str">
        <f t="shared" si="37"/>
        <v>912858404</v>
      </c>
      <c r="K1179" s="113" t="str">
        <f t="shared" si="38"/>
        <v>CG01249</v>
      </c>
    </row>
    <row r="1180" spans="1:11" x14ac:dyDescent="0.3">
      <c r="A1180" s="298" t="s">
        <v>4179</v>
      </c>
      <c r="B1180" s="298" t="s">
        <v>4180</v>
      </c>
      <c r="C1180" s="298" t="s">
        <v>4181</v>
      </c>
      <c r="D1180" s="298" t="s">
        <v>256</v>
      </c>
      <c r="E1180" s="298"/>
      <c r="F1180" s="298" t="s">
        <v>4182</v>
      </c>
      <c r="G1180" s="299" t="b">
        <v>0</v>
      </c>
      <c r="H1180" s="299" t="b">
        <v>0</v>
      </c>
      <c r="J1180" s="113" t="str">
        <f t="shared" si="37"/>
        <v>988120022</v>
      </c>
      <c r="K1180" s="113" t="str">
        <f t="shared" si="38"/>
        <v>CG01250</v>
      </c>
    </row>
    <row r="1181" spans="1:11" x14ac:dyDescent="0.3">
      <c r="A1181" s="298" t="s">
        <v>4183</v>
      </c>
      <c r="B1181" s="298" t="s">
        <v>4184</v>
      </c>
      <c r="C1181" s="298" t="s">
        <v>1727</v>
      </c>
      <c r="D1181" s="298" t="s">
        <v>256</v>
      </c>
      <c r="E1181" s="298"/>
      <c r="F1181" s="298" t="s">
        <v>4185</v>
      </c>
      <c r="G1181" s="299" t="b">
        <v>0</v>
      </c>
      <c r="H1181" s="299" t="b">
        <v>0</v>
      </c>
      <c r="J1181" s="113" t="str">
        <f t="shared" si="37"/>
        <v>913311621</v>
      </c>
      <c r="K1181" s="113" t="str">
        <f t="shared" si="38"/>
        <v>CG01251</v>
      </c>
    </row>
    <row r="1182" spans="1:11" x14ac:dyDescent="0.3">
      <c r="A1182" s="298" t="s">
        <v>4186</v>
      </c>
      <c r="B1182" s="298" t="s">
        <v>4187</v>
      </c>
      <c r="C1182" s="298" t="s">
        <v>416</v>
      </c>
      <c r="D1182" s="298" t="s">
        <v>256</v>
      </c>
      <c r="E1182" s="298"/>
      <c r="F1182" s="298" t="s">
        <v>4188</v>
      </c>
      <c r="G1182" s="299" t="b">
        <v>0</v>
      </c>
      <c r="H1182" s="299" t="b">
        <v>0</v>
      </c>
      <c r="J1182" s="113" t="str">
        <f t="shared" si="37"/>
        <v>372661081</v>
      </c>
      <c r="K1182" s="113" t="str">
        <f t="shared" si="38"/>
        <v>CG01252</v>
      </c>
    </row>
    <row r="1183" spans="1:11" x14ac:dyDescent="0.3">
      <c r="A1183" s="298" t="s">
        <v>4189</v>
      </c>
      <c r="B1183" s="298" t="s">
        <v>4190</v>
      </c>
      <c r="C1183" s="298" t="s">
        <v>1625</v>
      </c>
      <c r="D1183" s="298" t="s">
        <v>256</v>
      </c>
      <c r="E1183" s="298"/>
      <c r="F1183" s="298" t="s">
        <v>4191</v>
      </c>
      <c r="G1183" s="299" t="b">
        <v>0</v>
      </c>
      <c r="H1183" s="299" t="b">
        <v>0</v>
      </c>
      <c r="J1183" s="113" t="str">
        <f t="shared" si="37"/>
        <v>942869888</v>
      </c>
      <c r="K1183" s="113" t="str">
        <f t="shared" si="38"/>
        <v>CG01253</v>
      </c>
    </row>
    <row r="1184" spans="1:11" x14ac:dyDescent="0.3">
      <c r="A1184" s="298" t="s">
        <v>4192</v>
      </c>
      <c r="B1184" s="298" t="s">
        <v>4193</v>
      </c>
      <c r="C1184" s="298" t="s">
        <v>613</v>
      </c>
      <c r="D1184" s="298" t="s">
        <v>256</v>
      </c>
      <c r="E1184" s="298"/>
      <c r="F1184" s="298" t="s">
        <v>4194</v>
      </c>
      <c r="G1184" s="299" t="b">
        <v>0</v>
      </c>
      <c r="H1184" s="299" t="b">
        <v>0</v>
      </c>
      <c r="J1184" s="113" t="str">
        <f t="shared" si="37"/>
        <v>917630596</v>
      </c>
      <c r="K1184" s="113" t="str">
        <f t="shared" si="38"/>
        <v>CG01254</v>
      </c>
    </row>
    <row r="1185" spans="1:11" x14ac:dyDescent="0.3">
      <c r="A1185" s="298" t="s">
        <v>4195</v>
      </c>
      <c r="B1185" s="298" t="s">
        <v>4196</v>
      </c>
      <c r="C1185" s="298" t="s">
        <v>1587</v>
      </c>
      <c r="D1185" s="298" t="s">
        <v>256</v>
      </c>
      <c r="E1185" s="298"/>
      <c r="F1185" s="298" t="s">
        <v>4197</v>
      </c>
      <c r="G1185" s="299" t="b">
        <v>0</v>
      </c>
      <c r="H1185" s="299" t="b">
        <v>0</v>
      </c>
      <c r="J1185" s="113" t="str">
        <f t="shared" si="37"/>
        <v>978221678</v>
      </c>
      <c r="K1185" s="113" t="str">
        <f t="shared" si="38"/>
        <v>CG01255</v>
      </c>
    </row>
    <row r="1186" spans="1:11" x14ac:dyDescent="0.3">
      <c r="A1186" s="298" t="s">
        <v>4198</v>
      </c>
      <c r="B1186" s="298" t="s">
        <v>4199</v>
      </c>
      <c r="C1186" s="298" t="s">
        <v>2897</v>
      </c>
      <c r="D1186" s="298" t="s">
        <v>256</v>
      </c>
      <c r="E1186" s="298"/>
      <c r="F1186" s="298" t="s">
        <v>4200</v>
      </c>
      <c r="G1186" s="299" t="b">
        <v>0</v>
      </c>
      <c r="H1186" s="299" t="b">
        <v>0</v>
      </c>
      <c r="J1186" s="113" t="str">
        <f t="shared" si="37"/>
        <v>976087557</v>
      </c>
      <c r="K1186" s="113" t="str">
        <f t="shared" si="38"/>
        <v>CG01256</v>
      </c>
    </row>
    <row r="1187" spans="1:11" x14ac:dyDescent="0.3">
      <c r="A1187" s="298" t="s">
        <v>4201</v>
      </c>
      <c r="B1187" s="298" t="s">
        <v>4202</v>
      </c>
      <c r="C1187" s="298" t="s">
        <v>231</v>
      </c>
      <c r="D1187" s="298" t="s">
        <v>256</v>
      </c>
      <c r="E1187" s="298"/>
      <c r="F1187" s="298" t="s">
        <v>4203</v>
      </c>
      <c r="G1187" s="299" t="b">
        <v>0</v>
      </c>
      <c r="H1187" s="299" t="b">
        <v>0</v>
      </c>
      <c r="J1187" s="113" t="str">
        <f t="shared" si="37"/>
        <v>914195260</v>
      </c>
      <c r="K1187" s="113" t="str">
        <f t="shared" si="38"/>
        <v>CG01257</v>
      </c>
    </row>
    <row r="1188" spans="1:11" x14ac:dyDescent="0.3">
      <c r="A1188" s="298" t="s">
        <v>4204</v>
      </c>
      <c r="B1188" s="298" t="s">
        <v>4205</v>
      </c>
      <c r="C1188" s="298" t="s">
        <v>4206</v>
      </c>
      <c r="D1188" s="298" t="s">
        <v>256</v>
      </c>
      <c r="E1188" s="298" t="s">
        <v>4207</v>
      </c>
      <c r="F1188" s="298" t="s">
        <v>4208</v>
      </c>
      <c r="G1188" s="299" t="b">
        <v>0</v>
      </c>
      <c r="H1188" s="299" t="b">
        <v>0</v>
      </c>
      <c r="J1188" s="113" t="str">
        <f t="shared" si="37"/>
        <v>972234232</v>
      </c>
      <c r="K1188" s="113" t="str">
        <f t="shared" si="38"/>
        <v>CG01258</v>
      </c>
    </row>
    <row r="1189" spans="1:11" x14ac:dyDescent="0.3">
      <c r="A1189" s="298" t="s">
        <v>4209</v>
      </c>
      <c r="B1189" s="298" t="s">
        <v>4210</v>
      </c>
      <c r="C1189" s="298" t="s">
        <v>340</v>
      </c>
      <c r="D1189" s="298" t="s">
        <v>256</v>
      </c>
      <c r="E1189" s="298"/>
      <c r="F1189" s="298" t="s">
        <v>4211</v>
      </c>
      <c r="G1189" s="299" t="b">
        <v>0</v>
      </c>
      <c r="H1189" s="299" t="b">
        <v>0</v>
      </c>
      <c r="J1189" s="113" t="str">
        <f t="shared" si="37"/>
        <v>934387520</v>
      </c>
      <c r="K1189" s="113" t="str">
        <f t="shared" si="38"/>
        <v>CG01259</v>
      </c>
    </row>
    <row r="1190" spans="1:11" x14ac:dyDescent="0.3">
      <c r="A1190" s="298" t="s">
        <v>4212</v>
      </c>
      <c r="B1190" s="298" t="s">
        <v>4213</v>
      </c>
      <c r="C1190" s="298" t="s">
        <v>3001</v>
      </c>
      <c r="D1190" s="298" t="s">
        <v>256</v>
      </c>
      <c r="E1190" s="298"/>
      <c r="F1190" s="298" t="s">
        <v>4214</v>
      </c>
      <c r="G1190" s="299" t="b">
        <v>0</v>
      </c>
      <c r="H1190" s="299" t="b">
        <v>0</v>
      </c>
      <c r="J1190" s="113" t="str">
        <f t="shared" si="37"/>
        <v>973838808</v>
      </c>
      <c r="K1190" s="113" t="str">
        <f t="shared" si="38"/>
        <v>CG01260</v>
      </c>
    </row>
    <row r="1191" spans="1:11" x14ac:dyDescent="0.3">
      <c r="A1191" s="298" t="s">
        <v>4215</v>
      </c>
      <c r="B1191" s="298" t="s">
        <v>4216</v>
      </c>
      <c r="C1191" s="298" t="s">
        <v>4217</v>
      </c>
      <c r="D1191" s="298" t="s">
        <v>256</v>
      </c>
      <c r="E1191" s="298" t="s">
        <v>4218</v>
      </c>
      <c r="F1191" s="298" t="s">
        <v>4219</v>
      </c>
      <c r="G1191" s="299" t="b">
        <v>0</v>
      </c>
      <c r="H1191" s="299" t="b">
        <v>0</v>
      </c>
      <c r="J1191" s="113" t="str">
        <f t="shared" si="37"/>
        <v>972327858</v>
      </c>
      <c r="K1191" s="113" t="str">
        <f t="shared" si="38"/>
        <v>CG01261</v>
      </c>
    </row>
    <row r="1192" spans="1:11" x14ac:dyDescent="0.3">
      <c r="A1192" s="298" t="s">
        <v>4220</v>
      </c>
      <c r="B1192" s="298" t="s">
        <v>4221</v>
      </c>
      <c r="C1192" s="298" t="s">
        <v>340</v>
      </c>
      <c r="D1192" s="298" t="s">
        <v>256</v>
      </c>
      <c r="E1192" s="298"/>
      <c r="F1192" s="298" t="s">
        <v>4222</v>
      </c>
      <c r="G1192" s="299" t="b">
        <v>0</v>
      </c>
      <c r="H1192" s="299" t="b">
        <v>0</v>
      </c>
      <c r="J1192" s="113" t="str">
        <f t="shared" si="37"/>
        <v>383913149</v>
      </c>
      <c r="K1192" s="113" t="str">
        <f t="shared" si="38"/>
        <v>CG01262</v>
      </c>
    </row>
    <row r="1193" spans="1:11" x14ac:dyDescent="0.3">
      <c r="A1193" s="298" t="s">
        <v>4223</v>
      </c>
      <c r="B1193" s="298" t="s">
        <v>4224</v>
      </c>
      <c r="C1193" s="298" t="s">
        <v>676</v>
      </c>
      <c r="D1193" s="298" t="s">
        <v>256</v>
      </c>
      <c r="E1193" s="298"/>
      <c r="F1193" s="298" t="s">
        <v>4225</v>
      </c>
      <c r="G1193" s="299" t="b">
        <v>0</v>
      </c>
      <c r="H1193" s="299" t="b">
        <v>0</v>
      </c>
      <c r="J1193" s="113" t="str">
        <f t="shared" si="37"/>
        <v>979069103</v>
      </c>
      <c r="K1193" s="113" t="str">
        <f t="shared" si="38"/>
        <v>CG01263</v>
      </c>
    </row>
    <row r="1194" spans="1:11" x14ac:dyDescent="0.3">
      <c r="A1194" s="298" t="s">
        <v>4226</v>
      </c>
      <c r="B1194" s="298" t="s">
        <v>4227</v>
      </c>
      <c r="C1194" s="298" t="s">
        <v>4228</v>
      </c>
      <c r="D1194" s="298" t="s">
        <v>256</v>
      </c>
      <c r="E1194" s="298"/>
      <c r="F1194" s="298" t="s">
        <v>4229</v>
      </c>
      <c r="G1194" s="299" t="b">
        <v>0</v>
      </c>
      <c r="H1194" s="299" t="b">
        <v>0</v>
      </c>
      <c r="J1194" s="113" t="str">
        <f t="shared" si="37"/>
        <v>912720752</v>
      </c>
      <c r="K1194" s="113" t="str">
        <f t="shared" si="38"/>
        <v>CG01264</v>
      </c>
    </row>
    <row r="1195" spans="1:11" x14ac:dyDescent="0.3">
      <c r="A1195" s="298" t="s">
        <v>4230</v>
      </c>
      <c r="B1195" s="298" t="s">
        <v>4231</v>
      </c>
      <c r="C1195" s="298" t="s">
        <v>274</v>
      </c>
      <c r="D1195" s="298" t="s">
        <v>256</v>
      </c>
      <c r="E1195" s="298"/>
      <c r="F1195" s="298" t="s">
        <v>4232</v>
      </c>
      <c r="G1195" s="299" t="b">
        <v>0</v>
      </c>
      <c r="H1195" s="299" t="b">
        <v>0</v>
      </c>
      <c r="J1195" s="113" t="str">
        <f t="shared" si="37"/>
        <v>946013628</v>
      </c>
      <c r="K1195" s="113" t="str">
        <f t="shared" si="38"/>
        <v>CG01265</v>
      </c>
    </row>
    <row r="1196" spans="1:11" x14ac:dyDescent="0.3">
      <c r="A1196" s="298" t="s">
        <v>4233</v>
      </c>
      <c r="B1196" s="298" t="s">
        <v>4234</v>
      </c>
      <c r="C1196" s="298" t="s">
        <v>1776</v>
      </c>
      <c r="D1196" s="298" t="s">
        <v>256</v>
      </c>
      <c r="E1196" s="298"/>
      <c r="F1196" s="298" t="s">
        <v>4235</v>
      </c>
      <c r="G1196" s="299" t="b">
        <v>0</v>
      </c>
      <c r="H1196" s="299" t="b">
        <v>0</v>
      </c>
      <c r="J1196" s="113" t="str">
        <f t="shared" si="37"/>
        <v>913181069</v>
      </c>
      <c r="K1196" s="113" t="str">
        <f t="shared" si="38"/>
        <v>CG01266</v>
      </c>
    </row>
    <row r="1197" spans="1:11" x14ac:dyDescent="0.3">
      <c r="A1197" s="298" t="s">
        <v>4236</v>
      </c>
      <c r="B1197" s="298" t="s">
        <v>4237</v>
      </c>
      <c r="C1197" s="298" t="s">
        <v>1615</v>
      </c>
      <c r="D1197" s="298" t="s">
        <v>256</v>
      </c>
      <c r="E1197" s="298"/>
      <c r="F1197" s="298" t="s">
        <v>4238</v>
      </c>
      <c r="G1197" s="299" t="b">
        <v>0</v>
      </c>
      <c r="H1197" s="299" t="b">
        <v>0</v>
      </c>
      <c r="J1197" s="113" t="str">
        <f t="shared" si="37"/>
        <v>975983522</v>
      </c>
      <c r="K1197" s="113" t="str">
        <f t="shared" si="38"/>
        <v>CG01267</v>
      </c>
    </row>
    <row r="1198" spans="1:11" x14ac:dyDescent="0.3">
      <c r="A1198" s="298" t="s">
        <v>4239</v>
      </c>
      <c r="B1198" s="298" t="s">
        <v>4240</v>
      </c>
      <c r="C1198" s="298" t="s">
        <v>4241</v>
      </c>
      <c r="D1198" s="298" t="s">
        <v>256</v>
      </c>
      <c r="E1198" s="298"/>
      <c r="F1198" s="298" t="s">
        <v>4242</v>
      </c>
      <c r="G1198" s="299" t="b">
        <v>0</v>
      </c>
      <c r="H1198" s="299" t="b">
        <v>0</v>
      </c>
      <c r="J1198" s="113" t="str">
        <f t="shared" si="37"/>
        <v>983737091</v>
      </c>
      <c r="K1198" s="113" t="str">
        <f t="shared" si="38"/>
        <v>CG01268</v>
      </c>
    </row>
    <row r="1199" spans="1:11" x14ac:dyDescent="0.3">
      <c r="A1199" s="298" t="s">
        <v>4243</v>
      </c>
      <c r="B1199" s="298" t="s">
        <v>4244</v>
      </c>
      <c r="C1199" s="298" t="s">
        <v>2339</v>
      </c>
      <c r="D1199" s="298" t="s">
        <v>256</v>
      </c>
      <c r="E1199" s="298"/>
      <c r="F1199" s="298" t="s">
        <v>4245</v>
      </c>
      <c r="G1199" s="299" t="b">
        <v>0</v>
      </c>
      <c r="H1199" s="299" t="b">
        <v>0</v>
      </c>
      <c r="J1199" s="113" t="str">
        <f t="shared" si="37"/>
        <v>912220853</v>
      </c>
      <c r="K1199" s="113" t="str">
        <f t="shared" si="38"/>
        <v>CG01269</v>
      </c>
    </row>
    <row r="1200" spans="1:11" x14ac:dyDescent="0.3">
      <c r="A1200" s="298" t="s">
        <v>4246</v>
      </c>
      <c r="B1200" s="298" t="s">
        <v>4247</v>
      </c>
      <c r="C1200" s="298" t="s">
        <v>340</v>
      </c>
      <c r="D1200" s="298" t="s">
        <v>256</v>
      </c>
      <c r="E1200" s="298"/>
      <c r="F1200" s="298" t="s">
        <v>4248</v>
      </c>
      <c r="G1200" s="299" t="b">
        <v>0</v>
      </c>
      <c r="H1200" s="299" t="b">
        <v>0</v>
      </c>
      <c r="J1200" s="113" t="str">
        <f t="shared" si="37"/>
        <v>858199968</v>
      </c>
      <c r="K1200" s="113" t="str">
        <f t="shared" si="38"/>
        <v>CG01270</v>
      </c>
    </row>
    <row r="1201" spans="1:11" x14ac:dyDescent="0.3">
      <c r="A1201" s="298" t="s">
        <v>4249</v>
      </c>
      <c r="B1201" s="298" t="s">
        <v>4250</v>
      </c>
      <c r="C1201" s="298" t="s">
        <v>1579</v>
      </c>
      <c r="D1201" s="298" t="s">
        <v>256</v>
      </c>
      <c r="E1201" s="298"/>
      <c r="F1201" s="298" t="s">
        <v>4251</v>
      </c>
      <c r="G1201" s="299" t="b">
        <v>0</v>
      </c>
      <c r="H1201" s="299" t="b">
        <v>0</v>
      </c>
      <c r="J1201" s="113" t="str">
        <f t="shared" si="37"/>
        <v>962609486</v>
      </c>
      <c r="K1201" s="113" t="str">
        <f t="shared" si="38"/>
        <v>CG01271</v>
      </c>
    </row>
    <row r="1202" spans="1:11" x14ac:dyDescent="0.3">
      <c r="A1202" s="298" t="s">
        <v>4252</v>
      </c>
      <c r="B1202" s="298" t="s">
        <v>4253</v>
      </c>
      <c r="C1202" s="298" t="s">
        <v>4254</v>
      </c>
      <c r="D1202" s="298" t="s">
        <v>256</v>
      </c>
      <c r="E1202" s="298"/>
      <c r="F1202" s="298" t="s">
        <v>4255</v>
      </c>
      <c r="G1202" s="299" t="b">
        <v>0</v>
      </c>
      <c r="H1202" s="299" t="b">
        <v>0</v>
      </c>
      <c r="J1202" s="113" t="str">
        <f t="shared" si="37"/>
        <v>904616606</v>
      </c>
      <c r="K1202" s="113" t="str">
        <f t="shared" si="38"/>
        <v>CG01272</v>
      </c>
    </row>
    <row r="1203" spans="1:11" x14ac:dyDescent="0.3">
      <c r="A1203" s="298" t="s">
        <v>4256</v>
      </c>
      <c r="B1203" s="298" t="s">
        <v>4257</v>
      </c>
      <c r="C1203" s="298" t="s">
        <v>2186</v>
      </c>
      <c r="D1203" s="298" t="s">
        <v>256</v>
      </c>
      <c r="E1203" s="298"/>
      <c r="F1203" s="298" t="s">
        <v>4258</v>
      </c>
      <c r="G1203" s="299" t="b">
        <v>0</v>
      </c>
      <c r="H1203" s="299" t="b">
        <v>0</v>
      </c>
      <c r="J1203" s="113" t="str">
        <f t="shared" si="37"/>
        <v>982853810</v>
      </c>
      <c r="K1203" s="113" t="str">
        <f t="shared" si="38"/>
        <v>CG01273</v>
      </c>
    </row>
    <row r="1204" spans="1:11" x14ac:dyDescent="0.3">
      <c r="A1204" s="298" t="s">
        <v>4259</v>
      </c>
      <c r="B1204" s="298" t="s">
        <v>4260</v>
      </c>
      <c r="C1204" s="298" t="s">
        <v>1579</v>
      </c>
      <c r="D1204" s="298" t="s">
        <v>256</v>
      </c>
      <c r="E1204" s="298"/>
      <c r="F1204" s="298" t="s">
        <v>4261</v>
      </c>
      <c r="G1204" s="299" t="b">
        <v>0</v>
      </c>
      <c r="H1204" s="299" t="b">
        <v>0</v>
      </c>
      <c r="J1204" s="113" t="str">
        <f t="shared" si="37"/>
        <v>904784220</v>
      </c>
      <c r="K1204" s="113" t="str">
        <f t="shared" si="38"/>
        <v>CG01274</v>
      </c>
    </row>
    <row r="1205" spans="1:11" x14ac:dyDescent="0.3">
      <c r="A1205" s="298" t="s">
        <v>4262</v>
      </c>
      <c r="B1205" s="298" t="s">
        <v>4263</v>
      </c>
      <c r="C1205" s="298" t="s">
        <v>1890</v>
      </c>
      <c r="D1205" s="298" t="s">
        <v>256</v>
      </c>
      <c r="E1205" s="298"/>
      <c r="F1205" s="298" t="s">
        <v>4264</v>
      </c>
      <c r="G1205" s="299" t="b">
        <v>0</v>
      </c>
      <c r="H1205" s="299" t="b">
        <v>0</v>
      </c>
      <c r="J1205" s="113" t="str">
        <f t="shared" si="37"/>
        <v>386522775</v>
      </c>
      <c r="K1205" s="113" t="str">
        <f t="shared" si="38"/>
        <v>CG01275</v>
      </c>
    </row>
    <row r="1206" spans="1:11" x14ac:dyDescent="0.3">
      <c r="A1206" s="298" t="s">
        <v>4265</v>
      </c>
      <c r="B1206" s="298" t="s">
        <v>4266</v>
      </c>
      <c r="C1206" s="298" t="s">
        <v>3451</v>
      </c>
      <c r="D1206" s="298" t="s">
        <v>256</v>
      </c>
      <c r="E1206" s="298"/>
      <c r="F1206" s="298" t="s">
        <v>4267</v>
      </c>
      <c r="G1206" s="299" t="b">
        <v>0</v>
      </c>
      <c r="H1206" s="299" t="b">
        <v>0</v>
      </c>
      <c r="J1206" s="113" t="str">
        <f t="shared" si="37"/>
        <v>989420611</v>
      </c>
      <c r="K1206" s="113" t="str">
        <f t="shared" si="38"/>
        <v>CG01276</v>
      </c>
    </row>
    <row r="1207" spans="1:11" x14ac:dyDescent="0.3">
      <c r="A1207" s="298" t="s">
        <v>4268</v>
      </c>
      <c r="B1207" s="298" t="s">
        <v>4269</v>
      </c>
      <c r="C1207" s="298" t="s">
        <v>1059</v>
      </c>
      <c r="D1207" s="298" t="s">
        <v>256</v>
      </c>
      <c r="E1207" s="298"/>
      <c r="F1207" s="298" t="s">
        <v>4270</v>
      </c>
      <c r="G1207" s="299" t="b">
        <v>0</v>
      </c>
      <c r="H1207" s="299" t="b">
        <v>0</v>
      </c>
      <c r="J1207" s="113" t="str">
        <f t="shared" si="37"/>
        <v>984524618</v>
      </c>
      <c r="K1207" s="113" t="str">
        <f t="shared" si="38"/>
        <v>CG01277</v>
      </c>
    </row>
    <row r="1208" spans="1:11" x14ac:dyDescent="0.3">
      <c r="A1208" s="298" t="s">
        <v>4271</v>
      </c>
      <c r="B1208" s="298" t="s">
        <v>4272</v>
      </c>
      <c r="C1208" s="298" t="s">
        <v>1671</v>
      </c>
      <c r="D1208" s="298" t="s">
        <v>256</v>
      </c>
      <c r="E1208" s="298"/>
      <c r="F1208" s="298" t="s">
        <v>4273</v>
      </c>
      <c r="G1208" s="299" t="b">
        <v>0</v>
      </c>
      <c r="H1208" s="299" t="b">
        <v>0</v>
      </c>
      <c r="J1208" s="113" t="str">
        <f t="shared" si="37"/>
        <v>986003568</v>
      </c>
      <c r="K1208" s="113" t="str">
        <f t="shared" si="38"/>
        <v>CG01278</v>
      </c>
    </row>
    <row r="1209" spans="1:11" x14ac:dyDescent="0.3">
      <c r="A1209" s="298" t="s">
        <v>4274</v>
      </c>
      <c r="B1209" s="298" t="s">
        <v>4275</v>
      </c>
      <c r="C1209" s="298" t="s">
        <v>463</v>
      </c>
      <c r="D1209" s="298" t="s">
        <v>256</v>
      </c>
      <c r="E1209" s="298"/>
      <c r="F1209" s="298" t="s">
        <v>4276</v>
      </c>
      <c r="G1209" s="299" t="b">
        <v>0</v>
      </c>
      <c r="H1209" s="299" t="b">
        <v>0</v>
      </c>
      <c r="J1209" s="113" t="str">
        <f t="shared" si="37"/>
        <v>912010135</v>
      </c>
      <c r="K1209" s="113" t="str">
        <f t="shared" si="38"/>
        <v>CG01279</v>
      </c>
    </row>
    <row r="1210" spans="1:11" x14ac:dyDescent="0.3">
      <c r="A1210" s="298" t="s">
        <v>4277</v>
      </c>
      <c r="B1210" s="298" t="s">
        <v>4278</v>
      </c>
      <c r="C1210" s="298" t="s">
        <v>1135</v>
      </c>
      <c r="D1210" s="298" t="s">
        <v>256</v>
      </c>
      <c r="E1210" s="298"/>
      <c r="F1210" s="298" t="s">
        <v>4279</v>
      </c>
      <c r="G1210" s="299" t="b">
        <v>0</v>
      </c>
      <c r="H1210" s="299" t="b">
        <v>0</v>
      </c>
      <c r="J1210" s="113" t="str">
        <f t="shared" si="37"/>
        <v>327695696</v>
      </c>
      <c r="K1210" s="113" t="str">
        <f t="shared" si="38"/>
        <v>CG01280</v>
      </c>
    </row>
    <row r="1211" spans="1:11" x14ac:dyDescent="0.3">
      <c r="A1211" s="298" t="s">
        <v>4280</v>
      </c>
      <c r="B1211" s="298" t="s">
        <v>4281</v>
      </c>
      <c r="C1211" s="298" t="s">
        <v>286</v>
      </c>
      <c r="D1211" s="298" t="s">
        <v>256</v>
      </c>
      <c r="E1211" s="298"/>
      <c r="F1211" s="298" t="s">
        <v>4282</v>
      </c>
      <c r="G1211" s="299" t="b">
        <v>0</v>
      </c>
      <c r="H1211" s="299" t="b">
        <v>0</v>
      </c>
      <c r="J1211" s="113" t="str">
        <f t="shared" si="37"/>
        <v>915899556</v>
      </c>
      <c r="K1211" s="113" t="str">
        <f t="shared" si="38"/>
        <v>CG01281</v>
      </c>
    </row>
    <row r="1212" spans="1:11" x14ac:dyDescent="0.3">
      <c r="A1212" s="298" t="s">
        <v>4283</v>
      </c>
      <c r="B1212" s="298" t="s">
        <v>4284</v>
      </c>
      <c r="C1212" s="298" t="s">
        <v>989</v>
      </c>
      <c r="D1212" s="298" t="s">
        <v>256</v>
      </c>
      <c r="E1212" s="298"/>
      <c r="F1212" s="298" t="s">
        <v>4285</v>
      </c>
      <c r="G1212" s="299" t="b">
        <v>0</v>
      </c>
      <c r="H1212" s="299" t="b">
        <v>0</v>
      </c>
      <c r="J1212" s="113" t="str">
        <f t="shared" si="37"/>
        <v>976745866</v>
      </c>
      <c r="K1212" s="113" t="str">
        <f t="shared" si="38"/>
        <v>CG01282</v>
      </c>
    </row>
    <row r="1213" spans="1:11" x14ac:dyDescent="0.3">
      <c r="A1213" s="298" t="s">
        <v>4286</v>
      </c>
      <c r="B1213" s="298" t="s">
        <v>4287</v>
      </c>
      <c r="C1213" s="298" t="s">
        <v>340</v>
      </c>
      <c r="D1213" s="298" t="s">
        <v>256</v>
      </c>
      <c r="E1213" s="298"/>
      <c r="F1213" s="298" t="s">
        <v>4288</v>
      </c>
      <c r="G1213" s="299" t="b">
        <v>0</v>
      </c>
      <c r="H1213" s="299" t="b">
        <v>0</v>
      </c>
      <c r="J1213" s="113" t="str">
        <f t="shared" si="37"/>
        <v>988388931</v>
      </c>
      <c r="K1213" s="113" t="str">
        <f t="shared" si="38"/>
        <v>CG01283</v>
      </c>
    </row>
    <row r="1214" spans="1:11" x14ac:dyDescent="0.3">
      <c r="A1214" s="298" t="s">
        <v>4289</v>
      </c>
      <c r="B1214" s="298" t="s">
        <v>4290</v>
      </c>
      <c r="C1214" s="298" t="s">
        <v>231</v>
      </c>
      <c r="D1214" s="298" t="s">
        <v>256</v>
      </c>
      <c r="E1214" s="298"/>
      <c r="F1214" s="298" t="s">
        <v>4291</v>
      </c>
      <c r="G1214" s="299" t="b">
        <v>0</v>
      </c>
      <c r="H1214" s="299" t="b">
        <v>0</v>
      </c>
      <c r="J1214" s="113" t="str">
        <f t="shared" si="37"/>
        <v>978882985</v>
      </c>
      <c r="K1214" s="113" t="str">
        <f t="shared" si="38"/>
        <v>CG01284</v>
      </c>
    </row>
    <row r="1215" spans="1:11" x14ac:dyDescent="0.3">
      <c r="A1215" s="298" t="s">
        <v>4292</v>
      </c>
      <c r="B1215" s="298" t="s">
        <v>4293</v>
      </c>
      <c r="C1215" s="298" t="s">
        <v>230</v>
      </c>
      <c r="D1215" s="298" t="s">
        <v>256</v>
      </c>
      <c r="E1215" s="298"/>
      <c r="F1215" s="298" t="s">
        <v>4294</v>
      </c>
      <c r="G1215" s="299" t="b">
        <v>0</v>
      </c>
      <c r="H1215" s="299" t="b">
        <v>0</v>
      </c>
      <c r="J1215" s="113" t="str">
        <f t="shared" si="37"/>
        <v>367825415</v>
      </c>
      <c r="K1215" s="113" t="str">
        <f t="shared" si="38"/>
        <v>CG01285</v>
      </c>
    </row>
    <row r="1216" spans="1:11" x14ac:dyDescent="0.3">
      <c r="A1216" s="298" t="s">
        <v>4295</v>
      </c>
      <c r="B1216" s="298" t="s">
        <v>4296</v>
      </c>
      <c r="C1216" s="298" t="s">
        <v>4297</v>
      </c>
      <c r="D1216" s="298" t="s">
        <v>256</v>
      </c>
      <c r="E1216" s="298"/>
      <c r="F1216" s="298" t="s">
        <v>4298</v>
      </c>
      <c r="G1216" s="299" t="b">
        <v>0</v>
      </c>
      <c r="H1216" s="299" t="b">
        <v>0</v>
      </c>
      <c r="J1216" s="113" t="str">
        <f t="shared" si="37"/>
        <v>979738059</v>
      </c>
      <c r="K1216" s="113" t="str">
        <f t="shared" si="38"/>
        <v>CG01286</v>
      </c>
    </row>
    <row r="1217" spans="1:11" x14ac:dyDescent="0.3">
      <c r="A1217" s="298" t="s">
        <v>4299</v>
      </c>
      <c r="B1217" s="298" t="s">
        <v>4300</v>
      </c>
      <c r="C1217" s="298" t="s">
        <v>231</v>
      </c>
      <c r="D1217" s="298" t="s">
        <v>256</v>
      </c>
      <c r="E1217" s="298"/>
      <c r="F1217" s="298" t="s">
        <v>4301</v>
      </c>
      <c r="G1217" s="299" t="b">
        <v>0</v>
      </c>
      <c r="H1217" s="299" t="b">
        <v>0</v>
      </c>
      <c r="J1217" s="113" t="str">
        <f t="shared" si="37"/>
        <v>912980034</v>
      </c>
      <c r="K1217" s="113" t="str">
        <f t="shared" si="38"/>
        <v>CG01287</v>
      </c>
    </row>
    <row r="1218" spans="1:11" x14ac:dyDescent="0.3">
      <c r="A1218" s="298" t="s">
        <v>4302</v>
      </c>
      <c r="B1218" s="298" t="s">
        <v>4303</v>
      </c>
      <c r="C1218" s="298" t="s">
        <v>355</v>
      </c>
      <c r="D1218" s="298" t="s">
        <v>256</v>
      </c>
      <c r="E1218" s="298"/>
      <c r="F1218" s="298" t="s">
        <v>4304</v>
      </c>
      <c r="G1218" s="299" t="b">
        <v>0</v>
      </c>
      <c r="H1218" s="299" t="b">
        <v>0</v>
      </c>
      <c r="J1218" s="113" t="str">
        <f t="shared" si="37"/>
        <v>986666693</v>
      </c>
      <c r="K1218" s="113" t="str">
        <f t="shared" si="38"/>
        <v>CG01288</v>
      </c>
    </row>
    <row r="1219" spans="1:11" x14ac:dyDescent="0.3">
      <c r="A1219" s="298" t="s">
        <v>4305</v>
      </c>
      <c r="B1219" s="298" t="s">
        <v>4306</v>
      </c>
      <c r="C1219" s="298" t="s">
        <v>1575</v>
      </c>
      <c r="D1219" s="298" t="s">
        <v>256</v>
      </c>
      <c r="E1219" s="298"/>
      <c r="F1219" s="298" t="s">
        <v>4307</v>
      </c>
      <c r="G1219" s="299" t="b">
        <v>0</v>
      </c>
      <c r="H1219" s="299" t="b">
        <v>0</v>
      </c>
      <c r="J1219" s="113" t="str">
        <f t="shared" si="37"/>
        <v>947603156</v>
      </c>
      <c r="K1219" s="113" t="str">
        <f t="shared" si="38"/>
        <v>CG01289</v>
      </c>
    </row>
    <row r="1220" spans="1:11" x14ac:dyDescent="0.3">
      <c r="A1220" s="298" t="s">
        <v>4308</v>
      </c>
      <c r="B1220" s="298" t="s">
        <v>4309</v>
      </c>
      <c r="C1220" s="298" t="s">
        <v>4310</v>
      </c>
      <c r="D1220" s="298" t="s">
        <v>256</v>
      </c>
      <c r="E1220" s="298"/>
      <c r="F1220" s="298" t="s">
        <v>4311</v>
      </c>
      <c r="G1220" s="299" t="b">
        <v>0</v>
      </c>
      <c r="H1220" s="299" t="b">
        <v>0</v>
      </c>
      <c r="J1220" s="113" t="str">
        <f t="shared" si="37"/>
        <v>945526368</v>
      </c>
      <c r="K1220" s="113" t="str">
        <f t="shared" si="38"/>
        <v>CG01290</v>
      </c>
    </row>
    <row r="1221" spans="1:11" x14ac:dyDescent="0.3">
      <c r="A1221" s="298" t="s">
        <v>4312</v>
      </c>
      <c r="B1221" s="298" t="s">
        <v>4313</v>
      </c>
      <c r="C1221" s="298" t="s">
        <v>1587</v>
      </c>
      <c r="D1221" s="298" t="s">
        <v>256</v>
      </c>
      <c r="E1221" s="298"/>
      <c r="F1221" s="298" t="s">
        <v>4314</v>
      </c>
      <c r="G1221" s="299" t="b">
        <v>0</v>
      </c>
      <c r="H1221" s="299" t="b">
        <v>0</v>
      </c>
      <c r="J1221" s="113" t="str">
        <f t="shared" ref="J1221:J1284" si="39">RIGHT(B1221,9)</f>
        <v>912569012</v>
      </c>
      <c r="K1221" s="113" t="str">
        <f t="shared" ref="K1221:K1284" si="40">A1221</f>
        <v>CG01291</v>
      </c>
    </row>
    <row r="1222" spans="1:11" x14ac:dyDescent="0.3">
      <c r="A1222" s="298" t="s">
        <v>4315</v>
      </c>
      <c r="B1222" s="298" t="s">
        <v>4316</v>
      </c>
      <c r="C1222" s="298" t="s">
        <v>4317</v>
      </c>
      <c r="D1222" s="298" t="s">
        <v>256</v>
      </c>
      <c r="E1222" s="298"/>
      <c r="F1222" s="298" t="s">
        <v>4318</v>
      </c>
      <c r="G1222" s="299" t="b">
        <v>0</v>
      </c>
      <c r="H1222" s="299" t="b">
        <v>0</v>
      </c>
      <c r="J1222" s="113" t="str">
        <f t="shared" si="39"/>
        <v>977994448</v>
      </c>
      <c r="K1222" s="113" t="str">
        <f t="shared" si="40"/>
        <v>CG01292</v>
      </c>
    </row>
    <row r="1223" spans="1:11" x14ac:dyDescent="0.3">
      <c r="A1223" s="298" t="s">
        <v>4319</v>
      </c>
      <c r="B1223" s="298" t="s">
        <v>4320</v>
      </c>
      <c r="C1223" s="298" t="s">
        <v>718</v>
      </c>
      <c r="D1223" s="298" t="s">
        <v>256</v>
      </c>
      <c r="E1223" s="298"/>
      <c r="F1223" s="298" t="s">
        <v>4321</v>
      </c>
      <c r="G1223" s="299" t="b">
        <v>0</v>
      </c>
      <c r="H1223" s="299" t="b">
        <v>0</v>
      </c>
      <c r="J1223" s="113" t="str">
        <f t="shared" si="39"/>
        <v>903496396</v>
      </c>
      <c r="K1223" s="113" t="str">
        <f t="shared" si="40"/>
        <v>CG01293</v>
      </c>
    </row>
    <row r="1224" spans="1:11" x14ac:dyDescent="0.3">
      <c r="A1224" s="298" t="s">
        <v>4322</v>
      </c>
      <c r="B1224" s="298" t="s">
        <v>4323</v>
      </c>
      <c r="C1224" s="298" t="s">
        <v>4324</v>
      </c>
      <c r="D1224" s="298" t="s">
        <v>256</v>
      </c>
      <c r="E1224" s="298"/>
      <c r="F1224" s="298" t="s">
        <v>4325</v>
      </c>
      <c r="G1224" s="299" t="b">
        <v>0</v>
      </c>
      <c r="H1224" s="299" t="b">
        <v>0</v>
      </c>
      <c r="J1224" s="113" t="str">
        <f t="shared" si="39"/>
        <v>913250462</v>
      </c>
      <c r="K1224" s="113" t="str">
        <f t="shared" si="40"/>
        <v>CG01294</v>
      </c>
    </row>
    <row r="1225" spans="1:11" x14ac:dyDescent="0.3">
      <c r="A1225" s="298" t="s">
        <v>4326</v>
      </c>
      <c r="B1225" s="298" t="s">
        <v>4327</v>
      </c>
      <c r="C1225" s="298" t="s">
        <v>230</v>
      </c>
      <c r="D1225" s="298" t="s">
        <v>256</v>
      </c>
      <c r="E1225" s="298"/>
      <c r="F1225" s="298" t="s">
        <v>4328</v>
      </c>
      <c r="G1225" s="299" t="b">
        <v>0</v>
      </c>
      <c r="H1225" s="299" t="b">
        <v>0</v>
      </c>
      <c r="J1225" s="113" t="str">
        <f t="shared" si="39"/>
        <v>969693568</v>
      </c>
      <c r="K1225" s="113" t="str">
        <f t="shared" si="40"/>
        <v>CG01295</v>
      </c>
    </row>
    <row r="1226" spans="1:11" x14ac:dyDescent="0.3">
      <c r="A1226" s="298" t="s">
        <v>4329</v>
      </c>
      <c r="B1226" s="298" t="s">
        <v>4330</v>
      </c>
      <c r="C1226" s="298" t="s">
        <v>4331</v>
      </c>
      <c r="D1226" s="298" t="s">
        <v>256</v>
      </c>
      <c r="E1226" s="298"/>
      <c r="F1226" s="298" t="s">
        <v>4332</v>
      </c>
      <c r="G1226" s="299" t="b">
        <v>0</v>
      </c>
      <c r="H1226" s="299" t="b">
        <v>0</v>
      </c>
      <c r="J1226" s="113" t="str">
        <f t="shared" si="39"/>
        <v>915427549</v>
      </c>
      <c r="K1226" s="113" t="str">
        <f t="shared" si="40"/>
        <v>CG01296</v>
      </c>
    </row>
    <row r="1227" spans="1:11" x14ac:dyDescent="0.3">
      <c r="A1227" s="298" t="s">
        <v>4333</v>
      </c>
      <c r="B1227" s="298" t="s">
        <v>4334</v>
      </c>
      <c r="C1227" s="298" t="s">
        <v>289</v>
      </c>
      <c r="D1227" s="298" t="s">
        <v>256</v>
      </c>
      <c r="E1227" s="298"/>
      <c r="F1227" s="298" t="s">
        <v>4335</v>
      </c>
      <c r="G1227" s="299" t="b">
        <v>0</v>
      </c>
      <c r="H1227" s="299" t="b">
        <v>0</v>
      </c>
      <c r="J1227" s="113" t="str">
        <f t="shared" si="39"/>
        <v>975922866</v>
      </c>
      <c r="K1227" s="113" t="str">
        <f t="shared" si="40"/>
        <v>CG01297</v>
      </c>
    </row>
    <row r="1228" spans="1:11" x14ac:dyDescent="0.3">
      <c r="A1228" s="298" t="s">
        <v>4336</v>
      </c>
      <c r="B1228" s="298" t="s">
        <v>4337</v>
      </c>
      <c r="C1228" s="298" t="s">
        <v>1873</v>
      </c>
      <c r="D1228" s="298" t="s">
        <v>256</v>
      </c>
      <c r="E1228" s="298"/>
      <c r="F1228" s="298" t="s">
        <v>4338</v>
      </c>
      <c r="G1228" s="299" t="b">
        <v>0</v>
      </c>
      <c r="H1228" s="299" t="b">
        <v>0</v>
      </c>
      <c r="J1228" s="113" t="str">
        <f t="shared" si="39"/>
        <v>985579389</v>
      </c>
      <c r="K1228" s="113" t="str">
        <f t="shared" si="40"/>
        <v>CG01298</v>
      </c>
    </row>
    <row r="1229" spans="1:11" x14ac:dyDescent="0.3">
      <c r="A1229" s="298" t="s">
        <v>4339</v>
      </c>
      <c r="B1229" s="298" t="s">
        <v>4340</v>
      </c>
      <c r="C1229" s="298" t="s">
        <v>230</v>
      </c>
      <c r="D1229" s="298" t="s">
        <v>256</v>
      </c>
      <c r="E1229" s="298"/>
      <c r="F1229" s="298" t="s">
        <v>4341</v>
      </c>
      <c r="G1229" s="299" t="b">
        <v>0</v>
      </c>
      <c r="H1229" s="299" t="b">
        <v>0</v>
      </c>
      <c r="J1229" s="113" t="str">
        <f t="shared" si="39"/>
        <v>986924158</v>
      </c>
      <c r="K1229" s="113" t="str">
        <f t="shared" si="40"/>
        <v>CG01299</v>
      </c>
    </row>
    <row r="1230" spans="1:11" x14ac:dyDescent="0.3">
      <c r="A1230" s="298" t="s">
        <v>4342</v>
      </c>
      <c r="B1230" s="298" t="s">
        <v>4343</v>
      </c>
      <c r="C1230" s="298" t="s">
        <v>230</v>
      </c>
      <c r="D1230" s="298" t="s">
        <v>256</v>
      </c>
      <c r="E1230" s="298"/>
      <c r="F1230" s="298" t="s">
        <v>4344</v>
      </c>
      <c r="G1230" s="299" t="b">
        <v>0</v>
      </c>
      <c r="H1230" s="299" t="b">
        <v>0</v>
      </c>
      <c r="J1230" s="113" t="str">
        <f t="shared" si="39"/>
        <v>978851975</v>
      </c>
      <c r="K1230" s="113" t="str">
        <f t="shared" si="40"/>
        <v>CG01300</v>
      </c>
    </row>
    <row r="1231" spans="1:11" x14ac:dyDescent="0.3">
      <c r="A1231" s="298" t="s">
        <v>4345</v>
      </c>
      <c r="B1231" s="298" t="s">
        <v>4346</v>
      </c>
      <c r="C1231" s="298" t="s">
        <v>4347</v>
      </c>
      <c r="D1231" s="298" t="s">
        <v>256</v>
      </c>
      <c r="E1231" s="298" t="s">
        <v>4348</v>
      </c>
      <c r="F1231" s="298" t="s">
        <v>4349</v>
      </c>
      <c r="G1231" s="299" t="b">
        <v>0</v>
      </c>
      <c r="H1231" s="299" t="b">
        <v>0</v>
      </c>
      <c r="J1231" s="113" t="str">
        <f t="shared" si="39"/>
        <v>982272498</v>
      </c>
      <c r="K1231" s="113" t="str">
        <f t="shared" si="40"/>
        <v>CG01301</v>
      </c>
    </row>
    <row r="1232" spans="1:11" x14ac:dyDescent="0.3">
      <c r="A1232" s="298" t="s">
        <v>4350</v>
      </c>
      <c r="B1232" s="298" t="s">
        <v>4351</v>
      </c>
      <c r="C1232" s="298" t="s">
        <v>474</v>
      </c>
      <c r="D1232" s="298" t="s">
        <v>256</v>
      </c>
      <c r="E1232" s="298"/>
      <c r="F1232" s="298" t="s">
        <v>4352</v>
      </c>
      <c r="G1232" s="299" t="b">
        <v>0</v>
      </c>
      <c r="H1232" s="299" t="b">
        <v>0</v>
      </c>
      <c r="J1232" s="113" t="str">
        <f t="shared" si="39"/>
        <v>903461677</v>
      </c>
      <c r="K1232" s="113" t="str">
        <f t="shared" si="40"/>
        <v>CG01302</v>
      </c>
    </row>
    <row r="1233" spans="1:11" x14ac:dyDescent="0.3">
      <c r="A1233" s="298" t="s">
        <v>4353</v>
      </c>
      <c r="B1233" s="298" t="s">
        <v>13300</v>
      </c>
      <c r="C1233" s="298" t="s">
        <v>1348</v>
      </c>
      <c r="D1233" s="298" t="s">
        <v>256</v>
      </c>
      <c r="E1233" s="298"/>
      <c r="F1233" s="298" t="s">
        <v>4355</v>
      </c>
      <c r="G1233" s="299" t="b">
        <v>0</v>
      </c>
      <c r="H1233" s="299" t="b">
        <v>0</v>
      </c>
      <c r="J1233" s="113" t="str">
        <f t="shared" si="39"/>
        <v>783194556</v>
      </c>
      <c r="K1233" s="113" t="str">
        <f t="shared" si="40"/>
        <v>CG01303</v>
      </c>
    </row>
    <row r="1234" spans="1:11" x14ac:dyDescent="0.3">
      <c r="A1234" s="298" t="s">
        <v>4356</v>
      </c>
      <c r="B1234" s="298" t="s">
        <v>4357</v>
      </c>
      <c r="C1234" s="298" t="s">
        <v>335</v>
      </c>
      <c r="D1234" s="298" t="s">
        <v>256</v>
      </c>
      <c r="E1234" s="298"/>
      <c r="F1234" s="298" t="s">
        <v>4358</v>
      </c>
      <c r="G1234" s="299" t="b">
        <v>0</v>
      </c>
      <c r="H1234" s="299" t="b">
        <v>0</v>
      </c>
      <c r="J1234" s="113" t="str">
        <f t="shared" si="39"/>
        <v>389243568</v>
      </c>
      <c r="K1234" s="113" t="str">
        <f t="shared" si="40"/>
        <v>CG01304</v>
      </c>
    </row>
    <row r="1235" spans="1:11" x14ac:dyDescent="0.3">
      <c r="A1235" s="298" t="s">
        <v>4359</v>
      </c>
      <c r="B1235" s="298" t="s">
        <v>4360</v>
      </c>
      <c r="C1235" s="298" t="s">
        <v>495</v>
      </c>
      <c r="D1235" s="298" t="s">
        <v>256</v>
      </c>
      <c r="E1235" s="298"/>
      <c r="F1235" s="298" t="s">
        <v>4361</v>
      </c>
      <c r="G1235" s="299" t="b">
        <v>0</v>
      </c>
      <c r="H1235" s="299" t="b">
        <v>0</v>
      </c>
      <c r="J1235" s="113" t="str">
        <f t="shared" si="39"/>
        <v>911169171</v>
      </c>
      <c r="K1235" s="113" t="str">
        <f t="shared" si="40"/>
        <v>CG01305</v>
      </c>
    </row>
    <row r="1236" spans="1:11" x14ac:dyDescent="0.3">
      <c r="A1236" s="298" t="s">
        <v>4362</v>
      </c>
      <c r="B1236" s="298" t="s">
        <v>4363</v>
      </c>
      <c r="C1236" s="298" t="s">
        <v>816</v>
      </c>
      <c r="D1236" s="298" t="s">
        <v>256</v>
      </c>
      <c r="E1236" s="298"/>
      <c r="F1236" s="298" t="s">
        <v>4364</v>
      </c>
      <c r="G1236" s="299" t="b">
        <v>0</v>
      </c>
      <c r="H1236" s="299" t="b">
        <v>0</v>
      </c>
      <c r="J1236" s="113" t="str">
        <f t="shared" si="39"/>
        <v>904758741</v>
      </c>
      <c r="K1236" s="113" t="str">
        <f t="shared" si="40"/>
        <v>CG01306</v>
      </c>
    </row>
    <row r="1237" spans="1:11" x14ac:dyDescent="0.3">
      <c r="A1237" s="298" t="s">
        <v>4365</v>
      </c>
      <c r="B1237" s="298" t="s">
        <v>4366</v>
      </c>
      <c r="C1237" s="298" t="s">
        <v>1587</v>
      </c>
      <c r="D1237" s="298" t="s">
        <v>256</v>
      </c>
      <c r="E1237" s="298"/>
      <c r="F1237" s="298" t="s">
        <v>4367</v>
      </c>
      <c r="G1237" s="299" t="b">
        <v>0</v>
      </c>
      <c r="H1237" s="299" t="b">
        <v>0</v>
      </c>
      <c r="J1237" s="113" t="str">
        <f t="shared" si="39"/>
        <v>989135125</v>
      </c>
      <c r="K1237" s="113" t="str">
        <f t="shared" si="40"/>
        <v>CG01307</v>
      </c>
    </row>
    <row r="1238" spans="1:11" x14ac:dyDescent="0.3">
      <c r="A1238" s="298" t="s">
        <v>4368</v>
      </c>
      <c r="B1238" s="298" t="s">
        <v>4369</v>
      </c>
      <c r="C1238" s="298" t="s">
        <v>541</v>
      </c>
      <c r="D1238" s="298" t="s">
        <v>256</v>
      </c>
      <c r="E1238" s="298"/>
      <c r="F1238" s="298" t="s">
        <v>4370</v>
      </c>
      <c r="G1238" s="299" t="b">
        <v>0</v>
      </c>
      <c r="H1238" s="299" t="b">
        <v>0</v>
      </c>
      <c r="J1238" s="113" t="str">
        <f t="shared" si="39"/>
        <v>973359198</v>
      </c>
      <c r="K1238" s="113" t="str">
        <f t="shared" si="40"/>
        <v>CG01308</v>
      </c>
    </row>
    <row r="1239" spans="1:11" x14ac:dyDescent="0.3">
      <c r="A1239" s="298" t="s">
        <v>4371</v>
      </c>
      <c r="B1239" s="298" t="s">
        <v>4372</v>
      </c>
      <c r="C1239" s="298" t="s">
        <v>4373</v>
      </c>
      <c r="D1239" s="298" t="s">
        <v>256</v>
      </c>
      <c r="E1239" s="298"/>
      <c r="F1239" s="298" t="s">
        <v>4374</v>
      </c>
      <c r="G1239" s="299" t="b">
        <v>0</v>
      </c>
      <c r="H1239" s="299" t="b">
        <v>0</v>
      </c>
      <c r="J1239" s="113" t="str">
        <f t="shared" si="39"/>
        <v>989891777</v>
      </c>
      <c r="K1239" s="113" t="str">
        <f t="shared" si="40"/>
        <v>CG01309</v>
      </c>
    </row>
    <row r="1240" spans="1:11" x14ac:dyDescent="0.3">
      <c r="A1240" s="298" t="s">
        <v>4375</v>
      </c>
      <c r="B1240" s="298" t="s">
        <v>4376</v>
      </c>
      <c r="C1240" s="298" t="s">
        <v>355</v>
      </c>
      <c r="D1240" s="298" t="s">
        <v>256</v>
      </c>
      <c r="E1240" s="298"/>
      <c r="F1240" s="298" t="s">
        <v>4377</v>
      </c>
      <c r="G1240" s="299" t="b">
        <v>0</v>
      </c>
      <c r="H1240" s="299" t="b">
        <v>0</v>
      </c>
      <c r="J1240" s="113" t="str">
        <f t="shared" si="39"/>
        <v>988355666</v>
      </c>
      <c r="K1240" s="113" t="str">
        <f t="shared" si="40"/>
        <v>CG01310</v>
      </c>
    </row>
    <row r="1241" spans="1:11" x14ac:dyDescent="0.3">
      <c r="A1241" s="298" t="s">
        <v>4378</v>
      </c>
      <c r="B1241" s="298" t="s">
        <v>4379</v>
      </c>
      <c r="C1241" s="298" t="s">
        <v>495</v>
      </c>
      <c r="D1241" s="298" t="s">
        <v>256</v>
      </c>
      <c r="E1241" s="298"/>
      <c r="F1241" s="298" t="s">
        <v>4380</v>
      </c>
      <c r="G1241" s="299" t="b">
        <v>0</v>
      </c>
      <c r="H1241" s="299" t="b">
        <v>0</v>
      </c>
      <c r="J1241" s="113" t="str">
        <f t="shared" si="39"/>
        <v>913273858</v>
      </c>
      <c r="K1241" s="113" t="str">
        <f t="shared" si="40"/>
        <v>CG01311</v>
      </c>
    </row>
    <row r="1242" spans="1:11" x14ac:dyDescent="0.3">
      <c r="A1242" s="298" t="s">
        <v>4381</v>
      </c>
      <c r="B1242" s="298" t="s">
        <v>4382</v>
      </c>
      <c r="C1242" s="298" t="s">
        <v>541</v>
      </c>
      <c r="D1242" s="298" t="s">
        <v>256</v>
      </c>
      <c r="E1242" s="298"/>
      <c r="F1242" s="298" t="s">
        <v>4383</v>
      </c>
      <c r="G1242" s="299" t="b">
        <v>0</v>
      </c>
      <c r="H1242" s="299" t="b">
        <v>0</v>
      </c>
      <c r="J1242" s="113" t="str">
        <f t="shared" si="39"/>
        <v>979236968</v>
      </c>
      <c r="K1242" s="113" t="str">
        <f t="shared" si="40"/>
        <v>CG01312</v>
      </c>
    </row>
    <row r="1243" spans="1:11" x14ac:dyDescent="0.3">
      <c r="A1243" s="298" t="s">
        <v>4384</v>
      </c>
      <c r="B1243" s="298" t="s">
        <v>4385</v>
      </c>
      <c r="C1243" s="298" t="s">
        <v>1497</v>
      </c>
      <c r="D1243" s="298" t="s">
        <v>256</v>
      </c>
      <c r="E1243" s="298"/>
      <c r="F1243" s="298" t="s">
        <v>4386</v>
      </c>
      <c r="G1243" s="299" t="b">
        <v>0</v>
      </c>
      <c r="H1243" s="299" t="b">
        <v>0</v>
      </c>
      <c r="J1243" s="113" t="str">
        <f t="shared" si="39"/>
        <v>936597902</v>
      </c>
      <c r="K1243" s="113" t="str">
        <f t="shared" si="40"/>
        <v>CG01313</v>
      </c>
    </row>
    <row r="1244" spans="1:11" x14ac:dyDescent="0.3">
      <c r="A1244" s="298" t="s">
        <v>4387</v>
      </c>
      <c r="B1244" s="298" t="s">
        <v>4388</v>
      </c>
      <c r="C1244" s="298" t="s">
        <v>1286</v>
      </c>
      <c r="D1244" s="298" t="s">
        <v>256</v>
      </c>
      <c r="E1244" s="298"/>
      <c r="F1244" s="298" t="s">
        <v>4389</v>
      </c>
      <c r="G1244" s="299" t="b">
        <v>0</v>
      </c>
      <c r="H1244" s="299" t="b">
        <v>0</v>
      </c>
      <c r="J1244" s="113" t="str">
        <f t="shared" si="39"/>
        <v>915831257</v>
      </c>
      <c r="K1244" s="113" t="str">
        <f t="shared" si="40"/>
        <v>CG01314</v>
      </c>
    </row>
    <row r="1245" spans="1:11" x14ac:dyDescent="0.3">
      <c r="A1245" s="298" t="s">
        <v>4390</v>
      </c>
      <c r="B1245" s="298" t="s">
        <v>4391</v>
      </c>
      <c r="C1245" s="298" t="s">
        <v>2269</v>
      </c>
      <c r="D1245" s="298" t="s">
        <v>256</v>
      </c>
      <c r="E1245" s="298"/>
      <c r="F1245" s="298" t="s">
        <v>4392</v>
      </c>
      <c r="G1245" s="299" t="b">
        <v>0</v>
      </c>
      <c r="H1245" s="299" t="b">
        <v>0</v>
      </c>
      <c r="J1245" s="113" t="str">
        <f t="shared" si="39"/>
        <v>904519699</v>
      </c>
      <c r="K1245" s="113" t="str">
        <f t="shared" si="40"/>
        <v>CG01315</v>
      </c>
    </row>
    <row r="1246" spans="1:11" x14ac:dyDescent="0.3">
      <c r="A1246" s="298" t="s">
        <v>4393</v>
      </c>
      <c r="B1246" s="298" t="s">
        <v>4394</v>
      </c>
      <c r="C1246" s="298" t="s">
        <v>340</v>
      </c>
      <c r="D1246" s="298" t="s">
        <v>256</v>
      </c>
      <c r="E1246" s="298"/>
      <c r="F1246" s="298" t="s">
        <v>4395</v>
      </c>
      <c r="G1246" s="299" t="b">
        <v>0</v>
      </c>
      <c r="H1246" s="299" t="b">
        <v>0</v>
      </c>
      <c r="J1246" s="113" t="str">
        <f t="shared" si="39"/>
        <v>038381903</v>
      </c>
      <c r="K1246" s="113" t="str">
        <f t="shared" si="40"/>
        <v>CG01316</v>
      </c>
    </row>
    <row r="1247" spans="1:11" x14ac:dyDescent="0.3">
      <c r="A1247" s="298" t="s">
        <v>4396</v>
      </c>
      <c r="B1247" s="298" t="s">
        <v>4397</v>
      </c>
      <c r="C1247" s="298" t="s">
        <v>4398</v>
      </c>
      <c r="D1247" s="298" t="s">
        <v>256</v>
      </c>
      <c r="E1247" s="298"/>
      <c r="F1247" s="298" t="s">
        <v>4399</v>
      </c>
      <c r="G1247" s="299" t="b">
        <v>0</v>
      </c>
      <c r="H1247" s="299" t="b">
        <v>0</v>
      </c>
      <c r="J1247" s="113" t="str">
        <f t="shared" si="39"/>
        <v>974618888</v>
      </c>
      <c r="K1247" s="113" t="str">
        <f t="shared" si="40"/>
        <v>CG01317</v>
      </c>
    </row>
    <row r="1248" spans="1:11" x14ac:dyDescent="0.3">
      <c r="A1248" s="298" t="s">
        <v>4400</v>
      </c>
      <c r="B1248" s="298" t="s">
        <v>4401</v>
      </c>
      <c r="C1248" s="298" t="s">
        <v>1196</v>
      </c>
      <c r="D1248" s="298" t="s">
        <v>256</v>
      </c>
      <c r="E1248" s="298"/>
      <c r="F1248" s="298" t="s">
        <v>4402</v>
      </c>
      <c r="G1248" s="299" t="b">
        <v>0</v>
      </c>
      <c r="H1248" s="299" t="b">
        <v>0</v>
      </c>
      <c r="J1248" s="113" t="str">
        <f t="shared" si="39"/>
        <v>985748017</v>
      </c>
      <c r="K1248" s="113" t="str">
        <f t="shared" si="40"/>
        <v>CG01318</v>
      </c>
    </row>
    <row r="1249" spans="1:11" x14ac:dyDescent="0.3">
      <c r="A1249" s="298" t="s">
        <v>4403</v>
      </c>
      <c r="B1249" s="298" t="s">
        <v>4404</v>
      </c>
      <c r="C1249" s="298" t="s">
        <v>1196</v>
      </c>
      <c r="D1249" s="298" t="s">
        <v>256</v>
      </c>
      <c r="E1249" s="298"/>
      <c r="F1249" s="298" t="s">
        <v>4405</v>
      </c>
      <c r="G1249" s="299" t="b">
        <v>0</v>
      </c>
      <c r="H1249" s="299" t="b">
        <v>0</v>
      </c>
      <c r="J1249" s="113" t="str">
        <f t="shared" si="39"/>
        <v>974049978</v>
      </c>
      <c r="K1249" s="113" t="str">
        <f t="shared" si="40"/>
        <v>CG01319</v>
      </c>
    </row>
    <row r="1250" spans="1:11" x14ac:dyDescent="0.3">
      <c r="A1250" s="298" t="s">
        <v>4406</v>
      </c>
      <c r="B1250" s="298" t="s">
        <v>4407</v>
      </c>
      <c r="C1250" s="298" t="s">
        <v>375</v>
      </c>
      <c r="D1250" s="298" t="s">
        <v>256</v>
      </c>
      <c r="E1250" s="298"/>
      <c r="F1250" s="298" t="s">
        <v>4408</v>
      </c>
      <c r="G1250" s="299" t="b">
        <v>0</v>
      </c>
      <c r="H1250" s="299" t="b">
        <v>0</v>
      </c>
      <c r="J1250" s="113" t="str">
        <f t="shared" si="39"/>
        <v>912142558</v>
      </c>
      <c r="K1250" s="113" t="str">
        <f t="shared" si="40"/>
        <v>CG01320</v>
      </c>
    </row>
    <row r="1251" spans="1:11" x14ac:dyDescent="0.3">
      <c r="A1251" s="298" t="s">
        <v>4409</v>
      </c>
      <c r="B1251" s="298" t="s">
        <v>4410</v>
      </c>
      <c r="C1251" s="298" t="s">
        <v>4297</v>
      </c>
      <c r="D1251" s="298" t="s">
        <v>256</v>
      </c>
      <c r="E1251" s="298"/>
      <c r="F1251" s="298" t="s">
        <v>4411</v>
      </c>
      <c r="G1251" s="299" t="b">
        <v>0</v>
      </c>
      <c r="H1251" s="299" t="b">
        <v>0</v>
      </c>
      <c r="J1251" s="113" t="str">
        <f t="shared" si="39"/>
        <v>983806626</v>
      </c>
      <c r="K1251" s="113" t="str">
        <f t="shared" si="40"/>
        <v>CG01321</v>
      </c>
    </row>
    <row r="1252" spans="1:11" x14ac:dyDescent="0.3">
      <c r="A1252" s="298" t="s">
        <v>4412</v>
      </c>
      <c r="B1252" s="298" t="s">
        <v>4413</v>
      </c>
      <c r="C1252" s="298" t="s">
        <v>4297</v>
      </c>
      <c r="D1252" s="298" t="s">
        <v>256</v>
      </c>
      <c r="E1252" s="298"/>
      <c r="F1252" s="298" t="s">
        <v>4414</v>
      </c>
      <c r="G1252" s="299" t="b">
        <v>0</v>
      </c>
      <c r="H1252" s="299" t="b">
        <v>0</v>
      </c>
      <c r="J1252" s="113" t="str">
        <f t="shared" si="39"/>
        <v>975369058</v>
      </c>
      <c r="K1252" s="113" t="str">
        <f t="shared" si="40"/>
        <v>CG01322</v>
      </c>
    </row>
    <row r="1253" spans="1:11" x14ac:dyDescent="0.3">
      <c r="A1253" s="298" t="s">
        <v>4415</v>
      </c>
      <c r="B1253" s="298" t="s">
        <v>4416</v>
      </c>
      <c r="C1253" s="298" t="s">
        <v>4051</v>
      </c>
      <c r="D1253" s="298" t="s">
        <v>256</v>
      </c>
      <c r="E1253" s="298" t="s">
        <v>4417</v>
      </c>
      <c r="F1253" s="298" t="s">
        <v>3323</v>
      </c>
      <c r="G1253" s="299" t="b">
        <v>0</v>
      </c>
      <c r="H1253" s="299" t="b">
        <v>0</v>
      </c>
      <c r="J1253" s="113" t="str">
        <f t="shared" si="39"/>
        <v>986927341</v>
      </c>
      <c r="K1253" s="113" t="str">
        <f t="shared" si="40"/>
        <v>CG01323</v>
      </c>
    </row>
    <row r="1254" spans="1:11" x14ac:dyDescent="0.3">
      <c r="A1254" s="298" t="s">
        <v>4418</v>
      </c>
      <c r="B1254" s="298" t="s">
        <v>4419</v>
      </c>
      <c r="C1254" s="298" t="s">
        <v>541</v>
      </c>
      <c r="D1254" s="298" t="s">
        <v>256</v>
      </c>
      <c r="E1254" s="298"/>
      <c r="F1254" s="298" t="s">
        <v>4420</v>
      </c>
      <c r="G1254" s="299" t="b">
        <v>0</v>
      </c>
      <c r="H1254" s="299" t="b">
        <v>0</v>
      </c>
      <c r="J1254" s="113" t="str">
        <f t="shared" si="39"/>
        <v>978605496</v>
      </c>
      <c r="K1254" s="113" t="str">
        <f t="shared" si="40"/>
        <v>CG01324</v>
      </c>
    </row>
    <row r="1255" spans="1:11" x14ac:dyDescent="0.3">
      <c r="A1255" s="298" t="s">
        <v>4421</v>
      </c>
      <c r="B1255" s="298" t="s">
        <v>4422</v>
      </c>
      <c r="C1255" s="298" t="s">
        <v>4423</v>
      </c>
      <c r="D1255" s="298" t="s">
        <v>256</v>
      </c>
      <c r="E1255" s="298"/>
      <c r="F1255" s="298" t="s">
        <v>4424</v>
      </c>
      <c r="G1255" s="299" t="b">
        <v>0</v>
      </c>
      <c r="H1255" s="299" t="b">
        <v>0</v>
      </c>
      <c r="J1255" s="113" t="str">
        <f t="shared" si="39"/>
        <v>913576299</v>
      </c>
      <c r="K1255" s="113" t="str">
        <f t="shared" si="40"/>
        <v>CG01325</v>
      </c>
    </row>
    <row r="1256" spans="1:11" x14ac:dyDescent="0.3">
      <c r="A1256" s="298" t="s">
        <v>4425</v>
      </c>
      <c r="B1256" s="298" t="s">
        <v>4426</v>
      </c>
      <c r="C1256" s="298" t="s">
        <v>892</v>
      </c>
      <c r="D1256" s="298" t="s">
        <v>256</v>
      </c>
      <c r="E1256" s="298"/>
      <c r="F1256" s="298" t="s">
        <v>4427</v>
      </c>
      <c r="G1256" s="299" t="b">
        <v>0</v>
      </c>
      <c r="H1256" s="299" t="b">
        <v>0</v>
      </c>
      <c r="J1256" s="113" t="str">
        <f t="shared" si="39"/>
        <v>948397042</v>
      </c>
      <c r="K1256" s="113" t="str">
        <f t="shared" si="40"/>
        <v>CG01326</v>
      </c>
    </row>
    <row r="1257" spans="1:11" x14ac:dyDescent="0.3">
      <c r="A1257" s="298" t="s">
        <v>4428</v>
      </c>
      <c r="B1257" s="298" t="s">
        <v>4429</v>
      </c>
      <c r="C1257" s="298" t="s">
        <v>1335</v>
      </c>
      <c r="D1257" s="298" t="s">
        <v>256</v>
      </c>
      <c r="E1257" s="298"/>
      <c r="F1257" s="298" t="s">
        <v>4430</v>
      </c>
      <c r="G1257" s="299" t="b">
        <v>0</v>
      </c>
      <c r="H1257" s="299" t="b">
        <v>0</v>
      </c>
      <c r="J1257" s="113" t="str">
        <f t="shared" si="39"/>
        <v>915109278</v>
      </c>
      <c r="K1257" s="113" t="str">
        <f t="shared" si="40"/>
        <v>CG01327</v>
      </c>
    </row>
    <row r="1258" spans="1:11" x14ac:dyDescent="0.3">
      <c r="A1258" s="298" t="s">
        <v>4431</v>
      </c>
      <c r="B1258" s="298" t="s">
        <v>4432</v>
      </c>
      <c r="C1258" s="298" t="s">
        <v>495</v>
      </c>
      <c r="D1258" s="298" t="s">
        <v>256</v>
      </c>
      <c r="E1258" s="298"/>
      <c r="F1258" s="298" t="s">
        <v>4433</v>
      </c>
      <c r="G1258" s="299" t="b">
        <v>0</v>
      </c>
      <c r="H1258" s="299" t="b">
        <v>0</v>
      </c>
      <c r="J1258" s="113" t="str">
        <f t="shared" si="39"/>
        <v>979605551</v>
      </c>
      <c r="K1258" s="113" t="str">
        <f t="shared" si="40"/>
        <v>CG01328</v>
      </c>
    </row>
    <row r="1259" spans="1:11" x14ac:dyDescent="0.3">
      <c r="A1259" s="298" t="s">
        <v>4434</v>
      </c>
      <c r="B1259" s="298" t="s">
        <v>4435</v>
      </c>
      <c r="C1259" s="298" t="s">
        <v>533</v>
      </c>
      <c r="D1259" s="298" t="s">
        <v>256</v>
      </c>
      <c r="E1259" s="298"/>
      <c r="F1259" s="298" t="s">
        <v>4436</v>
      </c>
      <c r="G1259" s="299" t="b">
        <v>0</v>
      </c>
      <c r="H1259" s="299" t="b">
        <v>0</v>
      </c>
      <c r="J1259" s="113" t="str">
        <f t="shared" si="39"/>
        <v>913058954</v>
      </c>
      <c r="K1259" s="113" t="str">
        <f t="shared" si="40"/>
        <v>CG01329</v>
      </c>
    </row>
    <row r="1260" spans="1:11" x14ac:dyDescent="0.3">
      <c r="A1260" s="298" t="s">
        <v>4437</v>
      </c>
      <c r="B1260" s="298" t="s">
        <v>4438</v>
      </c>
      <c r="C1260" s="298" t="s">
        <v>1196</v>
      </c>
      <c r="D1260" s="298" t="s">
        <v>256</v>
      </c>
      <c r="E1260" s="298"/>
      <c r="F1260" s="298" t="s">
        <v>4439</v>
      </c>
      <c r="G1260" s="299" t="b">
        <v>0</v>
      </c>
      <c r="H1260" s="299" t="b">
        <v>0</v>
      </c>
      <c r="J1260" s="113" t="str">
        <f t="shared" si="39"/>
        <v>947487999</v>
      </c>
      <c r="K1260" s="113" t="str">
        <f t="shared" si="40"/>
        <v>CG01330</v>
      </c>
    </row>
    <row r="1261" spans="1:11" x14ac:dyDescent="0.3">
      <c r="A1261" s="298" t="s">
        <v>4440</v>
      </c>
      <c r="B1261" s="298" t="s">
        <v>4441</v>
      </c>
      <c r="C1261" s="298" t="s">
        <v>390</v>
      </c>
      <c r="D1261" s="298" t="s">
        <v>256</v>
      </c>
      <c r="E1261" s="298"/>
      <c r="F1261" s="298" t="s">
        <v>4442</v>
      </c>
      <c r="G1261" s="299" t="b">
        <v>0</v>
      </c>
      <c r="H1261" s="299" t="b">
        <v>0</v>
      </c>
      <c r="J1261" s="113" t="str">
        <f t="shared" si="39"/>
        <v>988115555</v>
      </c>
      <c r="K1261" s="113" t="str">
        <f t="shared" si="40"/>
        <v>CG01331</v>
      </c>
    </row>
    <row r="1262" spans="1:11" x14ac:dyDescent="0.3">
      <c r="A1262" s="298" t="s">
        <v>4443</v>
      </c>
      <c r="B1262" s="298" t="s">
        <v>4444</v>
      </c>
      <c r="C1262" s="298" t="s">
        <v>718</v>
      </c>
      <c r="D1262" s="298" t="s">
        <v>256</v>
      </c>
      <c r="E1262" s="298"/>
      <c r="F1262" s="298" t="s">
        <v>4445</v>
      </c>
      <c r="G1262" s="299" t="b">
        <v>0</v>
      </c>
      <c r="H1262" s="299" t="b">
        <v>0</v>
      </c>
      <c r="J1262" s="113" t="str">
        <f t="shared" si="39"/>
        <v>982884683</v>
      </c>
      <c r="K1262" s="113" t="str">
        <f t="shared" si="40"/>
        <v>CG01332</v>
      </c>
    </row>
    <row r="1263" spans="1:11" x14ac:dyDescent="0.3">
      <c r="A1263" s="298" t="s">
        <v>4446</v>
      </c>
      <c r="B1263" s="298" t="s">
        <v>4447</v>
      </c>
      <c r="C1263" s="298" t="s">
        <v>1552</v>
      </c>
      <c r="D1263" s="298" t="s">
        <v>256</v>
      </c>
      <c r="E1263" s="298"/>
      <c r="F1263" s="298" t="s">
        <v>4448</v>
      </c>
      <c r="G1263" s="299" t="b">
        <v>0</v>
      </c>
      <c r="H1263" s="299" t="b">
        <v>0</v>
      </c>
      <c r="J1263" s="113" t="str">
        <f t="shared" si="39"/>
        <v>936960689</v>
      </c>
      <c r="K1263" s="113" t="str">
        <f t="shared" si="40"/>
        <v>CG01333</v>
      </c>
    </row>
    <row r="1264" spans="1:11" x14ac:dyDescent="0.3">
      <c r="A1264" s="298" t="s">
        <v>4449</v>
      </c>
      <c r="B1264" s="298" t="s">
        <v>4450</v>
      </c>
      <c r="C1264" s="298" t="s">
        <v>340</v>
      </c>
      <c r="D1264" s="298" t="s">
        <v>256</v>
      </c>
      <c r="E1264" s="298"/>
      <c r="F1264" s="298" t="s">
        <v>4451</v>
      </c>
      <c r="G1264" s="299" t="b">
        <v>0</v>
      </c>
      <c r="H1264" s="299" t="b">
        <v>0</v>
      </c>
      <c r="J1264" s="113" t="str">
        <f t="shared" si="39"/>
        <v>763401562</v>
      </c>
      <c r="K1264" s="113" t="str">
        <f t="shared" si="40"/>
        <v>CG01334</v>
      </c>
    </row>
    <row r="1265" spans="1:11" x14ac:dyDescent="0.3">
      <c r="A1265" s="298" t="s">
        <v>4452</v>
      </c>
      <c r="B1265" s="298" t="s">
        <v>4453</v>
      </c>
      <c r="C1265" s="298" t="s">
        <v>1247</v>
      </c>
      <c r="D1265" s="298" t="s">
        <v>256</v>
      </c>
      <c r="E1265" s="298"/>
      <c r="F1265" s="298" t="s">
        <v>4454</v>
      </c>
      <c r="G1265" s="299" t="b">
        <v>0</v>
      </c>
      <c r="H1265" s="299" t="b">
        <v>0</v>
      </c>
      <c r="J1265" s="113" t="str">
        <f t="shared" si="39"/>
        <v>988130598</v>
      </c>
      <c r="K1265" s="113" t="str">
        <f t="shared" si="40"/>
        <v>CG01335</v>
      </c>
    </row>
    <row r="1266" spans="1:11" x14ac:dyDescent="0.3">
      <c r="A1266" s="298" t="s">
        <v>4455</v>
      </c>
      <c r="B1266" s="298" t="s">
        <v>4456</v>
      </c>
      <c r="C1266" s="298" t="s">
        <v>4457</v>
      </c>
      <c r="D1266" s="298" t="s">
        <v>256</v>
      </c>
      <c r="E1266" s="298"/>
      <c r="F1266" s="298" t="s">
        <v>4458</v>
      </c>
      <c r="G1266" s="299" t="b">
        <v>0</v>
      </c>
      <c r="H1266" s="299" t="b">
        <v>0</v>
      </c>
      <c r="J1266" s="113" t="str">
        <f t="shared" si="39"/>
        <v>984718596</v>
      </c>
      <c r="K1266" s="113" t="str">
        <f t="shared" si="40"/>
        <v>CG01336</v>
      </c>
    </row>
    <row r="1267" spans="1:11" x14ac:dyDescent="0.3">
      <c r="A1267" s="298" t="s">
        <v>4459</v>
      </c>
      <c r="B1267" s="298" t="s">
        <v>4460</v>
      </c>
      <c r="C1267" s="298" t="s">
        <v>375</v>
      </c>
      <c r="D1267" s="298" t="s">
        <v>256</v>
      </c>
      <c r="E1267" s="298"/>
      <c r="F1267" s="298" t="s">
        <v>4461</v>
      </c>
      <c r="G1267" s="299" t="b">
        <v>0</v>
      </c>
      <c r="H1267" s="299" t="b">
        <v>0</v>
      </c>
      <c r="J1267" s="113" t="str">
        <f t="shared" si="39"/>
        <v>932358074</v>
      </c>
      <c r="K1267" s="113" t="str">
        <f t="shared" si="40"/>
        <v>CG01337</v>
      </c>
    </row>
    <row r="1268" spans="1:11" x14ac:dyDescent="0.3">
      <c r="A1268" s="298" t="s">
        <v>4462</v>
      </c>
      <c r="B1268" s="298" t="s">
        <v>4463</v>
      </c>
      <c r="C1268" s="298" t="s">
        <v>4464</v>
      </c>
      <c r="D1268" s="298" t="s">
        <v>256</v>
      </c>
      <c r="E1268" s="298"/>
      <c r="F1268" s="298" t="s">
        <v>4465</v>
      </c>
      <c r="G1268" s="299" t="b">
        <v>0</v>
      </c>
      <c r="H1268" s="299" t="b">
        <v>0</v>
      </c>
      <c r="J1268" s="113" t="str">
        <f t="shared" si="39"/>
        <v>942800204</v>
      </c>
      <c r="K1268" s="113" t="str">
        <f t="shared" si="40"/>
        <v>CG01338</v>
      </c>
    </row>
    <row r="1269" spans="1:11" x14ac:dyDescent="0.3">
      <c r="A1269" s="298" t="s">
        <v>4466</v>
      </c>
      <c r="B1269" s="298" t="s">
        <v>4467</v>
      </c>
      <c r="C1269" s="298" t="s">
        <v>3230</v>
      </c>
      <c r="D1269" s="298" t="s">
        <v>256</v>
      </c>
      <c r="E1269" s="298"/>
      <c r="F1269" s="298" t="s">
        <v>4468</v>
      </c>
      <c r="G1269" s="299" t="b">
        <v>0</v>
      </c>
      <c r="H1269" s="299" t="b">
        <v>0</v>
      </c>
      <c r="J1269" s="113" t="str">
        <f t="shared" si="39"/>
        <v>329006122</v>
      </c>
      <c r="K1269" s="113" t="str">
        <f t="shared" si="40"/>
        <v>CG01339</v>
      </c>
    </row>
    <row r="1270" spans="1:11" x14ac:dyDescent="0.3">
      <c r="A1270" s="298" t="s">
        <v>4469</v>
      </c>
      <c r="B1270" s="298" t="s">
        <v>4470</v>
      </c>
      <c r="C1270" s="298" t="s">
        <v>4324</v>
      </c>
      <c r="D1270" s="298" t="s">
        <v>256</v>
      </c>
      <c r="E1270" s="298"/>
      <c r="F1270" s="298" t="s">
        <v>4471</v>
      </c>
      <c r="G1270" s="299" t="b">
        <v>0</v>
      </c>
      <c r="H1270" s="299" t="b">
        <v>0</v>
      </c>
      <c r="J1270" s="113" t="str">
        <f t="shared" si="39"/>
        <v>945943456</v>
      </c>
      <c r="K1270" s="113" t="str">
        <f t="shared" si="40"/>
        <v>CG01340</v>
      </c>
    </row>
    <row r="1271" spans="1:11" x14ac:dyDescent="0.3">
      <c r="A1271" s="298" t="s">
        <v>4472</v>
      </c>
      <c r="B1271" s="298" t="s">
        <v>4473</v>
      </c>
      <c r="C1271" s="298" t="s">
        <v>4474</v>
      </c>
      <c r="D1271" s="298" t="s">
        <v>256</v>
      </c>
      <c r="E1271" s="298"/>
      <c r="F1271" s="298" t="s">
        <v>4475</v>
      </c>
      <c r="G1271" s="299" t="b">
        <v>0</v>
      </c>
      <c r="H1271" s="299" t="b">
        <v>0</v>
      </c>
      <c r="J1271" s="113" t="str">
        <f t="shared" si="39"/>
        <v>374884999</v>
      </c>
      <c r="K1271" s="113" t="str">
        <f t="shared" si="40"/>
        <v>CG01341</v>
      </c>
    </row>
    <row r="1272" spans="1:11" x14ac:dyDescent="0.3">
      <c r="A1272" s="298" t="s">
        <v>4476</v>
      </c>
      <c r="B1272" s="298" t="s">
        <v>4477</v>
      </c>
      <c r="C1272" s="298" t="s">
        <v>4310</v>
      </c>
      <c r="D1272" s="298" t="s">
        <v>256</v>
      </c>
      <c r="E1272" s="298" t="s">
        <v>4478</v>
      </c>
      <c r="F1272" s="298" t="s">
        <v>4479</v>
      </c>
      <c r="G1272" s="299" t="b">
        <v>0</v>
      </c>
      <c r="H1272" s="299" t="b">
        <v>0</v>
      </c>
      <c r="J1272" s="113" t="str">
        <f t="shared" si="39"/>
        <v>906125262</v>
      </c>
      <c r="K1272" s="113" t="str">
        <f t="shared" si="40"/>
        <v>CG01342</v>
      </c>
    </row>
    <row r="1273" spans="1:11" x14ac:dyDescent="0.3">
      <c r="A1273" s="298" t="s">
        <v>4480</v>
      </c>
      <c r="B1273" s="298" t="s">
        <v>4481</v>
      </c>
      <c r="C1273" s="298" t="s">
        <v>2426</v>
      </c>
      <c r="D1273" s="298" t="s">
        <v>256</v>
      </c>
      <c r="E1273" s="298"/>
      <c r="F1273" s="298" t="s">
        <v>4482</v>
      </c>
      <c r="G1273" s="299" t="b">
        <v>0</v>
      </c>
      <c r="H1273" s="299" t="b">
        <v>0</v>
      </c>
      <c r="J1273" s="113" t="str">
        <f t="shared" si="39"/>
        <v>983871519</v>
      </c>
      <c r="K1273" s="113" t="str">
        <f t="shared" si="40"/>
        <v>CG01343</v>
      </c>
    </row>
    <row r="1274" spans="1:11" x14ac:dyDescent="0.3">
      <c r="A1274" s="298" t="s">
        <v>4483</v>
      </c>
      <c r="B1274" s="298" t="s">
        <v>4484</v>
      </c>
      <c r="C1274" s="298" t="s">
        <v>593</v>
      </c>
      <c r="D1274" s="298" t="s">
        <v>256</v>
      </c>
      <c r="E1274" s="298"/>
      <c r="F1274" s="298" t="s">
        <v>4485</v>
      </c>
      <c r="G1274" s="299" t="b">
        <v>0</v>
      </c>
      <c r="H1274" s="299" t="b">
        <v>0</v>
      </c>
      <c r="J1274" s="113" t="str">
        <f t="shared" si="39"/>
        <v>904959182</v>
      </c>
      <c r="K1274" s="113" t="str">
        <f t="shared" si="40"/>
        <v>CG01344</v>
      </c>
    </row>
    <row r="1275" spans="1:11" x14ac:dyDescent="0.3">
      <c r="A1275" s="298" t="s">
        <v>4486</v>
      </c>
      <c r="B1275" s="298" t="s">
        <v>4487</v>
      </c>
      <c r="C1275" s="298" t="s">
        <v>292</v>
      </c>
      <c r="D1275" s="298" t="s">
        <v>256</v>
      </c>
      <c r="E1275" s="298"/>
      <c r="F1275" s="298" t="s">
        <v>4488</v>
      </c>
      <c r="G1275" s="299" t="b">
        <v>0</v>
      </c>
      <c r="H1275" s="299" t="b">
        <v>0</v>
      </c>
      <c r="J1275" s="113" t="str">
        <f t="shared" si="39"/>
        <v>912226054</v>
      </c>
      <c r="K1275" s="113" t="str">
        <f t="shared" si="40"/>
        <v>CG01345</v>
      </c>
    </row>
    <row r="1276" spans="1:11" x14ac:dyDescent="0.3">
      <c r="A1276" s="298" t="s">
        <v>4489</v>
      </c>
      <c r="B1276" s="298" t="s">
        <v>4490</v>
      </c>
      <c r="C1276" s="298" t="s">
        <v>4491</v>
      </c>
      <c r="D1276" s="298" t="s">
        <v>256</v>
      </c>
      <c r="E1276" s="298"/>
      <c r="F1276" s="298" t="s">
        <v>4492</v>
      </c>
      <c r="G1276" s="299" t="b">
        <v>0</v>
      </c>
      <c r="H1276" s="299" t="b">
        <v>0</v>
      </c>
      <c r="J1276" s="113" t="str">
        <f t="shared" si="39"/>
        <v>945273525</v>
      </c>
      <c r="K1276" s="113" t="str">
        <f t="shared" si="40"/>
        <v>CG01346</v>
      </c>
    </row>
    <row r="1277" spans="1:11" x14ac:dyDescent="0.3">
      <c r="A1277" s="298" t="s">
        <v>4493</v>
      </c>
      <c r="B1277" s="298" t="s">
        <v>4494</v>
      </c>
      <c r="C1277" s="298" t="s">
        <v>4495</v>
      </c>
      <c r="D1277" s="298" t="s">
        <v>256</v>
      </c>
      <c r="E1277" s="298"/>
      <c r="F1277" s="298" t="s">
        <v>4496</v>
      </c>
      <c r="G1277" s="299" t="b">
        <v>0</v>
      </c>
      <c r="H1277" s="299" t="b">
        <v>0</v>
      </c>
      <c r="J1277" s="113" t="str">
        <f t="shared" si="39"/>
        <v>982951339</v>
      </c>
      <c r="K1277" s="113" t="str">
        <f t="shared" si="40"/>
        <v>CG01347</v>
      </c>
    </row>
    <row r="1278" spans="1:11" x14ac:dyDescent="0.3">
      <c r="A1278" s="298" t="s">
        <v>4497</v>
      </c>
      <c r="B1278" s="298" t="s">
        <v>4498</v>
      </c>
      <c r="C1278" s="298" t="s">
        <v>4499</v>
      </c>
      <c r="D1278" s="298" t="s">
        <v>256</v>
      </c>
      <c r="E1278" s="298"/>
      <c r="F1278" s="298" t="s">
        <v>4500</v>
      </c>
      <c r="G1278" s="299" t="b">
        <v>0</v>
      </c>
      <c r="H1278" s="299" t="b">
        <v>0</v>
      </c>
      <c r="J1278" s="113" t="str">
        <f t="shared" si="39"/>
        <v>912529063</v>
      </c>
      <c r="K1278" s="113" t="str">
        <f t="shared" si="40"/>
        <v>CG01348</v>
      </c>
    </row>
    <row r="1279" spans="1:11" x14ac:dyDescent="0.3">
      <c r="A1279" s="298" t="s">
        <v>4501</v>
      </c>
      <c r="B1279" s="298" t="s">
        <v>4502</v>
      </c>
      <c r="C1279" s="298" t="s">
        <v>1237</v>
      </c>
      <c r="D1279" s="298" t="s">
        <v>256</v>
      </c>
      <c r="E1279" s="298"/>
      <c r="F1279" s="298" t="s">
        <v>4503</v>
      </c>
      <c r="G1279" s="299" t="b">
        <v>0</v>
      </c>
      <c r="H1279" s="299" t="b">
        <v>0</v>
      </c>
      <c r="J1279" s="113" t="str">
        <f t="shared" si="39"/>
        <v>969985773</v>
      </c>
      <c r="K1279" s="113" t="str">
        <f t="shared" si="40"/>
        <v>CG01349</v>
      </c>
    </row>
    <row r="1280" spans="1:11" x14ac:dyDescent="0.3">
      <c r="A1280" s="298" t="s">
        <v>4504</v>
      </c>
      <c r="B1280" s="298" t="s">
        <v>4505</v>
      </c>
      <c r="C1280" s="298" t="s">
        <v>416</v>
      </c>
      <c r="D1280" s="298" t="s">
        <v>256</v>
      </c>
      <c r="E1280" s="298"/>
      <c r="F1280" s="298" t="s">
        <v>4506</v>
      </c>
      <c r="G1280" s="299" t="b">
        <v>0</v>
      </c>
      <c r="H1280" s="299" t="b">
        <v>0</v>
      </c>
      <c r="J1280" s="113" t="str">
        <f t="shared" si="39"/>
        <v>972011992</v>
      </c>
      <c r="K1280" s="113" t="str">
        <f t="shared" si="40"/>
        <v>CG01350</v>
      </c>
    </row>
    <row r="1281" spans="1:11" x14ac:dyDescent="0.3">
      <c r="A1281" s="298" t="s">
        <v>4507</v>
      </c>
      <c r="B1281" s="298" t="s">
        <v>4508</v>
      </c>
      <c r="C1281" s="298" t="s">
        <v>289</v>
      </c>
      <c r="D1281" s="298" t="s">
        <v>256</v>
      </c>
      <c r="E1281" s="298"/>
      <c r="F1281" s="298" t="s">
        <v>4509</v>
      </c>
      <c r="G1281" s="299" t="b">
        <v>0</v>
      </c>
      <c r="H1281" s="299" t="b">
        <v>0</v>
      </c>
      <c r="J1281" s="113" t="str">
        <f t="shared" si="39"/>
        <v>967411888</v>
      </c>
      <c r="K1281" s="113" t="str">
        <f t="shared" si="40"/>
        <v>CG01351</v>
      </c>
    </row>
    <row r="1282" spans="1:11" x14ac:dyDescent="0.3">
      <c r="A1282" s="298" t="s">
        <v>4510</v>
      </c>
      <c r="B1282" s="298" t="s">
        <v>4511</v>
      </c>
      <c r="C1282" s="298" t="s">
        <v>355</v>
      </c>
      <c r="D1282" s="298" t="s">
        <v>256</v>
      </c>
      <c r="E1282" s="298"/>
      <c r="F1282" s="298" t="s">
        <v>4512</v>
      </c>
      <c r="G1282" s="299" t="b">
        <v>0</v>
      </c>
      <c r="H1282" s="299" t="b">
        <v>0</v>
      </c>
      <c r="J1282" s="113" t="str">
        <f t="shared" si="39"/>
        <v>967058578</v>
      </c>
      <c r="K1282" s="113" t="str">
        <f t="shared" si="40"/>
        <v>CG01352</v>
      </c>
    </row>
    <row r="1283" spans="1:11" x14ac:dyDescent="0.3">
      <c r="A1283" s="298" t="s">
        <v>4513</v>
      </c>
      <c r="B1283" s="298" t="s">
        <v>4514</v>
      </c>
      <c r="C1283" s="298" t="s">
        <v>524</v>
      </c>
      <c r="D1283" s="298" t="s">
        <v>256</v>
      </c>
      <c r="E1283" s="298" t="s">
        <v>4515</v>
      </c>
      <c r="F1283" s="298" t="s">
        <v>4516</v>
      </c>
      <c r="G1283" s="299" t="b">
        <v>0</v>
      </c>
      <c r="H1283" s="299" t="b">
        <v>0</v>
      </c>
      <c r="J1283" s="113" t="str">
        <f t="shared" si="39"/>
        <v>913259252</v>
      </c>
      <c r="K1283" s="113" t="str">
        <f t="shared" si="40"/>
        <v>CG01353</v>
      </c>
    </row>
    <row r="1284" spans="1:11" x14ac:dyDescent="0.3">
      <c r="A1284" s="298" t="s">
        <v>4517</v>
      </c>
      <c r="B1284" s="298" t="s">
        <v>4518</v>
      </c>
      <c r="C1284" s="298" t="s">
        <v>4519</v>
      </c>
      <c r="D1284" s="298" t="s">
        <v>256</v>
      </c>
      <c r="E1284" s="298"/>
      <c r="F1284" s="298" t="s">
        <v>4520</v>
      </c>
      <c r="G1284" s="299" t="b">
        <v>0</v>
      </c>
      <c r="H1284" s="299" t="b">
        <v>0</v>
      </c>
      <c r="J1284" s="113" t="str">
        <f t="shared" si="39"/>
        <v>911304078</v>
      </c>
      <c r="K1284" s="113" t="str">
        <f t="shared" si="40"/>
        <v>CG01354</v>
      </c>
    </row>
    <row r="1285" spans="1:11" x14ac:dyDescent="0.3">
      <c r="A1285" s="298" t="s">
        <v>4521</v>
      </c>
      <c r="B1285" s="298" t="s">
        <v>4522</v>
      </c>
      <c r="C1285" s="298" t="s">
        <v>1508</v>
      </c>
      <c r="D1285" s="298" t="s">
        <v>256</v>
      </c>
      <c r="E1285" s="298"/>
      <c r="F1285" s="298" t="s">
        <v>4523</v>
      </c>
      <c r="G1285" s="299" t="b">
        <v>0</v>
      </c>
      <c r="H1285" s="299" t="b">
        <v>0</v>
      </c>
      <c r="J1285" s="113" t="str">
        <f t="shared" ref="J1285:J1348" si="41">RIGHT(B1285,9)</f>
        <v>979816996</v>
      </c>
      <c r="K1285" s="113" t="str">
        <f t="shared" ref="K1285:K1348" si="42">A1285</f>
        <v>CG01355</v>
      </c>
    </row>
    <row r="1286" spans="1:11" x14ac:dyDescent="0.3">
      <c r="A1286" s="298" t="s">
        <v>4524</v>
      </c>
      <c r="B1286" s="298" t="s">
        <v>4525</v>
      </c>
      <c r="C1286" s="298" t="s">
        <v>1196</v>
      </c>
      <c r="D1286" s="298" t="s">
        <v>256</v>
      </c>
      <c r="E1286" s="298"/>
      <c r="F1286" s="298" t="s">
        <v>4526</v>
      </c>
      <c r="G1286" s="299" t="b">
        <v>0</v>
      </c>
      <c r="H1286" s="299" t="b">
        <v>0</v>
      </c>
      <c r="J1286" s="113" t="str">
        <f t="shared" si="41"/>
        <v>982793445</v>
      </c>
      <c r="K1286" s="113" t="str">
        <f t="shared" si="42"/>
        <v>CG01356</v>
      </c>
    </row>
    <row r="1287" spans="1:11" x14ac:dyDescent="0.3">
      <c r="A1287" s="298" t="s">
        <v>4527</v>
      </c>
      <c r="B1287" s="298" t="s">
        <v>4528</v>
      </c>
      <c r="C1287" s="298" t="s">
        <v>1237</v>
      </c>
      <c r="D1287" s="298" t="s">
        <v>256</v>
      </c>
      <c r="E1287" s="298"/>
      <c r="F1287" s="298" t="s">
        <v>4529</v>
      </c>
      <c r="G1287" s="299" t="b">
        <v>0</v>
      </c>
      <c r="H1287" s="299" t="b">
        <v>0</v>
      </c>
      <c r="J1287" s="113" t="str">
        <f t="shared" si="41"/>
        <v>346501284</v>
      </c>
      <c r="K1287" s="113" t="str">
        <f t="shared" si="42"/>
        <v>CG01357</v>
      </c>
    </row>
    <row r="1288" spans="1:11" x14ac:dyDescent="0.3">
      <c r="A1288" s="298" t="s">
        <v>4530</v>
      </c>
      <c r="B1288" s="298" t="s">
        <v>4531</v>
      </c>
      <c r="C1288" s="298" t="s">
        <v>647</v>
      </c>
      <c r="D1288" s="298" t="s">
        <v>256</v>
      </c>
      <c r="E1288" s="298"/>
      <c r="F1288" s="298" t="s">
        <v>4532</v>
      </c>
      <c r="G1288" s="299" t="b">
        <v>0</v>
      </c>
      <c r="H1288" s="299" t="b">
        <v>0</v>
      </c>
      <c r="J1288" s="113" t="str">
        <f t="shared" si="41"/>
        <v>903263612</v>
      </c>
      <c r="K1288" s="113" t="str">
        <f t="shared" si="42"/>
        <v>CG01358</v>
      </c>
    </row>
    <row r="1289" spans="1:11" x14ac:dyDescent="0.3">
      <c r="A1289" s="298" t="s">
        <v>4533</v>
      </c>
      <c r="B1289" s="298" t="s">
        <v>4534</v>
      </c>
      <c r="C1289" s="298" t="s">
        <v>317</v>
      </c>
      <c r="D1289" s="298" t="s">
        <v>256</v>
      </c>
      <c r="E1289" s="298"/>
      <c r="F1289" s="298" t="s">
        <v>4535</v>
      </c>
      <c r="G1289" s="299" t="b">
        <v>0</v>
      </c>
      <c r="H1289" s="299" t="b">
        <v>0</v>
      </c>
      <c r="J1289" s="113" t="str">
        <f t="shared" si="41"/>
        <v>979877547</v>
      </c>
      <c r="K1289" s="113" t="str">
        <f t="shared" si="42"/>
        <v>CG01359</v>
      </c>
    </row>
    <row r="1290" spans="1:11" x14ac:dyDescent="0.3">
      <c r="A1290" s="298" t="s">
        <v>4536</v>
      </c>
      <c r="B1290" s="298" t="s">
        <v>4537</v>
      </c>
      <c r="C1290" s="298" t="s">
        <v>4538</v>
      </c>
      <c r="D1290" s="298" t="s">
        <v>256</v>
      </c>
      <c r="E1290" s="298"/>
      <c r="F1290" s="298" t="s">
        <v>4539</v>
      </c>
      <c r="G1290" s="299" t="b">
        <v>0</v>
      </c>
      <c r="H1290" s="299" t="b">
        <v>0</v>
      </c>
      <c r="J1290" s="113" t="str">
        <f t="shared" si="41"/>
        <v>915820607</v>
      </c>
      <c r="K1290" s="113" t="str">
        <f t="shared" si="42"/>
        <v>CG01360</v>
      </c>
    </row>
    <row r="1291" spans="1:11" x14ac:dyDescent="0.3">
      <c r="A1291" s="298" t="s">
        <v>4540</v>
      </c>
      <c r="B1291" s="298" t="s">
        <v>4541</v>
      </c>
      <c r="C1291" s="298" t="s">
        <v>1237</v>
      </c>
      <c r="D1291" s="298" t="s">
        <v>256</v>
      </c>
      <c r="E1291" s="298"/>
      <c r="F1291" s="298" t="s">
        <v>4542</v>
      </c>
      <c r="G1291" s="299" t="b">
        <v>0</v>
      </c>
      <c r="H1291" s="299" t="b">
        <v>0</v>
      </c>
      <c r="J1291" s="113" t="str">
        <f t="shared" si="41"/>
        <v>912968457</v>
      </c>
      <c r="K1291" s="113" t="str">
        <f t="shared" si="42"/>
        <v>CG01361</v>
      </c>
    </row>
    <row r="1292" spans="1:11" x14ac:dyDescent="0.3">
      <c r="A1292" s="298" t="s">
        <v>4543</v>
      </c>
      <c r="B1292" s="298" t="s">
        <v>4544</v>
      </c>
      <c r="C1292" s="298" t="s">
        <v>676</v>
      </c>
      <c r="D1292" s="298" t="s">
        <v>256</v>
      </c>
      <c r="E1292" s="298"/>
      <c r="F1292" s="298" t="s">
        <v>4545</v>
      </c>
      <c r="G1292" s="299" t="b">
        <v>0</v>
      </c>
      <c r="H1292" s="299" t="b">
        <v>0</v>
      </c>
      <c r="J1292" s="113" t="str">
        <f t="shared" si="41"/>
        <v>984358288</v>
      </c>
      <c r="K1292" s="113" t="str">
        <f t="shared" si="42"/>
        <v>CG01363</v>
      </c>
    </row>
    <row r="1293" spans="1:11" x14ac:dyDescent="0.3">
      <c r="A1293" s="298" t="s">
        <v>4546</v>
      </c>
      <c r="B1293" s="298" t="s">
        <v>4547</v>
      </c>
      <c r="C1293" s="298" t="s">
        <v>938</v>
      </c>
      <c r="D1293" s="298" t="s">
        <v>256</v>
      </c>
      <c r="E1293" s="298"/>
      <c r="F1293" s="298" t="s">
        <v>4548</v>
      </c>
      <c r="G1293" s="299" t="b">
        <v>0</v>
      </c>
      <c r="H1293" s="299" t="b">
        <v>0</v>
      </c>
      <c r="J1293" s="113" t="str">
        <f t="shared" si="41"/>
        <v>904699707</v>
      </c>
      <c r="K1293" s="113" t="str">
        <f t="shared" si="42"/>
        <v>CG01364</v>
      </c>
    </row>
    <row r="1294" spans="1:11" x14ac:dyDescent="0.3">
      <c r="A1294" s="298" t="s">
        <v>4549</v>
      </c>
      <c r="B1294" s="298" t="s">
        <v>4550</v>
      </c>
      <c r="C1294" s="298" t="s">
        <v>4551</v>
      </c>
      <c r="D1294" s="298" t="s">
        <v>256</v>
      </c>
      <c r="E1294" s="298"/>
      <c r="F1294" s="298" t="s">
        <v>4552</v>
      </c>
      <c r="G1294" s="299" t="b">
        <v>0</v>
      </c>
      <c r="H1294" s="299" t="b">
        <v>0</v>
      </c>
      <c r="J1294" s="113" t="str">
        <f t="shared" si="41"/>
        <v>935059234</v>
      </c>
      <c r="K1294" s="113" t="str">
        <f t="shared" si="42"/>
        <v>CG01365</v>
      </c>
    </row>
    <row r="1295" spans="1:11" x14ac:dyDescent="0.3">
      <c r="A1295" s="298" t="s">
        <v>4553</v>
      </c>
      <c r="B1295" s="298" t="s">
        <v>4554</v>
      </c>
      <c r="C1295" s="298" t="s">
        <v>1237</v>
      </c>
      <c r="D1295" s="298" t="s">
        <v>256</v>
      </c>
      <c r="E1295" s="298"/>
      <c r="F1295" s="298" t="s">
        <v>4555</v>
      </c>
      <c r="G1295" s="299" t="b">
        <v>0</v>
      </c>
      <c r="H1295" s="299" t="b">
        <v>0</v>
      </c>
      <c r="J1295" s="113" t="str">
        <f t="shared" si="41"/>
        <v>982258579</v>
      </c>
      <c r="K1295" s="113" t="str">
        <f t="shared" si="42"/>
        <v>CG01366</v>
      </c>
    </row>
    <row r="1296" spans="1:11" x14ac:dyDescent="0.3">
      <c r="A1296" s="298" t="s">
        <v>4556</v>
      </c>
      <c r="B1296" s="298" t="s">
        <v>4557</v>
      </c>
      <c r="C1296" s="298" t="s">
        <v>4558</v>
      </c>
      <c r="D1296" s="298" t="s">
        <v>256</v>
      </c>
      <c r="E1296" s="298"/>
      <c r="F1296" s="298" t="s">
        <v>4559</v>
      </c>
      <c r="G1296" s="299" t="b">
        <v>0</v>
      </c>
      <c r="H1296" s="299" t="b">
        <v>0</v>
      </c>
      <c r="J1296" s="113" t="str">
        <f t="shared" si="41"/>
        <v>844328889</v>
      </c>
      <c r="K1296" s="113" t="str">
        <f t="shared" si="42"/>
        <v>CG01367</v>
      </c>
    </row>
    <row r="1297" spans="1:11" x14ac:dyDescent="0.3">
      <c r="A1297" s="298" t="s">
        <v>4560</v>
      </c>
      <c r="B1297" s="298" t="s">
        <v>4561</v>
      </c>
      <c r="C1297" s="298" t="s">
        <v>452</v>
      </c>
      <c r="D1297" s="298" t="s">
        <v>256</v>
      </c>
      <c r="E1297" s="298"/>
      <c r="F1297" s="298" t="s">
        <v>4562</v>
      </c>
      <c r="G1297" s="299" t="b">
        <v>0</v>
      </c>
      <c r="H1297" s="299" t="b">
        <v>0</v>
      </c>
      <c r="J1297" s="113" t="str">
        <f t="shared" si="41"/>
        <v>902015189</v>
      </c>
      <c r="K1297" s="113" t="str">
        <f t="shared" si="42"/>
        <v>CG01368</v>
      </c>
    </row>
    <row r="1298" spans="1:11" x14ac:dyDescent="0.3">
      <c r="A1298" s="298" t="s">
        <v>4563</v>
      </c>
      <c r="B1298" s="298" t="s">
        <v>4564</v>
      </c>
      <c r="C1298" s="298" t="s">
        <v>1587</v>
      </c>
      <c r="D1298" s="298" t="s">
        <v>256</v>
      </c>
      <c r="E1298" s="298"/>
      <c r="F1298" s="298" t="s">
        <v>4565</v>
      </c>
      <c r="G1298" s="299" t="b">
        <v>0</v>
      </c>
      <c r="H1298" s="299" t="b">
        <v>0</v>
      </c>
      <c r="J1298" s="113" t="str">
        <f t="shared" si="41"/>
        <v>963105568</v>
      </c>
      <c r="K1298" s="113" t="str">
        <f t="shared" si="42"/>
        <v>CG01369</v>
      </c>
    </row>
    <row r="1299" spans="1:11" x14ac:dyDescent="0.3">
      <c r="A1299" s="298" t="s">
        <v>4566</v>
      </c>
      <c r="B1299" s="298" t="s">
        <v>4567</v>
      </c>
      <c r="C1299" s="298" t="s">
        <v>693</v>
      </c>
      <c r="D1299" s="298" t="s">
        <v>256</v>
      </c>
      <c r="E1299" s="298"/>
      <c r="F1299" s="298" t="s">
        <v>4568</v>
      </c>
      <c r="G1299" s="299" t="b">
        <v>0</v>
      </c>
      <c r="H1299" s="299" t="b">
        <v>0</v>
      </c>
      <c r="J1299" s="113" t="str">
        <f t="shared" si="41"/>
        <v>978321701</v>
      </c>
      <c r="K1299" s="113" t="str">
        <f t="shared" si="42"/>
        <v>CG01370</v>
      </c>
    </row>
    <row r="1300" spans="1:11" x14ac:dyDescent="0.3">
      <c r="A1300" s="298" t="s">
        <v>4569</v>
      </c>
      <c r="B1300" s="298" t="s">
        <v>4570</v>
      </c>
      <c r="C1300" s="298" t="s">
        <v>2713</v>
      </c>
      <c r="D1300" s="298" t="s">
        <v>256</v>
      </c>
      <c r="E1300" s="298"/>
      <c r="F1300" s="298" t="s">
        <v>4571</v>
      </c>
      <c r="G1300" s="299" t="b">
        <v>0</v>
      </c>
      <c r="H1300" s="299" t="b">
        <v>0</v>
      </c>
      <c r="J1300" s="113" t="str">
        <f t="shared" si="41"/>
        <v>934509586</v>
      </c>
      <c r="K1300" s="113" t="str">
        <f t="shared" si="42"/>
        <v>CG01371</v>
      </c>
    </row>
    <row r="1301" spans="1:11" x14ac:dyDescent="0.3">
      <c r="A1301" s="298" t="s">
        <v>4572</v>
      </c>
      <c r="B1301" s="298" t="s">
        <v>4573</v>
      </c>
      <c r="C1301" s="298" t="s">
        <v>230</v>
      </c>
      <c r="D1301" s="298" t="s">
        <v>256</v>
      </c>
      <c r="E1301" s="298"/>
      <c r="F1301" s="298" t="s">
        <v>4574</v>
      </c>
      <c r="G1301" s="299" t="b">
        <v>0</v>
      </c>
      <c r="H1301" s="299" t="b">
        <v>0</v>
      </c>
      <c r="J1301" s="113" t="str">
        <f t="shared" si="41"/>
        <v>948853786</v>
      </c>
      <c r="K1301" s="113" t="str">
        <f t="shared" si="42"/>
        <v>CG01372</v>
      </c>
    </row>
    <row r="1302" spans="1:11" x14ac:dyDescent="0.3">
      <c r="A1302" s="298" t="s">
        <v>4575</v>
      </c>
      <c r="B1302" s="298" t="s">
        <v>4576</v>
      </c>
      <c r="C1302" s="298" t="s">
        <v>226</v>
      </c>
      <c r="D1302" s="298" t="s">
        <v>256</v>
      </c>
      <c r="E1302" s="298"/>
      <c r="F1302" s="298" t="s">
        <v>4577</v>
      </c>
      <c r="G1302" s="299" t="b">
        <v>0</v>
      </c>
      <c r="H1302" s="299" t="b">
        <v>0</v>
      </c>
      <c r="J1302" s="113" t="str">
        <f t="shared" si="41"/>
        <v>902055165</v>
      </c>
      <c r="K1302" s="113" t="str">
        <f t="shared" si="42"/>
        <v>CG01373</v>
      </c>
    </row>
    <row r="1303" spans="1:11" x14ac:dyDescent="0.3">
      <c r="A1303" s="298" t="s">
        <v>4578</v>
      </c>
      <c r="B1303" s="298" t="s">
        <v>4579</v>
      </c>
      <c r="C1303" s="298" t="s">
        <v>416</v>
      </c>
      <c r="D1303" s="298" t="s">
        <v>256</v>
      </c>
      <c r="E1303" s="298"/>
      <c r="F1303" s="298" t="s">
        <v>4580</v>
      </c>
      <c r="G1303" s="299" t="b">
        <v>0</v>
      </c>
      <c r="H1303" s="299" t="b">
        <v>0</v>
      </c>
      <c r="J1303" s="113" t="str">
        <f t="shared" si="41"/>
        <v>389086633</v>
      </c>
      <c r="K1303" s="113" t="str">
        <f t="shared" si="42"/>
        <v>CG01374</v>
      </c>
    </row>
    <row r="1304" spans="1:11" x14ac:dyDescent="0.3">
      <c r="A1304" s="298" t="s">
        <v>4581</v>
      </c>
      <c r="B1304" s="298" t="s">
        <v>4582</v>
      </c>
      <c r="C1304" s="298" t="s">
        <v>1247</v>
      </c>
      <c r="D1304" s="298" t="s">
        <v>256</v>
      </c>
      <c r="E1304" s="298"/>
      <c r="F1304" s="298" t="s">
        <v>4583</v>
      </c>
      <c r="G1304" s="299" t="b">
        <v>0</v>
      </c>
      <c r="H1304" s="299" t="b">
        <v>0</v>
      </c>
      <c r="J1304" s="113" t="str">
        <f t="shared" si="41"/>
        <v>375096435</v>
      </c>
      <c r="K1304" s="113" t="str">
        <f t="shared" si="42"/>
        <v>CG01375</v>
      </c>
    </row>
    <row r="1305" spans="1:11" x14ac:dyDescent="0.3">
      <c r="A1305" s="298" t="s">
        <v>4584</v>
      </c>
      <c r="B1305" s="298" t="s">
        <v>4585</v>
      </c>
      <c r="C1305" s="298" t="s">
        <v>4586</v>
      </c>
      <c r="D1305" s="298" t="s">
        <v>256</v>
      </c>
      <c r="E1305" s="298"/>
      <c r="F1305" s="298" t="s">
        <v>4587</v>
      </c>
      <c r="G1305" s="299" t="b">
        <v>0</v>
      </c>
      <c r="H1305" s="299" t="b">
        <v>0</v>
      </c>
      <c r="J1305" s="113" t="str">
        <f t="shared" si="41"/>
        <v>913459257</v>
      </c>
      <c r="K1305" s="113" t="str">
        <f t="shared" si="42"/>
        <v>CG01376</v>
      </c>
    </row>
    <row r="1306" spans="1:11" x14ac:dyDescent="0.3">
      <c r="A1306" s="298" t="s">
        <v>4588</v>
      </c>
      <c r="B1306" s="298" t="s">
        <v>4589</v>
      </c>
      <c r="C1306" s="298" t="s">
        <v>289</v>
      </c>
      <c r="D1306" s="298" t="s">
        <v>256</v>
      </c>
      <c r="E1306" s="298"/>
      <c r="F1306" s="298" t="s">
        <v>4590</v>
      </c>
      <c r="G1306" s="299" t="b">
        <v>0</v>
      </c>
      <c r="H1306" s="299" t="b">
        <v>0</v>
      </c>
      <c r="J1306" s="113" t="str">
        <f t="shared" si="41"/>
        <v>914405965</v>
      </c>
      <c r="K1306" s="113" t="str">
        <f t="shared" si="42"/>
        <v>CG01377</v>
      </c>
    </row>
    <row r="1307" spans="1:11" x14ac:dyDescent="0.3">
      <c r="A1307" s="298" t="s">
        <v>4591</v>
      </c>
      <c r="B1307" s="298" t="s">
        <v>4592</v>
      </c>
      <c r="C1307" s="298" t="s">
        <v>286</v>
      </c>
      <c r="D1307" s="298" t="s">
        <v>256</v>
      </c>
      <c r="E1307" s="298"/>
      <c r="F1307" s="298" t="s">
        <v>4593</v>
      </c>
      <c r="G1307" s="299" t="b">
        <v>0</v>
      </c>
      <c r="H1307" s="299" t="b">
        <v>0</v>
      </c>
      <c r="J1307" s="113" t="str">
        <f t="shared" si="41"/>
        <v>368682232</v>
      </c>
      <c r="K1307" s="113" t="str">
        <f t="shared" si="42"/>
        <v>CG01378</v>
      </c>
    </row>
    <row r="1308" spans="1:11" x14ac:dyDescent="0.3">
      <c r="A1308" s="298" t="s">
        <v>4594</v>
      </c>
      <c r="B1308" s="298" t="s">
        <v>4595</v>
      </c>
      <c r="C1308" s="298" t="s">
        <v>711</v>
      </c>
      <c r="D1308" s="298" t="s">
        <v>256</v>
      </c>
      <c r="E1308" s="298"/>
      <c r="F1308" s="298" t="s">
        <v>4596</v>
      </c>
      <c r="G1308" s="299" t="b">
        <v>0</v>
      </c>
      <c r="H1308" s="299" t="b">
        <v>0</v>
      </c>
      <c r="J1308" s="113" t="str">
        <f t="shared" si="41"/>
        <v>978818899</v>
      </c>
      <c r="K1308" s="113" t="str">
        <f t="shared" si="42"/>
        <v>CG01379</v>
      </c>
    </row>
    <row r="1309" spans="1:11" x14ac:dyDescent="0.3">
      <c r="A1309" s="298" t="s">
        <v>4597</v>
      </c>
      <c r="B1309" s="298" t="s">
        <v>4598</v>
      </c>
      <c r="C1309" s="298" t="s">
        <v>2412</v>
      </c>
      <c r="D1309" s="298" t="s">
        <v>256</v>
      </c>
      <c r="E1309" s="298"/>
      <c r="F1309" s="298" t="s">
        <v>4599</v>
      </c>
      <c r="G1309" s="299" t="b">
        <v>0</v>
      </c>
      <c r="H1309" s="299" t="b">
        <v>0</v>
      </c>
      <c r="J1309" s="113" t="str">
        <f t="shared" si="41"/>
        <v>942801612</v>
      </c>
      <c r="K1309" s="113" t="str">
        <f t="shared" si="42"/>
        <v>CG01380</v>
      </c>
    </row>
    <row r="1310" spans="1:11" x14ac:dyDescent="0.3">
      <c r="A1310" s="298" t="s">
        <v>4600</v>
      </c>
      <c r="B1310" s="298" t="s">
        <v>4601</v>
      </c>
      <c r="C1310" s="298" t="s">
        <v>332</v>
      </c>
      <c r="D1310" s="298" t="s">
        <v>256</v>
      </c>
      <c r="E1310" s="298"/>
      <c r="F1310" s="298" t="s">
        <v>4602</v>
      </c>
      <c r="G1310" s="299" t="b">
        <v>0</v>
      </c>
      <c r="H1310" s="299" t="b">
        <v>0</v>
      </c>
      <c r="J1310" s="113" t="str">
        <f t="shared" si="41"/>
        <v>912127301</v>
      </c>
      <c r="K1310" s="113" t="str">
        <f t="shared" si="42"/>
        <v>CG01381</v>
      </c>
    </row>
    <row r="1311" spans="1:11" x14ac:dyDescent="0.3">
      <c r="A1311" s="298" t="s">
        <v>4603</v>
      </c>
      <c r="B1311" s="298" t="s">
        <v>4604</v>
      </c>
      <c r="C1311" s="298" t="s">
        <v>286</v>
      </c>
      <c r="D1311" s="298" t="s">
        <v>256</v>
      </c>
      <c r="E1311" s="298"/>
      <c r="F1311" s="298" t="s">
        <v>4605</v>
      </c>
      <c r="G1311" s="299" t="b">
        <v>0</v>
      </c>
      <c r="H1311" s="299" t="b">
        <v>0</v>
      </c>
      <c r="J1311" s="113" t="str">
        <f t="shared" si="41"/>
        <v>973454892</v>
      </c>
      <c r="K1311" s="113" t="str">
        <f t="shared" si="42"/>
        <v>CG01382</v>
      </c>
    </row>
    <row r="1312" spans="1:11" x14ac:dyDescent="0.3">
      <c r="A1312" s="298" t="s">
        <v>4606</v>
      </c>
      <c r="B1312" s="298" t="s">
        <v>4607</v>
      </c>
      <c r="C1312" s="298" t="s">
        <v>4608</v>
      </c>
      <c r="D1312" s="298" t="s">
        <v>256</v>
      </c>
      <c r="E1312" s="298"/>
      <c r="F1312" s="298" t="s">
        <v>4609</v>
      </c>
      <c r="G1312" s="299" t="b">
        <v>0</v>
      </c>
      <c r="H1312" s="299" t="b">
        <v>0</v>
      </c>
      <c r="J1312" s="113" t="str">
        <f t="shared" si="41"/>
        <v>936123707</v>
      </c>
      <c r="K1312" s="113" t="str">
        <f t="shared" si="42"/>
        <v>CG01383</v>
      </c>
    </row>
    <row r="1313" spans="1:11" x14ac:dyDescent="0.3">
      <c r="A1313" s="298" t="s">
        <v>4610</v>
      </c>
      <c r="B1313" s="298" t="s">
        <v>4611</v>
      </c>
      <c r="C1313" s="298" t="s">
        <v>309</v>
      </c>
      <c r="D1313" s="298" t="s">
        <v>256</v>
      </c>
      <c r="E1313" s="298"/>
      <c r="F1313" s="298" t="s">
        <v>4612</v>
      </c>
      <c r="G1313" s="299" t="b">
        <v>0</v>
      </c>
      <c r="H1313" s="299" t="b">
        <v>0</v>
      </c>
      <c r="J1313" s="113" t="str">
        <f t="shared" si="41"/>
        <v>964981570</v>
      </c>
      <c r="K1313" s="113" t="str">
        <f t="shared" si="42"/>
        <v>CG01384</v>
      </c>
    </row>
    <row r="1314" spans="1:11" x14ac:dyDescent="0.3">
      <c r="A1314" s="298" t="s">
        <v>4613</v>
      </c>
      <c r="B1314" s="298" t="s">
        <v>4614</v>
      </c>
      <c r="C1314" s="298" t="s">
        <v>230</v>
      </c>
      <c r="D1314" s="298" t="s">
        <v>256</v>
      </c>
      <c r="E1314" s="298"/>
      <c r="F1314" s="298" t="s">
        <v>4615</v>
      </c>
      <c r="G1314" s="299" t="b">
        <v>0</v>
      </c>
      <c r="H1314" s="299" t="b">
        <v>0</v>
      </c>
      <c r="J1314" s="113" t="str">
        <f t="shared" si="41"/>
        <v>987564854</v>
      </c>
      <c r="K1314" s="113" t="str">
        <f t="shared" si="42"/>
        <v>CG01385</v>
      </c>
    </row>
    <row r="1315" spans="1:11" x14ac:dyDescent="0.3">
      <c r="A1315" s="298" t="s">
        <v>4616</v>
      </c>
      <c r="B1315" s="298" t="s">
        <v>4617</v>
      </c>
      <c r="C1315" s="298" t="s">
        <v>355</v>
      </c>
      <c r="D1315" s="298" t="s">
        <v>256</v>
      </c>
      <c r="E1315" s="298"/>
      <c r="F1315" s="298" t="s">
        <v>4618</v>
      </c>
      <c r="G1315" s="299" t="b">
        <v>0</v>
      </c>
      <c r="H1315" s="299" t="b">
        <v>0</v>
      </c>
      <c r="J1315" s="113" t="str">
        <f t="shared" si="41"/>
        <v>913534020</v>
      </c>
      <c r="K1315" s="113" t="str">
        <f t="shared" si="42"/>
        <v>CG01386</v>
      </c>
    </row>
    <row r="1316" spans="1:11" x14ac:dyDescent="0.3">
      <c r="A1316" s="298" t="s">
        <v>4619</v>
      </c>
      <c r="B1316" s="298" t="s">
        <v>4620</v>
      </c>
      <c r="C1316" s="298" t="s">
        <v>375</v>
      </c>
      <c r="D1316" s="298" t="s">
        <v>256</v>
      </c>
      <c r="E1316" s="298"/>
      <c r="F1316" s="298" t="s">
        <v>4621</v>
      </c>
      <c r="G1316" s="299" t="b">
        <v>0</v>
      </c>
      <c r="H1316" s="299" t="b">
        <v>0</v>
      </c>
      <c r="J1316" s="113" t="str">
        <f t="shared" si="41"/>
        <v>931381368</v>
      </c>
      <c r="K1316" s="113" t="str">
        <f t="shared" si="42"/>
        <v>CG01387</v>
      </c>
    </row>
    <row r="1317" spans="1:11" x14ac:dyDescent="0.3">
      <c r="A1317" s="298" t="s">
        <v>4622</v>
      </c>
      <c r="B1317" s="298" t="s">
        <v>4623</v>
      </c>
      <c r="C1317" s="298" t="s">
        <v>4624</v>
      </c>
      <c r="D1317" s="298" t="s">
        <v>256</v>
      </c>
      <c r="E1317" s="298"/>
      <c r="F1317" s="298" t="s">
        <v>4625</v>
      </c>
      <c r="G1317" s="299" t="b">
        <v>0</v>
      </c>
      <c r="H1317" s="299" t="b">
        <v>0</v>
      </c>
      <c r="J1317" s="113" t="str">
        <f t="shared" si="41"/>
        <v>987812973</v>
      </c>
      <c r="K1317" s="113" t="str">
        <f t="shared" si="42"/>
        <v>CG01388</v>
      </c>
    </row>
    <row r="1318" spans="1:11" x14ac:dyDescent="0.3">
      <c r="A1318" s="298" t="s">
        <v>4626</v>
      </c>
      <c r="B1318" s="298" t="s">
        <v>4627</v>
      </c>
      <c r="C1318" s="298" t="s">
        <v>230</v>
      </c>
      <c r="D1318" s="298" t="s">
        <v>256</v>
      </c>
      <c r="E1318" s="298"/>
      <c r="F1318" s="298" t="s">
        <v>4628</v>
      </c>
      <c r="G1318" s="299" t="b">
        <v>0</v>
      </c>
      <c r="H1318" s="299" t="b">
        <v>0</v>
      </c>
      <c r="J1318" s="113" t="str">
        <f t="shared" si="41"/>
        <v>942374000</v>
      </c>
      <c r="K1318" s="113" t="str">
        <f t="shared" si="42"/>
        <v>CG01389</v>
      </c>
    </row>
    <row r="1319" spans="1:11" x14ac:dyDescent="0.3">
      <c r="A1319" s="298" t="s">
        <v>4629</v>
      </c>
      <c r="B1319" s="298" t="s">
        <v>4630</v>
      </c>
      <c r="C1319" s="298" t="s">
        <v>892</v>
      </c>
      <c r="D1319" s="298" t="s">
        <v>256</v>
      </c>
      <c r="E1319" s="298"/>
      <c r="F1319" s="298" t="s">
        <v>4631</v>
      </c>
      <c r="G1319" s="299" t="b">
        <v>0</v>
      </c>
      <c r="H1319" s="299" t="b">
        <v>0</v>
      </c>
      <c r="J1319" s="113" t="str">
        <f t="shared" si="41"/>
        <v>986460344</v>
      </c>
      <c r="K1319" s="113" t="str">
        <f t="shared" si="42"/>
        <v>CG01390</v>
      </c>
    </row>
    <row r="1320" spans="1:11" x14ac:dyDescent="0.3">
      <c r="A1320" s="298" t="s">
        <v>4632</v>
      </c>
      <c r="B1320" s="298" t="s">
        <v>4633</v>
      </c>
      <c r="C1320" s="298" t="s">
        <v>1173</v>
      </c>
      <c r="D1320" s="298" t="s">
        <v>256</v>
      </c>
      <c r="E1320" s="298"/>
      <c r="F1320" s="298" t="s">
        <v>4634</v>
      </c>
      <c r="G1320" s="299" t="b">
        <v>0</v>
      </c>
      <c r="H1320" s="299" t="b">
        <v>0</v>
      </c>
      <c r="J1320" s="113" t="str">
        <f t="shared" si="41"/>
        <v>393920677</v>
      </c>
      <c r="K1320" s="113" t="str">
        <f t="shared" si="42"/>
        <v>CG01391</v>
      </c>
    </row>
    <row r="1321" spans="1:11" x14ac:dyDescent="0.3">
      <c r="A1321" s="298" t="s">
        <v>4635</v>
      </c>
      <c r="B1321" s="298" t="s">
        <v>4636</v>
      </c>
      <c r="C1321" s="298" t="s">
        <v>500</v>
      </c>
      <c r="D1321" s="298" t="s">
        <v>256</v>
      </c>
      <c r="E1321" s="298"/>
      <c r="F1321" s="298" t="s">
        <v>4637</v>
      </c>
      <c r="G1321" s="299" t="b">
        <v>0</v>
      </c>
      <c r="H1321" s="299" t="b">
        <v>0</v>
      </c>
      <c r="J1321" s="113" t="str">
        <f t="shared" si="41"/>
        <v>988097457</v>
      </c>
      <c r="K1321" s="113" t="str">
        <f t="shared" si="42"/>
        <v>CG01392</v>
      </c>
    </row>
    <row r="1322" spans="1:11" x14ac:dyDescent="0.3">
      <c r="A1322" s="298" t="s">
        <v>4638</v>
      </c>
      <c r="B1322" s="298" t="s">
        <v>4639</v>
      </c>
      <c r="C1322" s="298" t="s">
        <v>1247</v>
      </c>
      <c r="D1322" s="298" t="s">
        <v>256</v>
      </c>
      <c r="E1322" s="298"/>
      <c r="F1322" s="298" t="s">
        <v>4640</v>
      </c>
      <c r="G1322" s="299" t="b">
        <v>0</v>
      </c>
      <c r="H1322" s="299" t="b">
        <v>0</v>
      </c>
      <c r="J1322" s="113" t="str">
        <f t="shared" si="41"/>
        <v>974336738</v>
      </c>
      <c r="K1322" s="113" t="str">
        <f t="shared" si="42"/>
        <v>CG01393</v>
      </c>
    </row>
    <row r="1323" spans="1:11" x14ac:dyDescent="0.3">
      <c r="A1323" s="298" t="s">
        <v>4641</v>
      </c>
      <c r="B1323" s="298" t="s">
        <v>4642</v>
      </c>
      <c r="C1323" s="298" t="s">
        <v>2412</v>
      </c>
      <c r="D1323" s="298" t="s">
        <v>256</v>
      </c>
      <c r="E1323" s="298"/>
      <c r="F1323" s="298" t="s">
        <v>4643</v>
      </c>
      <c r="G1323" s="299" t="b">
        <v>0</v>
      </c>
      <c r="H1323" s="299" t="b">
        <v>0</v>
      </c>
      <c r="J1323" s="113" t="str">
        <f t="shared" si="41"/>
        <v>945637217</v>
      </c>
      <c r="K1323" s="113" t="str">
        <f t="shared" si="42"/>
        <v>CG01394</v>
      </c>
    </row>
    <row r="1324" spans="1:11" x14ac:dyDescent="0.3">
      <c r="A1324" s="298" t="s">
        <v>4644</v>
      </c>
      <c r="B1324" s="298" t="s">
        <v>4645</v>
      </c>
      <c r="C1324" s="298" t="s">
        <v>613</v>
      </c>
      <c r="D1324" s="298" t="s">
        <v>256</v>
      </c>
      <c r="E1324" s="298"/>
      <c r="F1324" s="298" t="s">
        <v>4646</v>
      </c>
      <c r="G1324" s="299" t="b">
        <v>0</v>
      </c>
      <c r="H1324" s="299" t="b">
        <v>0</v>
      </c>
      <c r="J1324" s="113" t="str">
        <f t="shared" si="41"/>
        <v>903475168</v>
      </c>
      <c r="K1324" s="113" t="str">
        <f t="shared" si="42"/>
        <v>CG01395</v>
      </c>
    </row>
    <row r="1325" spans="1:11" x14ac:dyDescent="0.3">
      <c r="A1325" s="298" t="s">
        <v>4647</v>
      </c>
      <c r="B1325" s="298" t="s">
        <v>4648</v>
      </c>
      <c r="C1325" s="298" t="s">
        <v>1196</v>
      </c>
      <c r="D1325" s="298" t="s">
        <v>256</v>
      </c>
      <c r="E1325" s="298"/>
      <c r="F1325" s="298" t="s">
        <v>4649</v>
      </c>
      <c r="G1325" s="299" t="b">
        <v>0</v>
      </c>
      <c r="H1325" s="299" t="b">
        <v>0</v>
      </c>
      <c r="J1325" s="113" t="str">
        <f t="shared" si="41"/>
        <v>974377676</v>
      </c>
      <c r="K1325" s="113" t="str">
        <f t="shared" si="42"/>
        <v>CG01396</v>
      </c>
    </row>
    <row r="1326" spans="1:11" x14ac:dyDescent="0.3">
      <c r="A1326" s="298" t="s">
        <v>4650</v>
      </c>
      <c r="B1326" s="298" t="s">
        <v>4651</v>
      </c>
      <c r="C1326" s="298" t="s">
        <v>226</v>
      </c>
      <c r="D1326" s="298" t="s">
        <v>256</v>
      </c>
      <c r="E1326" s="298"/>
      <c r="F1326" s="298" t="s">
        <v>4652</v>
      </c>
      <c r="G1326" s="299" t="b">
        <v>0</v>
      </c>
      <c r="H1326" s="299" t="b">
        <v>0</v>
      </c>
      <c r="J1326" s="113" t="str">
        <f t="shared" si="41"/>
        <v>363229999</v>
      </c>
      <c r="K1326" s="113" t="str">
        <f t="shared" si="42"/>
        <v>CG01397</v>
      </c>
    </row>
    <row r="1327" spans="1:11" x14ac:dyDescent="0.3">
      <c r="A1327" s="298" t="s">
        <v>4653</v>
      </c>
      <c r="B1327" s="298" t="s">
        <v>4654</v>
      </c>
      <c r="C1327" s="298" t="s">
        <v>506</v>
      </c>
      <c r="D1327" s="298" t="s">
        <v>256</v>
      </c>
      <c r="E1327" s="298"/>
      <c r="F1327" s="298" t="s">
        <v>4655</v>
      </c>
      <c r="G1327" s="299" t="b">
        <v>0</v>
      </c>
      <c r="H1327" s="299" t="b">
        <v>0</v>
      </c>
      <c r="J1327" s="113" t="str">
        <f t="shared" si="41"/>
        <v>962288605</v>
      </c>
      <c r="K1327" s="113" t="str">
        <f t="shared" si="42"/>
        <v>CG01398</v>
      </c>
    </row>
    <row r="1328" spans="1:11" x14ac:dyDescent="0.3">
      <c r="A1328" s="298" t="s">
        <v>4656</v>
      </c>
      <c r="B1328" s="298" t="s">
        <v>4657</v>
      </c>
      <c r="C1328" s="298" t="s">
        <v>1196</v>
      </c>
      <c r="D1328" s="298" t="s">
        <v>256</v>
      </c>
      <c r="E1328" s="298"/>
      <c r="F1328" s="298" t="s">
        <v>4658</v>
      </c>
      <c r="G1328" s="299" t="b">
        <v>0</v>
      </c>
      <c r="H1328" s="299" t="b">
        <v>0</v>
      </c>
      <c r="J1328" s="113" t="str">
        <f t="shared" si="41"/>
        <v>912337337</v>
      </c>
      <c r="K1328" s="113" t="str">
        <f t="shared" si="42"/>
        <v>CG01399</v>
      </c>
    </row>
    <row r="1329" spans="1:11" x14ac:dyDescent="0.3">
      <c r="A1329" s="298" t="s">
        <v>4659</v>
      </c>
      <c r="B1329" s="298" t="s">
        <v>4660</v>
      </c>
      <c r="C1329" s="298" t="s">
        <v>809</v>
      </c>
      <c r="D1329" s="298" t="s">
        <v>256</v>
      </c>
      <c r="E1329" s="298"/>
      <c r="F1329" s="298" t="s">
        <v>4661</v>
      </c>
      <c r="G1329" s="299" t="b">
        <v>0</v>
      </c>
      <c r="H1329" s="299" t="b">
        <v>0</v>
      </c>
      <c r="J1329" s="113" t="str">
        <f t="shared" si="41"/>
        <v>987535662</v>
      </c>
      <c r="K1329" s="113" t="str">
        <f t="shared" si="42"/>
        <v>CG01400</v>
      </c>
    </row>
    <row r="1330" spans="1:11" x14ac:dyDescent="0.3">
      <c r="A1330" s="298" t="s">
        <v>4662</v>
      </c>
      <c r="B1330" s="298" t="s">
        <v>4663</v>
      </c>
      <c r="C1330" s="298" t="s">
        <v>289</v>
      </c>
      <c r="D1330" s="298" t="s">
        <v>256</v>
      </c>
      <c r="E1330" s="298"/>
      <c r="F1330" s="298" t="s">
        <v>4664</v>
      </c>
      <c r="G1330" s="299" t="b">
        <v>0</v>
      </c>
      <c r="H1330" s="299" t="b">
        <v>0</v>
      </c>
      <c r="J1330" s="113" t="str">
        <f t="shared" si="41"/>
        <v>948586447</v>
      </c>
      <c r="K1330" s="113" t="str">
        <f t="shared" si="42"/>
        <v>CG01401</v>
      </c>
    </row>
    <row r="1331" spans="1:11" x14ac:dyDescent="0.3">
      <c r="A1331" s="298" t="s">
        <v>4665</v>
      </c>
      <c r="B1331" s="298" t="s">
        <v>4666</v>
      </c>
      <c r="C1331" s="298" t="s">
        <v>355</v>
      </c>
      <c r="D1331" s="298" t="s">
        <v>256</v>
      </c>
      <c r="E1331" s="298"/>
      <c r="F1331" s="298" t="s">
        <v>4667</v>
      </c>
      <c r="G1331" s="299" t="b">
        <v>0</v>
      </c>
      <c r="H1331" s="299" t="b">
        <v>0</v>
      </c>
      <c r="J1331" s="113" t="str">
        <f t="shared" si="41"/>
        <v>962616666</v>
      </c>
      <c r="K1331" s="113" t="str">
        <f t="shared" si="42"/>
        <v>CG01402</v>
      </c>
    </row>
    <row r="1332" spans="1:11" x14ac:dyDescent="0.3">
      <c r="A1332" s="298" t="s">
        <v>4668</v>
      </c>
      <c r="B1332" s="298" t="s">
        <v>4669</v>
      </c>
      <c r="C1332" s="298" t="s">
        <v>289</v>
      </c>
      <c r="D1332" s="298" t="s">
        <v>256</v>
      </c>
      <c r="E1332" s="298"/>
      <c r="F1332" s="298" t="s">
        <v>4670</v>
      </c>
      <c r="G1332" s="299" t="b">
        <v>0</v>
      </c>
      <c r="H1332" s="299" t="b">
        <v>0</v>
      </c>
      <c r="J1332" s="113" t="str">
        <f t="shared" si="41"/>
        <v>913203535</v>
      </c>
      <c r="K1332" s="113" t="str">
        <f t="shared" si="42"/>
        <v>CG01403</v>
      </c>
    </row>
    <row r="1333" spans="1:11" x14ac:dyDescent="0.3">
      <c r="A1333" s="298" t="s">
        <v>4671</v>
      </c>
      <c r="B1333" s="298" t="s">
        <v>4672</v>
      </c>
      <c r="C1333" s="298" t="s">
        <v>328</v>
      </c>
      <c r="D1333" s="298" t="s">
        <v>256</v>
      </c>
      <c r="E1333" s="298"/>
      <c r="F1333" s="298" t="s">
        <v>4673</v>
      </c>
      <c r="G1333" s="299" t="b">
        <v>0</v>
      </c>
      <c r="H1333" s="299" t="b">
        <v>0</v>
      </c>
      <c r="J1333" s="113" t="str">
        <f t="shared" si="41"/>
        <v>356769450</v>
      </c>
      <c r="K1333" s="113" t="str">
        <f t="shared" si="42"/>
        <v>CG01404</v>
      </c>
    </row>
    <row r="1334" spans="1:11" x14ac:dyDescent="0.3">
      <c r="A1334" s="298" t="s">
        <v>4674</v>
      </c>
      <c r="B1334" s="298" t="s">
        <v>4675</v>
      </c>
      <c r="C1334" s="298" t="s">
        <v>4676</v>
      </c>
      <c r="D1334" s="298" t="s">
        <v>256</v>
      </c>
      <c r="E1334" s="298"/>
      <c r="F1334" s="298" t="s">
        <v>4677</v>
      </c>
      <c r="G1334" s="299" t="b">
        <v>0</v>
      </c>
      <c r="H1334" s="299" t="b">
        <v>0</v>
      </c>
      <c r="J1334" s="113" t="str">
        <f t="shared" si="41"/>
        <v>985211163</v>
      </c>
      <c r="K1334" s="113" t="str">
        <f t="shared" si="42"/>
        <v>CG01405</v>
      </c>
    </row>
    <row r="1335" spans="1:11" x14ac:dyDescent="0.3">
      <c r="A1335" s="298" t="s">
        <v>4678</v>
      </c>
      <c r="B1335" s="298" t="s">
        <v>4679</v>
      </c>
      <c r="C1335" s="298" t="s">
        <v>541</v>
      </c>
      <c r="D1335" s="298" t="s">
        <v>256</v>
      </c>
      <c r="E1335" s="298"/>
      <c r="F1335" s="298" t="s">
        <v>4680</v>
      </c>
      <c r="G1335" s="299" t="b">
        <v>0</v>
      </c>
      <c r="H1335" s="299" t="b">
        <v>0</v>
      </c>
      <c r="J1335" s="113" t="str">
        <f t="shared" si="41"/>
        <v>981472698</v>
      </c>
      <c r="K1335" s="113" t="str">
        <f t="shared" si="42"/>
        <v>CG01406</v>
      </c>
    </row>
    <row r="1336" spans="1:11" x14ac:dyDescent="0.3">
      <c r="A1336" s="298" t="s">
        <v>4681</v>
      </c>
      <c r="B1336" s="298" t="s">
        <v>4682</v>
      </c>
      <c r="C1336" s="298" t="s">
        <v>718</v>
      </c>
      <c r="D1336" s="298" t="s">
        <v>256</v>
      </c>
      <c r="E1336" s="298"/>
      <c r="F1336" s="298" t="s">
        <v>4683</v>
      </c>
      <c r="G1336" s="299" t="b">
        <v>0</v>
      </c>
      <c r="H1336" s="299" t="b">
        <v>0</v>
      </c>
      <c r="J1336" s="113" t="str">
        <f t="shared" si="41"/>
        <v>917003913</v>
      </c>
      <c r="K1336" s="113" t="str">
        <f t="shared" si="42"/>
        <v>CG01407</v>
      </c>
    </row>
    <row r="1337" spans="1:11" x14ac:dyDescent="0.3">
      <c r="A1337" s="298" t="s">
        <v>4684</v>
      </c>
      <c r="B1337" s="298" t="s">
        <v>4685</v>
      </c>
      <c r="C1337" s="298" t="s">
        <v>452</v>
      </c>
      <c r="D1337" s="298" t="s">
        <v>256</v>
      </c>
      <c r="E1337" s="298"/>
      <c r="F1337" s="298" t="s">
        <v>4686</v>
      </c>
      <c r="G1337" s="299" t="b">
        <v>0</v>
      </c>
      <c r="H1337" s="299" t="b">
        <v>0</v>
      </c>
      <c r="J1337" s="113" t="str">
        <f t="shared" si="41"/>
        <v>936897599</v>
      </c>
      <c r="K1337" s="113" t="str">
        <f t="shared" si="42"/>
        <v>CG01408</v>
      </c>
    </row>
    <row r="1338" spans="1:11" x14ac:dyDescent="0.3">
      <c r="A1338" s="298" t="s">
        <v>4687</v>
      </c>
      <c r="B1338" s="298" t="s">
        <v>4688</v>
      </c>
      <c r="C1338" s="298" t="s">
        <v>317</v>
      </c>
      <c r="D1338" s="298" t="s">
        <v>256</v>
      </c>
      <c r="E1338" s="298"/>
      <c r="F1338" s="298" t="s">
        <v>4689</v>
      </c>
      <c r="G1338" s="299" t="b">
        <v>0</v>
      </c>
      <c r="H1338" s="299" t="b">
        <v>0</v>
      </c>
      <c r="J1338" s="113" t="str">
        <f t="shared" si="41"/>
        <v>912371585</v>
      </c>
      <c r="K1338" s="113" t="str">
        <f t="shared" si="42"/>
        <v>CG01409</v>
      </c>
    </row>
    <row r="1339" spans="1:11" x14ac:dyDescent="0.3">
      <c r="A1339" s="298" t="s">
        <v>4690</v>
      </c>
      <c r="B1339" s="298" t="s">
        <v>4691</v>
      </c>
      <c r="C1339" s="298" t="s">
        <v>2458</v>
      </c>
      <c r="D1339" s="298" t="s">
        <v>256</v>
      </c>
      <c r="E1339" s="298"/>
      <c r="F1339" s="298" t="s">
        <v>4692</v>
      </c>
      <c r="G1339" s="299" t="b">
        <v>0</v>
      </c>
      <c r="H1339" s="299" t="b">
        <v>0</v>
      </c>
      <c r="J1339" s="113" t="str">
        <f t="shared" si="41"/>
        <v>912283455</v>
      </c>
      <c r="K1339" s="113" t="str">
        <f t="shared" si="42"/>
        <v>CG01410</v>
      </c>
    </row>
    <row r="1340" spans="1:11" x14ac:dyDescent="0.3">
      <c r="A1340" s="298" t="s">
        <v>4693</v>
      </c>
      <c r="B1340" s="298" t="s">
        <v>14672</v>
      </c>
      <c r="C1340" s="298" t="s">
        <v>13301</v>
      </c>
      <c r="D1340" s="298" t="s">
        <v>256</v>
      </c>
      <c r="E1340" s="298"/>
      <c r="F1340" s="298" t="s">
        <v>4694</v>
      </c>
      <c r="G1340" s="299" t="b">
        <v>0</v>
      </c>
      <c r="H1340" s="299" t="b">
        <v>0</v>
      </c>
      <c r="J1340" s="113" t="str">
        <f t="shared" si="41"/>
        <v>972678883</v>
      </c>
      <c r="K1340" s="113" t="str">
        <f t="shared" si="42"/>
        <v>CG01411</v>
      </c>
    </row>
    <row r="1341" spans="1:11" x14ac:dyDescent="0.3">
      <c r="A1341" s="298" t="s">
        <v>4695</v>
      </c>
      <c r="B1341" s="298" t="s">
        <v>4696</v>
      </c>
      <c r="C1341" s="298" t="s">
        <v>4697</v>
      </c>
      <c r="D1341" s="298" t="s">
        <v>256</v>
      </c>
      <c r="E1341" s="298"/>
      <c r="F1341" s="298" t="s">
        <v>4698</v>
      </c>
      <c r="G1341" s="299" t="b">
        <v>0</v>
      </c>
      <c r="H1341" s="299" t="b">
        <v>0</v>
      </c>
      <c r="J1341" s="113" t="str">
        <f t="shared" si="41"/>
        <v>913960789</v>
      </c>
      <c r="K1341" s="113" t="str">
        <f t="shared" si="42"/>
        <v>CG01412</v>
      </c>
    </row>
    <row r="1342" spans="1:11" x14ac:dyDescent="0.3">
      <c r="A1342" s="298" t="s">
        <v>4699</v>
      </c>
      <c r="B1342" s="298" t="s">
        <v>4700</v>
      </c>
      <c r="C1342" s="298" t="s">
        <v>1196</v>
      </c>
      <c r="D1342" s="298" t="s">
        <v>256</v>
      </c>
      <c r="E1342" s="298"/>
      <c r="F1342" s="298" t="s">
        <v>4701</v>
      </c>
      <c r="G1342" s="299" t="b">
        <v>0</v>
      </c>
      <c r="H1342" s="299" t="b">
        <v>0</v>
      </c>
      <c r="J1342" s="113" t="str">
        <f t="shared" si="41"/>
        <v>979713613</v>
      </c>
      <c r="K1342" s="113" t="str">
        <f t="shared" si="42"/>
        <v>CG01413</v>
      </c>
    </row>
    <row r="1343" spans="1:11" x14ac:dyDescent="0.3">
      <c r="A1343" s="298" t="s">
        <v>4702</v>
      </c>
      <c r="B1343" s="298" t="s">
        <v>4703</v>
      </c>
      <c r="C1343" s="298" t="s">
        <v>3451</v>
      </c>
      <c r="D1343" s="298" t="s">
        <v>256</v>
      </c>
      <c r="E1343" s="298"/>
      <c r="F1343" s="298" t="s">
        <v>4704</v>
      </c>
      <c r="G1343" s="299" t="b">
        <v>0</v>
      </c>
      <c r="H1343" s="299" t="b">
        <v>0</v>
      </c>
      <c r="J1343" s="113" t="str">
        <f t="shared" si="41"/>
        <v>989498989</v>
      </c>
      <c r="K1343" s="113" t="str">
        <f t="shared" si="42"/>
        <v>CG01414</v>
      </c>
    </row>
    <row r="1344" spans="1:11" x14ac:dyDescent="0.3">
      <c r="A1344" s="298" t="s">
        <v>4705</v>
      </c>
      <c r="B1344" s="298" t="s">
        <v>4706</v>
      </c>
      <c r="C1344" s="298" t="s">
        <v>289</v>
      </c>
      <c r="D1344" s="298" t="s">
        <v>256</v>
      </c>
      <c r="E1344" s="298"/>
      <c r="F1344" s="298" t="s">
        <v>4707</v>
      </c>
      <c r="G1344" s="299" t="b">
        <v>0</v>
      </c>
      <c r="H1344" s="299" t="b">
        <v>0</v>
      </c>
      <c r="J1344" s="113" t="str">
        <f t="shared" si="41"/>
        <v>944673598</v>
      </c>
      <c r="K1344" s="113" t="str">
        <f t="shared" si="42"/>
        <v>CG01415</v>
      </c>
    </row>
    <row r="1345" spans="1:11" x14ac:dyDescent="0.3">
      <c r="A1345" s="298" t="s">
        <v>4708</v>
      </c>
      <c r="B1345" s="298" t="s">
        <v>4709</v>
      </c>
      <c r="C1345" s="298" t="s">
        <v>4710</v>
      </c>
      <c r="D1345" s="298" t="s">
        <v>256</v>
      </c>
      <c r="E1345" s="298"/>
      <c r="F1345" s="298" t="s">
        <v>4711</v>
      </c>
      <c r="G1345" s="299" t="b">
        <v>0</v>
      </c>
      <c r="H1345" s="299" t="b">
        <v>0</v>
      </c>
      <c r="J1345" s="113" t="str">
        <f t="shared" si="41"/>
        <v>944537317</v>
      </c>
      <c r="K1345" s="113" t="str">
        <f t="shared" si="42"/>
        <v>CG01416</v>
      </c>
    </row>
    <row r="1346" spans="1:11" x14ac:dyDescent="0.3">
      <c r="A1346" s="298" t="s">
        <v>4712</v>
      </c>
      <c r="B1346" s="298" t="s">
        <v>4713</v>
      </c>
      <c r="C1346" s="298" t="s">
        <v>1173</v>
      </c>
      <c r="D1346" s="298" t="s">
        <v>256</v>
      </c>
      <c r="E1346" s="298"/>
      <c r="F1346" s="298" t="s">
        <v>4714</v>
      </c>
      <c r="G1346" s="299" t="b">
        <v>0</v>
      </c>
      <c r="H1346" s="299" t="b">
        <v>0</v>
      </c>
      <c r="J1346" s="113" t="str">
        <f t="shared" si="41"/>
        <v>977628276</v>
      </c>
      <c r="K1346" s="113" t="str">
        <f t="shared" si="42"/>
        <v>CG01417</v>
      </c>
    </row>
    <row r="1347" spans="1:11" x14ac:dyDescent="0.3">
      <c r="A1347" s="298" t="s">
        <v>4715</v>
      </c>
      <c r="B1347" s="298" t="s">
        <v>4716</v>
      </c>
      <c r="C1347" s="298" t="s">
        <v>355</v>
      </c>
      <c r="D1347" s="298" t="s">
        <v>256</v>
      </c>
      <c r="E1347" s="298"/>
      <c r="F1347" s="298" t="s">
        <v>4717</v>
      </c>
      <c r="G1347" s="299" t="b">
        <v>0</v>
      </c>
      <c r="H1347" s="299" t="b">
        <v>0</v>
      </c>
      <c r="J1347" s="113" t="str">
        <f t="shared" si="41"/>
        <v>912495338</v>
      </c>
      <c r="K1347" s="113" t="str">
        <f t="shared" si="42"/>
        <v>CG01418</v>
      </c>
    </row>
    <row r="1348" spans="1:11" x14ac:dyDescent="0.3">
      <c r="A1348" s="298" t="s">
        <v>4718</v>
      </c>
      <c r="B1348" s="298" t="s">
        <v>4719</v>
      </c>
      <c r="C1348" s="298" t="s">
        <v>593</v>
      </c>
      <c r="D1348" s="298" t="s">
        <v>256</v>
      </c>
      <c r="E1348" s="298"/>
      <c r="F1348" s="298" t="s">
        <v>4720</v>
      </c>
      <c r="G1348" s="299" t="b">
        <v>0</v>
      </c>
      <c r="H1348" s="299" t="b">
        <v>0</v>
      </c>
      <c r="J1348" s="113" t="str">
        <f t="shared" si="41"/>
        <v>936109980</v>
      </c>
      <c r="K1348" s="113" t="str">
        <f t="shared" si="42"/>
        <v>CG01419</v>
      </c>
    </row>
    <row r="1349" spans="1:11" x14ac:dyDescent="0.3">
      <c r="A1349" s="298" t="s">
        <v>4721</v>
      </c>
      <c r="B1349" s="298" t="s">
        <v>4722</v>
      </c>
      <c r="C1349" s="298" t="s">
        <v>390</v>
      </c>
      <c r="D1349" s="298" t="s">
        <v>256</v>
      </c>
      <c r="E1349" s="298"/>
      <c r="F1349" s="298" t="s">
        <v>4723</v>
      </c>
      <c r="G1349" s="299" t="b">
        <v>0</v>
      </c>
      <c r="H1349" s="299" t="b">
        <v>0</v>
      </c>
      <c r="J1349" s="113" t="str">
        <f t="shared" ref="J1349:J1412" si="43">RIGHT(B1349,9)</f>
        <v>979800399</v>
      </c>
      <c r="K1349" s="113" t="str">
        <f t="shared" ref="K1349:K1412" si="44">A1349</f>
        <v>CG01420</v>
      </c>
    </row>
    <row r="1350" spans="1:11" x14ac:dyDescent="0.3">
      <c r="A1350" s="298" t="s">
        <v>4724</v>
      </c>
      <c r="B1350" s="298" t="s">
        <v>4725</v>
      </c>
      <c r="C1350" s="298" t="s">
        <v>1903</v>
      </c>
      <c r="D1350" s="298" t="s">
        <v>256</v>
      </c>
      <c r="E1350" s="298"/>
      <c r="F1350" s="298" t="s">
        <v>4726</v>
      </c>
      <c r="G1350" s="299" t="b">
        <v>0</v>
      </c>
      <c r="H1350" s="299" t="b">
        <v>0</v>
      </c>
      <c r="J1350" s="113" t="str">
        <f t="shared" si="43"/>
        <v>976602831</v>
      </c>
      <c r="K1350" s="113" t="str">
        <f t="shared" si="44"/>
        <v>CG01421</v>
      </c>
    </row>
    <row r="1351" spans="1:11" x14ac:dyDescent="0.3">
      <c r="A1351" s="298" t="s">
        <v>4727</v>
      </c>
      <c r="B1351" s="298" t="s">
        <v>4728</v>
      </c>
      <c r="C1351" s="298" t="s">
        <v>378</v>
      </c>
      <c r="D1351" s="298" t="s">
        <v>256</v>
      </c>
      <c r="E1351" s="298"/>
      <c r="F1351" s="298" t="s">
        <v>4729</v>
      </c>
      <c r="G1351" s="299" t="b">
        <v>0</v>
      </c>
      <c r="H1351" s="299" t="b">
        <v>0</v>
      </c>
      <c r="J1351" s="113" t="str">
        <f t="shared" si="43"/>
        <v>915251333</v>
      </c>
      <c r="K1351" s="113" t="str">
        <f t="shared" si="44"/>
        <v>CG01422</v>
      </c>
    </row>
    <row r="1352" spans="1:11" x14ac:dyDescent="0.3">
      <c r="A1352" s="298" t="s">
        <v>4730</v>
      </c>
      <c r="B1352" s="298" t="s">
        <v>4731</v>
      </c>
      <c r="C1352" s="298" t="s">
        <v>4297</v>
      </c>
      <c r="D1352" s="298" t="s">
        <v>256</v>
      </c>
      <c r="E1352" s="298"/>
      <c r="F1352" s="298" t="s">
        <v>4732</v>
      </c>
      <c r="G1352" s="299" t="b">
        <v>0</v>
      </c>
      <c r="H1352" s="299" t="b">
        <v>0</v>
      </c>
      <c r="J1352" s="113" t="str">
        <f t="shared" si="43"/>
        <v>913130838</v>
      </c>
      <c r="K1352" s="113" t="str">
        <f t="shared" si="44"/>
        <v>CG01423</v>
      </c>
    </row>
    <row r="1353" spans="1:11" x14ac:dyDescent="0.3">
      <c r="A1353" s="298" t="s">
        <v>4733</v>
      </c>
      <c r="B1353" s="298" t="s">
        <v>4734</v>
      </c>
      <c r="C1353" s="298" t="s">
        <v>816</v>
      </c>
      <c r="D1353" s="298" t="s">
        <v>256</v>
      </c>
      <c r="E1353" s="298"/>
      <c r="F1353" s="298" t="s">
        <v>4735</v>
      </c>
      <c r="G1353" s="299" t="b">
        <v>0</v>
      </c>
      <c r="H1353" s="299" t="b">
        <v>0</v>
      </c>
      <c r="J1353" s="113" t="str">
        <f t="shared" si="43"/>
        <v>989836925</v>
      </c>
      <c r="K1353" s="113" t="str">
        <f t="shared" si="44"/>
        <v>CG01424</v>
      </c>
    </row>
    <row r="1354" spans="1:11" x14ac:dyDescent="0.3">
      <c r="A1354" s="298" t="s">
        <v>4736</v>
      </c>
      <c r="B1354" s="298" t="s">
        <v>4737</v>
      </c>
      <c r="C1354" s="298" t="s">
        <v>989</v>
      </c>
      <c r="D1354" s="298" t="s">
        <v>256</v>
      </c>
      <c r="E1354" s="298"/>
      <c r="F1354" s="298" t="s">
        <v>4738</v>
      </c>
      <c r="G1354" s="299" t="b">
        <v>0</v>
      </c>
      <c r="H1354" s="299" t="b">
        <v>0</v>
      </c>
      <c r="J1354" s="113" t="str">
        <f t="shared" si="43"/>
        <v>988751579</v>
      </c>
      <c r="K1354" s="113" t="str">
        <f t="shared" si="44"/>
        <v>CG01425</v>
      </c>
    </row>
    <row r="1355" spans="1:11" x14ac:dyDescent="0.3">
      <c r="A1355" s="298" t="s">
        <v>4739</v>
      </c>
      <c r="B1355" s="298" t="s">
        <v>4740</v>
      </c>
      <c r="C1355" s="298" t="s">
        <v>4741</v>
      </c>
      <c r="D1355" s="298" t="s">
        <v>256</v>
      </c>
      <c r="E1355" s="298"/>
      <c r="F1355" s="298" t="s">
        <v>4742</v>
      </c>
      <c r="G1355" s="299" t="b">
        <v>0</v>
      </c>
      <c r="H1355" s="299" t="b">
        <v>0</v>
      </c>
      <c r="J1355" s="113" t="str">
        <f t="shared" si="43"/>
        <v>963344074</v>
      </c>
      <c r="K1355" s="113" t="str">
        <f t="shared" si="44"/>
        <v>CG01426</v>
      </c>
    </row>
    <row r="1356" spans="1:11" x14ac:dyDescent="0.3">
      <c r="A1356" s="298" t="s">
        <v>4743</v>
      </c>
      <c r="B1356" s="298" t="s">
        <v>4744</v>
      </c>
      <c r="C1356" s="298" t="s">
        <v>1247</v>
      </c>
      <c r="D1356" s="298" t="s">
        <v>256</v>
      </c>
      <c r="E1356" s="298"/>
      <c r="F1356" s="298" t="s">
        <v>4745</v>
      </c>
      <c r="G1356" s="299" t="b">
        <v>0</v>
      </c>
      <c r="H1356" s="299" t="b">
        <v>0</v>
      </c>
      <c r="J1356" s="113" t="str">
        <f t="shared" si="43"/>
        <v>984155269</v>
      </c>
      <c r="K1356" s="113" t="str">
        <f t="shared" si="44"/>
        <v>CG01427</v>
      </c>
    </row>
    <row r="1357" spans="1:11" x14ac:dyDescent="0.3">
      <c r="A1357" s="298" t="s">
        <v>4746</v>
      </c>
      <c r="B1357" s="298" t="s">
        <v>4747</v>
      </c>
      <c r="C1357" s="298" t="s">
        <v>718</v>
      </c>
      <c r="D1357" s="298" t="s">
        <v>256</v>
      </c>
      <c r="E1357" s="298"/>
      <c r="F1357" s="298" t="s">
        <v>4748</v>
      </c>
      <c r="G1357" s="299" t="b">
        <v>0</v>
      </c>
      <c r="H1357" s="299" t="b">
        <v>0</v>
      </c>
      <c r="J1357" s="113" t="str">
        <f t="shared" si="43"/>
        <v>938211889</v>
      </c>
      <c r="K1357" s="113" t="str">
        <f t="shared" si="44"/>
        <v>CG01428</v>
      </c>
    </row>
    <row r="1358" spans="1:11" x14ac:dyDescent="0.3">
      <c r="A1358" s="298" t="s">
        <v>4749</v>
      </c>
      <c r="B1358" s="298" t="s">
        <v>4750</v>
      </c>
      <c r="C1358" s="298" t="s">
        <v>816</v>
      </c>
      <c r="D1358" s="298" t="s">
        <v>256</v>
      </c>
      <c r="E1358" s="298"/>
      <c r="F1358" s="298" t="s">
        <v>4751</v>
      </c>
      <c r="G1358" s="299" t="b">
        <v>0</v>
      </c>
      <c r="H1358" s="299" t="b">
        <v>0</v>
      </c>
      <c r="J1358" s="113" t="str">
        <f t="shared" si="43"/>
        <v>948282883</v>
      </c>
      <c r="K1358" s="113" t="str">
        <f t="shared" si="44"/>
        <v>CG01429</v>
      </c>
    </row>
    <row r="1359" spans="1:11" x14ac:dyDescent="0.3">
      <c r="A1359" s="298" t="s">
        <v>4752</v>
      </c>
      <c r="B1359" s="298" t="s">
        <v>4753</v>
      </c>
      <c r="C1359" s="298" t="s">
        <v>1237</v>
      </c>
      <c r="D1359" s="298" t="s">
        <v>256</v>
      </c>
      <c r="E1359" s="298"/>
      <c r="F1359" s="298" t="s">
        <v>4754</v>
      </c>
      <c r="G1359" s="299" t="b">
        <v>0</v>
      </c>
      <c r="H1359" s="299" t="b">
        <v>0</v>
      </c>
      <c r="J1359" s="113" t="str">
        <f t="shared" si="43"/>
        <v>916416888</v>
      </c>
      <c r="K1359" s="113" t="str">
        <f t="shared" si="44"/>
        <v>CG01430</v>
      </c>
    </row>
    <row r="1360" spans="1:11" x14ac:dyDescent="0.3">
      <c r="A1360" s="298" t="s">
        <v>4755</v>
      </c>
      <c r="B1360" s="298" t="s">
        <v>4756</v>
      </c>
      <c r="C1360" s="298" t="s">
        <v>4757</v>
      </c>
      <c r="D1360" s="298" t="s">
        <v>256</v>
      </c>
      <c r="E1360" s="298"/>
      <c r="F1360" s="298" t="s">
        <v>4758</v>
      </c>
      <c r="G1360" s="299" t="b">
        <v>0</v>
      </c>
      <c r="H1360" s="299" t="b">
        <v>0</v>
      </c>
      <c r="J1360" s="113" t="str">
        <f t="shared" si="43"/>
        <v>977564948</v>
      </c>
      <c r="K1360" s="113" t="str">
        <f t="shared" si="44"/>
        <v>CG01431</v>
      </c>
    </row>
    <row r="1361" spans="1:11" x14ac:dyDescent="0.3">
      <c r="A1361" s="298" t="s">
        <v>4759</v>
      </c>
      <c r="B1361" s="298" t="s">
        <v>4760</v>
      </c>
      <c r="C1361" s="298" t="s">
        <v>495</v>
      </c>
      <c r="D1361" s="298" t="s">
        <v>256</v>
      </c>
      <c r="E1361" s="298"/>
      <c r="F1361" s="298" t="s">
        <v>4761</v>
      </c>
      <c r="G1361" s="299" t="b">
        <v>0</v>
      </c>
      <c r="H1361" s="299" t="b">
        <v>0</v>
      </c>
      <c r="J1361" s="113" t="str">
        <f t="shared" si="43"/>
        <v>972992303</v>
      </c>
      <c r="K1361" s="113" t="str">
        <f t="shared" si="44"/>
        <v>CG01432</v>
      </c>
    </row>
    <row r="1362" spans="1:11" x14ac:dyDescent="0.3">
      <c r="A1362" s="298" t="s">
        <v>4762</v>
      </c>
      <c r="B1362" s="298" t="s">
        <v>4763</v>
      </c>
      <c r="C1362" s="298" t="s">
        <v>4764</v>
      </c>
      <c r="D1362" s="298" t="s">
        <v>256</v>
      </c>
      <c r="E1362" s="298"/>
      <c r="F1362" s="298" t="s">
        <v>4765</v>
      </c>
      <c r="G1362" s="299" t="b">
        <v>0</v>
      </c>
      <c r="H1362" s="299" t="b">
        <v>0</v>
      </c>
      <c r="J1362" s="113" t="str">
        <f t="shared" si="43"/>
        <v>378632254</v>
      </c>
      <c r="K1362" s="113" t="str">
        <f t="shared" si="44"/>
        <v>CG01433</v>
      </c>
    </row>
    <row r="1363" spans="1:11" x14ac:dyDescent="0.3">
      <c r="A1363" s="298" t="s">
        <v>4766</v>
      </c>
      <c r="B1363" s="298" t="s">
        <v>4767</v>
      </c>
      <c r="C1363" s="298" t="s">
        <v>1873</v>
      </c>
      <c r="D1363" s="298" t="s">
        <v>256</v>
      </c>
      <c r="E1363" s="298"/>
      <c r="F1363" s="298" t="s">
        <v>4768</v>
      </c>
      <c r="G1363" s="299" t="b">
        <v>0</v>
      </c>
      <c r="H1363" s="299" t="b">
        <v>0</v>
      </c>
      <c r="J1363" s="113" t="str">
        <f t="shared" si="43"/>
        <v>975593230</v>
      </c>
      <c r="K1363" s="113" t="str">
        <f t="shared" si="44"/>
        <v>CG01434</v>
      </c>
    </row>
    <row r="1364" spans="1:11" x14ac:dyDescent="0.3">
      <c r="A1364" s="298" t="s">
        <v>4769</v>
      </c>
      <c r="B1364" s="298" t="s">
        <v>4770</v>
      </c>
      <c r="C1364" s="298" t="s">
        <v>4771</v>
      </c>
      <c r="D1364" s="298" t="s">
        <v>256</v>
      </c>
      <c r="E1364" s="298"/>
      <c r="F1364" s="298" t="s">
        <v>4772</v>
      </c>
      <c r="G1364" s="299" t="b">
        <v>0</v>
      </c>
      <c r="H1364" s="299" t="b">
        <v>0</v>
      </c>
      <c r="J1364" s="113" t="str">
        <f t="shared" si="43"/>
        <v>982004655</v>
      </c>
      <c r="K1364" s="113" t="str">
        <f t="shared" si="44"/>
        <v>CG01435</v>
      </c>
    </row>
    <row r="1365" spans="1:11" x14ac:dyDescent="0.3">
      <c r="A1365" s="298" t="s">
        <v>4773</v>
      </c>
      <c r="B1365" s="298" t="s">
        <v>4774</v>
      </c>
      <c r="C1365" s="298" t="s">
        <v>1011</v>
      </c>
      <c r="D1365" s="298" t="s">
        <v>256</v>
      </c>
      <c r="E1365" s="298"/>
      <c r="F1365" s="298" t="s">
        <v>4775</v>
      </c>
      <c r="G1365" s="299" t="b">
        <v>0</v>
      </c>
      <c r="H1365" s="299" t="b">
        <v>0</v>
      </c>
      <c r="J1365" s="113" t="str">
        <f t="shared" si="43"/>
        <v>912853656</v>
      </c>
      <c r="K1365" s="113" t="str">
        <f t="shared" si="44"/>
        <v>CG01436</v>
      </c>
    </row>
    <row r="1366" spans="1:11" x14ac:dyDescent="0.3">
      <c r="A1366" s="298" t="s">
        <v>4776</v>
      </c>
      <c r="B1366" s="298" t="s">
        <v>4777</v>
      </c>
      <c r="C1366" s="298" t="s">
        <v>809</v>
      </c>
      <c r="D1366" s="298" t="s">
        <v>256</v>
      </c>
      <c r="E1366" s="298"/>
      <c r="F1366" s="298" t="s">
        <v>4778</v>
      </c>
      <c r="G1366" s="299" t="b">
        <v>0</v>
      </c>
      <c r="H1366" s="299" t="b">
        <v>0</v>
      </c>
      <c r="J1366" s="113" t="str">
        <f t="shared" si="43"/>
        <v>399936528</v>
      </c>
      <c r="K1366" s="113" t="str">
        <f t="shared" si="44"/>
        <v>CG01437</v>
      </c>
    </row>
    <row r="1367" spans="1:11" x14ac:dyDescent="0.3">
      <c r="A1367" s="298" t="s">
        <v>4779</v>
      </c>
      <c r="B1367" s="298" t="s">
        <v>4780</v>
      </c>
      <c r="C1367" s="298" t="s">
        <v>957</v>
      </c>
      <c r="D1367" s="298" t="s">
        <v>256</v>
      </c>
      <c r="E1367" s="298"/>
      <c r="F1367" s="298" t="s">
        <v>4781</v>
      </c>
      <c r="G1367" s="299" t="b">
        <v>0</v>
      </c>
      <c r="H1367" s="299" t="b">
        <v>0</v>
      </c>
      <c r="J1367" s="113" t="str">
        <f t="shared" si="43"/>
        <v>968513246</v>
      </c>
      <c r="K1367" s="113" t="str">
        <f t="shared" si="44"/>
        <v>CG01438</v>
      </c>
    </row>
    <row r="1368" spans="1:11" x14ac:dyDescent="0.3">
      <c r="A1368" s="298" t="s">
        <v>4782</v>
      </c>
      <c r="B1368" s="298" t="s">
        <v>4783</v>
      </c>
      <c r="C1368" s="298" t="s">
        <v>4784</v>
      </c>
      <c r="D1368" s="298" t="s">
        <v>256</v>
      </c>
      <c r="E1368" s="298"/>
      <c r="F1368" s="298" t="s">
        <v>4785</v>
      </c>
      <c r="G1368" s="299" t="b">
        <v>0</v>
      </c>
      <c r="H1368" s="299" t="b">
        <v>0</v>
      </c>
      <c r="J1368" s="113" t="str">
        <f t="shared" si="43"/>
        <v>915066384</v>
      </c>
      <c r="K1368" s="113" t="str">
        <f t="shared" si="44"/>
        <v>CG01439</v>
      </c>
    </row>
    <row r="1369" spans="1:11" x14ac:dyDescent="0.3">
      <c r="A1369" s="298" t="s">
        <v>4786</v>
      </c>
      <c r="B1369" s="298" t="s">
        <v>4787</v>
      </c>
      <c r="C1369" s="298" t="s">
        <v>4788</v>
      </c>
      <c r="D1369" s="298" t="s">
        <v>256</v>
      </c>
      <c r="E1369" s="298"/>
      <c r="F1369" s="298" t="s">
        <v>4789</v>
      </c>
      <c r="G1369" s="299" t="b">
        <v>0</v>
      </c>
      <c r="H1369" s="299" t="b">
        <v>0</v>
      </c>
      <c r="J1369" s="113" t="str">
        <f t="shared" si="43"/>
        <v>982825807</v>
      </c>
      <c r="K1369" s="113" t="str">
        <f t="shared" si="44"/>
        <v>CG01440</v>
      </c>
    </row>
    <row r="1370" spans="1:11" x14ac:dyDescent="0.3">
      <c r="A1370" s="298" t="s">
        <v>4790</v>
      </c>
      <c r="B1370" s="298" t="s">
        <v>4791</v>
      </c>
      <c r="C1370" s="298" t="s">
        <v>2114</v>
      </c>
      <c r="D1370" s="298" t="s">
        <v>256</v>
      </c>
      <c r="E1370" s="298"/>
      <c r="F1370" s="298" t="s">
        <v>4792</v>
      </c>
      <c r="G1370" s="299" t="b">
        <v>0</v>
      </c>
      <c r="H1370" s="299" t="b">
        <v>0</v>
      </c>
      <c r="J1370" s="113" t="str">
        <f t="shared" si="43"/>
        <v>972545043</v>
      </c>
      <c r="K1370" s="113" t="str">
        <f t="shared" si="44"/>
        <v>CG01441</v>
      </c>
    </row>
    <row r="1371" spans="1:11" x14ac:dyDescent="0.3">
      <c r="A1371" s="298" t="s">
        <v>4793</v>
      </c>
      <c r="B1371" s="298" t="s">
        <v>4794</v>
      </c>
      <c r="C1371" s="298" t="s">
        <v>1348</v>
      </c>
      <c r="D1371" s="298" t="s">
        <v>256</v>
      </c>
      <c r="E1371" s="298"/>
      <c r="F1371" s="298" t="s">
        <v>4795</v>
      </c>
      <c r="G1371" s="299" t="b">
        <v>0</v>
      </c>
      <c r="H1371" s="299" t="b">
        <v>0</v>
      </c>
      <c r="J1371" s="113" t="str">
        <f t="shared" si="43"/>
        <v>904662929</v>
      </c>
      <c r="K1371" s="113" t="str">
        <f t="shared" si="44"/>
        <v>CG01442</v>
      </c>
    </row>
    <row r="1372" spans="1:11" x14ac:dyDescent="0.3">
      <c r="A1372" s="298" t="s">
        <v>4796</v>
      </c>
      <c r="B1372" s="298" t="s">
        <v>4797</v>
      </c>
      <c r="C1372" s="298" t="s">
        <v>3005</v>
      </c>
      <c r="D1372" s="298" t="s">
        <v>256</v>
      </c>
      <c r="E1372" s="298"/>
      <c r="F1372" s="298" t="s">
        <v>4798</v>
      </c>
      <c r="G1372" s="299" t="b">
        <v>0</v>
      </c>
      <c r="H1372" s="299" t="b">
        <v>0</v>
      </c>
      <c r="J1372" s="113" t="str">
        <f t="shared" si="43"/>
        <v>983622982</v>
      </c>
      <c r="K1372" s="113" t="str">
        <f t="shared" si="44"/>
        <v>CG01443</v>
      </c>
    </row>
    <row r="1373" spans="1:11" x14ac:dyDescent="0.3">
      <c r="A1373" s="298" t="s">
        <v>4799</v>
      </c>
      <c r="B1373" s="298" t="s">
        <v>4800</v>
      </c>
      <c r="C1373" s="298" t="s">
        <v>340</v>
      </c>
      <c r="D1373" s="298" t="s">
        <v>256</v>
      </c>
      <c r="E1373" s="298"/>
      <c r="F1373" s="298" t="s">
        <v>4801</v>
      </c>
      <c r="G1373" s="299" t="b">
        <v>0</v>
      </c>
      <c r="H1373" s="299" t="b">
        <v>0</v>
      </c>
      <c r="J1373" s="113" t="str">
        <f t="shared" si="43"/>
        <v>986442637</v>
      </c>
      <c r="K1373" s="113" t="str">
        <f t="shared" si="44"/>
        <v>CG01444</v>
      </c>
    </row>
    <row r="1374" spans="1:11" x14ac:dyDescent="0.3">
      <c r="A1374" s="298" t="s">
        <v>4802</v>
      </c>
      <c r="B1374" s="298" t="s">
        <v>4803</v>
      </c>
      <c r="C1374" s="298" t="s">
        <v>416</v>
      </c>
      <c r="D1374" s="298" t="s">
        <v>256</v>
      </c>
      <c r="E1374" s="298"/>
      <c r="F1374" s="298" t="s">
        <v>4804</v>
      </c>
      <c r="G1374" s="299" t="b">
        <v>0</v>
      </c>
      <c r="H1374" s="299" t="b">
        <v>0</v>
      </c>
      <c r="J1374" s="113" t="str">
        <f t="shared" si="43"/>
        <v>972187885</v>
      </c>
      <c r="K1374" s="113" t="str">
        <f t="shared" si="44"/>
        <v>CG01445</v>
      </c>
    </row>
    <row r="1375" spans="1:11" x14ac:dyDescent="0.3">
      <c r="A1375" s="298" t="s">
        <v>4805</v>
      </c>
      <c r="B1375" s="298" t="s">
        <v>4806</v>
      </c>
      <c r="C1375" s="298" t="s">
        <v>718</v>
      </c>
      <c r="D1375" s="298" t="s">
        <v>256</v>
      </c>
      <c r="E1375" s="298"/>
      <c r="F1375" s="298" t="s">
        <v>4807</v>
      </c>
      <c r="G1375" s="299" t="b">
        <v>0</v>
      </c>
      <c r="H1375" s="299" t="b">
        <v>0</v>
      </c>
      <c r="J1375" s="113" t="str">
        <f t="shared" si="43"/>
        <v>936035965</v>
      </c>
      <c r="K1375" s="113" t="str">
        <f t="shared" si="44"/>
        <v>CG01446</v>
      </c>
    </row>
    <row r="1376" spans="1:11" x14ac:dyDescent="0.3">
      <c r="A1376" s="298" t="s">
        <v>4808</v>
      </c>
      <c r="B1376" s="298" t="s">
        <v>4809</v>
      </c>
      <c r="C1376" s="298" t="s">
        <v>1321</v>
      </c>
      <c r="D1376" s="298" t="s">
        <v>256</v>
      </c>
      <c r="E1376" s="298"/>
      <c r="F1376" s="298" t="s">
        <v>4810</v>
      </c>
      <c r="G1376" s="299" t="b">
        <v>0</v>
      </c>
      <c r="H1376" s="299" t="b">
        <v>0</v>
      </c>
      <c r="J1376" s="113" t="str">
        <f t="shared" si="43"/>
        <v>965121768</v>
      </c>
      <c r="K1376" s="113" t="str">
        <f t="shared" si="44"/>
        <v>CG01447</v>
      </c>
    </row>
    <row r="1377" spans="1:11" x14ac:dyDescent="0.3">
      <c r="A1377" s="298" t="s">
        <v>4811</v>
      </c>
      <c r="B1377" s="298" t="s">
        <v>4812</v>
      </c>
      <c r="C1377" s="298" t="s">
        <v>317</v>
      </c>
      <c r="D1377" s="298" t="s">
        <v>256</v>
      </c>
      <c r="E1377" s="298"/>
      <c r="F1377" s="298" t="s">
        <v>4813</v>
      </c>
      <c r="G1377" s="299" t="b">
        <v>0</v>
      </c>
      <c r="H1377" s="299" t="b">
        <v>0</v>
      </c>
      <c r="J1377" s="113" t="str">
        <f t="shared" si="43"/>
        <v>332908980</v>
      </c>
      <c r="K1377" s="113" t="str">
        <f t="shared" si="44"/>
        <v>CG01448</v>
      </c>
    </row>
    <row r="1378" spans="1:11" x14ac:dyDescent="0.3">
      <c r="A1378" s="298" t="s">
        <v>4814</v>
      </c>
      <c r="B1378" s="298" t="s">
        <v>4815</v>
      </c>
      <c r="C1378" s="298" t="s">
        <v>2412</v>
      </c>
      <c r="D1378" s="298" t="s">
        <v>256</v>
      </c>
      <c r="E1378" s="298"/>
      <c r="F1378" s="298" t="s">
        <v>4816</v>
      </c>
      <c r="G1378" s="299" t="b">
        <v>0</v>
      </c>
      <c r="H1378" s="299" t="b">
        <v>0</v>
      </c>
      <c r="J1378" s="113" t="str">
        <f t="shared" si="43"/>
        <v>914753222</v>
      </c>
      <c r="K1378" s="113" t="str">
        <f t="shared" si="44"/>
        <v>CG01449</v>
      </c>
    </row>
    <row r="1379" spans="1:11" x14ac:dyDescent="0.3">
      <c r="A1379" s="298" t="s">
        <v>4817</v>
      </c>
      <c r="B1379" s="298" t="s">
        <v>14673</v>
      </c>
      <c r="C1379" s="298" t="s">
        <v>711</v>
      </c>
      <c r="D1379" s="298" t="s">
        <v>256</v>
      </c>
      <c r="E1379" s="298"/>
      <c r="F1379" s="298" t="s">
        <v>4818</v>
      </c>
      <c r="G1379" s="299" t="b">
        <v>0</v>
      </c>
      <c r="H1379" s="299" t="b">
        <v>0</v>
      </c>
      <c r="J1379" s="113" t="str">
        <f t="shared" si="43"/>
        <v>978979889</v>
      </c>
      <c r="K1379" s="113" t="str">
        <f t="shared" si="44"/>
        <v>CG01450</v>
      </c>
    </row>
    <row r="1380" spans="1:11" x14ac:dyDescent="0.3">
      <c r="A1380" s="298" t="s">
        <v>4819</v>
      </c>
      <c r="B1380" s="298" t="s">
        <v>4820</v>
      </c>
      <c r="C1380" s="298" t="s">
        <v>289</v>
      </c>
      <c r="D1380" s="298" t="s">
        <v>256</v>
      </c>
      <c r="E1380" s="298"/>
      <c r="F1380" s="298" t="s">
        <v>4821</v>
      </c>
      <c r="G1380" s="299" t="b">
        <v>0</v>
      </c>
      <c r="H1380" s="299" t="b">
        <v>0</v>
      </c>
      <c r="J1380" s="113" t="str">
        <f t="shared" si="43"/>
        <v>912717884</v>
      </c>
      <c r="K1380" s="113" t="str">
        <f t="shared" si="44"/>
        <v>CG01451</v>
      </c>
    </row>
    <row r="1381" spans="1:11" x14ac:dyDescent="0.3">
      <c r="A1381" s="298" t="s">
        <v>4822</v>
      </c>
      <c r="B1381" s="298" t="s">
        <v>4823</v>
      </c>
      <c r="C1381" s="298" t="s">
        <v>231</v>
      </c>
      <c r="D1381" s="298" t="s">
        <v>256</v>
      </c>
      <c r="E1381" s="298"/>
      <c r="F1381" s="298" t="s">
        <v>4824</v>
      </c>
      <c r="G1381" s="299" t="b">
        <v>0</v>
      </c>
      <c r="H1381" s="299" t="b">
        <v>0</v>
      </c>
      <c r="J1381" s="113" t="str">
        <f t="shared" si="43"/>
        <v>981713306</v>
      </c>
      <c r="K1381" s="113" t="str">
        <f t="shared" si="44"/>
        <v>CG01452</v>
      </c>
    </row>
    <row r="1382" spans="1:11" x14ac:dyDescent="0.3">
      <c r="A1382" s="298" t="s">
        <v>4825</v>
      </c>
      <c r="B1382" s="298" t="s">
        <v>4826</v>
      </c>
      <c r="C1382" s="298" t="s">
        <v>349</v>
      </c>
      <c r="D1382" s="298" t="s">
        <v>256</v>
      </c>
      <c r="E1382" s="298"/>
      <c r="F1382" s="298" t="s">
        <v>4827</v>
      </c>
      <c r="G1382" s="299" t="b">
        <v>0</v>
      </c>
      <c r="H1382" s="299" t="b">
        <v>0</v>
      </c>
      <c r="J1382" s="113" t="str">
        <f t="shared" si="43"/>
        <v>979422032</v>
      </c>
      <c r="K1382" s="113" t="str">
        <f t="shared" si="44"/>
        <v>CG01453</v>
      </c>
    </row>
    <row r="1383" spans="1:11" x14ac:dyDescent="0.3">
      <c r="A1383" s="298" t="s">
        <v>4828</v>
      </c>
      <c r="B1383" s="298" t="s">
        <v>4829</v>
      </c>
      <c r="C1383" s="298" t="s">
        <v>309</v>
      </c>
      <c r="D1383" s="298" t="s">
        <v>256</v>
      </c>
      <c r="E1383" s="298"/>
      <c r="F1383" s="298" t="s">
        <v>4830</v>
      </c>
      <c r="G1383" s="299" t="b">
        <v>0</v>
      </c>
      <c r="H1383" s="299" t="b">
        <v>0</v>
      </c>
      <c r="J1383" s="113" t="str">
        <f t="shared" si="43"/>
        <v>904665818</v>
      </c>
      <c r="K1383" s="113" t="str">
        <f t="shared" si="44"/>
        <v>CG01454</v>
      </c>
    </row>
    <row r="1384" spans="1:11" x14ac:dyDescent="0.3">
      <c r="A1384" s="298" t="s">
        <v>4831</v>
      </c>
      <c r="B1384" s="298" t="s">
        <v>4832</v>
      </c>
      <c r="C1384" s="298" t="s">
        <v>495</v>
      </c>
      <c r="D1384" s="298" t="s">
        <v>256</v>
      </c>
      <c r="E1384" s="298"/>
      <c r="F1384" s="298" t="s">
        <v>4833</v>
      </c>
      <c r="G1384" s="299" t="b">
        <v>0</v>
      </c>
      <c r="H1384" s="299" t="b">
        <v>0</v>
      </c>
      <c r="J1384" s="113" t="str">
        <f t="shared" si="43"/>
        <v>965625664</v>
      </c>
      <c r="K1384" s="113" t="str">
        <f t="shared" si="44"/>
        <v>CG01455</v>
      </c>
    </row>
    <row r="1385" spans="1:11" x14ac:dyDescent="0.3">
      <c r="A1385" s="298" t="s">
        <v>4834</v>
      </c>
      <c r="B1385" s="298" t="s">
        <v>4835</v>
      </c>
      <c r="C1385" s="298" t="s">
        <v>877</v>
      </c>
      <c r="D1385" s="298" t="s">
        <v>256</v>
      </c>
      <c r="E1385" s="298"/>
      <c r="F1385" s="298" t="s">
        <v>4836</v>
      </c>
      <c r="G1385" s="299" t="b">
        <v>0</v>
      </c>
      <c r="H1385" s="299" t="b">
        <v>0</v>
      </c>
      <c r="J1385" s="113" t="str">
        <f t="shared" si="43"/>
        <v>936937788</v>
      </c>
      <c r="K1385" s="113" t="str">
        <f t="shared" si="44"/>
        <v>CG01456</v>
      </c>
    </row>
    <row r="1386" spans="1:11" x14ac:dyDescent="0.3">
      <c r="A1386" s="298" t="s">
        <v>4837</v>
      </c>
      <c r="B1386" s="298" t="s">
        <v>4838</v>
      </c>
      <c r="C1386" s="298" t="s">
        <v>4839</v>
      </c>
      <c r="D1386" s="298" t="s">
        <v>256</v>
      </c>
      <c r="E1386" s="298"/>
      <c r="F1386" s="298" t="s">
        <v>4840</v>
      </c>
      <c r="G1386" s="299" t="b">
        <v>0</v>
      </c>
      <c r="H1386" s="299" t="b">
        <v>0</v>
      </c>
      <c r="J1386" s="113" t="str">
        <f t="shared" si="43"/>
        <v>985923535</v>
      </c>
      <c r="K1386" s="113" t="str">
        <f t="shared" si="44"/>
        <v>CG01457</v>
      </c>
    </row>
    <row r="1387" spans="1:11" x14ac:dyDescent="0.3">
      <c r="A1387" s="298" t="s">
        <v>4841</v>
      </c>
      <c r="B1387" s="298" t="s">
        <v>4842</v>
      </c>
      <c r="C1387" s="298" t="s">
        <v>2405</v>
      </c>
      <c r="D1387" s="298" t="s">
        <v>256</v>
      </c>
      <c r="E1387" s="298"/>
      <c r="F1387" s="298" t="s">
        <v>4843</v>
      </c>
      <c r="G1387" s="299" t="b">
        <v>0</v>
      </c>
      <c r="H1387" s="299" t="b">
        <v>0</v>
      </c>
      <c r="J1387" s="113" t="str">
        <f t="shared" si="43"/>
        <v>977623044</v>
      </c>
      <c r="K1387" s="113" t="str">
        <f t="shared" si="44"/>
        <v>CG01458</v>
      </c>
    </row>
    <row r="1388" spans="1:11" x14ac:dyDescent="0.3">
      <c r="A1388" s="298" t="s">
        <v>4844</v>
      </c>
      <c r="B1388" s="298" t="s">
        <v>4845</v>
      </c>
      <c r="C1388" s="298" t="s">
        <v>4846</v>
      </c>
      <c r="D1388" s="298" t="s">
        <v>256</v>
      </c>
      <c r="E1388" s="298"/>
      <c r="F1388" s="298" t="s">
        <v>4847</v>
      </c>
      <c r="G1388" s="299" t="b">
        <v>0</v>
      </c>
      <c r="H1388" s="299" t="b">
        <v>0</v>
      </c>
      <c r="J1388" s="113" t="str">
        <f t="shared" si="43"/>
        <v>913007337</v>
      </c>
      <c r="K1388" s="113" t="str">
        <f t="shared" si="44"/>
        <v>CG01460</v>
      </c>
    </row>
    <row r="1389" spans="1:11" x14ac:dyDescent="0.3">
      <c r="A1389" s="298" t="s">
        <v>4848</v>
      </c>
      <c r="B1389" s="298" t="s">
        <v>4849</v>
      </c>
      <c r="C1389" s="298" t="s">
        <v>4850</v>
      </c>
      <c r="D1389" s="298" t="s">
        <v>256</v>
      </c>
      <c r="E1389" s="298"/>
      <c r="F1389" s="298" t="s">
        <v>4851</v>
      </c>
      <c r="G1389" s="299" t="b">
        <v>0</v>
      </c>
      <c r="H1389" s="299" t="b">
        <v>0</v>
      </c>
      <c r="J1389" s="113" t="str">
        <f t="shared" si="43"/>
        <v>904802837</v>
      </c>
      <c r="K1389" s="113" t="str">
        <f t="shared" si="44"/>
        <v>CG01461</v>
      </c>
    </row>
    <row r="1390" spans="1:11" x14ac:dyDescent="0.3">
      <c r="A1390" s="298" t="s">
        <v>4852</v>
      </c>
      <c r="B1390" s="298" t="s">
        <v>4853</v>
      </c>
      <c r="C1390" s="298" t="s">
        <v>2763</v>
      </c>
      <c r="D1390" s="298" t="s">
        <v>256</v>
      </c>
      <c r="E1390" s="298"/>
      <c r="F1390" s="298" t="s">
        <v>4854</v>
      </c>
      <c r="G1390" s="299" t="b">
        <v>0</v>
      </c>
      <c r="H1390" s="299" t="b">
        <v>0</v>
      </c>
      <c r="J1390" s="113" t="str">
        <f t="shared" si="43"/>
        <v>988020998</v>
      </c>
      <c r="K1390" s="113" t="str">
        <f t="shared" si="44"/>
        <v>CG01462</v>
      </c>
    </row>
    <row r="1391" spans="1:11" x14ac:dyDescent="0.3">
      <c r="A1391" s="298" t="s">
        <v>4855</v>
      </c>
      <c r="B1391" s="298" t="s">
        <v>4856</v>
      </c>
      <c r="C1391" s="298" t="s">
        <v>4857</v>
      </c>
      <c r="D1391" s="298" t="s">
        <v>256</v>
      </c>
      <c r="E1391" s="298" t="s">
        <v>4858</v>
      </c>
      <c r="F1391" s="298" t="s">
        <v>4859</v>
      </c>
      <c r="G1391" s="299" t="b">
        <v>0</v>
      </c>
      <c r="H1391" s="299" t="b">
        <v>0</v>
      </c>
      <c r="J1391" s="113" t="str">
        <f t="shared" si="43"/>
        <v>971444856</v>
      </c>
      <c r="K1391" s="113" t="str">
        <f t="shared" si="44"/>
        <v>CG01463</v>
      </c>
    </row>
    <row r="1392" spans="1:11" x14ac:dyDescent="0.3">
      <c r="A1392" s="298" t="s">
        <v>4860</v>
      </c>
      <c r="B1392" s="298" t="s">
        <v>4861</v>
      </c>
      <c r="C1392" s="298" t="s">
        <v>487</v>
      </c>
      <c r="D1392" s="298" t="s">
        <v>256</v>
      </c>
      <c r="E1392" s="298"/>
      <c r="F1392" s="298" t="s">
        <v>4862</v>
      </c>
      <c r="G1392" s="299" t="b">
        <v>0</v>
      </c>
      <c r="H1392" s="299" t="b">
        <v>0</v>
      </c>
      <c r="J1392" s="113" t="str">
        <f t="shared" si="43"/>
        <v>904762266</v>
      </c>
      <c r="K1392" s="113" t="str">
        <f t="shared" si="44"/>
        <v>CG01464</v>
      </c>
    </row>
    <row r="1393" spans="1:11" x14ac:dyDescent="0.3">
      <c r="A1393" s="298" t="s">
        <v>4863</v>
      </c>
      <c r="B1393" s="298" t="s">
        <v>4864</v>
      </c>
      <c r="C1393" s="298" t="s">
        <v>541</v>
      </c>
      <c r="D1393" s="298" t="s">
        <v>256</v>
      </c>
      <c r="E1393" s="298"/>
      <c r="F1393" s="298" t="s">
        <v>4865</v>
      </c>
      <c r="G1393" s="299" t="b">
        <v>0</v>
      </c>
      <c r="H1393" s="299" t="b">
        <v>0</v>
      </c>
      <c r="J1393" s="113" t="str">
        <f t="shared" si="43"/>
        <v>359840690</v>
      </c>
      <c r="K1393" s="113" t="str">
        <f t="shared" si="44"/>
        <v>CG01465</v>
      </c>
    </row>
    <row r="1394" spans="1:11" x14ac:dyDescent="0.3">
      <c r="A1394" s="298" t="s">
        <v>4866</v>
      </c>
      <c r="B1394" s="298" t="s">
        <v>4867</v>
      </c>
      <c r="C1394" s="298" t="s">
        <v>2897</v>
      </c>
      <c r="D1394" s="298" t="s">
        <v>256</v>
      </c>
      <c r="E1394" s="298"/>
      <c r="F1394" s="298" t="s">
        <v>4868</v>
      </c>
      <c r="G1394" s="299" t="b">
        <v>0</v>
      </c>
      <c r="H1394" s="299" t="b">
        <v>0</v>
      </c>
      <c r="J1394" s="113" t="str">
        <f t="shared" si="43"/>
        <v>919893786</v>
      </c>
      <c r="K1394" s="113" t="str">
        <f t="shared" si="44"/>
        <v>CG01466</v>
      </c>
    </row>
    <row r="1395" spans="1:11" x14ac:dyDescent="0.3">
      <c r="A1395" s="298" t="s">
        <v>4869</v>
      </c>
      <c r="B1395" s="298" t="s">
        <v>4870</v>
      </c>
      <c r="C1395" s="298" t="s">
        <v>957</v>
      </c>
      <c r="D1395" s="298" t="s">
        <v>256</v>
      </c>
      <c r="E1395" s="298"/>
      <c r="F1395" s="298" t="s">
        <v>4871</v>
      </c>
      <c r="G1395" s="299" t="b">
        <v>0</v>
      </c>
      <c r="H1395" s="299" t="b">
        <v>0</v>
      </c>
      <c r="J1395" s="113" t="str">
        <f t="shared" si="43"/>
        <v>969697686</v>
      </c>
      <c r="K1395" s="113" t="str">
        <f t="shared" si="44"/>
        <v>CG01467</v>
      </c>
    </row>
    <row r="1396" spans="1:11" x14ac:dyDescent="0.3">
      <c r="A1396" s="298" t="s">
        <v>4872</v>
      </c>
      <c r="B1396" s="298" t="s">
        <v>4873</v>
      </c>
      <c r="C1396" s="298" t="s">
        <v>4874</v>
      </c>
      <c r="D1396" s="298" t="s">
        <v>256</v>
      </c>
      <c r="E1396" s="298"/>
      <c r="F1396" s="298" t="s">
        <v>4875</v>
      </c>
      <c r="G1396" s="299" t="b">
        <v>0</v>
      </c>
      <c r="H1396" s="299" t="b">
        <v>0</v>
      </c>
      <c r="J1396" s="113" t="str">
        <f t="shared" si="43"/>
        <v>917438907</v>
      </c>
      <c r="K1396" s="113" t="str">
        <f t="shared" si="44"/>
        <v>CG01468</v>
      </c>
    </row>
    <row r="1397" spans="1:11" x14ac:dyDescent="0.3">
      <c r="A1397" s="298" t="s">
        <v>4876</v>
      </c>
      <c r="B1397" s="298" t="s">
        <v>4877</v>
      </c>
      <c r="C1397" s="298" t="s">
        <v>409</v>
      </c>
      <c r="D1397" s="298" t="s">
        <v>256</v>
      </c>
      <c r="E1397" s="298"/>
      <c r="F1397" s="298" t="s">
        <v>4878</v>
      </c>
      <c r="G1397" s="299" t="b">
        <v>0</v>
      </c>
      <c r="H1397" s="299" t="b">
        <v>0</v>
      </c>
      <c r="J1397" s="113" t="str">
        <f t="shared" si="43"/>
        <v>912682077</v>
      </c>
      <c r="K1397" s="113" t="str">
        <f t="shared" si="44"/>
        <v>CG01469</v>
      </c>
    </row>
    <row r="1398" spans="1:11" x14ac:dyDescent="0.3">
      <c r="A1398" s="298" t="s">
        <v>4879</v>
      </c>
      <c r="B1398" s="298" t="s">
        <v>4880</v>
      </c>
      <c r="C1398" s="298" t="s">
        <v>1571</v>
      </c>
      <c r="D1398" s="298" t="s">
        <v>256</v>
      </c>
      <c r="E1398" s="298"/>
      <c r="F1398" s="298" t="s">
        <v>4881</v>
      </c>
      <c r="G1398" s="299" t="b">
        <v>0</v>
      </c>
      <c r="H1398" s="299" t="b">
        <v>0</v>
      </c>
      <c r="J1398" s="113" t="str">
        <f t="shared" si="43"/>
        <v>825128666</v>
      </c>
      <c r="K1398" s="113" t="str">
        <f t="shared" si="44"/>
        <v>CG01470</v>
      </c>
    </row>
    <row r="1399" spans="1:11" x14ac:dyDescent="0.3">
      <c r="A1399" s="298" t="s">
        <v>4882</v>
      </c>
      <c r="B1399" s="298" t="s">
        <v>4883</v>
      </c>
      <c r="C1399" s="298" t="s">
        <v>1247</v>
      </c>
      <c r="D1399" s="298" t="s">
        <v>256</v>
      </c>
      <c r="E1399" s="298"/>
      <c r="F1399" s="298" t="s">
        <v>4884</v>
      </c>
      <c r="G1399" s="299" t="b">
        <v>0</v>
      </c>
      <c r="H1399" s="299" t="b">
        <v>0</v>
      </c>
      <c r="J1399" s="113" t="str">
        <f t="shared" si="43"/>
        <v>976982574</v>
      </c>
      <c r="K1399" s="113" t="str">
        <f t="shared" si="44"/>
        <v>CG01471</v>
      </c>
    </row>
    <row r="1400" spans="1:11" x14ac:dyDescent="0.3">
      <c r="A1400" s="298" t="s">
        <v>4885</v>
      </c>
      <c r="B1400" s="298" t="s">
        <v>4886</v>
      </c>
      <c r="C1400" s="298" t="s">
        <v>4887</v>
      </c>
      <c r="D1400" s="298" t="s">
        <v>256</v>
      </c>
      <c r="E1400" s="298"/>
      <c r="F1400" s="298" t="s">
        <v>4888</v>
      </c>
      <c r="G1400" s="299" t="b">
        <v>0</v>
      </c>
      <c r="H1400" s="299" t="b">
        <v>0</v>
      </c>
      <c r="J1400" s="113" t="str">
        <f t="shared" si="43"/>
        <v>369442665</v>
      </c>
      <c r="K1400" s="113" t="str">
        <f t="shared" si="44"/>
        <v>CG01472</v>
      </c>
    </row>
    <row r="1401" spans="1:11" x14ac:dyDescent="0.3">
      <c r="A1401" s="298" t="s">
        <v>4889</v>
      </c>
      <c r="B1401" s="298" t="s">
        <v>4890</v>
      </c>
      <c r="C1401" s="298" t="s">
        <v>4891</v>
      </c>
      <c r="D1401" s="298" t="s">
        <v>256</v>
      </c>
      <c r="E1401" s="298"/>
      <c r="F1401" s="298" t="s">
        <v>4892</v>
      </c>
      <c r="G1401" s="299" t="b">
        <v>0</v>
      </c>
      <c r="H1401" s="299" t="b">
        <v>0</v>
      </c>
      <c r="J1401" s="113" t="str">
        <f t="shared" si="43"/>
        <v>979667502</v>
      </c>
      <c r="K1401" s="113" t="str">
        <f t="shared" si="44"/>
        <v>CG01473</v>
      </c>
    </row>
    <row r="1402" spans="1:11" x14ac:dyDescent="0.3">
      <c r="A1402" s="298" t="s">
        <v>4893</v>
      </c>
      <c r="B1402" s="298" t="s">
        <v>4894</v>
      </c>
      <c r="C1402" s="298" t="s">
        <v>3281</v>
      </c>
      <c r="D1402" s="298" t="s">
        <v>256</v>
      </c>
      <c r="E1402" s="298"/>
      <c r="F1402" s="298" t="s">
        <v>4895</v>
      </c>
      <c r="G1402" s="299" t="b">
        <v>0</v>
      </c>
      <c r="H1402" s="299" t="b">
        <v>0</v>
      </c>
      <c r="J1402" s="113" t="str">
        <f t="shared" si="43"/>
        <v>969717989</v>
      </c>
      <c r="K1402" s="113" t="str">
        <f t="shared" si="44"/>
        <v>CG01474</v>
      </c>
    </row>
    <row r="1403" spans="1:11" x14ac:dyDescent="0.3">
      <c r="A1403" s="298" t="s">
        <v>4896</v>
      </c>
      <c r="B1403" s="298" t="s">
        <v>4897</v>
      </c>
      <c r="C1403" s="298" t="s">
        <v>2713</v>
      </c>
      <c r="D1403" s="298" t="s">
        <v>256</v>
      </c>
      <c r="E1403" s="298"/>
      <c r="F1403" s="298" t="s">
        <v>4898</v>
      </c>
      <c r="G1403" s="299" t="b">
        <v>0</v>
      </c>
      <c r="H1403" s="299" t="b">
        <v>0</v>
      </c>
      <c r="J1403" s="113" t="str">
        <f t="shared" si="43"/>
        <v>915098754</v>
      </c>
      <c r="K1403" s="113" t="str">
        <f t="shared" si="44"/>
        <v>CG01475</v>
      </c>
    </row>
    <row r="1404" spans="1:11" x14ac:dyDescent="0.3">
      <c r="A1404" s="298" t="s">
        <v>4899</v>
      </c>
      <c r="B1404" s="298" t="s">
        <v>4900</v>
      </c>
      <c r="C1404" s="298" t="s">
        <v>4901</v>
      </c>
      <c r="D1404" s="298" t="s">
        <v>256</v>
      </c>
      <c r="E1404" s="298"/>
      <c r="F1404" s="298" t="s">
        <v>4902</v>
      </c>
      <c r="G1404" s="299" t="b">
        <v>0</v>
      </c>
      <c r="H1404" s="299" t="b">
        <v>0</v>
      </c>
      <c r="J1404" s="113" t="str">
        <f t="shared" si="43"/>
        <v>914536000</v>
      </c>
      <c r="K1404" s="113" t="str">
        <f t="shared" si="44"/>
        <v>CG01476</v>
      </c>
    </row>
    <row r="1405" spans="1:11" x14ac:dyDescent="0.3">
      <c r="A1405" s="298" t="s">
        <v>4903</v>
      </c>
      <c r="B1405" s="298" t="s">
        <v>4904</v>
      </c>
      <c r="C1405" s="298" t="s">
        <v>1247</v>
      </c>
      <c r="D1405" s="298" t="s">
        <v>256</v>
      </c>
      <c r="E1405" s="298"/>
      <c r="F1405" s="298" t="s">
        <v>4905</v>
      </c>
      <c r="G1405" s="299" t="b">
        <v>0</v>
      </c>
      <c r="H1405" s="299" t="b">
        <v>0</v>
      </c>
      <c r="J1405" s="113" t="str">
        <f t="shared" si="43"/>
        <v>912108111</v>
      </c>
      <c r="K1405" s="113" t="str">
        <f t="shared" si="44"/>
        <v>CG01477</v>
      </c>
    </row>
    <row r="1406" spans="1:11" x14ac:dyDescent="0.3">
      <c r="A1406" s="298" t="s">
        <v>4906</v>
      </c>
      <c r="B1406" s="298" t="s">
        <v>4907</v>
      </c>
      <c r="C1406" s="298" t="s">
        <v>1633</v>
      </c>
      <c r="D1406" s="298" t="s">
        <v>256</v>
      </c>
      <c r="E1406" s="298"/>
      <c r="F1406" s="298" t="s">
        <v>4908</v>
      </c>
      <c r="G1406" s="299" t="b">
        <v>0</v>
      </c>
      <c r="H1406" s="299" t="b">
        <v>0</v>
      </c>
      <c r="J1406" s="113" t="str">
        <f t="shared" si="43"/>
        <v>904250461</v>
      </c>
      <c r="K1406" s="113" t="str">
        <f t="shared" si="44"/>
        <v>CG01478</v>
      </c>
    </row>
    <row r="1407" spans="1:11" x14ac:dyDescent="0.3">
      <c r="A1407" s="298" t="s">
        <v>4909</v>
      </c>
      <c r="B1407" s="298" t="s">
        <v>4910</v>
      </c>
      <c r="C1407" s="298" t="s">
        <v>289</v>
      </c>
      <c r="D1407" s="298" t="s">
        <v>256</v>
      </c>
      <c r="E1407" s="298"/>
      <c r="F1407" s="298" t="s">
        <v>4911</v>
      </c>
      <c r="G1407" s="299" t="b">
        <v>0</v>
      </c>
      <c r="H1407" s="299" t="b">
        <v>0</v>
      </c>
      <c r="J1407" s="113" t="str">
        <f t="shared" si="43"/>
        <v>913208937</v>
      </c>
      <c r="K1407" s="113" t="str">
        <f t="shared" si="44"/>
        <v>CG01479</v>
      </c>
    </row>
    <row r="1408" spans="1:11" x14ac:dyDescent="0.3">
      <c r="A1408" s="298" t="s">
        <v>4912</v>
      </c>
      <c r="B1408" s="298" t="s">
        <v>4913</v>
      </c>
      <c r="C1408" s="298" t="s">
        <v>541</v>
      </c>
      <c r="D1408" s="298" t="s">
        <v>256</v>
      </c>
      <c r="E1408" s="298"/>
      <c r="F1408" s="298" t="s">
        <v>4914</v>
      </c>
      <c r="G1408" s="299" t="b">
        <v>0</v>
      </c>
      <c r="H1408" s="299" t="b">
        <v>0</v>
      </c>
      <c r="J1408" s="113" t="str">
        <f t="shared" si="43"/>
        <v>982323519</v>
      </c>
      <c r="K1408" s="113" t="str">
        <f t="shared" si="44"/>
        <v>CG01480</v>
      </c>
    </row>
    <row r="1409" spans="1:11" x14ac:dyDescent="0.3">
      <c r="A1409" s="298" t="s">
        <v>4915</v>
      </c>
      <c r="B1409" s="298" t="s">
        <v>4916</v>
      </c>
      <c r="C1409" s="298" t="s">
        <v>416</v>
      </c>
      <c r="D1409" s="298" t="s">
        <v>256</v>
      </c>
      <c r="E1409" s="298"/>
      <c r="F1409" s="298" t="s">
        <v>4917</v>
      </c>
      <c r="G1409" s="299" t="b">
        <v>0</v>
      </c>
      <c r="H1409" s="299" t="b">
        <v>0</v>
      </c>
      <c r="J1409" s="113" t="str">
        <f t="shared" si="43"/>
        <v>966588288</v>
      </c>
      <c r="K1409" s="113" t="str">
        <f t="shared" si="44"/>
        <v>CG01481</v>
      </c>
    </row>
    <row r="1410" spans="1:11" x14ac:dyDescent="0.3">
      <c r="A1410" s="298" t="s">
        <v>4918</v>
      </c>
      <c r="B1410" s="298" t="s">
        <v>4919</v>
      </c>
      <c r="C1410" s="298" t="s">
        <v>541</v>
      </c>
      <c r="D1410" s="298" t="s">
        <v>256</v>
      </c>
      <c r="E1410" s="298"/>
      <c r="F1410" s="298" t="s">
        <v>4920</v>
      </c>
      <c r="G1410" s="299" t="b">
        <v>0</v>
      </c>
      <c r="H1410" s="299" t="b">
        <v>0</v>
      </c>
      <c r="J1410" s="113" t="str">
        <f t="shared" si="43"/>
        <v>989868781</v>
      </c>
      <c r="K1410" s="113" t="str">
        <f t="shared" si="44"/>
        <v>CG01482</v>
      </c>
    </row>
    <row r="1411" spans="1:11" x14ac:dyDescent="0.3">
      <c r="A1411" s="298" t="s">
        <v>4921</v>
      </c>
      <c r="B1411" s="298" t="s">
        <v>4922</v>
      </c>
      <c r="C1411" s="298" t="s">
        <v>4923</v>
      </c>
      <c r="D1411" s="298" t="s">
        <v>256</v>
      </c>
      <c r="E1411" s="298"/>
      <c r="F1411" s="298" t="s">
        <v>4924</v>
      </c>
      <c r="G1411" s="299" t="b">
        <v>0</v>
      </c>
      <c r="H1411" s="299" t="b">
        <v>0</v>
      </c>
      <c r="J1411" s="113" t="str">
        <f t="shared" si="43"/>
        <v>398931012</v>
      </c>
      <c r="K1411" s="113" t="str">
        <f t="shared" si="44"/>
        <v>CG01483</v>
      </c>
    </row>
    <row r="1412" spans="1:11" x14ac:dyDescent="0.3">
      <c r="A1412" s="298" t="s">
        <v>4925</v>
      </c>
      <c r="B1412" s="298" t="s">
        <v>4926</v>
      </c>
      <c r="C1412" s="298" t="s">
        <v>4297</v>
      </c>
      <c r="D1412" s="298" t="s">
        <v>256</v>
      </c>
      <c r="E1412" s="298"/>
      <c r="F1412" s="298" t="s">
        <v>4927</v>
      </c>
      <c r="G1412" s="299" t="b">
        <v>0</v>
      </c>
      <c r="H1412" s="299" t="b">
        <v>0</v>
      </c>
      <c r="J1412" s="113" t="str">
        <f t="shared" si="43"/>
        <v>963586986</v>
      </c>
      <c r="K1412" s="113" t="str">
        <f t="shared" si="44"/>
        <v>CG01484</v>
      </c>
    </row>
    <row r="1413" spans="1:11" x14ac:dyDescent="0.3">
      <c r="A1413" s="298" t="s">
        <v>4928</v>
      </c>
      <c r="B1413" s="298" t="s">
        <v>4929</v>
      </c>
      <c r="C1413" s="298" t="s">
        <v>1059</v>
      </c>
      <c r="D1413" s="298" t="s">
        <v>256</v>
      </c>
      <c r="E1413" s="298"/>
      <c r="F1413" s="298" t="s">
        <v>4930</v>
      </c>
      <c r="G1413" s="299" t="b">
        <v>0</v>
      </c>
      <c r="H1413" s="299" t="b">
        <v>0</v>
      </c>
      <c r="J1413" s="113" t="str">
        <f t="shared" ref="J1413:J1476" si="45">RIGHT(B1413,9)</f>
        <v>912061249</v>
      </c>
      <c r="K1413" s="113" t="str">
        <f t="shared" ref="K1413:K1476" si="46">A1413</f>
        <v>CG01485</v>
      </c>
    </row>
    <row r="1414" spans="1:11" x14ac:dyDescent="0.3">
      <c r="A1414" s="298" t="s">
        <v>4931</v>
      </c>
      <c r="B1414" s="298" t="s">
        <v>4932</v>
      </c>
      <c r="C1414" s="298" t="s">
        <v>4933</v>
      </c>
      <c r="D1414" s="298" t="s">
        <v>256</v>
      </c>
      <c r="E1414" s="298"/>
      <c r="F1414" s="298" t="s">
        <v>4934</v>
      </c>
      <c r="G1414" s="299" t="b">
        <v>0</v>
      </c>
      <c r="H1414" s="299" t="b">
        <v>0</v>
      </c>
      <c r="J1414" s="113" t="str">
        <f t="shared" si="45"/>
        <v>912137126</v>
      </c>
      <c r="K1414" s="113" t="str">
        <f t="shared" si="46"/>
        <v>CG01486</v>
      </c>
    </row>
    <row r="1415" spans="1:11" x14ac:dyDescent="0.3">
      <c r="A1415" s="298" t="s">
        <v>4935</v>
      </c>
      <c r="B1415" s="298" t="s">
        <v>4936</v>
      </c>
      <c r="C1415" s="298" t="s">
        <v>1257</v>
      </c>
      <c r="D1415" s="298" t="s">
        <v>256</v>
      </c>
      <c r="E1415" s="298"/>
      <c r="F1415" s="298" t="s">
        <v>4937</v>
      </c>
      <c r="G1415" s="299" t="b">
        <v>0</v>
      </c>
      <c r="H1415" s="299" t="b">
        <v>0</v>
      </c>
      <c r="J1415" s="113" t="str">
        <f t="shared" si="45"/>
        <v>982869320</v>
      </c>
      <c r="K1415" s="113" t="str">
        <f t="shared" si="46"/>
        <v>CG01487</v>
      </c>
    </row>
    <row r="1416" spans="1:11" x14ac:dyDescent="0.3">
      <c r="A1416" s="298" t="s">
        <v>4938</v>
      </c>
      <c r="B1416" s="298" t="s">
        <v>4939</v>
      </c>
      <c r="C1416" s="298" t="s">
        <v>593</v>
      </c>
      <c r="D1416" s="298" t="s">
        <v>256</v>
      </c>
      <c r="E1416" s="298"/>
      <c r="F1416" s="298" t="s">
        <v>4940</v>
      </c>
      <c r="G1416" s="299" t="b">
        <v>0</v>
      </c>
      <c r="H1416" s="299" t="b">
        <v>0</v>
      </c>
      <c r="J1416" s="113" t="str">
        <f t="shared" si="45"/>
        <v>913521688</v>
      </c>
      <c r="K1416" s="113" t="str">
        <f t="shared" si="46"/>
        <v>CG01488</v>
      </c>
    </row>
    <row r="1417" spans="1:11" x14ac:dyDescent="0.3">
      <c r="A1417" s="298" t="s">
        <v>4941</v>
      </c>
      <c r="B1417" s="298" t="s">
        <v>4942</v>
      </c>
      <c r="C1417" s="298" t="s">
        <v>892</v>
      </c>
      <c r="D1417" s="298" t="s">
        <v>256</v>
      </c>
      <c r="E1417" s="298"/>
      <c r="F1417" s="298" t="s">
        <v>4943</v>
      </c>
      <c r="G1417" s="299" t="b">
        <v>0</v>
      </c>
      <c r="H1417" s="299" t="b">
        <v>0</v>
      </c>
      <c r="J1417" s="113" t="str">
        <f t="shared" si="45"/>
        <v>945961495</v>
      </c>
      <c r="K1417" s="113" t="str">
        <f t="shared" si="46"/>
        <v>CG01489</v>
      </c>
    </row>
    <row r="1418" spans="1:11" x14ac:dyDescent="0.3">
      <c r="A1418" s="298" t="s">
        <v>4944</v>
      </c>
      <c r="B1418" s="298" t="s">
        <v>4945</v>
      </c>
      <c r="C1418" s="298" t="s">
        <v>4946</v>
      </c>
      <c r="D1418" s="298" t="s">
        <v>256</v>
      </c>
      <c r="E1418" s="298"/>
      <c r="F1418" s="298" t="s">
        <v>4947</v>
      </c>
      <c r="G1418" s="299" t="b">
        <v>0</v>
      </c>
      <c r="H1418" s="299" t="b">
        <v>0</v>
      </c>
      <c r="J1418" s="113" t="str">
        <f t="shared" si="45"/>
        <v>932392107</v>
      </c>
      <c r="K1418" s="113" t="str">
        <f t="shared" si="46"/>
        <v>CG01490</v>
      </c>
    </row>
    <row r="1419" spans="1:11" x14ac:dyDescent="0.3">
      <c r="A1419" s="298" t="s">
        <v>4948</v>
      </c>
      <c r="B1419" s="298" t="s">
        <v>4949</v>
      </c>
      <c r="C1419" s="298" t="s">
        <v>1173</v>
      </c>
      <c r="D1419" s="298" t="s">
        <v>256</v>
      </c>
      <c r="E1419" s="298"/>
      <c r="F1419" s="298" t="s">
        <v>4950</v>
      </c>
      <c r="G1419" s="299" t="b">
        <v>0</v>
      </c>
      <c r="H1419" s="299" t="b">
        <v>0</v>
      </c>
      <c r="J1419" s="113" t="str">
        <f t="shared" si="45"/>
        <v>915912305</v>
      </c>
      <c r="K1419" s="113" t="str">
        <f t="shared" si="46"/>
        <v>CG01491</v>
      </c>
    </row>
    <row r="1420" spans="1:11" x14ac:dyDescent="0.3">
      <c r="A1420" s="298" t="s">
        <v>4951</v>
      </c>
      <c r="B1420" s="298" t="s">
        <v>4952</v>
      </c>
      <c r="C1420" s="298" t="s">
        <v>930</v>
      </c>
      <c r="D1420" s="298" t="s">
        <v>256</v>
      </c>
      <c r="E1420" s="298"/>
      <c r="F1420" s="298" t="s">
        <v>4953</v>
      </c>
      <c r="G1420" s="299" t="b">
        <v>0</v>
      </c>
      <c r="H1420" s="299" t="b">
        <v>0</v>
      </c>
      <c r="J1420" s="113" t="str">
        <f t="shared" si="45"/>
        <v>944497690</v>
      </c>
      <c r="K1420" s="113" t="str">
        <f t="shared" si="46"/>
        <v>CG01492</v>
      </c>
    </row>
    <row r="1421" spans="1:11" x14ac:dyDescent="0.3">
      <c r="A1421" s="298" t="s">
        <v>4954</v>
      </c>
      <c r="B1421" s="298" t="s">
        <v>4955</v>
      </c>
      <c r="C1421" s="298" t="s">
        <v>593</v>
      </c>
      <c r="D1421" s="298" t="s">
        <v>256</v>
      </c>
      <c r="E1421" s="298"/>
      <c r="F1421" s="298" t="s">
        <v>4956</v>
      </c>
      <c r="G1421" s="299" t="b">
        <v>0</v>
      </c>
      <c r="H1421" s="299" t="b">
        <v>0</v>
      </c>
      <c r="J1421" s="113" t="str">
        <f t="shared" si="45"/>
        <v>987324502</v>
      </c>
      <c r="K1421" s="113" t="str">
        <f t="shared" si="46"/>
        <v>CG01493</v>
      </c>
    </row>
    <row r="1422" spans="1:11" x14ac:dyDescent="0.3">
      <c r="A1422" s="298" t="s">
        <v>4957</v>
      </c>
      <c r="B1422" s="298" t="s">
        <v>4958</v>
      </c>
      <c r="C1422" s="298" t="s">
        <v>390</v>
      </c>
      <c r="D1422" s="298" t="s">
        <v>256</v>
      </c>
      <c r="E1422" s="298"/>
      <c r="F1422" s="298" t="s">
        <v>4959</v>
      </c>
      <c r="G1422" s="299" t="b">
        <v>0</v>
      </c>
      <c r="H1422" s="299" t="b">
        <v>0</v>
      </c>
      <c r="J1422" s="113" t="str">
        <f t="shared" si="45"/>
        <v>378166666</v>
      </c>
      <c r="K1422" s="113" t="str">
        <f t="shared" si="46"/>
        <v>CG01494</v>
      </c>
    </row>
    <row r="1423" spans="1:11" x14ac:dyDescent="0.3">
      <c r="A1423" s="298" t="s">
        <v>4960</v>
      </c>
      <c r="B1423" s="298" t="s">
        <v>4961</v>
      </c>
      <c r="C1423" s="298" t="s">
        <v>4962</v>
      </c>
      <c r="D1423" s="298" t="s">
        <v>256</v>
      </c>
      <c r="E1423" s="298"/>
      <c r="F1423" s="298" t="s">
        <v>4963</v>
      </c>
      <c r="G1423" s="299" t="b">
        <v>0</v>
      </c>
      <c r="H1423" s="299" t="b">
        <v>0</v>
      </c>
      <c r="J1423" s="113" t="str">
        <f t="shared" si="45"/>
        <v>962029223</v>
      </c>
      <c r="K1423" s="113" t="str">
        <f t="shared" si="46"/>
        <v>CG01495</v>
      </c>
    </row>
    <row r="1424" spans="1:11" x14ac:dyDescent="0.3">
      <c r="A1424" s="298" t="s">
        <v>4964</v>
      </c>
      <c r="B1424" s="298" t="s">
        <v>4965</v>
      </c>
      <c r="C1424" s="298" t="s">
        <v>593</v>
      </c>
      <c r="D1424" s="298" t="s">
        <v>256</v>
      </c>
      <c r="E1424" s="298"/>
      <c r="F1424" s="298" t="s">
        <v>4966</v>
      </c>
      <c r="G1424" s="299" t="b">
        <v>0</v>
      </c>
      <c r="H1424" s="299" t="b">
        <v>0</v>
      </c>
      <c r="J1424" s="113" t="str">
        <f t="shared" si="45"/>
        <v>984815640</v>
      </c>
      <c r="K1424" s="113" t="str">
        <f t="shared" si="46"/>
        <v>CG01496</v>
      </c>
    </row>
    <row r="1425" spans="1:11" x14ac:dyDescent="0.3">
      <c r="A1425" s="298" t="s">
        <v>4967</v>
      </c>
      <c r="B1425" s="298" t="s">
        <v>4968</v>
      </c>
      <c r="C1425" s="298" t="s">
        <v>1237</v>
      </c>
      <c r="D1425" s="298" t="s">
        <v>256</v>
      </c>
      <c r="E1425" s="298"/>
      <c r="F1425" s="298" t="s">
        <v>4969</v>
      </c>
      <c r="G1425" s="299" t="b">
        <v>0</v>
      </c>
      <c r="H1425" s="299" t="b">
        <v>0</v>
      </c>
      <c r="J1425" s="113" t="str">
        <f t="shared" si="45"/>
        <v>911481913</v>
      </c>
      <c r="K1425" s="113" t="str">
        <f t="shared" si="46"/>
        <v>CG01497</v>
      </c>
    </row>
    <row r="1426" spans="1:11" x14ac:dyDescent="0.3">
      <c r="A1426" s="298" t="s">
        <v>4970</v>
      </c>
      <c r="B1426" s="298" t="s">
        <v>4971</v>
      </c>
      <c r="C1426" s="298" t="s">
        <v>355</v>
      </c>
      <c r="D1426" s="298" t="s">
        <v>256</v>
      </c>
      <c r="E1426" s="298"/>
      <c r="F1426" s="298" t="s">
        <v>4972</v>
      </c>
      <c r="G1426" s="299" t="b">
        <v>0</v>
      </c>
      <c r="H1426" s="299" t="b">
        <v>0</v>
      </c>
      <c r="J1426" s="113" t="str">
        <f t="shared" si="45"/>
        <v>915177026</v>
      </c>
      <c r="K1426" s="113" t="str">
        <f t="shared" si="46"/>
        <v>CG01498</v>
      </c>
    </row>
    <row r="1427" spans="1:11" x14ac:dyDescent="0.3">
      <c r="A1427" s="298" t="s">
        <v>4973</v>
      </c>
      <c r="B1427" s="298" t="s">
        <v>4974</v>
      </c>
      <c r="C1427" s="298" t="s">
        <v>230</v>
      </c>
      <c r="D1427" s="298" t="s">
        <v>256</v>
      </c>
      <c r="E1427" s="298"/>
      <c r="F1427" s="298" t="s">
        <v>4975</v>
      </c>
      <c r="G1427" s="299" t="b">
        <v>0</v>
      </c>
      <c r="H1427" s="299" t="b">
        <v>0</v>
      </c>
      <c r="J1427" s="113" t="str">
        <f t="shared" si="45"/>
        <v>978937646</v>
      </c>
      <c r="K1427" s="113" t="str">
        <f t="shared" si="46"/>
        <v>CG01499</v>
      </c>
    </row>
    <row r="1428" spans="1:11" x14ac:dyDescent="0.3">
      <c r="A1428" s="298" t="s">
        <v>4976</v>
      </c>
      <c r="B1428" s="298" t="s">
        <v>4977</v>
      </c>
      <c r="C1428" s="298" t="s">
        <v>2897</v>
      </c>
      <c r="D1428" s="298" t="s">
        <v>256</v>
      </c>
      <c r="E1428" s="298"/>
      <c r="F1428" s="298" t="s">
        <v>4978</v>
      </c>
      <c r="G1428" s="299" t="b">
        <v>0</v>
      </c>
      <c r="H1428" s="299" t="b">
        <v>0</v>
      </c>
      <c r="J1428" s="113" t="str">
        <f t="shared" si="45"/>
        <v>943905979</v>
      </c>
      <c r="K1428" s="113" t="str">
        <f t="shared" si="46"/>
        <v>CG01500</v>
      </c>
    </row>
    <row r="1429" spans="1:11" x14ac:dyDescent="0.3">
      <c r="A1429" s="298" t="s">
        <v>4979</v>
      </c>
      <c r="B1429" s="298" t="s">
        <v>4980</v>
      </c>
      <c r="C1429" s="298" t="s">
        <v>500</v>
      </c>
      <c r="D1429" s="298" t="s">
        <v>256</v>
      </c>
      <c r="E1429" s="298"/>
      <c r="F1429" s="298" t="s">
        <v>4981</v>
      </c>
      <c r="G1429" s="299" t="b">
        <v>0</v>
      </c>
      <c r="H1429" s="299" t="b">
        <v>0</v>
      </c>
      <c r="J1429" s="113" t="str">
        <f t="shared" si="45"/>
        <v>934240003</v>
      </c>
      <c r="K1429" s="113" t="str">
        <f t="shared" si="46"/>
        <v>CG01501</v>
      </c>
    </row>
    <row r="1430" spans="1:11" x14ac:dyDescent="0.3">
      <c r="A1430" s="298" t="s">
        <v>4982</v>
      </c>
      <c r="B1430" s="298" t="s">
        <v>4983</v>
      </c>
      <c r="C1430" s="298" t="s">
        <v>4004</v>
      </c>
      <c r="D1430" s="298" t="s">
        <v>256</v>
      </c>
      <c r="E1430" s="298" t="s">
        <v>4005</v>
      </c>
      <c r="F1430" s="298" t="s">
        <v>4984</v>
      </c>
      <c r="G1430" s="299" t="b">
        <v>0</v>
      </c>
      <c r="H1430" s="299" t="b">
        <v>0</v>
      </c>
      <c r="J1430" s="113" t="str">
        <f t="shared" si="45"/>
        <v>984957797</v>
      </c>
      <c r="K1430" s="113" t="str">
        <f t="shared" si="46"/>
        <v>CG01502</v>
      </c>
    </row>
    <row r="1431" spans="1:11" x14ac:dyDescent="0.3">
      <c r="A1431" s="298" t="s">
        <v>4985</v>
      </c>
      <c r="B1431" s="298" t="s">
        <v>4986</v>
      </c>
      <c r="C1431" s="298" t="s">
        <v>1237</v>
      </c>
      <c r="D1431" s="298" t="s">
        <v>256</v>
      </c>
      <c r="E1431" s="298"/>
      <c r="F1431" s="298" t="s">
        <v>4987</v>
      </c>
      <c r="G1431" s="299" t="b">
        <v>0</v>
      </c>
      <c r="H1431" s="299" t="b">
        <v>0</v>
      </c>
      <c r="J1431" s="113" t="str">
        <f t="shared" si="45"/>
        <v>372796487</v>
      </c>
      <c r="K1431" s="113" t="str">
        <f t="shared" si="46"/>
        <v>CG01503</v>
      </c>
    </row>
    <row r="1432" spans="1:11" x14ac:dyDescent="0.3">
      <c r="A1432" s="298" t="s">
        <v>4988</v>
      </c>
      <c r="B1432" s="298" t="s">
        <v>4989</v>
      </c>
      <c r="C1432" s="298" t="s">
        <v>541</v>
      </c>
      <c r="D1432" s="298" t="s">
        <v>256</v>
      </c>
      <c r="E1432" s="298"/>
      <c r="F1432" s="298" t="s">
        <v>4990</v>
      </c>
      <c r="G1432" s="299" t="b">
        <v>0</v>
      </c>
      <c r="H1432" s="299" t="b">
        <v>0</v>
      </c>
      <c r="J1432" s="113" t="str">
        <f t="shared" si="45"/>
        <v>988130486</v>
      </c>
      <c r="K1432" s="113" t="str">
        <f t="shared" si="46"/>
        <v>CG01504</v>
      </c>
    </row>
    <row r="1433" spans="1:11" x14ac:dyDescent="0.3">
      <c r="A1433" s="298" t="s">
        <v>4991</v>
      </c>
      <c r="B1433" s="298" t="s">
        <v>4992</v>
      </c>
      <c r="C1433" s="298" t="s">
        <v>292</v>
      </c>
      <c r="D1433" s="298" t="s">
        <v>256</v>
      </c>
      <c r="E1433" s="298"/>
      <c r="F1433" s="298" t="s">
        <v>4993</v>
      </c>
      <c r="G1433" s="299" t="b">
        <v>0</v>
      </c>
      <c r="H1433" s="299" t="b">
        <v>0</v>
      </c>
      <c r="J1433" s="113" t="str">
        <f t="shared" si="45"/>
        <v>912006008</v>
      </c>
      <c r="K1433" s="113" t="str">
        <f t="shared" si="46"/>
        <v>CG01506</v>
      </c>
    </row>
    <row r="1434" spans="1:11" x14ac:dyDescent="0.3">
      <c r="A1434" s="298" t="s">
        <v>4994</v>
      </c>
      <c r="B1434" s="298" t="s">
        <v>4995</v>
      </c>
      <c r="C1434" s="298" t="s">
        <v>1237</v>
      </c>
      <c r="D1434" s="298" t="s">
        <v>256</v>
      </c>
      <c r="E1434" s="298"/>
      <c r="F1434" s="298" t="s">
        <v>4996</v>
      </c>
      <c r="G1434" s="299" t="b">
        <v>0</v>
      </c>
      <c r="H1434" s="299" t="b">
        <v>0</v>
      </c>
      <c r="J1434" s="113" t="str">
        <f t="shared" si="45"/>
        <v>936337566</v>
      </c>
      <c r="K1434" s="113" t="str">
        <f t="shared" si="46"/>
        <v>CG01507</v>
      </c>
    </row>
    <row r="1435" spans="1:11" x14ac:dyDescent="0.3">
      <c r="A1435" s="298" t="s">
        <v>4997</v>
      </c>
      <c r="B1435" s="298" t="s">
        <v>4998</v>
      </c>
      <c r="C1435" s="298" t="s">
        <v>541</v>
      </c>
      <c r="D1435" s="298" t="s">
        <v>256</v>
      </c>
      <c r="E1435" s="298"/>
      <c r="F1435" s="298" t="s">
        <v>4999</v>
      </c>
      <c r="G1435" s="299" t="b">
        <v>0</v>
      </c>
      <c r="H1435" s="299" t="b">
        <v>0</v>
      </c>
      <c r="J1435" s="113" t="str">
        <f t="shared" si="45"/>
        <v>945740233</v>
      </c>
      <c r="K1435" s="113" t="str">
        <f t="shared" si="46"/>
        <v>CG01508</v>
      </c>
    </row>
    <row r="1436" spans="1:11" x14ac:dyDescent="0.3">
      <c r="A1436" s="298" t="s">
        <v>5000</v>
      </c>
      <c r="B1436" s="298" t="s">
        <v>5001</v>
      </c>
      <c r="C1436" s="298" t="s">
        <v>5002</v>
      </c>
      <c r="D1436" s="298" t="s">
        <v>256</v>
      </c>
      <c r="E1436" s="298"/>
      <c r="F1436" s="298" t="s">
        <v>5003</v>
      </c>
      <c r="G1436" s="299" t="b">
        <v>0</v>
      </c>
      <c r="H1436" s="299" t="b">
        <v>0</v>
      </c>
      <c r="J1436" s="113" t="str">
        <f t="shared" si="45"/>
        <v>934578199</v>
      </c>
      <c r="K1436" s="113" t="str">
        <f t="shared" si="46"/>
        <v>CG01509</v>
      </c>
    </row>
    <row r="1437" spans="1:11" x14ac:dyDescent="0.3">
      <c r="A1437" s="298" t="s">
        <v>5004</v>
      </c>
      <c r="B1437" s="298" t="s">
        <v>5005</v>
      </c>
      <c r="C1437" s="298" t="s">
        <v>5006</v>
      </c>
      <c r="D1437" s="298" t="s">
        <v>256</v>
      </c>
      <c r="E1437" s="298"/>
      <c r="F1437" s="298" t="s">
        <v>5007</v>
      </c>
      <c r="G1437" s="299" t="b">
        <v>0</v>
      </c>
      <c r="H1437" s="299" t="b">
        <v>0</v>
      </c>
      <c r="J1437" s="113" t="str">
        <f t="shared" si="45"/>
        <v>967222998</v>
      </c>
      <c r="K1437" s="113" t="str">
        <f t="shared" si="46"/>
        <v>CG01510</v>
      </c>
    </row>
    <row r="1438" spans="1:11" x14ac:dyDescent="0.3">
      <c r="A1438" s="298" t="s">
        <v>5008</v>
      </c>
      <c r="B1438" s="298" t="s">
        <v>5009</v>
      </c>
      <c r="C1438" s="298" t="s">
        <v>1825</v>
      </c>
      <c r="D1438" s="298" t="s">
        <v>256</v>
      </c>
      <c r="E1438" s="298"/>
      <c r="F1438" s="298" t="s">
        <v>5010</v>
      </c>
      <c r="G1438" s="299" t="b">
        <v>0</v>
      </c>
      <c r="H1438" s="299" t="b">
        <v>0</v>
      </c>
      <c r="J1438" s="113" t="str">
        <f t="shared" si="45"/>
        <v>914503759</v>
      </c>
      <c r="K1438" s="113" t="str">
        <f t="shared" si="46"/>
        <v>CG01511</v>
      </c>
    </row>
    <row r="1439" spans="1:11" x14ac:dyDescent="0.3">
      <c r="A1439" s="298" t="s">
        <v>5011</v>
      </c>
      <c r="B1439" s="298" t="s">
        <v>5012</v>
      </c>
      <c r="C1439" s="298" t="s">
        <v>317</v>
      </c>
      <c r="D1439" s="298" t="s">
        <v>256</v>
      </c>
      <c r="E1439" s="298"/>
      <c r="F1439" s="298" t="s">
        <v>5013</v>
      </c>
      <c r="G1439" s="299" t="b">
        <v>0</v>
      </c>
      <c r="H1439" s="299" t="b">
        <v>0</v>
      </c>
      <c r="J1439" s="113" t="str">
        <f t="shared" si="45"/>
        <v>915979594</v>
      </c>
      <c r="K1439" s="113" t="str">
        <f t="shared" si="46"/>
        <v>CG01512</v>
      </c>
    </row>
    <row r="1440" spans="1:11" x14ac:dyDescent="0.3">
      <c r="A1440" s="298" t="s">
        <v>5014</v>
      </c>
      <c r="B1440" s="298" t="s">
        <v>5015</v>
      </c>
      <c r="C1440" s="298" t="s">
        <v>317</v>
      </c>
      <c r="D1440" s="298" t="s">
        <v>256</v>
      </c>
      <c r="E1440" s="298"/>
      <c r="F1440" s="298" t="s">
        <v>5016</v>
      </c>
      <c r="G1440" s="299" t="b">
        <v>0</v>
      </c>
      <c r="H1440" s="299" t="b">
        <v>0</v>
      </c>
      <c r="J1440" s="113" t="str">
        <f t="shared" si="45"/>
        <v>986548222</v>
      </c>
      <c r="K1440" s="113" t="str">
        <f t="shared" si="46"/>
        <v>CG01513</v>
      </c>
    </row>
    <row r="1441" spans="1:11" x14ac:dyDescent="0.3">
      <c r="A1441" s="298" t="s">
        <v>5017</v>
      </c>
      <c r="B1441" s="298" t="s">
        <v>5018</v>
      </c>
      <c r="C1441" s="298" t="s">
        <v>335</v>
      </c>
      <c r="D1441" s="298" t="s">
        <v>256</v>
      </c>
      <c r="E1441" s="298"/>
      <c r="F1441" s="298" t="s">
        <v>5019</v>
      </c>
      <c r="G1441" s="299" t="b">
        <v>0</v>
      </c>
      <c r="H1441" s="299" t="b">
        <v>0</v>
      </c>
      <c r="J1441" s="113" t="str">
        <f t="shared" si="45"/>
        <v>912815115</v>
      </c>
      <c r="K1441" s="113" t="str">
        <f t="shared" si="46"/>
        <v>CG01514</v>
      </c>
    </row>
    <row r="1442" spans="1:11" x14ac:dyDescent="0.3">
      <c r="A1442" s="298" t="s">
        <v>5020</v>
      </c>
      <c r="B1442" s="298" t="s">
        <v>5021</v>
      </c>
      <c r="C1442" s="298" t="s">
        <v>2897</v>
      </c>
      <c r="D1442" s="298" t="s">
        <v>256</v>
      </c>
      <c r="E1442" s="298"/>
      <c r="F1442" s="298" t="s">
        <v>5022</v>
      </c>
      <c r="G1442" s="299" t="b">
        <v>0</v>
      </c>
      <c r="H1442" s="299" t="b">
        <v>0</v>
      </c>
      <c r="J1442" s="113" t="str">
        <f t="shared" si="45"/>
        <v>963228835</v>
      </c>
      <c r="K1442" s="113" t="str">
        <f t="shared" si="46"/>
        <v>CG01515</v>
      </c>
    </row>
    <row r="1443" spans="1:11" x14ac:dyDescent="0.3">
      <c r="A1443" s="298" t="s">
        <v>5023</v>
      </c>
      <c r="B1443" s="298" t="s">
        <v>5024</v>
      </c>
      <c r="C1443" s="298" t="s">
        <v>292</v>
      </c>
      <c r="D1443" s="298" t="s">
        <v>256</v>
      </c>
      <c r="E1443" s="298"/>
      <c r="F1443" s="298" t="s">
        <v>5025</v>
      </c>
      <c r="G1443" s="299" t="b">
        <v>0</v>
      </c>
      <c r="H1443" s="299" t="b">
        <v>0</v>
      </c>
      <c r="J1443" s="113" t="str">
        <f t="shared" si="45"/>
        <v>904312679</v>
      </c>
      <c r="K1443" s="113" t="str">
        <f t="shared" si="46"/>
        <v>CG01516</v>
      </c>
    </row>
    <row r="1444" spans="1:11" x14ac:dyDescent="0.3">
      <c r="A1444" s="298" t="s">
        <v>5026</v>
      </c>
      <c r="B1444" s="298" t="s">
        <v>5027</v>
      </c>
      <c r="C1444" s="298" t="s">
        <v>1587</v>
      </c>
      <c r="D1444" s="298" t="s">
        <v>256</v>
      </c>
      <c r="E1444" s="298"/>
      <c r="F1444" s="298" t="s">
        <v>5028</v>
      </c>
      <c r="G1444" s="299" t="b">
        <v>0</v>
      </c>
      <c r="H1444" s="299" t="b">
        <v>0</v>
      </c>
      <c r="J1444" s="113" t="str">
        <f t="shared" si="45"/>
        <v>822307706</v>
      </c>
      <c r="K1444" s="113" t="str">
        <f t="shared" si="46"/>
        <v>CG01517</v>
      </c>
    </row>
    <row r="1445" spans="1:11" x14ac:dyDescent="0.3">
      <c r="A1445" s="298" t="s">
        <v>5029</v>
      </c>
      <c r="B1445" s="298" t="s">
        <v>5030</v>
      </c>
      <c r="C1445" s="298" t="s">
        <v>809</v>
      </c>
      <c r="D1445" s="298" t="s">
        <v>256</v>
      </c>
      <c r="E1445" s="298"/>
      <c r="F1445" s="298" t="s">
        <v>5031</v>
      </c>
      <c r="G1445" s="299" t="b">
        <v>0</v>
      </c>
      <c r="H1445" s="299" t="b">
        <v>0</v>
      </c>
      <c r="J1445" s="113" t="str">
        <f t="shared" si="45"/>
        <v>977651865</v>
      </c>
      <c r="K1445" s="113" t="str">
        <f t="shared" si="46"/>
        <v>CG01518</v>
      </c>
    </row>
    <row r="1446" spans="1:11" x14ac:dyDescent="0.3">
      <c r="A1446" s="298" t="s">
        <v>5032</v>
      </c>
      <c r="B1446" s="298" t="s">
        <v>5033</v>
      </c>
      <c r="C1446" s="298" t="s">
        <v>809</v>
      </c>
      <c r="D1446" s="298" t="s">
        <v>256</v>
      </c>
      <c r="E1446" s="298"/>
      <c r="F1446" s="298" t="s">
        <v>5034</v>
      </c>
      <c r="G1446" s="299" t="b">
        <v>0</v>
      </c>
      <c r="H1446" s="299" t="b">
        <v>0</v>
      </c>
      <c r="J1446" s="113" t="str">
        <f t="shared" si="45"/>
        <v>388719776</v>
      </c>
      <c r="K1446" s="113" t="str">
        <f t="shared" si="46"/>
        <v>CG01519</v>
      </c>
    </row>
    <row r="1447" spans="1:11" x14ac:dyDescent="0.3">
      <c r="A1447" s="298" t="s">
        <v>5035</v>
      </c>
      <c r="B1447" s="298" t="s">
        <v>5036</v>
      </c>
      <c r="C1447" s="298" t="s">
        <v>997</v>
      </c>
      <c r="D1447" s="298" t="s">
        <v>256</v>
      </c>
      <c r="E1447" s="298"/>
      <c r="F1447" s="298" t="s">
        <v>5037</v>
      </c>
      <c r="G1447" s="299" t="b">
        <v>0</v>
      </c>
      <c r="H1447" s="299" t="b">
        <v>0</v>
      </c>
      <c r="J1447" s="113" t="str">
        <f t="shared" si="45"/>
        <v>985397056</v>
      </c>
      <c r="K1447" s="113" t="str">
        <f t="shared" si="46"/>
        <v>CG01520</v>
      </c>
    </row>
    <row r="1448" spans="1:11" x14ac:dyDescent="0.3">
      <c r="A1448" s="298" t="s">
        <v>5038</v>
      </c>
      <c r="B1448" s="298" t="s">
        <v>5039</v>
      </c>
      <c r="C1448" s="298" t="s">
        <v>541</v>
      </c>
      <c r="D1448" s="298" t="s">
        <v>256</v>
      </c>
      <c r="E1448" s="298"/>
      <c r="F1448" s="298" t="s">
        <v>5040</v>
      </c>
      <c r="G1448" s="299" t="b">
        <v>0</v>
      </c>
      <c r="H1448" s="299" t="b">
        <v>0</v>
      </c>
      <c r="J1448" s="113" t="str">
        <f t="shared" si="45"/>
        <v>977931964</v>
      </c>
      <c r="K1448" s="113" t="str">
        <f t="shared" si="46"/>
        <v>CG01521</v>
      </c>
    </row>
    <row r="1449" spans="1:11" x14ac:dyDescent="0.3">
      <c r="A1449" s="298" t="s">
        <v>5041</v>
      </c>
      <c r="B1449" s="298" t="s">
        <v>5042</v>
      </c>
      <c r="C1449" s="298" t="s">
        <v>4901</v>
      </c>
      <c r="D1449" s="298" t="s">
        <v>256</v>
      </c>
      <c r="E1449" s="298"/>
      <c r="F1449" s="298" t="s">
        <v>5043</v>
      </c>
      <c r="G1449" s="299" t="b">
        <v>0</v>
      </c>
      <c r="H1449" s="299" t="b">
        <v>0</v>
      </c>
      <c r="J1449" s="113" t="str">
        <f t="shared" si="45"/>
        <v>912438099</v>
      </c>
      <c r="K1449" s="113" t="str">
        <f t="shared" si="46"/>
        <v>CG01522</v>
      </c>
    </row>
    <row r="1450" spans="1:11" x14ac:dyDescent="0.3">
      <c r="A1450" s="298" t="s">
        <v>5044</v>
      </c>
      <c r="B1450" s="298" t="s">
        <v>5045</v>
      </c>
      <c r="C1450" s="298" t="s">
        <v>1011</v>
      </c>
      <c r="D1450" s="298" t="s">
        <v>256</v>
      </c>
      <c r="E1450" s="298"/>
      <c r="F1450" s="298" t="s">
        <v>5046</v>
      </c>
      <c r="G1450" s="299" t="b">
        <v>0</v>
      </c>
      <c r="H1450" s="299" t="b">
        <v>0</v>
      </c>
      <c r="J1450" s="113" t="str">
        <f t="shared" si="45"/>
        <v>372603403</v>
      </c>
      <c r="K1450" s="113" t="str">
        <f t="shared" si="46"/>
        <v>CG01523</v>
      </c>
    </row>
    <row r="1451" spans="1:11" x14ac:dyDescent="0.3">
      <c r="A1451" s="298" t="s">
        <v>5047</v>
      </c>
      <c r="B1451" s="298" t="s">
        <v>5048</v>
      </c>
      <c r="C1451" s="298" t="s">
        <v>1011</v>
      </c>
      <c r="D1451" s="298" t="s">
        <v>256</v>
      </c>
      <c r="E1451" s="298"/>
      <c r="F1451" s="298" t="s">
        <v>5049</v>
      </c>
      <c r="G1451" s="299" t="b">
        <v>0</v>
      </c>
      <c r="H1451" s="299" t="b">
        <v>0</v>
      </c>
      <c r="J1451" s="113" t="str">
        <f t="shared" si="45"/>
        <v>976502757</v>
      </c>
      <c r="K1451" s="113" t="str">
        <f t="shared" si="46"/>
        <v>CG01524</v>
      </c>
    </row>
    <row r="1452" spans="1:11" x14ac:dyDescent="0.3">
      <c r="A1452" s="298" t="s">
        <v>5050</v>
      </c>
      <c r="B1452" s="298" t="s">
        <v>5051</v>
      </c>
      <c r="C1452" s="298" t="s">
        <v>1776</v>
      </c>
      <c r="D1452" s="298" t="s">
        <v>256</v>
      </c>
      <c r="E1452" s="298"/>
      <c r="F1452" s="298" t="s">
        <v>5052</v>
      </c>
      <c r="G1452" s="299" t="b">
        <v>0</v>
      </c>
      <c r="H1452" s="299" t="b">
        <v>0</v>
      </c>
      <c r="J1452" s="113" t="str">
        <f t="shared" si="45"/>
        <v>983424037</v>
      </c>
      <c r="K1452" s="113" t="str">
        <f t="shared" si="46"/>
        <v>CG01525</v>
      </c>
    </row>
    <row r="1453" spans="1:11" x14ac:dyDescent="0.3">
      <c r="A1453" s="298" t="s">
        <v>5053</v>
      </c>
      <c r="B1453" s="298" t="s">
        <v>5054</v>
      </c>
      <c r="C1453" s="298" t="s">
        <v>1776</v>
      </c>
      <c r="D1453" s="298" t="s">
        <v>256</v>
      </c>
      <c r="E1453" s="298"/>
      <c r="F1453" s="298" t="s">
        <v>5055</v>
      </c>
      <c r="G1453" s="299" t="b">
        <v>0</v>
      </c>
      <c r="H1453" s="299" t="b">
        <v>0</v>
      </c>
      <c r="J1453" s="113" t="str">
        <f t="shared" si="45"/>
        <v>387885689</v>
      </c>
      <c r="K1453" s="113" t="str">
        <f t="shared" si="46"/>
        <v>CG01526</v>
      </c>
    </row>
    <row r="1454" spans="1:11" x14ac:dyDescent="0.3">
      <c r="A1454" s="298" t="s">
        <v>5056</v>
      </c>
      <c r="B1454" s="298" t="s">
        <v>5057</v>
      </c>
      <c r="C1454" s="298" t="s">
        <v>1004</v>
      </c>
      <c r="D1454" s="298" t="s">
        <v>256</v>
      </c>
      <c r="E1454" s="298"/>
      <c r="F1454" s="298" t="s">
        <v>5058</v>
      </c>
      <c r="G1454" s="299" t="b">
        <v>0</v>
      </c>
      <c r="H1454" s="299" t="b">
        <v>0</v>
      </c>
      <c r="J1454" s="113" t="str">
        <f t="shared" si="45"/>
        <v>973075598</v>
      </c>
      <c r="K1454" s="113" t="str">
        <f t="shared" si="46"/>
        <v>CG01527</v>
      </c>
    </row>
    <row r="1455" spans="1:11" x14ac:dyDescent="0.3">
      <c r="A1455" s="298" t="s">
        <v>5059</v>
      </c>
      <c r="B1455" s="298" t="s">
        <v>5060</v>
      </c>
      <c r="C1455" s="298" t="s">
        <v>5061</v>
      </c>
      <c r="D1455" s="298" t="s">
        <v>256</v>
      </c>
      <c r="E1455" s="298"/>
      <c r="F1455" s="298" t="s">
        <v>5062</v>
      </c>
      <c r="G1455" s="299" t="b">
        <v>0</v>
      </c>
      <c r="H1455" s="299" t="b">
        <v>0</v>
      </c>
      <c r="J1455" s="113" t="str">
        <f t="shared" si="45"/>
        <v>968036668</v>
      </c>
      <c r="K1455" s="113" t="str">
        <f t="shared" si="46"/>
        <v>CG01528</v>
      </c>
    </row>
    <row r="1456" spans="1:11" x14ac:dyDescent="0.3">
      <c r="A1456" s="298" t="s">
        <v>5063</v>
      </c>
      <c r="B1456" s="298" t="s">
        <v>5064</v>
      </c>
      <c r="C1456" s="298" t="s">
        <v>3114</v>
      </c>
      <c r="D1456" s="298" t="s">
        <v>256</v>
      </c>
      <c r="E1456" s="298"/>
      <c r="F1456" s="298" t="s">
        <v>5065</v>
      </c>
      <c r="G1456" s="299" t="b">
        <v>0</v>
      </c>
      <c r="H1456" s="299" t="b">
        <v>0</v>
      </c>
      <c r="J1456" s="113" t="str">
        <f t="shared" si="45"/>
        <v>912032790</v>
      </c>
      <c r="K1456" s="113" t="str">
        <f t="shared" si="46"/>
        <v>CG01529</v>
      </c>
    </row>
    <row r="1457" spans="1:11" x14ac:dyDescent="0.3">
      <c r="A1457" s="298" t="s">
        <v>5066</v>
      </c>
      <c r="B1457" s="298" t="s">
        <v>5067</v>
      </c>
      <c r="C1457" s="298" t="s">
        <v>230</v>
      </c>
      <c r="D1457" s="298" t="s">
        <v>256</v>
      </c>
      <c r="E1457" s="298"/>
      <c r="F1457" s="298" t="s">
        <v>5068</v>
      </c>
      <c r="G1457" s="299" t="b">
        <v>0</v>
      </c>
      <c r="H1457" s="299" t="b">
        <v>0</v>
      </c>
      <c r="J1457" s="113" t="str">
        <f t="shared" si="45"/>
        <v>979717117</v>
      </c>
      <c r="K1457" s="113" t="str">
        <f t="shared" si="46"/>
        <v>CG01530</v>
      </c>
    </row>
    <row r="1458" spans="1:11" x14ac:dyDescent="0.3">
      <c r="A1458" s="298" t="s">
        <v>5069</v>
      </c>
      <c r="B1458" s="298" t="s">
        <v>5070</v>
      </c>
      <c r="C1458" s="298" t="s">
        <v>355</v>
      </c>
      <c r="D1458" s="298" t="s">
        <v>256</v>
      </c>
      <c r="E1458" s="298"/>
      <c r="F1458" s="298" t="s">
        <v>5071</v>
      </c>
      <c r="G1458" s="299" t="b">
        <v>0</v>
      </c>
      <c r="H1458" s="299" t="b">
        <v>0</v>
      </c>
      <c r="J1458" s="113" t="str">
        <f t="shared" si="45"/>
        <v>966628529</v>
      </c>
      <c r="K1458" s="113" t="str">
        <f t="shared" si="46"/>
        <v>CG01531</v>
      </c>
    </row>
    <row r="1459" spans="1:11" x14ac:dyDescent="0.3">
      <c r="A1459" s="298" t="s">
        <v>5072</v>
      </c>
      <c r="B1459" s="298" t="s">
        <v>5073</v>
      </c>
      <c r="C1459" s="298" t="s">
        <v>305</v>
      </c>
      <c r="D1459" s="298" t="s">
        <v>256</v>
      </c>
      <c r="E1459" s="298"/>
      <c r="F1459" s="298" t="s">
        <v>5074</v>
      </c>
      <c r="G1459" s="299" t="b">
        <v>0</v>
      </c>
      <c r="H1459" s="299" t="b">
        <v>0</v>
      </c>
      <c r="J1459" s="113" t="str">
        <f t="shared" si="45"/>
        <v>354107238</v>
      </c>
      <c r="K1459" s="113" t="str">
        <f t="shared" si="46"/>
        <v>CG01532</v>
      </c>
    </row>
    <row r="1460" spans="1:11" x14ac:dyDescent="0.3">
      <c r="A1460" s="298" t="s">
        <v>5075</v>
      </c>
      <c r="B1460" s="298" t="s">
        <v>5076</v>
      </c>
      <c r="C1460" s="298" t="s">
        <v>2763</v>
      </c>
      <c r="D1460" s="298" t="s">
        <v>256</v>
      </c>
      <c r="E1460" s="298"/>
      <c r="F1460" s="298" t="s">
        <v>5077</v>
      </c>
      <c r="G1460" s="299" t="b">
        <v>0</v>
      </c>
      <c r="H1460" s="299" t="b">
        <v>0</v>
      </c>
      <c r="J1460" s="113" t="str">
        <f t="shared" si="45"/>
        <v>775336516</v>
      </c>
      <c r="K1460" s="113" t="str">
        <f t="shared" si="46"/>
        <v>CG01533</v>
      </c>
    </row>
    <row r="1461" spans="1:11" x14ac:dyDescent="0.3">
      <c r="A1461" s="298" t="s">
        <v>5078</v>
      </c>
      <c r="B1461" s="298" t="s">
        <v>5079</v>
      </c>
      <c r="C1461" s="298" t="s">
        <v>5080</v>
      </c>
      <c r="D1461" s="298" t="s">
        <v>256</v>
      </c>
      <c r="E1461" s="298"/>
      <c r="F1461" s="298" t="s">
        <v>5081</v>
      </c>
      <c r="G1461" s="299" t="b">
        <v>0</v>
      </c>
      <c r="H1461" s="299" t="b">
        <v>0</v>
      </c>
      <c r="J1461" s="113" t="str">
        <f t="shared" si="45"/>
        <v>919570887</v>
      </c>
      <c r="K1461" s="113" t="str">
        <f t="shared" si="46"/>
        <v>CG01534</v>
      </c>
    </row>
    <row r="1462" spans="1:11" x14ac:dyDescent="0.3">
      <c r="A1462" s="298" t="s">
        <v>5082</v>
      </c>
      <c r="B1462" s="298" t="s">
        <v>5083</v>
      </c>
      <c r="C1462" s="298" t="s">
        <v>541</v>
      </c>
      <c r="D1462" s="298" t="s">
        <v>256</v>
      </c>
      <c r="E1462" s="298"/>
      <c r="F1462" s="298" t="s">
        <v>5084</v>
      </c>
      <c r="G1462" s="299" t="b">
        <v>0</v>
      </c>
      <c r="H1462" s="299" t="b">
        <v>0</v>
      </c>
      <c r="J1462" s="113" t="str">
        <f t="shared" si="45"/>
        <v>968490909</v>
      </c>
      <c r="K1462" s="113" t="str">
        <f t="shared" si="46"/>
        <v>CG01535</v>
      </c>
    </row>
    <row r="1463" spans="1:11" x14ac:dyDescent="0.3">
      <c r="A1463" s="298" t="s">
        <v>5085</v>
      </c>
      <c r="B1463" s="298" t="s">
        <v>5086</v>
      </c>
      <c r="C1463" s="298" t="s">
        <v>409</v>
      </c>
      <c r="D1463" s="298" t="s">
        <v>256</v>
      </c>
      <c r="E1463" s="298"/>
      <c r="F1463" s="298" t="s">
        <v>5087</v>
      </c>
      <c r="G1463" s="299" t="b">
        <v>0</v>
      </c>
      <c r="H1463" s="299" t="b">
        <v>0</v>
      </c>
      <c r="J1463" s="113" t="str">
        <f t="shared" si="45"/>
        <v>913314863</v>
      </c>
      <c r="K1463" s="113" t="str">
        <f t="shared" si="46"/>
        <v>CG01536</v>
      </c>
    </row>
    <row r="1464" spans="1:11" x14ac:dyDescent="0.3">
      <c r="A1464" s="298" t="s">
        <v>5088</v>
      </c>
      <c r="B1464" s="298" t="s">
        <v>14674</v>
      </c>
      <c r="C1464" s="298" t="s">
        <v>3549</v>
      </c>
      <c r="D1464" s="298" t="s">
        <v>256</v>
      </c>
      <c r="E1464" s="298"/>
      <c r="F1464" s="298" t="s">
        <v>5089</v>
      </c>
      <c r="G1464" s="299" t="b">
        <v>0</v>
      </c>
      <c r="H1464" s="299" t="b">
        <v>0</v>
      </c>
      <c r="J1464" s="113" t="str">
        <f t="shared" si="45"/>
        <v>942301345</v>
      </c>
      <c r="K1464" s="113" t="str">
        <f t="shared" si="46"/>
        <v>CG01537</v>
      </c>
    </row>
    <row r="1465" spans="1:11" x14ac:dyDescent="0.3">
      <c r="A1465" s="298" t="s">
        <v>5090</v>
      </c>
      <c r="B1465" s="298" t="s">
        <v>5091</v>
      </c>
      <c r="C1465" s="298" t="s">
        <v>2763</v>
      </c>
      <c r="D1465" s="298" t="s">
        <v>256</v>
      </c>
      <c r="E1465" s="298"/>
      <c r="F1465" s="298" t="s">
        <v>5092</v>
      </c>
      <c r="G1465" s="299" t="b">
        <v>0</v>
      </c>
      <c r="H1465" s="299" t="b">
        <v>0</v>
      </c>
      <c r="J1465" s="113" t="str">
        <f t="shared" si="45"/>
        <v>969771948</v>
      </c>
      <c r="K1465" s="113" t="str">
        <f t="shared" si="46"/>
        <v>CG01538</v>
      </c>
    </row>
    <row r="1466" spans="1:11" x14ac:dyDescent="0.3">
      <c r="A1466" s="298" t="s">
        <v>5093</v>
      </c>
      <c r="B1466" s="298" t="s">
        <v>5094</v>
      </c>
      <c r="C1466" s="298" t="s">
        <v>495</v>
      </c>
      <c r="D1466" s="298" t="s">
        <v>256</v>
      </c>
      <c r="E1466" s="298"/>
      <c r="F1466" s="298" t="s">
        <v>5095</v>
      </c>
      <c r="G1466" s="299" t="b">
        <v>0</v>
      </c>
      <c r="H1466" s="299" t="b">
        <v>0</v>
      </c>
      <c r="J1466" s="113" t="str">
        <f t="shared" si="45"/>
        <v>972509009</v>
      </c>
      <c r="K1466" s="113" t="str">
        <f t="shared" si="46"/>
        <v>CG01539</v>
      </c>
    </row>
    <row r="1467" spans="1:11" x14ac:dyDescent="0.3">
      <c r="A1467" s="298" t="s">
        <v>5096</v>
      </c>
      <c r="B1467" s="298" t="s">
        <v>5097</v>
      </c>
      <c r="C1467" s="298" t="s">
        <v>5098</v>
      </c>
      <c r="D1467" s="298" t="s">
        <v>256</v>
      </c>
      <c r="E1467" s="298"/>
      <c r="F1467" s="298" t="s">
        <v>5099</v>
      </c>
      <c r="G1467" s="299" t="b">
        <v>0</v>
      </c>
      <c r="H1467" s="299" t="b">
        <v>0</v>
      </c>
      <c r="J1467" s="113" t="str">
        <f t="shared" si="45"/>
        <v>936774966</v>
      </c>
      <c r="K1467" s="113" t="str">
        <f t="shared" si="46"/>
        <v>CG01540</v>
      </c>
    </row>
    <row r="1468" spans="1:11" x14ac:dyDescent="0.3">
      <c r="A1468" s="298" t="s">
        <v>5100</v>
      </c>
      <c r="B1468" s="298" t="s">
        <v>5101</v>
      </c>
      <c r="C1468" s="298" t="s">
        <v>541</v>
      </c>
      <c r="D1468" s="298" t="s">
        <v>256</v>
      </c>
      <c r="E1468" s="298"/>
      <c r="F1468" s="298" t="s">
        <v>5102</v>
      </c>
      <c r="G1468" s="299" t="b">
        <v>0</v>
      </c>
      <c r="H1468" s="299" t="b">
        <v>0</v>
      </c>
      <c r="J1468" s="113" t="str">
        <f t="shared" si="45"/>
        <v>974127898</v>
      </c>
      <c r="K1468" s="113" t="str">
        <f t="shared" si="46"/>
        <v>CG01541</v>
      </c>
    </row>
    <row r="1469" spans="1:11" x14ac:dyDescent="0.3">
      <c r="A1469" s="298" t="s">
        <v>5103</v>
      </c>
      <c r="B1469" s="298" t="s">
        <v>5104</v>
      </c>
      <c r="C1469" s="298" t="s">
        <v>355</v>
      </c>
      <c r="D1469" s="298" t="s">
        <v>256</v>
      </c>
      <c r="E1469" s="298"/>
      <c r="F1469" s="298" t="s">
        <v>5105</v>
      </c>
      <c r="G1469" s="299" t="b">
        <v>0</v>
      </c>
      <c r="H1469" s="299" t="b">
        <v>0</v>
      </c>
      <c r="J1469" s="113" t="str">
        <f t="shared" si="45"/>
        <v>983233593</v>
      </c>
      <c r="K1469" s="113" t="str">
        <f t="shared" si="46"/>
        <v>CG01542</v>
      </c>
    </row>
    <row r="1470" spans="1:11" x14ac:dyDescent="0.3">
      <c r="A1470" s="298" t="s">
        <v>5106</v>
      </c>
      <c r="B1470" s="298" t="s">
        <v>5107</v>
      </c>
      <c r="C1470" s="298" t="s">
        <v>355</v>
      </c>
      <c r="D1470" s="298" t="s">
        <v>256</v>
      </c>
      <c r="E1470" s="298"/>
      <c r="F1470" s="298" t="s">
        <v>5108</v>
      </c>
      <c r="G1470" s="299" t="b">
        <v>0</v>
      </c>
      <c r="H1470" s="299" t="b">
        <v>0</v>
      </c>
      <c r="J1470" s="113" t="str">
        <f t="shared" si="45"/>
        <v>914634980</v>
      </c>
      <c r="K1470" s="113" t="str">
        <f t="shared" si="46"/>
        <v>CG01543</v>
      </c>
    </row>
    <row r="1471" spans="1:11" x14ac:dyDescent="0.3">
      <c r="A1471" s="298" t="s">
        <v>5109</v>
      </c>
      <c r="B1471" s="298" t="s">
        <v>5110</v>
      </c>
      <c r="C1471" s="298" t="s">
        <v>711</v>
      </c>
      <c r="D1471" s="298" t="s">
        <v>256</v>
      </c>
      <c r="E1471" s="298"/>
      <c r="F1471" s="298" t="s">
        <v>5111</v>
      </c>
      <c r="G1471" s="299" t="b">
        <v>0</v>
      </c>
      <c r="H1471" s="299" t="b">
        <v>0</v>
      </c>
      <c r="J1471" s="113" t="str">
        <f t="shared" si="45"/>
        <v>915685063</v>
      </c>
      <c r="K1471" s="113" t="str">
        <f t="shared" si="46"/>
        <v>CG01544</v>
      </c>
    </row>
    <row r="1472" spans="1:11" x14ac:dyDescent="0.3">
      <c r="A1472" s="298" t="s">
        <v>5112</v>
      </c>
      <c r="B1472" s="298" t="s">
        <v>5113</v>
      </c>
      <c r="C1472" s="298" t="s">
        <v>452</v>
      </c>
      <c r="D1472" s="298" t="s">
        <v>256</v>
      </c>
      <c r="E1472" s="298"/>
      <c r="F1472" s="298" t="s">
        <v>5114</v>
      </c>
      <c r="G1472" s="299" t="b">
        <v>0</v>
      </c>
      <c r="H1472" s="299" t="b">
        <v>0</v>
      </c>
      <c r="J1472" s="113" t="str">
        <f t="shared" si="45"/>
        <v>904033235</v>
      </c>
      <c r="K1472" s="113" t="str">
        <f t="shared" si="46"/>
        <v>CG01545</v>
      </c>
    </row>
    <row r="1473" spans="1:11" x14ac:dyDescent="0.3">
      <c r="A1473" s="298" t="s">
        <v>5115</v>
      </c>
      <c r="B1473" s="298" t="s">
        <v>5116</v>
      </c>
      <c r="C1473" s="298" t="s">
        <v>375</v>
      </c>
      <c r="D1473" s="298" t="s">
        <v>256</v>
      </c>
      <c r="E1473" s="298"/>
      <c r="F1473" s="298" t="s">
        <v>5117</v>
      </c>
      <c r="G1473" s="299" t="b">
        <v>0</v>
      </c>
      <c r="H1473" s="299" t="b">
        <v>0</v>
      </c>
      <c r="J1473" s="113" t="str">
        <f t="shared" si="45"/>
        <v>382955358</v>
      </c>
      <c r="K1473" s="113" t="str">
        <f t="shared" si="46"/>
        <v>CG01546</v>
      </c>
    </row>
    <row r="1474" spans="1:11" x14ac:dyDescent="0.3">
      <c r="A1474" s="298" t="s">
        <v>5118</v>
      </c>
      <c r="B1474" s="298" t="s">
        <v>5119</v>
      </c>
      <c r="C1474" s="298" t="s">
        <v>903</v>
      </c>
      <c r="D1474" s="298" t="s">
        <v>256</v>
      </c>
      <c r="E1474" s="298"/>
      <c r="F1474" s="298" t="s">
        <v>5120</v>
      </c>
      <c r="G1474" s="299" t="b">
        <v>0</v>
      </c>
      <c r="H1474" s="299" t="b">
        <v>0</v>
      </c>
      <c r="J1474" s="113" t="str">
        <f t="shared" si="45"/>
        <v>368698868</v>
      </c>
      <c r="K1474" s="113" t="str">
        <f t="shared" si="46"/>
        <v>CG01547</v>
      </c>
    </row>
    <row r="1475" spans="1:11" x14ac:dyDescent="0.3">
      <c r="A1475" s="298" t="s">
        <v>5121</v>
      </c>
      <c r="B1475" s="298" t="s">
        <v>5122</v>
      </c>
      <c r="C1475" s="298" t="s">
        <v>335</v>
      </c>
      <c r="D1475" s="298" t="s">
        <v>256</v>
      </c>
      <c r="E1475" s="298"/>
      <c r="F1475" s="298" t="s">
        <v>5123</v>
      </c>
      <c r="G1475" s="299" t="b">
        <v>0</v>
      </c>
      <c r="H1475" s="299" t="b">
        <v>0</v>
      </c>
      <c r="J1475" s="113" t="str">
        <f t="shared" si="45"/>
        <v>904033546</v>
      </c>
      <c r="K1475" s="113" t="str">
        <f t="shared" si="46"/>
        <v>CG01548</v>
      </c>
    </row>
    <row r="1476" spans="1:11" x14ac:dyDescent="0.3">
      <c r="A1476" s="298" t="s">
        <v>5124</v>
      </c>
      <c r="B1476" s="298" t="s">
        <v>5125</v>
      </c>
      <c r="C1476" s="298" t="s">
        <v>1444</v>
      </c>
      <c r="D1476" s="298" t="s">
        <v>256</v>
      </c>
      <c r="E1476" s="298"/>
      <c r="F1476" s="298" t="s">
        <v>5126</v>
      </c>
      <c r="G1476" s="299" t="b">
        <v>0</v>
      </c>
      <c r="H1476" s="299" t="b">
        <v>0</v>
      </c>
      <c r="J1476" s="113" t="str">
        <f t="shared" si="45"/>
        <v>916894689</v>
      </c>
      <c r="K1476" s="113" t="str">
        <f t="shared" si="46"/>
        <v>CG01549</v>
      </c>
    </row>
    <row r="1477" spans="1:11" x14ac:dyDescent="0.3">
      <c r="A1477" s="298" t="s">
        <v>5127</v>
      </c>
      <c r="B1477" s="298" t="s">
        <v>5128</v>
      </c>
      <c r="C1477" s="298" t="s">
        <v>289</v>
      </c>
      <c r="D1477" s="298" t="s">
        <v>256</v>
      </c>
      <c r="E1477" s="298"/>
      <c r="F1477" s="298" t="s">
        <v>5129</v>
      </c>
      <c r="G1477" s="299" t="b">
        <v>0</v>
      </c>
      <c r="H1477" s="299" t="b">
        <v>0</v>
      </c>
      <c r="J1477" s="113" t="str">
        <f t="shared" ref="J1477:J1540" si="47">RIGHT(B1477,9)</f>
        <v>915899891</v>
      </c>
      <c r="K1477" s="113" t="str">
        <f t="shared" ref="K1477:K1540" si="48">A1477</f>
        <v>CG01550</v>
      </c>
    </row>
    <row r="1478" spans="1:11" x14ac:dyDescent="0.3">
      <c r="A1478" s="298" t="s">
        <v>5130</v>
      </c>
      <c r="B1478" s="298" t="s">
        <v>5131</v>
      </c>
      <c r="C1478" s="298" t="s">
        <v>340</v>
      </c>
      <c r="D1478" s="298" t="s">
        <v>256</v>
      </c>
      <c r="E1478" s="298"/>
      <c r="F1478" s="298" t="s">
        <v>5132</v>
      </c>
      <c r="G1478" s="299" t="b">
        <v>0</v>
      </c>
      <c r="H1478" s="299" t="b">
        <v>0</v>
      </c>
      <c r="J1478" s="113" t="str">
        <f t="shared" si="47"/>
        <v>986118702</v>
      </c>
      <c r="K1478" s="113" t="str">
        <f t="shared" si="48"/>
        <v>CG01551</v>
      </c>
    </row>
    <row r="1479" spans="1:11" x14ac:dyDescent="0.3">
      <c r="A1479" s="298" t="s">
        <v>5133</v>
      </c>
      <c r="B1479" s="298" t="s">
        <v>13302</v>
      </c>
      <c r="C1479" s="298" t="s">
        <v>10028</v>
      </c>
      <c r="D1479" s="298" t="s">
        <v>256</v>
      </c>
      <c r="E1479" s="298"/>
      <c r="F1479" s="298" t="s">
        <v>5134</v>
      </c>
      <c r="G1479" s="299" t="b">
        <v>0</v>
      </c>
      <c r="H1479" s="299" t="b">
        <v>0</v>
      </c>
      <c r="J1479" s="113" t="str">
        <f t="shared" si="47"/>
        <v>346784545</v>
      </c>
      <c r="K1479" s="113" t="str">
        <f t="shared" si="48"/>
        <v>CG01552</v>
      </c>
    </row>
    <row r="1480" spans="1:11" x14ac:dyDescent="0.3">
      <c r="A1480" s="298" t="s">
        <v>5135</v>
      </c>
      <c r="B1480" s="298" t="s">
        <v>5136</v>
      </c>
      <c r="C1480" s="298" t="s">
        <v>5137</v>
      </c>
      <c r="D1480" s="298" t="s">
        <v>256</v>
      </c>
      <c r="E1480" s="298"/>
      <c r="F1480" s="298" t="s">
        <v>5138</v>
      </c>
      <c r="G1480" s="299" t="b">
        <v>0</v>
      </c>
      <c r="H1480" s="299" t="b">
        <v>0</v>
      </c>
      <c r="J1480" s="113" t="str">
        <f t="shared" si="47"/>
        <v>946481500</v>
      </c>
      <c r="K1480" s="113" t="str">
        <f t="shared" si="48"/>
        <v>CG01553</v>
      </c>
    </row>
    <row r="1481" spans="1:11" x14ac:dyDescent="0.3">
      <c r="A1481" s="298" t="s">
        <v>5139</v>
      </c>
      <c r="B1481" s="298" t="s">
        <v>5140</v>
      </c>
      <c r="C1481" s="298" t="s">
        <v>541</v>
      </c>
      <c r="D1481" s="298" t="s">
        <v>256</v>
      </c>
      <c r="E1481" s="298"/>
      <c r="F1481" s="298" t="s">
        <v>5141</v>
      </c>
      <c r="G1481" s="299" t="b">
        <v>0</v>
      </c>
      <c r="H1481" s="299" t="b">
        <v>0</v>
      </c>
      <c r="J1481" s="113" t="str">
        <f t="shared" si="47"/>
        <v>915837799</v>
      </c>
      <c r="K1481" s="113" t="str">
        <f t="shared" si="48"/>
        <v>CG01554</v>
      </c>
    </row>
    <row r="1482" spans="1:11" x14ac:dyDescent="0.3">
      <c r="A1482" s="298" t="s">
        <v>5142</v>
      </c>
      <c r="B1482" s="298" t="s">
        <v>5143</v>
      </c>
      <c r="C1482" s="298" t="s">
        <v>1671</v>
      </c>
      <c r="D1482" s="298" t="s">
        <v>256</v>
      </c>
      <c r="E1482" s="298"/>
      <c r="F1482" s="298" t="s">
        <v>5144</v>
      </c>
      <c r="G1482" s="299" t="b">
        <v>0</v>
      </c>
      <c r="H1482" s="299" t="b">
        <v>0</v>
      </c>
      <c r="J1482" s="113" t="str">
        <f t="shared" si="47"/>
        <v>836696012</v>
      </c>
      <c r="K1482" s="113" t="str">
        <f t="shared" si="48"/>
        <v>CG01555</v>
      </c>
    </row>
    <row r="1483" spans="1:11" x14ac:dyDescent="0.3">
      <c r="A1483" s="298" t="s">
        <v>5145</v>
      </c>
      <c r="B1483" s="298" t="s">
        <v>5146</v>
      </c>
      <c r="C1483" s="298" t="s">
        <v>541</v>
      </c>
      <c r="D1483" s="298" t="s">
        <v>256</v>
      </c>
      <c r="E1483" s="298"/>
      <c r="F1483" s="298" t="s">
        <v>5147</v>
      </c>
      <c r="G1483" s="299" t="b">
        <v>0</v>
      </c>
      <c r="H1483" s="299" t="b">
        <v>0</v>
      </c>
      <c r="J1483" s="113" t="str">
        <f t="shared" si="47"/>
        <v>975624218</v>
      </c>
      <c r="K1483" s="113" t="str">
        <f t="shared" si="48"/>
        <v>CG01556</v>
      </c>
    </row>
    <row r="1484" spans="1:11" x14ac:dyDescent="0.3">
      <c r="A1484" s="298" t="s">
        <v>5148</v>
      </c>
      <c r="B1484" s="298" t="s">
        <v>5149</v>
      </c>
      <c r="C1484" s="298" t="s">
        <v>5150</v>
      </c>
      <c r="D1484" s="298" t="s">
        <v>256</v>
      </c>
      <c r="E1484" s="298"/>
      <c r="F1484" s="298" t="s">
        <v>5151</v>
      </c>
      <c r="G1484" s="299" t="b">
        <v>0</v>
      </c>
      <c r="H1484" s="299" t="b">
        <v>0</v>
      </c>
      <c r="J1484" s="113" t="str">
        <f t="shared" si="47"/>
        <v>915245733</v>
      </c>
      <c r="K1484" s="113" t="str">
        <f t="shared" si="48"/>
        <v>CG01557</v>
      </c>
    </row>
    <row r="1485" spans="1:11" x14ac:dyDescent="0.3">
      <c r="A1485" s="298" t="s">
        <v>5152</v>
      </c>
      <c r="B1485" s="298" t="s">
        <v>5153</v>
      </c>
      <c r="C1485" s="298" t="s">
        <v>2114</v>
      </c>
      <c r="D1485" s="298" t="s">
        <v>256</v>
      </c>
      <c r="E1485" s="298"/>
      <c r="F1485" s="298" t="s">
        <v>5154</v>
      </c>
      <c r="G1485" s="299" t="b">
        <v>0</v>
      </c>
      <c r="H1485" s="299" t="b">
        <v>0</v>
      </c>
      <c r="J1485" s="113" t="str">
        <f t="shared" si="47"/>
        <v>986700514</v>
      </c>
      <c r="K1485" s="113" t="str">
        <f t="shared" si="48"/>
        <v>CG01558</v>
      </c>
    </row>
    <row r="1486" spans="1:11" x14ac:dyDescent="0.3">
      <c r="A1486" s="298" t="s">
        <v>5155</v>
      </c>
      <c r="B1486" s="298" t="s">
        <v>5156</v>
      </c>
      <c r="C1486" s="298" t="s">
        <v>541</v>
      </c>
      <c r="D1486" s="298" t="s">
        <v>256</v>
      </c>
      <c r="E1486" s="298"/>
      <c r="F1486" s="298" t="s">
        <v>5157</v>
      </c>
      <c r="G1486" s="299" t="b">
        <v>0</v>
      </c>
      <c r="H1486" s="299" t="b">
        <v>0</v>
      </c>
      <c r="J1486" s="113" t="str">
        <f t="shared" si="47"/>
        <v>913532008</v>
      </c>
      <c r="K1486" s="113" t="str">
        <f t="shared" si="48"/>
        <v>CG01559</v>
      </c>
    </row>
    <row r="1487" spans="1:11" x14ac:dyDescent="0.3">
      <c r="A1487" s="298" t="s">
        <v>5158</v>
      </c>
      <c r="B1487" s="298" t="s">
        <v>5159</v>
      </c>
      <c r="C1487" s="298" t="s">
        <v>5160</v>
      </c>
      <c r="D1487" s="298" t="s">
        <v>256</v>
      </c>
      <c r="E1487" s="298"/>
      <c r="F1487" s="298" t="s">
        <v>5161</v>
      </c>
      <c r="G1487" s="299" t="b">
        <v>0</v>
      </c>
      <c r="H1487" s="299" t="b">
        <v>0</v>
      </c>
      <c r="J1487" s="113" t="str">
        <f t="shared" si="47"/>
        <v>913826668</v>
      </c>
      <c r="K1487" s="113" t="str">
        <f t="shared" si="48"/>
        <v>CG01560</v>
      </c>
    </row>
    <row r="1488" spans="1:11" x14ac:dyDescent="0.3">
      <c r="A1488" s="298" t="s">
        <v>5162</v>
      </c>
      <c r="B1488" s="298" t="s">
        <v>5163</v>
      </c>
      <c r="C1488" s="298" t="s">
        <v>416</v>
      </c>
      <c r="D1488" s="298" t="s">
        <v>256</v>
      </c>
      <c r="E1488" s="298"/>
      <c r="F1488" s="298" t="s">
        <v>5164</v>
      </c>
      <c r="G1488" s="299" t="b">
        <v>0</v>
      </c>
      <c r="H1488" s="299" t="b">
        <v>0</v>
      </c>
      <c r="J1488" s="113" t="str">
        <f t="shared" si="47"/>
        <v>904492697</v>
      </c>
      <c r="K1488" s="113" t="str">
        <f t="shared" si="48"/>
        <v>CG01561</v>
      </c>
    </row>
    <row r="1489" spans="1:11" x14ac:dyDescent="0.3">
      <c r="A1489" s="298" t="s">
        <v>5165</v>
      </c>
      <c r="B1489" s="298" t="s">
        <v>5166</v>
      </c>
      <c r="C1489" s="298" t="s">
        <v>613</v>
      </c>
      <c r="D1489" s="298" t="s">
        <v>256</v>
      </c>
      <c r="E1489" s="298"/>
      <c r="F1489" s="298" t="s">
        <v>5167</v>
      </c>
      <c r="G1489" s="299" t="b">
        <v>0</v>
      </c>
      <c r="H1489" s="299" t="b">
        <v>0</v>
      </c>
      <c r="J1489" s="113" t="str">
        <f t="shared" si="47"/>
        <v>971867222</v>
      </c>
      <c r="K1489" s="113" t="str">
        <f t="shared" si="48"/>
        <v>CG01562</v>
      </c>
    </row>
    <row r="1490" spans="1:11" x14ac:dyDescent="0.3">
      <c r="A1490" s="298" t="s">
        <v>5168</v>
      </c>
      <c r="B1490" s="298" t="s">
        <v>5169</v>
      </c>
      <c r="C1490" s="298" t="s">
        <v>2659</v>
      </c>
      <c r="D1490" s="298" t="s">
        <v>256</v>
      </c>
      <c r="E1490" s="298"/>
      <c r="F1490" s="298" t="s">
        <v>5170</v>
      </c>
      <c r="G1490" s="299" t="b">
        <v>0</v>
      </c>
      <c r="H1490" s="299" t="b">
        <v>0</v>
      </c>
      <c r="J1490" s="113" t="str">
        <f t="shared" si="47"/>
        <v>933678868</v>
      </c>
      <c r="K1490" s="113" t="str">
        <f t="shared" si="48"/>
        <v>CG01563</v>
      </c>
    </row>
    <row r="1491" spans="1:11" x14ac:dyDescent="0.3">
      <c r="A1491" s="298" t="s">
        <v>5171</v>
      </c>
      <c r="B1491" s="298" t="s">
        <v>13303</v>
      </c>
      <c r="C1491" s="298" t="s">
        <v>13304</v>
      </c>
      <c r="D1491" s="298" t="s">
        <v>256</v>
      </c>
      <c r="E1491" s="298"/>
      <c r="F1491" s="298" t="s">
        <v>13305</v>
      </c>
      <c r="G1491" s="299" t="b">
        <v>0</v>
      </c>
      <c r="H1491" s="299" t="b">
        <v>0</v>
      </c>
      <c r="J1491" s="113" t="str">
        <f t="shared" si="47"/>
        <v>935760999</v>
      </c>
      <c r="K1491" s="113" t="str">
        <f t="shared" si="48"/>
        <v>CG01564</v>
      </c>
    </row>
    <row r="1492" spans="1:11" x14ac:dyDescent="0.3">
      <c r="A1492" s="298" t="s">
        <v>5172</v>
      </c>
      <c r="B1492" s="298" t="s">
        <v>5173</v>
      </c>
      <c r="C1492" s="298" t="s">
        <v>2713</v>
      </c>
      <c r="D1492" s="298" t="s">
        <v>256</v>
      </c>
      <c r="E1492" s="298"/>
      <c r="F1492" s="298" t="s">
        <v>5174</v>
      </c>
      <c r="G1492" s="299" t="b">
        <v>0</v>
      </c>
      <c r="H1492" s="299" t="b">
        <v>0</v>
      </c>
      <c r="J1492" s="113" t="str">
        <f t="shared" si="47"/>
        <v>352327975</v>
      </c>
      <c r="K1492" s="113" t="str">
        <f t="shared" si="48"/>
        <v>CG01565</v>
      </c>
    </row>
    <row r="1493" spans="1:11" x14ac:dyDescent="0.3">
      <c r="A1493" s="298" t="s">
        <v>5175</v>
      </c>
      <c r="B1493" s="298" t="s">
        <v>5176</v>
      </c>
      <c r="C1493" s="298" t="s">
        <v>2650</v>
      </c>
      <c r="D1493" s="298" t="s">
        <v>256</v>
      </c>
      <c r="E1493" s="298"/>
      <c r="F1493" s="298" t="s">
        <v>5177</v>
      </c>
      <c r="G1493" s="299" t="b">
        <v>0</v>
      </c>
      <c r="H1493" s="299" t="b">
        <v>0</v>
      </c>
      <c r="J1493" s="113" t="str">
        <f t="shared" si="47"/>
        <v>373500142</v>
      </c>
      <c r="K1493" s="113" t="str">
        <f t="shared" si="48"/>
        <v>CG01566</v>
      </c>
    </row>
    <row r="1494" spans="1:11" x14ac:dyDescent="0.3">
      <c r="A1494" s="298" t="s">
        <v>5178</v>
      </c>
      <c r="B1494" s="298" t="s">
        <v>5179</v>
      </c>
      <c r="C1494" s="298" t="s">
        <v>2531</v>
      </c>
      <c r="D1494" s="298" t="s">
        <v>256</v>
      </c>
      <c r="E1494" s="298"/>
      <c r="F1494" s="298" t="s">
        <v>5180</v>
      </c>
      <c r="G1494" s="299" t="b">
        <v>0</v>
      </c>
      <c r="H1494" s="299" t="b">
        <v>0</v>
      </c>
      <c r="J1494" s="113" t="str">
        <f t="shared" si="47"/>
        <v>969969988</v>
      </c>
      <c r="K1494" s="113" t="str">
        <f t="shared" si="48"/>
        <v>CG01567</v>
      </c>
    </row>
    <row r="1495" spans="1:11" x14ac:dyDescent="0.3">
      <c r="A1495" s="298" t="s">
        <v>5181</v>
      </c>
      <c r="B1495" s="298" t="s">
        <v>5182</v>
      </c>
      <c r="C1495" s="298" t="s">
        <v>5183</v>
      </c>
      <c r="D1495" s="298" t="s">
        <v>256</v>
      </c>
      <c r="E1495" s="298"/>
      <c r="F1495" s="298" t="s">
        <v>5184</v>
      </c>
      <c r="G1495" s="299" t="b">
        <v>0</v>
      </c>
      <c r="H1495" s="299" t="b">
        <v>0</v>
      </c>
      <c r="J1495" s="113" t="str">
        <f t="shared" si="47"/>
        <v>367128421</v>
      </c>
      <c r="K1495" s="113" t="str">
        <f t="shared" si="48"/>
        <v>CG01568</v>
      </c>
    </row>
    <row r="1496" spans="1:11" x14ac:dyDescent="0.3">
      <c r="A1496" s="298" t="s">
        <v>5185</v>
      </c>
      <c r="B1496" s="298" t="s">
        <v>5186</v>
      </c>
      <c r="C1496" s="298" t="s">
        <v>718</v>
      </c>
      <c r="D1496" s="298" t="s">
        <v>256</v>
      </c>
      <c r="E1496" s="298"/>
      <c r="F1496" s="298" t="s">
        <v>5187</v>
      </c>
      <c r="G1496" s="299" t="b">
        <v>0</v>
      </c>
      <c r="H1496" s="299" t="b">
        <v>0</v>
      </c>
      <c r="J1496" s="113" t="str">
        <f t="shared" si="47"/>
        <v>977425636</v>
      </c>
      <c r="K1496" s="113" t="str">
        <f t="shared" si="48"/>
        <v>CG01569</v>
      </c>
    </row>
    <row r="1497" spans="1:11" x14ac:dyDescent="0.3">
      <c r="A1497" s="298" t="s">
        <v>5188</v>
      </c>
      <c r="B1497" s="298" t="s">
        <v>5189</v>
      </c>
      <c r="C1497" s="298" t="s">
        <v>231</v>
      </c>
      <c r="D1497" s="298" t="s">
        <v>256</v>
      </c>
      <c r="E1497" s="298"/>
      <c r="F1497" s="298" t="s">
        <v>5190</v>
      </c>
      <c r="G1497" s="299" t="b">
        <v>0</v>
      </c>
      <c r="H1497" s="299" t="b">
        <v>0</v>
      </c>
      <c r="J1497" s="113" t="str">
        <f t="shared" si="47"/>
        <v>986848183</v>
      </c>
      <c r="K1497" s="113" t="str">
        <f t="shared" si="48"/>
        <v>CG01570</v>
      </c>
    </row>
    <row r="1498" spans="1:11" x14ac:dyDescent="0.3">
      <c r="A1498" s="298" t="s">
        <v>5191</v>
      </c>
      <c r="B1498" s="298" t="s">
        <v>5192</v>
      </c>
      <c r="C1498" s="298" t="s">
        <v>355</v>
      </c>
      <c r="D1498" s="298" t="s">
        <v>256</v>
      </c>
      <c r="E1498" s="298"/>
      <c r="F1498" s="298" t="s">
        <v>5193</v>
      </c>
      <c r="G1498" s="299" t="b">
        <v>0</v>
      </c>
      <c r="H1498" s="299" t="b">
        <v>0</v>
      </c>
      <c r="J1498" s="113" t="str">
        <f t="shared" si="47"/>
        <v>982423348</v>
      </c>
      <c r="K1498" s="113" t="str">
        <f t="shared" si="48"/>
        <v>CG01571</v>
      </c>
    </row>
    <row r="1499" spans="1:11" x14ac:dyDescent="0.3">
      <c r="A1499" s="298" t="s">
        <v>5194</v>
      </c>
      <c r="B1499" s="298" t="s">
        <v>5195</v>
      </c>
      <c r="C1499" s="298" t="s">
        <v>409</v>
      </c>
      <c r="D1499" s="298" t="s">
        <v>256</v>
      </c>
      <c r="E1499" s="298"/>
      <c r="F1499" s="298" t="s">
        <v>5196</v>
      </c>
      <c r="G1499" s="299" t="b">
        <v>0</v>
      </c>
      <c r="H1499" s="299" t="b">
        <v>0</v>
      </c>
      <c r="J1499" s="113" t="str">
        <f t="shared" si="47"/>
        <v>964728889</v>
      </c>
      <c r="K1499" s="113" t="str">
        <f t="shared" si="48"/>
        <v>CG01572</v>
      </c>
    </row>
    <row r="1500" spans="1:11" x14ac:dyDescent="0.3">
      <c r="A1500" s="298" t="s">
        <v>5197</v>
      </c>
      <c r="B1500" s="298" t="s">
        <v>5198</v>
      </c>
      <c r="C1500" s="298" t="s">
        <v>4162</v>
      </c>
      <c r="D1500" s="298" t="s">
        <v>256</v>
      </c>
      <c r="E1500" s="298"/>
      <c r="F1500" s="298" t="s">
        <v>5199</v>
      </c>
      <c r="G1500" s="299" t="b">
        <v>0</v>
      </c>
      <c r="H1500" s="299" t="b">
        <v>0</v>
      </c>
      <c r="J1500" s="113" t="str">
        <f t="shared" si="47"/>
        <v>915001596</v>
      </c>
      <c r="K1500" s="113" t="str">
        <f t="shared" si="48"/>
        <v>CG01574</v>
      </c>
    </row>
    <row r="1501" spans="1:11" x14ac:dyDescent="0.3">
      <c r="A1501" s="298" t="s">
        <v>5200</v>
      </c>
      <c r="B1501" s="298" t="s">
        <v>5201</v>
      </c>
      <c r="C1501" s="298" t="s">
        <v>286</v>
      </c>
      <c r="D1501" s="298" t="s">
        <v>256</v>
      </c>
      <c r="E1501" s="298"/>
      <c r="F1501" s="298" t="s">
        <v>5202</v>
      </c>
      <c r="G1501" s="299" t="b">
        <v>0</v>
      </c>
      <c r="H1501" s="299" t="b">
        <v>0</v>
      </c>
      <c r="J1501" s="113" t="str">
        <f t="shared" si="47"/>
        <v>982961682</v>
      </c>
      <c r="K1501" s="113" t="str">
        <f t="shared" si="48"/>
        <v>CG01575</v>
      </c>
    </row>
    <row r="1502" spans="1:11" x14ac:dyDescent="0.3">
      <c r="A1502" s="298" t="s">
        <v>5203</v>
      </c>
      <c r="B1502" s="298" t="s">
        <v>5204</v>
      </c>
      <c r="C1502" s="298" t="s">
        <v>593</v>
      </c>
      <c r="D1502" s="298" t="s">
        <v>256</v>
      </c>
      <c r="E1502" s="298"/>
      <c r="F1502" s="298" t="s">
        <v>5205</v>
      </c>
      <c r="G1502" s="299" t="b">
        <v>0</v>
      </c>
      <c r="H1502" s="299" t="b">
        <v>0</v>
      </c>
      <c r="J1502" s="113" t="str">
        <f t="shared" si="47"/>
        <v>908923177</v>
      </c>
      <c r="K1502" s="113" t="str">
        <f t="shared" si="48"/>
        <v>CG01576</v>
      </c>
    </row>
    <row r="1503" spans="1:11" x14ac:dyDescent="0.3">
      <c r="A1503" s="298" t="s">
        <v>5206</v>
      </c>
      <c r="B1503" s="298" t="s">
        <v>5207</v>
      </c>
      <c r="C1503" s="298" t="s">
        <v>1587</v>
      </c>
      <c r="D1503" s="298" t="s">
        <v>256</v>
      </c>
      <c r="E1503" s="298"/>
      <c r="F1503" s="298" t="s">
        <v>5208</v>
      </c>
      <c r="G1503" s="299" t="b">
        <v>0</v>
      </c>
      <c r="H1503" s="299" t="b">
        <v>0</v>
      </c>
      <c r="J1503" s="113" t="str">
        <f t="shared" si="47"/>
        <v>946279799</v>
      </c>
      <c r="K1503" s="113" t="str">
        <f t="shared" si="48"/>
        <v>CG01577</v>
      </c>
    </row>
    <row r="1504" spans="1:11" x14ac:dyDescent="0.3">
      <c r="A1504" s="298" t="s">
        <v>5209</v>
      </c>
      <c r="B1504" s="298" t="s">
        <v>5210</v>
      </c>
      <c r="C1504" s="298" t="s">
        <v>541</v>
      </c>
      <c r="D1504" s="298" t="s">
        <v>256</v>
      </c>
      <c r="E1504" s="298"/>
      <c r="F1504" s="298" t="s">
        <v>5211</v>
      </c>
      <c r="G1504" s="299" t="b">
        <v>0</v>
      </c>
      <c r="H1504" s="299" t="b">
        <v>0</v>
      </c>
      <c r="J1504" s="113" t="str">
        <f t="shared" si="47"/>
        <v>948594764</v>
      </c>
      <c r="K1504" s="113" t="str">
        <f t="shared" si="48"/>
        <v>CG01578</v>
      </c>
    </row>
    <row r="1505" spans="1:11" x14ac:dyDescent="0.3">
      <c r="A1505" s="298" t="s">
        <v>5212</v>
      </c>
      <c r="B1505" s="298" t="s">
        <v>5213</v>
      </c>
      <c r="C1505" s="298" t="s">
        <v>289</v>
      </c>
      <c r="D1505" s="298" t="s">
        <v>256</v>
      </c>
      <c r="E1505" s="298"/>
      <c r="F1505" s="298" t="s">
        <v>5214</v>
      </c>
      <c r="G1505" s="299" t="b">
        <v>0</v>
      </c>
      <c r="H1505" s="299" t="b">
        <v>0</v>
      </c>
      <c r="J1505" s="113" t="str">
        <f t="shared" si="47"/>
        <v>948499493</v>
      </c>
      <c r="K1505" s="113" t="str">
        <f t="shared" si="48"/>
        <v>CG01579</v>
      </c>
    </row>
    <row r="1506" spans="1:11" x14ac:dyDescent="0.3">
      <c r="A1506" s="298" t="s">
        <v>5215</v>
      </c>
      <c r="B1506" s="298" t="s">
        <v>5216</v>
      </c>
      <c r="C1506" s="298" t="s">
        <v>1335</v>
      </c>
      <c r="D1506" s="298" t="s">
        <v>256</v>
      </c>
      <c r="E1506" s="298"/>
      <c r="F1506" s="298" t="s">
        <v>5217</v>
      </c>
      <c r="G1506" s="299" t="b">
        <v>0</v>
      </c>
      <c r="H1506" s="299" t="b">
        <v>0</v>
      </c>
      <c r="J1506" s="113" t="str">
        <f t="shared" si="47"/>
        <v>979336567</v>
      </c>
      <c r="K1506" s="113" t="str">
        <f t="shared" si="48"/>
        <v>CG01580</v>
      </c>
    </row>
    <row r="1507" spans="1:11" x14ac:dyDescent="0.3">
      <c r="A1507" s="298" t="s">
        <v>5218</v>
      </c>
      <c r="B1507" s="298" t="s">
        <v>5219</v>
      </c>
      <c r="C1507" s="298" t="s">
        <v>1615</v>
      </c>
      <c r="D1507" s="298" t="s">
        <v>256</v>
      </c>
      <c r="E1507" s="298"/>
      <c r="F1507" s="298" t="s">
        <v>5220</v>
      </c>
      <c r="G1507" s="299" t="b">
        <v>0</v>
      </c>
      <c r="H1507" s="299" t="b">
        <v>0</v>
      </c>
      <c r="J1507" s="113" t="str">
        <f t="shared" si="47"/>
        <v>364499880</v>
      </c>
      <c r="K1507" s="113" t="str">
        <f t="shared" si="48"/>
        <v>CG01581</v>
      </c>
    </row>
    <row r="1508" spans="1:11" x14ac:dyDescent="0.3">
      <c r="A1508" s="298" t="s">
        <v>5221</v>
      </c>
      <c r="B1508" s="298" t="s">
        <v>5222</v>
      </c>
      <c r="C1508" s="298" t="s">
        <v>593</v>
      </c>
      <c r="D1508" s="298" t="s">
        <v>256</v>
      </c>
      <c r="E1508" s="298"/>
      <c r="F1508" s="298" t="s">
        <v>5223</v>
      </c>
      <c r="G1508" s="299" t="b">
        <v>0</v>
      </c>
      <c r="H1508" s="299" t="b">
        <v>0</v>
      </c>
      <c r="J1508" s="113" t="str">
        <f t="shared" si="47"/>
        <v>986496996</v>
      </c>
      <c r="K1508" s="113" t="str">
        <f t="shared" si="48"/>
        <v>CG01582</v>
      </c>
    </row>
    <row r="1509" spans="1:11" x14ac:dyDescent="0.3">
      <c r="A1509" s="298" t="s">
        <v>5224</v>
      </c>
      <c r="B1509" s="298" t="s">
        <v>5225</v>
      </c>
      <c r="C1509" s="298" t="s">
        <v>5226</v>
      </c>
      <c r="D1509" s="298" t="s">
        <v>256</v>
      </c>
      <c r="E1509" s="298"/>
      <c r="F1509" s="298" t="s">
        <v>5227</v>
      </c>
      <c r="G1509" s="299" t="b">
        <v>0</v>
      </c>
      <c r="H1509" s="299" t="b">
        <v>0</v>
      </c>
      <c r="J1509" s="113" t="str">
        <f t="shared" si="47"/>
        <v>912934900</v>
      </c>
      <c r="K1509" s="113" t="str">
        <f t="shared" si="48"/>
        <v>CG01583</v>
      </c>
    </row>
    <row r="1510" spans="1:11" x14ac:dyDescent="0.3">
      <c r="A1510" s="298" t="s">
        <v>5228</v>
      </c>
      <c r="B1510" s="298" t="s">
        <v>5229</v>
      </c>
      <c r="C1510" s="298" t="s">
        <v>335</v>
      </c>
      <c r="D1510" s="298" t="s">
        <v>256</v>
      </c>
      <c r="E1510" s="298"/>
      <c r="F1510" s="298" t="s">
        <v>5230</v>
      </c>
      <c r="G1510" s="299" t="b">
        <v>0</v>
      </c>
      <c r="H1510" s="299" t="b">
        <v>0</v>
      </c>
      <c r="J1510" s="113" t="str">
        <f t="shared" si="47"/>
        <v>987139999</v>
      </c>
      <c r="K1510" s="113" t="str">
        <f t="shared" si="48"/>
        <v>CG01584</v>
      </c>
    </row>
    <row r="1511" spans="1:11" x14ac:dyDescent="0.3">
      <c r="A1511" s="298" t="s">
        <v>5231</v>
      </c>
      <c r="B1511" s="298" t="s">
        <v>5232</v>
      </c>
      <c r="C1511" s="298" t="s">
        <v>289</v>
      </c>
      <c r="D1511" s="298" t="s">
        <v>256</v>
      </c>
      <c r="E1511" s="298"/>
      <c r="F1511" s="298" t="s">
        <v>5233</v>
      </c>
      <c r="G1511" s="299" t="b">
        <v>0</v>
      </c>
      <c r="H1511" s="299" t="b">
        <v>0</v>
      </c>
      <c r="J1511" s="113" t="str">
        <f t="shared" si="47"/>
        <v>913056568</v>
      </c>
      <c r="K1511" s="113" t="str">
        <f t="shared" si="48"/>
        <v>CG01585</v>
      </c>
    </row>
    <row r="1512" spans="1:11" x14ac:dyDescent="0.3">
      <c r="A1512" s="298" t="s">
        <v>5234</v>
      </c>
      <c r="B1512" s="298" t="s">
        <v>5235</v>
      </c>
      <c r="C1512" s="298" t="s">
        <v>5236</v>
      </c>
      <c r="D1512" s="298" t="s">
        <v>256</v>
      </c>
      <c r="E1512" s="298"/>
      <c r="F1512" s="298" t="s">
        <v>5237</v>
      </c>
      <c r="G1512" s="299" t="b">
        <v>0</v>
      </c>
      <c r="H1512" s="299" t="b">
        <v>0</v>
      </c>
      <c r="J1512" s="113" t="str">
        <f t="shared" si="47"/>
        <v>986585023</v>
      </c>
      <c r="K1512" s="113" t="str">
        <f t="shared" si="48"/>
        <v>CG01586</v>
      </c>
    </row>
    <row r="1513" spans="1:11" x14ac:dyDescent="0.3">
      <c r="A1513" s="298" t="s">
        <v>5238</v>
      </c>
      <c r="B1513" s="298" t="s">
        <v>5239</v>
      </c>
      <c r="C1513" s="298" t="s">
        <v>1361</v>
      </c>
      <c r="D1513" s="298" t="s">
        <v>256</v>
      </c>
      <c r="E1513" s="298"/>
      <c r="F1513" s="298" t="s">
        <v>5240</v>
      </c>
      <c r="G1513" s="299" t="b">
        <v>0</v>
      </c>
      <c r="H1513" s="299" t="b">
        <v>0</v>
      </c>
      <c r="J1513" s="113" t="str">
        <f t="shared" si="47"/>
        <v>979774663</v>
      </c>
      <c r="K1513" s="113" t="str">
        <f t="shared" si="48"/>
        <v>CG01587</v>
      </c>
    </row>
    <row r="1514" spans="1:11" x14ac:dyDescent="0.3">
      <c r="A1514" s="298" t="s">
        <v>5241</v>
      </c>
      <c r="B1514" s="298" t="s">
        <v>5242</v>
      </c>
      <c r="C1514" s="298" t="s">
        <v>1575</v>
      </c>
      <c r="D1514" s="298" t="s">
        <v>256</v>
      </c>
      <c r="E1514" s="298"/>
      <c r="F1514" s="298" t="s">
        <v>5243</v>
      </c>
      <c r="G1514" s="299" t="b">
        <v>0</v>
      </c>
      <c r="H1514" s="299" t="b">
        <v>0</v>
      </c>
      <c r="J1514" s="113" t="str">
        <f t="shared" si="47"/>
        <v>913699185</v>
      </c>
      <c r="K1514" s="113" t="str">
        <f t="shared" si="48"/>
        <v>CG01588</v>
      </c>
    </row>
    <row r="1515" spans="1:11" x14ac:dyDescent="0.3">
      <c r="A1515" s="298" t="s">
        <v>5244</v>
      </c>
      <c r="B1515" s="298" t="s">
        <v>5245</v>
      </c>
      <c r="C1515" s="298" t="s">
        <v>1395</v>
      </c>
      <c r="D1515" s="298" t="s">
        <v>256</v>
      </c>
      <c r="E1515" s="298"/>
      <c r="F1515" s="298" t="s">
        <v>5246</v>
      </c>
      <c r="G1515" s="299" t="b">
        <v>0</v>
      </c>
      <c r="H1515" s="299" t="b">
        <v>0</v>
      </c>
      <c r="J1515" s="113" t="str">
        <f t="shared" si="47"/>
        <v>976964720</v>
      </c>
      <c r="K1515" s="113" t="str">
        <f t="shared" si="48"/>
        <v>CG01589</v>
      </c>
    </row>
    <row r="1516" spans="1:11" x14ac:dyDescent="0.3">
      <c r="A1516" s="298" t="s">
        <v>5247</v>
      </c>
      <c r="B1516" s="298" t="s">
        <v>5248</v>
      </c>
      <c r="C1516" s="298" t="s">
        <v>495</v>
      </c>
      <c r="D1516" s="298" t="s">
        <v>256</v>
      </c>
      <c r="E1516" s="298"/>
      <c r="F1516" s="298" t="s">
        <v>5249</v>
      </c>
      <c r="G1516" s="299" t="b">
        <v>0</v>
      </c>
      <c r="H1516" s="299" t="b">
        <v>0</v>
      </c>
      <c r="J1516" s="113" t="str">
        <f t="shared" si="47"/>
        <v>972647130</v>
      </c>
      <c r="K1516" s="113" t="str">
        <f t="shared" si="48"/>
        <v>CG01590</v>
      </c>
    </row>
    <row r="1517" spans="1:11" x14ac:dyDescent="0.3">
      <c r="A1517" s="298" t="s">
        <v>5250</v>
      </c>
      <c r="B1517" s="298" t="s">
        <v>5251</v>
      </c>
      <c r="C1517" s="298" t="s">
        <v>5252</v>
      </c>
      <c r="D1517" s="298" t="s">
        <v>256</v>
      </c>
      <c r="E1517" s="298"/>
      <c r="F1517" s="298" t="s">
        <v>5253</v>
      </c>
      <c r="G1517" s="299" t="b">
        <v>0</v>
      </c>
      <c r="H1517" s="299" t="b">
        <v>0</v>
      </c>
      <c r="J1517" s="113" t="str">
        <f t="shared" si="47"/>
        <v>936477111</v>
      </c>
      <c r="K1517" s="113" t="str">
        <f t="shared" si="48"/>
        <v>CG01591</v>
      </c>
    </row>
    <row r="1518" spans="1:11" x14ac:dyDescent="0.3">
      <c r="A1518" s="298" t="s">
        <v>5254</v>
      </c>
      <c r="B1518" s="298" t="s">
        <v>5255</v>
      </c>
      <c r="C1518" s="298" t="s">
        <v>289</v>
      </c>
      <c r="D1518" s="298" t="s">
        <v>256</v>
      </c>
      <c r="E1518" s="298"/>
      <c r="F1518" s="298" t="s">
        <v>5256</v>
      </c>
      <c r="G1518" s="299" t="b">
        <v>0</v>
      </c>
      <c r="H1518" s="299" t="b">
        <v>0</v>
      </c>
      <c r="J1518" s="113" t="str">
        <f t="shared" si="47"/>
        <v>975703704</v>
      </c>
      <c r="K1518" s="113" t="str">
        <f t="shared" si="48"/>
        <v>CG01592</v>
      </c>
    </row>
    <row r="1519" spans="1:11" x14ac:dyDescent="0.3">
      <c r="A1519" s="298" t="s">
        <v>5257</v>
      </c>
      <c r="B1519" s="298" t="s">
        <v>5258</v>
      </c>
      <c r="C1519" s="298" t="s">
        <v>5252</v>
      </c>
      <c r="D1519" s="298" t="s">
        <v>256</v>
      </c>
      <c r="E1519" s="298"/>
      <c r="F1519" s="298" t="s">
        <v>5259</v>
      </c>
      <c r="G1519" s="299" t="b">
        <v>0</v>
      </c>
      <c r="H1519" s="299" t="b">
        <v>0</v>
      </c>
      <c r="J1519" s="113" t="str">
        <f t="shared" si="47"/>
        <v>977170966</v>
      </c>
      <c r="K1519" s="113" t="str">
        <f t="shared" si="48"/>
        <v>CG01593</v>
      </c>
    </row>
    <row r="1520" spans="1:11" x14ac:dyDescent="0.3">
      <c r="A1520" s="298" t="s">
        <v>5260</v>
      </c>
      <c r="B1520" s="298" t="s">
        <v>5261</v>
      </c>
      <c r="C1520" s="298" t="s">
        <v>1776</v>
      </c>
      <c r="D1520" s="298" t="s">
        <v>256</v>
      </c>
      <c r="E1520" s="298"/>
      <c r="F1520" s="298" t="s">
        <v>5262</v>
      </c>
      <c r="G1520" s="299" t="b">
        <v>0</v>
      </c>
      <c r="H1520" s="299" t="b">
        <v>0</v>
      </c>
      <c r="J1520" s="113" t="str">
        <f t="shared" si="47"/>
        <v>986458555</v>
      </c>
      <c r="K1520" s="113" t="str">
        <f t="shared" si="48"/>
        <v>CG01594</v>
      </c>
    </row>
    <row r="1521" spans="1:11" x14ac:dyDescent="0.3">
      <c r="A1521" s="298" t="s">
        <v>5263</v>
      </c>
      <c r="B1521" s="298" t="s">
        <v>5264</v>
      </c>
      <c r="C1521" s="298" t="s">
        <v>1029</v>
      </c>
      <c r="D1521" s="298" t="s">
        <v>256</v>
      </c>
      <c r="E1521" s="298"/>
      <c r="F1521" s="298" t="s">
        <v>5265</v>
      </c>
      <c r="G1521" s="299" t="b">
        <v>0</v>
      </c>
      <c r="H1521" s="299" t="b">
        <v>0</v>
      </c>
      <c r="J1521" s="113" t="str">
        <f t="shared" si="47"/>
        <v>976602927</v>
      </c>
      <c r="K1521" s="113" t="str">
        <f t="shared" si="48"/>
        <v>CG01595</v>
      </c>
    </row>
    <row r="1522" spans="1:11" x14ac:dyDescent="0.3">
      <c r="A1522" s="298" t="s">
        <v>5266</v>
      </c>
      <c r="B1522" s="298" t="s">
        <v>5267</v>
      </c>
      <c r="C1522" s="298" t="s">
        <v>5268</v>
      </c>
      <c r="D1522" s="298" t="s">
        <v>256</v>
      </c>
      <c r="E1522" s="298"/>
      <c r="F1522" s="298" t="s">
        <v>5269</v>
      </c>
      <c r="G1522" s="299" t="b">
        <v>0</v>
      </c>
      <c r="H1522" s="299" t="b">
        <v>0</v>
      </c>
      <c r="J1522" s="113" t="str">
        <f t="shared" si="47"/>
        <v>827786868</v>
      </c>
      <c r="K1522" s="113" t="str">
        <f t="shared" si="48"/>
        <v>CG01596</v>
      </c>
    </row>
    <row r="1523" spans="1:11" x14ac:dyDescent="0.3">
      <c r="A1523" s="298" t="s">
        <v>5270</v>
      </c>
      <c r="B1523" s="298" t="s">
        <v>5271</v>
      </c>
      <c r="C1523" s="298" t="s">
        <v>506</v>
      </c>
      <c r="D1523" s="298" t="s">
        <v>256</v>
      </c>
      <c r="E1523" s="298"/>
      <c r="F1523" s="298" t="s">
        <v>5272</v>
      </c>
      <c r="G1523" s="299" t="b">
        <v>0</v>
      </c>
      <c r="H1523" s="299" t="b">
        <v>0</v>
      </c>
      <c r="J1523" s="113" t="str">
        <f t="shared" si="47"/>
        <v>913023107</v>
      </c>
      <c r="K1523" s="113" t="str">
        <f t="shared" si="48"/>
        <v>CG01597</v>
      </c>
    </row>
    <row r="1524" spans="1:11" x14ac:dyDescent="0.3">
      <c r="A1524" s="298" t="s">
        <v>5273</v>
      </c>
      <c r="B1524" s="298" t="s">
        <v>5274</v>
      </c>
      <c r="C1524" s="298" t="s">
        <v>1776</v>
      </c>
      <c r="D1524" s="298" t="s">
        <v>256</v>
      </c>
      <c r="E1524" s="298"/>
      <c r="F1524" s="298" t="s">
        <v>5275</v>
      </c>
      <c r="G1524" s="299" t="b">
        <v>0</v>
      </c>
      <c r="H1524" s="299" t="b">
        <v>0</v>
      </c>
      <c r="J1524" s="113" t="str">
        <f t="shared" si="47"/>
        <v>948501233</v>
      </c>
      <c r="K1524" s="113" t="str">
        <f t="shared" si="48"/>
        <v>CG01598</v>
      </c>
    </row>
    <row r="1525" spans="1:11" x14ac:dyDescent="0.3">
      <c r="A1525" s="298" t="s">
        <v>5276</v>
      </c>
      <c r="B1525" s="298" t="s">
        <v>5277</v>
      </c>
      <c r="C1525" s="298" t="s">
        <v>1237</v>
      </c>
      <c r="D1525" s="298" t="s">
        <v>256</v>
      </c>
      <c r="E1525" s="298"/>
      <c r="F1525" s="298" t="s">
        <v>5278</v>
      </c>
      <c r="G1525" s="299" t="b">
        <v>0</v>
      </c>
      <c r="H1525" s="299" t="b">
        <v>0</v>
      </c>
      <c r="J1525" s="113" t="str">
        <f t="shared" si="47"/>
        <v>912405626</v>
      </c>
      <c r="K1525" s="113" t="str">
        <f t="shared" si="48"/>
        <v>CG01599</v>
      </c>
    </row>
    <row r="1526" spans="1:11" x14ac:dyDescent="0.3">
      <c r="A1526" s="298" t="s">
        <v>5279</v>
      </c>
      <c r="B1526" s="298" t="s">
        <v>5280</v>
      </c>
      <c r="C1526" s="298" t="s">
        <v>5281</v>
      </c>
      <c r="D1526" s="298" t="s">
        <v>256</v>
      </c>
      <c r="E1526" s="298"/>
      <c r="F1526" s="298" t="s">
        <v>5282</v>
      </c>
      <c r="G1526" s="299" t="b">
        <v>0</v>
      </c>
      <c r="H1526" s="299" t="b">
        <v>0</v>
      </c>
      <c r="J1526" s="113" t="str">
        <f t="shared" si="47"/>
        <v>945652905</v>
      </c>
      <c r="K1526" s="113" t="str">
        <f t="shared" si="48"/>
        <v>CG01600</v>
      </c>
    </row>
    <row r="1527" spans="1:11" x14ac:dyDescent="0.3">
      <c r="A1527" s="298" t="s">
        <v>5283</v>
      </c>
      <c r="B1527" s="298" t="s">
        <v>5284</v>
      </c>
      <c r="C1527" s="298" t="s">
        <v>5285</v>
      </c>
      <c r="D1527" s="298" t="s">
        <v>256</v>
      </c>
      <c r="E1527" s="298"/>
      <c r="F1527" s="298" t="s">
        <v>5286</v>
      </c>
      <c r="G1527" s="299" t="b">
        <v>0</v>
      </c>
      <c r="H1527" s="299" t="b">
        <v>0</v>
      </c>
      <c r="J1527" s="113" t="str">
        <f t="shared" si="47"/>
        <v>372894322</v>
      </c>
      <c r="K1527" s="113" t="str">
        <f t="shared" si="48"/>
        <v>CG01601</v>
      </c>
    </row>
    <row r="1528" spans="1:11" x14ac:dyDescent="0.3">
      <c r="A1528" s="298" t="s">
        <v>5287</v>
      </c>
      <c r="B1528" s="298" t="s">
        <v>5288</v>
      </c>
      <c r="C1528" s="298" t="s">
        <v>2324</v>
      </c>
      <c r="D1528" s="298" t="s">
        <v>256</v>
      </c>
      <c r="E1528" s="298"/>
      <c r="F1528" s="298" t="s">
        <v>5289</v>
      </c>
      <c r="G1528" s="299" t="b">
        <v>0</v>
      </c>
      <c r="H1528" s="299" t="b">
        <v>0</v>
      </c>
      <c r="J1528" s="113" t="str">
        <f t="shared" si="47"/>
        <v>915043006</v>
      </c>
      <c r="K1528" s="113" t="str">
        <f t="shared" si="48"/>
        <v>CG01602</v>
      </c>
    </row>
    <row r="1529" spans="1:11" x14ac:dyDescent="0.3">
      <c r="A1529" s="298" t="s">
        <v>5290</v>
      </c>
      <c r="B1529" s="298" t="s">
        <v>5291</v>
      </c>
      <c r="C1529" s="298" t="s">
        <v>416</v>
      </c>
      <c r="D1529" s="298" t="s">
        <v>256</v>
      </c>
      <c r="E1529" s="298"/>
      <c r="F1529" s="298" t="s">
        <v>5292</v>
      </c>
      <c r="G1529" s="299" t="b">
        <v>0</v>
      </c>
      <c r="H1529" s="299" t="b">
        <v>0</v>
      </c>
      <c r="J1529" s="113" t="str">
        <f t="shared" si="47"/>
        <v>912902626</v>
      </c>
      <c r="K1529" s="113" t="str">
        <f t="shared" si="48"/>
        <v>CG01603</v>
      </c>
    </row>
    <row r="1530" spans="1:11" x14ac:dyDescent="0.3">
      <c r="A1530" s="298" t="s">
        <v>5293</v>
      </c>
      <c r="B1530" s="298" t="s">
        <v>5294</v>
      </c>
      <c r="C1530" s="298" t="s">
        <v>230</v>
      </c>
      <c r="D1530" s="298" t="s">
        <v>256</v>
      </c>
      <c r="E1530" s="298"/>
      <c r="F1530" s="298" t="s">
        <v>5295</v>
      </c>
      <c r="G1530" s="299" t="b">
        <v>0</v>
      </c>
      <c r="H1530" s="299" t="b">
        <v>0</v>
      </c>
      <c r="J1530" s="113" t="str">
        <f t="shared" si="47"/>
        <v>985391444</v>
      </c>
      <c r="K1530" s="113" t="str">
        <f t="shared" si="48"/>
        <v>CG01604</v>
      </c>
    </row>
    <row r="1531" spans="1:11" x14ac:dyDescent="0.3">
      <c r="A1531" s="298" t="s">
        <v>5296</v>
      </c>
      <c r="B1531" s="298" t="s">
        <v>5297</v>
      </c>
      <c r="C1531" s="298" t="s">
        <v>286</v>
      </c>
      <c r="D1531" s="298" t="s">
        <v>256</v>
      </c>
      <c r="E1531" s="298"/>
      <c r="F1531" s="298" t="s">
        <v>5298</v>
      </c>
      <c r="G1531" s="299" t="b">
        <v>0</v>
      </c>
      <c r="H1531" s="299" t="b">
        <v>0</v>
      </c>
      <c r="J1531" s="113" t="str">
        <f t="shared" si="47"/>
        <v>989189917</v>
      </c>
      <c r="K1531" s="113" t="str">
        <f t="shared" si="48"/>
        <v>CG01605</v>
      </c>
    </row>
    <row r="1532" spans="1:11" x14ac:dyDescent="0.3">
      <c r="A1532" s="298" t="s">
        <v>5299</v>
      </c>
      <c r="B1532" s="298" t="s">
        <v>5300</v>
      </c>
      <c r="C1532" s="298" t="s">
        <v>5301</v>
      </c>
      <c r="D1532" s="298" t="s">
        <v>256</v>
      </c>
      <c r="E1532" s="298"/>
      <c r="F1532" s="298" t="s">
        <v>5302</v>
      </c>
      <c r="G1532" s="299" t="b">
        <v>0</v>
      </c>
      <c r="H1532" s="299" t="b">
        <v>0</v>
      </c>
      <c r="J1532" s="113" t="str">
        <f t="shared" si="47"/>
        <v>935326688</v>
      </c>
      <c r="K1532" s="113" t="str">
        <f t="shared" si="48"/>
        <v>CG01606</v>
      </c>
    </row>
    <row r="1533" spans="1:11" x14ac:dyDescent="0.3">
      <c r="A1533" s="298" t="s">
        <v>5303</v>
      </c>
      <c r="B1533" s="298" t="s">
        <v>5304</v>
      </c>
      <c r="C1533" s="298" t="s">
        <v>5305</v>
      </c>
      <c r="D1533" s="298" t="s">
        <v>256</v>
      </c>
      <c r="E1533" s="298"/>
      <c r="F1533" s="298" t="s">
        <v>5306</v>
      </c>
      <c r="G1533" s="299" t="b">
        <v>0</v>
      </c>
      <c r="H1533" s="299" t="b">
        <v>0</v>
      </c>
      <c r="J1533" s="113" t="str">
        <f t="shared" si="47"/>
        <v xml:space="preserve">15190907 </v>
      </c>
      <c r="K1533" s="113" t="str">
        <f t="shared" si="48"/>
        <v>CG01607</v>
      </c>
    </row>
    <row r="1534" spans="1:11" x14ac:dyDescent="0.3">
      <c r="A1534" s="298" t="s">
        <v>5307</v>
      </c>
      <c r="B1534" s="298" t="s">
        <v>5308</v>
      </c>
      <c r="C1534" s="298" t="s">
        <v>226</v>
      </c>
      <c r="D1534" s="298" t="s">
        <v>256</v>
      </c>
      <c r="E1534" s="298"/>
      <c r="F1534" s="298" t="s">
        <v>5309</v>
      </c>
      <c r="G1534" s="299" t="b">
        <v>0</v>
      </c>
      <c r="H1534" s="299" t="b">
        <v>0</v>
      </c>
      <c r="J1534" s="113" t="str">
        <f t="shared" si="47"/>
        <v>912500374</v>
      </c>
      <c r="K1534" s="113" t="str">
        <f t="shared" si="48"/>
        <v>CG01608</v>
      </c>
    </row>
    <row r="1535" spans="1:11" x14ac:dyDescent="0.3">
      <c r="A1535" s="298" t="s">
        <v>5310</v>
      </c>
      <c r="B1535" s="298" t="s">
        <v>5311</v>
      </c>
      <c r="C1535" s="298" t="s">
        <v>1257</v>
      </c>
      <c r="D1535" s="298" t="s">
        <v>256</v>
      </c>
      <c r="E1535" s="298"/>
      <c r="F1535" s="298" t="s">
        <v>5312</v>
      </c>
      <c r="G1535" s="299" t="b">
        <v>0</v>
      </c>
      <c r="H1535" s="299" t="b">
        <v>0</v>
      </c>
      <c r="J1535" s="113" t="str">
        <f t="shared" si="47"/>
        <v>912531592</v>
      </c>
      <c r="K1535" s="113" t="str">
        <f t="shared" si="48"/>
        <v>CG01609</v>
      </c>
    </row>
    <row r="1536" spans="1:11" x14ac:dyDescent="0.3">
      <c r="A1536" s="298" t="s">
        <v>5313</v>
      </c>
      <c r="B1536" s="298" t="s">
        <v>5314</v>
      </c>
      <c r="C1536" s="298" t="s">
        <v>541</v>
      </c>
      <c r="D1536" s="298" t="s">
        <v>256</v>
      </c>
      <c r="E1536" s="298"/>
      <c r="F1536" s="298" t="s">
        <v>5315</v>
      </c>
      <c r="G1536" s="299" t="b">
        <v>0</v>
      </c>
      <c r="H1536" s="299" t="b">
        <v>0</v>
      </c>
      <c r="J1536" s="113" t="str">
        <f t="shared" si="47"/>
        <v>972108988</v>
      </c>
      <c r="K1536" s="113" t="str">
        <f t="shared" si="48"/>
        <v>CG01610</v>
      </c>
    </row>
    <row r="1537" spans="1:11" x14ac:dyDescent="0.3">
      <c r="A1537" s="298" t="s">
        <v>5316</v>
      </c>
      <c r="B1537" s="298" t="s">
        <v>5317</v>
      </c>
      <c r="C1537" s="298" t="s">
        <v>5318</v>
      </c>
      <c r="D1537" s="298" t="s">
        <v>256</v>
      </c>
      <c r="E1537" s="298"/>
      <c r="F1537" s="298" t="s">
        <v>5319</v>
      </c>
      <c r="G1537" s="299" t="b">
        <v>0</v>
      </c>
      <c r="H1537" s="299" t="b">
        <v>0</v>
      </c>
      <c r="J1537" s="113" t="str">
        <f t="shared" si="47"/>
        <v>971484628</v>
      </c>
      <c r="K1537" s="113" t="str">
        <f t="shared" si="48"/>
        <v>CG01611</v>
      </c>
    </row>
    <row r="1538" spans="1:11" x14ac:dyDescent="0.3">
      <c r="A1538" s="298" t="s">
        <v>5320</v>
      </c>
      <c r="B1538" s="298" t="s">
        <v>5321</v>
      </c>
      <c r="C1538" s="298" t="s">
        <v>469</v>
      </c>
      <c r="D1538" s="298" t="s">
        <v>256</v>
      </c>
      <c r="E1538" s="298"/>
      <c r="F1538" s="298" t="s">
        <v>5322</v>
      </c>
      <c r="G1538" s="299" t="b">
        <v>0</v>
      </c>
      <c r="H1538" s="299" t="b">
        <v>0</v>
      </c>
      <c r="J1538" s="113" t="str">
        <f t="shared" si="47"/>
        <v>976775776</v>
      </c>
      <c r="K1538" s="113" t="str">
        <f t="shared" si="48"/>
        <v>CG01612</v>
      </c>
    </row>
    <row r="1539" spans="1:11" x14ac:dyDescent="0.3">
      <c r="A1539" s="298" t="s">
        <v>5323</v>
      </c>
      <c r="B1539" s="298" t="s">
        <v>5324</v>
      </c>
      <c r="C1539" s="298" t="s">
        <v>1335</v>
      </c>
      <c r="D1539" s="298" t="s">
        <v>256</v>
      </c>
      <c r="E1539" s="298"/>
      <c r="F1539" s="298" t="s">
        <v>5325</v>
      </c>
      <c r="G1539" s="299" t="b">
        <v>0</v>
      </c>
      <c r="H1539" s="299" t="b">
        <v>0</v>
      </c>
      <c r="J1539" s="113" t="str">
        <f t="shared" si="47"/>
        <v>973783459</v>
      </c>
      <c r="K1539" s="113" t="str">
        <f t="shared" si="48"/>
        <v>CG01613</v>
      </c>
    </row>
    <row r="1540" spans="1:11" x14ac:dyDescent="0.3">
      <c r="A1540" s="298" t="s">
        <v>5326</v>
      </c>
      <c r="B1540" s="298" t="s">
        <v>5327</v>
      </c>
      <c r="C1540" s="298" t="s">
        <v>5328</v>
      </c>
      <c r="D1540" s="298" t="s">
        <v>256</v>
      </c>
      <c r="E1540" s="298"/>
      <c r="F1540" s="298" t="s">
        <v>5329</v>
      </c>
      <c r="G1540" s="299" t="b">
        <v>0</v>
      </c>
      <c r="H1540" s="299" t="b">
        <v>0</v>
      </c>
      <c r="J1540" s="113" t="str">
        <f t="shared" si="47"/>
        <v>354118686</v>
      </c>
      <c r="K1540" s="113" t="str">
        <f t="shared" si="48"/>
        <v>CG01614</v>
      </c>
    </row>
    <row r="1541" spans="1:11" x14ac:dyDescent="0.3">
      <c r="A1541" s="298" t="s">
        <v>5330</v>
      </c>
      <c r="B1541" s="298" t="s">
        <v>5331</v>
      </c>
      <c r="C1541" s="298" t="s">
        <v>495</v>
      </c>
      <c r="D1541" s="298" t="s">
        <v>256</v>
      </c>
      <c r="E1541" s="298"/>
      <c r="F1541" s="298" t="s">
        <v>5332</v>
      </c>
      <c r="G1541" s="299" t="b">
        <v>0</v>
      </c>
      <c r="H1541" s="299" t="b">
        <v>0</v>
      </c>
      <c r="J1541" s="113" t="str">
        <f t="shared" ref="J1541:J1604" si="49">RIGHT(B1541,9)</f>
        <v>915000397</v>
      </c>
      <c r="K1541" s="113" t="str">
        <f t="shared" ref="K1541:K1604" si="50">A1541</f>
        <v>CG01615</v>
      </c>
    </row>
    <row r="1542" spans="1:11" x14ac:dyDescent="0.3">
      <c r="A1542" s="298" t="s">
        <v>5333</v>
      </c>
      <c r="B1542" s="298" t="s">
        <v>5334</v>
      </c>
      <c r="C1542" s="298" t="s">
        <v>5335</v>
      </c>
      <c r="D1542" s="298" t="s">
        <v>256</v>
      </c>
      <c r="E1542" s="298"/>
      <c r="F1542" s="298" t="s">
        <v>5336</v>
      </c>
      <c r="G1542" s="299" t="b">
        <v>0</v>
      </c>
      <c r="H1542" s="299" t="b">
        <v>0</v>
      </c>
      <c r="J1542" s="113" t="str">
        <f t="shared" si="49"/>
        <v>383211186</v>
      </c>
      <c r="K1542" s="113" t="str">
        <f t="shared" si="50"/>
        <v>CG01616</v>
      </c>
    </row>
    <row r="1543" spans="1:11" x14ac:dyDescent="0.3">
      <c r="A1543" s="298" t="s">
        <v>5337</v>
      </c>
      <c r="B1543" s="298" t="s">
        <v>5338</v>
      </c>
      <c r="C1543" s="298" t="s">
        <v>5339</v>
      </c>
      <c r="D1543" s="298" t="s">
        <v>256</v>
      </c>
      <c r="E1543" s="298"/>
      <c r="F1543" s="298" t="s">
        <v>5340</v>
      </c>
      <c r="G1543" s="299" t="b">
        <v>0</v>
      </c>
      <c r="H1543" s="299" t="b">
        <v>0</v>
      </c>
      <c r="J1543" s="113" t="str">
        <f t="shared" si="49"/>
        <v>913530498</v>
      </c>
      <c r="K1543" s="113" t="str">
        <f t="shared" si="50"/>
        <v>CG01617</v>
      </c>
    </row>
    <row r="1544" spans="1:11" x14ac:dyDescent="0.3">
      <c r="A1544" s="298" t="s">
        <v>5341</v>
      </c>
      <c r="B1544" s="298" t="s">
        <v>5342</v>
      </c>
      <c r="C1544" s="298" t="s">
        <v>416</v>
      </c>
      <c r="D1544" s="298" t="s">
        <v>256</v>
      </c>
      <c r="E1544" s="298"/>
      <c r="F1544" s="298" t="s">
        <v>5343</v>
      </c>
      <c r="G1544" s="299" t="b">
        <v>0</v>
      </c>
      <c r="H1544" s="299" t="b">
        <v>0</v>
      </c>
      <c r="J1544" s="113" t="str">
        <f t="shared" si="49"/>
        <v>985897361</v>
      </c>
      <c r="K1544" s="113" t="str">
        <f t="shared" si="50"/>
        <v>CG01618</v>
      </c>
    </row>
    <row r="1545" spans="1:11" x14ac:dyDescent="0.3">
      <c r="A1545" s="298" t="s">
        <v>5344</v>
      </c>
      <c r="B1545" s="298" t="s">
        <v>5345</v>
      </c>
      <c r="C1545" s="298" t="s">
        <v>355</v>
      </c>
      <c r="D1545" s="298" t="s">
        <v>256</v>
      </c>
      <c r="E1545" s="298"/>
      <c r="F1545" s="298" t="s">
        <v>5346</v>
      </c>
      <c r="G1545" s="299" t="b">
        <v>0</v>
      </c>
      <c r="H1545" s="299" t="b">
        <v>0</v>
      </c>
      <c r="J1545" s="113" t="str">
        <f t="shared" si="49"/>
        <v>914876115</v>
      </c>
      <c r="K1545" s="113" t="str">
        <f t="shared" si="50"/>
        <v>CG01619</v>
      </c>
    </row>
    <row r="1546" spans="1:11" x14ac:dyDescent="0.3">
      <c r="A1546" s="298" t="s">
        <v>5347</v>
      </c>
      <c r="B1546" s="298" t="s">
        <v>5348</v>
      </c>
      <c r="C1546" s="298" t="s">
        <v>5349</v>
      </c>
      <c r="D1546" s="298" t="s">
        <v>256</v>
      </c>
      <c r="E1546" s="298"/>
      <c r="F1546" s="298" t="s">
        <v>5350</v>
      </c>
      <c r="G1546" s="299" t="b">
        <v>0</v>
      </c>
      <c r="H1546" s="299" t="b">
        <v>0</v>
      </c>
      <c r="J1546" s="113" t="str">
        <f t="shared" si="49"/>
        <v>356721316</v>
      </c>
      <c r="K1546" s="113" t="str">
        <f t="shared" si="50"/>
        <v>CG01620</v>
      </c>
    </row>
    <row r="1547" spans="1:11" x14ac:dyDescent="0.3">
      <c r="A1547" s="298" t="s">
        <v>5351</v>
      </c>
      <c r="B1547" s="298" t="s">
        <v>5352</v>
      </c>
      <c r="C1547" s="298" t="s">
        <v>2643</v>
      </c>
      <c r="D1547" s="298" t="s">
        <v>256</v>
      </c>
      <c r="E1547" s="298"/>
      <c r="F1547" s="298" t="s">
        <v>5353</v>
      </c>
      <c r="G1547" s="299" t="b">
        <v>0</v>
      </c>
      <c r="H1547" s="299" t="b">
        <v>0</v>
      </c>
      <c r="J1547" s="113" t="str">
        <f t="shared" si="49"/>
        <v>989328315</v>
      </c>
      <c r="K1547" s="113" t="str">
        <f t="shared" si="50"/>
        <v>CG01621</v>
      </c>
    </row>
    <row r="1548" spans="1:11" x14ac:dyDescent="0.3">
      <c r="A1548" s="298" t="s">
        <v>5354</v>
      </c>
      <c r="B1548" s="298" t="s">
        <v>5355</v>
      </c>
      <c r="C1548" s="298" t="s">
        <v>809</v>
      </c>
      <c r="D1548" s="298" t="s">
        <v>256</v>
      </c>
      <c r="E1548" s="298"/>
      <c r="F1548" s="298" t="s">
        <v>5356</v>
      </c>
      <c r="G1548" s="299" t="b">
        <v>0</v>
      </c>
      <c r="H1548" s="299" t="b">
        <v>0</v>
      </c>
      <c r="J1548" s="113" t="str">
        <f t="shared" si="49"/>
        <v>987826055</v>
      </c>
      <c r="K1548" s="113" t="str">
        <f t="shared" si="50"/>
        <v>CG01622</v>
      </c>
    </row>
    <row r="1549" spans="1:11" x14ac:dyDescent="0.3">
      <c r="A1549" s="298" t="s">
        <v>5357</v>
      </c>
      <c r="B1549" s="298" t="s">
        <v>5358</v>
      </c>
      <c r="C1549" s="298" t="s">
        <v>289</v>
      </c>
      <c r="D1549" s="298" t="s">
        <v>256</v>
      </c>
      <c r="E1549" s="298"/>
      <c r="F1549" s="298" t="s">
        <v>5359</v>
      </c>
      <c r="G1549" s="299" t="b">
        <v>0</v>
      </c>
      <c r="H1549" s="299" t="b">
        <v>0</v>
      </c>
      <c r="J1549" s="113" t="str">
        <f t="shared" si="49"/>
        <v>915328327</v>
      </c>
      <c r="K1549" s="113" t="str">
        <f t="shared" si="50"/>
        <v>CG01623</v>
      </c>
    </row>
    <row r="1550" spans="1:11" x14ac:dyDescent="0.3">
      <c r="A1550" s="298" t="s">
        <v>5360</v>
      </c>
      <c r="B1550" s="298" t="s">
        <v>5361</v>
      </c>
      <c r="C1550" s="298" t="s">
        <v>355</v>
      </c>
      <c r="D1550" s="298" t="s">
        <v>256</v>
      </c>
      <c r="E1550" s="298"/>
      <c r="F1550" s="298" t="s">
        <v>5362</v>
      </c>
      <c r="G1550" s="299" t="b">
        <v>0</v>
      </c>
      <c r="H1550" s="299" t="b">
        <v>0</v>
      </c>
      <c r="J1550" s="113" t="str">
        <f t="shared" si="49"/>
        <v>838899166</v>
      </c>
      <c r="K1550" s="113" t="str">
        <f t="shared" si="50"/>
        <v>CG01624</v>
      </c>
    </row>
    <row r="1551" spans="1:11" x14ac:dyDescent="0.3">
      <c r="A1551" s="298" t="s">
        <v>5363</v>
      </c>
      <c r="B1551" s="298" t="s">
        <v>5364</v>
      </c>
      <c r="C1551" s="298" t="s">
        <v>289</v>
      </c>
      <c r="D1551" s="298" t="s">
        <v>256</v>
      </c>
      <c r="E1551" s="298"/>
      <c r="F1551" s="298" t="s">
        <v>5365</v>
      </c>
      <c r="G1551" s="299" t="b">
        <v>0</v>
      </c>
      <c r="H1551" s="299" t="b">
        <v>0</v>
      </c>
      <c r="J1551" s="113" t="str">
        <f t="shared" si="49"/>
        <v>913386457</v>
      </c>
      <c r="K1551" s="113" t="str">
        <f t="shared" si="50"/>
        <v>CG01625</v>
      </c>
    </row>
    <row r="1552" spans="1:11" x14ac:dyDescent="0.3">
      <c r="A1552" s="298" t="s">
        <v>5366</v>
      </c>
      <c r="B1552" s="298" t="s">
        <v>5367</v>
      </c>
      <c r="C1552" s="298" t="s">
        <v>809</v>
      </c>
      <c r="D1552" s="298" t="s">
        <v>256</v>
      </c>
      <c r="E1552" s="298"/>
      <c r="F1552" s="298" t="s">
        <v>5368</v>
      </c>
      <c r="G1552" s="299" t="b">
        <v>0</v>
      </c>
      <c r="H1552" s="299" t="b">
        <v>0</v>
      </c>
      <c r="J1552" s="113" t="str">
        <f t="shared" si="49"/>
        <v>978496945</v>
      </c>
      <c r="K1552" s="113" t="str">
        <f t="shared" si="50"/>
        <v>CG01626</v>
      </c>
    </row>
    <row r="1553" spans="1:11" x14ac:dyDescent="0.3">
      <c r="A1553" s="298" t="s">
        <v>5369</v>
      </c>
      <c r="B1553" s="298" t="s">
        <v>5370</v>
      </c>
      <c r="C1553" s="298" t="s">
        <v>390</v>
      </c>
      <c r="D1553" s="298" t="s">
        <v>256</v>
      </c>
      <c r="E1553" s="298"/>
      <c r="F1553" s="298" t="s">
        <v>5371</v>
      </c>
      <c r="G1553" s="299" t="b">
        <v>0</v>
      </c>
      <c r="H1553" s="299" t="b">
        <v>0</v>
      </c>
      <c r="J1553" s="113" t="str">
        <f t="shared" si="49"/>
        <v>902193085</v>
      </c>
      <c r="K1553" s="113" t="str">
        <f t="shared" si="50"/>
        <v>CG01627</v>
      </c>
    </row>
    <row r="1554" spans="1:11" x14ac:dyDescent="0.3">
      <c r="A1554" s="298" t="s">
        <v>5372</v>
      </c>
      <c r="B1554" s="298" t="s">
        <v>5373</v>
      </c>
      <c r="C1554" s="298" t="s">
        <v>1247</v>
      </c>
      <c r="D1554" s="298" t="s">
        <v>256</v>
      </c>
      <c r="E1554" s="298"/>
      <c r="F1554" s="298" t="s">
        <v>5374</v>
      </c>
      <c r="G1554" s="299" t="b">
        <v>0</v>
      </c>
      <c r="H1554" s="299" t="b">
        <v>0</v>
      </c>
      <c r="J1554" s="113" t="str">
        <f t="shared" si="49"/>
        <v>988703324</v>
      </c>
      <c r="K1554" s="113" t="str">
        <f t="shared" si="50"/>
        <v>CG01628</v>
      </c>
    </row>
    <row r="1555" spans="1:11" x14ac:dyDescent="0.3">
      <c r="A1555" s="298" t="s">
        <v>5375</v>
      </c>
      <c r="B1555" s="298" t="s">
        <v>5376</v>
      </c>
      <c r="C1555" s="298" t="s">
        <v>277</v>
      </c>
      <c r="D1555" s="298" t="s">
        <v>256</v>
      </c>
      <c r="E1555" s="298"/>
      <c r="F1555" s="298" t="s">
        <v>5377</v>
      </c>
      <c r="G1555" s="299" t="b">
        <v>0</v>
      </c>
      <c r="H1555" s="299" t="b">
        <v>0</v>
      </c>
      <c r="J1555" s="113" t="str">
        <f t="shared" si="49"/>
        <v>989168889</v>
      </c>
      <c r="K1555" s="113" t="str">
        <f t="shared" si="50"/>
        <v>CG01629</v>
      </c>
    </row>
    <row r="1556" spans="1:11" x14ac:dyDescent="0.3">
      <c r="A1556" s="298" t="s">
        <v>5378</v>
      </c>
      <c r="B1556" s="298" t="s">
        <v>5379</v>
      </c>
      <c r="C1556" s="298" t="s">
        <v>5380</v>
      </c>
      <c r="D1556" s="298" t="s">
        <v>256</v>
      </c>
      <c r="E1556" s="298"/>
      <c r="F1556" s="298" t="s">
        <v>5381</v>
      </c>
      <c r="G1556" s="299" t="b">
        <v>0</v>
      </c>
      <c r="H1556" s="299" t="b">
        <v>0</v>
      </c>
      <c r="J1556" s="113" t="str">
        <f t="shared" si="49"/>
        <v>971509822</v>
      </c>
      <c r="K1556" s="113" t="str">
        <f t="shared" si="50"/>
        <v>CG01630</v>
      </c>
    </row>
    <row r="1557" spans="1:11" x14ac:dyDescent="0.3">
      <c r="A1557" s="298" t="s">
        <v>5382</v>
      </c>
      <c r="B1557" s="298" t="s">
        <v>5383</v>
      </c>
      <c r="C1557" s="298" t="s">
        <v>1508</v>
      </c>
      <c r="D1557" s="298" t="s">
        <v>256</v>
      </c>
      <c r="E1557" s="298"/>
      <c r="F1557" s="298" t="s">
        <v>5384</v>
      </c>
      <c r="G1557" s="299" t="b">
        <v>0</v>
      </c>
      <c r="H1557" s="299" t="b">
        <v>0</v>
      </c>
      <c r="J1557" s="113" t="str">
        <f t="shared" si="49"/>
        <v>934522000</v>
      </c>
      <c r="K1557" s="113" t="str">
        <f t="shared" si="50"/>
        <v>CG01631</v>
      </c>
    </row>
    <row r="1558" spans="1:11" x14ac:dyDescent="0.3">
      <c r="A1558" s="298" t="s">
        <v>5385</v>
      </c>
      <c r="B1558" s="298" t="s">
        <v>5386</v>
      </c>
      <c r="C1558" s="298" t="s">
        <v>355</v>
      </c>
      <c r="D1558" s="298" t="s">
        <v>256</v>
      </c>
      <c r="E1558" s="298"/>
      <c r="F1558" s="298" t="s">
        <v>5387</v>
      </c>
      <c r="G1558" s="299" t="b">
        <v>0</v>
      </c>
      <c r="H1558" s="299" t="b">
        <v>0</v>
      </c>
      <c r="J1558" s="113" t="str">
        <f t="shared" si="49"/>
        <v>967355999</v>
      </c>
      <c r="K1558" s="113" t="str">
        <f t="shared" si="50"/>
        <v>CG01632</v>
      </c>
    </row>
    <row r="1559" spans="1:11" x14ac:dyDescent="0.3">
      <c r="A1559" s="298" t="s">
        <v>5388</v>
      </c>
      <c r="B1559" s="298" t="s">
        <v>5389</v>
      </c>
      <c r="C1559" s="298" t="s">
        <v>1237</v>
      </c>
      <c r="D1559" s="298" t="s">
        <v>256</v>
      </c>
      <c r="E1559" s="298"/>
      <c r="F1559" s="298" t="s">
        <v>5390</v>
      </c>
      <c r="G1559" s="299" t="b">
        <v>0</v>
      </c>
      <c r="H1559" s="299" t="b">
        <v>0</v>
      </c>
      <c r="J1559" s="113" t="str">
        <f t="shared" si="49"/>
        <v>912327807</v>
      </c>
      <c r="K1559" s="113" t="str">
        <f t="shared" si="50"/>
        <v>CG01633</v>
      </c>
    </row>
    <row r="1560" spans="1:11" x14ac:dyDescent="0.3">
      <c r="A1560" s="298" t="s">
        <v>5391</v>
      </c>
      <c r="B1560" s="298" t="s">
        <v>5392</v>
      </c>
      <c r="C1560" s="298" t="s">
        <v>355</v>
      </c>
      <c r="D1560" s="298" t="s">
        <v>256</v>
      </c>
      <c r="E1560" s="298"/>
      <c r="F1560" s="298" t="s">
        <v>5393</v>
      </c>
      <c r="G1560" s="299" t="b">
        <v>0</v>
      </c>
      <c r="H1560" s="299" t="b">
        <v>0</v>
      </c>
      <c r="J1560" s="113" t="str">
        <f t="shared" si="49"/>
        <v>976519999</v>
      </c>
      <c r="K1560" s="113" t="str">
        <f t="shared" si="50"/>
        <v>CG01634</v>
      </c>
    </row>
    <row r="1561" spans="1:11" x14ac:dyDescent="0.3">
      <c r="A1561" s="298" t="s">
        <v>5394</v>
      </c>
      <c r="B1561" s="298" t="s">
        <v>5395</v>
      </c>
      <c r="C1561" s="298" t="s">
        <v>355</v>
      </c>
      <c r="D1561" s="298" t="s">
        <v>256</v>
      </c>
      <c r="E1561" s="298"/>
      <c r="F1561" s="298" t="s">
        <v>5396</v>
      </c>
      <c r="G1561" s="299" t="b">
        <v>0</v>
      </c>
      <c r="H1561" s="299" t="b">
        <v>0</v>
      </c>
      <c r="J1561" s="113" t="str">
        <f t="shared" si="49"/>
        <v>976548889</v>
      </c>
      <c r="K1561" s="113" t="str">
        <f t="shared" si="50"/>
        <v>CG01635</v>
      </c>
    </row>
    <row r="1562" spans="1:11" x14ac:dyDescent="0.3">
      <c r="A1562" s="298" t="s">
        <v>5397</v>
      </c>
      <c r="B1562" s="298" t="s">
        <v>5398</v>
      </c>
      <c r="C1562" s="298" t="s">
        <v>1011</v>
      </c>
      <c r="D1562" s="298" t="s">
        <v>256</v>
      </c>
      <c r="E1562" s="298"/>
      <c r="F1562" s="298" t="s">
        <v>5399</v>
      </c>
      <c r="G1562" s="299" t="b">
        <v>0</v>
      </c>
      <c r="H1562" s="299" t="b">
        <v>0</v>
      </c>
      <c r="J1562" s="113" t="str">
        <f t="shared" si="49"/>
        <v>772263121</v>
      </c>
      <c r="K1562" s="113" t="str">
        <f t="shared" si="50"/>
        <v>CG01636</v>
      </c>
    </row>
    <row r="1563" spans="1:11" x14ac:dyDescent="0.3">
      <c r="A1563" s="298" t="s">
        <v>5400</v>
      </c>
      <c r="B1563" s="298" t="s">
        <v>5401</v>
      </c>
      <c r="C1563" s="298" t="s">
        <v>335</v>
      </c>
      <c r="D1563" s="298" t="s">
        <v>256</v>
      </c>
      <c r="E1563" s="298"/>
      <c r="F1563" s="298" t="s">
        <v>5402</v>
      </c>
      <c r="G1563" s="299" t="b">
        <v>0</v>
      </c>
      <c r="H1563" s="299" t="b">
        <v>0</v>
      </c>
      <c r="J1563" s="113" t="str">
        <f t="shared" si="49"/>
        <v>983881093</v>
      </c>
      <c r="K1563" s="113" t="str">
        <f t="shared" si="50"/>
        <v>CG01637</v>
      </c>
    </row>
    <row r="1564" spans="1:11" x14ac:dyDescent="0.3">
      <c r="A1564" s="298" t="s">
        <v>5403</v>
      </c>
      <c r="B1564" s="298" t="s">
        <v>5404</v>
      </c>
      <c r="C1564" s="298" t="s">
        <v>230</v>
      </c>
      <c r="D1564" s="298" t="s">
        <v>256</v>
      </c>
      <c r="E1564" s="298"/>
      <c r="F1564" s="298" t="s">
        <v>5405</v>
      </c>
      <c r="G1564" s="299" t="b">
        <v>0</v>
      </c>
      <c r="H1564" s="299" t="b">
        <v>0</v>
      </c>
      <c r="J1564" s="113" t="str">
        <f t="shared" si="49"/>
        <v>915144654</v>
      </c>
      <c r="K1564" s="113" t="str">
        <f t="shared" si="50"/>
        <v>CG01638</v>
      </c>
    </row>
    <row r="1565" spans="1:11" x14ac:dyDescent="0.3">
      <c r="A1565" s="298" t="s">
        <v>5406</v>
      </c>
      <c r="B1565" s="298" t="s">
        <v>5407</v>
      </c>
      <c r="C1565" s="298" t="s">
        <v>3253</v>
      </c>
      <c r="D1565" s="298" t="s">
        <v>256</v>
      </c>
      <c r="E1565" s="298"/>
      <c r="F1565" s="298" t="s">
        <v>5408</v>
      </c>
      <c r="G1565" s="299" t="b">
        <v>0</v>
      </c>
      <c r="H1565" s="299" t="b">
        <v>0</v>
      </c>
      <c r="J1565" s="113" t="str">
        <f t="shared" si="49"/>
        <v>987841891</v>
      </c>
      <c r="K1565" s="113" t="str">
        <f t="shared" si="50"/>
        <v>CG01639</v>
      </c>
    </row>
    <row r="1566" spans="1:11" x14ac:dyDescent="0.3">
      <c r="A1566" s="298" t="s">
        <v>5409</v>
      </c>
      <c r="B1566" s="298" t="s">
        <v>5410</v>
      </c>
      <c r="C1566" s="298" t="s">
        <v>5268</v>
      </c>
      <c r="D1566" s="298" t="s">
        <v>256</v>
      </c>
      <c r="E1566" s="298" t="s">
        <v>5411</v>
      </c>
      <c r="F1566" s="298" t="s">
        <v>5412</v>
      </c>
      <c r="G1566" s="299" t="b">
        <v>0</v>
      </c>
      <c r="H1566" s="299" t="b">
        <v>0</v>
      </c>
      <c r="J1566" s="113" t="str">
        <f t="shared" si="49"/>
        <v>941258888</v>
      </c>
      <c r="K1566" s="113" t="str">
        <f t="shared" si="50"/>
        <v>CG01640</v>
      </c>
    </row>
    <row r="1567" spans="1:11" x14ac:dyDescent="0.3">
      <c r="A1567" s="298" t="s">
        <v>5413</v>
      </c>
      <c r="B1567" s="298" t="s">
        <v>5414</v>
      </c>
      <c r="C1567" s="298" t="s">
        <v>711</v>
      </c>
      <c r="D1567" s="298" t="s">
        <v>256</v>
      </c>
      <c r="E1567" s="298"/>
      <c r="F1567" s="298" t="s">
        <v>5415</v>
      </c>
      <c r="G1567" s="299" t="b">
        <v>0</v>
      </c>
      <c r="H1567" s="299" t="b">
        <v>0</v>
      </c>
      <c r="J1567" s="113" t="str">
        <f t="shared" si="49"/>
        <v>912307922</v>
      </c>
      <c r="K1567" s="113" t="str">
        <f t="shared" si="50"/>
        <v>CG01641</v>
      </c>
    </row>
    <row r="1568" spans="1:11" x14ac:dyDescent="0.3">
      <c r="A1568" s="298" t="s">
        <v>5416</v>
      </c>
      <c r="B1568" s="298" t="s">
        <v>5417</v>
      </c>
      <c r="C1568" s="298" t="s">
        <v>289</v>
      </c>
      <c r="D1568" s="298" t="s">
        <v>256</v>
      </c>
      <c r="E1568" s="298"/>
      <c r="F1568" s="298" t="s">
        <v>5418</v>
      </c>
      <c r="G1568" s="299" t="b">
        <v>0</v>
      </c>
      <c r="H1568" s="299" t="b">
        <v>0</v>
      </c>
      <c r="J1568" s="113" t="str">
        <f t="shared" si="49"/>
        <v>376596387</v>
      </c>
      <c r="K1568" s="113" t="str">
        <f t="shared" si="50"/>
        <v>CG01642</v>
      </c>
    </row>
    <row r="1569" spans="1:11" x14ac:dyDescent="0.3">
      <c r="A1569" s="298" t="s">
        <v>5419</v>
      </c>
      <c r="B1569" s="298" t="s">
        <v>5420</v>
      </c>
      <c r="C1569" s="298" t="s">
        <v>1776</v>
      </c>
      <c r="D1569" s="298" t="s">
        <v>256</v>
      </c>
      <c r="E1569" s="298"/>
      <c r="F1569" s="298" t="s">
        <v>5421</v>
      </c>
      <c r="G1569" s="299" t="b">
        <v>0</v>
      </c>
      <c r="H1569" s="299" t="b">
        <v>0</v>
      </c>
      <c r="J1569" s="113" t="str">
        <f t="shared" si="49"/>
        <v>913305357</v>
      </c>
      <c r="K1569" s="113" t="str">
        <f t="shared" si="50"/>
        <v>CG01643</v>
      </c>
    </row>
    <row r="1570" spans="1:11" x14ac:dyDescent="0.3">
      <c r="A1570" s="298" t="s">
        <v>5422</v>
      </c>
      <c r="B1570" s="298" t="s">
        <v>5423</v>
      </c>
      <c r="C1570" s="298" t="s">
        <v>1152</v>
      </c>
      <c r="D1570" s="298" t="s">
        <v>256</v>
      </c>
      <c r="E1570" s="298"/>
      <c r="F1570" s="298" t="s">
        <v>5424</v>
      </c>
      <c r="G1570" s="299" t="b">
        <v>0</v>
      </c>
      <c r="H1570" s="299" t="b">
        <v>0</v>
      </c>
      <c r="J1570" s="113" t="str">
        <f t="shared" si="49"/>
        <v>919762518</v>
      </c>
      <c r="K1570" s="113" t="str">
        <f t="shared" si="50"/>
        <v>CG01644</v>
      </c>
    </row>
    <row r="1571" spans="1:11" x14ac:dyDescent="0.3">
      <c r="A1571" s="298" t="s">
        <v>5425</v>
      </c>
      <c r="B1571" s="298" t="s">
        <v>5426</v>
      </c>
      <c r="C1571" s="298" t="s">
        <v>343</v>
      </c>
      <c r="D1571" s="298" t="s">
        <v>256</v>
      </c>
      <c r="E1571" s="298"/>
      <c r="F1571" s="298" t="s">
        <v>5427</v>
      </c>
      <c r="G1571" s="299" t="b">
        <v>0</v>
      </c>
      <c r="H1571" s="299" t="b">
        <v>0</v>
      </c>
      <c r="J1571" s="113" t="str">
        <f t="shared" si="49"/>
        <v>984989509</v>
      </c>
      <c r="K1571" s="113" t="str">
        <f t="shared" si="50"/>
        <v>CG01645</v>
      </c>
    </row>
    <row r="1572" spans="1:11" x14ac:dyDescent="0.3">
      <c r="A1572" s="298" t="s">
        <v>5428</v>
      </c>
      <c r="B1572" s="298" t="s">
        <v>5429</v>
      </c>
      <c r="C1572" s="298" t="s">
        <v>375</v>
      </c>
      <c r="D1572" s="298" t="s">
        <v>256</v>
      </c>
      <c r="E1572" s="298"/>
      <c r="F1572" s="298" t="s">
        <v>5430</v>
      </c>
      <c r="G1572" s="299" t="b">
        <v>0</v>
      </c>
      <c r="H1572" s="299" t="b">
        <v>0</v>
      </c>
      <c r="J1572" s="113" t="str">
        <f t="shared" si="49"/>
        <v>942069666</v>
      </c>
      <c r="K1572" s="113" t="str">
        <f t="shared" si="50"/>
        <v>CG01646</v>
      </c>
    </row>
    <row r="1573" spans="1:11" x14ac:dyDescent="0.3">
      <c r="A1573" s="298" t="s">
        <v>5431</v>
      </c>
      <c r="B1573" s="298" t="s">
        <v>5432</v>
      </c>
      <c r="C1573" s="298" t="s">
        <v>335</v>
      </c>
      <c r="D1573" s="298" t="s">
        <v>256</v>
      </c>
      <c r="E1573" s="298"/>
      <c r="F1573" s="298" t="s">
        <v>5433</v>
      </c>
      <c r="G1573" s="299" t="b">
        <v>0</v>
      </c>
      <c r="H1573" s="299" t="b">
        <v>0</v>
      </c>
      <c r="J1573" s="113" t="str">
        <f t="shared" si="49"/>
        <v>963540888</v>
      </c>
      <c r="K1573" s="113" t="str">
        <f t="shared" si="50"/>
        <v>CG01647</v>
      </c>
    </row>
    <row r="1574" spans="1:11" x14ac:dyDescent="0.3">
      <c r="A1574" s="298" t="s">
        <v>5434</v>
      </c>
      <c r="B1574" s="298" t="s">
        <v>5435</v>
      </c>
      <c r="C1574" s="298" t="s">
        <v>718</v>
      </c>
      <c r="D1574" s="298" t="s">
        <v>256</v>
      </c>
      <c r="E1574" s="298"/>
      <c r="F1574" s="298" t="s">
        <v>5436</v>
      </c>
      <c r="G1574" s="299" t="b">
        <v>0</v>
      </c>
      <c r="H1574" s="299" t="b">
        <v>0</v>
      </c>
      <c r="J1574" s="113" t="str">
        <f t="shared" si="49"/>
        <v>975805776</v>
      </c>
      <c r="K1574" s="113" t="str">
        <f t="shared" si="50"/>
        <v>CG01648</v>
      </c>
    </row>
    <row r="1575" spans="1:11" x14ac:dyDescent="0.3">
      <c r="A1575" s="298" t="s">
        <v>5437</v>
      </c>
      <c r="B1575" s="298" t="s">
        <v>5438</v>
      </c>
      <c r="C1575" s="298" t="s">
        <v>5439</v>
      </c>
      <c r="D1575" s="298" t="s">
        <v>256</v>
      </c>
      <c r="E1575" s="298"/>
      <c r="F1575" s="298" t="s">
        <v>5440</v>
      </c>
      <c r="G1575" s="299" t="b">
        <v>0</v>
      </c>
      <c r="H1575" s="299" t="b">
        <v>0</v>
      </c>
      <c r="J1575" s="113" t="str">
        <f t="shared" si="49"/>
        <v>357202628</v>
      </c>
      <c r="K1575" s="113" t="str">
        <f t="shared" si="50"/>
        <v>CG01649</v>
      </c>
    </row>
    <row r="1576" spans="1:11" x14ac:dyDescent="0.3">
      <c r="A1576" s="298" t="s">
        <v>5441</v>
      </c>
      <c r="B1576" s="298" t="s">
        <v>5442</v>
      </c>
      <c r="C1576" s="298" t="s">
        <v>711</v>
      </c>
      <c r="D1576" s="298" t="s">
        <v>256</v>
      </c>
      <c r="E1576" s="298"/>
      <c r="F1576" s="298" t="s">
        <v>5443</v>
      </c>
      <c r="G1576" s="299" t="b">
        <v>0</v>
      </c>
      <c r="H1576" s="299" t="b">
        <v>0</v>
      </c>
      <c r="J1576" s="113" t="str">
        <f t="shared" si="49"/>
        <v>989772700</v>
      </c>
      <c r="K1576" s="113" t="str">
        <f t="shared" si="50"/>
        <v>CG01650</v>
      </c>
    </row>
    <row r="1577" spans="1:11" x14ac:dyDescent="0.3">
      <c r="A1577" s="298" t="s">
        <v>5444</v>
      </c>
      <c r="B1577" s="298" t="s">
        <v>5445</v>
      </c>
      <c r="C1577" s="298" t="s">
        <v>416</v>
      </c>
      <c r="D1577" s="298" t="s">
        <v>256</v>
      </c>
      <c r="E1577" s="298"/>
      <c r="F1577" s="298" t="s">
        <v>5446</v>
      </c>
      <c r="G1577" s="299" t="b">
        <v>0</v>
      </c>
      <c r="H1577" s="299" t="b">
        <v>0</v>
      </c>
      <c r="J1577" s="113" t="str">
        <f t="shared" si="49"/>
        <v>938182286</v>
      </c>
      <c r="K1577" s="113" t="str">
        <f t="shared" si="50"/>
        <v>CG01651</v>
      </c>
    </row>
    <row r="1578" spans="1:11" x14ac:dyDescent="0.3">
      <c r="A1578" s="298" t="s">
        <v>5447</v>
      </c>
      <c r="B1578" s="298" t="s">
        <v>5448</v>
      </c>
      <c r="C1578" s="298" t="s">
        <v>289</v>
      </c>
      <c r="D1578" s="298" t="s">
        <v>256</v>
      </c>
      <c r="E1578" s="298"/>
      <c r="F1578" s="298" t="s">
        <v>5449</v>
      </c>
      <c r="G1578" s="299" t="b">
        <v>0</v>
      </c>
      <c r="H1578" s="299" t="b">
        <v>0</v>
      </c>
      <c r="J1578" s="113" t="str">
        <f t="shared" si="49"/>
        <v>915328207</v>
      </c>
      <c r="K1578" s="113" t="str">
        <f t="shared" si="50"/>
        <v>CG01652</v>
      </c>
    </row>
    <row r="1579" spans="1:11" x14ac:dyDescent="0.3">
      <c r="A1579" s="298" t="s">
        <v>5450</v>
      </c>
      <c r="B1579" s="298" t="s">
        <v>5451</v>
      </c>
      <c r="C1579" s="298" t="s">
        <v>355</v>
      </c>
      <c r="D1579" s="298" t="s">
        <v>256</v>
      </c>
      <c r="E1579" s="298"/>
      <c r="F1579" s="298" t="s">
        <v>5452</v>
      </c>
      <c r="G1579" s="299" t="b">
        <v>0</v>
      </c>
      <c r="H1579" s="299" t="b">
        <v>0</v>
      </c>
      <c r="J1579" s="113" t="str">
        <f t="shared" si="49"/>
        <v>914892456</v>
      </c>
      <c r="K1579" s="113" t="str">
        <f t="shared" si="50"/>
        <v>CG01653</v>
      </c>
    </row>
    <row r="1580" spans="1:11" x14ac:dyDescent="0.3">
      <c r="A1580" s="298" t="s">
        <v>5453</v>
      </c>
      <c r="B1580" s="298" t="s">
        <v>5454</v>
      </c>
      <c r="C1580" s="298" t="s">
        <v>809</v>
      </c>
      <c r="D1580" s="298" t="s">
        <v>256</v>
      </c>
      <c r="E1580" s="298"/>
      <c r="F1580" s="298" t="s">
        <v>5455</v>
      </c>
      <c r="G1580" s="299" t="b">
        <v>0</v>
      </c>
      <c r="H1580" s="299" t="b">
        <v>0</v>
      </c>
      <c r="J1580" s="113" t="str">
        <f t="shared" si="49"/>
        <v>975066965</v>
      </c>
      <c r="K1580" s="113" t="str">
        <f t="shared" si="50"/>
        <v>CG01654</v>
      </c>
    </row>
    <row r="1581" spans="1:11" x14ac:dyDescent="0.3">
      <c r="A1581" s="298" t="s">
        <v>5456</v>
      </c>
      <c r="B1581" s="298" t="s">
        <v>5457</v>
      </c>
      <c r="C1581" s="298" t="s">
        <v>2531</v>
      </c>
      <c r="D1581" s="298" t="s">
        <v>256</v>
      </c>
      <c r="E1581" s="298"/>
      <c r="F1581" s="298" t="s">
        <v>5458</v>
      </c>
      <c r="G1581" s="299" t="b">
        <v>0</v>
      </c>
      <c r="H1581" s="299" t="b">
        <v>0</v>
      </c>
      <c r="J1581" s="113" t="str">
        <f t="shared" si="49"/>
        <v>362036700</v>
      </c>
      <c r="K1581" s="113" t="str">
        <f t="shared" si="50"/>
        <v>CG01655</v>
      </c>
    </row>
    <row r="1582" spans="1:11" x14ac:dyDescent="0.3">
      <c r="A1582" s="298" t="s">
        <v>5459</v>
      </c>
      <c r="B1582" s="298" t="s">
        <v>5460</v>
      </c>
      <c r="C1582" s="298" t="s">
        <v>355</v>
      </c>
      <c r="D1582" s="298" t="s">
        <v>256</v>
      </c>
      <c r="E1582" s="298"/>
      <c r="F1582" s="298" t="s">
        <v>5461</v>
      </c>
      <c r="G1582" s="299" t="b">
        <v>0</v>
      </c>
      <c r="H1582" s="299" t="b">
        <v>0</v>
      </c>
      <c r="J1582" s="113" t="str">
        <f t="shared" si="49"/>
        <v>982361978</v>
      </c>
      <c r="K1582" s="113" t="str">
        <f t="shared" si="50"/>
        <v>CG01656</v>
      </c>
    </row>
    <row r="1583" spans="1:11" x14ac:dyDescent="0.3">
      <c r="A1583" s="298" t="s">
        <v>5462</v>
      </c>
      <c r="B1583" s="298" t="s">
        <v>5463</v>
      </c>
      <c r="C1583" s="298" t="s">
        <v>809</v>
      </c>
      <c r="D1583" s="298" t="s">
        <v>256</v>
      </c>
      <c r="E1583" s="298"/>
      <c r="F1583" s="298" t="s">
        <v>5464</v>
      </c>
      <c r="G1583" s="299" t="b">
        <v>0</v>
      </c>
      <c r="H1583" s="299" t="b">
        <v>0</v>
      </c>
      <c r="J1583" s="113" t="str">
        <f t="shared" si="49"/>
        <v>968543966</v>
      </c>
      <c r="K1583" s="113" t="str">
        <f t="shared" si="50"/>
        <v>CG01657</v>
      </c>
    </row>
    <row r="1584" spans="1:11" x14ac:dyDescent="0.3">
      <c r="A1584" s="298" t="s">
        <v>5465</v>
      </c>
      <c r="B1584" s="298" t="s">
        <v>5466</v>
      </c>
      <c r="C1584" s="298" t="s">
        <v>5467</v>
      </c>
      <c r="D1584" s="298" t="s">
        <v>256</v>
      </c>
      <c r="E1584" s="298" t="s">
        <v>5468</v>
      </c>
      <c r="F1584" s="298" t="s">
        <v>5469</v>
      </c>
      <c r="G1584" s="299" t="b">
        <v>0</v>
      </c>
      <c r="H1584" s="299" t="b">
        <v>0</v>
      </c>
      <c r="J1584" s="113" t="str">
        <f t="shared" si="49"/>
        <v>787157555</v>
      </c>
      <c r="K1584" s="113" t="str">
        <f t="shared" si="50"/>
        <v>CG01658</v>
      </c>
    </row>
    <row r="1585" spans="1:11" x14ac:dyDescent="0.3">
      <c r="A1585" s="298" t="s">
        <v>5470</v>
      </c>
      <c r="B1585" s="298" t="s">
        <v>5471</v>
      </c>
      <c r="C1585" s="298" t="s">
        <v>3966</v>
      </c>
      <c r="D1585" s="298" t="s">
        <v>256</v>
      </c>
      <c r="E1585" s="298"/>
      <c r="F1585" s="298" t="s">
        <v>5472</v>
      </c>
      <c r="G1585" s="299" t="b">
        <v>0</v>
      </c>
      <c r="H1585" s="299" t="b">
        <v>0</v>
      </c>
      <c r="J1585" s="113" t="str">
        <f t="shared" si="49"/>
        <v>975138111</v>
      </c>
      <c r="K1585" s="113" t="str">
        <f t="shared" si="50"/>
        <v>CG01659</v>
      </c>
    </row>
    <row r="1586" spans="1:11" x14ac:dyDescent="0.3">
      <c r="A1586" s="298" t="s">
        <v>5473</v>
      </c>
      <c r="B1586" s="298" t="s">
        <v>5474</v>
      </c>
      <c r="C1586" s="298" t="s">
        <v>355</v>
      </c>
      <c r="D1586" s="298" t="s">
        <v>256</v>
      </c>
      <c r="E1586" s="298"/>
      <c r="F1586" s="298" t="s">
        <v>5475</v>
      </c>
      <c r="G1586" s="299" t="b">
        <v>0</v>
      </c>
      <c r="H1586" s="299" t="b">
        <v>0</v>
      </c>
      <c r="J1586" s="113" t="str">
        <f t="shared" si="49"/>
        <v>913563184</v>
      </c>
      <c r="K1586" s="113" t="str">
        <f t="shared" si="50"/>
        <v>CG01660</v>
      </c>
    </row>
    <row r="1587" spans="1:11" x14ac:dyDescent="0.3">
      <c r="A1587" s="298" t="s">
        <v>5476</v>
      </c>
      <c r="B1587" s="298" t="s">
        <v>5477</v>
      </c>
      <c r="C1587" s="298" t="s">
        <v>892</v>
      </c>
      <c r="D1587" s="298" t="s">
        <v>256</v>
      </c>
      <c r="E1587" s="298"/>
      <c r="F1587" s="298" t="s">
        <v>5478</v>
      </c>
      <c r="G1587" s="299" t="b">
        <v>0</v>
      </c>
      <c r="H1587" s="299" t="b">
        <v>0</v>
      </c>
      <c r="J1587" s="113" t="str">
        <f t="shared" si="49"/>
        <v>912957636</v>
      </c>
      <c r="K1587" s="113" t="str">
        <f t="shared" si="50"/>
        <v>CG01661</v>
      </c>
    </row>
    <row r="1588" spans="1:11" x14ac:dyDescent="0.3">
      <c r="A1588" s="298" t="s">
        <v>5479</v>
      </c>
      <c r="B1588" s="298" t="s">
        <v>5480</v>
      </c>
      <c r="C1588" s="298" t="s">
        <v>1671</v>
      </c>
      <c r="D1588" s="298" t="s">
        <v>256</v>
      </c>
      <c r="E1588" s="298"/>
      <c r="F1588" s="298" t="s">
        <v>5481</v>
      </c>
      <c r="G1588" s="299" t="b">
        <v>0</v>
      </c>
      <c r="H1588" s="299" t="b">
        <v>0</v>
      </c>
      <c r="J1588" s="113" t="str">
        <f t="shared" si="49"/>
        <v>988828916</v>
      </c>
      <c r="K1588" s="113" t="str">
        <f t="shared" si="50"/>
        <v>CG01662</v>
      </c>
    </row>
    <row r="1589" spans="1:11" x14ac:dyDescent="0.3">
      <c r="A1589" s="298" t="s">
        <v>5482</v>
      </c>
      <c r="B1589" s="298" t="s">
        <v>5483</v>
      </c>
      <c r="C1589" s="298" t="s">
        <v>1587</v>
      </c>
      <c r="D1589" s="298" t="s">
        <v>256</v>
      </c>
      <c r="E1589" s="298"/>
      <c r="F1589" s="298" t="s">
        <v>5484</v>
      </c>
      <c r="G1589" s="299" t="b">
        <v>0</v>
      </c>
      <c r="H1589" s="299" t="b">
        <v>0</v>
      </c>
      <c r="J1589" s="113" t="str">
        <f t="shared" si="49"/>
        <v>915834643</v>
      </c>
      <c r="K1589" s="113" t="str">
        <f t="shared" si="50"/>
        <v>CG01663</v>
      </c>
    </row>
    <row r="1590" spans="1:11" x14ac:dyDescent="0.3">
      <c r="A1590" s="298" t="s">
        <v>5485</v>
      </c>
      <c r="B1590" s="298" t="s">
        <v>5486</v>
      </c>
      <c r="C1590" s="298" t="s">
        <v>1575</v>
      </c>
      <c r="D1590" s="298" t="s">
        <v>256</v>
      </c>
      <c r="E1590" s="298"/>
      <c r="F1590" s="298" t="s">
        <v>5487</v>
      </c>
      <c r="G1590" s="299" t="b">
        <v>0</v>
      </c>
      <c r="H1590" s="299" t="b">
        <v>0</v>
      </c>
      <c r="J1590" s="113" t="str">
        <f t="shared" si="49"/>
        <v>913276436</v>
      </c>
      <c r="K1590" s="113" t="str">
        <f t="shared" si="50"/>
        <v>CG01664</v>
      </c>
    </row>
    <row r="1591" spans="1:11" x14ac:dyDescent="0.3">
      <c r="A1591" s="298" t="s">
        <v>5488</v>
      </c>
      <c r="B1591" s="298" t="s">
        <v>5489</v>
      </c>
      <c r="C1591" s="298" t="s">
        <v>5490</v>
      </c>
      <c r="D1591" s="298" t="s">
        <v>256</v>
      </c>
      <c r="E1591" s="298"/>
      <c r="F1591" s="298" t="s">
        <v>5491</v>
      </c>
      <c r="G1591" s="299" t="b">
        <v>0</v>
      </c>
      <c r="H1591" s="299" t="b">
        <v>0</v>
      </c>
      <c r="J1591" s="113" t="str">
        <f t="shared" si="49"/>
        <v>982726010</v>
      </c>
      <c r="K1591" s="113" t="str">
        <f t="shared" si="50"/>
        <v>CG01665</v>
      </c>
    </row>
    <row r="1592" spans="1:11" x14ac:dyDescent="0.3">
      <c r="A1592" s="298" t="s">
        <v>5492</v>
      </c>
      <c r="B1592" s="298" t="s">
        <v>5493</v>
      </c>
      <c r="C1592" s="298" t="s">
        <v>416</v>
      </c>
      <c r="D1592" s="298" t="s">
        <v>256</v>
      </c>
      <c r="E1592" s="298"/>
      <c r="F1592" s="298" t="s">
        <v>5494</v>
      </c>
      <c r="G1592" s="299" t="b">
        <v>0</v>
      </c>
      <c r="H1592" s="299" t="b">
        <v>0</v>
      </c>
      <c r="J1592" s="113" t="str">
        <f t="shared" si="49"/>
        <v>913372858</v>
      </c>
      <c r="K1592" s="113" t="str">
        <f t="shared" si="50"/>
        <v>CG01666</v>
      </c>
    </row>
    <row r="1593" spans="1:11" x14ac:dyDescent="0.3">
      <c r="A1593" s="298" t="s">
        <v>5495</v>
      </c>
      <c r="B1593" s="298" t="s">
        <v>5496</v>
      </c>
      <c r="C1593" s="298" t="s">
        <v>416</v>
      </c>
      <c r="D1593" s="298" t="s">
        <v>256</v>
      </c>
      <c r="E1593" s="298"/>
      <c r="F1593" s="298" t="s">
        <v>5497</v>
      </c>
      <c r="G1593" s="299" t="b">
        <v>0</v>
      </c>
      <c r="H1593" s="299" t="b">
        <v>0</v>
      </c>
      <c r="J1593" s="113" t="str">
        <f t="shared" si="49"/>
        <v>933311976</v>
      </c>
      <c r="K1593" s="113" t="str">
        <f t="shared" si="50"/>
        <v>CG01667</v>
      </c>
    </row>
    <row r="1594" spans="1:11" x14ac:dyDescent="0.3">
      <c r="A1594" s="298" t="s">
        <v>5498</v>
      </c>
      <c r="B1594" s="298" t="s">
        <v>5499</v>
      </c>
      <c r="C1594" s="298" t="s">
        <v>989</v>
      </c>
      <c r="D1594" s="298" t="s">
        <v>256</v>
      </c>
      <c r="E1594" s="298"/>
      <c r="F1594" s="298" t="s">
        <v>5500</v>
      </c>
      <c r="G1594" s="299" t="b">
        <v>0</v>
      </c>
      <c r="H1594" s="299" t="b">
        <v>0</v>
      </c>
      <c r="J1594" s="113" t="str">
        <f t="shared" si="49"/>
        <v>776401266</v>
      </c>
      <c r="K1594" s="113" t="str">
        <f t="shared" si="50"/>
        <v>CG01668</v>
      </c>
    </row>
    <row r="1595" spans="1:11" x14ac:dyDescent="0.3">
      <c r="A1595" s="298" t="s">
        <v>5501</v>
      </c>
      <c r="B1595" s="298" t="s">
        <v>5502</v>
      </c>
      <c r="C1595" s="298" t="s">
        <v>2186</v>
      </c>
      <c r="D1595" s="298" t="s">
        <v>256</v>
      </c>
      <c r="E1595" s="298"/>
      <c r="F1595" s="298" t="s">
        <v>5503</v>
      </c>
      <c r="G1595" s="299" t="b">
        <v>0</v>
      </c>
      <c r="H1595" s="299" t="b">
        <v>0</v>
      </c>
      <c r="J1595" s="113" t="str">
        <f t="shared" si="49"/>
        <v>915101207</v>
      </c>
      <c r="K1595" s="113" t="str">
        <f t="shared" si="50"/>
        <v>CG01669</v>
      </c>
    </row>
    <row r="1596" spans="1:11" x14ac:dyDescent="0.3">
      <c r="A1596" s="298" t="s">
        <v>5504</v>
      </c>
      <c r="B1596" s="298" t="s">
        <v>5505</v>
      </c>
      <c r="C1596" s="298" t="s">
        <v>277</v>
      </c>
      <c r="D1596" s="298" t="s">
        <v>256</v>
      </c>
      <c r="E1596" s="298"/>
      <c r="F1596" s="298" t="s">
        <v>5506</v>
      </c>
      <c r="G1596" s="299" t="b">
        <v>0</v>
      </c>
      <c r="H1596" s="299" t="b">
        <v>0</v>
      </c>
      <c r="J1596" s="113" t="str">
        <f t="shared" si="49"/>
        <v>912656617</v>
      </c>
      <c r="K1596" s="113" t="str">
        <f t="shared" si="50"/>
        <v>CG01670</v>
      </c>
    </row>
    <row r="1597" spans="1:11" x14ac:dyDescent="0.3">
      <c r="A1597" s="298" t="s">
        <v>5507</v>
      </c>
      <c r="B1597" s="298" t="s">
        <v>5508</v>
      </c>
      <c r="C1597" s="298" t="s">
        <v>1671</v>
      </c>
      <c r="D1597" s="298" t="s">
        <v>256</v>
      </c>
      <c r="E1597" s="298"/>
      <c r="F1597" s="298" t="s">
        <v>5509</v>
      </c>
      <c r="G1597" s="299" t="b">
        <v>0</v>
      </c>
      <c r="H1597" s="299" t="b">
        <v>0</v>
      </c>
      <c r="J1597" s="113" t="str">
        <f t="shared" si="49"/>
        <v>376273686</v>
      </c>
      <c r="K1597" s="113" t="str">
        <f t="shared" si="50"/>
        <v>CG01671</v>
      </c>
    </row>
    <row r="1598" spans="1:11" x14ac:dyDescent="0.3">
      <c r="A1598" s="298" t="s">
        <v>5510</v>
      </c>
      <c r="B1598" s="298" t="s">
        <v>5511</v>
      </c>
      <c r="C1598" s="298" t="s">
        <v>2317</v>
      </c>
      <c r="D1598" s="298" t="s">
        <v>256</v>
      </c>
      <c r="E1598" s="298"/>
      <c r="F1598" s="298" t="s">
        <v>5512</v>
      </c>
      <c r="G1598" s="299" t="b">
        <v>0</v>
      </c>
      <c r="H1598" s="299" t="b">
        <v>0</v>
      </c>
      <c r="J1598" s="113" t="str">
        <f t="shared" si="49"/>
        <v>988427761</v>
      </c>
      <c r="K1598" s="113" t="str">
        <f t="shared" si="50"/>
        <v>CG01672</v>
      </c>
    </row>
    <row r="1599" spans="1:11" x14ac:dyDescent="0.3">
      <c r="A1599" s="298" t="s">
        <v>5513</v>
      </c>
      <c r="B1599" s="298" t="s">
        <v>5514</v>
      </c>
      <c r="C1599" s="298" t="s">
        <v>1863</v>
      </c>
      <c r="D1599" s="298" t="s">
        <v>256</v>
      </c>
      <c r="E1599" s="298"/>
      <c r="F1599" s="298" t="s">
        <v>5515</v>
      </c>
      <c r="G1599" s="299" t="b">
        <v>0</v>
      </c>
      <c r="H1599" s="299" t="b">
        <v>0</v>
      </c>
      <c r="J1599" s="113" t="str">
        <f t="shared" si="49"/>
        <v>888398999</v>
      </c>
      <c r="K1599" s="113" t="str">
        <f t="shared" si="50"/>
        <v>CG01673</v>
      </c>
    </row>
    <row r="1600" spans="1:11" x14ac:dyDescent="0.3">
      <c r="A1600" s="298" t="s">
        <v>5516</v>
      </c>
      <c r="B1600" s="298" t="s">
        <v>5517</v>
      </c>
      <c r="C1600" s="298" t="s">
        <v>2897</v>
      </c>
      <c r="D1600" s="298" t="s">
        <v>256</v>
      </c>
      <c r="E1600" s="298"/>
      <c r="F1600" s="298" t="s">
        <v>5518</v>
      </c>
      <c r="G1600" s="299" t="b">
        <v>0</v>
      </c>
      <c r="H1600" s="299" t="b">
        <v>0</v>
      </c>
      <c r="J1600" s="113" t="str">
        <f t="shared" si="49"/>
        <v>918688166</v>
      </c>
      <c r="K1600" s="113" t="str">
        <f t="shared" si="50"/>
        <v>CG01674</v>
      </c>
    </row>
    <row r="1601" spans="1:11" x14ac:dyDescent="0.3">
      <c r="A1601" s="298" t="s">
        <v>197</v>
      </c>
      <c r="B1601" s="298" t="s">
        <v>5519</v>
      </c>
      <c r="C1601" s="298" t="s">
        <v>6700</v>
      </c>
      <c r="D1601" s="298" t="s">
        <v>256</v>
      </c>
      <c r="E1601" s="298" t="s">
        <v>5521</v>
      </c>
      <c r="F1601" s="298" t="s">
        <v>5522</v>
      </c>
      <c r="G1601" s="299" t="b">
        <v>0</v>
      </c>
      <c r="H1601" s="299" t="b">
        <v>0</v>
      </c>
      <c r="J1601" s="113" t="str">
        <f t="shared" si="49"/>
        <v>913288269</v>
      </c>
      <c r="K1601" s="113" t="str">
        <f t="shared" si="50"/>
        <v>CG01675</v>
      </c>
    </row>
    <row r="1602" spans="1:11" x14ac:dyDescent="0.3">
      <c r="A1602" s="298" t="s">
        <v>5523</v>
      </c>
      <c r="B1602" s="298" t="s">
        <v>5524</v>
      </c>
      <c r="C1602" s="298" t="s">
        <v>672</v>
      </c>
      <c r="D1602" s="298" t="s">
        <v>256</v>
      </c>
      <c r="E1602" s="307"/>
      <c r="F1602" s="298" t="s">
        <v>5525</v>
      </c>
      <c r="G1602" s="299" t="b">
        <v>0</v>
      </c>
      <c r="H1602" s="299" t="b">
        <v>0</v>
      </c>
      <c r="J1602" s="113" t="str">
        <f t="shared" si="49"/>
        <v>904277222</v>
      </c>
      <c r="K1602" s="113" t="str">
        <f t="shared" si="50"/>
        <v>CG01676</v>
      </c>
    </row>
    <row r="1603" spans="1:11" x14ac:dyDescent="0.3">
      <c r="A1603" s="298" t="s">
        <v>5526</v>
      </c>
      <c r="B1603" s="298" t="s">
        <v>5527</v>
      </c>
      <c r="C1603" s="298" t="s">
        <v>541</v>
      </c>
      <c r="D1603" s="298" t="s">
        <v>256</v>
      </c>
      <c r="E1603" s="298"/>
      <c r="F1603" s="298" t="s">
        <v>5528</v>
      </c>
      <c r="G1603" s="299" t="b">
        <v>0</v>
      </c>
      <c r="H1603" s="299" t="b">
        <v>0</v>
      </c>
      <c r="J1603" s="113" t="str">
        <f t="shared" si="49"/>
        <v>965097080</v>
      </c>
      <c r="K1603" s="113" t="str">
        <f t="shared" si="50"/>
        <v>CG01677</v>
      </c>
    </row>
    <row r="1604" spans="1:11" x14ac:dyDescent="0.3">
      <c r="A1604" s="298" t="s">
        <v>5529</v>
      </c>
      <c r="B1604" s="298" t="s">
        <v>13306</v>
      </c>
      <c r="C1604" s="298" t="s">
        <v>13307</v>
      </c>
      <c r="D1604" s="298" t="s">
        <v>256</v>
      </c>
      <c r="E1604" s="298" t="s">
        <v>13308</v>
      </c>
      <c r="F1604" s="298" t="s">
        <v>5530</v>
      </c>
      <c r="G1604" s="299" t="b">
        <v>0</v>
      </c>
      <c r="H1604" s="299" t="b">
        <v>0</v>
      </c>
      <c r="J1604" s="113" t="str">
        <f t="shared" si="49"/>
        <v>913063557</v>
      </c>
      <c r="K1604" s="113" t="str">
        <f t="shared" si="50"/>
        <v>CG01678</v>
      </c>
    </row>
    <row r="1605" spans="1:11" x14ac:dyDescent="0.3">
      <c r="A1605" s="298" t="s">
        <v>5531</v>
      </c>
      <c r="B1605" s="298" t="s">
        <v>5532</v>
      </c>
      <c r="C1605" s="298" t="s">
        <v>1247</v>
      </c>
      <c r="D1605" s="298" t="s">
        <v>256</v>
      </c>
      <c r="E1605" s="298"/>
      <c r="F1605" s="298" t="s">
        <v>5533</v>
      </c>
      <c r="G1605" s="299" t="b">
        <v>0</v>
      </c>
      <c r="H1605" s="299" t="b">
        <v>0</v>
      </c>
      <c r="J1605" s="113" t="str">
        <f t="shared" ref="J1605:J1668" si="51">RIGHT(B1605,9)</f>
        <v>986751135</v>
      </c>
      <c r="K1605" s="113" t="str">
        <f t="shared" ref="K1605:K1668" si="52">A1605</f>
        <v>CG01679</v>
      </c>
    </row>
    <row r="1606" spans="1:11" x14ac:dyDescent="0.3">
      <c r="A1606" s="298" t="s">
        <v>5534</v>
      </c>
      <c r="B1606" s="298" t="s">
        <v>5535</v>
      </c>
      <c r="C1606" s="298" t="s">
        <v>289</v>
      </c>
      <c r="D1606" s="298" t="s">
        <v>256</v>
      </c>
      <c r="E1606" s="298"/>
      <c r="F1606" s="298" t="s">
        <v>5536</v>
      </c>
      <c r="G1606" s="299" t="b">
        <v>0</v>
      </c>
      <c r="H1606" s="299" t="b">
        <v>0</v>
      </c>
      <c r="J1606" s="113" t="str">
        <f t="shared" si="51"/>
        <v>943474776</v>
      </c>
      <c r="K1606" s="113" t="str">
        <f t="shared" si="52"/>
        <v>CG01680</v>
      </c>
    </row>
    <row r="1607" spans="1:11" x14ac:dyDescent="0.3">
      <c r="A1607" s="298" t="s">
        <v>5537</v>
      </c>
      <c r="B1607" s="298" t="s">
        <v>5538</v>
      </c>
      <c r="C1607" s="298" t="s">
        <v>2186</v>
      </c>
      <c r="D1607" s="298" t="s">
        <v>256</v>
      </c>
      <c r="E1607" s="298"/>
      <c r="F1607" s="298" t="s">
        <v>5539</v>
      </c>
      <c r="G1607" s="299" t="b">
        <v>0</v>
      </c>
      <c r="H1607" s="299" t="b">
        <v>0</v>
      </c>
      <c r="J1607" s="113" t="str">
        <f t="shared" si="51"/>
        <v>912206960</v>
      </c>
      <c r="K1607" s="113" t="str">
        <f t="shared" si="52"/>
        <v>CG01681</v>
      </c>
    </row>
    <row r="1608" spans="1:11" x14ac:dyDescent="0.3">
      <c r="A1608" s="298" t="s">
        <v>5540</v>
      </c>
      <c r="B1608" s="298" t="s">
        <v>5541</v>
      </c>
      <c r="C1608" s="298" t="s">
        <v>3451</v>
      </c>
      <c r="D1608" s="298" t="s">
        <v>256</v>
      </c>
      <c r="E1608" s="298"/>
      <c r="F1608" s="298" t="s">
        <v>5542</v>
      </c>
      <c r="G1608" s="299" t="b">
        <v>0</v>
      </c>
      <c r="H1608" s="299" t="b">
        <v>0</v>
      </c>
      <c r="J1608" s="113" t="str">
        <f t="shared" si="51"/>
        <v>913056998</v>
      </c>
      <c r="K1608" s="113" t="str">
        <f t="shared" si="52"/>
        <v>CG01682</v>
      </c>
    </row>
    <row r="1609" spans="1:11" x14ac:dyDescent="0.3">
      <c r="A1609" s="298" t="s">
        <v>5543</v>
      </c>
      <c r="B1609" s="298" t="s">
        <v>5544</v>
      </c>
      <c r="C1609" s="298" t="s">
        <v>711</v>
      </c>
      <c r="D1609" s="298" t="s">
        <v>256</v>
      </c>
      <c r="E1609" s="298"/>
      <c r="F1609" s="298" t="s">
        <v>5545</v>
      </c>
      <c r="G1609" s="299" t="b">
        <v>0</v>
      </c>
      <c r="H1609" s="299" t="b">
        <v>0</v>
      </c>
      <c r="J1609" s="113" t="str">
        <f t="shared" si="51"/>
        <v>979708545</v>
      </c>
      <c r="K1609" s="113" t="str">
        <f t="shared" si="52"/>
        <v>CG01683</v>
      </c>
    </row>
    <row r="1610" spans="1:11" x14ac:dyDescent="0.3">
      <c r="A1610" s="298" t="s">
        <v>5546</v>
      </c>
      <c r="B1610" s="298" t="s">
        <v>5547</v>
      </c>
      <c r="C1610" s="298" t="s">
        <v>2186</v>
      </c>
      <c r="D1610" s="298" t="s">
        <v>256</v>
      </c>
      <c r="E1610" s="298"/>
      <c r="F1610" s="298" t="s">
        <v>5548</v>
      </c>
      <c r="G1610" s="299" t="b">
        <v>0</v>
      </c>
      <c r="H1610" s="299" t="b">
        <v>0</v>
      </c>
      <c r="J1610" s="113" t="str">
        <f t="shared" si="51"/>
        <v>912252123</v>
      </c>
      <c r="K1610" s="113" t="str">
        <f t="shared" si="52"/>
        <v>CG01684</v>
      </c>
    </row>
    <row r="1611" spans="1:11" x14ac:dyDescent="0.3">
      <c r="A1611" s="298" t="s">
        <v>5549</v>
      </c>
      <c r="B1611" s="298" t="s">
        <v>5550</v>
      </c>
      <c r="C1611" s="298" t="s">
        <v>340</v>
      </c>
      <c r="D1611" s="298" t="s">
        <v>256</v>
      </c>
      <c r="E1611" s="298"/>
      <c r="F1611" s="298" t="s">
        <v>5551</v>
      </c>
      <c r="G1611" s="299" t="b">
        <v>0</v>
      </c>
      <c r="H1611" s="299" t="b">
        <v>0</v>
      </c>
      <c r="J1611" s="113" t="str">
        <f t="shared" si="51"/>
        <v>987535639</v>
      </c>
      <c r="K1611" s="113" t="str">
        <f t="shared" si="52"/>
        <v>CG01685</v>
      </c>
    </row>
    <row r="1612" spans="1:11" x14ac:dyDescent="0.3">
      <c r="A1612" s="298" t="s">
        <v>5552</v>
      </c>
      <c r="B1612" s="298" t="s">
        <v>5553</v>
      </c>
      <c r="C1612" s="298" t="s">
        <v>892</v>
      </c>
      <c r="D1612" s="298" t="s">
        <v>256</v>
      </c>
      <c r="E1612" s="298"/>
      <c r="F1612" s="298" t="s">
        <v>5554</v>
      </c>
      <c r="G1612" s="299" t="b">
        <v>0</v>
      </c>
      <c r="H1612" s="299" t="b">
        <v>0</v>
      </c>
      <c r="J1612" s="113" t="str">
        <f t="shared" si="51"/>
        <v>979840768</v>
      </c>
      <c r="K1612" s="113" t="str">
        <f t="shared" si="52"/>
        <v>CG01686</v>
      </c>
    </row>
    <row r="1613" spans="1:11" x14ac:dyDescent="0.3">
      <c r="A1613" s="298" t="s">
        <v>5555</v>
      </c>
      <c r="B1613" s="298" t="s">
        <v>5556</v>
      </c>
      <c r="C1613" s="298" t="s">
        <v>416</v>
      </c>
      <c r="D1613" s="298" t="s">
        <v>256</v>
      </c>
      <c r="E1613" s="298"/>
      <c r="F1613" s="298" t="s">
        <v>5557</v>
      </c>
      <c r="G1613" s="299" t="b">
        <v>0</v>
      </c>
      <c r="H1613" s="299" t="b">
        <v>0</v>
      </c>
      <c r="J1613" s="113" t="str">
        <f t="shared" si="51"/>
        <v>915432476</v>
      </c>
      <c r="K1613" s="113" t="str">
        <f t="shared" si="52"/>
        <v>CG01687</v>
      </c>
    </row>
    <row r="1614" spans="1:11" x14ac:dyDescent="0.3">
      <c r="A1614" s="298" t="s">
        <v>5558</v>
      </c>
      <c r="B1614" s="298" t="s">
        <v>13309</v>
      </c>
      <c r="C1614" s="298" t="s">
        <v>1863</v>
      </c>
      <c r="D1614" s="298" t="s">
        <v>256</v>
      </c>
      <c r="E1614" s="298"/>
      <c r="F1614" s="298" t="s">
        <v>5559</v>
      </c>
      <c r="G1614" s="299" t="b">
        <v>0</v>
      </c>
      <c r="H1614" s="299" t="b">
        <v>0</v>
      </c>
      <c r="J1614" s="113" t="str">
        <f t="shared" si="51"/>
        <v>912512793</v>
      </c>
      <c r="K1614" s="113" t="str">
        <f t="shared" si="52"/>
        <v>CG01688</v>
      </c>
    </row>
    <row r="1615" spans="1:11" x14ac:dyDescent="0.3">
      <c r="A1615" s="298" t="s">
        <v>5560</v>
      </c>
      <c r="B1615" s="298" t="s">
        <v>5561</v>
      </c>
      <c r="C1615" s="298" t="s">
        <v>3742</v>
      </c>
      <c r="D1615" s="298" t="s">
        <v>256</v>
      </c>
      <c r="E1615" s="298"/>
      <c r="F1615" s="298" t="s">
        <v>5562</v>
      </c>
      <c r="G1615" s="299" t="b">
        <v>0</v>
      </c>
      <c r="H1615" s="299" t="b">
        <v>0</v>
      </c>
      <c r="J1615" s="113" t="str">
        <f t="shared" si="51"/>
        <v>947340629</v>
      </c>
      <c r="K1615" s="113" t="str">
        <f t="shared" si="52"/>
        <v>CG01690</v>
      </c>
    </row>
    <row r="1616" spans="1:11" x14ac:dyDescent="0.3">
      <c r="A1616" s="298" t="s">
        <v>5563</v>
      </c>
      <c r="B1616" s="298" t="s">
        <v>5564</v>
      </c>
      <c r="C1616" s="298" t="s">
        <v>409</v>
      </c>
      <c r="D1616" s="298" t="s">
        <v>256</v>
      </c>
      <c r="E1616" s="298"/>
      <c r="F1616" s="298" t="s">
        <v>5565</v>
      </c>
      <c r="G1616" s="299" t="b">
        <v>0</v>
      </c>
      <c r="H1616" s="299" t="b">
        <v>0</v>
      </c>
      <c r="J1616" s="113" t="str">
        <f t="shared" si="51"/>
        <v>981068666</v>
      </c>
      <c r="K1616" s="113" t="str">
        <f t="shared" si="52"/>
        <v>CG01691</v>
      </c>
    </row>
    <row r="1617" spans="1:11" x14ac:dyDescent="0.3">
      <c r="A1617" s="298" t="s">
        <v>5566</v>
      </c>
      <c r="B1617" s="298" t="s">
        <v>5567</v>
      </c>
      <c r="C1617" s="298" t="s">
        <v>550</v>
      </c>
      <c r="D1617" s="298" t="s">
        <v>256</v>
      </c>
      <c r="E1617" s="298"/>
      <c r="F1617" s="298" t="s">
        <v>5568</v>
      </c>
      <c r="G1617" s="299" t="b">
        <v>0</v>
      </c>
      <c r="H1617" s="299" t="b">
        <v>0</v>
      </c>
      <c r="J1617" s="113" t="str">
        <f t="shared" si="51"/>
        <v>931565569</v>
      </c>
      <c r="K1617" s="113" t="str">
        <f t="shared" si="52"/>
        <v>CG01692</v>
      </c>
    </row>
    <row r="1618" spans="1:11" x14ac:dyDescent="0.3">
      <c r="A1618" s="298" t="s">
        <v>5569</v>
      </c>
      <c r="B1618" s="298" t="s">
        <v>5570</v>
      </c>
      <c r="C1618" s="298" t="s">
        <v>5571</v>
      </c>
      <c r="D1618" s="298" t="s">
        <v>256</v>
      </c>
      <c r="E1618" s="298"/>
      <c r="F1618" s="298" t="s">
        <v>5572</v>
      </c>
      <c r="G1618" s="299" t="b">
        <v>0</v>
      </c>
      <c r="H1618" s="299" t="b">
        <v>0</v>
      </c>
      <c r="J1618" s="113" t="str">
        <f t="shared" si="51"/>
        <v>988832797</v>
      </c>
      <c r="K1618" s="113" t="str">
        <f t="shared" si="52"/>
        <v>CG01693</v>
      </c>
    </row>
    <row r="1619" spans="1:11" x14ac:dyDescent="0.3">
      <c r="A1619" s="298" t="s">
        <v>5573</v>
      </c>
      <c r="B1619" s="298" t="s">
        <v>5574</v>
      </c>
      <c r="C1619" s="298" t="s">
        <v>5575</v>
      </c>
      <c r="D1619" s="298" t="s">
        <v>256</v>
      </c>
      <c r="E1619" s="298"/>
      <c r="F1619" s="298" t="s">
        <v>5576</v>
      </c>
      <c r="G1619" s="299" t="b">
        <v>0</v>
      </c>
      <c r="H1619" s="299" t="b">
        <v>0</v>
      </c>
      <c r="J1619" s="113" t="str">
        <f t="shared" si="51"/>
        <v>942835899</v>
      </c>
      <c r="K1619" s="113" t="str">
        <f t="shared" si="52"/>
        <v>CG01694</v>
      </c>
    </row>
    <row r="1620" spans="1:11" x14ac:dyDescent="0.3">
      <c r="A1620" s="298" t="s">
        <v>5577</v>
      </c>
      <c r="B1620" s="298" t="s">
        <v>5578</v>
      </c>
      <c r="C1620" s="298" t="s">
        <v>993</v>
      </c>
      <c r="D1620" s="298" t="s">
        <v>256</v>
      </c>
      <c r="E1620" s="298"/>
      <c r="F1620" s="298" t="s">
        <v>5579</v>
      </c>
      <c r="G1620" s="299" t="b">
        <v>0</v>
      </c>
      <c r="H1620" s="299" t="b">
        <v>0</v>
      </c>
      <c r="J1620" s="113" t="str">
        <f t="shared" si="51"/>
        <v>374955978</v>
      </c>
      <c r="K1620" s="113" t="str">
        <f t="shared" si="52"/>
        <v>CG01696</v>
      </c>
    </row>
    <row r="1621" spans="1:11" x14ac:dyDescent="0.3">
      <c r="A1621" s="298" t="s">
        <v>5580</v>
      </c>
      <c r="B1621" s="298" t="s">
        <v>5581</v>
      </c>
      <c r="C1621" s="298" t="s">
        <v>289</v>
      </c>
      <c r="D1621" s="298" t="s">
        <v>256</v>
      </c>
      <c r="E1621" s="298"/>
      <c r="F1621" s="298" t="s">
        <v>5582</v>
      </c>
      <c r="G1621" s="299" t="b">
        <v>0</v>
      </c>
      <c r="H1621" s="299" t="b">
        <v>0</v>
      </c>
      <c r="J1621" s="113" t="str">
        <f t="shared" si="51"/>
        <v>962033695</v>
      </c>
      <c r="K1621" s="113" t="str">
        <f t="shared" si="52"/>
        <v>CG01697</v>
      </c>
    </row>
    <row r="1622" spans="1:11" x14ac:dyDescent="0.3">
      <c r="A1622" s="298" t="s">
        <v>5583</v>
      </c>
      <c r="B1622" s="298" t="s">
        <v>5584</v>
      </c>
      <c r="C1622" s="298" t="s">
        <v>809</v>
      </c>
      <c r="D1622" s="298" t="s">
        <v>256</v>
      </c>
      <c r="E1622" s="298"/>
      <c r="F1622" s="298" t="s">
        <v>5585</v>
      </c>
      <c r="G1622" s="299" t="b">
        <v>0</v>
      </c>
      <c r="H1622" s="299" t="b">
        <v>0</v>
      </c>
      <c r="J1622" s="113" t="str">
        <f t="shared" si="51"/>
        <v>363186618</v>
      </c>
      <c r="K1622" s="113" t="str">
        <f t="shared" si="52"/>
        <v>CG01698</v>
      </c>
    </row>
    <row r="1623" spans="1:11" x14ac:dyDescent="0.3">
      <c r="A1623" s="298" t="s">
        <v>5586</v>
      </c>
      <c r="B1623" s="298" t="s">
        <v>5587</v>
      </c>
      <c r="C1623" s="298" t="s">
        <v>809</v>
      </c>
      <c r="D1623" s="298" t="s">
        <v>256</v>
      </c>
      <c r="E1623" s="298"/>
      <c r="F1623" s="298" t="s">
        <v>5588</v>
      </c>
      <c r="G1623" s="299" t="b">
        <v>0</v>
      </c>
      <c r="H1623" s="299" t="b">
        <v>0</v>
      </c>
      <c r="J1623" s="113" t="str">
        <f t="shared" si="51"/>
        <v>987535473</v>
      </c>
      <c r="K1623" s="113" t="str">
        <f t="shared" si="52"/>
        <v>CG01699</v>
      </c>
    </row>
    <row r="1624" spans="1:11" x14ac:dyDescent="0.3">
      <c r="A1624" s="298" t="s">
        <v>5589</v>
      </c>
      <c r="B1624" s="298" t="s">
        <v>5590</v>
      </c>
      <c r="C1624" s="298" t="s">
        <v>335</v>
      </c>
      <c r="D1624" s="298" t="s">
        <v>256</v>
      </c>
      <c r="E1624" s="298"/>
      <c r="F1624" s="298" t="s">
        <v>5591</v>
      </c>
      <c r="G1624" s="299" t="b">
        <v>0</v>
      </c>
      <c r="H1624" s="299" t="b">
        <v>0</v>
      </c>
      <c r="J1624" s="113" t="str">
        <f t="shared" si="51"/>
        <v>945999999</v>
      </c>
      <c r="K1624" s="113" t="str">
        <f t="shared" si="52"/>
        <v>CG01700</v>
      </c>
    </row>
    <row r="1625" spans="1:11" x14ac:dyDescent="0.3">
      <c r="A1625" s="298" t="s">
        <v>5592</v>
      </c>
      <c r="B1625" s="298" t="s">
        <v>5593</v>
      </c>
      <c r="C1625" s="298" t="s">
        <v>4051</v>
      </c>
      <c r="D1625" s="298" t="s">
        <v>256</v>
      </c>
      <c r="E1625" s="298"/>
      <c r="F1625" s="298" t="s">
        <v>5594</v>
      </c>
      <c r="G1625" s="299" t="b">
        <v>0</v>
      </c>
      <c r="H1625" s="299" t="b">
        <v>0</v>
      </c>
      <c r="J1625" s="113" t="str">
        <f t="shared" si="51"/>
        <v>984754057</v>
      </c>
      <c r="K1625" s="113" t="str">
        <f t="shared" si="52"/>
        <v>CG01701</v>
      </c>
    </row>
    <row r="1626" spans="1:11" x14ac:dyDescent="0.3">
      <c r="A1626" s="298" t="s">
        <v>5595</v>
      </c>
      <c r="B1626" s="298" t="s">
        <v>5596</v>
      </c>
      <c r="C1626" s="298" t="s">
        <v>5597</v>
      </c>
      <c r="D1626" s="298" t="s">
        <v>256</v>
      </c>
      <c r="E1626" s="298"/>
      <c r="F1626" s="298" t="s">
        <v>5598</v>
      </c>
      <c r="G1626" s="299" t="b">
        <v>0</v>
      </c>
      <c r="H1626" s="299" t="b">
        <v>0</v>
      </c>
      <c r="J1626" s="113" t="str">
        <f t="shared" si="51"/>
        <v>977529107</v>
      </c>
      <c r="K1626" s="113" t="str">
        <f t="shared" si="52"/>
        <v>CG01702</v>
      </c>
    </row>
    <row r="1627" spans="1:11" x14ac:dyDescent="0.3">
      <c r="A1627" s="298" t="s">
        <v>5599</v>
      </c>
      <c r="B1627" s="298" t="s">
        <v>5600</v>
      </c>
      <c r="C1627" s="298" t="s">
        <v>474</v>
      </c>
      <c r="D1627" s="298" t="s">
        <v>256</v>
      </c>
      <c r="E1627" s="298"/>
      <c r="F1627" s="298" t="s">
        <v>5601</v>
      </c>
      <c r="G1627" s="299" t="b">
        <v>0</v>
      </c>
      <c r="H1627" s="299" t="b">
        <v>0</v>
      </c>
      <c r="J1627" s="113" t="str">
        <f t="shared" si="51"/>
        <v>912384529</v>
      </c>
      <c r="K1627" s="113" t="str">
        <f t="shared" si="52"/>
        <v>CG01703</v>
      </c>
    </row>
    <row r="1628" spans="1:11" x14ac:dyDescent="0.3">
      <c r="A1628" s="298" t="s">
        <v>5602</v>
      </c>
      <c r="B1628" s="298" t="s">
        <v>5603</v>
      </c>
      <c r="C1628" s="298" t="s">
        <v>230</v>
      </c>
      <c r="D1628" s="298" t="s">
        <v>256</v>
      </c>
      <c r="E1628" s="298"/>
      <c r="F1628" s="298" t="s">
        <v>5604</v>
      </c>
      <c r="G1628" s="299" t="b">
        <v>0</v>
      </c>
      <c r="H1628" s="299" t="b">
        <v>0</v>
      </c>
      <c r="J1628" s="113" t="str">
        <f t="shared" si="51"/>
        <v>985298525</v>
      </c>
      <c r="K1628" s="113" t="str">
        <f t="shared" si="52"/>
        <v>CG01704</v>
      </c>
    </row>
    <row r="1629" spans="1:11" x14ac:dyDescent="0.3">
      <c r="A1629" s="298" t="s">
        <v>5605</v>
      </c>
      <c r="B1629" s="298" t="s">
        <v>5606</v>
      </c>
      <c r="C1629" s="298" t="s">
        <v>5607</v>
      </c>
      <c r="D1629" s="298" t="s">
        <v>256</v>
      </c>
      <c r="E1629" s="298"/>
      <c r="F1629" s="298" t="s">
        <v>5608</v>
      </c>
      <c r="G1629" s="299" t="b">
        <v>0</v>
      </c>
      <c r="H1629" s="299" t="b">
        <v>0</v>
      </c>
      <c r="J1629" s="113" t="str">
        <f t="shared" si="51"/>
        <v>903475464</v>
      </c>
      <c r="K1629" s="113" t="str">
        <f t="shared" si="52"/>
        <v>CG01705</v>
      </c>
    </row>
    <row r="1630" spans="1:11" x14ac:dyDescent="0.3">
      <c r="A1630" s="298" t="s">
        <v>5609</v>
      </c>
      <c r="B1630" s="298" t="s">
        <v>5610</v>
      </c>
      <c r="C1630" s="298" t="s">
        <v>289</v>
      </c>
      <c r="D1630" s="298" t="s">
        <v>256</v>
      </c>
      <c r="E1630" s="298"/>
      <c r="F1630" s="298" t="s">
        <v>5611</v>
      </c>
      <c r="G1630" s="299" t="b">
        <v>0</v>
      </c>
      <c r="H1630" s="299" t="b">
        <v>0</v>
      </c>
      <c r="J1630" s="113" t="str">
        <f t="shared" si="51"/>
        <v>916788845</v>
      </c>
      <c r="K1630" s="113" t="str">
        <f t="shared" si="52"/>
        <v>CG01706</v>
      </c>
    </row>
    <row r="1631" spans="1:11" x14ac:dyDescent="0.3">
      <c r="A1631" s="298" t="s">
        <v>5612</v>
      </c>
      <c r="B1631" s="298" t="s">
        <v>5613</v>
      </c>
      <c r="C1631" s="298" t="s">
        <v>1508</v>
      </c>
      <c r="D1631" s="298" t="s">
        <v>256</v>
      </c>
      <c r="E1631" s="298"/>
      <c r="F1631" s="298" t="s">
        <v>5614</v>
      </c>
      <c r="G1631" s="299" t="b">
        <v>0</v>
      </c>
      <c r="H1631" s="299" t="b">
        <v>0</v>
      </c>
      <c r="J1631" s="113" t="str">
        <f t="shared" si="51"/>
        <v>902269390</v>
      </c>
      <c r="K1631" s="113" t="str">
        <f t="shared" si="52"/>
        <v>CG01707</v>
      </c>
    </row>
    <row r="1632" spans="1:11" x14ac:dyDescent="0.3">
      <c r="A1632" s="298" t="s">
        <v>5615</v>
      </c>
      <c r="B1632" s="298" t="s">
        <v>5616</v>
      </c>
      <c r="C1632" s="298" t="s">
        <v>5617</v>
      </c>
      <c r="D1632" s="298" t="s">
        <v>256</v>
      </c>
      <c r="E1632" s="298"/>
      <c r="F1632" s="298" t="s">
        <v>5618</v>
      </c>
      <c r="G1632" s="299" t="b">
        <v>0</v>
      </c>
      <c r="H1632" s="299" t="b">
        <v>0</v>
      </c>
      <c r="J1632" s="113" t="str">
        <f t="shared" si="51"/>
        <v>974610669</v>
      </c>
      <c r="K1632" s="113" t="str">
        <f t="shared" si="52"/>
        <v>CG01708</v>
      </c>
    </row>
    <row r="1633" spans="1:11" x14ac:dyDescent="0.3">
      <c r="A1633" s="298" t="s">
        <v>5619</v>
      </c>
      <c r="B1633" s="298" t="s">
        <v>5620</v>
      </c>
      <c r="C1633" s="298" t="s">
        <v>340</v>
      </c>
      <c r="D1633" s="298" t="s">
        <v>256</v>
      </c>
      <c r="E1633" s="298"/>
      <c r="F1633" s="298" t="s">
        <v>5621</v>
      </c>
      <c r="G1633" s="299" t="b">
        <v>0</v>
      </c>
      <c r="H1633" s="299" t="b">
        <v>0</v>
      </c>
      <c r="J1633" s="113" t="str">
        <f t="shared" si="51"/>
        <v>967382999</v>
      </c>
      <c r="K1633" s="113" t="str">
        <f t="shared" si="52"/>
        <v>CG01709</v>
      </c>
    </row>
    <row r="1634" spans="1:11" x14ac:dyDescent="0.3">
      <c r="A1634" s="298" t="s">
        <v>5622</v>
      </c>
      <c r="B1634" s="298" t="s">
        <v>5623</v>
      </c>
      <c r="C1634" s="298" t="s">
        <v>1247</v>
      </c>
      <c r="D1634" s="298" t="s">
        <v>256</v>
      </c>
      <c r="E1634" s="298"/>
      <c r="F1634" s="298" t="s">
        <v>5624</v>
      </c>
      <c r="G1634" s="299" t="b">
        <v>0</v>
      </c>
      <c r="H1634" s="299" t="b">
        <v>0</v>
      </c>
      <c r="J1634" s="113" t="str">
        <f t="shared" si="51"/>
        <v>988835839</v>
      </c>
      <c r="K1634" s="113" t="str">
        <f t="shared" si="52"/>
        <v>CG01710</v>
      </c>
    </row>
    <row r="1635" spans="1:11" x14ac:dyDescent="0.3">
      <c r="A1635" s="298" t="s">
        <v>5625</v>
      </c>
      <c r="B1635" s="298" t="s">
        <v>5626</v>
      </c>
      <c r="C1635" s="298" t="s">
        <v>289</v>
      </c>
      <c r="D1635" s="298" t="s">
        <v>256</v>
      </c>
      <c r="E1635" s="298"/>
      <c r="F1635" s="298" t="s">
        <v>5627</v>
      </c>
      <c r="G1635" s="299" t="b">
        <v>0</v>
      </c>
      <c r="H1635" s="299" t="b">
        <v>0</v>
      </c>
      <c r="J1635" s="113" t="str">
        <f t="shared" si="51"/>
        <v>913320915</v>
      </c>
      <c r="K1635" s="113" t="str">
        <f t="shared" si="52"/>
        <v>CG01711</v>
      </c>
    </row>
    <row r="1636" spans="1:11" x14ac:dyDescent="0.3">
      <c r="A1636" s="298" t="s">
        <v>5628</v>
      </c>
      <c r="B1636" s="298" t="s">
        <v>5629</v>
      </c>
      <c r="C1636" s="298" t="s">
        <v>5630</v>
      </c>
      <c r="D1636" s="298" t="s">
        <v>256</v>
      </c>
      <c r="E1636" s="298"/>
      <c r="F1636" s="298" t="s">
        <v>5631</v>
      </c>
      <c r="G1636" s="299" t="b">
        <v>0</v>
      </c>
      <c r="H1636" s="299" t="b">
        <v>0</v>
      </c>
      <c r="J1636" s="113" t="str">
        <f t="shared" si="51"/>
        <v>985886034</v>
      </c>
      <c r="K1636" s="113" t="str">
        <f t="shared" si="52"/>
        <v>CG01712</v>
      </c>
    </row>
    <row r="1637" spans="1:11" x14ac:dyDescent="0.3">
      <c r="A1637" s="298" t="s">
        <v>5632</v>
      </c>
      <c r="B1637" s="298" t="s">
        <v>5633</v>
      </c>
      <c r="C1637" s="298" t="s">
        <v>230</v>
      </c>
      <c r="D1637" s="298" t="s">
        <v>256</v>
      </c>
      <c r="E1637" s="298"/>
      <c r="F1637" s="298" t="s">
        <v>5634</v>
      </c>
      <c r="G1637" s="299" t="b">
        <v>0</v>
      </c>
      <c r="H1637" s="299" t="b">
        <v>0</v>
      </c>
      <c r="J1637" s="113" t="str">
        <f t="shared" si="51"/>
        <v>914768162</v>
      </c>
      <c r="K1637" s="113" t="str">
        <f t="shared" si="52"/>
        <v>CG01713</v>
      </c>
    </row>
    <row r="1638" spans="1:11" x14ac:dyDescent="0.3">
      <c r="A1638" s="298" t="s">
        <v>5635</v>
      </c>
      <c r="B1638" s="298" t="s">
        <v>5636</v>
      </c>
      <c r="C1638" s="298" t="s">
        <v>5637</v>
      </c>
      <c r="D1638" s="298" t="s">
        <v>256</v>
      </c>
      <c r="E1638" s="298"/>
      <c r="F1638" s="298" t="s">
        <v>5638</v>
      </c>
      <c r="G1638" s="299" t="b">
        <v>0</v>
      </c>
      <c r="H1638" s="299" t="b">
        <v>0</v>
      </c>
      <c r="J1638" s="113" t="str">
        <f t="shared" si="51"/>
        <v>913364830</v>
      </c>
      <c r="K1638" s="113" t="str">
        <f t="shared" si="52"/>
        <v>CG01714</v>
      </c>
    </row>
    <row r="1639" spans="1:11" x14ac:dyDescent="0.3">
      <c r="A1639" s="298" t="s">
        <v>5639</v>
      </c>
      <c r="B1639" s="298" t="s">
        <v>5640</v>
      </c>
      <c r="C1639" s="298" t="s">
        <v>355</v>
      </c>
      <c r="D1639" s="298" t="s">
        <v>256</v>
      </c>
      <c r="E1639" s="298"/>
      <c r="F1639" s="298" t="s">
        <v>5641</v>
      </c>
      <c r="G1639" s="299" t="b">
        <v>0</v>
      </c>
      <c r="H1639" s="299" t="b">
        <v>0</v>
      </c>
      <c r="J1639" s="113" t="str">
        <f t="shared" si="51"/>
        <v>948106330</v>
      </c>
      <c r="K1639" s="113" t="str">
        <f t="shared" si="52"/>
        <v>CG01715</v>
      </c>
    </row>
    <row r="1640" spans="1:11" x14ac:dyDescent="0.3">
      <c r="A1640" s="298" t="s">
        <v>5642</v>
      </c>
      <c r="B1640" s="298" t="s">
        <v>5643</v>
      </c>
      <c r="C1640" s="298" t="s">
        <v>340</v>
      </c>
      <c r="D1640" s="298" t="s">
        <v>256</v>
      </c>
      <c r="E1640" s="298"/>
      <c r="F1640" s="298" t="s">
        <v>5644</v>
      </c>
      <c r="G1640" s="299" t="b">
        <v>0</v>
      </c>
      <c r="H1640" s="299" t="b">
        <v>0</v>
      </c>
      <c r="J1640" s="113" t="str">
        <f t="shared" si="51"/>
        <v>947544457</v>
      </c>
      <c r="K1640" s="113" t="str">
        <f t="shared" si="52"/>
        <v>CG01716</v>
      </c>
    </row>
    <row r="1641" spans="1:11" x14ac:dyDescent="0.3">
      <c r="A1641" s="298" t="s">
        <v>5645</v>
      </c>
      <c r="B1641" s="298" t="s">
        <v>5646</v>
      </c>
      <c r="C1641" s="298" t="s">
        <v>286</v>
      </c>
      <c r="D1641" s="298" t="s">
        <v>256</v>
      </c>
      <c r="E1641" s="298"/>
      <c r="F1641" s="298" t="s">
        <v>5647</v>
      </c>
      <c r="G1641" s="299" t="b">
        <v>0</v>
      </c>
      <c r="H1641" s="299" t="b">
        <v>0</v>
      </c>
      <c r="J1641" s="113" t="str">
        <f t="shared" si="51"/>
        <v>967338999</v>
      </c>
      <c r="K1641" s="113" t="str">
        <f t="shared" si="52"/>
        <v>CG01717</v>
      </c>
    </row>
    <row r="1642" spans="1:11" x14ac:dyDescent="0.3">
      <c r="A1642" s="298" t="s">
        <v>5648</v>
      </c>
      <c r="B1642" s="298" t="s">
        <v>5649</v>
      </c>
      <c r="C1642" s="298" t="s">
        <v>530</v>
      </c>
      <c r="D1642" s="298" t="s">
        <v>256</v>
      </c>
      <c r="E1642" s="298"/>
      <c r="F1642" s="298" t="s">
        <v>5650</v>
      </c>
      <c r="G1642" s="299" t="b">
        <v>0</v>
      </c>
      <c r="H1642" s="299" t="b">
        <v>0</v>
      </c>
      <c r="J1642" s="113" t="str">
        <f t="shared" si="51"/>
        <v>974444114</v>
      </c>
      <c r="K1642" s="113" t="str">
        <f t="shared" si="52"/>
        <v>CG01718</v>
      </c>
    </row>
    <row r="1643" spans="1:11" x14ac:dyDescent="0.3">
      <c r="A1643" s="298" t="s">
        <v>5651</v>
      </c>
      <c r="B1643" s="298" t="s">
        <v>5652</v>
      </c>
      <c r="C1643" s="298" t="s">
        <v>789</v>
      </c>
      <c r="D1643" s="298" t="s">
        <v>256</v>
      </c>
      <c r="E1643" s="298"/>
      <c r="F1643" s="298" t="s">
        <v>5653</v>
      </c>
      <c r="G1643" s="299" t="b">
        <v>0</v>
      </c>
      <c r="H1643" s="299" t="b">
        <v>0</v>
      </c>
      <c r="J1643" s="113" t="str">
        <f t="shared" si="51"/>
        <v>933556222</v>
      </c>
      <c r="K1643" s="113" t="str">
        <f t="shared" si="52"/>
        <v>CG01719</v>
      </c>
    </row>
    <row r="1644" spans="1:11" x14ac:dyDescent="0.3">
      <c r="A1644" s="298" t="s">
        <v>5654</v>
      </c>
      <c r="B1644" s="298" t="s">
        <v>5655</v>
      </c>
      <c r="C1644" s="298" t="s">
        <v>2659</v>
      </c>
      <c r="D1644" s="298" t="s">
        <v>256</v>
      </c>
      <c r="E1644" s="298"/>
      <c r="F1644" s="298" t="s">
        <v>5656</v>
      </c>
      <c r="G1644" s="299" t="b">
        <v>0</v>
      </c>
      <c r="H1644" s="299" t="b">
        <v>0</v>
      </c>
      <c r="J1644" s="113" t="str">
        <f t="shared" si="51"/>
        <v>913371178</v>
      </c>
      <c r="K1644" s="113" t="str">
        <f t="shared" si="52"/>
        <v>CG01720</v>
      </c>
    </row>
    <row r="1645" spans="1:11" x14ac:dyDescent="0.3">
      <c r="A1645" s="298" t="s">
        <v>5657</v>
      </c>
      <c r="B1645" s="298" t="s">
        <v>5658</v>
      </c>
      <c r="C1645" s="298" t="s">
        <v>4741</v>
      </c>
      <c r="D1645" s="298" t="s">
        <v>256</v>
      </c>
      <c r="E1645" s="298"/>
      <c r="F1645" s="298" t="s">
        <v>5659</v>
      </c>
      <c r="G1645" s="299" t="b">
        <v>0</v>
      </c>
      <c r="H1645" s="299" t="b">
        <v>0</v>
      </c>
      <c r="J1645" s="113" t="str">
        <f t="shared" si="51"/>
        <v>983786289</v>
      </c>
      <c r="K1645" s="113" t="str">
        <f t="shared" si="52"/>
        <v>CG01721</v>
      </c>
    </row>
    <row r="1646" spans="1:11" x14ac:dyDescent="0.3">
      <c r="A1646" s="298" t="s">
        <v>5660</v>
      </c>
      <c r="B1646" s="298" t="s">
        <v>5661</v>
      </c>
      <c r="C1646" s="298" t="s">
        <v>1103</v>
      </c>
      <c r="D1646" s="298" t="s">
        <v>256</v>
      </c>
      <c r="E1646" s="298"/>
      <c r="F1646" s="298" t="s">
        <v>5662</v>
      </c>
      <c r="G1646" s="299" t="b">
        <v>0</v>
      </c>
      <c r="H1646" s="299" t="b">
        <v>0</v>
      </c>
      <c r="J1646" s="113" t="str">
        <f t="shared" si="51"/>
        <v>911340777</v>
      </c>
      <c r="K1646" s="113" t="str">
        <f t="shared" si="52"/>
        <v>CG01722</v>
      </c>
    </row>
    <row r="1647" spans="1:11" x14ac:dyDescent="0.3">
      <c r="A1647" s="298" t="s">
        <v>5663</v>
      </c>
      <c r="B1647" s="298" t="s">
        <v>5664</v>
      </c>
      <c r="C1647" s="298" t="s">
        <v>1335</v>
      </c>
      <c r="D1647" s="298" t="s">
        <v>256</v>
      </c>
      <c r="E1647" s="298"/>
      <c r="F1647" s="298" t="s">
        <v>5665</v>
      </c>
      <c r="G1647" s="299" t="b">
        <v>0</v>
      </c>
      <c r="H1647" s="299" t="b">
        <v>0</v>
      </c>
      <c r="J1647" s="113" t="str">
        <f t="shared" si="51"/>
        <v>917168494</v>
      </c>
      <c r="K1647" s="113" t="str">
        <f t="shared" si="52"/>
        <v>CG01723</v>
      </c>
    </row>
    <row r="1648" spans="1:11" x14ac:dyDescent="0.3">
      <c r="A1648" s="298" t="s">
        <v>5666</v>
      </c>
      <c r="B1648" s="298" t="s">
        <v>5667</v>
      </c>
      <c r="C1648" s="298" t="s">
        <v>1173</v>
      </c>
      <c r="D1648" s="298" t="s">
        <v>256</v>
      </c>
      <c r="E1648" s="298"/>
      <c r="F1648" s="298" t="s">
        <v>5668</v>
      </c>
      <c r="G1648" s="299" t="b">
        <v>0</v>
      </c>
      <c r="H1648" s="299" t="b">
        <v>0</v>
      </c>
      <c r="J1648" s="113" t="str">
        <f t="shared" si="51"/>
        <v>345408222</v>
      </c>
      <c r="K1648" s="113" t="str">
        <f t="shared" si="52"/>
        <v>CG01724</v>
      </c>
    </row>
    <row r="1649" spans="1:11" x14ac:dyDescent="0.3">
      <c r="A1649" s="298" t="s">
        <v>5669</v>
      </c>
      <c r="B1649" s="298" t="s">
        <v>5670</v>
      </c>
      <c r="C1649" s="298" t="s">
        <v>1015</v>
      </c>
      <c r="D1649" s="298" t="s">
        <v>256</v>
      </c>
      <c r="E1649" s="298"/>
      <c r="F1649" s="298" t="s">
        <v>5671</v>
      </c>
      <c r="G1649" s="299" t="b">
        <v>0</v>
      </c>
      <c r="H1649" s="299" t="b">
        <v>0</v>
      </c>
      <c r="J1649" s="113" t="str">
        <f t="shared" si="51"/>
        <v>987822888</v>
      </c>
      <c r="K1649" s="113" t="str">
        <f t="shared" si="52"/>
        <v>CG01725</v>
      </c>
    </row>
    <row r="1650" spans="1:11" x14ac:dyDescent="0.3">
      <c r="A1650" s="298" t="s">
        <v>5672</v>
      </c>
      <c r="B1650" s="298" t="s">
        <v>5673</v>
      </c>
      <c r="C1650" s="298" t="s">
        <v>1222</v>
      </c>
      <c r="D1650" s="298" t="s">
        <v>256</v>
      </c>
      <c r="E1650" s="298"/>
      <c r="F1650" s="298" t="s">
        <v>5674</v>
      </c>
      <c r="G1650" s="299" t="b">
        <v>0</v>
      </c>
      <c r="H1650" s="299" t="b">
        <v>0</v>
      </c>
      <c r="J1650" s="113" t="str">
        <f t="shared" si="51"/>
        <v>912533822</v>
      </c>
      <c r="K1650" s="113" t="str">
        <f t="shared" si="52"/>
        <v>CG01726</v>
      </c>
    </row>
    <row r="1651" spans="1:11" x14ac:dyDescent="0.3">
      <c r="A1651" s="298" t="s">
        <v>5675</v>
      </c>
      <c r="B1651" s="298" t="s">
        <v>5676</v>
      </c>
      <c r="C1651" s="298" t="s">
        <v>2713</v>
      </c>
      <c r="D1651" s="298" t="s">
        <v>256</v>
      </c>
      <c r="E1651" s="298"/>
      <c r="F1651" s="298" t="s">
        <v>5677</v>
      </c>
      <c r="G1651" s="299" t="b">
        <v>0</v>
      </c>
      <c r="H1651" s="299" t="b">
        <v>0</v>
      </c>
      <c r="J1651" s="113" t="str">
        <f t="shared" si="51"/>
        <v>383101601</v>
      </c>
      <c r="K1651" s="113" t="str">
        <f t="shared" si="52"/>
        <v>CG01727</v>
      </c>
    </row>
    <row r="1652" spans="1:11" x14ac:dyDescent="0.3">
      <c r="A1652" s="298" t="s">
        <v>5678</v>
      </c>
      <c r="B1652" s="298" t="s">
        <v>5679</v>
      </c>
      <c r="C1652" s="298" t="s">
        <v>340</v>
      </c>
      <c r="D1652" s="298" t="s">
        <v>256</v>
      </c>
      <c r="E1652" s="298"/>
      <c r="F1652" s="298" t="s">
        <v>5680</v>
      </c>
      <c r="G1652" s="299" t="b">
        <v>0</v>
      </c>
      <c r="H1652" s="299" t="b">
        <v>0</v>
      </c>
      <c r="J1652" s="113" t="str">
        <f t="shared" si="51"/>
        <v>965580799</v>
      </c>
      <c r="K1652" s="113" t="str">
        <f t="shared" si="52"/>
        <v>CG01728</v>
      </c>
    </row>
    <row r="1653" spans="1:11" x14ac:dyDescent="0.3">
      <c r="A1653" s="298" t="s">
        <v>5681</v>
      </c>
      <c r="B1653" s="298" t="s">
        <v>5682</v>
      </c>
      <c r="C1653" s="298" t="s">
        <v>340</v>
      </c>
      <c r="D1653" s="298" t="s">
        <v>256</v>
      </c>
      <c r="E1653" s="298"/>
      <c r="F1653" s="298" t="s">
        <v>5683</v>
      </c>
      <c r="G1653" s="299" t="b">
        <v>0</v>
      </c>
      <c r="H1653" s="299" t="b">
        <v>0</v>
      </c>
      <c r="J1653" s="113" t="str">
        <f t="shared" si="51"/>
        <v>978507093</v>
      </c>
      <c r="K1653" s="113" t="str">
        <f t="shared" si="52"/>
        <v>CG01729</v>
      </c>
    </row>
    <row r="1654" spans="1:11" x14ac:dyDescent="0.3">
      <c r="A1654" s="298" t="s">
        <v>5684</v>
      </c>
      <c r="B1654" s="298" t="s">
        <v>5685</v>
      </c>
      <c r="C1654" s="298" t="s">
        <v>541</v>
      </c>
      <c r="D1654" s="298" t="s">
        <v>256</v>
      </c>
      <c r="E1654" s="298"/>
      <c r="F1654" s="298" t="s">
        <v>5686</v>
      </c>
      <c r="G1654" s="299" t="b">
        <v>0</v>
      </c>
      <c r="H1654" s="299" t="b">
        <v>0</v>
      </c>
      <c r="J1654" s="113" t="str">
        <f t="shared" si="51"/>
        <v>987605239</v>
      </c>
      <c r="K1654" s="113" t="str">
        <f t="shared" si="52"/>
        <v>CG01730</v>
      </c>
    </row>
    <row r="1655" spans="1:11" x14ac:dyDescent="0.3">
      <c r="A1655" s="298" t="s">
        <v>5687</v>
      </c>
      <c r="B1655" s="298" t="s">
        <v>5688</v>
      </c>
      <c r="C1655" s="298" t="s">
        <v>892</v>
      </c>
      <c r="D1655" s="298" t="s">
        <v>256</v>
      </c>
      <c r="E1655" s="298"/>
      <c r="F1655" s="298" t="s">
        <v>5689</v>
      </c>
      <c r="G1655" s="299" t="b">
        <v>0</v>
      </c>
      <c r="H1655" s="299" t="b">
        <v>0</v>
      </c>
      <c r="J1655" s="113" t="str">
        <f t="shared" si="51"/>
        <v>977613125</v>
      </c>
      <c r="K1655" s="113" t="str">
        <f t="shared" si="52"/>
        <v>CG01731</v>
      </c>
    </row>
    <row r="1656" spans="1:11" x14ac:dyDescent="0.3">
      <c r="A1656" s="298" t="s">
        <v>5690</v>
      </c>
      <c r="B1656" s="298" t="s">
        <v>5691</v>
      </c>
      <c r="C1656" s="298" t="s">
        <v>884</v>
      </c>
      <c r="D1656" s="298" t="s">
        <v>256</v>
      </c>
      <c r="E1656" s="298"/>
      <c r="F1656" s="298" t="s">
        <v>5692</v>
      </c>
      <c r="G1656" s="299" t="b">
        <v>0</v>
      </c>
      <c r="H1656" s="299" t="b">
        <v>0</v>
      </c>
      <c r="J1656" s="113" t="str">
        <f t="shared" si="51"/>
        <v>945048384</v>
      </c>
      <c r="K1656" s="113" t="str">
        <f t="shared" si="52"/>
        <v>CG01732</v>
      </c>
    </row>
    <row r="1657" spans="1:11" x14ac:dyDescent="0.3">
      <c r="A1657" s="298" t="s">
        <v>5693</v>
      </c>
      <c r="B1657" s="298" t="s">
        <v>5694</v>
      </c>
      <c r="C1657" s="298" t="s">
        <v>892</v>
      </c>
      <c r="D1657" s="298" t="s">
        <v>256</v>
      </c>
      <c r="E1657" s="298"/>
      <c r="F1657" s="298" t="s">
        <v>5695</v>
      </c>
      <c r="G1657" s="299" t="b">
        <v>0</v>
      </c>
      <c r="H1657" s="299" t="b">
        <v>0</v>
      </c>
      <c r="J1657" s="113" t="str">
        <f t="shared" si="51"/>
        <v>365766224</v>
      </c>
      <c r="K1657" s="113" t="str">
        <f t="shared" si="52"/>
        <v>CG01733</v>
      </c>
    </row>
    <row r="1658" spans="1:11" x14ac:dyDescent="0.3">
      <c r="A1658" s="298" t="s">
        <v>5696</v>
      </c>
      <c r="B1658" s="298" t="s">
        <v>5697</v>
      </c>
      <c r="C1658" s="298" t="s">
        <v>2897</v>
      </c>
      <c r="D1658" s="298" t="s">
        <v>256</v>
      </c>
      <c r="E1658" s="298"/>
      <c r="F1658" s="298" t="s">
        <v>5698</v>
      </c>
      <c r="G1658" s="299" t="b">
        <v>0</v>
      </c>
      <c r="H1658" s="299" t="b">
        <v>0</v>
      </c>
      <c r="J1658" s="113" t="str">
        <f t="shared" si="51"/>
        <v>972578085</v>
      </c>
      <c r="K1658" s="113" t="str">
        <f t="shared" si="52"/>
        <v>CG01734</v>
      </c>
    </row>
    <row r="1659" spans="1:11" x14ac:dyDescent="0.3">
      <c r="A1659" s="298" t="s">
        <v>5699</v>
      </c>
      <c r="B1659" s="298" t="s">
        <v>5700</v>
      </c>
      <c r="C1659" s="298" t="s">
        <v>375</v>
      </c>
      <c r="D1659" s="298" t="s">
        <v>256</v>
      </c>
      <c r="E1659" s="298"/>
      <c r="F1659" s="298" t="s">
        <v>5701</v>
      </c>
      <c r="G1659" s="299" t="b">
        <v>0</v>
      </c>
      <c r="H1659" s="299" t="b">
        <v>0</v>
      </c>
      <c r="J1659" s="113" t="str">
        <f t="shared" si="51"/>
        <v>948911603</v>
      </c>
      <c r="K1659" s="113" t="str">
        <f t="shared" si="52"/>
        <v>CG01735</v>
      </c>
    </row>
    <row r="1660" spans="1:11" x14ac:dyDescent="0.3">
      <c r="A1660" s="298" t="s">
        <v>5702</v>
      </c>
      <c r="B1660" s="298" t="s">
        <v>5703</v>
      </c>
      <c r="C1660" s="298" t="s">
        <v>541</v>
      </c>
      <c r="D1660" s="298" t="s">
        <v>256</v>
      </c>
      <c r="E1660" s="298"/>
      <c r="F1660" s="298" t="s">
        <v>5704</v>
      </c>
      <c r="G1660" s="299" t="b">
        <v>0</v>
      </c>
      <c r="H1660" s="299" t="b">
        <v>0</v>
      </c>
      <c r="J1660" s="113" t="str">
        <f t="shared" si="51"/>
        <v>912485581</v>
      </c>
      <c r="K1660" s="113" t="str">
        <f t="shared" si="52"/>
        <v>CG01736</v>
      </c>
    </row>
    <row r="1661" spans="1:11" x14ac:dyDescent="0.3">
      <c r="A1661" s="298" t="s">
        <v>5705</v>
      </c>
      <c r="B1661" s="298" t="s">
        <v>5706</v>
      </c>
      <c r="C1661" s="298" t="s">
        <v>1335</v>
      </c>
      <c r="D1661" s="298" t="s">
        <v>256</v>
      </c>
      <c r="E1661" s="298"/>
      <c r="F1661" s="298" t="s">
        <v>5707</v>
      </c>
      <c r="G1661" s="299" t="b">
        <v>0</v>
      </c>
      <c r="H1661" s="299" t="b">
        <v>0</v>
      </c>
      <c r="J1661" s="113" t="str">
        <f t="shared" si="51"/>
        <v>912657577</v>
      </c>
      <c r="K1661" s="113" t="str">
        <f t="shared" si="52"/>
        <v>CG01737</v>
      </c>
    </row>
    <row r="1662" spans="1:11" x14ac:dyDescent="0.3">
      <c r="A1662" s="298" t="s">
        <v>5708</v>
      </c>
      <c r="B1662" s="298" t="s">
        <v>5709</v>
      </c>
      <c r="C1662" s="298" t="s">
        <v>5710</v>
      </c>
      <c r="D1662" s="298" t="s">
        <v>256</v>
      </c>
      <c r="E1662" s="298"/>
      <c r="F1662" s="298" t="s">
        <v>5711</v>
      </c>
      <c r="G1662" s="299" t="b">
        <v>0</v>
      </c>
      <c r="H1662" s="299" t="b">
        <v>0</v>
      </c>
      <c r="J1662" s="113" t="str">
        <f t="shared" si="51"/>
        <v>912258539</v>
      </c>
      <c r="K1662" s="113" t="str">
        <f t="shared" si="52"/>
        <v>CG01738</v>
      </c>
    </row>
    <row r="1663" spans="1:11" x14ac:dyDescent="0.3">
      <c r="A1663" s="298" t="s">
        <v>5712</v>
      </c>
      <c r="B1663" s="298" t="s">
        <v>5713</v>
      </c>
      <c r="C1663" s="298" t="s">
        <v>1196</v>
      </c>
      <c r="D1663" s="298" t="s">
        <v>256</v>
      </c>
      <c r="E1663" s="298"/>
      <c r="F1663" s="298" t="s">
        <v>5714</v>
      </c>
      <c r="G1663" s="299" t="b">
        <v>0</v>
      </c>
      <c r="H1663" s="299" t="b">
        <v>0</v>
      </c>
      <c r="J1663" s="113" t="str">
        <f t="shared" si="51"/>
        <v>915229150</v>
      </c>
      <c r="K1663" s="113" t="str">
        <f t="shared" si="52"/>
        <v>CG01739</v>
      </c>
    </row>
    <row r="1664" spans="1:11" x14ac:dyDescent="0.3">
      <c r="A1664" s="298" t="s">
        <v>5715</v>
      </c>
      <c r="B1664" s="298" t="s">
        <v>5716</v>
      </c>
      <c r="C1664" s="298" t="s">
        <v>816</v>
      </c>
      <c r="D1664" s="298" t="s">
        <v>256</v>
      </c>
      <c r="E1664" s="298"/>
      <c r="F1664" s="298" t="s">
        <v>5717</v>
      </c>
      <c r="G1664" s="299" t="b">
        <v>0</v>
      </c>
      <c r="H1664" s="299" t="b">
        <v>0</v>
      </c>
      <c r="J1664" s="113" t="str">
        <f t="shared" si="51"/>
        <v>912436511</v>
      </c>
      <c r="K1664" s="113" t="str">
        <f t="shared" si="52"/>
        <v>CG01740</v>
      </c>
    </row>
    <row r="1665" spans="1:11" x14ac:dyDescent="0.3">
      <c r="A1665" s="298" t="s">
        <v>5718</v>
      </c>
      <c r="B1665" s="298" t="s">
        <v>5719</v>
      </c>
      <c r="C1665" s="298" t="s">
        <v>1173</v>
      </c>
      <c r="D1665" s="298" t="s">
        <v>256</v>
      </c>
      <c r="E1665" s="298"/>
      <c r="F1665" s="298" t="s">
        <v>5720</v>
      </c>
      <c r="G1665" s="299" t="b">
        <v>0</v>
      </c>
      <c r="H1665" s="299" t="b">
        <v>0</v>
      </c>
      <c r="J1665" s="113" t="str">
        <f t="shared" si="51"/>
        <v>976461111</v>
      </c>
      <c r="K1665" s="113" t="str">
        <f t="shared" si="52"/>
        <v>CG01741</v>
      </c>
    </row>
    <row r="1666" spans="1:11" x14ac:dyDescent="0.3">
      <c r="A1666" s="298" t="s">
        <v>5721</v>
      </c>
      <c r="B1666" s="298" t="s">
        <v>5722</v>
      </c>
      <c r="C1666" s="298" t="s">
        <v>1237</v>
      </c>
      <c r="D1666" s="298" t="s">
        <v>256</v>
      </c>
      <c r="E1666" s="298"/>
      <c r="F1666" s="298" t="s">
        <v>5723</v>
      </c>
      <c r="G1666" s="299" t="b">
        <v>0</v>
      </c>
      <c r="H1666" s="299" t="b">
        <v>0</v>
      </c>
      <c r="J1666" s="113" t="str">
        <f t="shared" si="51"/>
        <v>915083469</v>
      </c>
      <c r="K1666" s="113" t="str">
        <f t="shared" si="52"/>
        <v>CG01742</v>
      </c>
    </row>
    <row r="1667" spans="1:11" x14ac:dyDescent="0.3">
      <c r="A1667" s="298" t="s">
        <v>5724</v>
      </c>
      <c r="B1667" s="298" t="s">
        <v>5725</v>
      </c>
      <c r="C1667" s="298" t="s">
        <v>541</v>
      </c>
      <c r="D1667" s="298" t="s">
        <v>256</v>
      </c>
      <c r="E1667" s="298"/>
      <c r="F1667" s="298" t="s">
        <v>5726</v>
      </c>
      <c r="G1667" s="299" t="b">
        <v>0</v>
      </c>
      <c r="H1667" s="299" t="b">
        <v>0</v>
      </c>
      <c r="J1667" s="113" t="str">
        <f t="shared" si="51"/>
        <v>834198183</v>
      </c>
      <c r="K1667" s="113" t="str">
        <f t="shared" si="52"/>
        <v>CG01743</v>
      </c>
    </row>
    <row r="1668" spans="1:11" x14ac:dyDescent="0.3">
      <c r="A1668" s="298" t="s">
        <v>5727</v>
      </c>
      <c r="B1668" s="298" t="s">
        <v>5728</v>
      </c>
      <c r="C1668" s="298" t="s">
        <v>309</v>
      </c>
      <c r="D1668" s="298" t="s">
        <v>256</v>
      </c>
      <c r="E1668" s="298"/>
      <c r="F1668" s="298" t="s">
        <v>5729</v>
      </c>
      <c r="G1668" s="299" t="b">
        <v>0</v>
      </c>
      <c r="H1668" s="299" t="b">
        <v>0</v>
      </c>
      <c r="J1668" s="113" t="str">
        <f t="shared" si="51"/>
        <v>936160006</v>
      </c>
      <c r="K1668" s="113" t="str">
        <f t="shared" si="52"/>
        <v>CG01744</v>
      </c>
    </row>
    <row r="1669" spans="1:11" x14ac:dyDescent="0.3">
      <c r="A1669" s="298" t="s">
        <v>5730</v>
      </c>
      <c r="B1669" s="298" t="s">
        <v>5731</v>
      </c>
      <c r="C1669" s="298" t="s">
        <v>1587</v>
      </c>
      <c r="D1669" s="298" t="s">
        <v>256</v>
      </c>
      <c r="E1669" s="298"/>
      <c r="F1669" s="298" t="s">
        <v>5732</v>
      </c>
      <c r="G1669" s="299" t="b">
        <v>0</v>
      </c>
      <c r="H1669" s="299" t="b">
        <v>0</v>
      </c>
      <c r="J1669" s="113" t="str">
        <f t="shared" ref="J1669:J1732" si="53">RIGHT(B1669,9)</f>
        <v>936419871</v>
      </c>
      <c r="K1669" s="113" t="str">
        <f t="shared" ref="K1669:K1732" si="54">A1669</f>
        <v>CG01745</v>
      </c>
    </row>
    <row r="1670" spans="1:11" x14ac:dyDescent="0.3">
      <c r="A1670" s="298" t="s">
        <v>5733</v>
      </c>
      <c r="B1670" s="298" t="s">
        <v>5734</v>
      </c>
      <c r="C1670" s="298" t="s">
        <v>997</v>
      </c>
      <c r="D1670" s="298" t="s">
        <v>256</v>
      </c>
      <c r="E1670" s="298"/>
      <c r="F1670" s="298" t="s">
        <v>5735</v>
      </c>
      <c r="G1670" s="299" t="b">
        <v>0</v>
      </c>
      <c r="H1670" s="299" t="b">
        <v>0</v>
      </c>
      <c r="J1670" s="113" t="str">
        <f t="shared" si="53"/>
        <v>913258663</v>
      </c>
      <c r="K1670" s="113" t="str">
        <f t="shared" si="54"/>
        <v>CG01746</v>
      </c>
    </row>
    <row r="1671" spans="1:11" x14ac:dyDescent="0.3">
      <c r="A1671" s="298" t="s">
        <v>5736</v>
      </c>
      <c r="B1671" s="298" t="s">
        <v>5737</v>
      </c>
      <c r="C1671" s="298" t="s">
        <v>5738</v>
      </c>
      <c r="D1671" s="298" t="s">
        <v>256</v>
      </c>
      <c r="E1671" s="298"/>
      <c r="F1671" s="298" t="s">
        <v>5739</v>
      </c>
      <c r="G1671" s="299" t="b">
        <v>0</v>
      </c>
      <c r="H1671" s="299" t="b">
        <v>0</v>
      </c>
      <c r="J1671" s="113" t="str">
        <f t="shared" si="53"/>
        <v>934336666</v>
      </c>
      <c r="K1671" s="113" t="str">
        <f t="shared" si="54"/>
        <v>CG01747</v>
      </c>
    </row>
    <row r="1672" spans="1:11" x14ac:dyDescent="0.3">
      <c r="A1672" s="298" t="s">
        <v>5740</v>
      </c>
      <c r="B1672" s="298" t="s">
        <v>5741</v>
      </c>
      <c r="C1672" s="298" t="s">
        <v>335</v>
      </c>
      <c r="D1672" s="298" t="s">
        <v>256</v>
      </c>
      <c r="E1672" s="298"/>
      <c r="F1672" s="298" t="s">
        <v>5742</v>
      </c>
      <c r="G1672" s="299" t="b">
        <v>0</v>
      </c>
      <c r="H1672" s="299" t="b">
        <v>0</v>
      </c>
      <c r="J1672" s="113" t="str">
        <f t="shared" si="53"/>
        <v>977367368</v>
      </c>
      <c r="K1672" s="113" t="str">
        <f t="shared" si="54"/>
        <v>CG01748</v>
      </c>
    </row>
    <row r="1673" spans="1:11" x14ac:dyDescent="0.3">
      <c r="A1673" s="298" t="s">
        <v>5743</v>
      </c>
      <c r="B1673" s="298" t="s">
        <v>5744</v>
      </c>
      <c r="C1673" s="298" t="s">
        <v>5745</v>
      </c>
      <c r="D1673" s="298" t="s">
        <v>256</v>
      </c>
      <c r="E1673" s="298"/>
      <c r="F1673" s="298" t="s">
        <v>5746</v>
      </c>
      <c r="G1673" s="299" t="b">
        <v>0</v>
      </c>
      <c r="H1673" s="299" t="b">
        <v>0</v>
      </c>
      <c r="J1673" s="113" t="str">
        <f t="shared" si="53"/>
        <v>987930740</v>
      </c>
      <c r="K1673" s="113" t="str">
        <f t="shared" si="54"/>
        <v>CG01749</v>
      </c>
    </row>
    <row r="1674" spans="1:11" x14ac:dyDescent="0.3">
      <c r="A1674" s="298" t="s">
        <v>5747</v>
      </c>
      <c r="B1674" s="298" t="s">
        <v>14675</v>
      </c>
      <c r="C1674" s="298" t="s">
        <v>4464</v>
      </c>
      <c r="D1674" s="298" t="s">
        <v>256</v>
      </c>
      <c r="E1674" s="298"/>
      <c r="F1674" s="298" t="s">
        <v>5748</v>
      </c>
      <c r="G1674" s="299" t="b">
        <v>0</v>
      </c>
      <c r="H1674" s="299" t="b">
        <v>0</v>
      </c>
      <c r="J1674" s="113" t="str">
        <f t="shared" si="53"/>
        <v>779541425</v>
      </c>
      <c r="K1674" s="113" t="str">
        <f t="shared" si="54"/>
        <v>CG01750</v>
      </c>
    </row>
    <row r="1675" spans="1:11" x14ac:dyDescent="0.3">
      <c r="A1675" s="298" t="s">
        <v>5749</v>
      </c>
      <c r="B1675" s="298" t="s">
        <v>5750</v>
      </c>
      <c r="C1675" s="298" t="s">
        <v>711</v>
      </c>
      <c r="D1675" s="298" t="s">
        <v>256</v>
      </c>
      <c r="E1675" s="298"/>
      <c r="F1675" s="298" t="s">
        <v>5751</v>
      </c>
      <c r="G1675" s="299" t="b">
        <v>0</v>
      </c>
      <c r="H1675" s="299" t="b">
        <v>0</v>
      </c>
      <c r="J1675" s="113" t="str">
        <f t="shared" si="53"/>
        <v>974258656</v>
      </c>
      <c r="K1675" s="113" t="str">
        <f t="shared" si="54"/>
        <v>CG01751</v>
      </c>
    </row>
    <row r="1676" spans="1:11" x14ac:dyDescent="0.3">
      <c r="A1676" s="298" t="s">
        <v>5752</v>
      </c>
      <c r="B1676" s="298" t="s">
        <v>5753</v>
      </c>
      <c r="C1676" s="298" t="s">
        <v>1508</v>
      </c>
      <c r="D1676" s="298" t="s">
        <v>256</v>
      </c>
      <c r="E1676" s="298"/>
      <c r="F1676" s="298" t="s">
        <v>5754</v>
      </c>
      <c r="G1676" s="299" t="b">
        <v>0</v>
      </c>
      <c r="H1676" s="299" t="b">
        <v>0</v>
      </c>
      <c r="J1676" s="113" t="str">
        <f t="shared" si="53"/>
        <v>985969901</v>
      </c>
      <c r="K1676" s="113" t="str">
        <f t="shared" si="54"/>
        <v>CG01752</v>
      </c>
    </row>
    <row r="1677" spans="1:11" x14ac:dyDescent="0.3">
      <c r="A1677" s="298" t="s">
        <v>5755</v>
      </c>
      <c r="B1677" s="298" t="s">
        <v>5756</v>
      </c>
      <c r="C1677" s="298" t="s">
        <v>809</v>
      </c>
      <c r="D1677" s="298" t="s">
        <v>256</v>
      </c>
      <c r="E1677" s="298"/>
      <c r="F1677" s="298" t="s">
        <v>5757</v>
      </c>
      <c r="G1677" s="299" t="b">
        <v>0</v>
      </c>
      <c r="H1677" s="299" t="b">
        <v>0</v>
      </c>
      <c r="J1677" s="113" t="str">
        <f t="shared" si="53"/>
        <v>915744624</v>
      </c>
      <c r="K1677" s="113" t="str">
        <f t="shared" si="54"/>
        <v>CG01753</v>
      </c>
    </row>
    <row r="1678" spans="1:11" x14ac:dyDescent="0.3">
      <c r="A1678" s="298" t="s">
        <v>5758</v>
      </c>
      <c r="B1678" s="298" t="s">
        <v>5759</v>
      </c>
      <c r="C1678" s="298" t="s">
        <v>349</v>
      </c>
      <c r="D1678" s="298" t="s">
        <v>256</v>
      </c>
      <c r="E1678" s="298"/>
      <c r="F1678" s="298" t="s">
        <v>5760</v>
      </c>
      <c r="G1678" s="299" t="b">
        <v>0</v>
      </c>
      <c r="H1678" s="299" t="b">
        <v>0</v>
      </c>
      <c r="J1678" s="113" t="str">
        <f t="shared" si="53"/>
        <v>359950279</v>
      </c>
      <c r="K1678" s="113" t="str">
        <f t="shared" si="54"/>
        <v>CG01754</v>
      </c>
    </row>
    <row r="1679" spans="1:11" x14ac:dyDescent="0.3">
      <c r="A1679" s="298" t="s">
        <v>5761</v>
      </c>
      <c r="B1679" s="298" t="s">
        <v>5762</v>
      </c>
      <c r="C1679" s="298" t="s">
        <v>340</v>
      </c>
      <c r="D1679" s="298" t="s">
        <v>256</v>
      </c>
      <c r="E1679" s="298"/>
      <c r="F1679" s="298" t="s">
        <v>5763</v>
      </c>
      <c r="G1679" s="299" t="b">
        <v>0</v>
      </c>
      <c r="H1679" s="299" t="b">
        <v>0</v>
      </c>
      <c r="J1679" s="113" t="str">
        <f t="shared" si="53"/>
        <v>977089877</v>
      </c>
      <c r="K1679" s="113" t="str">
        <f t="shared" si="54"/>
        <v>CG01755</v>
      </c>
    </row>
    <row r="1680" spans="1:11" x14ac:dyDescent="0.3">
      <c r="A1680" s="298" t="s">
        <v>5764</v>
      </c>
      <c r="B1680" s="298" t="s">
        <v>5765</v>
      </c>
      <c r="C1680" s="298" t="s">
        <v>352</v>
      </c>
      <c r="D1680" s="298" t="s">
        <v>256</v>
      </c>
      <c r="E1680" s="298"/>
      <c r="F1680" s="298" t="s">
        <v>5766</v>
      </c>
      <c r="G1680" s="299" t="b">
        <v>0</v>
      </c>
      <c r="H1680" s="299" t="b">
        <v>0</v>
      </c>
      <c r="J1680" s="113" t="str">
        <f t="shared" si="53"/>
        <v>941046945</v>
      </c>
      <c r="K1680" s="113" t="str">
        <f t="shared" si="54"/>
        <v>CG01756</v>
      </c>
    </row>
    <row r="1681" spans="1:11" x14ac:dyDescent="0.3">
      <c r="A1681" s="298" t="s">
        <v>5767</v>
      </c>
      <c r="B1681" s="298" t="s">
        <v>5768</v>
      </c>
      <c r="C1681" s="298" t="s">
        <v>3037</v>
      </c>
      <c r="D1681" s="298" t="s">
        <v>256</v>
      </c>
      <c r="E1681" s="298"/>
      <c r="F1681" s="298" t="s">
        <v>5769</v>
      </c>
      <c r="G1681" s="299" t="b">
        <v>0</v>
      </c>
      <c r="H1681" s="299" t="b">
        <v>0</v>
      </c>
      <c r="J1681" s="113" t="str">
        <f t="shared" si="53"/>
        <v>982596923</v>
      </c>
      <c r="K1681" s="113" t="str">
        <f t="shared" si="54"/>
        <v>CG01757</v>
      </c>
    </row>
    <row r="1682" spans="1:11" x14ac:dyDescent="0.3">
      <c r="A1682" s="298" t="s">
        <v>5770</v>
      </c>
      <c r="B1682" s="298" t="s">
        <v>5771</v>
      </c>
      <c r="C1682" s="298" t="s">
        <v>416</v>
      </c>
      <c r="D1682" s="298" t="s">
        <v>256</v>
      </c>
      <c r="E1682" s="298"/>
      <c r="F1682" s="298" t="s">
        <v>5772</v>
      </c>
      <c r="G1682" s="299" t="b">
        <v>0</v>
      </c>
      <c r="H1682" s="299" t="b">
        <v>0</v>
      </c>
      <c r="J1682" s="113" t="str">
        <f t="shared" si="53"/>
        <v>982031875</v>
      </c>
      <c r="K1682" s="113" t="str">
        <f t="shared" si="54"/>
        <v>CG01758</v>
      </c>
    </row>
    <row r="1683" spans="1:11" x14ac:dyDescent="0.3">
      <c r="A1683" s="298" t="s">
        <v>5773</v>
      </c>
      <c r="B1683" s="298" t="s">
        <v>5774</v>
      </c>
      <c r="C1683" s="298" t="s">
        <v>355</v>
      </c>
      <c r="D1683" s="298" t="s">
        <v>256</v>
      </c>
      <c r="E1683" s="298"/>
      <c r="F1683" s="298" t="s">
        <v>5775</v>
      </c>
      <c r="G1683" s="299" t="b">
        <v>0</v>
      </c>
      <c r="H1683" s="299" t="b">
        <v>0</v>
      </c>
      <c r="J1683" s="113" t="str">
        <f t="shared" si="53"/>
        <v>915656071</v>
      </c>
      <c r="K1683" s="113" t="str">
        <f t="shared" si="54"/>
        <v>CG01759</v>
      </c>
    </row>
    <row r="1684" spans="1:11" x14ac:dyDescent="0.3">
      <c r="A1684" s="298" t="s">
        <v>5776</v>
      </c>
      <c r="B1684" s="298" t="s">
        <v>5777</v>
      </c>
      <c r="C1684" s="298" t="s">
        <v>226</v>
      </c>
      <c r="D1684" s="298" t="s">
        <v>256</v>
      </c>
      <c r="E1684" s="298"/>
      <c r="F1684" s="298" t="s">
        <v>5778</v>
      </c>
      <c r="G1684" s="299" t="b">
        <v>0</v>
      </c>
      <c r="H1684" s="299" t="b">
        <v>0</v>
      </c>
      <c r="J1684" s="113" t="str">
        <f t="shared" si="53"/>
        <v>912331299</v>
      </c>
      <c r="K1684" s="113" t="str">
        <f t="shared" si="54"/>
        <v>CG01760</v>
      </c>
    </row>
    <row r="1685" spans="1:11" x14ac:dyDescent="0.3">
      <c r="A1685" s="298" t="s">
        <v>5779</v>
      </c>
      <c r="B1685" s="298" t="s">
        <v>5780</v>
      </c>
      <c r="C1685" s="298" t="s">
        <v>416</v>
      </c>
      <c r="D1685" s="298" t="s">
        <v>256</v>
      </c>
      <c r="E1685" s="298"/>
      <c r="F1685" s="298" t="s">
        <v>5781</v>
      </c>
      <c r="G1685" s="299" t="b">
        <v>0</v>
      </c>
      <c r="H1685" s="299" t="b">
        <v>0</v>
      </c>
      <c r="J1685" s="113" t="str">
        <f t="shared" si="53"/>
        <v>912073630</v>
      </c>
      <c r="K1685" s="113" t="str">
        <f t="shared" si="54"/>
        <v>CG01761</v>
      </c>
    </row>
    <row r="1686" spans="1:11" x14ac:dyDescent="0.3">
      <c r="A1686" s="298" t="s">
        <v>5782</v>
      </c>
      <c r="B1686" s="298" t="s">
        <v>5783</v>
      </c>
      <c r="C1686" s="298" t="s">
        <v>789</v>
      </c>
      <c r="D1686" s="298" t="s">
        <v>256</v>
      </c>
      <c r="E1686" s="298"/>
      <c r="F1686" s="298" t="s">
        <v>5784</v>
      </c>
      <c r="G1686" s="299" t="b">
        <v>0</v>
      </c>
      <c r="H1686" s="299" t="b">
        <v>0</v>
      </c>
      <c r="J1686" s="113" t="str">
        <f t="shared" si="53"/>
        <v>986897870</v>
      </c>
      <c r="K1686" s="113" t="str">
        <f t="shared" si="54"/>
        <v>CG01762</v>
      </c>
    </row>
    <row r="1687" spans="1:11" x14ac:dyDescent="0.3">
      <c r="A1687" s="298" t="s">
        <v>5785</v>
      </c>
      <c r="B1687" s="298" t="s">
        <v>5786</v>
      </c>
      <c r="C1687" s="298" t="s">
        <v>1247</v>
      </c>
      <c r="D1687" s="298" t="s">
        <v>256</v>
      </c>
      <c r="E1687" s="298"/>
      <c r="F1687" s="298" t="s">
        <v>5787</v>
      </c>
      <c r="G1687" s="299" t="b">
        <v>0</v>
      </c>
      <c r="H1687" s="299" t="b">
        <v>0</v>
      </c>
      <c r="J1687" s="113" t="str">
        <f t="shared" si="53"/>
        <v>915685672</v>
      </c>
      <c r="K1687" s="113" t="str">
        <f t="shared" si="54"/>
        <v>CG01763</v>
      </c>
    </row>
    <row r="1688" spans="1:11" x14ac:dyDescent="0.3">
      <c r="A1688" s="298" t="s">
        <v>5788</v>
      </c>
      <c r="B1688" s="298" t="s">
        <v>5789</v>
      </c>
      <c r="C1688" s="298" t="s">
        <v>5790</v>
      </c>
      <c r="D1688" s="298" t="s">
        <v>256</v>
      </c>
      <c r="E1688" s="298" t="s">
        <v>5791</v>
      </c>
      <c r="F1688" s="298" t="s">
        <v>5792</v>
      </c>
      <c r="G1688" s="299" t="b">
        <v>0</v>
      </c>
      <c r="H1688" s="299" t="b">
        <v>0</v>
      </c>
      <c r="J1688" s="113" t="str">
        <f t="shared" si="53"/>
        <v>500453311</v>
      </c>
      <c r="K1688" s="113" t="str">
        <f t="shared" si="54"/>
        <v>CG01764</v>
      </c>
    </row>
    <row r="1689" spans="1:11" x14ac:dyDescent="0.3">
      <c r="A1689" s="298" t="s">
        <v>5793</v>
      </c>
      <c r="B1689" s="298" t="s">
        <v>5794</v>
      </c>
      <c r="C1689" s="298" t="s">
        <v>541</v>
      </c>
      <c r="D1689" s="298" t="s">
        <v>256</v>
      </c>
      <c r="E1689" s="298"/>
      <c r="F1689" s="298" t="s">
        <v>5795</v>
      </c>
      <c r="G1689" s="299" t="b">
        <v>0</v>
      </c>
      <c r="H1689" s="299" t="b">
        <v>0</v>
      </c>
      <c r="J1689" s="113" t="str">
        <f t="shared" si="53"/>
        <v>985898917</v>
      </c>
      <c r="K1689" s="113" t="str">
        <f t="shared" si="54"/>
        <v>CG01765</v>
      </c>
    </row>
    <row r="1690" spans="1:11" x14ac:dyDescent="0.3">
      <c r="A1690" s="298" t="s">
        <v>5796</v>
      </c>
      <c r="B1690" s="298" t="s">
        <v>5797</v>
      </c>
      <c r="C1690" s="298" t="s">
        <v>1335</v>
      </c>
      <c r="D1690" s="298" t="s">
        <v>256</v>
      </c>
      <c r="E1690" s="298"/>
      <c r="F1690" s="298" t="s">
        <v>5798</v>
      </c>
      <c r="G1690" s="299" t="b">
        <v>0</v>
      </c>
      <c r="H1690" s="299" t="b">
        <v>0</v>
      </c>
      <c r="J1690" s="113" t="str">
        <f t="shared" si="53"/>
        <v>376136666</v>
      </c>
      <c r="K1690" s="113" t="str">
        <f t="shared" si="54"/>
        <v>CG01766</v>
      </c>
    </row>
    <row r="1691" spans="1:11" x14ac:dyDescent="0.3">
      <c r="A1691" s="298" t="s">
        <v>5799</v>
      </c>
      <c r="B1691" s="298" t="s">
        <v>5800</v>
      </c>
      <c r="C1691" s="298" t="s">
        <v>1825</v>
      </c>
      <c r="D1691" s="298" t="s">
        <v>256</v>
      </c>
      <c r="E1691" s="298"/>
      <c r="F1691" s="298" t="s">
        <v>5801</v>
      </c>
      <c r="G1691" s="299" t="b">
        <v>0</v>
      </c>
      <c r="H1691" s="299" t="b">
        <v>0</v>
      </c>
      <c r="J1691" s="113" t="str">
        <f t="shared" si="53"/>
        <v>366898389</v>
      </c>
      <c r="K1691" s="113" t="str">
        <f t="shared" si="54"/>
        <v>CG01767</v>
      </c>
    </row>
    <row r="1692" spans="1:11" x14ac:dyDescent="0.3">
      <c r="A1692" s="298" t="s">
        <v>5802</v>
      </c>
      <c r="B1692" s="298" t="s">
        <v>5803</v>
      </c>
      <c r="C1692" s="298" t="s">
        <v>5804</v>
      </c>
      <c r="D1692" s="298" t="s">
        <v>256</v>
      </c>
      <c r="E1692" s="298"/>
      <c r="F1692" s="298" t="s">
        <v>5805</v>
      </c>
      <c r="G1692" s="299" t="b">
        <v>0</v>
      </c>
      <c r="H1692" s="299" t="b">
        <v>0</v>
      </c>
      <c r="J1692" s="113" t="str">
        <f t="shared" si="53"/>
        <v>973027568</v>
      </c>
      <c r="K1692" s="113" t="str">
        <f t="shared" si="54"/>
        <v>CG01768</v>
      </c>
    </row>
    <row r="1693" spans="1:11" x14ac:dyDescent="0.3">
      <c r="A1693" s="298" t="s">
        <v>5806</v>
      </c>
      <c r="B1693" s="298" t="s">
        <v>5807</v>
      </c>
      <c r="C1693" s="298" t="s">
        <v>3573</v>
      </c>
      <c r="D1693" s="298" t="s">
        <v>256</v>
      </c>
      <c r="E1693" s="298"/>
      <c r="F1693" s="298" t="s">
        <v>5808</v>
      </c>
      <c r="G1693" s="299" t="b">
        <v>0</v>
      </c>
      <c r="H1693" s="299" t="b">
        <v>0</v>
      </c>
      <c r="J1693" s="113" t="str">
        <f t="shared" si="53"/>
        <v>915237385</v>
      </c>
      <c r="K1693" s="113" t="str">
        <f t="shared" si="54"/>
        <v>CG01769</v>
      </c>
    </row>
    <row r="1694" spans="1:11" x14ac:dyDescent="0.3">
      <c r="A1694" s="298" t="s">
        <v>5809</v>
      </c>
      <c r="B1694" s="298" t="s">
        <v>5810</v>
      </c>
      <c r="C1694" s="298" t="s">
        <v>230</v>
      </c>
      <c r="D1694" s="298" t="s">
        <v>256</v>
      </c>
      <c r="E1694" s="298"/>
      <c r="F1694" s="298" t="s">
        <v>5811</v>
      </c>
      <c r="G1694" s="299" t="b">
        <v>0</v>
      </c>
      <c r="H1694" s="299" t="b">
        <v>0</v>
      </c>
      <c r="J1694" s="113" t="str">
        <f t="shared" si="53"/>
        <v>903472757</v>
      </c>
      <c r="K1694" s="113" t="str">
        <f t="shared" si="54"/>
        <v>CG01770</v>
      </c>
    </row>
    <row r="1695" spans="1:11" x14ac:dyDescent="0.3">
      <c r="A1695" s="298" t="s">
        <v>5812</v>
      </c>
      <c r="B1695" s="298" t="s">
        <v>5813</v>
      </c>
      <c r="C1695" s="298" t="s">
        <v>1873</v>
      </c>
      <c r="D1695" s="298" t="s">
        <v>256</v>
      </c>
      <c r="E1695" s="298"/>
      <c r="F1695" s="298" t="s">
        <v>5814</v>
      </c>
      <c r="G1695" s="299" t="b">
        <v>0</v>
      </c>
      <c r="H1695" s="299" t="b">
        <v>0</v>
      </c>
      <c r="J1695" s="113" t="str">
        <f t="shared" si="53"/>
        <v>944864976</v>
      </c>
      <c r="K1695" s="113" t="str">
        <f t="shared" si="54"/>
        <v>CG01771</v>
      </c>
    </row>
    <row r="1696" spans="1:11" x14ac:dyDescent="0.3">
      <c r="A1696" s="298" t="s">
        <v>5815</v>
      </c>
      <c r="B1696" s="298" t="s">
        <v>5816</v>
      </c>
      <c r="C1696" s="298" t="s">
        <v>286</v>
      </c>
      <c r="D1696" s="298" t="s">
        <v>256</v>
      </c>
      <c r="E1696" s="298"/>
      <c r="F1696" s="298" t="s">
        <v>5817</v>
      </c>
      <c r="G1696" s="299" t="b">
        <v>0</v>
      </c>
      <c r="H1696" s="299" t="b">
        <v>0</v>
      </c>
      <c r="J1696" s="113" t="str">
        <f t="shared" si="53"/>
        <v>917555873</v>
      </c>
      <c r="K1696" s="113" t="str">
        <f t="shared" si="54"/>
        <v>CG01772</v>
      </c>
    </row>
    <row r="1697" spans="1:11" x14ac:dyDescent="0.3">
      <c r="A1697" s="298" t="s">
        <v>5818</v>
      </c>
      <c r="B1697" s="298" t="s">
        <v>5819</v>
      </c>
      <c r="C1697" s="298" t="s">
        <v>593</v>
      </c>
      <c r="D1697" s="298" t="s">
        <v>256</v>
      </c>
      <c r="E1697" s="298"/>
      <c r="F1697" s="298" t="s">
        <v>5820</v>
      </c>
      <c r="G1697" s="299" t="b">
        <v>0</v>
      </c>
      <c r="H1697" s="299" t="b">
        <v>0</v>
      </c>
      <c r="J1697" s="113" t="str">
        <f t="shared" si="53"/>
        <v>904221159</v>
      </c>
      <c r="K1697" s="113" t="str">
        <f t="shared" si="54"/>
        <v>CG01773</v>
      </c>
    </row>
    <row r="1698" spans="1:11" x14ac:dyDescent="0.3">
      <c r="A1698" s="298" t="s">
        <v>5821</v>
      </c>
      <c r="B1698" s="298" t="s">
        <v>5822</v>
      </c>
      <c r="C1698" s="298" t="s">
        <v>286</v>
      </c>
      <c r="D1698" s="298" t="s">
        <v>256</v>
      </c>
      <c r="E1698" s="298"/>
      <c r="F1698" s="298" t="s">
        <v>5823</v>
      </c>
      <c r="G1698" s="299" t="b">
        <v>0</v>
      </c>
      <c r="H1698" s="299" t="b">
        <v>0</v>
      </c>
      <c r="J1698" s="113" t="str">
        <f t="shared" si="53"/>
        <v>986530915</v>
      </c>
      <c r="K1698" s="113" t="str">
        <f t="shared" si="54"/>
        <v>CG01774</v>
      </c>
    </row>
    <row r="1699" spans="1:11" x14ac:dyDescent="0.3">
      <c r="A1699" s="298" t="s">
        <v>5824</v>
      </c>
      <c r="B1699" s="298" t="s">
        <v>5825</v>
      </c>
      <c r="C1699" s="298" t="s">
        <v>5826</v>
      </c>
      <c r="D1699" s="298" t="s">
        <v>256</v>
      </c>
      <c r="E1699" s="298"/>
      <c r="F1699" s="298" t="s">
        <v>5827</v>
      </c>
      <c r="G1699" s="299" t="b">
        <v>0</v>
      </c>
      <c r="H1699" s="299" t="b">
        <v>0</v>
      </c>
      <c r="J1699" s="113" t="str">
        <f t="shared" si="53"/>
        <v>968991972</v>
      </c>
      <c r="K1699" s="113" t="str">
        <f t="shared" si="54"/>
        <v>CG01775</v>
      </c>
    </row>
    <row r="1700" spans="1:11" x14ac:dyDescent="0.3">
      <c r="A1700" s="298" t="s">
        <v>5828</v>
      </c>
      <c r="B1700" s="298" t="s">
        <v>5829</v>
      </c>
      <c r="C1700" s="298" t="s">
        <v>4757</v>
      </c>
      <c r="D1700" s="298" t="s">
        <v>256</v>
      </c>
      <c r="E1700" s="298"/>
      <c r="F1700" s="298" t="s">
        <v>5830</v>
      </c>
      <c r="G1700" s="299" t="b">
        <v>0</v>
      </c>
      <c r="H1700" s="299" t="b">
        <v>0</v>
      </c>
      <c r="J1700" s="113" t="str">
        <f t="shared" si="53"/>
        <v>983409341</v>
      </c>
      <c r="K1700" s="113" t="str">
        <f t="shared" si="54"/>
        <v>CG01776</v>
      </c>
    </row>
    <row r="1701" spans="1:11" x14ac:dyDescent="0.3">
      <c r="A1701" s="298" t="s">
        <v>5831</v>
      </c>
      <c r="B1701" s="298" t="s">
        <v>5832</v>
      </c>
      <c r="C1701" s="298" t="s">
        <v>289</v>
      </c>
      <c r="D1701" s="298" t="s">
        <v>256</v>
      </c>
      <c r="E1701" s="298"/>
      <c r="F1701" s="298" t="s">
        <v>5833</v>
      </c>
      <c r="G1701" s="299" t="b">
        <v>0</v>
      </c>
      <c r="H1701" s="299" t="b">
        <v>0</v>
      </c>
      <c r="J1701" s="113" t="str">
        <f t="shared" si="53"/>
        <v>983353650</v>
      </c>
      <c r="K1701" s="113" t="str">
        <f t="shared" si="54"/>
        <v>CG01777</v>
      </c>
    </row>
    <row r="1702" spans="1:11" x14ac:dyDescent="0.3">
      <c r="A1702" s="298" t="s">
        <v>5834</v>
      </c>
      <c r="B1702" s="298" t="s">
        <v>5835</v>
      </c>
      <c r="C1702" s="298" t="s">
        <v>1237</v>
      </c>
      <c r="D1702" s="298" t="s">
        <v>256</v>
      </c>
      <c r="E1702" s="298"/>
      <c r="F1702" s="298" t="s">
        <v>5836</v>
      </c>
      <c r="G1702" s="299" t="b">
        <v>0</v>
      </c>
      <c r="H1702" s="299" t="b">
        <v>0</v>
      </c>
      <c r="J1702" s="113" t="str">
        <f t="shared" si="53"/>
        <v>975944361</v>
      </c>
      <c r="K1702" s="113" t="str">
        <f t="shared" si="54"/>
        <v>CG01778</v>
      </c>
    </row>
    <row r="1703" spans="1:11" x14ac:dyDescent="0.3">
      <c r="A1703" s="298" t="s">
        <v>5837</v>
      </c>
      <c r="B1703" s="298" t="s">
        <v>5838</v>
      </c>
      <c r="C1703" s="298" t="s">
        <v>2979</v>
      </c>
      <c r="D1703" s="298" t="s">
        <v>256</v>
      </c>
      <c r="E1703" s="298" t="s">
        <v>5839</v>
      </c>
      <c r="F1703" s="298" t="s">
        <v>5840</v>
      </c>
      <c r="G1703" s="299" t="b">
        <v>0</v>
      </c>
      <c r="H1703" s="299" t="b">
        <v>0</v>
      </c>
      <c r="J1703" s="113" t="str">
        <f t="shared" si="53"/>
        <v>988314555</v>
      </c>
      <c r="K1703" s="113" t="str">
        <f t="shared" si="54"/>
        <v>CG01779</v>
      </c>
    </row>
    <row r="1704" spans="1:11" x14ac:dyDescent="0.3">
      <c r="A1704" s="298" t="s">
        <v>5841</v>
      </c>
      <c r="B1704" s="298" t="s">
        <v>5842</v>
      </c>
      <c r="C1704" s="298" t="s">
        <v>593</v>
      </c>
      <c r="D1704" s="298" t="s">
        <v>256</v>
      </c>
      <c r="E1704" s="298"/>
      <c r="F1704" s="298" t="s">
        <v>5843</v>
      </c>
      <c r="G1704" s="299" t="b">
        <v>0</v>
      </c>
      <c r="H1704" s="299" t="b">
        <v>0</v>
      </c>
      <c r="J1704" s="113" t="str">
        <f t="shared" si="53"/>
        <v>987052497</v>
      </c>
      <c r="K1704" s="113" t="str">
        <f t="shared" si="54"/>
        <v>CG01780</v>
      </c>
    </row>
    <row r="1705" spans="1:11" x14ac:dyDescent="0.3">
      <c r="A1705" s="298" t="s">
        <v>5844</v>
      </c>
      <c r="B1705" s="298" t="s">
        <v>5845</v>
      </c>
      <c r="C1705" s="298" t="s">
        <v>884</v>
      </c>
      <c r="D1705" s="298" t="s">
        <v>256</v>
      </c>
      <c r="E1705" s="298"/>
      <c r="F1705" s="298" t="s">
        <v>5846</v>
      </c>
      <c r="G1705" s="299" t="b">
        <v>0</v>
      </c>
      <c r="H1705" s="299" t="b">
        <v>0</v>
      </c>
      <c r="J1705" s="113" t="str">
        <f t="shared" si="53"/>
        <v>912992259</v>
      </c>
      <c r="K1705" s="113" t="str">
        <f t="shared" si="54"/>
        <v>CG01781</v>
      </c>
    </row>
    <row r="1706" spans="1:11" x14ac:dyDescent="0.3">
      <c r="A1706" s="298" t="s">
        <v>5847</v>
      </c>
      <c r="B1706" s="298" t="s">
        <v>5848</v>
      </c>
      <c r="C1706" s="298" t="s">
        <v>5637</v>
      </c>
      <c r="D1706" s="298" t="s">
        <v>256</v>
      </c>
      <c r="E1706" s="298"/>
      <c r="F1706" s="298" t="s">
        <v>5849</v>
      </c>
      <c r="G1706" s="299" t="b">
        <v>0</v>
      </c>
      <c r="H1706" s="299" t="b">
        <v>0</v>
      </c>
      <c r="J1706" s="113" t="str">
        <f t="shared" si="53"/>
        <v>975336825</v>
      </c>
      <c r="K1706" s="113" t="str">
        <f t="shared" si="54"/>
        <v>CG01782</v>
      </c>
    </row>
    <row r="1707" spans="1:11" x14ac:dyDescent="0.3">
      <c r="A1707" s="298" t="s">
        <v>5850</v>
      </c>
      <c r="B1707" s="298" t="s">
        <v>5851</v>
      </c>
      <c r="C1707" s="298" t="s">
        <v>613</v>
      </c>
      <c r="D1707" s="298" t="s">
        <v>256</v>
      </c>
      <c r="E1707" s="298"/>
      <c r="F1707" s="298" t="s">
        <v>5852</v>
      </c>
      <c r="G1707" s="299" t="b">
        <v>0</v>
      </c>
      <c r="H1707" s="299" t="b">
        <v>0</v>
      </c>
      <c r="J1707" s="113" t="str">
        <f t="shared" si="53"/>
        <v>915981616</v>
      </c>
      <c r="K1707" s="113" t="str">
        <f t="shared" si="54"/>
        <v>CG01783</v>
      </c>
    </row>
    <row r="1708" spans="1:11" x14ac:dyDescent="0.3">
      <c r="A1708" s="298" t="s">
        <v>5853</v>
      </c>
      <c r="B1708" s="298" t="s">
        <v>5854</v>
      </c>
      <c r="C1708" s="298" t="s">
        <v>340</v>
      </c>
      <c r="D1708" s="298" t="s">
        <v>256</v>
      </c>
      <c r="E1708" s="298"/>
      <c r="F1708" s="298" t="s">
        <v>5855</v>
      </c>
      <c r="G1708" s="299" t="b">
        <v>0</v>
      </c>
      <c r="H1708" s="299" t="b">
        <v>0</v>
      </c>
      <c r="J1708" s="113" t="str">
        <f t="shared" si="53"/>
        <v>978091448</v>
      </c>
      <c r="K1708" s="113" t="str">
        <f t="shared" si="54"/>
        <v>CG01784</v>
      </c>
    </row>
    <row r="1709" spans="1:11" x14ac:dyDescent="0.3">
      <c r="A1709" s="298" t="s">
        <v>5856</v>
      </c>
      <c r="B1709" s="298" t="s">
        <v>5857</v>
      </c>
      <c r="C1709" s="298" t="s">
        <v>5858</v>
      </c>
      <c r="D1709" s="298" t="s">
        <v>256</v>
      </c>
      <c r="E1709" s="298"/>
      <c r="F1709" s="298" t="s">
        <v>5859</v>
      </c>
      <c r="G1709" s="299" t="b">
        <v>0</v>
      </c>
      <c r="H1709" s="299" t="b">
        <v>0</v>
      </c>
      <c r="J1709" s="113" t="str">
        <f t="shared" si="53"/>
        <v>963593056</v>
      </c>
      <c r="K1709" s="113" t="str">
        <f t="shared" si="54"/>
        <v>CG01785</v>
      </c>
    </row>
    <row r="1710" spans="1:11" x14ac:dyDescent="0.3">
      <c r="A1710" s="298" t="s">
        <v>5860</v>
      </c>
      <c r="B1710" s="298" t="s">
        <v>5861</v>
      </c>
      <c r="C1710" s="298" t="s">
        <v>1587</v>
      </c>
      <c r="D1710" s="298" t="s">
        <v>256</v>
      </c>
      <c r="E1710" s="298"/>
      <c r="F1710" s="298" t="s">
        <v>5862</v>
      </c>
      <c r="G1710" s="299" t="b">
        <v>0</v>
      </c>
      <c r="H1710" s="299" t="b">
        <v>0</v>
      </c>
      <c r="J1710" s="113" t="str">
        <f t="shared" si="53"/>
        <v>913113531</v>
      </c>
      <c r="K1710" s="113" t="str">
        <f t="shared" si="54"/>
        <v>CG01786</v>
      </c>
    </row>
    <row r="1711" spans="1:11" x14ac:dyDescent="0.3">
      <c r="A1711" s="298" t="s">
        <v>5863</v>
      </c>
      <c r="B1711" s="298" t="s">
        <v>5864</v>
      </c>
      <c r="C1711" s="298" t="s">
        <v>289</v>
      </c>
      <c r="D1711" s="298" t="s">
        <v>256</v>
      </c>
      <c r="E1711" s="298"/>
      <c r="F1711" s="298" t="s">
        <v>5865</v>
      </c>
      <c r="G1711" s="299" t="b">
        <v>0</v>
      </c>
      <c r="H1711" s="299" t="b">
        <v>0</v>
      </c>
      <c r="J1711" s="113" t="str">
        <f t="shared" si="53"/>
        <v>989790165</v>
      </c>
      <c r="K1711" s="113" t="str">
        <f t="shared" si="54"/>
        <v>CG01787</v>
      </c>
    </row>
    <row r="1712" spans="1:11" x14ac:dyDescent="0.3">
      <c r="A1712" s="298" t="s">
        <v>5866</v>
      </c>
      <c r="B1712" s="298" t="s">
        <v>5867</v>
      </c>
      <c r="C1712" s="298" t="s">
        <v>289</v>
      </c>
      <c r="D1712" s="298" t="s">
        <v>256</v>
      </c>
      <c r="E1712" s="298"/>
      <c r="F1712" s="298" t="s">
        <v>5868</v>
      </c>
      <c r="G1712" s="299" t="b">
        <v>0</v>
      </c>
      <c r="H1712" s="299" t="b">
        <v>0</v>
      </c>
      <c r="J1712" s="113" t="str">
        <f t="shared" si="53"/>
        <v>915176190</v>
      </c>
      <c r="K1712" s="113" t="str">
        <f t="shared" si="54"/>
        <v>CG01788</v>
      </c>
    </row>
    <row r="1713" spans="1:11" x14ac:dyDescent="0.3">
      <c r="A1713" s="298" t="s">
        <v>5869</v>
      </c>
      <c r="B1713" s="298" t="s">
        <v>5870</v>
      </c>
      <c r="C1713" s="298" t="s">
        <v>500</v>
      </c>
      <c r="D1713" s="298" t="s">
        <v>256</v>
      </c>
      <c r="E1713" s="298"/>
      <c r="F1713" s="298" t="s">
        <v>5871</v>
      </c>
      <c r="G1713" s="299" t="b">
        <v>0</v>
      </c>
      <c r="H1713" s="299" t="b">
        <v>0</v>
      </c>
      <c r="J1713" s="113" t="str">
        <f t="shared" si="53"/>
        <v>973878368</v>
      </c>
      <c r="K1713" s="113" t="str">
        <f t="shared" si="54"/>
        <v>CG01789</v>
      </c>
    </row>
    <row r="1714" spans="1:11" x14ac:dyDescent="0.3">
      <c r="A1714" s="298" t="s">
        <v>5872</v>
      </c>
      <c r="B1714" s="298" t="s">
        <v>5873</v>
      </c>
      <c r="C1714" s="298" t="s">
        <v>5874</v>
      </c>
      <c r="D1714" s="298" t="s">
        <v>256</v>
      </c>
      <c r="E1714" s="298"/>
      <c r="F1714" s="298" t="s">
        <v>5875</v>
      </c>
      <c r="G1714" s="299" t="b">
        <v>0</v>
      </c>
      <c r="H1714" s="299" t="b">
        <v>0</v>
      </c>
      <c r="J1714" s="113" t="str">
        <f t="shared" si="53"/>
        <v>975424605</v>
      </c>
      <c r="K1714" s="113" t="str">
        <f t="shared" si="54"/>
        <v>CG01790</v>
      </c>
    </row>
    <row r="1715" spans="1:11" x14ac:dyDescent="0.3">
      <c r="A1715" s="298" t="s">
        <v>5876</v>
      </c>
      <c r="B1715" s="298" t="s">
        <v>5877</v>
      </c>
      <c r="C1715" s="298" t="s">
        <v>340</v>
      </c>
      <c r="D1715" s="298" t="s">
        <v>256</v>
      </c>
      <c r="E1715" s="298"/>
      <c r="F1715" s="298" t="s">
        <v>5878</v>
      </c>
      <c r="G1715" s="299" t="b">
        <v>0</v>
      </c>
      <c r="H1715" s="299" t="b">
        <v>0</v>
      </c>
      <c r="J1715" s="113" t="str">
        <f t="shared" si="53"/>
        <v>987866902</v>
      </c>
      <c r="K1715" s="113" t="str">
        <f t="shared" si="54"/>
        <v>CG01791</v>
      </c>
    </row>
    <row r="1716" spans="1:11" x14ac:dyDescent="0.3">
      <c r="A1716" s="298" t="s">
        <v>5879</v>
      </c>
      <c r="B1716" s="298" t="s">
        <v>5880</v>
      </c>
      <c r="C1716" s="298" t="s">
        <v>5252</v>
      </c>
      <c r="D1716" s="298" t="s">
        <v>256</v>
      </c>
      <c r="E1716" s="298"/>
      <c r="F1716" s="298" t="s">
        <v>5881</v>
      </c>
      <c r="G1716" s="299" t="b">
        <v>0</v>
      </c>
      <c r="H1716" s="299" t="b">
        <v>0</v>
      </c>
      <c r="J1716" s="113" t="str">
        <f t="shared" si="53"/>
        <v>902173954</v>
      </c>
      <c r="K1716" s="113" t="str">
        <f t="shared" si="54"/>
        <v>CG01792</v>
      </c>
    </row>
    <row r="1717" spans="1:11" x14ac:dyDescent="0.3">
      <c r="A1717" s="298" t="s">
        <v>5882</v>
      </c>
      <c r="B1717" s="298" t="s">
        <v>5883</v>
      </c>
      <c r="C1717" s="298" t="s">
        <v>541</v>
      </c>
      <c r="D1717" s="298" t="s">
        <v>256</v>
      </c>
      <c r="E1717" s="298"/>
      <c r="F1717" s="298" t="s">
        <v>5884</v>
      </c>
      <c r="G1717" s="299" t="b">
        <v>0</v>
      </c>
      <c r="H1717" s="299" t="b">
        <v>0</v>
      </c>
      <c r="J1717" s="113" t="str">
        <f t="shared" si="53"/>
        <v>978146222</v>
      </c>
      <c r="K1717" s="113" t="str">
        <f t="shared" si="54"/>
        <v>CG01793</v>
      </c>
    </row>
    <row r="1718" spans="1:11" x14ac:dyDescent="0.3">
      <c r="A1718" s="298" t="s">
        <v>5885</v>
      </c>
      <c r="B1718" s="298" t="s">
        <v>5886</v>
      </c>
      <c r="C1718" s="298" t="s">
        <v>5887</v>
      </c>
      <c r="D1718" s="298" t="s">
        <v>256</v>
      </c>
      <c r="E1718" s="298"/>
      <c r="F1718" s="298" t="s">
        <v>5888</v>
      </c>
      <c r="G1718" s="299" t="b">
        <v>0</v>
      </c>
      <c r="H1718" s="299" t="b">
        <v>0</v>
      </c>
      <c r="J1718" s="113" t="str">
        <f t="shared" si="53"/>
        <v>976667449</v>
      </c>
      <c r="K1718" s="113" t="str">
        <f t="shared" si="54"/>
        <v>CG01794</v>
      </c>
    </row>
    <row r="1719" spans="1:11" x14ac:dyDescent="0.3">
      <c r="A1719" s="298" t="s">
        <v>5889</v>
      </c>
      <c r="B1719" s="298" t="s">
        <v>5890</v>
      </c>
      <c r="C1719" s="298" t="s">
        <v>286</v>
      </c>
      <c r="D1719" s="298" t="s">
        <v>256</v>
      </c>
      <c r="E1719" s="298"/>
      <c r="F1719" s="298" t="s">
        <v>5891</v>
      </c>
      <c r="G1719" s="299" t="b">
        <v>0</v>
      </c>
      <c r="H1719" s="299" t="b">
        <v>0</v>
      </c>
      <c r="J1719" s="113" t="str">
        <f t="shared" si="53"/>
        <v>984940217</v>
      </c>
      <c r="K1719" s="113" t="str">
        <f t="shared" si="54"/>
        <v>CG01795</v>
      </c>
    </row>
    <row r="1720" spans="1:11" x14ac:dyDescent="0.3">
      <c r="A1720" s="298" t="s">
        <v>5892</v>
      </c>
      <c r="B1720" s="298" t="s">
        <v>5893</v>
      </c>
      <c r="C1720" s="298" t="s">
        <v>1587</v>
      </c>
      <c r="D1720" s="298" t="s">
        <v>256</v>
      </c>
      <c r="E1720" s="298"/>
      <c r="F1720" s="298" t="s">
        <v>5894</v>
      </c>
      <c r="G1720" s="299" t="b">
        <v>0</v>
      </c>
      <c r="H1720" s="299" t="b">
        <v>0</v>
      </c>
      <c r="J1720" s="113" t="str">
        <f t="shared" si="53"/>
        <v>904033540</v>
      </c>
      <c r="K1720" s="113" t="str">
        <f t="shared" si="54"/>
        <v>CG01796</v>
      </c>
    </row>
    <row r="1721" spans="1:11" x14ac:dyDescent="0.3">
      <c r="A1721" s="298" t="s">
        <v>5895</v>
      </c>
      <c r="B1721" s="298" t="s">
        <v>5896</v>
      </c>
      <c r="C1721" s="298" t="s">
        <v>289</v>
      </c>
      <c r="D1721" s="298" t="s">
        <v>256</v>
      </c>
      <c r="E1721" s="298"/>
      <c r="F1721" s="298" t="s">
        <v>5897</v>
      </c>
      <c r="G1721" s="299" t="b">
        <v>0</v>
      </c>
      <c r="H1721" s="299" t="b">
        <v>0</v>
      </c>
      <c r="J1721" s="113" t="str">
        <f t="shared" si="53"/>
        <v>772211188</v>
      </c>
      <c r="K1721" s="113" t="str">
        <f t="shared" si="54"/>
        <v>CG01797</v>
      </c>
    </row>
    <row r="1722" spans="1:11" x14ac:dyDescent="0.3">
      <c r="A1722" s="298" t="s">
        <v>5898</v>
      </c>
      <c r="B1722" s="298" t="s">
        <v>5899</v>
      </c>
      <c r="C1722" s="298" t="s">
        <v>340</v>
      </c>
      <c r="D1722" s="298" t="s">
        <v>256</v>
      </c>
      <c r="E1722" s="298"/>
      <c r="F1722" s="298" t="s">
        <v>5900</v>
      </c>
      <c r="G1722" s="299" t="b">
        <v>0</v>
      </c>
      <c r="H1722" s="299" t="b">
        <v>0</v>
      </c>
      <c r="J1722" s="113" t="str">
        <f t="shared" si="53"/>
        <v>379547056</v>
      </c>
      <c r="K1722" s="113" t="str">
        <f t="shared" si="54"/>
        <v>CG01798</v>
      </c>
    </row>
    <row r="1723" spans="1:11" x14ac:dyDescent="0.3">
      <c r="A1723" s="298" t="s">
        <v>5901</v>
      </c>
      <c r="B1723" s="298" t="s">
        <v>5902</v>
      </c>
      <c r="C1723" s="298" t="s">
        <v>613</v>
      </c>
      <c r="D1723" s="298" t="s">
        <v>256</v>
      </c>
      <c r="E1723" s="298"/>
      <c r="F1723" s="298" t="s">
        <v>5903</v>
      </c>
      <c r="G1723" s="299" t="b">
        <v>0</v>
      </c>
      <c r="H1723" s="299" t="b">
        <v>0</v>
      </c>
      <c r="J1723" s="113" t="str">
        <f t="shared" si="53"/>
        <v>912602718</v>
      </c>
      <c r="K1723" s="113" t="str">
        <f t="shared" si="54"/>
        <v>CG01799</v>
      </c>
    </row>
    <row r="1724" spans="1:11" x14ac:dyDescent="0.3">
      <c r="A1724" s="298" t="s">
        <v>5904</v>
      </c>
      <c r="B1724" s="298" t="s">
        <v>5905</v>
      </c>
      <c r="C1724" s="298" t="s">
        <v>5906</v>
      </c>
      <c r="D1724" s="298" t="s">
        <v>256</v>
      </c>
      <c r="E1724" s="298"/>
      <c r="F1724" s="298" t="s">
        <v>5907</v>
      </c>
      <c r="G1724" s="299" t="b">
        <v>0</v>
      </c>
      <c r="H1724" s="299" t="b">
        <v>0</v>
      </c>
      <c r="J1724" s="113" t="str">
        <f t="shared" si="53"/>
        <v>913385517</v>
      </c>
      <c r="K1724" s="113" t="str">
        <f t="shared" si="54"/>
        <v>CG01800</v>
      </c>
    </row>
    <row r="1725" spans="1:11" x14ac:dyDescent="0.3">
      <c r="A1725" s="298" t="s">
        <v>5908</v>
      </c>
      <c r="B1725" s="298" t="s">
        <v>5909</v>
      </c>
      <c r="C1725" s="298" t="s">
        <v>1821</v>
      </c>
      <c r="D1725" s="298" t="s">
        <v>256</v>
      </c>
      <c r="E1725" s="298"/>
      <c r="F1725" s="298" t="s">
        <v>5910</v>
      </c>
      <c r="G1725" s="299" t="b">
        <v>0</v>
      </c>
      <c r="H1725" s="299" t="b">
        <v>0</v>
      </c>
      <c r="J1725" s="113" t="str">
        <f t="shared" si="53"/>
        <v>986169506</v>
      </c>
      <c r="K1725" s="113" t="str">
        <f t="shared" si="54"/>
        <v>CG01801</v>
      </c>
    </row>
    <row r="1726" spans="1:11" x14ac:dyDescent="0.3">
      <c r="A1726" s="298" t="s">
        <v>5911</v>
      </c>
      <c r="B1726" s="298" t="s">
        <v>5912</v>
      </c>
      <c r="C1726" s="298" t="s">
        <v>495</v>
      </c>
      <c r="D1726" s="298" t="s">
        <v>256</v>
      </c>
      <c r="E1726" s="298"/>
      <c r="F1726" s="298" t="s">
        <v>5913</v>
      </c>
      <c r="G1726" s="299" t="b">
        <v>0</v>
      </c>
      <c r="H1726" s="299" t="b">
        <v>0</v>
      </c>
      <c r="J1726" s="113" t="str">
        <f t="shared" si="53"/>
        <v>914473698</v>
      </c>
      <c r="K1726" s="113" t="str">
        <f t="shared" si="54"/>
        <v>CG01802</v>
      </c>
    </row>
    <row r="1727" spans="1:11" x14ac:dyDescent="0.3">
      <c r="A1727" s="298" t="s">
        <v>5914</v>
      </c>
      <c r="B1727" s="298" t="s">
        <v>5915</v>
      </c>
      <c r="C1727" s="298" t="s">
        <v>5916</v>
      </c>
      <c r="D1727" s="298" t="s">
        <v>256</v>
      </c>
      <c r="E1727" s="298"/>
      <c r="F1727" s="298" t="s">
        <v>5917</v>
      </c>
      <c r="G1727" s="299" t="b">
        <v>0</v>
      </c>
      <c r="H1727" s="299" t="b">
        <v>0</v>
      </c>
      <c r="J1727" s="113" t="str">
        <f t="shared" si="53"/>
        <v>979651007</v>
      </c>
      <c r="K1727" s="113" t="str">
        <f t="shared" si="54"/>
        <v>CG01803</v>
      </c>
    </row>
    <row r="1728" spans="1:11" x14ac:dyDescent="0.3">
      <c r="A1728" s="298" t="s">
        <v>5918</v>
      </c>
      <c r="B1728" s="298" t="s">
        <v>5919</v>
      </c>
      <c r="C1728" s="298" t="s">
        <v>2170</v>
      </c>
      <c r="D1728" s="298" t="s">
        <v>256</v>
      </c>
      <c r="E1728" s="298"/>
      <c r="F1728" s="298" t="s">
        <v>5920</v>
      </c>
      <c r="G1728" s="299" t="b">
        <v>0</v>
      </c>
      <c r="H1728" s="299" t="b">
        <v>0</v>
      </c>
      <c r="J1728" s="113" t="str">
        <f t="shared" si="53"/>
        <v>918524219</v>
      </c>
      <c r="K1728" s="113" t="str">
        <f t="shared" si="54"/>
        <v>CG01804</v>
      </c>
    </row>
    <row r="1729" spans="1:11" x14ac:dyDescent="0.3">
      <c r="A1729" s="298" t="s">
        <v>5921</v>
      </c>
      <c r="B1729" s="298" t="s">
        <v>5922</v>
      </c>
      <c r="C1729" s="298" t="s">
        <v>286</v>
      </c>
      <c r="D1729" s="298" t="s">
        <v>256</v>
      </c>
      <c r="E1729" s="298"/>
      <c r="F1729" s="298" t="s">
        <v>5923</v>
      </c>
      <c r="G1729" s="299" t="b">
        <v>0</v>
      </c>
      <c r="H1729" s="299" t="b">
        <v>0</v>
      </c>
      <c r="J1729" s="113" t="str">
        <f t="shared" si="53"/>
        <v>976958469</v>
      </c>
      <c r="K1729" s="113" t="str">
        <f t="shared" si="54"/>
        <v>CG01805</v>
      </c>
    </row>
    <row r="1730" spans="1:11" x14ac:dyDescent="0.3">
      <c r="A1730" s="298" t="s">
        <v>5924</v>
      </c>
      <c r="B1730" s="298" t="s">
        <v>5195</v>
      </c>
      <c r="C1730" s="298" t="s">
        <v>409</v>
      </c>
      <c r="D1730" s="298" t="s">
        <v>256</v>
      </c>
      <c r="E1730" s="298"/>
      <c r="F1730" s="298" t="s">
        <v>5196</v>
      </c>
      <c r="G1730" s="299" t="b">
        <v>0</v>
      </c>
      <c r="H1730" s="299" t="b">
        <v>0</v>
      </c>
      <c r="J1730" s="113" t="str">
        <f t="shared" si="53"/>
        <v>964728889</v>
      </c>
      <c r="K1730" s="113" t="str">
        <f t="shared" si="54"/>
        <v>CG01806</v>
      </c>
    </row>
    <row r="1731" spans="1:11" x14ac:dyDescent="0.3">
      <c r="A1731" s="298" t="s">
        <v>5925</v>
      </c>
      <c r="B1731" s="298" t="s">
        <v>5926</v>
      </c>
      <c r="C1731" s="298" t="s">
        <v>541</v>
      </c>
      <c r="D1731" s="298" t="s">
        <v>256</v>
      </c>
      <c r="E1731" s="298"/>
      <c r="F1731" s="298" t="s">
        <v>5927</v>
      </c>
      <c r="G1731" s="299" t="b">
        <v>0</v>
      </c>
      <c r="H1731" s="299" t="b">
        <v>0</v>
      </c>
      <c r="J1731" s="113" t="str">
        <f t="shared" si="53"/>
        <v>988707237</v>
      </c>
      <c r="K1731" s="113" t="str">
        <f t="shared" si="54"/>
        <v>CG01807</v>
      </c>
    </row>
    <row r="1732" spans="1:11" x14ac:dyDescent="0.3">
      <c r="A1732" s="298" t="s">
        <v>5928</v>
      </c>
      <c r="B1732" s="298" t="s">
        <v>5929</v>
      </c>
      <c r="C1732" s="298" t="s">
        <v>5930</v>
      </c>
      <c r="D1732" s="298" t="s">
        <v>256</v>
      </c>
      <c r="E1732" s="298" t="s">
        <v>5931</v>
      </c>
      <c r="F1732" s="298" t="s">
        <v>5932</v>
      </c>
      <c r="G1732" s="299" t="b">
        <v>0</v>
      </c>
      <c r="H1732" s="299" t="b">
        <v>0</v>
      </c>
      <c r="J1732" s="113" t="str">
        <f t="shared" si="53"/>
        <v>916494833</v>
      </c>
      <c r="K1732" s="113" t="str">
        <f t="shared" si="54"/>
        <v>CG01808</v>
      </c>
    </row>
    <row r="1733" spans="1:11" x14ac:dyDescent="0.3">
      <c r="A1733" s="298" t="s">
        <v>5933</v>
      </c>
      <c r="B1733" s="298" t="s">
        <v>5934</v>
      </c>
      <c r="C1733" s="298" t="s">
        <v>5935</v>
      </c>
      <c r="D1733" s="298" t="s">
        <v>256</v>
      </c>
      <c r="E1733" s="298"/>
      <c r="F1733" s="298" t="s">
        <v>5936</v>
      </c>
      <c r="G1733" s="299" t="b">
        <v>0</v>
      </c>
      <c r="H1733" s="299" t="b">
        <v>0</v>
      </c>
      <c r="J1733" s="113" t="str">
        <f t="shared" ref="J1733:J1796" si="55">RIGHT(B1733,9)</f>
        <v>912285783</v>
      </c>
      <c r="K1733" s="113" t="str">
        <f t="shared" ref="K1733:K1796" si="56">A1733</f>
        <v>CG01809</v>
      </c>
    </row>
    <row r="1734" spans="1:11" x14ac:dyDescent="0.3">
      <c r="A1734" s="298" t="s">
        <v>5937</v>
      </c>
      <c r="B1734" s="298" t="s">
        <v>5938</v>
      </c>
      <c r="C1734" s="298" t="s">
        <v>2114</v>
      </c>
      <c r="D1734" s="298" t="s">
        <v>256</v>
      </c>
      <c r="E1734" s="298"/>
      <c r="F1734" s="298" t="s">
        <v>5939</v>
      </c>
      <c r="G1734" s="299" t="b">
        <v>0</v>
      </c>
      <c r="H1734" s="299" t="b">
        <v>0</v>
      </c>
      <c r="J1734" s="113" t="str">
        <f t="shared" si="55"/>
        <v>978010111</v>
      </c>
      <c r="K1734" s="113" t="str">
        <f t="shared" si="56"/>
        <v>CG01810</v>
      </c>
    </row>
    <row r="1735" spans="1:11" x14ac:dyDescent="0.3">
      <c r="A1735" s="298" t="s">
        <v>5940</v>
      </c>
      <c r="B1735" s="298" t="s">
        <v>5941</v>
      </c>
      <c r="C1735" s="298" t="s">
        <v>355</v>
      </c>
      <c r="D1735" s="298" t="s">
        <v>256</v>
      </c>
      <c r="E1735" s="298"/>
      <c r="F1735" s="298" t="s">
        <v>5942</v>
      </c>
      <c r="G1735" s="299" t="b">
        <v>0</v>
      </c>
      <c r="H1735" s="299" t="b">
        <v>0</v>
      </c>
      <c r="J1735" s="113" t="str">
        <f t="shared" si="55"/>
        <v>975656837</v>
      </c>
      <c r="K1735" s="113" t="str">
        <f t="shared" si="56"/>
        <v>CG01811</v>
      </c>
    </row>
    <row r="1736" spans="1:11" x14ac:dyDescent="0.3">
      <c r="A1736" s="298" t="s">
        <v>5943</v>
      </c>
      <c r="B1736" s="298" t="s">
        <v>5944</v>
      </c>
      <c r="C1736" s="298" t="s">
        <v>309</v>
      </c>
      <c r="D1736" s="298" t="s">
        <v>256</v>
      </c>
      <c r="E1736" s="298"/>
      <c r="F1736" s="298" t="s">
        <v>5945</v>
      </c>
      <c r="G1736" s="299" t="b">
        <v>0</v>
      </c>
      <c r="H1736" s="299" t="b">
        <v>0</v>
      </c>
      <c r="J1736" s="113" t="str">
        <f t="shared" si="55"/>
        <v>982850962</v>
      </c>
      <c r="K1736" s="113" t="str">
        <f t="shared" si="56"/>
        <v>CG01812</v>
      </c>
    </row>
    <row r="1737" spans="1:11" x14ac:dyDescent="0.3">
      <c r="A1737" s="298" t="s">
        <v>5946</v>
      </c>
      <c r="B1737" s="298" t="s">
        <v>5947</v>
      </c>
      <c r="C1737" s="298" t="s">
        <v>506</v>
      </c>
      <c r="D1737" s="298" t="s">
        <v>256</v>
      </c>
      <c r="E1737" s="298"/>
      <c r="F1737" s="298" t="s">
        <v>5948</v>
      </c>
      <c r="G1737" s="299" t="b">
        <v>0</v>
      </c>
      <c r="H1737" s="299" t="b">
        <v>0</v>
      </c>
      <c r="J1737" s="113" t="str">
        <f t="shared" si="55"/>
        <v xml:space="preserve">69567999 </v>
      </c>
      <c r="K1737" s="113" t="str">
        <f t="shared" si="56"/>
        <v>CG01813</v>
      </c>
    </row>
    <row r="1738" spans="1:11" x14ac:dyDescent="0.3">
      <c r="A1738" s="298" t="s">
        <v>5949</v>
      </c>
      <c r="B1738" s="298" t="s">
        <v>5950</v>
      </c>
      <c r="C1738" s="298" t="s">
        <v>487</v>
      </c>
      <c r="D1738" s="298" t="s">
        <v>256</v>
      </c>
      <c r="E1738" s="298"/>
      <c r="F1738" s="298" t="s">
        <v>5951</v>
      </c>
      <c r="G1738" s="299" t="b">
        <v>0</v>
      </c>
      <c r="H1738" s="299" t="b">
        <v>0</v>
      </c>
      <c r="J1738" s="113" t="str">
        <f t="shared" si="55"/>
        <v>986040865</v>
      </c>
      <c r="K1738" s="113" t="str">
        <f t="shared" si="56"/>
        <v>CG01814</v>
      </c>
    </row>
    <row r="1739" spans="1:11" x14ac:dyDescent="0.3">
      <c r="A1739" s="298" t="s">
        <v>5952</v>
      </c>
      <c r="B1739" s="298" t="s">
        <v>5953</v>
      </c>
      <c r="C1739" s="298" t="s">
        <v>1237</v>
      </c>
      <c r="D1739" s="298" t="s">
        <v>256</v>
      </c>
      <c r="E1739" s="298"/>
      <c r="F1739" s="298" t="s">
        <v>5954</v>
      </c>
      <c r="G1739" s="299" t="b">
        <v>0</v>
      </c>
      <c r="H1739" s="299" t="b">
        <v>0</v>
      </c>
      <c r="J1739" s="113" t="str">
        <f t="shared" si="55"/>
        <v>965566568</v>
      </c>
      <c r="K1739" s="113" t="str">
        <f t="shared" si="56"/>
        <v>CG01815</v>
      </c>
    </row>
    <row r="1740" spans="1:11" x14ac:dyDescent="0.3">
      <c r="A1740" s="298" t="s">
        <v>5955</v>
      </c>
      <c r="B1740" s="298" t="s">
        <v>5956</v>
      </c>
      <c r="C1740" s="298" t="s">
        <v>993</v>
      </c>
      <c r="D1740" s="298" t="s">
        <v>256</v>
      </c>
      <c r="E1740" s="298"/>
      <c r="F1740" s="298" t="s">
        <v>5957</v>
      </c>
      <c r="G1740" s="299" t="b">
        <v>0</v>
      </c>
      <c r="H1740" s="299" t="b">
        <v>0</v>
      </c>
      <c r="J1740" s="113" t="str">
        <f t="shared" si="55"/>
        <v>384698029</v>
      </c>
      <c r="K1740" s="113" t="str">
        <f t="shared" si="56"/>
        <v>CG01816</v>
      </c>
    </row>
    <row r="1741" spans="1:11" x14ac:dyDescent="0.3">
      <c r="A1741" s="298" t="s">
        <v>5958</v>
      </c>
      <c r="B1741" s="298" t="s">
        <v>5959</v>
      </c>
      <c r="C1741" s="298" t="s">
        <v>5960</v>
      </c>
      <c r="D1741" s="298" t="s">
        <v>256</v>
      </c>
      <c r="E1741" s="298"/>
      <c r="F1741" s="298" t="s">
        <v>5961</v>
      </c>
      <c r="G1741" s="299" t="b">
        <v>0</v>
      </c>
      <c r="H1741" s="299" t="b">
        <v>0</v>
      </c>
      <c r="J1741" s="113" t="str">
        <f t="shared" si="55"/>
        <v>948455386</v>
      </c>
      <c r="K1741" s="113" t="str">
        <f t="shared" si="56"/>
        <v>CG01817</v>
      </c>
    </row>
    <row r="1742" spans="1:11" x14ac:dyDescent="0.3">
      <c r="A1742" s="298" t="s">
        <v>5962</v>
      </c>
      <c r="B1742" s="298" t="s">
        <v>5963</v>
      </c>
      <c r="C1742" s="298" t="s">
        <v>711</v>
      </c>
      <c r="D1742" s="298" t="s">
        <v>256</v>
      </c>
      <c r="E1742" s="298"/>
      <c r="F1742" s="298" t="s">
        <v>5964</v>
      </c>
      <c r="G1742" s="299" t="b">
        <v>0</v>
      </c>
      <c r="H1742" s="299" t="b">
        <v>0</v>
      </c>
      <c r="J1742" s="113" t="str">
        <f t="shared" si="55"/>
        <v>904676762</v>
      </c>
      <c r="K1742" s="113" t="str">
        <f t="shared" si="56"/>
        <v>CG01818</v>
      </c>
    </row>
    <row r="1743" spans="1:11" x14ac:dyDescent="0.3">
      <c r="A1743" s="298" t="s">
        <v>5965</v>
      </c>
      <c r="B1743" s="298" t="s">
        <v>5966</v>
      </c>
      <c r="C1743" s="298" t="s">
        <v>355</v>
      </c>
      <c r="D1743" s="298" t="s">
        <v>256</v>
      </c>
      <c r="E1743" s="298"/>
      <c r="F1743" s="298" t="s">
        <v>5967</v>
      </c>
      <c r="G1743" s="299" t="b">
        <v>0</v>
      </c>
      <c r="H1743" s="299" t="b">
        <v>0</v>
      </c>
      <c r="J1743" s="113" t="str">
        <f t="shared" si="55"/>
        <v>915816200</v>
      </c>
      <c r="K1743" s="113" t="str">
        <f t="shared" si="56"/>
        <v>CG01819</v>
      </c>
    </row>
    <row r="1744" spans="1:11" x14ac:dyDescent="0.3">
      <c r="A1744" s="298" t="s">
        <v>5968</v>
      </c>
      <c r="B1744" s="298" t="s">
        <v>5969</v>
      </c>
      <c r="C1744" s="298" t="s">
        <v>5970</v>
      </c>
      <c r="D1744" s="298" t="s">
        <v>256</v>
      </c>
      <c r="E1744" s="298"/>
      <c r="F1744" s="298" t="s">
        <v>5971</v>
      </c>
      <c r="G1744" s="299" t="b">
        <v>0</v>
      </c>
      <c r="H1744" s="299" t="b">
        <v>0</v>
      </c>
      <c r="J1744" s="113" t="str">
        <f t="shared" si="55"/>
        <v>976363814</v>
      </c>
      <c r="K1744" s="113" t="str">
        <f t="shared" si="56"/>
        <v>CG01820</v>
      </c>
    </row>
    <row r="1745" spans="1:11" x14ac:dyDescent="0.3">
      <c r="A1745" s="298" t="s">
        <v>5972</v>
      </c>
      <c r="B1745" s="298" t="s">
        <v>5973</v>
      </c>
      <c r="C1745" s="298" t="s">
        <v>4850</v>
      </c>
      <c r="D1745" s="298" t="s">
        <v>256</v>
      </c>
      <c r="E1745" s="298"/>
      <c r="F1745" s="298" t="s">
        <v>5974</v>
      </c>
      <c r="G1745" s="299" t="b">
        <v>0</v>
      </c>
      <c r="H1745" s="299" t="b">
        <v>0</v>
      </c>
      <c r="J1745" s="113" t="str">
        <f t="shared" si="55"/>
        <v>902025785</v>
      </c>
      <c r="K1745" s="113" t="str">
        <f t="shared" si="56"/>
        <v>CG01821</v>
      </c>
    </row>
    <row r="1746" spans="1:11" x14ac:dyDescent="0.3">
      <c r="A1746" s="298" t="s">
        <v>5975</v>
      </c>
      <c r="B1746" s="298" t="s">
        <v>5976</v>
      </c>
      <c r="C1746" s="298" t="s">
        <v>335</v>
      </c>
      <c r="D1746" s="298" t="s">
        <v>256</v>
      </c>
      <c r="E1746" s="298"/>
      <c r="F1746" s="298" t="s">
        <v>5977</v>
      </c>
      <c r="G1746" s="299" t="b">
        <v>0</v>
      </c>
      <c r="H1746" s="299" t="b">
        <v>0</v>
      </c>
      <c r="J1746" s="113" t="str">
        <f t="shared" si="55"/>
        <v>988523786</v>
      </c>
      <c r="K1746" s="113" t="str">
        <f t="shared" si="56"/>
        <v>CG01822</v>
      </c>
    </row>
    <row r="1747" spans="1:11" x14ac:dyDescent="0.3">
      <c r="A1747" s="298" t="s">
        <v>5978</v>
      </c>
      <c r="B1747" s="298" t="s">
        <v>5979</v>
      </c>
      <c r="C1747" s="298" t="s">
        <v>4499</v>
      </c>
      <c r="D1747" s="298" t="s">
        <v>256</v>
      </c>
      <c r="E1747" s="298"/>
      <c r="F1747" s="298" t="s">
        <v>5980</v>
      </c>
      <c r="G1747" s="299" t="b">
        <v>0</v>
      </c>
      <c r="H1747" s="299" t="b">
        <v>0</v>
      </c>
      <c r="J1747" s="113" t="str">
        <f t="shared" si="55"/>
        <v>972441677</v>
      </c>
      <c r="K1747" s="113" t="str">
        <f t="shared" si="56"/>
        <v>CG01823</v>
      </c>
    </row>
    <row r="1748" spans="1:11" x14ac:dyDescent="0.3">
      <c r="A1748" s="298" t="s">
        <v>5981</v>
      </c>
      <c r="B1748" s="298" t="s">
        <v>5982</v>
      </c>
      <c r="C1748" s="298" t="s">
        <v>5983</v>
      </c>
      <c r="D1748" s="298" t="s">
        <v>256</v>
      </c>
      <c r="E1748" s="298"/>
      <c r="F1748" s="298" t="s">
        <v>5984</v>
      </c>
      <c r="G1748" s="299" t="b">
        <v>0</v>
      </c>
      <c r="H1748" s="299" t="b">
        <v>0</v>
      </c>
      <c r="J1748" s="113" t="str">
        <f t="shared" si="55"/>
        <v>915275693</v>
      </c>
      <c r="K1748" s="113" t="str">
        <f t="shared" si="56"/>
        <v>CG01824</v>
      </c>
    </row>
    <row r="1749" spans="1:11" x14ac:dyDescent="0.3">
      <c r="A1749" s="298" t="s">
        <v>5985</v>
      </c>
      <c r="B1749" s="298" t="s">
        <v>5986</v>
      </c>
      <c r="C1749" s="298" t="s">
        <v>231</v>
      </c>
      <c r="D1749" s="298" t="s">
        <v>256</v>
      </c>
      <c r="E1749" s="298"/>
      <c r="F1749" s="298" t="s">
        <v>5987</v>
      </c>
      <c r="G1749" s="299" t="b">
        <v>0</v>
      </c>
      <c r="H1749" s="299" t="b">
        <v>0</v>
      </c>
      <c r="J1749" s="113" t="str">
        <f t="shared" si="55"/>
        <v>913248622</v>
      </c>
      <c r="K1749" s="113" t="str">
        <f t="shared" si="56"/>
        <v>CG01825</v>
      </c>
    </row>
    <row r="1750" spans="1:11" x14ac:dyDescent="0.3">
      <c r="A1750" s="298" t="s">
        <v>5988</v>
      </c>
      <c r="B1750" s="298" t="s">
        <v>14676</v>
      </c>
      <c r="C1750" s="298" t="s">
        <v>5989</v>
      </c>
      <c r="D1750" s="298" t="s">
        <v>256</v>
      </c>
      <c r="E1750" s="298"/>
      <c r="F1750" s="298" t="s">
        <v>5990</v>
      </c>
      <c r="G1750" s="299" t="b">
        <v>0</v>
      </c>
      <c r="H1750" s="299" t="b">
        <v>0</v>
      </c>
      <c r="J1750" s="113" t="str">
        <f t="shared" si="55"/>
        <v>344398999</v>
      </c>
      <c r="K1750" s="113" t="str">
        <f t="shared" si="56"/>
        <v>CG01826</v>
      </c>
    </row>
    <row r="1751" spans="1:11" x14ac:dyDescent="0.3">
      <c r="A1751" s="298" t="s">
        <v>5991</v>
      </c>
      <c r="B1751" s="298" t="s">
        <v>5992</v>
      </c>
      <c r="C1751" s="298" t="s">
        <v>340</v>
      </c>
      <c r="D1751" s="298" t="s">
        <v>256</v>
      </c>
      <c r="E1751" s="298"/>
      <c r="F1751" s="298" t="s">
        <v>5993</v>
      </c>
      <c r="G1751" s="299" t="b">
        <v>0</v>
      </c>
      <c r="H1751" s="299" t="b">
        <v>0</v>
      </c>
      <c r="J1751" s="113" t="str">
        <f t="shared" si="55"/>
        <v>989128767</v>
      </c>
      <c r="K1751" s="113" t="str">
        <f t="shared" si="56"/>
        <v>CG01827</v>
      </c>
    </row>
    <row r="1752" spans="1:11" x14ac:dyDescent="0.3">
      <c r="A1752" s="298" t="s">
        <v>5994</v>
      </c>
      <c r="B1752" s="298" t="s">
        <v>5995</v>
      </c>
      <c r="C1752" s="298" t="s">
        <v>495</v>
      </c>
      <c r="D1752" s="298" t="s">
        <v>256</v>
      </c>
      <c r="E1752" s="298"/>
      <c r="F1752" s="298" t="s">
        <v>5996</v>
      </c>
      <c r="G1752" s="299" t="b">
        <v>0</v>
      </c>
      <c r="H1752" s="299" t="b">
        <v>0</v>
      </c>
      <c r="J1752" s="113" t="str">
        <f t="shared" si="55"/>
        <v>986040379</v>
      </c>
      <c r="K1752" s="113" t="str">
        <f t="shared" si="56"/>
        <v>CG01828</v>
      </c>
    </row>
    <row r="1753" spans="1:11" x14ac:dyDescent="0.3">
      <c r="A1753" s="298" t="s">
        <v>5997</v>
      </c>
      <c r="B1753" s="298" t="s">
        <v>5998</v>
      </c>
      <c r="C1753" s="298" t="s">
        <v>274</v>
      </c>
      <c r="D1753" s="298" t="s">
        <v>256</v>
      </c>
      <c r="E1753" s="298"/>
      <c r="F1753" s="298" t="s">
        <v>5999</v>
      </c>
      <c r="G1753" s="299" t="b">
        <v>0</v>
      </c>
      <c r="H1753" s="299" t="b">
        <v>0</v>
      </c>
      <c r="J1753" s="113" t="str">
        <f t="shared" si="55"/>
        <v>987170171</v>
      </c>
      <c r="K1753" s="113" t="str">
        <f t="shared" si="56"/>
        <v>CG01829</v>
      </c>
    </row>
    <row r="1754" spans="1:11" x14ac:dyDescent="0.3">
      <c r="A1754" s="298" t="s">
        <v>6000</v>
      </c>
      <c r="B1754" s="298" t="s">
        <v>6001</v>
      </c>
      <c r="C1754" s="298" t="s">
        <v>1015</v>
      </c>
      <c r="D1754" s="298" t="s">
        <v>256</v>
      </c>
      <c r="E1754" s="298"/>
      <c r="F1754" s="298" t="s">
        <v>6002</v>
      </c>
      <c r="G1754" s="299" t="b">
        <v>0</v>
      </c>
      <c r="H1754" s="299" t="b">
        <v>0</v>
      </c>
      <c r="J1754" s="113" t="str">
        <f t="shared" si="55"/>
        <v>988237266</v>
      </c>
      <c r="K1754" s="113" t="str">
        <f t="shared" si="56"/>
        <v>CG01830</v>
      </c>
    </row>
    <row r="1755" spans="1:11" x14ac:dyDescent="0.3">
      <c r="A1755" s="298" t="s">
        <v>6003</v>
      </c>
      <c r="B1755" s="298" t="s">
        <v>6004</v>
      </c>
      <c r="C1755" s="298" t="s">
        <v>2170</v>
      </c>
      <c r="D1755" s="298" t="s">
        <v>256</v>
      </c>
      <c r="E1755" s="298"/>
      <c r="F1755" s="298" t="s">
        <v>6005</v>
      </c>
      <c r="G1755" s="299" t="b">
        <v>0</v>
      </c>
      <c r="H1755" s="299" t="b">
        <v>0</v>
      </c>
      <c r="J1755" s="113" t="str">
        <f t="shared" si="55"/>
        <v>988622262</v>
      </c>
      <c r="K1755" s="113" t="str">
        <f t="shared" si="56"/>
        <v>CG01831</v>
      </c>
    </row>
    <row r="1756" spans="1:11" x14ac:dyDescent="0.3">
      <c r="A1756" s="298" t="s">
        <v>6006</v>
      </c>
      <c r="B1756" s="298" t="s">
        <v>6007</v>
      </c>
      <c r="C1756" s="298" t="s">
        <v>286</v>
      </c>
      <c r="D1756" s="298" t="s">
        <v>256</v>
      </c>
      <c r="E1756" s="298"/>
      <c r="F1756" s="298" t="s">
        <v>6008</v>
      </c>
      <c r="G1756" s="299" t="b">
        <v>0</v>
      </c>
      <c r="H1756" s="299" t="b">
        <v>0</v>
      </c>
      <c r="J1756" s="113" t="str">
        <f t="shared" si="55"/>
        <v>978469995</v>
      </c>
      <c r="K1756" s="113" t="str">
        <f t="shared" si="56"/>
        <v>CG01832</v>
      </c>
    </row>
    <row r="1757" spans="1:11" x14ac:dyDescent="0.3">
      <c r="A1757" s="298" t="s">
        <v>6009</v>
      </c>
      <c r="B1757" s="298" t="s">
        <v>6010</v>
      </c>
      <c r="C1757" s="298" t="s">
        <v>343</v>
      </c>
      <c r="D1757" s="298" t="s">
        <v>256</v>
      </c>
      <c r="E1757" s="298"/>
      <c r="F1757" s="298" t="s">
        <v>6011</v>
      </c>
      <c r="G1757" s="299" t="b">
        <v>0</v>
      </c>
      <c r="H1757" s="299" t="b">
        <v>0</v>
      </c>
      <c r="J1757" s="113" t="str">
        <f t="shared" si="55"/>
        <v>986381773</v>
      </c>
      <c r="K1757" s="113" t="str">
        <f t="shared" si="56"/>
        <v>CG01833</v>
      </c>
    </row>
    <row r="1758" spans="1:11" x14ac:dyDescent="0.3">
      <c r="A1758" s="298" t="s">
        <v>6012</v>
      </c>
      <c r="B1758" s="298" t="s">
        <v>6013</v>
      </c>
      <c r="C1758" s="298" t="s">
        <v>6014</v>
      </c>
      <c r="D1758" s="298" t="s">
        <v>256</v>
      </c>
      <c r="E1758" s="298"/>
      <c r="F1758" s="298" t="s">
        <v>6015</v>
      </c>
      <c r="G1758" s="299" t="b">
        <v>0</v>
      </c>
      <c r="H1758" s="299" t="b">
        <v>0</v>
      </c>
      <c r="J1758" s="113" t="str">
        <f t="shared" si="55"/>
        <v>972927228</v>
      </c>
      <c r="K1758" s="113" t="str">
        <f t="shared" si="56"/>
        <v>CG01834</v>
      </c>
    </row>
    <row r="1759" spans="1:11" x14ac:dyDescent="0.3">
      <c r="A1759" s="298" t="s">
        <v>6016</v>
      </c>
      <c r="B1759" s="298" t="s">
        <v>6017</v>
      </c>
      <c r="C1759" s="298" t="s">
        <v>541</v>
      </c>
      <c r="D1759" s="298" t="s">
        <v>256</v>
      </c>
      <c r="E1759" s="298"/>
      <c r="F1759" s="298" t="s">
        <v>6018</v>
      </c>
      <c r="G1759" s="299" t="b">
        <v>0</v>
      </c>
      <c r="H1759" s="299" t="b">
        <v>0</v>
      </c>
      <c r="J1759" s="113" t="str">
        <f t="shared" si="55"/>
        <v>968605066</v>
      </c>
      <c r="K1759" s="113" t="str">
        <f t="shared" si="56"/>
        <v>CG01835</v>
      </c>
    </row>
    <row r="1760" spans="1:11" x14ac:dyDescent="0.3">
      <c r="A1760" s="298" t="s">
        <v>6019</v>
      </c>
      <c r="B1760" s="298" t="s">
        <v>6020</v>
      </c>
      <c r="C1760" s="298" t="s">
        <v>1444</v>
      </c>
      <c r="D1760" s="298" t="s">
        <v>256</v>
      </c>
      <c r="E1760" s="298"/>
      <c r="F1760" s="298" t="s">
        <v>6021</v>
      </c>
      <c r="G1760" s="299" t="b">
        <v>0</v>
      </c>
      <c r="H1760" s="299" t="b">
        <v>0</v>
      </c>
      <c r="J1760" s="113" t="str">
        <f t="shared" si="55"/>
        <v>912423261</v>
      </c>
      <c r="K1760" s="113" t="str">
        <f t="shared" si="56"/>
        <v>CG01836</v>
      </c>
    </row>
    <row r="1761" spans="1:11" x14ac:dyDescent="0.3">
      <c r="A1761" s="298" t="s">
        <v>6022</v>
      </c>
      <c r="B1761" s="298" t="s">
        <v>6023</v>
      </c>
      <c r="C1761" s="298" t="s">
        <v>6024</v>
      </c>
      <c r="D1761" s="298" t="s">
        <v>256</v>
      </c>
      <c r="E1761" s="298"/>
      <c r="F1761" s="298" t="s">
        <v>6025</v>
      </c>
      <c r="G1761" s="299" t="b">
        <v>0</v>
      </c>
      <c r="H1761" s="299" t="b">
        <v>0</v>
      </c>
      <c r="J1761" s="113" t="str">
        <f t="shared" si="55"/>
        <v>983762707</v>
      </c>
      <c r="K1761" s="113" t="str">
        <f t="shared" si="56"/>
        <v>CG01837</v>
      </c>
    </row>
    <row r="1762" spans="1:11" x14ac:dyDescent="0.3">
      <c r="A1762" s="298" t="s">
        <v>6026</v>
      </c>
      <c r="B1762" s="298" t="s">
        <v>6027</v>
      </c>
      <c r="C1762" s="298" t="s">
        <v>541</v>
      </c>
      <c r="D1762" s="298" t="s">
        <v>256</v>
      </c>
      <c r="E1762" s="298"/>
      <c r="F1762" s="298" t="s">
        <v>6028</v>
      </c>
      <c r="G1762" s="299" t="b">
        <v>0</v>
      </c>
      <c r="H1762" s="299" t="b">
        <v>0</v>
      </c>
      <c r="J1762" s="113" t="str">
        <f t="shared" si="55"/>
        <v>912730956</v>
      </c>
      <c r="K1762" s="113" t="str">
        <f t="shared" si="56"/>
        <v>CG01838</v>
      </c>
    </row>
    <row r="1763" spans="1:11" x14ac:dyDescent="0.3">
      <c r="A1763" s="298" t="s">
        <v>6029</v>
      </c>
      <c r="B1763" s="298" t="s">
        <v>6030</v>
      </c>
      <c r="C1763" s="298" t="s">
        <v>1727</v>
      </c>
      <c r="D1763" s="298" t="s">
        <v>256</v>
      </c>
      <c r="E1763" s="298"/>
      <c r="F1763" s="298" t="s">
        <v>6031</v>
      </c>
      <c r="G1763" s="299" t="b">
        <v>0</v>
      </c>
      <c r="H1763" s="299" t="b">
        <v>0</v>
      </c>
      <c r="J1763" s="113" t="str">
        <f t="shared" si="55"/>
        <v>912254702</v>
      </c>
      <c r="K1763" s="113" t="str">
        <f t="shared" si="56"/>
        <v>CG01839</v>
      </c>
    </row>
    <row r="1764" spans="1:11" x14ac:dyDescent="0.3">
      <c r="A1764" s="298" t="s">
        <v>6032</v>
      </c>
      <c r="B1764" s="298" t="s">
        <v>6033</v>
      </c>
      <c r="C1764" s="298" t="s">
        <v>452</v>
      </c>
      <c r="D1764" s="298" t="s">
        <v>256</v>
      </c>
      <c r="E1764" s="298"/>
      <c r="F1764" s="298" t="s">
        <v>6034</v>
      </c>
      <c r="G1764" s="299" t="b">
        <v>0</v>
      </c>
      <c r="H1764" s="299" t="b">
        <v>0</v>
      </c>
      <c r="J1764" s="113" t="str">
        <f t="shared" si="55"/>
        <v>942666566</v>
      </c>
      <c r="K1764" s="113" t="str">
        <f t="shared" si="56"/>
        <v>CG01840</v>
      </c>
    </row>
    <row r="1765" spans="1:11" x14ac:dyDescent="0.3">
      <c r="A1765" s="298" t="s">
        <v>6035</v>
      </c>
      <c r="B1765" s="298" t="s">
        <v>6036</v>
      </c>
      <c r="C1765" s="298" t="s">
        <v>1237</v>
      </c>
      <c r="D1765" s="298" t="s">
        <v>256</v>
      </c>
      <c r="E1765" s="298"/>
      <c r="F1765" s="298" t="s">
        <v>6037</v>
      </c>
      <c r="G1765" s="299" t="b">
        <v>0</v>
      </c>
      <c r="H1765" s="299" t="b">
        <v>0</v>
      </c>
      <c r="J1765" s="113" t="str">
        <f t="shared" si="55"/>
        <v>985223472</v>
      </c>
      <c r="K1765" s="113" t="str">
        <f t="shared" si="56"/>
        <v>CG01841</v>
      </c>
    </row>
    <row r="1766" spans="1:11" x14ac:dyDescent="0.3">
      <c r="A1766" s="298" t="s">
        <v>6038</v>
      </c>
      <c r="B1766" s="298" t="s">
        <v>6039</v>
      </c>
      <c r="C1766" s="298" t="s">
        <v>309</v>
      </c>
      <c r="D1766" s="298" t="s">
        <v>256</v>
      </c>
      <c r="E1766" s="298"/>
      <c r="F1766" s="298" t="s">
        <v>6040</v>
      </c>
      <c r="G1766" s="299" t="b">
        <v>0</v>
      </c>
      <c r="H1766" s="299" t="b">
        <v>0</v>
      </c>
      <c r="J1766" s="113" t="str">
        <f t="shared" si="55"/>
        <v>982115349</v>
      </c>
      <c r="K1766" s="113" t="str">
        <f t="shared" si="56"/>
        <v>CG01842</v>
      </c>
    </row>
    <row r="1767" spans="1:11" x14ac:dyDescent="0.3">
      <c r="A1767" s="298" t="s">
        <v>6041</v>
      </c>
      <c r="B1767" s="298" t="s">
        <v>6042</v>
      </c>
      <c r="C1767" s="298" t="s">
        <v>1042</v>
      </c>
      <c r="D1767" s="298" t="s">
        <v>256</v>
      </c>
      <c r="E1767" s="298"/>
      <c r="F1767" s="298" t="s">
        <v>6043</v>
      </c>
      <c r="G1767" s="299" t="b">
        <v>0</v>
      </c>
      <c r="H1767" s="299" t="b">
        <v>0</v>
      </c>
      <c r="J1767" s="113" t="str">
        <f t="shared" si="55"/>
        <v>964365564</v>
      </c>
      <c r="K1767" s="113" t="str">
        <f t="shared" si="56"/>
        <v>CG01844</v>
      </c>
    </row>
    <row r="1768" spans="1:11" x14ac:dyDescent="0.3">
      <c r="A1768" s="298" t="s">
        <v>6044</v>
      </c>
      <c r="B1768" s="298" t="s">
        <v>6045</v>
      </c>
      <c r="C1768" s="298" t="s">
        <v>340</v>
      </c>
      <c r="D1768" s="298" t="s">
        <v>256</v>
      </c>
      <c r="E1768" s="298"/>
      <c r="F1768" s="298" t="s">
        <v>6046</v>
      </c>
      <c r="G1768" s="299" t="b">
        <v>0</v>
      </c>
      <c r="H1768" s="299" t="b">
        <v>0</v>
      </c>
      <c r="J1768" s="113" t="str">
        <f t="shared" si="55"/>
        <v>339092430</v>
      </c>
      <c r="K1768" s="113" t="str">
        <f t="shared" si="56"/>
        <v>CG01845</v>
      </c>
    </row>
    <row r="1769" spans="1:11" x14ac:dyDescent="0.3">
      <c r="A1769" s="298" t="s">
        <v>6047</v>
      </c>
      <c r="B1769" s="298" t="s">
        <v>6048</v>
      </c>
      <c r="C1769" s="298" t="s">
        <v>3001</v>
      </c>
      <c r="D1769" s="298" t="s">
        <v>256</v>
      </c>
      <c r="E1769" s="298"/>
      <c r="F1769" s="298" t="s">
        <v>6049</v>
      </c>
      <c r="G1769" s="299" t="b">
        <v>0</v>
      </c>
      <c r="H1769" s="299" t="b">
        <v>0</v>
      </c>
      <c r="J1769" s="113" t="str">
        <f t="shared" si="55"/>
        <v>913245275</v>
      </c>
      <c r="K1769" s="113" t="str">
        <f t="shared" si="56"/>
        <v>CG01846</v>
      </c>
    </row>
    <row r="1770" spans="1:11" x14ac:dyDescent="0.3">
      <c r="A1770" s="298" t="s">
        <v>6050</v>
      </c>
      <c r="B1770" s="298" t="s">
        <v>6051</v>
      </c>
      <c r="C1770" s="298" t="s">
        <v>355</v>
      </c>
      <c r="D1770" s="298" t="s">
        <v>256</v>
      </c>
      <c r="E1770" s="298"/>
      <c r="F1770" s="298" t="s">
        <v>6052</v>
      </c>
      <c r="G1770" s="299" t="b">
        <v>0</v>
      </c>
      <c r="H1770" s="299" t="b">
        <v>0</v>
      </c>
      <c r="J1770" s="113" t="str">
        <f t="shared" si="55"/>
        <v>946589814</v>
      </c>
      <c r="K1770" s="113" t="str">
        <f t="shared" si="56"/>
        <v>CG01847</v>
      </c>
    </row>
    <row r="1771" spans="1:11" x14ac:dyDescent="0.3">
      <c r="A1771" s="298" t="s">
        <v>6053</v>
      </c>
      <c r="B1771" s="298" t="s">
        <v>6054</v>
      </c>
      <c r="C1771" s="298" t="s">
        <v>541</v>
      </c>
      <c r="D1771" s="298" t="s">
        <v>256</v>
      </c>
      <c r="E1771" s="298"/>
      <c r="F1771" s="298" t="s">
        <v>6055</v>
      </c>
      <c r="G1771" s="299" t="b">
        <v>0</v>
      </c>
      <c r="H1771" s="299" t="b">
        <v>0</v>
      </c>
      <c r="J1771" s="113" t="str">
        <f t="shared" si="55"/>
        <v>981567490</v>
      </c>
      <c r="K1771" s="113" t="str">
        <f t="shared" si="56"/>
        <v>CG01848</v>
      </c>
    </row>
    <row r="1772" spans="1:11" x14ac:dyDescent="0.3">
      <c r="A1772" s="298" t="s">
        <v>6056</v>
      </c>
      <c r="B1772" s="298" t="s">
        <v>6057</v>
      </c>
      <c r="C1772" s="298" t="s">
        <v>1237</v>
      </c>
      <c r="D1772" s="298" t="s">
        <v>256</v>
      </c>
      <c r="E1772" s="298"/>
      <c r="F1772" s="298" t="s">
        <v>6058</v>
      </c>
      <c r="G1772" s="299" t="b">
        <v>0</v>
      </c>
      <c r="H1772" s="299" t="b">
        <v>0</v>
      </c>
      <c r="J1772" s="113" t="str">
        <f t="shared" si="55"/>
        <v>984405847</v>
      </c>
      <c r="K1772" s="113" t="str">
        <f t="shared" si="56"/>
        <v>CG01849</v>
      </c>
    </row>
    <row r="1773" spans="1:11" x14ac:dyDescent="0.3">
      <c r="A1773" s="298" t="s">
        <v>6059</v>
      </c>
      <c r="B1773" s="298" t="s">
        <v>6060</v>
      </c>
      <c r="C1773" s="298" t="s">
        <v>416</v>
      </c>
      <c r="D1773" s="298" t="s">
        <v>256</v>
      </c>
      <c r="E1773" s="298"/>
      <c r="F1773" s="298" t="s">
        <v>6061</v>
      </c>
      <c r="G1773" s="299" t="b">
        <v>0</v>
      </c>
      <c r="H1773" s="299" t="b">
        <v>0</v>
      </c>
      <c r="J1773" s="113" t="str">
        <f t="shared" si="55"/>
        <v>978985299</v>
      </c>
      <c r="K1773" s="113" t="str">
        <f t="shared" si="56"/>
        <v>CG01850</v>
      </c>
    </row>
    <row r="1774" spans="1:11" x14ac:dyDescent="0.3">
      <c r="A1774" s="298" t="s">
        <v>6062</v>
      </c>
      <c r="B1774" s="298" t="s">
        <v>6063</v>
      </c>
      <c r="C1774" s="298" t="s">
        <v>355</v>
      </c>
      <c r="D1774" s="298" t="s">
        <v>256</v>
      </c>
      <c r="E1774" s="298"/>
      <c r="F1774" s="298" t="s">
        <v>6064</v>
      </c>
      <c r="G1774" s="299" t="b">
        <v>0</v>
      </c>
      <c r="H1774" s="299" t="b">
        <v>0</v>
      </c>
      <c r="J1774" s="113" t="str">
        <f t="shared" si="55"/>
        <v>961301072</v>
      </c>
      <c r="K1774" s="113" t="str">
        <f t="shared" si="56"/>
        <v>CG01851</v>
      </c>
    </row>
    <row r="1775" spans="1:11" x14ac:dyDescent="0.3">
      <c r="A1775" s="298" t="s">
        <v>6065</v>
      </c>
      <c r="B1775" s="298" t="s">
        <v>6066</v>
      </c>
      <c r="C1775" s="298" t="s">
        <v>785</v>
      </c>
      <c r="D1775" s="298" t="s">
        <v>256</v>
      </c>
      <c r="E1775" s="298"/>
      <c r="F1775" s="298" t="s">
        <v>6067</v>
      </c>
      <c r="G1775" s="299" t="b">
        <v>0</v>
      </c>
      <c r="H1775" s="299" t="b">
        <v>0</v>
      </c>
      <c r="J1775" s="113" t="str">
        <f t="shared" si="55"/>
        <v>393213113</v>
      </c>
      <c r="K1775" s="113" t="str">
        <f t="shared" si="56"/>
        <v>CG01852</v>
      </c>
    </row>
    <row r="1776" spans="1:11" x14ac:dyDescent="0.3">
      <c r="A1776" s="298" t="s">
        <v>6068</v>
      </c>
      <c r="B1776" s="298" t="s">
        <v>6069</v>
      </c>
      <c r="C1776" s="298" t="s">
        <v>2051</v>
      </c>
      <c r="D1776" s="298" t="s">
        <v>256</v>
      </c>
      <c r="E1776" s="298"/>
      <c r="F1776" s="298" t="s">
        <v>6070</v>
      </c>
      <c r="G1776" s="299" t="b">
        <v>0</v>
      </c>
      <c r="H1776" s="299" t="b">
        <v>0</v>
      </c>
      <c r="J1776" s="113" t="str">
        <f t="shared" si="55"/>
        <v>903401424</v>
      </c>
      <c r="K1776" s="113" t="str">
        <f t="shared" si="56"/>
        <v>CG01853</v>
      </c>
    </row>
    <row r="1777" spans="1:11" x14ac:dyDescent="0.3">
      <c r="A1777" s="298" t="s">
        <v>6071</v>
      </c>
      <c r="B1777" s="298" t="s">
        <v>6072</v>
      </c>
      <c r="C1777" s="298" t="s">
        <v>1579</v>
      </c>
      <c r="D1777" s="298" t="s">
        <v>256</v>
      </c>
      <c r="E1777" s="298"/>
      <c r="F1777" s="298" t="s">
        <v>6073</v>
      </c>
      <c r="G1777" s="299" t="b">
        <v>0</v>
      </c>
      <c r="H1777" s="299" t="b">
        <v>0</v>
      </c>
      <c r="J1777" s="113" t="str">
        <f t="shared" si="55"/>
        <v>913206015</v>
      </c>
      <c r="K1777" s="113" t="str">
        <f t="shared" si="56"/>
        <v>CG01854</v>
      </c>
    </row>
    <row r="1778" spans="1:11" x14ac:dyDescent="0.3">
      <c r="A1778" s="298" t="s">
        <v>6074</v>
      </c>
      <c r="B1778" s="298" t="s">
        <v>6075</v>
      </c>
      <c r="C1778" s="298" t="s">
        <v>286</v>
      </c>
      <c r="D1778" s="298" t="s">
        <v>256</v>
      </c>
      <c r="E1778" s="298"/>
      <c r="F1778" s="298" t="s">
        <v>6076</v>
      </c>
      <c r="G1778" s="299" t="b">
        <v>0</v>
      </c>
      <c r="H1778" s="299" t="b">
        <v>0</v>
      </c>
      <c r="J1778" s="113" t="str">
        <f t="shared" si="55"/>
        <v>964284444</v>
      </c>
      <c r="K1778" s="113" t="str">
        <f t="shared" si="56"/>
        <v>CG01855</v>
      </c>
    </row>
    <row r="1779" spans="1:11" x14ac:dyDescent="0.3">
      <c r="A1779" s="298" t="s">
        <v>6077</v>
      </c>
      <c r="B1779" s="298" t="s">
        <v>6078</v>
      </c>
      <c r="C1779" s="298" t="s">
        <v>340</v>
      </c>
      <c r="D1779" s="298" t="s">
        <v>256</v>
      </c>
      <c r="E1779" s="298"/>
      <c r="F1779" s="298" t="s">
        <v>6079</v>
      </c>
      <c r="G1779" s="299" t="b">
        <v>0</v>
      </c>
      <c r="H1779" s="299" t="b">
        <v>0</v>
      </c>
      <c r="J1779" s="113" t="str">
        <f t="shared" si="55"/>
        <v>973996409</v>
      </c>
      <c r="K1779" s="113" t="str">
        <f t="shared" si="56"/>
        <v>CG01856</v>
      </c>
    </row>
    <row r="1780" spans="1:11" x14ac:dyDescent="0.3">
      <c r="A1780" s="298" t="s">
        <v>6080</v>
      </c>
      <c r="B1780" s="298" t="s">
        <v>6081</v>
      </c>
      <c r="C1780" s="298" t="s">
        <v>340</v>
      </c>
      <c r="D1780" s="298" t="s">
        <v>256</v>
      </c>
      <c r="E1780" s="298"/>
      <c r="F1780" s="298" t="s">
        <v>6082</v>
      </c>
      <c r="G1780" s="299" t="b">
        <v>0</v>
      </c>
      <c r="H1780" s="299" t="b">
        <v>0</v>
      </c>
      <c r="J1780" s="113" t="str">
        <f t="shared" si="55"/>
        <v>973365685</v>
      </c>
      <c r="K1780" s="113" t="str">
        <f t="shared" si="56"/>
        <v>CG01857</v>
      </c>
    </row>
    <row r="1781" spans="1:11" x14ac:dyDescent="0.3">
      <c r="A1781" s="298" t="s">
        <v>6083</v>
      </c>
      <c r="B1781" s="298" t="s">
        <v>6084</v>
      </c>
      <c r="C1781" s="298" t="s">
        <v>289</v>
      </c>
      <c r="D1781" s="298" t="s">
        <v>256</v>
      </c>
      <c r="E1781" s="298"/>
      <c r="F1781" s="298" t="s">
        <v>6085</v>
      </c>
      <c r="G1781" s="299" t="b">
        <v>0</v>
      </c>
      <c r="H1781" s="299" t="b">
        <v>0</v>
      </c>
      <c r="J1781" s="113" t="str">
        <f t="shared" si="55"/>
        <v>912729726</v>
      </c>
      <c r="K1781" s="113" t="str">
        <f t="shared" si="56"/>
        <v>CG01858</v>
      </c>
    </row>
    <row r="1782" spans="1:11" x14ac:dyDescent="0.3">
      <c r="A1782" s="298" t="s">
        <v>6086</v>
      </c>
      <c r="B1782" s="298" t="s">
        <v>6087</v>
      </c>
      <c r="C1782" s="298" t="s">
        <v>340</v>
      </c>
      <c r="D1782" s="298" t="s">
        <v>256</v>
      </c>
      <c r="E1782" s="298"/>
      <c r="F1782" s="298" t="s">
        <v>6088</v>
      </c>
      <c r="G1782" s="299" t="b">
        <v>0</v>
      </c>
      <c r="H1782" s="299" t="b">
        <v>0</v>
      </c>
      <c r="J1782" s="113" t="str">
        <f t="shared" si="55"/>
        <v>981291666</v>
      </c>
      <c r="K1782" s="113" t="str">
        <f t="shared" si="56"/>
        <v>CG01859</v>
      </c>
    </row>
    <row r="1783" spans="1:11" x14ac:dyDescent="0.3">
      <c r="A1783" s="298" t="s">
        <v>6089</v>
      </c>
      <c r="B1783" s="298" t="s">
        <v>6090</v>
      </c>
      <c r="C1783" s="298" t="s">
        <v>4324</v>
      </c>
      <c r="D1783" s="298" t="s">
        <v>256</v>
      </c>
      <c r="E1783" s="298"/>
      <c r="F1783" s="298" t="s">
        <v>6091</v>
      </c>
      <c r="G1783" s="299" t="b">
        <v>0</v>
      </c>
      <c r="H1783" s="299" t="b">
        <v>0</v>
      </c>
      <c r="J1783" s="113" t="str">
        <f t="shared" si="55"/>
        <v>913166993</v>
      </c>
      <c r="K1783" s="113" t="str">
        <f t="shared" si="56"/>
        <v>CG01860</v>
      </c>
    </row>
    <row r="1784" spans="1:11" x14ac:dyDescent="0.3">
      <c r="A1784" s="298" t="s">
        <v>6092</v>
      </c>
      <c r="B1784" s="298" t="s">
        <v>6093</v>
      </c>
      <c r="C1784" s="298" t="s">
        <v>6094</v>
      </c>
      <c r="D1784" s="298" t="s">
        <v>256</v>
      </c>
      <c r="E1784" s="298"/>
      <c r="F1784" s="298" t="s">
        <v>6095</v>
      </c>
      <c r="G1784" s="299" t="b">
        <v>0</v>
      </c>
      <c r="H1784" s="299" t="b">
        <v>0</v>
      </c>
      <c r="J1784" s="113" t="str">
        <f t="shared" si="55"/>
        <v>823660108</v>
      </c>
      <c r="K1784" s="113" t="str">
        <f t="shared" si="56"/>
        <v>CG01861</v>
      </c>
    </row>
    <row r="1785" spans="1:11" x14ac:dyDescent="0.3">
      <c r="A1785" s="298" t="s">
        <v>6096</v>
      </c>
      <c r="B1785" s="298" t="s">
        <v>6097</v>
      </c>
      <c r="C1785" s="298" t="s">
        <v>286</v>
      </c>
      <c r="D1785" s="298" t="s">
        <v>256</v>
      </c>
      <c r="E1785" s="298"/>
      <c r="F1785" s="298" t="s">
        <v>6098</v>
      </c>
      <c r="G1785" s="299" t="b">
        <v>0</v>
      </c>
      <c r="H1785" s="299" t="b">
        <v>0</v>
      </c>
      <c r="J1785" s="113" t="str">
        <f t="shared" si="55"/>
        <v>948509520</v>
      </c>
      <c r="K1785" s="113" t="str">
        <f t="shared" si="56"/>
        <v>CG01862</v>
      </c>
    </row>
    <row r="1786" spans="1:11" x14ac:dyDescent="0.3">
      <c r="A1786" s="298" t="s">
        <v>6099</v>
      </c>
      <c r="B1786" s="298" t="s">
        <v>6100</v>
      </c>
      <c r="C1786" s="298" t="s">
        <v>6101</v>
      </c>
      <c r="D1786" s="298" t="s">
        <v>256</v>
      </c>
      <c r="E1786" s="298" t="s">
        <v>6102</v>
      </c>
      <c r="F1786" s="298" t="s">
        <v>6103</v>
      </c>
      <c r="G1786" s="299" t="b">
        <v>0</v>
      </c>
      <c r="H1786" s="299" t="b">
        <v>0</v>
      </c>
      <c r="J1786" s="113" t="str">
        <f t="shared" si="55"/>
        <v>975237995</v>
      </c>
      <c r="K1786" s="113" t="str">
        <f t="shared" si="56"/>
        <v>CG01863</v>
      </c>
    </row>
    <row r="1787" spans="1:11" x14ac:dyDescent="0.3">
      <c r="A1787" s="298" t="s">
        <v>6104</v>
      </c>
      <c r="B1787" s="298" t="s">
        <v>6105</v>
      </c>
      <c r="C1787" s="298" t="s">
        <v>993</v>
      </c>
      <c r="D1787" s="298" t="s">
        <v>256</v>
      </c>
      <c r="E1787" s="298"/>
      <c r="F1787" s="298" t="s">
        <v>6106</v>
      </c>
      <c r="G1787" s="299" t="b">
        <v>0</v>
      </c>
      <c r="H1787" s="299" t="b">
        <v>0</v>
      </c>
      <c r="J1787" s="113" t="str">
        <f t="shared" si="55"/>
        <v>366556606</v>
      </c>
      <c r="K1787" s="113" t="str">
        <f t="shared" si="56"/>
        <v>CG01864</v>
      </c>
    </row>
    <row r="1788" spans="1:11" x14ac:dyDescent="0.3">
      <c r="A1788" s="298" t="s">
        <v>6107</v>
      </c>
      <c r="B1788" s="298" t="s">
        <v>6108</v>
      </c>
      <c r="C1788" s="298" t="s">
        <v>1579</v>
      </c>
      <c r="D1788" s="298" t="s">
        <v>256</v>
      </c>
      <c r="E1788" s="298"/>
      <c r="F1788" s="298" t="s">
        <v>6109</v>
      </c>
      <c r="G1788" s="299" t="b">
        <v>0</v>
      </c>
      <c r="H1788" s="299" t="b">
        <v>0</v>
      </c>
      <c r="J1788" s="113" t="str">
        <f t="shared" si="55"/>
        <v>336830188</v>
      </c>
      <c r="K1788" s="113" t="str">
        <f t="shared" si="56"/>
        <v>CG01865</v>
      </c>
    </row>
    <row r="1789" spans="1:11" x14ac:dyDescent="0.3">
      <c r="A1789" s="298" t="s">
        <v>6110</v>
      </c>
      <c r="B1789" s="298" t="s">
        <v>6111</v>
      </c>
      <c r="C1789" s="298" t="s">
        <v>6112</v>
      </c>
      <c r="D1789" s="298" t="s">
        <v>256</v>
      </c>
      <c r="E1789" s="298"/>
      <c r="F1789" s="298" t="s">
        <v>6113</v>
      </c>
      <c r="G1789" s="299" t="b">
        <v>0</v>
      </c>
      <c r="H1789" s="299" t="b">
        <v>0</v>
      </c>
      <c r="J1789" s="113" t="str">
        <f t="shared" si="55"/>
        <v>964339999</v>
      </c>
      <c r="K1789" s="113" t="str">
        <f t="shared" si="56"/>
        <v>CG01866</v>
      </c>
    </row>
    <row r="1790" spans="1:11" x14ac:dyDescent="0.3">
      <c r="A1790" s="298" t="s">
        <v>6114</v>
      </c>
      <c r="B1790" s="298" t="s">
        <v>6115</v>
      </c>
      <c r="C1790" s="298" t="s">
        <v>286</v>
      </c>
      <c r="D1790" s="298" t="s">
        <v>256</v>
      </c>
      <c r="E1790" s="298"/>
      <c r="F1790" s="298" t="s">
        <v>6116</v>
      </c>
      <c r="G1790" s="299" t="b">
        <v>0</v>
      </c>
      <c r="H1790" s="299" t="b">
        <v>0</v>
      </c>
      <c r="J1790" s="113" t="str">
        <f t="shared" si="55"/>
        <v>981251799</v>
      </c>
      <c r="K1790" s="113" t="str">
        <f t="shared" si="56"/>
        <v>CG01867</v>
      </c>
    </row>
    <row r="1791" spans="1:11" x14ac:dyDescent="0.3">
      <c r="A1791" s="298" t="s">
        <v>6117</v>
      </c>
      <c r="B1791" s="298" t="s">
        <v>6118</v>
      </c>
      <c r="C1791" s="298" t="s">
        <v>1335</v>
      </c>
      <c r="D1791" s="298" t="s">
        <v>256</v>
      </c>
      <c r="E1791" s="298"/>
      <c r="F1791" s="298" t="s">
        <v>6119</v>
      </c>
      <c r="G1791" s="299" t="b">
        <v>0</v>
      </c>
      <c r="H1791" s="299" t="b">
        <v>0</v>
      </c>
      <c r="J1791" s="113" t="str">
        <f t="shared" si="55"/>
        <v>979077603</v>
      </c>
      <c r="K1791" s="113" t="str">
        <f t="shared" si="56"/>
        <v>CG01868</v>
      </c>
    </row>
    <row r="1792" spans="1:11" x14ac:dyDescent="0.3">
      <c r="A1792" s="298" t="s">
        <v>6120</v>
      </c>
      <c r="B1792" s="298" t="s">
        <v>6121</v>
      </c>
      <c r="C1792" s="298" t="s">
        <v>2763</v>
      </c>
      <c r="D1792" s="298" t="s">
        <v>256</v>
      </c>
      <c r="E1792" s="298"/>
      <c r="F1792" s="298" t="s">
        <v>6122</v>
      </c>
      <c r="G1792" s="299" t="b">
        <v>0</v>
      </c>
      <c r="H1792" s="299" t="b">
        <v>0</v>
      </c>
      <c r="J1792" s="113" t="str">
        <f t="shared" si="55"/>
        <v>902158842</v>
      </c>
      <c r="K1792" s="113" t="str">
        <f t="shared" si="56"/>
        <v>CG01869</v>
      </c>
    </row>
    <row r="1793" spans="1:11" x14ac:dyDescent="0.3">
      <c r="A1793" s="298" t="s">
        <v>6123</v>
      </c>
      <c r="B1793" s="298" t="s">
        <v>6124</v>
      </c>
      <c r="C1793" s="298" t="s">
        <v>231</v>
      </c>
      <c r="D1793" s="298" t="s">
        <v>256</v>
      </c>
      <c r="E1793" s="298"/>
      <c r="F1793" s="298" t="s">
        <v>6125</v>
      </c>
      <c r="G1793" s="299" t="b">
        <v>0</v>
      </c>
      <c r="H1793" s="299" t="b">
        <v>0</v>
      </c>
      <c r="J1793" s="113" t="str">
        <f t="shared" si="55"/>
        <v>912879271</v>
      </c>
      <c r="K1793" s="113" t="str">
        <f t="shared" si="56"/>
        <v>CG01870</v>
      </c>
    </row>
    <row r="1794" spans="1:11" x14ac:dyDescent="0.3">
      <c r="A1794" s="298" t="s">
        <v>6126</v>
      </c>
      <c r="B1794" s="298" t="s">
        <v>6127</v>
      </c>
      <c r="C1794" s="298" t="s">
        <v>289</v>
      </c>
      <c r="D1794" s="298" t="s">
        <v>256</v>
      </c>
      <c r="E1794" s="298"/>
      <c r="F1794" s="298" t="s">
        <v>6128</v>
      </c>
      <c r="G1794" s="299" t="b">
        <v>0</v>
      </c>
      <c r="H1794" s="299" t="b">
        <v>0</v>
      </c>
      <c r="J1794" s="113" t="str">
        <f t="shared" si="55"/>
        <v>912370488</v>
      </c>
      <c r="K1794" s="113" t="str">
        <f t="shared" si="56"/>
        <v>CG01871</v>
      </c>
    </row>
    <row r="1795" spans="1:11" x14ac:dyDescent="0.3">
      <c r="A1795" s="298" t="s">
        <v>6129</v>
      </c>
      <c r="B1795" s="298" t="s">
        <v>6130</v>
      </c>
      <c r="C1795" s="298" t="s">
        <v>711</v>
      </c>
      <c r="D1795" s="298" t="s">
        <v>256</v>
      </c>
      <c r="E1795" s="298"/>
      <c r="F1795" s="298" t="s">
        <v>6131</v>
      </c>
      <c r="G1795" s="299" t="b">
        <v>0</v>
      </c>
      <c r="H1795" s="299" t="b">
        <v>0</v>
      </c>
      <c r="J1795" s="113" t="str">
        <f t="shared" si="55"/>
        <v>912008878</v>
      </c>
      <c r="K1795" s="113" t="str">
        <f t="shared" si="56"/>
        <v>CG01872</v>
      </c>
    </row>
    <row r="1796" spans="1:11" x14ac:dyDescent="0.3">
      <c r="A1796" s="298" t="s">
        <v>6132</v>
      </c>
      <c r="B1796" s="298" t="s">
        <v>6133</v>
      </c>
      <c r="C1796" s="298" t="s">
        <v>1734</v>
      </c>
      <c r="D1796" s="298" t="s">
        <v>256</v>
      </c>
      <c r="E1796" s="298"/>
      <c r="F1796" s="298" t="s">
        <v>6134</v>
      </c>
      <c r="G1796" s="299" t="b">
        <v>0</v>
      </c>
      <c r="H1796" s="299" t="b">
        <v>0</v>
      </c>
      <c r="J1796" s="113" t="str">
        <f t="shared" si="55"/>
        <v>971408740</v>
      </c>
      <c r="K1796" s="113" t="str">
        <f t="shared" si="56"/>
        <v>CG01873</v>
      </c>
    </row>
    <row r="1797" spans="1:11" x14ac:dyDescent="0.3">
      <c r="A1797" s="298" t="s">
        <v>6135</v>
      </c>
      <c r="B1797" s="298" t="s">
        <v>6136</v>
      </c>
      <c r="C1797" s="298" t="s">
        <v>5150</v>
      </c>
      <c r="D1797" s="298" t="s">
        <v>256</v>
      </c>
      <c r="E1797" s="298"/>
      <c r="F1797" s="298" t="s">
        <v>6137</v>
      </c>
      <c r="G1797" s="299" t="b">
        <v>0</v>
      </c>
      <c r="H1797" s="299" t="b">
        <v>0</v>
      </c>
      <c r="J1797" s="113" t="str">
        <f t="shared" ref="J1797:J1860" si="57">RIGHT(B1797,9)</f>
        <v>945560364</v>
      </c>
      <c r="K1797" s="113" t="str">
        <f t="shared" ref="K1797:K1860" si="58">A1797</f>
        <v>CG01874</v>
      </c>
    </row>
    <row r="1798" spans="1:11" x14ac:dyDescent="0.3">
      <c r="A1798" s="298" t="s">
        <v>6138</v>
      </c>
      <c r="B1798" s="298" t="s">
        <v>6139</v>
      </c>
      <c r="C1798" s="298" t="s">
        <v>340</v>
      </c>
      <c r="D1798" s="298" t="s">
        <v>256</v>
      </c>
      <c r="E1798" s="298"/>
      <c r="F1798" s="298" t="s">
        <v>6140</v>
      </c>
      <c r="G1798" s="299" t="b">
        <v>0</v>
      </c>
      <c r="H1798" s="299" t="b">
        <v>0</v>
      </c>
      <c r="J1798" s="113" t="str">
        <f t="shared" si="57"/>
        <v>976643069</v>
      </c>
      <c r="K1798" s="113" t="str">
        <f t="shared" si="58"/>
        <v>CG01875</v>
      </c>
    </row>
    <row r="1799" spans="1:11" x14ac:dyDescent="0.3">
      <c r="A1799" s="298" t="s">
        <v>6141</v>
      </c>
      <c r="B1799" s="298" t="s">
        <v>6142</v>
      </c>
      <c r="C1799" s="298" t="s">
        <v>317</v>
      </c>
      <c r="D1799" s="298" t="s">
        <v>256</v>
      </c>
      <c r="E1799" s="298"/>
      <c r="F1799" s="298" t="s">
        <v>6143</v>
      </c>
      <c r="G1799" s="299" t="b">
        <v>0</v>
      </c>
      <c r="H1799" s="299" t="b">
        <v>0</v>
      </c>
      <c r="J1799" s="113" t="str">
        <f t="shared" si="57"/>
        <v>973473402</v>
      </c>
      <c r="K1799" s="113" t="str">
        <f t="shared" si="58"/>
        <v>CG01876</v>
      </c>
    </row>
    <row r="1800" spans="1:11" x14ac:dyDescent="0.3">
      <c r="A1800" s="298" t="s">
        <v>6144</v>
      </c>
      <c r="B1800" s="298" t="s">
        <v>6145</v>
      </c>
      <c r="C1800" s="298" t="s">
        <v>343</v>
      </c>
      <c r="D1800" s="298" t="s">
        <v>256</v>
      </c>
      <c r="E1800" s="298"/>
      <c r="F1800" s="298" t="s">
        <v>6146</v>
      </c>
      <c r="G1800" s="299" t="b">
        <v>0</v>
      </c>
      <c r="H1800" s="299" t="b">
        <v>0</v>
      </c>
      <c r="J1800" s="113" t="str">
        <f t="shared" si="57"/>
        <v>904121100</v>
      </c>
      <c r="K1800" s="113" t="str">
        <f t="shared" si="58"/>
        <v>CG01877</v>
      </c>
    </row>
    <row r="1801" spans="1:11" x14ac:dyDescent="0.3">
      <c r="A1801" s="298" t="s">
        <v>6147</v>
      </c>
      <c r="B1801" s="298" t="s">
        <v>6148</v>
      </c>
      <c r="C1801" s="298" t="s">
        <v>2763</v>
      </c>
      <c r="D1801" s="298" t="s">
        <v>256</v>
      </c>
      <c r="E1801" s="298"/>
      <c r="F1801" s="298" t="s">
        <v>6149</v>
      </c>
      <c r="G1801" s="299" t="b">
        <v>0</v>
      </c>
      <c r="H1801" s="299" t="b">
        <v>0</v>
      </c>
      <c r="J1801" s="113" t="str">
        <f t="shared" si="57"/>
        <v>971840668</v>
      </c>
      <c r="K1801" s="113" t="str">
        <f t="shared" si="58"/>
        <v>CG01878</v>
      </c>
    </row>
    <row r="1802" spans="1:11" x14ac:dyDescent="0.3">
      <c r="A1802" s="298" t="s">
        <v>6150</v>
      </c>
      <c r="B1802" s="298" t="s">
        <v>6151</v>
      </c>
      <c r="C1802" s="298" t="s">
        <v>340</v>
      </c>
      <c r="D1802" s="298" t="s">
        <v>256</v>
      </c>
      <c r="E1802" s="298"/>
      <c r="F1802" s="298" t="s">
        <v>6152</v>
      </c>
      <c r="G1802" s="299" t="b">
        <v>0</v>
      </c>
      <c r="H1802" s="299" t="b">
        <v>0</v>
      </c>
      <c r="J1802" s="113" t="str">
        <f t="shared" si="57"/>
        <v>336031636</v>
      </c>
      <c r="K1802" s="113" t="str">
        <f t="shared" si="58"/>
        <v>CG01879</v>
      </c>
    </row>
    <row r="1803" spans="1:11" x14ac:dyDescent="0.3">
      <c r="A1803" s="298" t="s">
        <v>6153</v>
      </c>
      <c r="B1803" s="298" t="s">
        <v>6154</v>
      </c>
      <c r="C1803" s="298" t="s">
        <v>231</v>
      </c>
      <c r="D1803" s="298" t="s">
        <v>256</v>
      </c>
      <c r="E1803" s="298"/>
      <c r="F1803" s="298" t="s">
        <v>6155</v>
      </c>
      <c r="G1803" s="299" t="b">
        <v>0</v>
      </c>
      <c r="H1803" s="299" t="b">
        <v>0</v>
      </c>
      <c r="J1803" s="113" t="str">
        <f t="shared" si="57"/>
        <v>977388176</v>
      </c>
      <c r="K1803" s="113" t="str">
        <f t="shared" si="58"/>
        <v>CG01880</v>
      </c>
    </row>
    <row r="1804" spans="1:11" x14ac:dyDescent="0.3">
      <c r="A1804" s="298" t="s">
        <v>6156</v>
      </c>
      <c r="B1804" s="298" t="s">
        <v>6157</v>
      </c>
      <c r="C1804" s="298" t="s">
        <v>289</v>
      </c>
      <c r="D1804" s="298" t="s">
        <v>256</v>
      </c>
      <c r="E1804" s="298"/>
      <c r="F1804" s="298" t="s">
        <v>6158</v>
      </c>
      <c r="G1804" s="299" t="b">
        <v>0</v>
      </c>
      <c r="H1804" s="299" t="b">
        <v>0</v>
      </c>
      <c r="J1804" s="113" t="str">
        <f t="shared" si="57"/>
        <v>912685962</v>
      </c>
      <c r="K1804" s="113" t="str">
        <f t="shared" si="58"/>
        <v>CG01881</v>
      </c>
    </row>
    <row r="1805" spans="1:11" x14ac:dyDescent="0.3">
      <c r="A1805" s="298" t="s">
        <v>6159</v>
      </c>
      <c r="B1805" s="298" t="s">
        <v>6160</v>
      </c>
      <c r="C1805" s="298" t="s">
        <v>355</v>
      </c>
      <c r="D1805" s="298" t="s">
        <v>256</v>
      </c>
      <c r="E1805" s="298"/>
      <c r="F1805" s="298" t="s">
        <v>6161</v>
      </c>
      <c r="G1805" s="299" t="b">
        <v>0</v>
      </c>
      <c r="H1805" s="299" t="b">
        <v>0</v>
      </c>
      <c r="J1805" s="113" t="str">
        <f t="shared" si="57"/>
        <v>982362678</v>
      </c>
      <c r="K1805" s="113" t="str">
        <f t="shared" si="58"/>
        <v>CG01882</v>
      </c>
    </row>
    <row r="1806" spans="1:11" x14ac:dyDescent="0.3">
      <c r="A1806" s="298" t="s">
        <v>6162</v>
      </c>
      <c r="B1806" s="298" t="s">
        <v>6163</v>
      </c>
      <c r="C1806" s="298" t="s">
        <v>6164</v>
      </c>
      <c r="D1806" s="298" t="s">
        <v>256</v>
      </c>
      <c r="E1806" s="298"/>
      <c r="F1806" s="298" t="s">
        <v>6165</v>
      </c>
      <c r="G1806" s="299" t="b">
        <v>0</v>
      </c>
      <c r="H1806" s="299" t="b">
        <v>0</v>
      </c>
      <c r="J1806" s="113" t="str">
        <f t="shared" si="57"/>
        <v>983988234</v>
      </c>
      <c r="K1806" s="113" t="str">
        <f t="shared" si="58"/>
        <v>CG01883</v>
      </c>
    </row>
    <row r="1807" spans="1:11" x14ac:dyDescent="0.3">
      <c r="A1807" s="298" t="s">
        <v>6166</v>
      </c>
      <c r="B1807" s="298" t="s">
        <v>6167</v>
      </c>
      <c r="C1807" s="298" t="s">
        <v>6168</v>
      </c>
      <c r="D1807" s="298" t="s">
        <v>256</v>
      </c>
      <c r="E1807" s="298"/>
      <c r="F1807" s="298" t="s">
        <v>6169</v>
      </c>
      <c r="G1807" s="299" t="b">
        <v>0</v>
      </c>
      <c r="H1807" s="299" t="b">
        <v>0</v>
      </c>
      <c r="J1807" s="113" t="str">
        <f t="shared" si="57"/>
        <v>983546450</v>
      </c>
      <c r="K1807" s="113" t="str">
        <f t="shared" si="58"/>
        <v>CG01884</v>
      </c>
    </row>
    <row r="1808" spans="1:11" x14ac:dyDescent="0.3">
      <c r="A1808" s="298" t="s">
        <v>6170</v>
      </c>
      <c r="B1808" s="298" t="s">
        <v>6171</v>
      </c>
      <c r="C1808" s="298" t="s">
        <v>3253</v>
      </c>
      <c r="D1808" s="298" t="s">
        <v>256</v>
      </c>
      <c r="E1808" s="298"/>
      <c r="F1808" s="298" t="s">
        <v>6172</v>
      </c>
      <c r="G1808" s="299" t="b">
        <v>0</v>
      </c>
      <c r="H1808" s="299" t="b">
        <v>0</v>
      </c>
      <c r="J1808" s="113" t="str">
        <f t="shared" si="57"/>
        <v>971484623</v>
      </c>
      <c r="K1808" s="113" t="str">
        <f t="shared" si="58"/>
        <v>CG01885</v>
      </c>
    </row>
    <row r="1809" spans="1:11" x14ac:dyDescent="0.3">
      <c r="A1809" s="298" t="s">
        <v>6173</v>
      </c>
      <c r="B1809" s="298" t="s">
        <v>6174</v>
      </c>
      <c r="C1809" s="298" t="s">
        <v>6014</v>
      </c>
      <c r="D1809" s="298" t="s">
        <v>256</v>
      </c>
      <c r="E1809" s="298"/>
      <c r="F1809" s="298" t="s">
        <v>6175</v>
      </c>
      <c r="G1809" s="299" t="b">
        <v>0</v>
      </c>
      <c r="H1809" s="299" t="b">
        <v>0</v>
      </c>
      <c r="J1809" s="113" t="str">
        <f t="shared" si="57"/>
        <v>988844611</v>
      </c>
      <c r="K1809" s="113" t="str">
        <f t="shared" si="58"/>
        <v>CG01886</v>
      </c>
    </row>
    <row r="1810" spans="1:11" x14ac:dyDescent="0.3">
      <c r="A1810" s="298" t="s">
        <v>6176</v>
      </c>
      <c r="B1810" s="298" t="s">
        <v>6177</v>
      </c>
      <c r="C1810" s="298" t="s">
        <v>416</v>
      </c>
      <c r="D1810" s="298" t="s">
        <v>256</v>
      </c>
      <c r="E1810" s="298"/>
      <c r="F1810" s="298" t="s">
        <v>6178</v>
      </c>
      <c r="G1810" s="299" t="b">
        <v>0</v>
      </c>
      <c r="H1810" s="299" t="b">
        <v>0</v>
      </c>
      <c r="J1810" s="113" t="str">
        <f t="shared" si="57"/>
        <v>977589568</v>
      </c>
      <c r="K1810" s="113" t="str">
        <f t="shared" si="58"/>
        <v>CG01887</v>
      </c>
    </row>
    <row r="1811" spans="1:11" x14ac:dyDescent="0.3">
      <c r="A1811" s="298" t="s">
        <v>6179</v>
      </c>
      <c r="B1811" s="298" t="s">
        <v>6180</v>
      </c>
      <c r="C1811" s="298" t="s">
        <v>6181</v>
      </c>
      <c r="D1811" s="298" t="s">
        <v>256</v>
      </c>
      <c r="E1811" s="298"/>
      <c r="F1811" s="298" t="s">
        <v>6182</v>
      </c>
      <c r="G1811" s="299" t="b">
        <v>0</v>
      </c>
      <c r="H1811" s="299" t="b">
        <v>0</v>
      </c>
      <c r="J1811" s="113" t="str">
        <f t="shared" si="57"/>
        <v>912501112</v>
      </c>
      <c r="K1811" s="113" t="str">
        <f t="shared" si="58"/>
        <v>CG01888</v>
      </c>
    </row>
    <row r="1812" spans="1:11" x14ac:dyDescent="0.3">
      <c r="A1812" s="298" t="s">
        <v>6183</v>
      </c>
      <c r="B1812" s="298" t="s">
        <v>13310</v>
      </c>
      <c r="C1812" s="298" t="s">
        <v>13311</v>
      </c>
      <c r="D1812" s="298" t="s">
        <v>256</v>
      </c>
      <c r="E1812" s="298" t="s">
        <v>12791</v>
      </c>
      <c r="F1812" s="298" t="s">
        <v>6185</v>
      </c>
      <c r="G1812" s="299" t="b">
        <v>0</v>
      </c>
      <c r="H1812" s="299" t="b">
        <v>0</v>
      </c>
      <c r="J1812" s="113" t="str">
        <f t="shared" si="57"/>
        <v>396258139</v>
      </c>
      <c r="K1812" s="113" t="str">
        <f t="shared" si="58"/>
        <v>CG01889</v>
      </c>
    </row>
    <row r="1813" spans="1:11" x14ac:dyDescent="0.3">
      <c r="A1813" s="298" t="s">
        <v>6186</v>
      </c>
      <c r="B1813" s="298" t="s">
        <v>6187</v>
      </c>
      <c r="C1813" s="298" t="s">
        <v>1587</v>
      </c>
      <c r="D1813" s="298" t="s">
        <v>256</v>
      </c>
      <c r="E1813" s="298"/>
      <c r="F1813" s="298" t="s">
        <v>6188</v>
      </c>
      <c r="G1813" s="299" t="b">
        <v>0</v>
      </c>
      <c r="H1813" s="299" t="b">
        <v>0</v>
      </c>
      <c r="J1813" s="113" t="str">
        <f t="shared" si="57"/>
        <v>913292491</v>
      </c>
      <c r="K1813" s="113" t="str">
        <f t="shared" si="58"/>
        <v>CG01890</v>
      </c>
    </row>
    <row r="1814" spans="1:11" x14ac:dyDescent="0.3">
      <c r="A1814" s="298" t="s">
        <v>6189</v>
      </c>
      <c r="B1814" s="298" t="s">
        <v>6190</v>
      </c>
      <c r="C1814" s="298" t="s">
        <v>487</v>
      </c>
      <c r="D1814" s="298" t="s">
        <v>256</v>
      </c>
      <c r="E1814" s="298"/>
      <c r="F1814" s="298" t="s">
        <v>6191</v>
      </c>
      <c r="G1814" s="299" t="b">
        <v>0</v>
      </c>
      <c r="H1814" s="299" t="b">
        <v>0</v>
      </c>
      <c r="J1814" s="113" t="str">
        <f t="shared" si="57"/>
        <v>914635571</v>
      </c>
      <c r="K1814" s="113" t="str">
        <f t="shared" si="58"/>
        <v>CG01891</v>
      </c>
    </row>
    <row r="1815" spans="1:11" x14ac:dyDescent="0.3">
      <c r="A1815" s="298" t="s">
        <v>6192</v>
      </c>
      <c r="B1815" s="298" t="s">
        <v>6193</v>
      </c>
      <c r="C1815" s="298" t="s">
        <v>6194</v>
      </c>
      <c r="D1815" s="298" t="s">
        <v>256</v>
      </c>
      <c r="E1815" s="298"/>
      <c r="F1815" s="298" t="s">
        <v>6195</v>
      </c>
      <c r="G1815" s="299" t="b">
        <v>0</v>
      </c>
      <c r="H1815" s="299" t="b">
        <v>0</v>
      </c>
      <c r="J1815" s="113" t="str">
        <f t="shared" si="57"/>
        <v>985977769</v>
      </c>
      <c r="K1815" s="113" t="str">
        <f t="shared" si="58"/>
        <v>CG01893</v>
      </c>
    </row>
    <row r="1816" spans="1:11" x14ac:dyDescent="0.3">
      <c r="A1816" s="298" t="s">
        <v>6196</v>
      </c>
      <c r="B1816" s="298" t="s">
        <v>6197</v>
      </c>
      <c r="C1816" s="298" t="s">
        <v>816</v>
      </c>
      <c r="D1816" s="298" t="s">
        <v>256</v>
      </c>
      <c r="E1816" s="298"/>
      <c r="F1816" s="298" t="s">
        <v>6198</v>
      </c>
      <c r="G1816" s="299" t="b">
        <v>0</v>
      </c>
      <c r="H1816" s="299" t="b">
        <v>0</v>
      </c>
      <c r="J1816" s="113" t="str">
        <f t="shared" si="57"/>
        <v>982846514</v>
      </c>
      <c r="K1816" s="113" t="str">
        <f t="shared" si="58"/>
        <v>CG01894</v>
      </c>
    </row>
    <row r="1817" spans="1:11" x14ac:dyDescent="0.3">
      <c r="A1817" s="298" t="s">
        <v>6199</v>
      </c>
      <c r="B1817" s="298" t="s">
        <v>6200</v>
      </c>
      <c r="C1817" s="298" t="s">
        <v>416</v>
      </c>
      <c r="D1817" s="298" t="s">
        <v>256</v>
      </c>
      <c r="E1817" s="298"/>
      <c r="F1817" s="298" t="s">
        <v>6201</v>
      </c>
      <c r="G1817" s="299" t="b">
        <v>0</v>
      </c>
      <c r="H1817" s="299" t="b">
        <v>0</v>
      </c>
      <c r="J1817" s="113" t="str">
        <f t="shared" si="57"/>
        <v>979551966</v>
      </c>
      <c r="K1817" s="113" t="str">
        <f t="shared" si="58"/>
        <v>CG01895</v>
      </c>
    </row>
    <row r="1818" spans="1:11" x14ac:dyDescent="0.3">
      <c r="A1818" s="298" t="s">
        <v>6202</v>
      </c>
      <c r="B1818" s="298" t="s">
        <v>6203</v>
      </c>
      <c r="C1818" s="298" t="s">
        <v>3966</v>
      </c>
      <c r="D1818" s="298" t="s">
        <v>256</v>
      </c>
      <c r="E1818" s="298"/>
      <c r="F1818" s="298" t="s">
        <v>6204</v>
      </c>
      <c r="G1818" s="299" t="b">
        <v>0</v>
      </c>
      <c r="H1818" s="299" t="b">
        <v>0</v>
      </c>
      <c r="J1818" s="113" t="str">
        <f t="shared" si="57"/>
        <v>965285285</v>
      </c>
      <c r="K1818" s="113" t="str">
        <f t="shared" si="58"/>
        <v>CG01896</v>
      </c>
    </row>
    <row r="1819" spans="1:11" x14ac:dyDescent="0.3">
      <c r="A1819" s="298" t="s">
        <v>6205</v>
      </c>
      <c r="B1819" s="298" t="s">
        <v>6206</v>
      </c>
      <c r="C1819" s="298" t="s">
        <v>6207</v>
      </c>
      <c r="D1819" s="298" t="s">
        <v>256</v>
      </c>
      <c r="E1819" s="298"/>
      <c r="F1819" s="298" t="s">
        <v>6208</v>
      </c>
      <c r="G1819" s="299" t="b">
        <v>0</v>
      </c>
      <c r="H1819" s="299" t="b">
        <v>0</v>
      </c>
      <c r="J1819" s="113" t="str">
        <f t="shared" si="57"/>
        <v>903428078</v>
      </c>
      <c r="K1819" s="113" t="str">
        <f t="shared" si="58"/>
        <v>CG01897</v>
      </c>
    </row>
    <row r="1820" spans="1:11" x14ac:dyDescent="0.3">
      <c r="A1820" s="298" t="s">
        <v>6209</v>
      </c>
      <c r="B1820" s="298" t="s">
        <v>6210</v>
      </c>
      <c r="C1820" s="298" t="s">
        <v>1173</v>
      </c>
      <c r="D1820" s="298" t="s">
        <v>256</v>
      </c>
      <c r="E1820" s="298"/>
      <c r="F1820" s="298" t="s">
        <v>6211</v>
      </c>
      <c r="G1820" s="299" t="b">
        <v>0</v>
      </c>
      <c r="H1820" s="299" t="b">
        <v>0</v>
      </c>
      <c r="J1820" s="113" t="str">
        <f t="shared" si="57"/>
        <v>989312312</v>
      </c>
      <c r="K1820" s="113" t="str">
        <f t="shared" si="58"/>
        <v>CG01898</v>
      </c>
    </row>
    <row r="1821" spans="1:11" x14ac:dyDescent="0.3">
      <c r="A1821" s="298" t="s">
        <v>6212</v>
      </c>
      <c r="B1821" s="298" t="s">
        <v>6213</v>
      </c>
      <c r="C1821" s="298" t="s">
        <v>460</v>
      </c>
      <c r="D1821" s="298" t="s">
        <v>256</v>
      </c>
      <c r="E1821" s="298"/>
      <c r="F1821" s="298" t="s">
        <v>6214</v>
      </c>
      <c r="G1821" s="299" t="b">
        <v>0</v>
      </c>
      <c r="H1821" s="299" t="b">
        <v>0</v>
      </c>
      <c r="J1821" s="113" t="str">
        <f t="shared" si="57"/>
        <v>943276070</v>
      </c>
      <c r="K1821" s="113" t="str">
        <f t="shared" si="58"/>
        <v>CG01899</v>
      </c>
    </row>
    <row r="1822" spans="1:11" x14ac:dyDescent="0.3">
      <c r="A1822" s="298" t="s">
        <v>6215</v>
      </c>
      <c r="B1822" s="298" t="s">
        <v>6216</v>
      </c>
      <c r="C1822" s="298" t="s">
        <v>231</v>
      </c>
      <c r="D1822" s="298" t="s">
        <v>256</v>
      </c>
      <c r="E1822" s="298"/>
      <c r="F1822" s="298" t="s">
        <v>6217</v>
      </c>
      <c r="G1822" s="299" t="b">
        <v>0</v>
      </c>
      <c r="H1822" s="299" t="b">
        <v>0</v>
      </c>
      <c r="J1822" s="113" t="str">
        <f t="shared" si="57"/>
        <v>915701827</v>
      </c>
      <c r="K1822" s="113" t="str">
        <f t="shared" si="58"/>
        <v>CG01900</v>
      </c>
    </row>
    <row r="1823" spans="1:11" x14ac:dyDescent="0.3">
      <c r="A1823" s="298" t="s">
        <v>6218</v>
      </c>
      <c r="B1823" s="298" t="s">
        <v>6219</v>
      </c>
      <c r="C1823" s="298" t="s">
        <v>541</v>
      </c>
      <c r="D1823" s="298" t="s">
        <v>256</v>
      </c>
      <c r="E1823" s="298"/>
      <c r="F1823" s="298" t="s">
        <v>6220</v>
      </c>
      <c r="G1823" s="299" t="b">
        <v>0</v>
      </c>
      <c r="H1823" s="299" t="b">
        <v>0</v>
      </c>
      <c r="J1823" s="113" t="str">
        <f t="shared" si="57"/>
        <v>327213037</v>
      </c>
      <c r="K1823" s="113" t="str">
        <f t="shared" si="58"/>
        <v>CG01902</v>
      </c>
    </row>
    <row r="1824" spans="1:11" x14ac:dyDescent="0.3">
      <c r="A1824" s="298" t="s">
        <v>6221</v>
      </c>
      <c r="B1824" s="298" t="s">
        <v>6222</v>
      </c>
      <c r="C1824" s="298" t="s">
        <v>693</v>
      </c>
      <c r="D1824" s="298" t="s">
        <v>256</v>
      </c>
      <c r="E1824" s="298"/>
      <c r="F1824" s="298" t="s">
        <v>6223</v>
      </c>
      <c r="G1824" s="299" t="b">
        <v>0</v>
      </c>
      <c r="H1824" s="299" t="b">
        <v>0</v>
      </c>
      <c r="J1824" s="113" t="str">
        <f t="shared" si="57"/>
        <v>902121235</v>
      </c>
      <c r="K1824" s="113" t="str">
        <f t="shared" si="58"/>
        <v>CG01903</v>
      </c>
    </row>
    <row r="1825" spans="1:11" x14ac:dyDescent="0.3">
      <c r="A1825" s="298" t="s">
        <v>6224</v>
      </c>
      <c r="B1825" s="298" t="s">
        <v>6225</v>
      </c>
      <c r="C1825" s="298" t="s">
        <v>6226</v>
      </c>
      <c r="D1825" s="298" t="s">
        <v>256</v>
      </c>
      <c r="E1825" s="298"/>
      <c r="F1825" s="298" t="s">
        <v>6227</v>
      </c>
      <c r="G1825" s="299" t="b">
        <v>0</v>
      </c>
      <c r="H1825" s="299" t="b">
        <v>0</v>
      </c>
      <c r="J1825" s="113" t="str">
        <f t="shared" si="57"/>
        <v>398997155</v>
      </c>
      <c r="K1825" s="113" t="str">
        <f t="shared" si="58"/>
        <v>CG01904</v>
      </c>
    </row>
    <row r="1826" spans="1:11" x14ac:dyDescent="0.3">
      <c r="A1826" s="298" t="s">
        <v>6228</v>
      </c>
      <c r="B1826" s="298" t="s">
        <v>6229</v>
      </c>
      <c r="C1826" s="298" t="s">
        <v>6230</v>
      </c>
      <c r="D1826" s="298" t="s">
        <v>256</v>
      </c>
      <c r="E1826" s="298"/>
      <c r="F1826" s="298" t="s">
        <v>6231</v>
      </c>
      <c r="G1826" s="299" t="b">
        <v>0</v>
      </c>
      <c r="H1826" s="299" t="b">
        <v>0</v>
      </c>
      <c r="J1826" s="113" t="str">
        <f t="shared" si="57"/>
        <v>337828397</v>
      </c>
      <c r="K1826" s="113" t="str">
        <f t="shared" si="58"/>
        <v>CG01905</v>
      </c>
    </row>
    <row r="1827" spans="1:11" x14ac:dyDescent="0.3">
      <c r="A1827" s="298" t="s">
        <v>6232</v>
      </c>
      <c r="B1827" s="298" t="s">
        <v>6233</v>
      </c>
      <c r="C1827" s="298" t="s">
        <v>6234</v>
      </c>
      <c r="D1827" s="298" t="s">
        <v>256</v>
      </c>
      <c r="E1827" s="298"/>
      <c r="F1827" s="298" t="s">
        <v>6235</v>
      </c>
      <c r="G1827" s="299" t="b">
        <v>0</v>
      </c>
      <c r="H1827" s="299" t="b">
        <v>0</v>
      </c>
      <c r="J1827" s="113" t="str">
        <f t="shared" si="57"/>
        <v>912333387</v>
      </c>
      <c r="K1827" s="113" t="str">
        <f t="shared" si="58"/>
        <v>CG01906</v>
      </c>
    </row>
    <row r="1828" spans="1:11" x14ac:dyDescent="0.3">
      <c r="A1828" s="298" t="s">
        <v>6236</v>
      </c>
      <c r="B1828" s="298" t="s">
        <v>6237</v>
      </c>
      <c r="C1828" s="298" t="s">
        <v>286</v>
      </c>
      <c r="D1828" s="298" t="s">
        <v>256</v>
      </c>
      <c r="E1828" s="298"/>
      <c r="F1828" s="298" t="s">
        <v>6238</v>
      </c>
      <c r="G1828" s="299" t="b">
        <v>0</v>
      </c>
      <c r="H1828" s="299" t="b">
        <v>0</v>
      </c>
      <c r="J1828" s="113" t="str">
        <f t="shared" si="57"/>
        <v>977636868</v>
      </c>
      <c r="K1828" s="113" t="str">
        <f t="shared" si="58"/>
        <v>CG01907</v>
      </c>
    </row>
    <row r="1829" spans="1:11" x14ac:dyDescent="0.3">
      <c r="A1829" s="298" t="s">
        <v>6239</v>
      </c>
      <c r="B1829" s="298" t="s">
        <v>6240</v>
      </c>
      <c r="C1829" s="298" t="s">
        <v>718</v>
      </c>
      <c r="D1829" s="298" t="s">
        <v>256</v>
      </c>
      <c r="E1829" s="298"/>
      <c r="F1829" s="298" t="s">
        <v>6241</v>
      </c>
      <c r="G1829" s="299" t="b">
        <v>0</v>
      </c>
      <c r="H1829" s="299" t="b">
        <v>0</v>
      </c>
      <c r="J1829" s="113" t="str">
        <f t="shared" si="57"/>
        <v>962231963</v>
      </c>
      <c r="K1829" s="113" t="str">
        <f t="shared" si="58"/>
        <v>CG01908</v>
      </c>
    </row>
    <row r="1830" spans="1:11" x14ac:dyDescent="0.3">
      <c r="A1830" s="298" t="s">
        <v>6242</v>
      </c>
      <c r="B1830" s="298" t="s">
        <v>6243</v>
      </c>
      <c r="C1830" s="298" t="s">
        <v>541</v>
      </c>
      <c r="D1830" s="298" t="s">
        <v>256</v>
      </c>
      <c r="E1830" s="298"/>
      <c r="F1830" s="298" t="s">
        <v>6244</v>
      </c>
      <c r="G1830" s="299" t="b">
        <v>0</v>
      </c>
      <c r="H1830" s="299" t="b">
        <v>0</v>
      </c>
      <c r="J1830" s="113" t="str">
        <f t="shared" si="57"/>
        <v>915500900</v>
      </c>
      <c r="K1830" s="113" t="str">
        <f t="shared" si="58"/>
        <v>CG01909</v>
      </c>
    </row>
    <row r="1831" spans="1:11" x14ac:dyDescent="0.3">
      <c r="A1831" s="298" t="s">
        <v>6245</v>
      </c>
      <c r="B1831" s="298" t="s">
        <v>1299</v>
      </c>
      <c r="C1831" s="298" t="s">
        <v>286</v>
      </c>
      <c r="D1831" s="298" t="s">
        <v>256</v>
      </c>
      <c r="E1831" s="298"/>
      <c r="F1831" s="298" t="s">
        <v>1300</v>
      </c>
      <c r="G1831" s="299" t="b">
        <v>0</v>
      </c>
      <c r="H1831" s="299" t="b">
        <v>0</v>
      </c>
      <c r="J1831" s="113" t="str">
        <f t="shared" si="57"/>
        <v>943667366</v>
      </c>
      <c r="K1831" s="113" t="str">
        <f t="shared" si="58"/>
        <v>CG01910</v>
      </c>
    </row>
    <row r="1832" spans="1:11" x14ac:dyDescent="0.3">
      <c r="A1832" s="298" t="s">
        <v>6246</v>
      </c>
      <c r="B1832" s="298" t="s">
        <v>6247</v>
      </c>
      <c r="C1832" s="298" t="s">
        <v>892</v>
      </c>
      <c r="D1832" s="298" t="s">
        <v>256</v>
      </c>
      <c r="E1832" s="298"/>
      <c r="F1832" s="298" t="s">
        <v>6248</v>
      </c>
      <c r="G1832" s="299" t="b">
        <v>0</v>
      </c>
      <c r="H1832" s="299" t="b">
        <v>0</v>
      </c>
      <c r="J1832" s="113" t="str">
        <f t="shared" si="57"/>
        <v>975552099</v>
      </c>
      <c r="K1832" s="113" t="str">
        <f t="shared" si="58"/>
        <v>CG01911</v>
      </c>
    </row>
    <row r="1833" spans="1:11" x14ac:dyDescent="0.3">
      <c r="A1833" s="298" t="s">
        <v>6249</v>
      </c>
      <c r="B1833" s="298" t="s">
        <v>6250</v>
      </c>
      <c r="C1833" s="298" t="s">
        <v>6251</v>
      </c>
      <c r="D1833" s="298" t="s">
        <v>256</v>
      </c>
      <c r="E1833" s="298"/>
      <c r="F1833" s="298" t="s">
        <v>6252</v>
      </c>
      <c r="G1833" s="299" t="b">
        <v>0</v>
      </c>
      <c r="H1833" s="299" t="b">
        <v>0</v>
      </c>
      <c r="J1833" s="113" t="str">
        <f t="shared" si="57"/>
        <v>912190886</v>
      </c>
      <c r="K1833" s="113" t="str">
        <f t="shared" si="58"/>
        <v>CG01912</v>
      </c>
    </row>
    <row r="1834" spans="1:11" x14ac:dyDescent="0.3">
      <c r="A1834" s="298" t="s">
        <v>6253</v>
      </c>
      <c r="B1834" s="298" t="s">
        <v>6254</v>
      </c>
      <c r="C1834" s="298" t="s">
        <v>340</v>
      </c>
      <c r="D1834" s="298" t="s">
        <v>256</v>
      </c>
      <c r="E1834" s="298"/>
      <c r="F1834" s="298" t="s">
        <v>6255</v>
      </c>
      <c r="G1834" s="299" t="b">
        <v>0</v>
      </c>
      <c r="H1834" s="299" t="b">
        <v>0</v>
      </c>
      <c r="J1834" s="113" t="str">
        <f t="shared" si="57"/>
        <v>987844732</v>
      </c>
      <c r="K1834" s="113" t="str">
        <f t="shared" si="58"/>
        <v>CG01913</v>
      </c>
    </row>
    <row r="1835" spans="1:11" x14ac:dyDescent="0.3">
      <c r="A1835" s="298" t="s">
        <v>6256</v>
      </c>
      <c r="B1835" s="298" t="s">
        <v>6257</v>
      </c>
      <c r="C1835" s="298" t="s">
        <v>942</v>
      </c>
      <c r="D1835" s="298" t="s">
        <v>256</v>
      </c>
      <c r="E1835" s="298"/>
      <c r="F1835" s="298" t="s">
        <v>6258</v>
      </c>
      <c r="G1835" s="299" t="b">
        <v>0</v>
      </c>
      <c r="H1835" s="299" t="b">
        <v>0</v>
      </c>
      <c r="J1835" s="113" t="str">
        <f t="shared" si="57"/>
        <v>983741919</v>
      </c>
      <c r="K1835" s="113" t="str">
        <f t="shared" si="58"/>
        <v>CG01914</v>
      </c>
    </row>
    <row r="1836" spans="1:11" x14ac:dyDescent="0.3">
      <c r="A1836" s="298" t="s">
        <v>6259</v>
      </c>
      <c r="B1836" s="298" t="s">
        <v>6260</v>
      </c>
      <c r="C1836" s="298" t="s">
        <v>487</v>
      </c>
      <c r="D1836" s="298" t="s">
        <v>256</v>
      </c>
      <c r="E1836" s="298"/>
      <c r="F1836" s="298" t="s">
        <v>6261</v>
      </c>
      <c r="G1836" s="299" t="b">
        <v>0</v>
      </c>
      <c r="H1836" s="299" t="b">
        <v>0</v>
      </c>
      <c r="J1836" s="113" t="str">
        <f t="shared" si="57"/>
        <v>912165257</v>
      </c>
      <c r="K1836" s="113" t="str">
        <f t="shared" si="58"/>
        <v>CG01915</v>
      </c>
    </row>
    <row r="1837" spans="1:11" x14ac:dyDescent="0.3">
      <c r="A1837" s="298" t="s">
        <v>6262</v>
      </c>
      <c r="B1837" s="298" t="s">
        <v>6263</v>
      </c>
      <c r="C1837" s="298" t="s">
        <v>541</v>
      </c>
      <c r="D1837" s="298" t="s">
        <v>256</v>
      </c>
      <c r="E1837" s="298"/>
      <c r="F1837" s="298" t="s">
        <v>6264</v>
      </c>
      <c r="G1837" s="299" t="b">
        <v>0</v>
      </c>
      <c r="H1837" s="299" t="b">
        <v>0</v>
      </c>
      <c r="J1837" s="113" t="str">
        <f t="shared" si="57"/>
        <v>915053202</v>
      </c>
      <c r="K1837" s="113" t="str">
        <f t="shared" si="58"/>
        <v>CG01916</v>
      </c>
    </row>
    <row r="1838" spans="1:11" x14ac:dyDescent="0.3">
      <c r="A1838" s="298" t="s">
        <v>6265</v>
      </c>
      <c r="B1838" s="298" t="s">
        <v>6266</v>
      </c>
      <c r="C1838" s="298" t="s">
        <v>6267</v>
      </c>
      <c r="D1838" s="298" t="s">
        <v>256</v>
      </c>
      <c r="E1838" s="298"/>
      <c r="F1838" s="298" t="s">
        <v>6268</v>
      </c>
      <c r="G1838" s="299" t="b">
        <v>0</v>
      </c>
      <c r="H1838" s="299" t="b">
        <v>0</v>
      </c>
      <c r="J1838" s="113" t="str">
        <f t="shared" si="57"/>
        <v>988763699</v>
      </c>
      <c r="K1838" s="113" t="str">
        <f t="shared" si="58"/>
        <v>CG01917</v>
      </c>
    </row>
    <row r="1839" spans="1:11" x14ac:dyDescent="0.3">
      <c r="A1839" s="298" t="s">
        <v>6269</v>
      </c>
      <c r="B1839" s="298" t="s">
        <v>13312</v>
      </c>
      <c r="C1839" s="298" t="s">
        <v>13313</v>
      </c>
      <c r="D1839" s="298" t="s">
        <v>256</v>
      </c>
      <c r="E1839" s="298"/>
      <c r="F1839" s="298" t="s">
        <v>6270</v>
      </c>
      <c r="G1839" s="299" t="b">
        <v>0</v>
      </c>
      <c r="H1839" s="299" t="b">
        <v>0</v>
      </c>
      <c r="J1839" s="113" t="str">
        <f t="shared" si="57"/>
        <v>911377888</v>
      </c>
      <c r="K1839" s="113" t="str">
        <f t="shared" si="58"/>
        <v>CG01918</v>
      </c>
    </row>
    <row r="1840" spans="1:11" x14ac:dyDescent="0.3">
      <c r="A1840" s="298" t="s">
        <v>6271</v>
      </c>
      <c r="B1840" s="298" t="s">
        <v>6272</v>
      </c>
      <c r="C1840" s="298" t="s">
        <v>289</v>
      </c>
      <c r="D1840" s="298" t="s">
        <v>256</v>
      </c>
      <c r="E1840" s="298"/>
      <c r="F1840" s="298" t="s">
        <v>6273</v>
      </c>
      <c r="G1840" s="299" t="b">
        <v>0</v>
      </c>
      <c r="H1840" s="299" t="b">
        <v>0</v>
      </c>
      <c r="J1840" s="113" t="str">
        <f t="shared" si="57"/>
        <v>915076888</v>
      </c>
      <c r="K1840" s="113" t="str">
        <f t="shared" si="58"/>
        <v>CG01919</v>
      </c>
    </row>
    <row r="1841" spans="1:11" x14ac:dyDescent="0.3">
      <c r="A1841" s="298" t="s">
        <v>6274</v>
      </c>
      <c r="B1841" s="298" t="s">
        <v>6275</v>
      </c>
      <c r="C1841" s="298" t="s">
        <v>289</v>
      </c>
      <c r="D1841" s="298" t="s">
        <v>256</v>
      </c>
      <c r="E1841" s="298"/>
      <c r="F1841" s="298" t="s">
        <v>6276</v>
      </c>
      <c r="G1841" s="299" t="b">
        <v>0</v>
      </c>
      <c r="H1841" s="299" t="b">
        <v>0</v>
      </c>
      <c r="J1841" s="113" t="str">
        <f t="shared" si="57"/>
        <v>989122306</v>
      </c>
      <c r="K1841" s="113" t="str">
        <f t="shared" si="58"/>
        <v>CG01920</v>
      </c>
    </row>
    <row r="1842" spans="1:11" x14ac:dyDescent="0.3">
      <c r="A1842" s="298" t="s">
        <v>6277</v>
      </c>
      <c r="B1842" s="298" t="s">
        <v>6278</v>
      </c>
      <c r="C1842" s="298" t="s">
        <v>530</v>
      </c>
      <c r="D1842" s="298" t="s">
        <v>256</v>
      </c>
      <c r="E1842" s="298"/>
      <c r="F1842" s="298" t="s">
        <v>6279</v>
      </c>
      <c r="G1842" s="299" t="b">
        <v>0</v>
      </c>
      <c r="H1842" s="299" t="b">
        <v>0</v>
      </c>
      <c r="J1842" s="113" t="str">
        <f t="shared" si="57"/>
        <v>912902251</v>
      </c>
      <c r="K1842" s="113" t="str">
        <f t="shared" si="58"/>
        <v>CG01921</v>
      </c>
    </row>
    <row r="1843" spans="1:11" x14ac:dyDescent="0.3">
      <c r="A1843" s="298" t="s">
        <v>6280</v>
      </c>
      <c r="B1843" s="298" t="s">
        <v>6281</v>
      </c>
      <c r="C1843" s="298" t="s">
        <v>409</v>
      </c>
      <c r="D1843" s="298" t="s">
        <v>256</v>
      </c>
      <c r="E1843" s="298"/>
      <c r="F1843" s="298" t="s">
        <v>6282</v>
      </c>
      <c r="G1843" s="299" t="b">
        <v>0</v>
      </c>
      <c r="H1843" s="299" t="b">
        <v>0</v>
      </c>
      <c r="J1843" s="113" t="str">
        <f t="shared" si="57"/>
        <v>904714647</v>
      </c>
      <c r="K1843" s="113" t="str">
        <f t="shared" si="58"/>
        <v>CG01922</v>
      </c>
    </row>
    <row r="1844" spans="1:11" x14ac:dyDescent="0.3">
      <c r="A1844" s="298" t="s">
        <v>6283</v>
      </c>
      <c r="B1844" s="298" t="s">
        <v>6284</v>
      </c>
      <c r="C1844" s="298" t="s">
        <v>672</v>
      </c>
      <c r="D1844" s="298" t="s">
        <v>256</v>
      </c>
      <c r="E1844" s="298"/>
      <c r="F1844" s="298" t="s">
        <v>6285</v>
      </c>
      <c r="G1844" s="299" t="b">
        <v>0</v>
      </c>
      <c r="H1844" s="299" t="b">
        <v>0</v>
      </c>
      <c r="J1844" s="113" t="str">
        <f t="shared" si="57"/>
        <v>912969999</v>
      </c>
      <c r="K1844" s="113" t="str">
        <f t="shared" si="58"/>
        <v>CG01923</v>
      </c>
    </row>
    <row r="1845" spans="1:11" x14ac:dyDescent="0.3">
      <c r="A1845" s="298" t="s">
        <v>6286</v>
      </c>
      <c r="B1845" s="298" t="s">
        <v>6287</v>
      </c>
      <c r="C1845" s="298" t="s">
        <v>495</v>
      </c>
      <c r="D1845" s="298" t="s">
        <v>256</v>
      </c>
      <c r="E1845" s="298"/>
      <c r="F1845" s="298" t="s">
        <v>6288</v>
      </c>
      <c r="G1845" s="299" t="b">
        <v>0</v>
      </c>
      <c r="H1845" s="299" t="b">
        <v>0</v>
      </c>
      <c r="J1845" s="113" t="str">
        <f t="shared" si="57"/>
        <v>913355654</v>
      </c>
      <c r="K1845" s="113" t="str">
        <f t="shared" si="58"/>
        <v>CG01924</v>
      </c>
    </row>
    <row r="1846" spans="1:11" x14ac:dyDescent="0.3">
      <c r="A1846" s="298" t="s">
        <v>6289</v>
      </c>
      <c r="B1846" s="298" t="s">
        <v>6290</v>
      </c>
      <c r="C1846" s="298" t="s">
        <v>6291</v>
      </c>
      <c r="D1846" s="298" t="s">
        <v>256</v>
      </c>
      <c r="E1846" s="298"/>
      <c r="F1846" s="298" t="s">
        <v>6292</v>
      </c>
      <c r="G1846" s="299" t="b">
        <v>0</v>
      </c>
      <c r="H1846" s="299" t="b">
        <v>0</v>
      </c>
      <c r="J1846" s="113" t="str">
        <f t="shared" si="57"/>
        <v>945698998</v>
      </c>
      <c r="K1846" s="113" t="str">
        <f t="shared" si="58"/>
        <v>CG01925</v>
      </c>
    </row>
    <row r="1847" spans="1:11" x14ac:dyDescent="0.3">
      <c r="A1847" s="298" t="s">
        <v>6293</v>
      </c>
      <c r="B1847" s="298" t="s">
        <v>14677</v>
      </c>
      <c r="C1847" s="298" t="s">
        <v>6294</v>
      </c>
      <c r="D1847" s="298" t="s">
        <v>256</v>
      </c>
      <c r="E1847" s="298"/>
      <c r="F1847" s="298" t="s">
        <v>6295</v>
      </c>
      <c r="G1847" s="299" t="b">
        <v>0</v>
      </c>
      <c r="H1847" s="299" t="b">
        <v>0</v>
      </c>
      <c r="J1847" s="113" t="str">
        <f t="shared" si="57"/>
        <v>822486527</v>
      </c>
      <c r="K1847" s="113" t="str">
        <f t="shared" si="58"/>
        <v>CG01926</v>
      </c>
    </row>
    <row r="1848" spans="1:11" x14ac:dyDescent="0.3">
      <c r="A1848" s="298" t="s">
        <v>6296</v>
      </c>
      <c r="B1848" s="298" t="s">
        <v>6297</v>
      </c>
      <c r="C1848" s="298" t="s">
        <v>3005</v>
      </c>
      <c r="D1848" s="298" t="s">
        <v>256</v>
      </c>
      <c r="E1848" s="298"/>
      <c r="F1848" s="298" t="s">
        <v>6298</v>
      </c>
      <c r="G1848" s="299" t="b">
        <v>0</v>
      </c>
      <c r="H1848" s="299" t="b">
        <v>0</v>
      </c>
      <c r="J1848" s="113" t="str">
        <f t="shared" si="57"/>
        <v>392055098</v>
      </c>
      <c r="K1848" s="113" t="str">
        <f t="shared" si="58"/>
        <v>CG01927</v>
      </c>
    </row>
    <row r="1849" spans="1:11" x14ac:dyDescent="0.3">
      <c r="A1849" s="298" t="s">
        <v>6299</v>
      </c>
      <c r="B1849" s="298" t="s">
        <v>6300</v>
      </c>
      <c r="C1849" s="298" t="s">
        <v>547</v>
      </c>
      <c r="D1849" s="298" t="s">
        <v>256</v>
      </c>
      <c r="E1849" s="298"/>
      <c r="F1849" s="298" t="s">
        <v>6301</v>
      </c>
      <c r="G1849" s="299" t="b">
        <v>0</v>
      </c>
      <c r="H1849" s="299" t="b">
        <v>0</v>
      </c>
      <c r="J1849" s="113" t="str">
        <f t="shared" si="57"/>
        <v>988246479</v>
      </c>
      <c r="K1849" s="113" t="str">
        <f t="shared" si="58"/>
        <v>CG01928</v>
      </c>
    </row>
    <row r="1850" spans="1:11" x14ac:dyDescent="0.3">
      <c r="A1850" s="298" t="s">
        <v>6302</v>
      </c>
      <c r="B1850" s="298" t="s">
        <v>6303</v>
      </c>
      <c r="C1850" s="298" t="s">
        <v>416</v>
      </c>
      <c r="D1850" s="298" t="s">
        <v>256</v>
      </c>
      <c r="E1850" s="298"/>
      <c r="F1850" s="298" t="s">
        <v>6304</v>
      </c>
      <c r="G1850" s="299" t="b">
        <v>0</v>
      </c>
      <c r="H1850" s="299" t="b">
        <v>0</v>
      </c>
      <c r="J1850" s="113" t="str">
        <f t="shared" si="57"/>
        <v>945105125</v>
      </c>
      <c r="K1850" s="113" t="str">
        <f t="shared" si="58"/>
        <v>CG01929</v>
      </c>
    </row>
    <row r="1851" spans="1:11" x14ac:dyDescent="0.3">
      <c r="A1851" s="298" t="s">
        <v>6305</v>
      </c>
      <c r="B1851" s="298" t="s">
        <v>6306</v>
      </c>
      <c r="C1851" s="298" t="s">
        <v>6307</v>
      </c>
      <c r="D1851" s="298" t="s">
        <v>256</v>
      </c>
      <c r="E1851" s="298"/>
      <c r="F1851" s="298" t="s">
        <v>6308</v>
      </c>
      <c r="G1851" s="299" t="b">
        <v>0</v>
      </c>
      <c r="H1851" s="299" t="b">
        <v>0</v>
      </c>
      <c r="J1851" s="113" t="str">
        <f t="shared" si="57"/>
        <v>913308682</v>
      </c>
      <c r="K1851" s="113" t="str">
        <f t="shared" si="58"/>
        <v>CG01930</v>
      </c>
    </row>
    <row r="1852" spans="1:11" x14ac:dyDescent="0.3">
      <c r="A1852" s="298" t="s">
        <v>6309</v>
      </c>
      <c r="B1852" s="298" t="s">
        <v>6310</v>
      </c>
      <c r="C1852" s="298" t="s">
        <v>816</v>
      </c>
      <c r="D1852" s="298" t="s">
        <v>256</v>
      </c>
      <c r="E1852" s="298"/>
      <c r="F1852" s="298" t="s">
        <v>6311</v>
      </c>
      <c r="G1852" s="299" t="b">
        <v>0</v>
      </c>
      <c r="H1852" s="299" t="b">
        <v>0</v>
      </c>
      <c r="J1852" s="113" t="str">
        <f t="shared" si="57"/>
        <v>982114956</v>
      </c>
      <c r="K1852" s="113" t="str">
        <f t="shared" si="58"/>
        <v>CG01931</v>
      </c>
    </row>
    <row r="1853" spans="1:11" x14ac:dyDescent="0.3">
      <c r="A1853" s="298" t="s">
        <v>6312</v>
      </c>
      <c r="B1853" s="298" t="s">
        <v>6313</v>
      </c>
      <c r="C1853" s="298" t="s">
        <v>6314</v>
      </c>
      <c r="D1853" s="298" t="s">
        <v>256</v>
      </c>
      <c r="E1853" s="298"/>
      <c r="F1853" s="298" t="s">
        <v>6315</v>
      </c>
      <c r="G1853" s="299" t="b">
        <v>0</v>
      </c>
      <c r="H1853" s="299" t="b">
        <v>0</v>
      </c>
      <c r="J1853" s="113" t="str">
        <f t="shared" si="57"/>
        <v>977377366</v>
      </c>
      <c r="K1853" s="113" t="str">
        <f t="shared" si="58"/>
        <v>CG01932</v>
      </c>
    </row>
    <row r="1854" spans="1:11" x14ac:dyDescent="0.3">
      <c r="A1854" s="298" t="s">
        <v>6316</v>
      </c>
      <c r="B1854" s="298" t="s">
        <v>6317</v>
      </c>
      <c r="C1854" s="298" t="s">
        <v>1587</v>
      </c>
      <c r="D1854" s="298" t="s">
        <v>256</v>
      </c>
      <c r="E1854" s="298"/>
      <c r="F1854" s="298" t="s">
        <v>6318</v>
      </c>
      <c r="G1854" s="299" t="b">
        <v>0</v>
      </c>
      <c r="H1854" s="299" t="b">
        <v>0</v>
      </c>
      <c r="J1854" s="113" t="str">
        <f t="shared" si="57"/>
        <v>915377998</v>
      </c>
      <c r="K1854" s="113" t="str">
        <f t="shared" si="58"/>
        <v>CG01933</v>
      </c>
    </row>
    <row r="1855" spans="1:11" x14ac:dyDescent="0.3">
      <c r="A1855" s="298" t="s">
        <v>6319</v>
      </c>
      <c r="B1855" s="298" t="s">
        <v>6320</v>
      </c>
      <c r="C1855" s="298" t="s">
        <v>2170</v>
      </c>
      <c r="D1855" s="298" t="s">
        <v>256</v>
      </c>
      <c r="E1855" s="298"/>
      <c r="F1855" s="298" t="s">
        <v>6321</v>
      </c>
      <c r="G1855" s="299" t="b">
        <v>0</v>
      </c>
      <c r="H1855" s="299" t="b">
        <v>0</v>
      </c>
      <c r="J1855" s="113" t="str">
        <f t="shared" si="57"/>
        <v>777346636</v>
      </c>
      <c r="K1855" s="113" t="str">
        <f t="shared" si="58"/>
        <v>CG01934</v>
      </c>
    </row>
    <row r="1856" spans="1:11" x14ac:dyDescent="0.3">
      <c r="A1856" s="298" t="s">
        <v>6322</v>
      </c>
      <c r="B1856" s="298" t="s">
        <v>6323</v>
      </c>
      <c r="C1856" s="298" t="s">
        <v>466</v>
      </c>
      <c r="D1856" s="298" t="s">
        <v>256</v>
      </c>
      <c r="E1856" s="298"/>
      <c r="F1856" s="298" t="s">
        <v>6324</v>
      </c>
      <c r="G1856" s="299" t="b">
        <v>0</v>
      </c>
      <c r="H1856" s="299" t="b">
        <v>0</v>
      </c>
      <c r="J1856" s="113" t="str">
        <f t="shared" si="57"/>
        <v>944688007</v>
      </c>
      <c r="K1856" s="113" t="str">
        <f t="shared" si="58"/>
        <v>CG01935</v>
      </c>
    </row>
    <row r="1857" spans="1:11" x14ac:dyDescent="0.3">
      <c r="A1857" s="298" t="s">
        <v>6325</v>
      </c>
      <c r="B1857" s="298" t="s">
        <v>6326</v>
      </c>
      <c r="C1857" s="298" t="s">
        <v>286</v>
      </c>
      <c r="D1857" s="298" t="s">
        <v>256</v>
      </c>
      <c r="E1857" s="298"/>
      <c r="F1857" s="298" t="s">
        <v>6327</v>
      </c>
      <c r="G1857" s="299" t="b">
        <v>0</v>
      </c>
      <c r="H1857" s="299" t="b">
        <v>0</v>
      </c>
      <c r="J1857" s="113" t="str">
        <f t="shared" si="57"/>
        <v>916261343</v>
      </c>
      <c r="K1857" s="113" t="str">
        <f t="shared" si="58"/>
        <v>CG01936</v>
      </c>
    </row>
    <row r="1858" spans="1:11" x14ac:dyDescent="0.3">
      <c r="A1858" s="298" t="s">
        <v>6328</v>
      </c>
      <c r="B1858" s="298" t="s">
        <v>6329</v>
      </c>
      <c r="C1858" s="298" t="s">
        <v>997</v>
      </c>
      <c r="D1858" s="298" t="s">
        <v>256</v>
      </c>
      <c r="E1858" s="298"/>
      <c r="F1858" s="298" t="s">
        <v>6330</v>
      </c>
      <c r="G1858" s="299" t="b">
        <v>0</v>
      </c>
      <c r="H1858" s="299" t="b">
        <v>0</v>
      </c>
      <c r="J1858" s="113" t="str">
        <f t="shared" si="57"/>
        <v>985768228</v>
      </c>
      <c r="K1858" s="113" t="str">
        <f t="shared" si="58"/>
        <v>CG01937</v>
      </c>
    </row>
    <row r="1859" spans="1:11" x14ac:dyDescent="0.3">
      <c r="A1859" s="298" t="s">
        <v>6331</v>
      </c>
      <c r="B1859" s="298" t="s">
        <v>6332</v>
      </c>
      <c r="C1859" s="298" t="s">
        <v>1237</v>
      </c>
      <c r="D1859" s="298" t="s">
        <v>256</v>
      </c>
      <c r="E1859" s="298"/>
      <c r="F1859" s="298" t="s">
        <v>6333</v>
      </c>
      <c r="G1859" s="299" t="b">
        <v>0</v>
      </c>
      <c r="H1859" s="299" t="b">
        <v>0</v>
      </c>
      <c r="J1859" s="113" t="str">
        <f t="shared" si="57"/>
        <v>971698389</v>
      </c>
      <c r="K1859" s="113" t="str">
        <f t="shared" si="58"/>
        <v>CG01938</v>
      </c>
    </row>
    <row r="1860" spans="1:11" x14ac:dyDescent="0.3">
      <c r="A1860" s="298" t="s">
        <v>6334</v>
      </c>
      <c r="B1860" s="298" t="s">
        <v>6335</v>
      </c>
      <c r="C1860" s="298" t="s">
        <v>340</v>
      </c>
      <c r="D1860" s="298" t="s">
        <v>256</v>
      </c>
      <c r="E1860" s="298"/>
      <c r="F1860" s="298" t="s">
        <v>6336</v>
      </c>
      <c r="G1860" s="299" t="b">
        <v>0</v>
      </c>
      <c r="H1860" s="299" t="b">
        <v>0</v>
      </c>
      <c r="J1860" s="113" t="str">
        <f t="shared" si="57"/>
        <v>936654917</v>
      </c>
      <c r="K1860" s="113" t="str">
        <f t="shared" si="58"/>
        <v>CG01939</v>
      </c>
    </row>
    <row r="1861" spans="1:11" x14ac:dyDescent="0.3">
      <c r="A1861" s="298" t="s">
        <v>6337</v>
      </c>
      <c r="B1861" s="298" t="s">
        <v>6338</v>
      </c>
      <c r="C1861" s="298" t="s">
        <v>452</v>
      </c>
      <c r="D1861" s="298" t="s">
        <v>256</v>
      </c>
      <c r="E1861" s="298"/>
      <c r="F1861" s="298" t="s">
        <v>6339</v>
      </c>
      <c r="G1861" s="299" t="b">
        <v>0</v>
      </c>
      <c r="H1861" s="299" t="b">
        <v>0</v>
      </c>
      <c r="J1861" s="113" t="str">
        <f t="shared" ref="J1861:J1924" si="59">RIGHT(B1861,9)</f>
        <v>977862675</v>
      </c>
      <c r="K1861" s="113" t="str">
        <f t="shared" ref="K1861:K1924" si="60">A1861</f>
        <v>CG01940</v>
      </c>
    </row>
    <row r="1862" spans="1:11" x14ac:dyDescent="0.3">
      <c r="A1862" s="298" t="s">
        <v>6340</v>
      </c>
      <c r="B1862" s="298" t="s">
        <v>6341</v>
      </c>
      <c r="C1862" s="298" t="s">
        <v>2531</v>
      </c>
      <c r="D1862" s="298" t="s">
        <v>256</v>
      </c>
      <c r="E1862" s="298"/>
      <c r="F1862" s="298" t="s">
        <v>6342</v>
      </c>
      <c r="G1862" s="299" t="b">
        <v>0</v>
      </c>
      <c r="H1862" s="299" t="b">
        <v>0</v>
      </c>
      <c r="J1862" s="113" t="str">
        <f t="shared" si="59"/>
        <v>978155678</v>
      </c>
      <c r="K1862" s="113" t="str">
        <f t="shared" si="60"/>
        <v>CG01941</v>
      </c>
    </row>
    <row r="1863" spans="1:11" x14ac:dyDescent="0.3">
      <c r="A1863" s="298" t="s">
        <v>6343</v>
      </c>
      <c r="B1863" s="298" t="s">
        <v>6344</v>
      </c>
      <c r="C1863" s="298" t="s">
        <v>463</v>
      </c>
      <c r="D1863" s="298" t="s">
        <v>256</v>
      </c>
      <c r="E1863" s="298"/>
      <c r="F1863" s="298" t="s">
        <v>6345</v>
      </c>
      <c r="G1863" s="299" t="b">
        <v>0</v>
      </c>
      <c r="H1863" s="299" t="b">
        <v>0</v>
      </c>
      <c r="J1863" s="113" t="str">
        <f t="shared" si="59"/>
        <v>834671666</v>
      </c>
      <c r="K1863" s="113" t="str">
        <f t="shared" si="60"/>
        <v>CG01942</v>
      </c>
    </row>
    <row r="1864" spans="1:11" x14ac:dyDescent="0.3">
      <c r="A1864" s="298" t="s">
        <v>6346</v>
      </c>
      <c r="B1864" s="298" t="s">
        <v>6347</v>
      </c>
      <c r="C1864" s="298" t="s">
        <v>6348</v>
      </c>
      <c r="D1864" s="298" t="s">
        <v>256</v>
      </c>
      <c r="E1864" s="298"/>
      <c r="F1864" s="298" t="s">
        <v>6349</v>
      </c>
      <c r="G1864" s="299" t="b">
        <v>0</v>
      </c>
      <c r="H1864" s="299" t="b">
        <v>0</v>
      </c>
      <c r="J1864" s="113" t="str">
        <f t="shared" si="59"/>
        <v>392529270</v>
      </c>
      <c r="K1864" s="113" t="str">
        <f t="shared" si="60"/>
        <v>CG01943</v>
      </c>
    </row>
    <row r="1865" spans="1:11" x14ac:dyDescent="0.3">
      <c r="A1865" s="298" t="s">
        <v>6350</v>
      </c>
      <c r="B1865" s="298" t="s">
        <v>6351</v>
      </c>
      <c r="C1865" s="298" t="s">
        <v>231</v>
      </c>
      <c r="D1865" s="298" t="s">
        <v>256</v>
      </c>
      <c r="E1865" s="298"/>
      <c r="F1865" s="298" t="s">
        <v>6352</v>
      </c>
      <c r="G1865" s="299" t="b">
        <v>0</v>
      </c>
      <c r="H1865" s="299" t="b">
        <v>0</v>
      </c>
      <c r="J1865" s="113" t="str">
        <f t="shared" si="59"/>
        <v>966168288</v>
      </c>
      <c r="K1865" s="113" t="str">
        <f t="shared" si="60"/>
        <v>CG01944</v>
      </c>
    </row>
    <row r="1866" spans="1:11" x14ac:dyDescent="0.3">
      <c r="A1866" s="298" t="s">
        <v>6353</v>
      </c>
      <c r="B1866" s="298" t="s">
        <v>6354</v>
      </c>
      <c r="C1866" s="298" t="s">
        <v>711</v>
      </c>
      <c r="D1866" s="298" t="s">
        <v>256</v>
      </c>
      <c r="E1866" s="298"/>
      <c r="F1866" s="298" t="s">
        <v>6355</v>
      </c>
      <c r="G1866" s="299" t="b">
        <v>0</v>
      </c>
      <c r="H1866" s="299" t="b">
        <v>0</v>
      </c>
      <c r="J1866" s="113" t="str">
        <f t="shared" si="59"/>
        <v>902586666</v>
      </c>
      <c r="K1866" s="113" t="str">
        <f t="shared" si="60"/>
        <v>CG01945</v>
      </c>
    </row>
    <row r="1867" spans="1:11" x14ac:dyDescent="0.3">
      <c r="A1867" s="298" t="s">
        <v>6356</v>
      </c>
      <c r="B1867" s="298" t="s">
        <v>6357</v>
      </c>
      <c r="C1867" s="298" t="s">
        <v>474</v>
      </c>
      <c r="D1867" s="298" t="s">
        <v>256</v>
      </c>
      <c r="E1867" s="298"/>
      <c r="F1867" s="298" t="s">
        <v>6358</v>
      </c>
      <c r="G1867" s="299" t="b">
        <v>0</v>
      </c>
      <c r="H1867" s="299" t="b">
        <v>0</v>
      </c>
      <c r="J1867" s="113" t="str">
        <f t="shared" si="59"/>
        <v>916282345</v>
      </c>
      <c r="K1867" s="113" t="str">
        <f t="shared" si="60"/>
        <v>CG01946</v>
      </c>
    </row>
    <row r="1868" spans="1:11" x14ac:dyDescent="0.3">
      <c r="A1868" s="298" t="s">
        <v>6359</v>
      </c>
      <c r="B1868" s="298" t="s">
        <v>6360</v>
      </c>
      <c r="C1868" s="298" t="s">
        <v>718</v>
      </c>
      <c r="D1868" s="298" t="s">
        <v>256</v>
      </c>
      <c r="E1868" s="298"/>
      <c r="F1868" s="298" t="s">
        <v>6361</v>
      </c>
      <c r="G1868" s="299" t="b">
        <v>0</v>
      </c>
      <c r="H1868" s="299" t="b">
        <v>0</v>
      </c>
      <c r="J1868" s="113" t="str">
        <f t="shared" si="59"/>
        <v>775269007</v>
      </c>
      <c r="K1868" s="113" t="str">
        <f t="shared" si="60"/>
        <v>CG01947</v>
      </c>
    </row>
    <row r="1869" spans="1:11" x14ac:dyDescent="0.3">
      <c r="A1869" s="298" t="s">
        <v>6362</v>
      </c>
      <c r="B1869" s="298" t="s">
        <v>6363</v>
      </c>
      <c r="C1869" s="298" t="s">
        <v>2763</v>
      </c>
      <c r="D1869" s="298" t="s">
        <v>256</v>
      </c>
      <c r="E1869" s="298"/>
      <c r="F1869" s="298" t="s">
        <v>6364</v>
      </c>
      <c r="G1869" s="299" t="b">
        <v>0</v>
      </c>
      <c r="H1869" s="299" t="b">
        <v>0</v>
      </c>
      <c r="J1869" s="113" t="str">
        <f t="shared" si="59"/>
        <v>987524192</v>
      </c>
      <c r="K1869" s="113" t="str">
        <f t="shared" si="60"/>
        <v>CG01948</v>
      </c>
    </row>
    <row r="1870" spans="1:11" x14ac:dyDescent="0.3">
      <c r="A1870" s="298" t="s">
        <v>6365</v>
      </c>
      <c r="B1870" s="298" t="s">
        <v>6366</v>
      </c>
      <c r="C1870" s="298" t="s">
        <v>2114</v>
      </c>
      <c r="D1870" s="298" t="s">
        <v>256</v>
      </c>
      <c r="E1870" s="298"/>
      <c r="F1870" s="298" t="s">
        <v>6367</v>
      </c>
      <c r="G1870" s="299" t="b">
        <v>0</v>
      </c>
      <c r="H1870" s="299" t="b">
        <v>0</v>
      </c>
      <c r="J1870" s="113" t="str">
        <f t="shared" si="59"/>
        <v>988737266</v>
      </c>
      <c r="K1870" s="113" t="str">
        <f t="shared" si="60"/>
        <v>CG01949</v>
      </c>
    </row>
    <row r="1871" spans="1:11" x14ac:dyDescent="0.3">
      <c r="A1871" s="298" t="s">
        <v>6368</v>
      </c>
      <c r="B1871" s="298" t="s">
        <v>6369</v>
      </c>
      <c r="C1871" s="298" t="s">
        <v>3573</v>
      </c>
      <c r="D1871" s="298" t="s">
        <v>256</v>
      </c>
      <c r="E1871" s="298"/>
      <c r="F1871" s="298" t="s">
        <v>6370</v>
      </c>
      <c r="G1871" s="299" t="b">
        <v>0</v>
      </c>
      <c r="H1871" s="299" t="b">
        <v>0</v>
      </c>
      <c r="J1871" s="113" t="str">
        <f t="shared" si="59"/>
        <v>346173444</v>
      </c>
      <c r="K1871" s="113" t="str">
        <f t="shared" si="60"/>
        <v>CG01950</v>
      </c>
    </row>
    <row r="1872" spans="1:11" x14ac:dyDescent="0.3">
      <c r="A1872" s="298" t="s">
        <v>6371</v>
      </c>
      <c r="B1872" s="298" t="s">
        <v>14678</v>
      </c>
      <c r="C1872" s="298" t="s">
        <v>416</v>
      </c>
      <c r="D1872" s="298" t="s">
        <v>256</v>
      </c>
      <c r="E1872" s="298"/>
      <c r="F1872" s="298" t="s">
        <v>6372</v>
      </c>
      <c r="G1872" s="299" t="b">
        <v>0</v>
      </c>
      <c r="H1872" s="299" t="b">
        <v>0</v>
      </c>
      <c r="J1872" s="113" t="str">
        <f t="shared" si="59"/>
        <v>973482662</v>
      </c>
      <c r="K1872" s="113" t="str">
        <f t="shared" si="60"/>
        <v>CG01952</v>
      </c>
    </row>
    <row r="1873" spans="1:11" x14ac:dyDescent="0.3">
      <c r="A1873" s="298" t="s">
        <v>6373</v>
      </c>
      <c r="B1873" s="298" t="s">
        <v>13314</v>
      </c>
      <c r="C1873" s="298" t="s">
        <v>375</v>
      </c>
      <c r="D1873" s="298" t="s">
        <v>256</v>
      </c>
      <c r="E1873" s="298"/>
      <c r="F1873" s="298" t="s">
        <v>6374</v>
      </c>
      <c r="G1873" s="299" t="b">
        <v>0</v>
      </c>
      <c r="H1873" s="299" t="b">
        <v>0</v>
      </c>
      <c r="J1873" s="113" t="str">
        <f t="shared" si="59"/>
        <v>982475778</v>
      </c>
      <c r="K1873" s="113" t="str">
        <f t="shared" si="60"/>
        <v>CG01953</v>
      </c>
    </row>
    <row r="1874" spans="1:11" x14ac:dyDescent="0.3">
      <c r="A1874" s="298" t="s">
        <v>6375</v>
      </c>
      <c r="B1874" s="298" t="s">
        <v>6376</v>
      </c>
      <c r="C1874" s="298" t="s">
        <v>711</v>
      </c>
      <c r="D1874" s="298" t="s">
        <v>256</v>
      </c>
      <c r="E1874" s="298"/>
      <c r="F1874" s="298" t="s">
        <v>6377</v>
      </c>
      <c r="G1874" s="299" t="b">
        <v>0</v>
      </c>
      <c r="H1874" s="299" t="b">
        <v>0</v>
      </c>
      <c r="J1874" s="113" t="str">
        <f t="shared" si="59"/>
        <v>961331979</v>
      </c>
      <c r="K1874" s="113" t="str">
        <f t="shared" si="60"/>
        <v>CG01954</v>
      </c>
    </row>
    <row r="1875" spans="1:11" x14ac:dyDescent="0.3">
      <c r="A1875" s="298" t="s">
        <v>6378</v>
      </c>
      <c r="B1875" s="298" t="s">
        <v>6379</v>
      </c>
      <c r="C1875" s="298" t="s">
        <v>1508</v>
      </c>
      <c r="D1875" s="298" t="s">
        <v>256</v>
      </c>
      <c r="E1875" s="298"/>
      <c r="F1875" s="298" t="s">
        <v>6380</v>
      </c>
      <c r="G1875" s="299" t="b">
        <v>0</v>
      </c>
      <c r="H1875" s="299" t="b">
        <v>0</v>
      </c>
      <c r="J1875" s="113" t="str">
        <f t="shared" si="59"/>
        <v>912163586</v>
      </c>
      <c r="K1875" s="113" t="str">
        <f t="shared" si="60"/>
        <v>CG01955</v>
      </c>
    </row>
    <row r="1876" spans="1:11" x14ac:dyDescent="0.3">
      <c r="A1876" s="298" t="s">
        <v>6381</v>
      </c>
      <c r="B1876" s="298" t="s">
        <v>14679</v>
      </c>
      <c r="C1876" s="298" t="s">
        <v>286</v>
      </c>
      <c r="D1876" s="298" t="s">
        <v>256</v>
      </c>
      <c r="E1876" s="298"/>
      <c r="F1876" s="298" t="s">
        <v>6382</v>
      </c>
      <c r="G1876" s="299" t="b">
        <v>0</v>
      </c>
      <c r="H1876" s="299" t="b">
        <v>0</v>
      </c>
      <c r="J1876" s="113" t="str">
        <f t="shared" si="59"/>
        <v>966082800</v>
      </c>
      <c r="K1876" s="113" t="str">
        <f t="shared" si="60"/>
        <v>CG01956</v>
      </c>
    </row>
    <row r="1877" spans="1:11" x14ac:dyDescent="0.3">
      <c r="A1877" s="298" t="s">
        <v>6383</v>
      </c>
      <c r="B1877" s="298" t="s">
        <v>6384</v>
      </c>
      <c r="C1877" s="298" t="s">
        <v>340</v>
      </c>
      <c r="D1877" s="298" t="s">
        <v>256</v>
      </c>
      <c r="E1877" s="298"/>
      <c r="F1877" s="298" t="s">
        <v>6385</v>
      </c>
      <c r="G1877" s="299" t="b">
        <v>0</v>
      </c>
      <c r="H1877" s="299" t="b">
        <v>0</v>
      </c>
      <c r="J1877" s="113" t="str">
        <f t="shared" si="59"/>
        <v>388354377</v>
      </c>
      <c r="K1877" s="113" t="str">
        <f t="shared" si="60"/>
        <v>CG01957</v>
      </c>
    </row>
    <row r="1878" spans="1:11" x14ac:dyDescent="0.3">
      <c r="A1878" s="298" t="s">
        <v>6386</v>
      </c>
      <c r="B1878" s="298" t="s">
        <v>6387</v>
      </c>
      <c r="C1878" s="298" t="s">
        <v>5268</v>
      </c>
      <c r="D1878" s="298" t="s">
        <v>256</v>
      </c>
      <c r="E1878" s="298"/>
      <c r="F1878" s="298" t="s">
        <v>6388</v>
      </c>
      <c r="G1878" s="299" t="b">
        <v>0</v>
      </c>
      <c r="H1878" s="299" t="b">
        <v>0</v>
      </c>
      <c r="J1878" s="113" t="str">
        <f t="shared" si="59"/>
        <v>946545850</v>
      </c>
      <c r="K1878" s="113" t="str">
        <f t="shared" si="60"/>
        <v>CG01958</v>
      </c>
    </row>
    <row r="1879" spans="1:11" x14ac:dyDescent="0.3">
      <c r="A1879" s="298" t="s">
        <v>6389</v>
      </c>
      <c r="B1879" s="298" t="s">
        <v>6390</v>
      </c>
      <c r="C1879" s="298" t="s">
        <v>892</v>
      </c>
      <c r="D1879" s="298" t="s">
        <v>256</v>
      </c>
      <c r="E1879" s="298"/>
      <c r="F1879" s="298" t="s">
        <v>6391</v>
      </c>
      <c r="G1879" s="299" t="b">
        <v>0</v>
      </c>
      <c r="H1879" s="299" t="b">
        <v>0</v>
      </c>
      <c r="J1879" s="113" t="str">
        <f t="shared" si="59"/>
        <v>973937360</v>
      </c>
      <c r="K1879" s="113" t="str">
        <f t="shared" si="60"/>
        <v>CG01959</v>
      </c>
    </row>
    <row r="1880" spans="1:11" x14ac:dyDescent="0.3">
      <c r="A1880" s="298" t="s">
        <v>6392</v>
      </c>
      <c r="B1880" s="298" t="s">
        <v>6393</v>
      </c>
      <c r="C1880" s="298" t="s">
        <v>2114</v>
      </c>
      <c r="D1880" s="298" t="s">
        <v>256</v>
      </c>
      <c r="E1880" s="298"/>
      <c r="F1880" s="298" t="s">
        <v>6394</v>
      </c>
      <c r="G1880" s="299" t="b">
        <v>0</v>
      </c>
      <c r="H1880" s="299" t="b">
        <v>0</v>
      </c>
      <c r="J1880" s="113" t="str">
        <f t="shared" si="59"/>
        <v>982889457</v>
      </c>
      <c r="K1880" s="113" t="str">
        <f t="shared" si="60"/>
        <v>CG01960</v>
      </c>
    </row>
    <row r="1881" spans="1:11" x14ac:dyDescent="0.3">
      <c r="A1881" s="298" t="s">
        <v>6395</v>
      </c>
      <c r="B1881" s="298" t="s">
        <v>14680</v>
      </c>
      <c r="C1881" s="298" t="s">
        <v>375</v>
      </c>
      <c r="D1881" s="298" t="s">
        <v>256</v>
      </c>
      <c r="E1881" s="298"/>
      <c r="F1881" s="298" t="s">
        <v>6396</v>
      </c>
      <c r="G1881" s="299" t="b">
        <v>0</v>
      </c>
      <c r="H1881" s="299" t="b">
        <v>0</v>
      </c>
      <c r="J1881" s="113" t="str">
        <f t="shared" si="59"/>
        <v>972402776</v>
      </c>
      <c r="K1881" s="113" t="str">
        <f t="shared" si="60"/>
        <v>CG01961</v>
      </c>
    </row>
    <row r="1882" spans="1:11" x14ac:dyDescent="0.3">
      <c r="A1882" s="298" t="s">
        <v>6397</v>
      </c>
      <c r="B1882" s="298" t="s">
        <v>6398</v>
      </c>
      <c r="C1882" s="298" t="s">
        <v>6164</v>
      </c>
      <c r="D1882" s="298" t="s">
        <v>256</v>
      </c>
      <c r="E1882" s="298"/>
      <c r="F1882" s="298" t="s">
        <v>6399</v>
      </c>
      <c r="G1882" s="299" t="b">
        <v>0</v>
      </c>
      <c r="H1882" s="299" t="b">
        <v>0</v>
      </c>
      <c r="J1882" s="113" t="str">
        <f t="shared" si="59"/>
        <v>332485969</v>
      </c>
      <c r="K1882" s="113" t="str">
        <f t="shared" si="60"/>
        <v>CG01962</v>
      </c>
    </row>
    <row r="1883" spans="1:11" x14ac:dyDescent="0.3">
      <c r="A1883" s="298" t="s">
        <v>6400</v>
      </c>
      <c r="B1883" s="298" t="s">
        <v>6401</v>
      </c>
      <c r="C1883" s="298" t="s">
        <v>1222</v>
      </c>
      <c r="D1883" s="298" t="s">
        <v>256</v>
      </c>
      <c r="E1883" s="298"/>
      <c r="F1883" s="298" t="s">
        <v>6402</v>
      </c>
      <c r="G1883" s="299" t="b">
        <v>0</v>
      </c>
      <c r="H1883" s="299" t="b">
        <v>0</v>
      </c>
      <c r="J1883" s="113" t="str">
        <f t="shared" si="59"/>
        <v>981191856</v>
      </c>
      <c r="K1883" s="113" t="str">
        <f t="shared" si="60"/>
        <v>CG01963</v>
      </c>
    </row>
    <row r="1884" spans="1:11" x14ac:dyDescent="0.3">
      <c r="A1884" s="298" t="s">
        <v>6403</v>
      </c>
      <c r="B1884" s="298" t="s">
        <v>6404</v>
      </c>
      <c r="C1884" s="298" t="s">
        <v>390</v>
      </c>
      <c r="D1884" s="298" t="s">
        <v>256</v>
      </c>
      <c r="E1884" s="298"/>
      <c r="F1884" s="298" t="s">
        <v>6405</v>
      </c>
      <c r="G1884" s="299" t="b">
        <v>0</v>
      </c>
      <c r="H1884" s="299" t="b">
        <v>0</v>
      </c>
      <c r="J1884" s="113" t="str">
        <f t="shared" si="59"/>
        <v>983174858</v>
      </c>
      <c r="K1884" s="113" t="str">
        <f t="shared" si="60"/>
        <v>CG01964</v>
      </c>
    </row>
    <row r="1885" spans="1:11" x14ac:dyDescent="0.3">
      <c r="A1885" s="298" t="s">
        <v>6406</v>
      </c>
      <c r="B1885" s="298" t="s">
        <v>6407</v>
      </c>
      <c r="C1885" s="298" t="s">
        <v>463</v>
      </c>
      <c r="D1885" s="298" t="s">
        <v>256</v>
      </c>
      <c r="E1885" s="298"/>
      <c r="F1885" s="298" t="s">
        <v>6408</v>
      </c>
      <c r="G1885" s="299" t="b">
        <v>0</v>
      </c>
      <c r="H1885" s="299" t="b">
        <v>0</v>
      </c>
      <c r="J1885" s="113" t="str">
        <f t="shared" si="59"/>
        <v>986819865</v>
      </c>
      <c r="K1885" s="113" t="str">
        <f t="shared" si="60"/>
        <v>CG01965</v>
      </c>
    </row>
    <row r="1886" spans="1:11" x14ac:dyDescent="0.3">
      <c r="A1886" s="298" t="s">
        <v>6409</v>
      </c>
      <c r="B1886" s="298" t="s">
        <v>6410</v>
      </c>
      <c r="C1886" s="298" t="s">
        <v>506</v>
      </c>
      <c r="D1886" s="298" t="s">
        <v>256</v>
      </c>
      <c r="E1886" s="298"/>
      <c r="F1886" s="298" t="s">
        <v>6411</v>
      </c>
      <c r="G1886" s="299" t="b">
        <v>0</v>
      </c>
      <c r="H1886" s="299" t="b">
        <v>0</v>
      </c>
      <c r="J1886" s="113" t="str">
        <f t="shared" si="59"/>
        <v>963112056</v>
      </c>
      <c r="K1886" s="113" t="str">
        <f t="shared" si="60"/>
        <v>CG01966</v>
      </c>
    </row>
    <row r="1887" spans="1:11" x14ac:dyDescent="0.3">
      <c r="A1887" s="298" t="s">
        <v>6412</v>
      </c>
      <c r="B1887" s="298" t="s">
        <v>6413</v>
      </c>
      <c r="C1887" s="298" t="s">
        <v>2051</v>
      </c>
      <c r="D1887" s="298" t="s">
        <v>256</v>
      </c>
      <c r="E1887" s="298"/>
      <c r="F1887" s="298" t="s">
        <v>6414</v>
      </c>
      <c r="G1887" s="299" t="b">
        <v>0</v>
      </c>
      <c r="H1887" s="299" t="b">
        <v>0</v>
      </c>
      <c r="J1887" s="113" t="str">
        <f t="shared" si="59"/>
        <v>948515666</v>
      </c>
      <c r="K1887" s="113" t="str">
        <f t="shared" si="60"/>
        <v>CG01967</v>
      </c>
    </row>
    <row r="1888" spans="1:11" x14ac:dyDescent="0.3">
      <c r="A1888" s="298" t="s">
        <v>6415</v>
      </c>
      <c r="B1888" s="298" t="s">
        <v>6416</v>
      </c>
      <c r="C1888" s="298" t="s">
        <v>6417</v>
      </c>
      <c r="D1888" s="298" t="s">
        <v>256</v>
      </c>
      <c r="E1888" s="298" t="s">
        <v>6418</v>
      </c>
      <c r="F1888" s="298" t="s">
        <v>2536</v>
      </c>
      <c r="G1888" s="299" t="b">
        <v>0</v>
      </c>
      <c r="H1888" s="299" t="b">
        <v>0</v>
      </c>
      <c r="J1888" s="113" t="str">
        <f t="shared" si="59"/>
        <v>989981348</v>
      </c>
      <c r="K1888" s="113" t="str">
        <f t="shared" si="60"/>
        <v>CG01968</v>
      </c>
    </row>
    <row r="1889" spans="1:11" x14ac:dyDescent="0.3">
      <c r="A1889" s="298" t="s">
        <v>6419</v>
      </c>
      <c r="B1889" s="298" t="s">
        <v>6420</v>
      </c>
      <c r="C1889" s="298" t="s">
        <v>530</v>
      </c>
      <c r="D1889" s="298" t="s">
        <v>256</v>
      </c>
      <c r="E1889" s="298"/>
      <c r="F1889" s="298" t="s">
        <v>6421</v>
      </c>
      <c r="G1889" s="299" t="b">
        <v>0</v>
      </c>
      <c r="H1889" s="299" t="b">
        <v>0</v>
      </c>
      <c r="J1889" s="113" t="str">
        <f t="shared" si="59"/>
        <v>912131394</v>
      </c>
      <c r="K1889" s="113" t="str">
        <f t="shared" si="60"/>
        <v>CG01969</v>
      </c>
    </row>
    <row r="1890" spans="1:11" x14ac:dyDescent="0.3">
      <c r="A1890" s="298" t="s">
        <v>6422</v>
      </c>
      <c r="B1890" s="298" t="s">
        <v>6423</v>
      </c>
      <c r="C1890" s="298" t="s">
        <v>1671</v>
      </c>
      <c r="D1890" s="298" t="s">
        <v>256</v>
      </c>
      <c r="E1890" s="298"/>
      <c r="F1890" s="298" t="s">
        <v>6424</v>
      </c>
      <c r="G1890" s="299" t="b">
        <v>0</v>
      </c>
      <c r="H1890" s="299" t="b">
        <v>0</v>
      </c>
      <c r="J1890" s="113" t="str">
        <f t="shared" si="59"/>
        <v>975667961</v>
      </c>
      <c r="K1890" s="113" t="str">
        <f t="shared" si="60"/>
        <v>CG01970</v>
      </c>
    </row>
    <row r="1891" spans="1:11" x14ac:dyDescent="0.3">
      <c r="A1891" s="298" t="s">
        <v>6425</v>
      </c>
      <c r="B1891" s="298" t="s">
        <v>6426</v>
      </c>
      <c r="C1891" s="298" t="s">
        <v>4354</v>
      </c>
      <c r="D1891" s="298" t="s">
        <v>256</v>
      </c>
      <c r="E1891" s="298"/>
      <c r="F1891" s="298" t="s">
        <v>6427</v>
      </c>
      <c r="G1891" s="299" t="b">
        <v>0</v>
      </c>
      <c r="H1891" s="299" t="b">
        <v>0</v>
      </c>
      <c r="J1891" s="113" t="str">
        <f t="shared" si="59"/>
        <v>334958702</v>
      </c>
      <c r="K1891" s="113" t="str">
        <f t="shared" si="60"/>
        <v>CG01971</v>
      </c>
    </row>
    <row r="1892" spans="1:11" x14ac:dyDescent="0.3">
      <c r="A1892" s="298" t="s">
        <v>6428</v>
      </c>
      <c r="B1892" s="298" t="s">
        <v>6429</v>
      </c>
      <c r="C1892" s="298" t="s">
        <v>785</v>
      </c>
      <c r="D1892" s="298" t="s">
        <v>256</v>
      </c>
      <c r="E1892" s="298"/>
      <c r="F1892" s="298" t="s">
        <v>6430</v>
      </c>
      <c r="G1892" s="299" t="b">
        <v>0</v>
      </c>
      <c r="H1892" s="299" t="b">
        <v>0</v>
      </c>
      <c r="J1892" s="113" t="str">
        <f t="shared" si="59"/>
        <v>946273335</v>
      </c>
      <c r="K1892" s="113" t="str">
        <f t="shared" si="60"/>
        <v>CG01972</v>
      </c>
    </row>
    <row r="1893" spans="1:11" x14ac:dyDescent="0.3">
      <c r="A1893" s="298" t="s">
        <v>6431</v>
      </c>
      <c r="B1893" s="298" t="s">
        <v>6432</v>
      </c>
      <c r="C1893" s="298" t="s">
        <v>1386</v>
      </c>
      <c r="D1893" s="298" t="s">
        <v>256</v>
      </c>
      <c r="E1893" s="298"/>
      <c r="F1893" s="298" t="s">
        <v>6433</v>
      </c>
      <c r="G1893" s="299" t="b">
        <v>0</v>
      </c>
      <c r="H1893" s="299" t="b">
        <v>0</v>
      </c>
      <c r="J1893" s="113" t="str">
        <f t="shared" si="59"/>
        <v>912447326</v>
      </c>
      <c r="K1893" s="113" t="str">
        <f t="shared" si="60"/>
        <v>CG01973</v>
      </c>
    </row>
    <row r="1894" spans="1:11" x14ac:dyDescent="0.3">
      <c r="A1894" s="298" t="s">
        <v>6434</v>
      </c>
      <c r="B1894" s="298" t="s">
        <v>6435</v>
      </c>
      <c r="C1894" s="298" t="s">
        <v>289</v>
      </c>
      <c r="D1894" s="298" t="s">
        <v>256</v>
      </c>
      <c r="E1894" s="298"/>
      <c r="F1894" s="298" t="s">
        <v>6436</v>
      </c>
      <c r="G1894" s="299" t="b">
        <v>0</v>
      </c>
      <c r="H1894" s="299" t="b">
        <v>0</v>
      </c>
      <c r="J1894" s="113" t="str">
        <f t="shared" si="59"/>
        <v>913393712</v>
      </c>
      <c r="K1894" s="113" t="str">
        <f t="shared" si="60"/>
        <v>CG01974</v>
      </c>
    </row>
    <row r="1895" spans="1:11" x14ac:dyDescent="0.3">
      <c r="A1895" s="298" t="s">
        <v>6437</v>
      </c>
      <c r="B1895" s="298" t="s">
        <v>6438</v>
      </c>
      <c r="C1895" s="298" t="s">
        <v>289</v>
      </c>
      <c r="D1895" s="298" t="s">
        <v>256</v>
      </c>
      <c r="E1895" s="298"/>
      <c r="F1895" s="298" t="s">
        <v>6439</v>
      </c>
      <c r="G1895" s="299" t="b">
        <v>0</v>
      </c>
      <c r="H1895" s="299" t="b">
        <v>0</v>
      </c>
      <c r="J1895" s="113" t="str">
        <f t="shared" si="59"/>
        <v>902001509</v>
      </c>
      <c r="K1895" s="113" t="str">
        <f t="shared" si="60"/>
        <v>CG01975</v>
      </c>
    </row>
    <row r="1896" spans="1:11" x14ac:dyDescent="0.3">
      <c r="A1896" s="298" t="s">
        <v>6440</v>
      </c>
      <c r="B1896" s="298" t="s">
        <v>6441</v>
      </c>
      <c r="C1896" s="298" t="s">
        <v>1488</v>
      </c>
      <c r="D1896" s="298" t="s">
        <v>256</v>
      </c>
      <c r="E1896" s="298"/>
      <c r="F1896" s="298" t="s">
        <v>6442</v>
      </c>
      <c r="G1896" s="299" t="b">
        <v>0</v>
      </c>
      <c r="H1896" s="299" t="b">
        <v>0</v>
      </c>
      <c r="J1896" s="113" t="str">
        <f t="shared" si="59"/>
        <v>915225555</v>
      </c>
      <c r="K1896" s="113" t="str">
        <f t="shared" si="60"/>
        <v>CG01976</v>
      </c>
    </row>
    <row r="1897" spans="1:11" x14ac:dyDescent="0.3">
      <c r="A1897" s="298" t="s">
        <v>6443</v>
      </c>
      <c r="B1897" s="298" t="s">
        <v>6444</v>
      </c>
      <c r="C1897" s="298" t="s">
        <v>711</v>
      </c>
      <c r="D1897" s="298" t="s">
        <v>256</v>
      </c>
      <c r="E1897" s="298"/>
      <c r="F1897" s="298" t="s">
        <v>6445</v>
      </c>
      <c r="G1897" s="299" t="b">
        <v>0</v>
      </c>
      <c r="H1897" s="299" t="b">
        <v>0</v>
      </c>
      <c r="J1897" s="113" t="str">
        <f t="shared" si="59"/>
        <v>916159968</v>
      </c>
      <c r="K1897" s="113" t="str">
        <f t="shared" si="60"/>
        <v>CG01977</v>
      </c>
    </row>
    <row r="1898" spans="1:11" x14ac:dyDescent="0.3">
      <c r="A1898" s="298" t="s">
        <v>6446</v>
      </c>
      <c r="B1898" s="298" t="s">
        <v>6447</v>
      </c>
      <c r="C1898" s="298" t="s">
        <v>355</v>
      </c>
      <c r="D1898" s="298" t="s">
        <v>256</v>
      </c>
      <c r="E1898" s="298"/>
      <c r="F1898" s="298" t="s">
        <v>6448</v>
      </c>
      <c r="G1898" s="299" t="b">
        <v>0</v>
      </c>
      <c r="H1898" s="299" t="b">
        <v>0</v>
      </c>
      <c r="J1898" s="113" t="str">
        <f t="shared" si="59"/>
        <v>948300837</v>
      </c>
      <c r="K1898" s="113" t="str">
        <f t="shared" si="60"/>
        <v>CG01978</v>
      </c>
    </row>
    <row r="1899" spans="1:11" x14ac:dyDescent="0.3">
      <c r="A1899" s="298" t="s">
        <v>6449</v>
      </c>
      <c r="B1899" s="298" t="s">
        <v>6450</v>
      </c>
      <c r="C1899" s="298" t="s">
        <v>474</v>
      </c>
      <c r="D1899" s="298" t="s">
        <v>256</v>
      </c>
      <c r="E1899" s="298"/>
      <c r="F1899" s="298" t="s">
        <v>6451</v>
      </c>
      <c r="G1899" s="299" t="b">
        <v>0</v>
      </c>
      <c r="H1899" s="299" t="b">
        <v>0</v>
      </c>
      <c r="J1899" s="113" t="str">
        <f t="shared" si="59"/>
        <v>972212021</v>
      </c>
      <c r="K1899" s="113" t="str">
        <f t="shared" si="60"/>
        <v>CG01979</v>
      </c>
    </row>
    <row r="1900" spans="1:11" x14ac:dyDescent="0.3">
      <c r="A1900" s="298" t="s">
        <v>6452</v>
      </c>
      <c r="B1900" s="298" t="s">
        <v>6453</v>
      </c>
      <c r="C1900" s="298" t="s">
        <v>1890</v>
      </c>
      <c r="D1900" s="298" t="s">
        <v>256</v>
      </c>
      <c r="E1900" s="298"/>
      <c r="F1900" s="298" t="s">
        <v>6454</v>
      </c>
      <c r="G1900" s="299" t="b">
        <v>0</v>
      </c>
      <c r="H1900" s="299" t="b">
        <v>0</v>
      </c>
      <c r="J1900" s="113" t="str">
        <f t="shared" si="59"/>
        <v>983818025</v>
      </c>
      <c r="K1900" s="113" t="str">
        <f t="shared" si="60"/>
        <v>CG01980</v>
      </c>
    </row>
    <row r="1901" spans="1:11" x14ac:dyDescent="0.3">
      <c r="A1901" s="298" t="s">
        <v>6455</v>
      </c>
      <c r="B1901" s="298" t="s">
        <v>6456</v>
      </c>
      <c r="C1901" s="298" t="s">
        <v>1237</v>
      </c>
      <c r="D1901" s="298" t="s">
        <v>256</v>
      </c>
      <c r="E1901" s="298"/>
      <c r="F1901" s="298" t="s">
        <v>6457</v>
      </c>
      <c r="G1901" s="299" t="b">
        <v>0</v>
      </c>
      <c r="H1901" s="299" t="b">
        <v>0</v>
      </c>
      <c r="J1901" s="113" t="str">
        <f t="shared" si="59"/>
        <v>914257525</v>
      </c>
      <c r="K1901" s="113" t="str">
        <f t="shared" si="60"/>
        <v>CG01981</v>
      </c>
    </row>
    <row r="1902" spans="1:11" x14ac:dyDescent="0.3">
      <c r="A1902" s="298" t="s">
        <v>6458</v>
      </c>
      <c r="B1902" s="298" t="s">
        <v>6459</v>
      </c>
      <c r="C1902" s="298" t="s">
        <v>6460</v>
      </c>
      <c r="D1902" s="298" t="s">
        <v>256</v>
      </c>
      <c r="E1902" s="298" t="s">
        <v>6461</v>
      </c>
      <c r="F1902" s="298" t="s">
        <v>6462</v>
      </c>
      <c r="G1902" s="299" t="b">
        <v>0</v>
      </c>
      <c r="H1902" s="299" t="b">
        <v>0</v>
      </c>
      <c r="J1902" s="113" t="str">
        <f t="shared" si="59"/>
        <v>913328530</v>
      </c>
      <c r="K1902" s="113" t="str">
        <f t="shared" si="60"/>
        <v>CG01982</v>
      </c>
    </row>
    <row r="1903" spans="1:11" x14ac:dyDescent="0.3">
      <c r="A1903" s="298" t="s">
        <v>6463</v>
      </c>
      <c r="B1903" s="298" t="s">
        <v>6464</v>
      </c>
      <c r="C1903" s="298" t="s">
        <v>286</v>
      </c>
      <c r="D1903" s="298" t="s">
        <v>256</v>
      </c>
      <c r="E1903" s="298"/>
      <c r="F1903" s="298" t="s">
        <v>6465</v>
      </c>
      <c r="G1903" s="299" t="b">
        <v>0</v>
      </c>
      <c r="H1903" s="299" t="b">
        <v>0</v>
      </c>
      <c r="J1903" s="113" t="str">
        <f t="shared" si="59"/>
        <v>968446555</v>
      </c>
      <c r="K1903" s="113" t="str">
        <f t="shared" si="60"/>
        <v>CG01983</v>
      </c>
    </row>
    <row r="1904" spans="1:11" x14ac:dyDescent="0.3">
      <c r="A1904" s="298" t="s">
        <v>6466</v>
      </c>
      <c r="B1904" s="298" t="s">
        <v>6467</v>
      </c>
      <c r="C1904" s="298" t="s">
        <v>938</v>
      </c>
      <c r="D1904" s="298" t="s">
        <v>256</v>
      </c>
      <c r="E1904" s="298"/>
      <c r="F1904" s="298" t="s">
        <v>6468</v>
      </c>
      <c r="G1904" s="299" t="b">
        <v>0</v>
      </c>
      <c r="H1904" s="299" t="b">
        <v>0</v>
      </c>
      <c r="J1904" s="113" t="str">
        <f t="shared" si="59"/>
        <v>934386075</v>
      </c>
      <c r="K1904" s="113" t="str">
        <f t="shared" si="60"/>
        <v>CG01984</v>
      </c>
    </row>
    <row r="1905" spans="1:11" x14ac:dyDescent="0.3">
      <c r="A1905" s="298" t="s">
        <v>6469</v>
      </c>
      <c r="B1905" s="298" t="s">
        <v>6470</v>
      </c>
      <c r="C1905" s="298" t="s">
        <v>3573</v>
      </c>
      <c r="D1905" s="298" t="s">
        <v>256</v>
      </c>
      <c r="E1905" s="298"/>
      <c r="F1905" s="298" t="s">
        <v>6471</v>
      </c>
      <c r="G1905" s="299" t="b">
        <v>0</v>
      </c>
      <c r="H1905" s="299" t="b">
        <v>0</v>
      </c>
      <c r="J1905" s="113" t="str">
        <f t="shared" si="59"/>
        <v>914848482</v>
      </c>
      <c r="K1905" s="113" t="str">
        <f t="shared" si="60"/>
        <v>CG01985</v>
      </c>
    </row>
    <row r="1906" spans="1:11" x14ac:dyDescent="0.3">
      <c r="A1906" s="298" t="s">
        <v>6472</v>
      </c>
      <c r="B1906" s="298" t="s">
        <v>6473</v>
      </c>
      <c r="C1906" s="298" t="s">
        <v>5738</v>
      </c>
      <c r="D1906" s="298" t="s">
        <v>256</v>
      </c>
      <c r="E1906" s="298"/>
      <c r="F1906" s="298" t="s">
        <v>6474</v>
      </c>
      <c r="G1906" s="299" t="b">
        <v>0</v>
      </c>
      <c r="H1906" s="299" t="b">
        <v>0</v>
      </c>
      <c r="J1906" s="113" t="str">
        <f t="shared" si="59"/>
        <v>947928686</v>
      </c>
      <c r="K1906" s="113" t="str">
        <f t="shared" si="60"/>
        <v>CG01986</v>
      </c>
    </row>
    <row r="1907" spans="1:11" x14ac:dyDescent="0.3">
      <c r="A1907" s="298" t="s">
        <v>6475</v>
      </c>
      <c r="B1907" s="298" t="s">
        <v>6476</v>
      </c>
      <c r="C1907" s="298" t="s">
        <v>6477</v>
      </c>
      <c r="D1907" s="298" t="s">
        <v>256</v>
      </c>
      <c r="E1907" s="298"/>
      <c r="F1907" s="298" t="s">
        <v>6478</v>
      </c>
      <c r="G1907" s="299" t="b">
        <v>0</v>
      </c>
      <c r="H1907" s="299" t="b">
        <v>0</v>
      </c>
      <c r="J1907" s="113" t="str">
        <f t="shared" si="59"/>
        <v>912450596</v>
      </c>
      <c r="K1907" s="113" t="str">
        <f t="shared" si="60"/>
        <v>CG01987</v>
      </c>
    </row>
    <row r="1908" spans="1:11" x14ac:dyDescent="0.3">
      <c r="A1908" s="298" t="s">
        <v>6479</v>
      </c>
      <c r="B1908" s="298" t="s">
        <v>6480</v>
      </c>
      <c r="C1908" s="298" t="s">
        <v>711</v>
      </c>
      <c r="D1908" s="298" t="s">
        <v>256</v>
      </c>
      <c r="E1908" s="298"/>
      <c r="F1908" s="298" t="s">
        <v>6481</v>
      </c>
      <c r="G1908" s="299" t="b">
        <v>0</v>
      </c>
      <c r="H1908" s="299" t="b">
        <v>0</v>
      </c>
      <c r="J1908" s="113" t="str">
        <f t="shared" si="59"/>
        <v>965611158</v>
      </c>
      <c r="K1908" s="113" t="str">
        <f t="shared" si="60"/>
        <v>CG01988</v>
      </c>
    </row>
    <row r="1909" spans="1:11" x14ac:dyDescent="0.3">
      <c r="A1909" s="298" t="s">
        <v>6482</v>
      </c>
      <c r="B1909" s="298" t="s">
        <v>6483</v>
      </c>
      <c r="C1909" s="298" t="s">
        <v>1022</v>
      </c>
      <c r="D1909" s="298" t="s">
        <v>256</v>
      </c>
      <c r="E1909" s="298"/>
      <c r="F1909" s="298" t="s">
        <v>6484</v>
      </c>
      <c r="G1909" s="299" t="b">
        <v>0</v>
      </c>
      <c r="H1909" s="299" t="b">
        <v>0</v>
      </c>
      <c r="J1909" s="113" t="str">
        <f t="shared" si="59"/>
        <v>969052899</v>
      </c>
      <c r="K1909" s="113" t="str">
        <f t="shared" si="60"/>
        <v>CG01989</v>
      </c>
    </row>
    <row r="1910" spans="1:11" x14ac:dyDescent="0.3">
      <c r="A1910" s="298" t="s">
        <v>6485</v>
      </c>
      <c r="B1910" s="298" t="s">
        <v>6486</v>
      </c>
      <c r="C1910" s="298" t="s">
        <v>409</v>
      </c>
      <c r="D1910" s="298" t="s">
        <v>256</v>
      </c>
      <c r="E1910" s="298"/>
      <c r="F1910" s="298" t="s">
        <v>6487</v>
      </c>
      <c r="G1910" s="299" t="b">
        <v>0</v>
      </c>
      <c r="H1910" s="299" t="b">
        <v>0</v>
      </c>
      <c r="J1910" s="113" t="str">
        <f t="shared" si="59"/>
        <v>913305814</v>
      </c>
      <c r="K1910" s="113" t="str">
        <f t="shared" si="60"/>
        <v>CG01990</v>
      </c>
    </row>
    <row r="1911" spans="1:11" x14ac:dyDescent="0.3">
      <c r="A1911" s="298" t="s">
        <v>6488</v>
      </c>
      <c r="B1911" s="298" t="s">
        <v>6489</v>
      </c>
      <c r="C1911" s="298" t="s">
        <v>892</v>
      </c>
      <c r="D1911" s="298" t="s">
        <v>256</v>
      </c>
      <c r="E1911" s="298"/>
      <c r="F1911" s="298" t="s">
        <v>6490</v>
      </c>
      <c r="G1911" s="299" t="b">
        <v>0</v>
      </c>
      <c r="H1911" s="299" t="b">
        <v>0</v>
      </c>
      <c r="J1911" s="113" t="str">
        <f t="shared" si="59"/>
        <v>912794999</v>
      </c>
      <c r="K1911" s="113" t="str">
        <f t="shared" si="60"/>
        <v>CG01991</v>
      </c>
    </row>
    <row r="1912" spans="1:11" x14ac:dyDescent="0.3">
      <c r="A1912" s="298" t="s">
        <v>6491</v>
      </c>
      <c r="B1912" s="298" t="s">
        <v>6492</v>
      </c>
      <c r="C1912" s="298" t="s">
        <v>2114</v>
      </c>
      <c r="D1912" s="298" t="s">
        <v>256</v>
      </c>
      <c r="E1912" s="298"/>
      <c r="F1912" s="298" t="s">
        <v>6493</v>
      </c>
      <c r="G1912" s="299" t="b">
        <v>0</v>
      </c>
      <c r="H1912" s="299" t="b">
        <v>0</v>
      </c>
      <c r="J1912" s="113" t="str">
        <f t="shared" si="59"/>
        <v>917906222</v>
      </c>
      <c r="K1912" s="113" t="str">
        <f t="shared" si="60"/>
        <v>CG01992</v>
      </c>
    </row>
    <row r="1913" spans="1:11" x14ac:dyDescent="0.3">
      <c r="A1913" s="298" t="s">
        <v>6494</v>
      </c>
      <c r="B1913" s="298" t="s">
        <v>6495</v>
      </c>
      <c r="C1913" s="298" t="s">
        <v>1825</v>
      </c>
      <c r="D1913" s="298" t="s">
        <v>256</v>
      </c>
      <c r="E1913" s="298"/>
      <c r="F1913" s="298" t="s">
        <v>6496</v>
      </c>
      <c r="G1913" s="299" t="b">
        <v>0</v>
      </c>
      <c r="H1913" s="299" t="b">
        <v>0</v>
      </c>
      <c r="J1913" s="113" t="str">
        <f t="shared" si="59"/>
        <v>915556881</v>
      </c>
      <c r="K1913" s="113" t="str">
        <f t="shared" si="60"/>
        <v>CG01993</v>
      </c>
    </row>
    <row r="1914" spans="1:11" x14ac:dyDescent="0.3">
      <c r="A1914" s="298" t="s">
        <v>6497</v>
      </c>
      <c r="B1914" s="298" t="s">
        <v>6498</v>
      </c>
      <c r="C1914" s="298" t="s">
        <v>4423</v>
      </c>
      <c r="D1914" s="298" t="s">
        <v>256</v>
      </c>
      <c r="E1914" s="298"/>
      <c r="F1914" s="298" t="s">
        <v>6499</v>
      </c>
      <c r="G1914" s="299" t="b">
        <v>0</v>
      </c>
      <c r="H1914" s="299" t="b">
        <v>0</v>
      </c>
      <c r="J1914" s="113" t="str">
        <f t="shared" si="59"/>
        <v>948156789</v>
      </c>
      <c r="K1914" s="113" t="str">
        <f t="shared" si="60"/>
        <v>CG01994</v>
      </c>
    </row>
    <row r="1915" spans="1:11" x14ac:dyDescent="0.3">
      <c r="A1915" s="298" t="s">
        <v>6500</v>
      </c>
      <c r="B1915" s="298" t="s">
        <v>6501</v>
      </c>
      <c r="C1915" s="298" t="s">
        <v>1395</v>
      </c>
      <c r="D1915" s="298" t="s">
        <v>256</v>
      </c>
      <c r="E1915" s="298"/>
      <c r="F1915" s="298" t="s">
        <v>6502</v>
      </c>
      <c r="G1915" s="299" t="b">
        <v>0</v>
      </c>
      <c r="H1915" s="299" t="b">
        <v>0</v>
      </c>
      <c r="J1915" s="113" t="str">
        <f t="shared" si="59"/>
        <v>973665529</v>
      </c>
      <c r="K1915" s="113" t="str">
        <f t="shared" si="60"/>
        <v>CG01995</v>
      </c>
    </row>
    <row r="1916" spans="1:11" x14ac:dyDescent="0.3">
      <c r="A1916" s="298" t="s">
        <v>6503</v>
      </c>
      <c r="B1916" s="298" t="s">
        <v>6504</v>
      </c>
      <c r="C1916" s="298" t="s">
        <v>340</v>
      </c>
      <c r="D1916" s="298" t="s">
        <v>256</v>
      </c>
      <c r="E1916" s="298"/>
      <c r="F1916" s="298" t="s">
        <v>6505</v>
      </c>
      <c r="G1916" s="299" t="b">
        <v>0</v>
      </c>
      <c r="H1916" s="299" t="b">
        <v>0</v>
      </c>
      <c r="J1916" s="113" t="str">
        <f t="shared" si="59"/>
        <v>984429808</v>
      </c>
      <c r="K1916" s="113" t="str">
        <f t="shared" si="60"/>
        <v>CG01996</v>
      </c>
    </row>
    <row r="1917" spans="1:11" x14ac:dyDescent="0.3">
      <c r="A1917" s="298" t="s">
        <v>6506</v>
      </c>
      <c r="B1917" s="298" t="s">
        <v>6507</v>
      </c>
      <c r="C1917" s="298" t="s">
        <v>355</v>
      </c>
      <c r="D1917" s="298" t="s">
        <v>256</v>
      </c>
      <c r="E1917" s="298"/>
      <c r="F1917" s="298" t="s">
        <v>6508</v>
      </c>
      <c r="G1917" s="299" t="b">
        <v>0</v>
      </c>
      <c r="H1917" s="299" t="b">
        <v>0</v>
      </c>
      <c r="J1917" s="113" t="str">
        <f t="shared" si="59"/>
        <v>964567558</v>
      </c>
      <c r="K1917" s="113" t="str">
        <f t="shared" si="60"/>
        <v>CG01997</v>
      </c>
    </row>
    <row r="1918" spans="1:11" x14ac:dyDescent="0.3">
      <c r="A1918" s="298" t="s">
        <v>6509</v>
      </c>
      <c r="B1918" s="298" t="s">
        <v>6510</v>
      </c>
      <c r="C1918" s="298" t="s">
        <v>613</v>
      </c>
      <c r="D1918" s="298" t="s">
        <v>256</v>
      </c>
      <c r="E1918" s="298"/>
      <c r="F1918" s="298" t="s">
        <v>6511</v>
      </c>
      <c r="G1918" s="299" t="b">
        <v>0</v>
      </c>
      <c r="H1918" s="299" t="b">
        <v>0</v>
      </c>
      <c r="J1918" s="113" t="str">
        <f t="shared" si="59"/>
        <v>366865557</v>
      </c>
      <c r="K1918" s="113" t="str">
        <f t="shared" si="60"/>
        <v>CG01998</v>
      </c>
    </row>
    <row r="1919" spans="1:11" x14ac:dyDescent="0.3">
      <c r="A1919" s="298" t="s">
        <v>6512</v>
      </c>
      <c r="B1919" s="298" t="s">
        <v>6513</v>
      </c>
      <c r="C1919" s="298" t="s">
        <v>286</v>
      </c>
      <c r="D1919" s="298" t="s">
        <v>256</v>
      </c>
      <c r="E1919" s="298"/>
      <c r="F1919" s="298" t="s">
        <v>6514</v>
      </c>
      <c r="G1919" s="299" t="b">
        <v>0</v>
      </c>
      <c r="H1919" s="299" t="b">
        <v>0</v>
      </c>
      <c r="J1919" s="113" t="str">
        <f t="shared" si="59"/>
        <v>936088478</v>
      </c>
      <c r="K1919" s="113" t="str">
        <f t="shared" si="60"/>
        <v>CG01999</v>
      </c>
    </row>
    <row r="1920" spans="1:11" x14ac:dyDescent="0.3">
      <c r="A1920" s="298" t="s">
        <v>6515</v>
      </c>
      <c r="B1920" s="298" t="s">
        <v>6516</v>
      </c>
      <c r="C1920" s="298" t="s">
        <v>286</v>
      </c>
      <c r="D1920" s="298" t="s">
        <v>256</v>
      </c>
      <c r="E1920" s="298"/>
      <c r="F1920" s="298" t="s">
        <v>6517</v>
      </c>
      <c r="G1920" s="299" t="b">
        <v>0</v>
      </c>
      <c r="H1920" s="299" t="b">
        <v>0</v>
      </c>
      <c r="J1920" s="113" t="str">
        <f t="shared" si="59"/>
        <v>944009838</v>
      </c>
      <c r="K1920" s="113" t="str">
        <f t="shared" si="60"/>
        <v>CG02000</v>
      </c>
    </row>
    <row r="1921" spans="1:11" x14ac:dyDescent="0.3">
      <c r="A1921" s="298" t="s">
        <v>6518</v>
      </c>
      <c r="B1921" s="298" t="s">
        <v>6519</v>
      </c>
      <c r="C1921" s="298" t="s">
        <v>231</v>
      </c>
      <c r="D1921" s="298" t="s">
        <v>256</v>
      </c>
      <c r="E1921" s="298"/>
      <c r="F1921" s="298" t="s">
        <v>6520</v>
      </c>
      <c r="G1921" s="299" t="b">
        <v>0</v>
      </c>
      <c r="H1921" s="299" t="b">
        <v>0</v>
      </c>
      <c r="J1921" s="113" t="str">
        <f t="shared" si="59"/>
        <v>905313567</v>
      </c>
      <c r="K1921" s="113" t="str">
        <f t="shared" si="60"/>
        <v>CG02001</v>
      </c>
    </row>
    <row r="1922" spans="1:11" x14ac:dyDescent="0.3">
      <c r="A1922" s="298" t="s">
        <v>6521</v>
      </c>
      <c r="B1922" s="298" t="s">
        <v>6522</v>
      </c>
      <c r="C1922" s="298" t="s">
        <v>2897</v>
      </c>
      <c r="D1922" s="298" t="s">
        <v>256</v>
      </c>
      <c r="E1922" s="298"/>
      <c r="F1922" s="298" t="s">
        <v>6523</v>
      </c>
      <c r="G1922" s="299" t="b">
        <v>0</v>
      </c>
      <c r="H1922" s="299" t="b">
        <v>0</v>
      </c>
      <c r="J1922" s="113" t="str">
        <f t="shared" si="59"/>
        <v>907902268</v>
      </c>
      <c r="K1922" s="113" t="str">
        <f t="shared" si="60"/>
        <v>CG02002</v>
      </c>
    </row>
    <row r="1923" spans="1:11" x14ac:dyDescent="0.3">
      <c r="A1923" s="298" t="s">
        <v>6524</v>
      </c>
      <c r="B1923" s="298" t="s">
        <v>6525</v>
      </c>
      <c r="C1923" s="298" t="s">
        <v>1011</v>
      </c>
      <c r="D1923" s="298" t="s">
        <v>256</v>
      </c>
      <c r="E1923" s="298"/>
      <c r="F1923" s="298" t="s">
        <v>6526</v>
      </c>
      <c r="G1923" s="299" t="b">
        <v>0</v>
      </c>
      <c r="H1923" s="299" t="b">
        <v>0</v>
      </c>
      <c r="J1923" s="113" t="str">
        <f t="shared" si="59"/>
        <v>976094938</v>
      </c>
      <c r="K1923" s="113" t="str">
        <f t="shared" si="60"/>
        <v>CG02003</v>
      </c>
    </row>
    <row r="1924" spans="1:11" x14ac:dyDescent="0.3">
      <c r="A1924" s="298" t="s">
        <v>6527</v>
      </c>
      <c r="B1924" s="298" t="s">
        <v>6528</v>
      </c>
      <c r="C1924" s="298" t="s">
        <v>289</v>
      </c>
      <c r="D1924" s="298" t="s">
        <v>256</v>
      </c>
      <c r="E1924" s="298"/>
      <c r="F1924" s="298" t="s">
        <v>6529</v>
      </c>
      <c r="G1924" s="299" t="b">
        <v>0</v>
      </c>
      <c r="H1924" s="299" t="b">
        <v>0</v>
      </c>
      <c r="J1924" s="113" t="str">
        <f t="shared" si="59"/>
        <v>983313969</v>
      </c>
      <c r="K1924" s="113" t="str">
        <f t="shared" si="60"/>
        <v>CG02004</v>
      </c>
    </row>
    <row r="1925" spans="1:11" x14ac:dyDescent="0.3">
      <c r="A1925" s="298" t="s">
        <v>6530</v>
      </c>
      <c r="B1925" s="298" t="s">
        <v>6531</v>
      </c>
      <c r="C1925" s="298" t="s">
        <v>289</v>
      </c>
      <c r="D1925" s="298" t="s">
        <v>256</v>
      </c>
      <c r="E1925" s="298"/>
      <c r="F1925" s="298" t="s">
        <v>6532</v>
      </c>
      <c r="G1925" s="299" t="b">
        <v>0</v>
      </c>
      <c r="H1925" s="299" t="b">
        <v>0</v>
      </c>
      <c r="J1925" s="113" t="str">
        <f t="shared" ref="J1925:J1988" si="61">RIGHT(B1925,9)</f>
        <v>988862187</v>
      </c>
      <c r="K1925" s="113" t="str">
        <f t="shared" ref="K1925:K1988" si="62">A1925</f>
        <v>CG02005</v>
      </c>
    </row>
    <row r="1926" spans="1:11" x14ac:dyDescent="0.3">
      <c r="A1926" s="298" t="s">
        <v>6533</v>
      </c>
      <c r="B1926" s="298" t="s">
        <v>6534</v>
      </c>
      <c r="C1926" s="298" t="s">
        <v>593</v>
      </c>
      <c r="D1926" s="298" t="s">
        <v>256</v>
      </c>
      <c r="E1926" s="298"/>
      <c r="F1926" s="298" t="s">
        <v>6535</v>
      </c>
      <c r="G1926" s="299" t="b">
        <v>0</v>
      </c>
      <c r="H1926" s="299" t="b">
        <v>0</v>
      </c>
      <c r="J1926" s="113" t="str">
        <f t="shared" si="61"/>
        <v>965407671</v>
      </c>
      <c r="K1926" s="113" t="str">
        <f t="shared" si="62"/>
        <v>CG02006</v>
      </c>
    </row>
    <row r="1927" spans="1:11" x14ac:dyDescent="0.3">
      <c r="A1927" s="298" t="s">
        <v>6536</v>
      </c>
      <c r="B1927" s="298" t="s">
        <v>6537</v>
      </c>
      <c r="C1927" s="298" t="s">
        <v>452</v>
      </c>
      <c r="D1927" s="298" t="s">
        <v>256</v>
      </c>
      <c r="E1927" s="298"/>
      <c r="F1927" s="298" t="s">
        <v>6538</v>
      </c>
      <c r="G1927" s="299" t="b">
        <v>0</v>
      </c>
      <c r="H1927" s="299" t="b">
        <v>0</v>
      </c>
      <c r="J1927" s="113" t="str">
        <f t="shared" si="61"/>
        <v>982773205</v>
      </c>
      <c r="K1927" s="113" t="str">
        <f t="shared" si="62"/>
        <v>CG02007</v>
      </c>
    </row>
    <row r="1928" spans="1:11" x14ac:dyDescent="0.3">
      <c r="A1928" s="298" t="s">
        <v>6539</v>
      </c>
      <c r="B1928" s="298" t="s">
        <v>6540</v>
      </c>
      <c r="C1928" s="298" t="s">
        <v>816</v>
      </c>
      <c r="D1928" s="298" t="s">
        <v>256</v>
      </c>
      <c r="E1928" s="298"/>
      <c r="F1928" s="298" t="s">
        <v>6541</v>
      </c>
      <c r="G1928" s="299" t="b">
        <v>0</v>
      </c>
      <c r="H1928" s="299" t="b">
        <v>0</v>
      </c>
      <c r="J1928" s="113" t="str">
        <f t="shared" si="61"/>
        <v>902806767</v>
      </c>
      <c r="K1928" s="113" t="str">
        <f t="shared" si="62"/>
        <v>CG02008</v>
      </c>
    </row>
    <row r="1929" spans="1:11" x14ac:dyDescent="0.3">
      <c r="A1929" s="298" t="s">
        <v>6542</v>
      </c>
      <c r="B1929" s="298" t="s">
        <v>6543</v>
      </c>
      <c r="C1929" s="298" t="s">
        <v>355</v>
      </c>
      <c r="D1929" s="298" t="s">
        <v>256</v>
      </c>
      <c r="E1929" s="298"/>
      <c r="F1929" s="298" t="s">
        <v>6544</v>
      </c>
      <c r="G1929" s="299" t="b">
        <v>0</v>
      </c>
      <c r="H1929" s="299" t="b">
        <v>0</v>
      </c>
      <c r="J1929" s="113" t="str">
        <f t="shared" si="61"/>
        <v>915634677</v>
      </c>
      <c r="K1929" s="113" t="str">
        <f t="shared" si="62"/>
        <v>CG02009</v>
      </c>
    </row>
    <row r="1930" spans="1:11" x14ac:dyDescent="0.3">
      <c r="A1930" s="298" t="s">
        <v>6545</v>
      </c>
      <c r="B1930" s="298" t="s">
        <v>6546</v>
      </c>
      <c r="C1930" s="298" t="s">
        <v>292</v>
      </c>
      <c r="D1930" s="298" t="s">
        <v>256</v>
      </c>
      <c r="E1930" s="298" t="s">
        <v>3447</v>
      </c>
      <c r="F1930" s="298" t="s">
        <v>6547</v>
      </c>
      <c r="G1930" s="299" t="b">
        <v>0</v>
      </c>
      <c r="H1930" s="299" t="b">
        <v>0</v>
      </c>
      <c r="J1930" s="113" t="str">
        <f t="shared" si="61"/>
        <v>904301183</v>
      </c>
      <c r="K1930" s="113" t="str">
        <f t="shared" si="62"/>
        <v>CG02010</v>
      </c>
    </row>
    <row r="1931" spans="1:11" x14ac:dyDescent="0.3">
      <c r="A1931" s="298" t="s">
        <v>6548</v>
      </c>
      <c r="B1931" s="298" t="s">
        <v>6549</v>
      </c>
      <c r="C1931" s="298" t="s">
        <v>286</v>
      </c>
      <c r="D1931" s="298" t="s">
        <v>256</v>
      </c>
      <c r="E1931" s="298"/>
      <c r="F1931" s="298" t="s">
        <v>6550</v>
      </c>
      <c r="G1931" s="299" t="b">
        <v>0</v>
      </c>
      <c r="H1931" s="299" t="b">
        <v>0</v>
      </c>
      <c r="J1931" s="113" t="str">
        <f t="shared" si="61"/>
        <v>962805588</v>
      </c>
      <c r="K1931" s="113" t="str">
        <f t="shared" si="62"/>
        <v>CG02011</v>
      </c>
    </row>
    <row r="1932" spans="1:11" x14ac:dyDescent="0.3">
      <c r="A1932" s="298" t="s">
        <v>6551</v>
      </c>
      <c r="B1932" s="298" t="s">
        <v>6552</v>
      </c>
      <c r="C1932" s="298" t="s">
        <v>1587</v>
      </c>
      <c r="D1932" s="298" t="s">
        <v>256</v>
      </c>
      <c r="E1932" s="298"/>
      <c r="F1932" s="298" t="s">
        <v>6553</v>
      </c>
      <c r="G1932" s="299" t="b">
        <v>0</v>
      </c>
      <c r="H1932" s="299" t="b">
        <v>0</v>
      </c>
      <c r="J1932" s="113" t="str">
        <f t="shared" si="61"/>
        <v>915178893</v>
      </c>
      <c r="K1932" s="113" t="str">
        <f t="shared" si="62"/>
        <v>CG02012</v>
      </c>
    </row>
    <row r="1933" spans="1:11" x14ac:dyDescent="0.3">
      <c r="A1933" s="298" t="s">
        <v>6554</v>
      </c>
      <c r="B1933" s="298" t="s">
        <v>6555</v>
      </c>
      <c r="C1933" s="298" t="s">
        <v>231</v>
      </c>
      <c r="D1933" s="298" t="s">
        <v>256</v>
      </c>
      <c r="E1933" s="298"/>
      <c r="F1933" s="298" t="s">
        <v>6556</v>
      </c>
      <c r="G1933" s="299" t="b">
        <v>0</v>
      </c>
      <c r="H1933" s="299" t="b">
        <v>0</v>
      </c>
      <c r="J1933" s="113" t="str">
        <f t="shared" si="61"/>
        <v>988670879</v>
      </c>
      <c r="K1933" s="113" t="str">
        <f t="shared" si="62"/>
        <v>CG02013</v>
      </c>
    </row>
    <row r="1934" spans="1:11" x14ac:dyDescent="0.3">
      <c r="A1934" s="298" t="s">
        <v>6557</v>
      </c>
      <c r="B1934" s="298" t="s">
        <v>6558</v>
      </c>
      <c r="C1934" s="298" t="s">
        <v>711</v>
      </c>
      <c r="D1934" s="298" t="s">
        <v>256</v>
      </c>
      <c r="E1934" s="298"/>
      <c r="F1934" s="298" t="s">
        <v>6559</v>
      </c>
      <c r="G1934" s="299" t="b">
        <v>0</v>
      </c>
      <c r="H1934" s="299" t="b">
        <v>0</v>
      </c>
      <c r="J1934" s="113" t="str">
        <f t="shared" si="61"/>
        <v>979818982</v>
      </c>
      <c r="K1934" s="113" t="str">
        <f t="shared" si="62"/>
        <v>CG02014</v>
      </c>
    </row>
    <row r="1935" spans="1:11" x14ac:dyDescent="0.3">
      <c r="A1935" s="298" t="s">
        <v>6560</v>
      </c>
      <c r="B1935" s="298" t="s">
        <v>6561</v>
      </c>
      <c r="C1935" s="298" t="s">
        <v>6562</v>
      </c>
      <c r="D1935" s="298" t="s">
        <v>256</v>
      </c>
      <c r="E1935" s="298" t="s">
        <v>6563</v>
      </c>
      <c r="F1935" s="298" t="s">
        <v>6564</v>
      </c>
      <c r="G1935" s="299" t="b">
        <v>0</v>
      </c>
      <c r="H1935" s="299" t="b">
        <v>0</v>
      </c>
      <c r="J1935" s="113" t="str">
        <f t="shared" si="61"/>
        <v>377523388</v>
      </c>
      <c r="K1935" s="113" t="str">
        <f t="shared" si="62"/>
        <v>CG02015</v>
      </c>
    </row>
    <row r="1936" spans="1:11" x14ac:dyDescent="0.3">
      <c r="A1936" s="298" t="s">
        <v>6565</v>
      </c>
      <c r="B1936" s="298" t="s">
        <v>6566</v>
      </c>
      <c r="C1936" s="298" t="s">
        <v>343</v>
      </c>
      <c r="D1936" s="298" t="s">
        <v>256</v>
      </c>
      <c r="E1936" s="298"/>
      <c r="F1936" s="298" t="s">
        <v>6567</v>
      </c>
      <c r="G1936" s="299" t="b">
        <v>0</v>
      </c>
      <c r="H1936" s="299" t="b">
        <v>0</v>
      </c>
      <c r="J1936" s="113" t="str">
        <f t="shared" si="61"/>
        <v>915618587</v>
      </c>
      <c r="K1936" s="113" t="str">
        <f t="shared" si="62"/>
        <v>CG02016</v>
      </c>
    </row>
    <row r="1937" spans="1:11" x14ac:dyDescent="0.3">
      <c r="A1937" s="298" t="s">
        <v>6568</v>
      </c>
      <c r="B1937" s="298" t="s">
        <v>6569</v>
      </c>
      <c r="C1937" s="298" t="s">
        <v>769</v>
      </c>
      <c r="D1937" s="298" t="s">
        <v>256</v>
      </c>
      <c r="E1937" s="298"/>
      <c r="F1937" s="298" t="s">
        <v>6570</v>
      </c>
      <c r="G1937" s="299" t="b">
        <v>0</v>
      </c>
      <c r="H1937" s="299" t="b">
        <v>0</v>
      </c>
      <c r="J1937" s="113" t="str">
        <f t="shared" si="61"/>
        <v>913943257</v>
      </c>
      <c r="K1937" s="113" t="str">
        <f t="shared" si="62"/>
        <v>CG02017</v>
      </c>
    </row>
    <row r="1938" spans="1:11" x14ac:dyDescent="0.3">
      <c r="A1938" s="298" t="s">
        <v>6571</v>
      </c>
      <c r="B1938" s="298" t="s">
        <v>6572</v>
      </c>
      <c r="C1938" s="298" t="s">
        <v>1973</v>
      </c>
      <c r="D1938" s="298" t="s">
        <v>256</v>
      </c>
      <c r="E1938" s="298"/>
      <c r="F1938" s="298" t="s">
        <v>6573</v>
      </c>
      <c r="G1938" s="299" t="b">
        <v>0</v>
      </c>
      <c r="H1938" s="299" t="b">
        <v>0</v>
      </c>
      <c r="J1938" s="113" t="str">
        <f t="shared" si="61"/>
        <v>912810316</v>
      </c>
      <c r="K1938" s="113" t="str">
        <f t="shared" si="62"/>
        <v>CG02018</v>
      </c>
    </row>
    <row r="1939" spans="1:11" x14ac:dyDescent="0.3">
      <c r="A1939" s="298" t="s">
        <v>6574</v>
      </c>
      <c r="B1939" s="298" t="s">
        <v>6575</v>
      </c>
      <c r="C1939" s="298" t="s">
        <v>5738</v>
      </c>
      <c r="D1939" s="298" t="s">
        <v>256</v>
      </c>
      <c r="E1939" s="298"/>
      <c r="F1939" s="298" t="s">
        <v>6576</v>
      </c>
      <c r="G1939" s="299" t="b">
        <v>0</v>
      </c>
      <c r="H1939" s="299" t="b">
        <v>0</v>
      </c>
      <c r="J1939" s="113" t="str">
        <f t="shared" si="61"/>
        <v>903238598</v>
      </c>
      <c r="K1939" s="113" t="str">
        <f t="shared" si="62"/>
        <v>CG02019</v>
      </c>
    </row>
    <row r="1940" spans="1:11" x14ac:dyDescent="0.3">
      <c r="A1940" s="298" t="s">
        <v>6577</v>
      </c>
      <c r="B1940" s="298" t="s">
        <v>6578</v>
      </c>
      <c r="C1940" s="298" t="s">
        <v>390</v>
      </c>
      <c r="D1940" s="298" t="s">
        <v>256</v>
      </c>
      <c r="E1940" s="298"/>
      <c r="F1940" s="298" t="s">
        <v>6579</v>
      </c>
      <c r="G1940" s="299" t="b">
        <v>0</v>
      </c>
      <c r="H1940" s="299" t="b">
        <v>0</v>
      </c>
      <c r="J1940" s="113" t="str">
        <f t="shared" si="61"/>
        <v>962236927</v>
      </c>
      <c r="K1940" s="113" t="str">
        <f t="shared" si="62"/>
        <v>CG02020</v>
      </c>
    </row>
    <row r="1941" spans="1:11" x14ac:dyDescent="0.3">
      <c r="A1941" s="298" t="s">
        <v>6580</v>
      </c>
      <c r="B1941" s="298" t="s">
        <v>6581</v>
      </c>
      <c r="C1941" s="298" t="s">
        <v>1508</v>
      </c>
      <c r="D1941" s="298" t="s">
        <v>256</v>
      </c>
      <c r="E1941" s="298"/>
      <c r="F1941" s="298" t="s">
        <v>6582</v>
      </c>
      <c r="G1941" s="299" t="b">
        <v>0</v>
      </c>
      <c r="H1941" s="299" t="b">
        <v>0</v>
      </c>
      <c r="J1941" s="113" t="str">
        <f t="shared" si="61"/>
        <v>988171188</v>
      </c>
      <c r="K1941" s="113" t="str">
        <f t="shared" si="62"/>
        <v>CG02021</v>
      </c>
    </row>
    <row r="1942" spans="1:11" x14ac:dyDescent="0.3">
      <c r="A1942" s="298" t="s">
        <v>6583</v>
      </c>
      <c r="B1942" s="298" t="s">
        <v>6584</v>
      </c>
      <c r="C1942" s="298" t="s">
        <v>672</v>
      </c>
      <c r="D1942" s="298" t="s">
        <v>256</v>
      </c>
      <c r="E1942" s="298"/>
      <c r="F1942" s="298" t="s">
        <v>6585</v>
      </c>
      <c r="G1942" s="299" t="b">
        <v>0</v>
      </c>
      <c r="H1942" s="299" t="b">
        <v>0</v>
      </c>
      <c r="J1942" s="113" t="str">
        <f t="shared" si="61"/>
        <v>966715099</v>
      </c>
      <c r="K1942" s="113" t="str">
        <f t="shared" si="62"/>
        <v>CG02022</v>
      </c>
    </row>
    <row r="1943" spans="1:11" x14ac:dyDescent="0.3">
      <c r="A1943" s="298" t="s">
        <v>6586</v>
      </c>
      <c r="B1943" s="298" t="s">
        <v>6587</v>
      </c>
      <c r="C1943" s="298" t="s">
        <v>4771</v>
      </c>
      <c r="D1943" s="298" t="s">
        <v>256</v>
      </c>
      <c r="E1943" s="298"/>
      <c r="F1943" s="298" t="s">
        <v>6588</v>
      </c>
      <c r="G1943" s="299" t="b">
        <v>0</v>
      </c>
      <c r="H1943" s="299" t="b">
        <v>0</v>
      </c>
      <c r="J1943" s="113" t="str">
        <f t="shared" si="61"/>
        <v>834863511</v>
      </c>
      <c r="K1943" s="113" t="str">
        <f t="shared" si="62"/>
        <v>CG02023</v>
      </c>
    </row>
    <row r="1944" spans="1:11" x14ac:dyDescent="0.3">
      <c r="A1944" s="298" t="s">
        <v>6589</v>
      </c>
      <c r="B1944" s="298" t="s">
        <v>6590</v>
      </c>
      <c r="C1944" s="298" t="s">
        <v>993</v>
      </c>
      <c r="D1944" s="298" t="s">
        <v>256</v>
      </c>
      <c r="E1944" s="298"/>
      <c r="F1944" s="298" t="s">
        <v>6591</v>
      </c>
      <c r="G1944" s="299" t="b">
        <v>0</v>
      </c>
      <c r="H1944" s="299" t="b">
        <v>0</v>
      </c>
      <c r="J1944" s="113" t="str">
        <f t="shared" si="61"/>
        <v>905562666</v>
      </c>
      <c r="K1944" s="113" t="str">
        <f t="shared" si="62"/>
        <v>CG02024</v>
      </c>
    </row>
    <row r="1945" spans="1:11" x14ac:dyDescent="0.3">
      <c r="A1945" s="298" t="s">
        <v>6592</v>
      </c>
      <c r="B1945" s="298" t="s">
        <v>6593</v>
      </c>
      <c r="C1945" s="298" t="s">
        <v>816</v>
      </c>
      <c r="D1945" s="298" t="s">
        <v>256</v>
      </c>
      <c r="E1945" s="298"/>
      <c r="F1945" s="298" t="s">
        <v>6594</v>
      </c>
      <c r="G1945" s="299" t="b">
        <v>0</v>
      </c>
      <c r="H1945" s="299" t="b">
        <v>0</v>
      </c>
      <c r="J1945" s="113" t="str">
        <f t="shared" si="61"/>
        <v>327887708</v>
      </c>
      <c r="K1945" s="113" t="str">
        <f t="shared" si="62"/>
        <v>CG02026</v>
      </c>
    </row>
    <row r="1946" spans="1:11" x14ac:dyDescent="0.3">
      <c r="A1946" s="298" t="s">
        <v>6595</v>
      </c>
      <c r="B1946" s="298" t="s">
        <v>6596</v>
      </c>
      <c r="C1946" s="298" t="s">
        <v>230</v>
      </c>
      <c r="D1946" s="298" t="s">
        <v>256</v>
      </c>
      <c r="E1946" s="298"/>
      <c r="F1946" s="298" t="s">
        <v>6597</v>
      </c>
      <c r="G1946" s="299" t="b">
        <v>0</v>
      </c>
      <c r="H1946" s="299" t="b">
        <v>0</v>
      </c>
      <c r="J1946" s="113" t="str">
        <f t="shared" si="61"/>
        <v>982826377</v>
      </c>
      <c r="K1946" s="113" t="str">
        <f t="shared" si="62"/>
        <v>CG02027</v>
      </c>
    </row>
    <row r="1947" spans="1:11" x14ac:dyDescent="0.3">
      <c r="A1947" s="298" t="s">
        <v>6598</v>
      </c>
      <c r="B1947" s="298" t="s">
        <v>6599</v>
      </c>
      <c r="C1947" s="298" t="s">
        <v>711</v>
      </c>
      <c r="D1947" s="298" t="s">
        <v>256</v>
      </c>
      <c r="E1947" s="298"/>
      <c r="F1947" s="298" t="s">
        <v>6600</v>
      </c>
      <c r="G1947" s="299" t="b">
        <v>0</v>
      </c>
      <c r="H1947" s="299" t="b">
        <v>0</v>
      </c>
      <c r="J1947" s="113" t="str">
        <f t="shared" si="61"/>
        <v>984492289</v>
      </c>
      <c r="K1947" s="113" t="str">
        <f t="shared" si="62"/>
        <v>CG02028</v>
      </c>
    </row>
    <row r="1948" spans="1:11" x14ac:dyDescent="0.3">
      <c r="A1948" s="298" t="s">
        <v>6601</v>
      </c>
      <c r="B1948" s="298" t="s">
        <v>6602</v>
      </c>
      <c r="C1948" s="298" t="s">
        <v>892</v>
      </c>
      <c r="D1948" s="298" t="s">
        <v>256</v>
      </c>
      <c r="E1948" s="298"/>
      <c r="F1948" s="298" t="s">
        <v>6603</v>
      </c>
      <c r="G1948" s="299" t="b">
        <v>0</v>
      </c>
      <c r="H1948" s="299" t="b">
        <v>0</v>
      </c>
      <c r="J1948" s="113" t="str">
        <f t="shared" si="61"/>
        <v>964106983</v>
      </c>
      <c r="K1948" s="113" t="str">
        <f t="shared" si="62"/>
        <v>CG02029</v>
      </c>
    </row>
    <row r="1949" spans="1:11" x14ac:dyDescent="0.3">
      <c r="A1949" s="298" t="s">
        <v>6604</v>
      </c>
      <c r="B1949" s="298" t="s">
        <v>6605</v>
      </c>
      <c r="C1949" s="298" t="s">
        <v>1335</v>
      </c>
      <c r="D1949" s="298" t="s">
        <v>256</v>
      </c>
      <c r="E1949" s="298"/>
      <c r="F1949" s="298" t="s">
        <v>6606</v>
      </c>
      <c r="G1949" s="299" t="b">
        <v>0</v>
      </c>
      <c r="H1949" s="299" t="b">
        <v>0</v>
      </c>
      <c r="J1949" s="113" t="str">
        <f t="shared" si="61"/>
        <v>916544882</v>
      </c>
      <c r="K1949" s="113" t="str">
        <f t="shared" si="62"/>
        <v>CG02030</v>
      </c>
    </row>
    <row r="1950" spans="1:11" x14ac:dyDescent="0.3">
      <c r="A1950" s="298" t="s">
        <v>6607</v>
      </c>
      <c r="B1950" s="298" t="s">
        <v>6608</v>
      </c>
      <c r="C1950" s="298" t="s">
        <v>1579</v>
      </c>
      <c r="D1950" s="298" t="s">
        <v>256</v>
      </c>
      <c r="E1950" s="298"/>
      <c r="F1950" s="298" t="s">
        <v>6609</v>
      </c>
      <c r="G1950" s="299" t="b">
        <v>0</v>
      </c>
      <c r="H1950" s="299" t="b">
        <v>0</v>
      </c>
      <c r="J1950" s="113" t="str">
        <f t="shared" si="61"/>
        <v>974199999</v>
      </c>
      <c r="K1950" s="113" t="str">
        <f t="shared" si="62"/>
        <v>CG02031</v>
      </c>
    </row>
    <row r="1951" spans="1:11" x14ac:dyDescent="0.3">
      <c r="A1951" s="298" t="s">
        <v>6610</v>
      </c>
      <c r="B1951" s="298" t="s">
        <v>6611</v>
      </c>
      <c r="C1951" s="298" t="s">
        <v>1335</v>
      </c>
      <c r="D1951" s="298" t="s">
        <v>256</v>
      </c>
      <c r="E1951" s="298"/>
      <c r="F1951" s="298" t="s">
        <v>6612</v>
      </c>
      <c r="G1951" s="299" t="b">
        <v>0</v>
      </c>
      <c r="H1951" s="299" t="b">
        <v>0</v>
      </c>
      <c r="J1951" s="113" t="str">
        <f t="shared" si="61"/>
        <v>329305899</v>
      </c>
      <c r="K1951" s="113" t="str">
        <f t="shared" si="62"/>
        <v>CG02032</v>
      </c>
    </row>
    <row r="1952" spans="1:11" x14ac:dyDescent="0.3">
      <c r="A1952" s="298" t="s">
        <v>6613</v>
      </c>
      <c r="B1952" s="298" t="s">
        <v>6614</v>
      </c>
      <c r="C1952" s="298" t="s">
        <v>495</v>
      </c>
      <c r="D1952" s="298" t="s">
        <v>256</v>
      </c>
      <c r="E1952" s="298"/>
      <c r="F1952" s="298" t="s">
        <v>6615</v>
      </c>
      <c r="G1952" s="299" t="b">
        <v>0</v>
      </c>
      <c r="H1952" s="299" t="b">
        <v>0</v>
      </c>
      <c r="J1952" s="113" t="str">
        <f t="shared" si="61"/>
        <v>913312232</v>
      </c>
      <c r="K1952" s="113" t="str">
        <f t="shared" si="62"/>
        <v>CG02033</v>
      </c>
    </row>
    <row r="1953" spans="1:11" x14ac:dyDescent="0.3">
      <c r="A1953" s="298" t="s">
        <v>6616</v>
      </c>
      <c r="B1953" s="298" t="s">
        <v>6617</v>
      </c>
      <c r="C1953" s="298" t="s">
        <v>877</v>
      </c>
      <c r="D1953" s="298" t="s">
        <v>256</v>
      </c>
      <c r="E1953" s="298"/>
      <c r="F1953" s="298" t="s">
        <v>6618</v>
      </c>
      <c r="G1953" s="299" t="b">
        <v>0</v>
      </c>
      <c r="H1953" s="299" t="b">
        <v>0</v>
      </c>
      <c r="J1953" s="113" t="str">
        <f t="shared" si="61"/>
        <v>395852948</v>
      </c>
      <c r="K1953" s="113" t="str">
        <f t="shared" si="62"/>
        <v>CG02034</v>
      </c>
    </row>
    <row r="1954" spans="1:11" x14ac:dyDescent="0.3">
      <c r="A1954" s="298" t="s">
        <v>6619</v>
      </c>
      <c r="B1954" s="298" t="s">
        <v>6620</v>
      </c>
      <c r="C1954" s="298" t="s">
        <v>1135</v>
      </c>
      <c r="D1954" s="298" t="s">
        <v>256</v>
      </c>
      <c r="E1954" s="298"/>
      <c r="F1954" s="298" t="s">
        <v>6621</v>
      </c>
      <c r="G1954" s="299" t="b">
        <v>0</v>
      </c>
      <c r="H1954" s="299" t="b">
        <v>0</v>
      </c>
      <c r="J1954" s="113" t="str">
        <f t="shared" si="61"/>
        <v>912554521</v>
      </c>
      <c r="K1954" s="113" t="str">
        <f t="shared" si="62"/>
        <v>CG02035</v>
      </c>
    </row>
    <row r="1955" spans="1:11" x14ac:dyDescent="0.3">
      <c r="A1955" s="298" t="s">
        <v>6622</v>
      </c>
      <c r="B1955" s="298" t="s">
        <v>6623</v>
      </c>
      <c r="C1955" s="298" t="s">
        <v>495</v>
      </c>
      <c r="D1955" s="298" t="s">
        <v>256</v>
      </c>
      <c r="E1955" s="298"/>
      <c r="F1955" s="298" t="s">
        <v>6624</v>
      </c>
      <c r="G1955" s="299" t="b">
        <v>0</v>
      </c>
      <c r="H1955" s="299" t="b">
        <v>0</v>
      </c>
      <c r="J1955" s="113" t="str">
        <f t="shared" si="61"/>
        <v>384320812</v>
      </c>
      <c r="K1955" s="113" t="str">
        <f t="shared" si="62"/>
        <v>CG02036</v>
      </c>
    </row>
    <row r="1956" spans="1:11" x14ac:dyDescent="0.3">
      <c r="A1956" s="298" t="s">
        <v>6625</v>
      </c>
      <c r="B1956" s="298" t="s">
        <v>6626</v>
      </c>
      <c r="C1956" s="298" t="s">
        <v>289</v>
      </c>
      <c r="D1956" s="298" t="s">
        <v>256</v>
      </c>
      <c r="E1956" s="298"/>
      <c r="F1956" s="298" t="s">
        <v>6627</v>
      </c>
      <c r="G1956" s="299" t="b">
        <v>0</v>
      </c>
      <c r="H1956" s="299" t="b">
        <v>0</v>
      </c>
      <c r="J1956" s="113" t="str">
        <f t="shared" si="61"/>
        <v>988902827</v>
      </c>
      <c r="K1956" s="113" t="str">
        <f t="shared" si="62"/>
        <v>CG02037</v>
      </c>
    </row>
    <row r="1957" spans="1:11" x14ac:dyDescent="0.3">
      <c r="A1957" s="298" t="s">
        <v>6628</v>
      </c>
      <c r="B1957" s="298" t="s">
        <v>6629</v>
      </c>
      <c r="C1957" s="298" t="s">
        <v>3037</v>
      </c>
      <c r="D1957" s="298" t="s">
        <v>256</v>
      </c>
      <c r="E1957" s="298" t="s">
        <v>6630</v>
      </c>
      <c r="F1957" s="298" t="s">
        <v>6631</v>
      </c>
      <c r="G1957" s="299" t="b">
        <v>0</v>
      </c>
      <c r="H1957" s="299" t="b">
        <v>0</v>
      </c>
      <c r="J1957" s="113" t="str">
        <f t="shared" si="61"/>
        <v>962955755</v>
      </c>
      <c r="K1957" s="113" t="str">
        <f t="shared" si="62"/>
        <v>CG02038</v>
      </c>
    </row>
    <row r="1958" spans="1:11" x14ac:dyDescent="0.3">
      <c r="A1958" s="298" t="s">
        <v>6632</v>
      </c>
      <c r="B1958" s="298" t="s">
        <v>6633</v>
      </c>
      <c r="C1958" s="298" t="s">
        <v>1671</v>
      </c>
      <c r="D1958" s="298" t="s">
        <v>256</v>
      </c>
      <c r="E1958" s="298"/>
      <c r="F1958" s="298" t="s">
        <v>6634</v>
      </c>
      <c r="G1958" s="299" t="b">
        <v>0</v>
      </c>
      <c r="H1958" s="299" t="b">
        <v>0</v>
      </c>
      <c r="J1958" s="113" t="str">
        <f t="shared" si="61"/>
        <v>917715286</v>
      </c>
      <c r="K1958" s="113" t="str">
        <f t="shared" si="62"/>
        <v>CG02039</v>
      </c>
    </row>
    <row r="1959" spans="1:11" x14ac:dyDescent="0.3">
      <c r="A1959" s="298" t="s">
        <v>6635</v>
      </c>
      <c r="B1959" s="298" t="s">
        <v>6636</v>
      </c>
      <c r="C1959" s="298" t="s">
        <v>809</v>
      </c>
      <c r="D1959" s="298" t="s">
        <v>256</v>
      </c>
      <c r="E1959" s="298"/>
      <c r="F1959" s="298" t="s">
        <v>6637</v>
      </c>
      <c r="G1959" s="299" t="b">
        <v>0</v>
      </c>
      <c r="H1959" s="299" t="b">
        <v>0</v>
      </c>
      <c r="J1959" s="113" t="str">
        <f t="shared" si="61"/>
        <v>982737716</v>
      </c>
      <c r="K1959" s="113" t="str">
        <f t="shared" si="62"/>
        <v>CG02040</v>
      </c>
    </row>
    <row r="1960" spans="1:11" x14ac:dyDescent="0.3">
      <c r="A1960" s="298" t="s">
        <v>6638</v>
      </c>
      <c r="B1960" s="298" t="s">
        <v>6639</v>
      </c>
      <c r="C1960" s="298" t="s">
        <v>2051</v>
      </c>
      <c r="D1960" s="298" t="s">
        <v>256</v>
      </c>
      <c r="E1960" s="298"/>
      <c r="F1960" s="298" t="s">
        <v>6640</v>
      </c>
      <c r="G1960" s="299" t="b">
        <v>0</v>
      </c>
      <c r="H1960" s="299" t="b">
        <v>0</v>
      </c>
      <c r="J1960" s="113" t="str">
        <f t="shared" si="61"/>
        <v>913537104</v>
      </c>
      <c r="K1960" s="113" t="str">
        <f t="shared" si="62"/>
        <v>CG02041</v>
      </c>
    </row>
    <row r="1961" spans="1:11" x14ac:dyDescent="0.3">
      <c r="A1961" s="298" t="s">
        <v>6641</v>
      </c>
      <c r="B1961" s="298" t="s">
        <v>6642</v>
      </c>
      <c r="C1961" s="298" t="s">
        <v>711</v>
      </c>
      <c r="D1961" s="298" t="s">
        <v>256</v>
      </c>
      <c r="E1961" s="298"/>
      <c r="F1961" s="298" t="s">
        <v>6643</v>
      </c>
      <c r="G1961" s="299" t="b">
        <v>0</v>
      </c>
      <c r="H1961" s="299" t="b">
        <v>0</v>
      </c>
      <c r="J1961" s="113" t="str">
        <f t="shared" si="61"/>
        <v>972884666</v>
      </c>
      <c r="K1961" s="113" t="str">
        <f t="shared" si="62"/>
        <v>CG02042</v>
      </c>
    </row>
    <row r="1962" spans="1:11" x14ac:dyDescent="0.3">
      <c r="A1962" s="298" t="s">
        <v>6644</v>
      </c>
      <c r="B1962" s="298" t="s">
        <v>6645</v>
      </c>
      <c r="C1962" s="298" t="s">
        <v>1727</v>
      </c>
      <c r="D1962" s="298" t="s">
        <v>256</v>
      </c>
      <c r="E1962" s="298"/>
      <c r="F1962" s="298" t="s">
        <v>6646</v>
      </c>
      <c r="G1962" s="299" t="b">
        <v>0</v>
      </c>
      <c r="H1962" s="299" t="b">
        <v>0</v>
      </c>
      <c r="J1962" s="113" t="str">
        <f t="shared" si="61"/>
        <v>904321162</v>
      </c>
      <c r="K1962" s="113" t="str">
        <f t="shared" si="62"/>
        <v>CG02043</v>
      </c>
    </row>
    <row r="1963" spans="1:11" x14ac:dyDescent="0.3">
      <c r="A1963" s="298" t="s">
        <v>6647</v>
      </c>
      <c r="B1963" s="298" t="s">
        <v>6648</v>
      </c>
      <c r="C1963" s="298" t="s">
        <v>711</v>
      </c>
      <c r="D1963" s="298" t="s">
        <v>256</v>
      </c>
      <c r="E1963" s="298"/>
      <c r="F1963" s="298" t="s">
        <v>6649</v>
      </c>
      <c r="G1963" s="299" t="b">
        <v>0</v>
      </c>
      <c r="H1963" s="299" t="b">
        <v>0</v>
      </c>
      <c r="J1963" s="113" t="str">
        <f t="shared" si="61"/>
        <v>966096933</v>
      </c>
      <c r="K1963" s="113" t="str">
        <f t="shared" si="62"/>
        <v>CG02044</v>
      </c>
    </row>
    <row r="1964" spans="1:11" x14ac:dyDescent="0.3">
      <c r="A1964" s="298" t="s">
        <v>6650</v>
      </c>
      <c r="B1964" s="298" t="s">
        <v>6651</v>
      </c>
      <c r="C1964" s="298" t="s">
        <v>1237</v>
      </c>
      <c r="D1964" s="298" t="s">
        <v>256</v>
      </c>
      <c r="E1964" s="298"/>
      <c r="F1964" s="298" t="s">
        <v>6652</v>
      </c>
      <c r="G1964" s="299" t="b">
        <v>0</v>
      </c>
      <c r="H1964" s="299" t="b">
        <v>0</v>
      </c>
      <c r="J1964" s="113" t="str">
        <f t="shared" si="61"/>
        <v>948156471</v>
      </c>
      <c r="K1964" s="113" t="str">
        <f t="shared" si="62"/>
        <v>CG02045</v>
      </c>
    </row>
    <row r="1965" spans="1:11" x14ac:dyDescent="0.3">
      <c r="A1965" s="298" t="s">
        <v>6653</v>
      </c>
      <c r="B1965" s="298" t="s">
        <v>6654</v>
      </c>
      <c r="C1965" s="298" t="s">
        <v>286</v>
      </c>
      <c r="D1965" s="298" t="s">
        <v>256</v>
      </c>
      <c r="E1965" s="298"/>
      <c r="F1965" s="298" t="s">
        <v>6655</v>
      </c>
      <c r="G1965" s="299" t="b">
        <v>0</v>
      </c>
      <c r="H1965" s="299" t="b">
        <v>0</v>
      </c>
      <c r="J1965" s="113" t="str">
        <f t="shared" si="61"/>
        <v>363191917</v>
      </c>
      <c r="K1965" s="113" t="str">
        <f t="shared" si="62"/>
        <v>CG02046</v>
      </c>
    </row>
    <row r="1966" spans="1:11" x14ac:dyDescent="0.3">
      <c r="A1966" s="298" t="s">
        <v>6656</v>
      </c>
      <c r="B1966" s="298" t="s">
        <v>6657</v>
      </c>
      <c r="C1966" s="298" t="s">
        <v>230</v>
      </c>
      <c r="D1966" s="298" t="s">
        <v>256</v>
      </c>
      <c r="E1966" s="298"/>
      <c r="F1966" s="298" t="s">
        <v>6658</v>
      </c>
      <c r="G1966" s="299" t="b">
        <v>0</v>
      </c>
      <c r="H1966" s="299" t="b">
        <v>0</v>
      </c>
      <c r="J1966" s="113" t="str">
        <f t="shared" si="61"/>
        <v>378172472</v>
      </c>
      <c r="K1966" s="113" t="str">
        <f t="shared" si="62"/>
        <v>CG02047</v>
      </c>
    </row>
    <row r="1967" spans="1:11" x14ac:dyDescent="0.3">
      <c r="A1967" s="298" t="s">
        <v>6659</v>
      </c>
      <c r="B1967" s="298" t="s">
        <v>6660</v>
      </c>
      <c r="C1967" s="298" t="s">
        <v>274</v>
      </c>
      <c r="D1967" s="298" t="s">
        <v>256</v>
      </c>
      <c r="E1967" s="298" t="s">
        <v>6661</v>
      </c>
      <c r="F1967" s="298" t="s">
        <v>6662</v>
      </c>
      <c r="G1967" s="299" t="b">
        <v>0</v>
      </c>
      <c r="H1967" s="299" t="b">
        <v>0</v>
      </c>
      <c r="J1967" s="113" t="str">
        <f t="shared" si="61"/>
        <v>912826819</v>
      </c>
      <c r="K1967" s="113" t="str">
        <f t="shared" si="62"/>
        <v>CG02048</v>
      </c>
    </row>
    <row r="1968" spans="1:11" x14ac:dyDescent="0.3">
      <c r="A1968" s="298" t="s">
        <v>6663</v>
      </c>
      <c r="B1968" s="298" t="s">
        <v>6664</v>
      </c>
      <c r="C1968" s="298" t="s">
        <v>6665</v>
      </c>
      <c r="D1968" s="298" t="s">
        <v>256</v>
      </c>
      <c r="E1968" s="298"/>
      <c r="F1968" s="298" t="s">
        <v>6666</v>
      </c>
      <c r="G1968" s="299" t="b">
        <v>0</v>
      </c>
      <c r="H1968" s="299" t="b">
        <v>0</v>
      </c>
      <c r="J1968" s="113" t="str">
        <f t="shared" si="61"/>
        <v>345977557</v>
      </c>
      <c r="K1968" s="113" t="str">
        <f t="shared" si="62"/>
        <v>CG02049</v>
      </c>
    </row>
    <row r="1969" spans="1:11" x14ac:dyDescent="0.3">
      <c r="A1969" s="298" t="s">
        <v>6667</v>
      </c>
      <c r="B1969" s="298" t="s">
        <v>6668</v>
      </c>
      <c r="C1969" s="298" t="s">
        <v>3281</v>
      </c>
      <c r="D1969" s="298" t="s">
        <v>256</v>
      </c>
      <c r="E1969" s="298"/>
      <c r="F1969" s="298" t="s">
        <v>6669</v>
      </c>
      <c r="G1969" s="299" t="b">
        <v>0</v>
      </c>
      <c r="H1969" s="299" t="b">
        <v>0</v>
      </c>
      <c r="J1969" s="113" t="str">
        <f t="shared" si="61"/>
        <v>906066678</v>
      </c>
      <c r="K1969" s="113" t="str">
        <f t="shared" si="62"/>
        <v>CG02050</v>
      </c>
    </row>
    <row r="1970" spans="1:11" x14ac:dyDescent="0.3">
      <c r="A1970" s="298" t="s">
        <v>6670</v>
      </c>
      <c r="B1970" s="298" t="s">
        <v>6671</v>
      </c>
      <c r="C1970" s="298" t="s">
        <v>2114</v>
      </c>
      <c r="D1970" s="298" t="s">
        <v>256</v>
      </c>
      <c r="E1970" s="298"/>
      <c r="F1970" s="298" t="s">
        <v>6672</v>
      </c>
      <c r="G1970" s="299" t="b">
        <v>0</v>
      </c>
      <c r="H1970" s="299" t="b">
        <v>0</v>
      </c>
      <c r="J1970" s="113" t="str">
        <f t="shared" si="61"/>
        <v>942565565</v>
      </c>
      <c r="K1970" s="113" t="str">
        <f t="shared" si="62"/>
        <v>CG02051</v>
      </c>
    </row>
    <row r="1971" spans="1:11" x14ac:dyDescent="0.3">
      <c r="A1971" s="298" t="s">
        <v>6673</v>
      </c>
      <c r="B1971" s="298" t="s">
        <v>6674</v>
      </c>
      <c r="C1971" s="298" t="s">
        <v>390</v>
      </c>
      <c r="D1971" s="298" t="s">
        <v>256</v>
      </c>
      <c r="E1971" s="298"/>
      <c r="F1971" s="298" t="s">
        <v>6675</v>
      </c>
      <c r="G1971" s="299" t="b">
        <v>0</v>
      </c>
      <c r="H1971" s="299" t="b">
        <v>0</v>
      </c>
      <c r="J1971" s="113" t="str">
        <f t="shared" si="61"/>
        <v>913239565</v>
      </c>
      <c r="K1971" s="113" t="str">
        <f t="shared" si="62"/>
        <v>CG02052</v>
      </c>
    </row>
    <row r="1972" spans="1:11" x14ac:dyDescent="0.3">
      <c r="A1972" s="298" t="s">
        <v>6676</v>
      </c>
      <c r="B1972" s="298" t="s">
        <v>6677</v>
      </c>
      <c r="C1972" s="298" t="s">
        <v>3037</v>
      </c>
      <c r="D1972" s="298" t="s">
        <v>256</v>
      </c>
      <c r="E1972" s="298"/>
      <c r="F1972" s="298" t="s">
        <v>6678</v>
      </c>
      <c r="G1972" s="299" t="b">
        <v>0</v>
      </c>
      <c r="H1972" s="299" t="b">
        <v>0</v>
      </c>
      <c r="J1972" s="113" t="str">
        <f t="shared" si="61"/>
        <v>989339001</v>
      </c>
      <c r="K1972" s="113" t="str">
        <f t="shared" si="62"/>
        <v>CG02053</v>
      </c>
    </row>
    <row r="1973" spans="1:11" x14ac:dyDescent="0.3">
      <c r="A1973" s="298" t="s">
        <v>6679</v>
      </c>
      <c r="B1973" s="298" t="s">
        <v>6680</v>
      </c>
      <c r="C1973" s="298" t="s">
        <v>495</v>
      </c>
      <c r="D1973" s="298" t="s">
        <v>256</v>
      </c>
      <c r="E1973" s="298"/>
      <c r="F1973" s="298" t="s">
        <v>6681</v>
      </c>
      <c r="G1973" s="299" t="b">
        <v>0</v>
      </c>
      <c r="H1973" s="299" t="b">
        <v>0</v>
      </c>
      <c r="J1973" s="113" t="str">
        <f t="shared" si="61"/>
        <v>977706724</v>
      </c>
      <c r="K1973" s="113" t="str">
        <f t="shared" si="62"/>
        <v>CG02054</v>
      </c>
    </row>
    <row r="1974" spans="1:11" x14ac:dyDescent="0.3">
      <c r="A1974" s="298" t="s">
        <v>6682</v>
      </c>
      <c r="B1974" s="298" t="s">
        <v>6683</v>
      </c>
      <c r="C1974" s="298" t="s">
        <v>541</v>
      </c>
      <c r="D1974" s="298" t="s">
        <v>256</v>
      </c>
      <c r="E1974" s="298"/>
      <c r="F1974" s="298" t="s">
        <v>6684</v>
      </c>
      <c r="G1974" s="299" t="b">
        <v>0</v>
      </c>
      <c r="H1974" s="299" t="b">
        <v>0</v>
      </c>
      <c r="J1974" s="113" t="str">
        <f t="shared" si="61"/>
        <v>965311536</v>
      </c>
      <c r="K1974" s="113" t="str">
        <f t="shared" si="62"/>
        <v>CG02055</v>
      </c>
    </row>
    <row r="1975" spans="1:11" x14ac:dyDescent="0.3">
      <c r="A1975" s="298" t="s">
        <v>6685</v>
      </c>
      <c r="B1975" s="298" t="s">
        <v>6686</v>
      </c>
      <c r="C1975" s="298" t="s">
        <v>5858</v>
      </c>
      <c r="D1975" s="298" t="s">
        <v>256</v>
      </c>
      <c r="E1975" s="298"/>
      <c r="F1975" s="298" t="s">
        <v>6687</v>
      </c>
      <c r="G1975" s="299" t="b">
        <v>0</v>
      </c>
      <c r="H1975" s="299" t="b">
        <v>0</v>
      </c>
      <c r="J1975" s="113" t="str">
        <f t="shared" si="61"/>
        <v>972587778</v>
      </c>
      <c r="K1975" s="113" t="str">
        <f t="shared" si="62"/>
        <v>CG02056</v>
      </c>
    </row>
    <row r="1976" spans="1:11" x14ac:dyDescent="0.3">
      <c r="A1976" s="298" t="s">
        <v>6688</v>
      </c>
      <c r="B1976" s="298" t="s">
        <v>6689</v>
      </c>
      <c r="C1976" s="298" t="s">
        <v>340</v>
      </c>
      <c r="D1976" s="298" t="s">
        <v>256</v>
      </c>
      <c r="E1976" s="298"/>
      <c r="F1976" s="298" t="s">
        <v>6690</v>
      </c>
      <c r="G1976" s="299" t="b">
        <v>0</v>
      </c>
      <c r="H1976" s="299" t="b">
        <v>0</v>
      </c>
      <c r="J1976" s="113" t="str">
        <f t="shared" si="61"/>
        <v>982570016</v>
      </c>
      <c r="K1976" s="113" t="str">
        <f t="shared" si="62"/>
        <v>CG02057</v>
      </c>
    </row>
    <row r="1977" spans="1:11" x14ac:dyDescent="0.3">
      <c r="A1977" s="298" t="s">
        <v>6691</v>
      </c>
      <c r="B1977" s="298" t="s">
        <v>6692</v>
      </c>
      <c r="C1977" s="298" t="s">
        <v>550</v>
      </c>
      <c r="D1977" s="298" t="s">
        <v>6693</v>
      </c>
      <c r="E1977" s="298"/>
      <c r="F1977" s="298" t="s">
        <v>6694</v>
      </c>
      <c r="G1977" s="299" t="b">
        <v>0</v>
      </c>
      <c r="H1977" s="299" t="b">
        <v>0</v>
      </c>
      <c r="J1977" s="113" t="str">
        <f t="shared" si="61"/>
        <v>942111888</v>
      </c>
      <c r="K1977" s="113" t="str">
        <f t="shared" si="62"/>
        <v>CG02058</v>
      </c>
    </row>
    <row r="1978" spans="1:11" x14ac:dyDescent="0.3">
      <c r="A1978" s="298" t="s">
        <v>6695</v>
      </c>
      <c r="B1978" s="298" t="s">
        <v>6696</v>
      </c>
      <c r="C1978" s="298" t="s">
        <v>390</v>
      </c>
      <c r="D1978" s="298" t="s">
        <v>256</v>
      </c>
      <c r="E1978" s="298"/>
      <c r="F1978" s="298" t="s">
        <v>6697</v>
      </c>
      <c r="G1978" s="299" t="b">
        <v>0</v>
      </c>
      <c r="H1978" s="299" t="b">
        <v>0</v>
      </c>
      <c r="J1978" s="113" t="str">
        <f t="shared" si="61"/>
        <v>972711063</v>
      </c>
      <c r="K1978" s="113" t="str">
        <f t="shared" si="62"/>
        <v>CG02059</v>
      </c>
    </row>
    <row r="1979" spans="1:11" x14ac:dyDescent="0.3">
      <c r="A1979" s="298" t="s">
        <v>6698</v>
      </c>
      <c r="B1979" s="298" t="s">
        <v>6699</v>
      </c>
      <c r="C1979" s="298" t="s">
        <v>6700</v>
      </c>
      <c r="D1979" s="298" t="s">
        <v>256</v>
      </c>
      <c r="E1979" s="298"/>
      <c r="F1979" s="298" t="s">
        <v>5522</v>
      </c>
      <c r="G1979" s="299" t="b">
        <v>0</v>
      </c>
      <c r="H1979" s="299" t="b">
        <v>0</v>
      </c>
      <c r="J1979" s="113" t="str">
        <f t="shared" si="61"/>
        <v>913288269</v>
      </c>
      <c r="K1979" s="113" t="str">
        <f t="shared" si="62"/>
        <v>CG02060</v>
      </c>
    </row>
    <row r="1980" spans="1:11" x14ac:dyDescent="0.3">
      <c r="A1980" s="298" t="s">
        <v>6701</v>
      </c>
      <c r="B1980" s="298" t="s">
        <v>6702</v>
      </c>
      <c r="C1980" s="298" t="s">
        <v>884</v>
      </c>
      <c r="D1980" s="298" t="s">
        <v>256</v>
      </c>
      <c r="E1980" s="298"/>
      <c r="F1980" s="298" t="s">
        <v>6703</v>
      </c>
      <c r="G1980" s="299" t="b">
        <v>0</v>
      </c>
      <c r="H1980" s="299" t="b">
        <v>0</v>
      </c>
      <c r="J1980" s="113" t="str">
        <f t="shared" si="61"/>
        <v>982036467</v>
      </c>
      <c r="K1980" s="113" t="str">
        <f t="shared" si="62"/>
        <v>CG02061</v>
      </c>
    </row>
    <row r="1981" spans="1:11" x14ac:dyDescent="0.3">
      <c r="A1981" s="298" t="s">
        <v>6704</v>
      </c>
      <c r="B1981" s="298" t="s">
        <v>6705</v>
      </c>
      <c r="C1981" s="298" t="s">
        <v>2114</v>
      </c>
      <c r="D1981" s="298" t="s">
        <v>256</v>
      </c>
      <c r="E1981" s="298"/>
      <c r="F1981" s="298" t="s">
        <v>6706</v>
      </c>
      <c r="G1981" s="299" t="b">
        <v>0</v>
      </c>
      <c r="H1981" s="299" t="b">
        <v>0</v>
      </c>
      <c r="J1981" s="113" t="str">
        <f t="shared" si="61"/>
        <v>982338417</v>
      </c>
      <c r="K1981" s="113" t="str">
        <f t="shared" si="62"/>
        <v>CG02062</v>
      </c>
    </row>
    <row r="1982" spans="1:11" x14ac:dyDescent="0.3">
      <c r="A1982" s="298" t="s">
        <v>6707</v>
      </c>
      <c r="B1982" s="298" t="s">
        <v>6708</v>
      </c>
      <c r="C1982" s="298" t="s">
        <v>541</v>
      </c>
      <c r="D1982" s="298" t="s">
        <v>256</v>
      </c>
      <c r="E1982" s="298"/>
      <c r="F1982" s="298" t="s">
        <v>6709</v>
      </c>
      <c r="G1982" s="299" t="b">
        <v>0</v>
      </c>
      <c r="H1982" s="299" t="b">
        <v>0</v>
      </c>
      <c r="J1982" s="113" t="str">
        <f t="shared" si="61"/>
        <v>989145088</v>
      </c>
      <c r="K1982" s="113" t="str">
        <f t="shared" si="62"/>
        <v>CG02063</v>
      </c>
    </row>
    <row r="1983" spans="1:11" x14ac:dyDescent="0.3">
      <c r="A1983" s="298" t="s">
        <v>6710</v>
      </c>
      <c r="B1983" s="298" t="s">
        <v>6711</v>
      </c>
      <c r="C1983" s="298" t="s">
        <v>711</v>
      </c>
      <c r="D1983" s="298" t="s">
        <v>256</v>
      </c>
      <c r="E1983" s="298"/>
      <c r="F1983" s="298" t="s">
        <v>6712</v>
      </c>
      <c r="G1983" s="299" t="b">
        <v>0</v>
      </c>
      <c r="H1983" s="299" t="b">
        <v>0</v>
      </c>
      <c r="J1983" s="113" t="str">
        <f t="shared" si="61"/>
        <v>904000589</v>
      </c>
      <c r="K1983" s="113" t="str">
        <f t="shared" si="62"/>
        <v>CG02064</v>
      </c>
    </row>
    <row r="1984" spans="1:11" x14ac:dyDescent="0.3">
      <c r="A1984" s="298" t="s">
        <v>6713</v>
      </c>
      <c r="B1984" s="298" t="s">
        <v>6714</v>
      </c>
      <c r="C1984" s="298" t="s">
        <v>718</v>
      </c>
      <c r="D1984" s="298" t="s">
        <v>256</v>
      </c>
      <c r="E1984" s="298"/>
      <c r="F1984" s="298" t="s">
        <v>6715</v>
      </c>
      <c r="G1984" s="299" t="b">
        <v>0</v>
      </c>
      <c r="H1984" s="299" t="b">
        <v>0</v>
      </c>
      <c r="J1984" s="113" t="str">
        <f t="shared" si="61"/>
        <v>977593425</v>
      </c>
      <c r="K1984" s="113" t="str">
        <f t="shared" si="62"/>
        <v>CG02065</v>
      </c>
    </row>
    <row r="1985" spans="1:11" x14ac:dyDescent="0.3">
      <c r="A1985" s="298" t="s">
        <v>6716</v>
      </c>
      <c r="B1985" s="298" t="s">
        <v>6717</v>
      </c>
      <c r="C1985" s="298" t="s">
        <v>231</v>
      </c>
      <c r="D1985" s="298" t="s">
        <v>256</v>
      </c>
      <c r="E1985" s="298"/>
      <c r="F1985" s="298" t="s">
        <v>6718</v>
      </c>
      <c r="G1985" s="299" t="b">
        <v>0</v>
      </c>
      <c r="H1985" s="299" t="b">
        <v>0</v>
      </c>
      <c r="J1985" s="113" t="str">
        <f t="shared" si="61"/>
        <v>975884166</v>
      </c>
      <c r="K1985" s="113" t="str">
        <f t="shared" si="62"/>
        <v>CG02066</v>
      </c>
    </row>
    <row r="1986" spans="1:11" x14ac:dyDescent="0.3">
      <c r="A1986" s="298" t="s">
        <v>6719</v>
      </c>
      <c r="B1986" s="298" t="s">
        <v>6720</v>
      </c>
      <c r="C1986" s="298" t="s">
        <v>355</v>
      </c>
      <c r="D1986" s="298" t="s">
        <v>256</v>
      </c>
      <c r="E1986" s="298"/>
      <c r="F1986" s="298" t="s">
        <v>6721</v>
      </c>
      <c r="G1986" s="299" t="b">
        <v>0</v>
      </c>
      <c r="H1986" s="299" t="b">
        <v>0</v>
      </c>
      <c r="J1986" s="113" t="str">
        <f t="shared" si="61"/>
        <v>968350568</v>
      </c>
      <c r="K1986" s="113" t="str">
        <f t="shared" si="62"/>
        <v>CG02067</v>
      </c>
    </row>
    <row r="1987" spans="1:11" x14ac:dyDescent="0.3">
      <c r="A1987" s="298" t="s">
        <v>6722</v>
      </c>
      <c r="B1987" s="298" t="s">
        <v>6723</v>
      </c>
      <c r="C1987" s="298" t="s">
        <v>2170</v>
      </c>
      <c r="D1987" s="298" t="s">
        <v>256</v>
      </c>
      <c r="E1987" s="298"/>
      <c r="F1987" s="298" t="s">
        <v>6724</v>
      </c>
      <c r="G1987" s="299" t="b">
        <v>0</v>
      </c>
      <c r="H1987" s="299" t="b">
        <v>0</v>
      </c>
      <c r="J1987" s="113" t="str">
        <f t="shared" si="61"/>
        <v>976281089</v>
      </c>
      <c r="K1987" s="113" t="str">
        <f t="shared" si="62"/>
        <v>CG02068</v>
      </c>
    </row>
    <row r="1988" spans="1:11" x14ac:dyDescent="0.3">
      <c r="A1988" s="298" t="s">
        <v>6725</v>
      </c>
      <c r="B1988" s="298" t="s">
        <v>6726</v>
      </c>
      <c r="C1988" s="298" t="s">
        <v>289</v>
      </c>
      <c r="D1988" s="298" t="s">
        <v>256</v>
      </c>
      <c r="E1988" s="298"/>
      <c r="F1988" s="298" t="s">
        <v>6727</v>
      </c>
      <c r="G1988" s="299" t="b">
        <v>0</v>
      </c>
      <c r="H1988" s="299" t="b">
        <v>0</v>
      </c>
      <c r="J1988" s="113" t="str">
        <f t="shared" si="61"/>
        <v>868414268</v>
      </c>
      <c r="K1988" s="113" t="str">
        <f t="shared" si="62"/>
        <v>CG02069</v>
      </c>
    </row>
    <row r="1989" spans="1:11" x14ac:dyDescent="0.3">
      <c r="A1989" s="298" t="s">
        <v>6728</v>
      </c>
      <c r="B1989" s="298" t="s">
        <v>6729</v>
      </c>
      <c r="C1989" s="298" t="s">
        <v>355</v>
      </c>
      <c r="D1989" s="298" t="s">
        <v>256</v>
      </c>
      <c r="E1989" s="298"/>
      <c r="F1989" s="298" t="s">
        <v>6730</v>
      </c>
      <c r="G1989" s="299" t="b">
        <v>0</v>
      </c>
      <c r="H1989" s="299" t="b">
        <v>0</v>
      </c>
      <c r="J1989" s="113" t="str">
        <f t="shared" ref="J1989:J2052" si="63">RIGHT(B1989,9)</f>
        <v>972218990</v>
      </c>
      <c r="K1989" s="113" t="str">
        <f t="shared" ref="K1989:K2052" si="64">A1989</f>
        <v>CG02070</v>
      </c>
    </row>
    <row r="1990" spans="1:11" x14ac:dyDescent="0.3">
      <c r="A1990" s="298" t="s">
        <v>6731</v>
      </c>
      <c r="B1990" s="298" t="s">
        <v>6732</v>
      </c>
      <c r="C1990" s="298" t="s">
        <v>355</v>
      </c>
      <c r="D1990" s="298" t="s">
        <v>256</v>
      </c>
      <c r="E1990" s="298"/>
      <c r="F1990" s="298" t="s">
        <v>6733</v>
      </c>
      <c r="G1990" s="299" t="b">
        <v>0</v>
      </c>
      <c r="H1990" s="299" t="b">
        <v>0</v>
      </c>
      <c r="J1990" s="113" t="str">
        <f t="shared" si="63"/>
        <v>984586583</v>
      </c>
      <c r="K1990" s="113" t="str">
        <f t="shared" si="64"/>
        <v>CG02071</v>
      </c>
    </row>
    <row r="1991" spans="1:11" x14ac:dyDescent="0.3">
      <c r="A1991" s="298" t="s">
        <v>6734</v>
      </c>
      <c r="B1991" s="298" t="s">
        <v>6735</v>
      </c>
      <c r="C1991" s="298" t="s">
        <v>286</v>
      </c>
      <c r="D1991" s="298" t="s">
        <v>256</v>
      </c>
      <c r="E1991" s="298"/>
      <c r="F1991" s="298" t="s">
        <v>6736</v>
      </c>
      <c r="G1991" s="299" t="b">
        <v>0</v>
      </c>
      <c r="H1991" s="299" t="b">
        <v>0</v>
      </c>
      <c r="J1991" s="113" t="str">
        <f t="shared" si="63"/>
        <v>906886777</v>
      </c>
      <c r="K1991" s="113" t="str">
        <f t="shared" si="64"/>
        <v>CG02072</v>
      </c>
    </row>
    <row r="1992" spans="1:11" x14ac:dyDescent="0.3">
      <c r="A1992" s="298" t="s">
        <v>6737</v>
      </c>
      <c r="B1992" s="298" t="s">
        <v>6738</v>
      </c>
      <c r="C1992" s="298" t="s">
        <v>230</v>
      </c>
      <c r="D1992" s="298" t="s">
        <v>256</v>
      </c>
      <c r="E1992" s="298"/>
      <c r="F1992" s="298" t="s">
        <v>6739</v>
      </c>
      <c r="G1992" s="299" t="b">
        <v>0</v>
      </c>
      <c r="H1992" s="299" t="b">
        <v>0</v>
      </c>
      <c r="J1992" s="113" t="str">
        <f t="shared" si="63"/>
        <v>968077915</v>
      </c>
      <c r="K1992" s="113" t="str">
        <f t="shared" si="64"/>
        <v>CG02073</v>
      </c>
    </row>
    <row r="1993" spans="1:11" x14ac:dyDescent="0.3">
      <c r="A1993" s="298" t="s">
        <v>6740</v>
      </c>
      <c r="B1993" s="298" t="s">
        <v>6741</v>
      </c>
      <c r="C1993" s="298" t="s">
        <v>4423</v>
      </c>
      <c r="D1993" s="298" t="s">
        <v>256</v>
      </c>
      <c r="E1993" s="298"/>
      <c r="F1993" s="298" t="s">
        <v>6742</v>
      </c>
      <c r="G1993" s="299" t="b">
        <v>0</v>
      </c>
      <c r="H1993" s="299" t="b">
        <v>0</v>
      </c>
      <c r="J1993" s="113" t="str">
        <f t="shared" si="63"/>
        <v>934272648</v>
      </c>
      <c r="K1993" s="113" t="str">
        <f t="shared" si="64"/>
        <v>CG02075</v>
      </c>
    </row>
    <row r="1994" spans="1:11" x14ac:dyDescent="0.3">
      <c r="A1994" s="298" t="s">
        <v>6743</v>
      </c>
      <c r="B1994" s="298" t="s">
        <v>6744</v>
      </c>
      <c r="C1994" s="298" t="s">
        <v>785</v>
      </c>
      <c r="D1994" s="298" t="s">
        <v>256</v>
      </c>
      <c r="E1994" s="298"/>
      <c r="F1994" s="298" t="s">
        <v>6745</v>
      </c>
      <c r="G1994" s="299" t="b">
        <v>0</v>
      </c>
      <c r="H1994" s="299" t="b">
        <v>0</v>
      </c>
      <c r="J1994" s="113" t="str">
        <f t="shared" si="63"/>
        <v>985781555</v>
      </c>
      <c r="K1994" s="113" t="str">
        <f t="shared" si="64"/>
        <v>CG02076</v>
      </c>
    </row>
    <row r="1995" spans="1:11" x14ac:dyDescent="0.3">
      <c r="A1995" s="298" t="s">
        <v>6746</v>
      </c>
      <c r="B1995" s="298" t="s">
        <v>6747</v>
      </c>
      <c r="C1995" s="298" t="s">
        <v>378</v>
      </c>
      <c r="D1995" s="298" t="s">
        <v>256</v>
      </c>
      <c r="E1995" s="298"/>
      <c r="F1995" s="298" t="s">
        <v>6748</v>
      </c>
      <c r="G1995" s="299" t="b">
        <v>0</v>
      </c>
      <c r="H1995" s="299" t="b">
        <v>0</v>
      </c>
      <c r="J1995" s="113" t="str">
        <f t="shared" si="63"/>
        <v>973342917</v>
      </c>
      <c r="K1995" s="113" t="str">
        <f t="shared" si="64"/>
        <v>CG02077</v>
      </c>
    </row>
    <row r="1996" spans="1:11" x14ac:dyDescent="0.3">
      <c r="A1996" s="298" t="s">
        <v>6749</v>
      </c>
      <c r="B1996" s="298" t="s">
        <v>6750</v>
      </c>
      <c r="C1996" s="298" t="s">
        <v>884</v>
      </c>
      <c r="D1996" s="298" t="s">
        <v>256</v>
      </c>
      <c r="E1996" s="298"/>
      <c r="F1996" s="298" t="s">
        <v>6751</v>
      </c>
      <c r="G1996" s="299" t="b">
        <v>0</v>
      </c>
      <c r="H1996" s="299" t="b">
        <v>0</v>
      </c>
      <c r="J1996" s="113" t="str">
        <f t="shared" si="63"/>
        <v>936346156</v>
      </c>
      <c r="K1996" s="113" t="str">
        <f t="shared" si="64"/>
        <v>CG02078</v>
      </c>
    </row>
    <row r="1997" spans="1:11" x14ac:dyDescent="0.3">
      <c r="A1997" s="298" t="s">
        <v>6752</v>
      </c>
      <c r="B1997" s="298" t="s">
        <v>6753</v>
      </c>
      <c r="C1997" s="298" t="s">
        <v>3253</v>
      </c>
      <c r="D1997" s="298" t="s">
        <v>256</v>
      </c>
      <c r="E1997" s="298"/>
      <c r="F1997" s="298" t="s">
        <v>6754</v>
      </c>
      <c r="G1997" s="299" t="b">
        <v>0</v>
      </c>
      <c r="H1997" s="299" t="b">
        <v>0</v>
      </c>
      <c r="J1997" s="113" t="str">
        <f t="shared" si="63"/>
        <v>355612999</v>
      </c>
      <c r="K1997" s="113" t="str">
        <f t="shared" si="64"/>
        <v>CG02079</v>
      </c>
    </row>
    <row r="1998" spans="1:11" x14ac:dyDescent="0.3">
      <c r="A1998" s="298" t="s">
        <v>6755</v>
      </c>
      <c r="B1998" s="298" t="s">
        <v>6756</v>
      </c>
      <c r="C1998" s="298" t="s">
        <v>6757</v>
      </c>
      <c r="D1998" s="298" t="s">
        <v>256</v>
      </c>
      <c r="E1998" s="298"/>
      <c r="F1998" s="298" t="s">
        <v>6758</v>
      </c>
      <c r="G1998" s="299" t="b">
        <v>0</v>
      </c>
      <c r="H1998" s="299" t="b">
        <v>0</v>
      </c>
      <c r="J1998" s="113" t="str">
        <f t="shared" si="63"/>
        <v>367839668</v>
      </c>
      <c r="K1998" s="113" t="str">
        <f t="shared" si="64"/>
        <v>CG02080</v>
      </c>
    </row>
    <row r="1999" spans="1:11" x14ac:dyDescent="0.3">
      <c r="A1999" s="298" t="s">
        <v>6759</v>
      </c>
      <c r="B1999" s="298" t="s">
        <v>6760</v>
      </c>
      <c r="C1999" s="298" t="s">
        <v>375</v>
      </c>
      <c r="D1999" s="298" t="s">
        <v>256</v>
      </c>
      <c r="E1999" s="298"/>
      <c r="F1999" s="298" t="s">
        <v>6761</v>
      </c>
      <c r="G1999" s="299" t="b">
        <v>0</v>
      </c>
      <c r="H1999" s="299" t="b">
        <v>0</v>
      </c>
      <c r="J1999" s="113" t="str">
        <f t="shared" si="63"/>
        <v>912448682</v>
      </c>
      <c r="K1999" s="113" t="str">
        <f t="shared" si="64"/>
        <v>CG02081</v>
      </c>
    </row>
    <row r="2000" spans="1:11" x14ac:dyDescent="0.3">
      <c r="A2000" s="298" t="s">
        <v>6762</v>
      </c>
      <c r="B2000" s="298" t="s">
        <v>6763</v>
      </c>
      <c r="C2000" s="298" t="s">
        <v>711</v>
      </c>
      <c r="D2000" s="298" t="s">
        <v>256</v>
      </c>
      <c r="E2000" s="298"/>
      <c r="F2000" s="298" t="s">
        <v>6764</v>
      </c>
      <c r="G2000" s="299" t="b">
        <v>0</v>
      </c>
      <c r="H2000" s="299" t="b">
        <v>0</v>
      </c>
      <c r="J2000" s="113" t="str">
        <f t="shared" si="63"/>
        <v>978640968</v>
      </c>
      <c r="K2000" s="113" t="str">
        <f t="shared" si="64"/>
        <v>CG02082</v>
      </c>
    </row>
    <row r="2001" spans="1:11" x14ac:dyDescent="0.3">
      <c r="A2001" s="298" t="s">
        <v>6765</v>
      </c>
      <c r="B2001" s="298" t="s">
        <v>6766</v>
      </c>
      <c r="C2001" s="298" t="s">
        <v>809</v>
      </c>
      <c r="D2001" s="298" t="s">
        <v>256</v>
      </c>
      <c r="E2001" s="298"/>
      <c r="F2001" s="298" t="s">
        <v>6767</v>
      </c>
      <c r="G2001" s="299" t="b">
        <v>0</v>
      </c>
      <c r="H2001" s="299" t="b">
        <v>0</v>
      </c>
      <c r="J2001" s="113" t="str">
        <f t="shared" si="63"/>
        <v>362606413</v>
      </c>
      <c r="K2001" s="113" t="str">
        <f t="shared" si="64"/>
        <v>CG02083</v>
      </c>
    </row>
    <row r="2002" spans="1:11" x14ac:dyDescent="0.3">
      <c r="A2002" s="298" t="s">
        <v>6768</v>
      </c>
      <c r="B2002" s="298" t="s">
        <v>6769</v>
      </c>
      <c r="C2002" s="298" t="s">
        <v>892</v>
      </c>
      <c r="D2002" s="298" t="s">
        <v>256</v>
      </c>
      <c r="E2002" s="298"/>
      <c r="F2002" s="298" t="s">
        <v>6770</v>
      </c>
      <c r="G2002" s="299" t="b">
        <v>0</v>
      </c>
      <c r="H2002" s="299" t="b">
        <v>0</v>
      </c>
      <c r="J2002" s="113" t="str">
        <f t="shared" si="63"/>
        <v>982986048</v>
      </c>
      <c r="K2002" s="113" t="str">
        <f t="shared" si="64"/>
        <v>CG02084</v>
      </c>
    </row>
    <row r="2003" spans="1:11" x14ac:dyDescent="0.3">
      <c r="A2003" s="298" t="s">
        <v>6771</v>
      </c>
      <c r="B2003" s="298" t="s">
        <v>6772</v>
      </c>
      <c r="C2003" s="298" t="s">
        <v>6773</v>
      </c>
      <c r="D2003" s="298" t="s">
        <v>256</v>
      </c>
      <c r="E2003" s="298" t="s">
        <v>6774</v>
      </c>
      <c r="F2003" s="298" t="s">
        <v>6694</v>
      </c>
      <c r="G2003" s="299" t="b">
        <v>0</v>
      </c>
      <c r="H2003" s="299" t="b">
        <v>0</v>
      </c>
      <c r="J2003" s="113" t="str">
        <f t="shared" si="63"/>
        <v>942111888</v>
      </c>
      <c r="K2003" s="113" t="str">
        <f t="shared" si="64"/>
        <v>CG02085</v>
      </c>
    </row>
    <row r="2004" spans="1:11" x14ac:dyDescent="0.3">
      <c r="A2004" s="298" t="s">
        <v>6775</v>
      </c>
      <c r="B2004" s="298" t="s">
        <v>6776</v>
      </c>
      <c r="C2004" s="298" t="s">
        <v>1873</v>
      </c>
      <c r="D2004" s="298" t="s">
        <v>256</v>
      </c>
      <c r="E2004" s="298"/>
      <c r="F2004" s="298" t="s">
        <v>6777</v>
      </c>
      <c r="G2004" s="299" t="b">
        <v>0</v>
      </c>
      <c r="H2004" s="299" t="b">
        <v>0</v>
      </c>
      <c r="J2004" s="113" t="str">
        <f t="shared" si="63"/>
        <v>916125643</v>
      </c>
      <c r="K2004" s="113" t="str">
        <f t="shared" si="64"/>
        <v>CG02086</v>
      </c>
    </row>
    <row r="2005" spans="1:11" x14ac:dyDescent="0.3">
      <c r="A2005" s="298" t="s">
        <v>6778</v>
      </c>
      <c r="B2005" s="298" t="s">
        <v>6779</v>
      </c>
      <c r="C2005" s="298" t="s">
        <v>1029</v>
      </c>
      <c r="D2005" s="298" t="s">
        <v>256</v>
      </c>
      <c r="E2005" s="298"/>
      <c r="F2005" s="298" t="s">
        <v>6780</v>
      </c>
      <c r="G2005" s="299" t="b">
        <v>0</v>
      </c>
      <c r="H2005" s="299" t="b">
        <v>0</v>
      </c>
      <c r="J2005" s="113" t="str">
        <f t="shared" si="63"/>
        <v>982301642</v>
      </c>
      <c r="K2005" s="113" t="str">
        <f t="shared" si="64"/>
        <v>CG02087</v>
      </c>
    </row>
    <row r="2006" spans="1:11" x14ac:dyDescent="0.3">
      <c r="A2006" s="298" t="s">
        <v>6781</v>
      </c>
      <c r="B2006" s="298" t="s">
        <v>6782</v>
      </c>
      <c r="C2006" s="298" t="s">
        <v>934</v>
      </c>
      <c r="D2006" s="298" t="s">
        <v>256</v>
      </c>
      <c r="E2006" s="298"/>
      <c r="F2006" s="298" t="s">
        <v>6783</v>
      </c>
      <c r="G2006" s="299" t="b">
        <v>0</v>
      </c>
      <c r="H2006" s="299" t="b">
        <v>0</v>
      </c>
      <c r="J2006" s="113" t="str">
        <f t="shared" si="63"/>
        <v>393558899</v>
      </c>
      <c r="K2006" s="113" t="str">
        <f t="shared" si="64"/>
        <v>CG02088</v>
      </c>
    </row>
    <row r="2007" spans="1:11" x14ac:dyDescent="0.3">
      <c r="A2007" s="298" t="s">
        <v>6784</v>
      </c>
      <c r="B2007" s="298" t="s">
        <v>6785</v>
      </c>
      <c r="C2007" s="298" t="s">
        <v>463</v>
      </c>
      <c r="D2007" s="298" t="s">
        <v>256</v>
      </c>
      <c r="E2007" s="298"/>
      <c r="F2007" s="298" t="s">
        <v>6786</v>
      </c>
      <c r="G2007" s="299" t="b">
        <v>0</v>
      </c>
      <c r="H2007" s="299" t="b">
        <v>0</v>
      </c>
      <c r="J2007" s="113" t="str">
        <f t="shared" si="63"/>
        <v>979093955</v>
      </c>
      <c r="K2007" s="113" t="str">
        <f t="shared" si="64"/>
        <v>CG02089</v>
      </c>
    </row>
    <row r="2008" spans="1:11" x14ac:dyDescent="0.3">
      <c r="A2008" s="298" t="s">
        <v>6787</v>
      </c>
      <c r="B2008" s="298" t="s">
        <v>6788</v>
      </c>
      <c r="C2008" s="298" t="s">
        <v>676</v>
      </c>
      <c r="D2008" s="298" t="s">
        <v>256</v>
      </c>
      <c r="E2008" s="298"/>
      <c r="F2008" s="298" t="s">
        <v>6789</v>
      </c>
      <c r="G2008" s="299" t="b">
        <v>0</v>
      </c>
      <c r="H2008" s="299" t="b">
        <v>0</v>
      </c>
      <c r="J2008" s="113" t="str">
        <f t="shared" si="63"/>
        <v>963074692</v>
      </c>
      <c r="K2008" s="113" t="str">
        <f t="shared" si="64"/>
        <v>CG02090</v>
      </c>
    </row>
    <row r="2009" spans="1:11" x14ac:dyDescent="0.3">
      <c r="A2009" s="298" t="s">
        <v>6790</v>
      </c>
      <c r="B2009" s="298" t="s">
        <v>6791</v>
      </c>
      <c r="C2009" s="298" t="s">
        <v>2160</v>
      </c>
      <c r="D2009" s="298" t="s">
        <v>256</v>
      </c>
      <c r="E2009" s="298"/>
      <c r="F2009" s="298" t="s">
        <v>6792</v>
      </c>
      <c r="G2009" s="299" t="b">
        <v>0</v>
      </c>
      <c r="H2009" s="299" t="b">
        <v>0</v>
      </c>
      <c r="J2009" s="113" t="str">
        <f t="shared" si="63"/>
        <v>904223043</v>
      </c>
      <c r="K2009" s="113" t="str">
        <f t="shared" si="64"/>
        <v>CG02091</v>
      </c>
    </row>
    <row r="2010" spans="1:11" x14ac:dyDescent="0.3">
      <c r="A2010" s="298" t="s">
        <v>6793</v>
      </c>
      <c r="B2010" s="298" t="s">
        <v>6794</v>
      </c>
      <c r="C2010" s="298" t="s">
        <v>613</v>
      </c>
      <c r="D2010" s="298" t="s">
        <v>256</v>
      </c>
      <c r="E2010" s="298"/>
      <c r="F2010" s="298" t="s">
        <v>6795</v>
      </c>
      <c r="G2010" s="299" t="b">
        <v>0</v>
      </c>
      <c r="H2010" s="299" t="b">
        <v>0</v>
      </c>
      <c r="J2010" s="113" t="str">
        <f t="shared" si="63"/>
        <v>906017200</v>
      </c>
      <c r="K2010" s="113" t="str">
        <f t="shared" si="64"/>
        <v>CG02092</v>
      </c>
    </row>
    <row r="2011" spans="1:11" x14ac:dyDescent="0.3">
      <c r="A2011" s="298" t="s">
        <v>6796</v>
      </c>
      <c r="B2011" s="298" t="s">
        <v>6797</v>
      </c>
      <c r="C2011" s="298" t="s">
        <v>289</v>
      </c>
      <c r="D2011" s="298" t="s">
        <v>256</v>
      </c>
      <c r="E2011" s="298"/>
      <c r="F2011" s="298" t="s">
        <v>6798</v>
      </c>
      <c r="G2011" s="299" t="b">
        <v>0</v>
      </c>
      <c r="H2011" s="299" t="b">
        <v>0</v>
      </c>
      <c r="J2011" s="113" t="str">
        <f t="shared" si="63"/>
        <v>978607668</v>
      </c>
      <c r="K2011" s="113" t="str">
        <f t="shared" si="64"/>
        <v>CG02093</v>
      </c>
    </row>
    <row r="2012" spans="1:11" x14ac:dyDescent="0.3">
      <c r="A2012" s="298" t="s">
        <v>6799</v>
      </c>
      <c r="B2012" s="298" t="s">
        <v>6800</v>
      </c>
      <c r="C2012" s="298" t="s">
        <v>541</v>
      </c>
      <c r="D2012" s="298" t="s">
        <v>256</v>
      </c>
      <c r="E2012" s="298"/>
      <c r="F2012" s="298" t="s">
        <v>6801</v>
      </c>
      <c r="G2012" s="299" t="b">
        <v>0</v>
      </c>
      <c r="H2012" s="299" t="b">
        <v>0</v>
      </c>
      <c r="J2012" s="113" t="str">
        <f t="shared" si="63"/>
        <v>357003738</v>
      </c>
      <c r="K2012" s="113" t="str">
        <f t="shared" si="64"/>
        <v>CG02094</v>
      </c>
    </row>
    <row r="2013" spans="1:11" x14ac:dyDescent="0.3">
      <c r="A2013" s="298" t="s">
        <v>6802</v>
      </c>
      <c r="B2013" s="298" t="s">
        <v>6803</v>
      </c>
      <c r="C2013" s="298" t="s">
        <v>355</v>
      </c>
      <c r="D2013" s="298" t="s">
        <v>256</v>
      </c>
      <c r="E2013" s="298"/>
      <c r="F2013" s="298" t="s">
        <v>6804</v>
      </c>
      <c r="G2013" s="299" t="b">
        <v>0</v>
      </c>
      <c r="H2013" s="299" t="b">
        <v>0</v>
      </c>
      <c r="J2013" s="113" t="str">
        <f t="shared" si="63"/>
        <v>912636315</v>
      </c>
      <c r="K2013" s="113" t="str">
        <f t="shared" si="64"/>
        <v>CG02095</v>
      </c>
    </row>
    <row r="2014" spans="1:11" x14ac:dyDescent="0.3">
      <c r="A2014" s="298" t="s">
        <v>6805</v>
      </c>
      <c r="B2014" s="298" t="s">
        <v>6806</v>
      </c>
      <c r="C2014" s="298" t="s">
        <v>6807</v>
      </c>
      <c r="D2014" s="298" t="s">
        <v>256</v>
      </c>
      <c r="E2014" s="298"/>
      <c r="F2014" s="298" t="s">
        <v>6808</v>
      </c>
      <c r="G2014" s="299" t="b">
        <v>0</v>
      </c>
      <c r="H2014" s="299" t="b">
        <v>0</v>
      </c>
      <c r="J2014" s="113" t="str">
        <f t="shared" si="63"/>
        <v>386960338</v>
      </c>
      <c r="K2014" s="113" t="str">
        <f t="shared" si="64"/>
        <v>CG02096</v>
      </c>
    </row>
    <row r="2015" spans="1:11" x14ac:dyDescent="0.3">
      <c r="A2015" s="298" t="s">
        <v>6809</v>
      </c>
      <c r="B2015" s="298" t="s">
        <v>6810</v>
      </c>
      <c r="C2015" s="298" t="s">
        <v>286</v>
      </c>
      <c r="D2015" s="298" t="s">
        <v>256</v>
      </c>
      <c r="E2015" s="298"/>
      <c r="F2015" s="298" t="s">
        <v>6811</v>
      </c>
      <c r="G2015" s="299" t="b">
        <v>0</v>
      </c>
      <c r="H2015" s="299" t="b">
        <v>0</v>
      </c>
      <c r="J2015" s="113" t="str">
        <f t="shared" si="63"/>
        <v>913098583</v>
      </c>
      <c r="K2015" s="113" t="str">
        <f t="shared" si="64"/>
        <v>CG02097</v>
      </c>
    </row>
    <row r="2016" spans="1:11" x14ac:dyDescent="0.3">
      <c r="A2016" s="298" t="s">
        <v>6812</v>
      </c>
      <c r="B2016" s="298" t="s">
        <v>6813</v>
      </c>
      <c r="C2016" s="298" t="s">
        <v>5160</v>
      </c>
      <c r="D2016" s="298" t="s">
        <v>256</v>
      </c>
      <c r="E2016" s="298"/>
      <c r="F2016" s="298" t="s">
        <v>6814</v>
      </c>
      <c r="G2016" s="299" t="b">
        <v>0</v>
      </c>
      <c r="H2016" s="299" t="b">
        <v>0</v>
      </c>
      <c r="J2016" s="113" t="str">
        <f t="shared" si="63"/>
        <v>908832555</v>
      </c>
      <c r="K2016" s="113" t="str">
        <f t="shared" si="64"/>
        <v>CG02098</v>
      </c>
    </row>
    <row r="2017" spans="1:11" x14ac:dyDescent="0.3">
      <c r="A2017" s="298" t="s">
        <v>6815</v>
      </c>
      <c r="B2017" s="298" t="s">
        <v>6816</v>
      </c>
      <c r="C2017" s="298" t="s">
        <v>386</v>
      </c>
      <c r="D2017" s="298" t="s">
        <v>256</v>
      </c>
      <c r="E2017" s="298"/>
      <c r="F2017" s="298" t="s">
        <v>6817</v>
      </c>
      <c r="G2017" s="299" t="b">
        <v>0</v>
      </c>
      <c r="H2017" s="299" t="b">
        <v>0</v>
      </c>
      <c r="J2017" s="113" t="str">
        <f t="shared" si="63"/>
        <v>912894313</v>
      </c>
      <c r="K2017" s="113" t="str">
        <f t="shared" si="64"/>
        <v>CG02099</v>
      </c>
    </row>
    <row r="2018" spans="1:11" x14ac:dyDescent="0.3">
      <c r="A2018" s="298" t="s">
        <v>6818</v>
      </c>
      <c r="B2018" s="298" t="s">
        <v>6819</v>
      </c>
      <c r="C2018" s="298" t="s">
        <v>474</v>
      </c>
      <c r="D2018" s="298" t="s">
        <v>256</v>
      </c>
      <c r="E2018" s="298"/>
      <c r="F2018" s="298" t="s">
        <v>6820</v>
      </c>
      <c r="G2018" s="299" t="b">
        <v>0</v>
      </c>
      <c r="H2018" s="299" t="b">
        <v>0</v>
      </c>
      <c r="J2018" s="113" t="str">
        <f t="shared" si="63"/>
        <v>978425084</v>
      </c>
      <c r="K2018" s="113" t="str">
        <f t="shared" si="64"/>
        <v>CG02100</v>
      </c>
    </row>
    <row r="2019" spans="1:11" x14ac:dyDescent="0.3">
      <c r="A2019" s="298" t="s">
        <v>6821</v>
      </c>
      <c r="B2019" s="298" t="s">
        <v>6822</v>
      </c>
      <c r="C2019" s="298" t="s">
        <v>1727</v>
      </c>
      <c r="D2019" s="298" t="s">
        <v>256</v>
      </c>
      <c r="E2019" s="298"/>
      <c r="F2019" s="298" t="s">
        <v>6823</v>
      </c>
      <c r="G2019" s="299" t="b">
        <v>0</v>
      </c>
      <c r="H2019" s="299" t="b">
        <v>0</v>
      </c>
      <c r="J2019" s="113" t="str">
        <f t="shared" si="63"/>
        <v>913207360</v>
      </c>
      <c r="K2019" s="113" t="str">
        <f t="shared" si="64"/>
        <v>CG02101</v>
      </c>
    </row>
    <row r="2020" spans="1:11" x14ac:dyDescent="0.3">
      <c r="A2020" s="298" t="s">
        <v>6824</v>
      </c>
      <c r="B2020" s="298" t="s">
        <v>6825</v>
      </c>
      <c r="C2020" s="298" t="s">
        <v>6826</v>
      </c>
      <c r="D2020" s="298" t="s">
        <v>256</v>
      </c>
      <c r="E2020" s="298" t="s">
        <v>6827</v>
      </c>
      <c r="F2020" s="298" t="s">
        <v>6828</v>
      </c>
      <c r="G2020" s="299" t="b">
        <v>0</v>
      </c>
      <c r="H2020" s="299" t="b">
        <v>0</v>
      </c>
      <c r="J2020" s="113" t="str">
        <f t="shared" si="63"/>
        <v>973309091</v>
      </c>
      <c r="K2020" s="113" t="str">
        <f t="shared" si="64"/>
        <v>CG02102</v>
      </c>
    </row>
    <row r="2021" spans="1:11" x14ac:dyDescent="0.3">
      <c r="A2021" s="298" t="s">
        <v>6829</v>
      </c>
      <c r="B2021" s="298" t="s">
        <v>6830</v>
      </c>
      <c r="C2021" s="298" t="s">
        <v>613</v>
      </c>
      <c r="D2021" s="298" t="s">
        <v>256</v>
      </c>
      <c r="E2021" s="298"/>
      <c r="F2021" s="298" t="s">
        <v>6831</v>
      </c>
      <c r="G2021" s="299" t="b">
        <v>0</v>
      </c>
      <c r="H2021" s="299" t="b">
        <v>0</v>
      </c>
      <c r="J2021" s="113" t="str">
        <f t="shared" si="63"/>
        <v>967288456</v>
      </c>
      <c r="K2021" s="113" t="str">
        <f t="shared" si="64"/>
        <v>CG02103</v>
      </c>
    </row>
    <row r="2022" spans="1:11" x14ac:dyDescent="0.3">
      <c r="A2022" s="298" t="s">
        <v>6832</v>
      </c>
      <c r="B2022" s="298" t="s">
        <v>6833</v>
      </c>
      <c r="C2022" s="298" t="s">
        <v>1508</v>
      </c>
      <c r="D2022" s="298" t="s">
        <v>256</v>
      </c>
      <c r="E2022" s="298"/>
      <c r="F2022" s="298" t="s">
        <v>6834</v>
      </c>
      <c r="G2022" s="299" t="b">
        <v>0</v>
      </c>
      <c r="H2022" s="299" t="b">
        <v>0</v>
      </c>
      <c r="J2022" s="113" t="str">
        <f t="shared" si="63"/>
        <v>987627661</v>
      </c>
      <c r="K2022" s="113" t="str">
        <f t="shared" si="64"/>
        <v>CG02104</v>
      </c>
    </row>
    <row r="2023" spans="1:11" x14ac:dyDescent="0.3">
      <c r="A2023" s="298" t="s">
        <v>6835</v>
      </c>
      <c r="B2023" s="298" t="s">
        <v>6836</v>
      </c>
      <c r="C2023" s="298" t="s">
        <v>6837</v>
      </c>
      <c r="D2023" s="298" t="s">
        <v>256</v>
      </c>
      <c r="E2023" s="298"/>
      <c r="F2023" s="298" t="s">
        <v>6838</v>
      </c>
      <c r="G2023" s="299" t="b">
        <v>0</v>
      </c>
      <c r="H2023" s="299" t="b">
        <v>0</v>
      </c>
      <c r="J2023" s="113" t="str">
        <f t="shared" si="63"/>
        <v>382546423</v>
      </c>
      <c r="K2023" s="113" t="str">
        <f t="shared" si="64"/>
        <v>CG02105</v>
      </c>
    </row>
    <row r="2024" spans="1:11" x14ac:dyDescent="0.3">
      <c r="A2024" s="298" t="s">
        <v>6839</v>
      </c>
      <c r="B2024" s="298" t="s">
        <v>6840</v>
      </c>
      <c r="C2024" s="298" t="s">
        <v>541</v>
      </c>
      <c r="D2024" s="298" t="s">
        <v>256</v>
      </c>
      <c r="E2024" s="298"/>
      <c r="F2024" s="298" t="s">
        <v>6841</v>
      </c>
      <c r="G2024" s="299" t="b">
        <v>0</v>
      </c>
      <c r="H2024" s="299" t="b">
        <v>0</v>
      </c>
      <c r="J2024" s="113" t="str">
        <f t="shared" si="63"/>
        <v>976248759</v>
      </c>
      <c r="K2024" s="113" t="str">
        <f t="shared" si="64"/>
        <v>CG02106</v>
      </c>
    </row>
    <row r="2025" spans="1:11" x14ac:dyDescent="0.3">
      <c r="A2025" s="298" t="s">
        <v>6842</v>
      </c>
      <c r="B2025" s="298" t="s">
        <v>6843</v>
      </c>
      <c r="C2025" s="298" t="s">
        <v>4162</v>
      </c>
      <c r="D2025" s="298" t="s">
        <v>256</v>
      </c>
      <c r="E2025" s="298"/>
      <c r="F2025" s="298" t="s">
        <v>6844</v>
      </c>
      <c r="G2025" s="299" t="b">
        <v>0</v>
      </c>
      <c r="H2025" s="299" t="b">
        <v>0</v>
      </c>
      <c r="J2025" s="113" t="str">
        <f t="shared" si="63"/>
        <v>941607766</v>
      </c>
      <c r="K2025" s="113" t="str">
        <f t="shared" si="64"/>
        <v>CG02107</v>
      </c>
    </row>
    <row r="2026" spans="1:11" x14ac:dyDescent="0.3">
      <c r="A2026" s="298" t="s">
        <v>6845</v>
      </c>
      <c r="B2026" s="298" t="s">
        <v>6846</v>
      </c>
      <c r="C2026" s="298" t="s">
        <v>289</v>
      </c>
      <c r="D2026" s="298" t="s">
        <v>256</v>
      </c>
      <c r="E2026" s="298"/>
      <c r="F2026" s="298" t="s">
        <v>6847</v>
      </c>
      <c r="G2026" s="299" t="b">
        <v>0</v>
      </c>
      <c r="H2026" s="299" t="b">
        <v>0</v>
      </c>
      <c r="J2026" s="113" t="str">
        <f t="shared" si="63"/>
        <v>974842933</v>
      </c>
      <c r="K2026" s="113" t="str">
        <f t="shared" si="64"/>
        <v>CG02108</v>
      </c>
    </row>
    <row r="2027" spans="1:11" x14ac:dyDescent="0.3">
      <c r="A2027" s="298" t="s">
        <v>6848</v>
      </c>
      <c r="B2027" s="298" t="s">
        <v>6849</v>
      </c>
      <c r="C2027" s="298" t="s">
        <v>1508</v>
      </c>
      <c r="D2027" s="298" t="s">
        <v>256</v>
      </c>
      <c r="E2027" s="298"/>
      <c r="F2027" s="298" t="s">
        <v>6850</v>
      </c>
      <c r="G2027" s="299" t="b">
        <v>0</v>
      </c>
      <c r="H2027" s="299" t="b">
        <v>0</v>
      </c>
      <c r="J2027" s="113" t="str">
        <f t="shared" si="63"/>
        <v>913666898</v>
      </c>
      <c r="K2027" s="113" t="str">
        <f t="shared" si="64"/>
        <v>CG02109</v>
      </c>
    </row>
    <row r="2028" spans="1:11" x14ac:dyDescent="0.3">
      <c r="A2028" s="298" t="s">
        <v>6851</v>
      </c>
      <c r="B2028" s="298" t="s">
        <v>6852</v>
      </c>
      <c r="C2028" s="298" t="s">
        <v>322</v>
      </c>
      <c r="D2028" s="298" t="s">
        <v>256</v>
      </c>
      <c r="E2028" s="298"/>
      <c r="F2028" s="298" t="s">
        <v>6853</v>
      </c>
      <c r="G2028" s="299" t="b">
        <v>0</v>
      </c>
      <c r="H2028" s="299" t="b">
        <v>0</v>
      </c>
      <c r="J2028" s="113" t="str">
        <f t="shared" si="63"/>
        <v>979026888</v>
      </c>
      <c r="K2028" s="113" t="str">
        <f t="shared" si="64"/>
        <v>CG02110</v>
      </c>
    </row>
    <row r="2029" spans="1:11" x14ac:dyDescent="0.3">
      <c r="A2029" s="298" t="s">
        <v>6854</v>
      </c>
      <c r="B2029" s="298" t="s">
        <v>6855</v>
      </c>
      <c r="C2029" s="298" t="s">
        <v>6856</v>
      </c>
      <c r="D2029" s="298" t="s">
        <v>256</v>
      </c>
      <c r="E2029" s="298"/>
      <c r="F2029" s="298" t="s">
        <v>6857</v>
      </c>
      <c r="G2029" s="299" t="b">
        <v>0</v>
      </c>
      <c r="H2029" s="299" t="b">
        <v>0</v>
      </c>
      <c r="J2029" s="113" t="str">
        <f t="shared" si="63"/>
        <v>939923366</v>
      </c>
      <c r="K2029" s="113" t="str">
        <f t="shared" si="64"/>
        <v>CG02111</v>
      </c>
    </row>
    <row r="2030" spans="1:11" x14ac:dyDescent="0.3">
      <c r="A2030" s="298" t="s">
        <v>6858</v>
      </c>
      <c r="B2030" s="298" t="s">
        <v>6859</v>
      </c>
      <c r="C2030" s="298" t="s">
        <v>541</v>
      </c>
      <c r="D2030" s="298" t="s">
        <v>256</v>
      </c>
      <c r="E2030" s="298"/>
      <c r="F2030" s="298" t="s">
        <v>6860</v>
      </c>
      <c r="G2030" s="299" t="b">
        <v>0</v>
      </c>
      <c r="H2030" s="299" t="b">
        <v>0</v>
      </c>
      <c r="J2030" s="113" t="str">
        <f t="shared" si="63"/>
        <v>966041668</v>
      </c>
      <c r="K2030" s="113" t="str">
        <f t="shared" si="64"/>
        <v>CG02113</v>
      </c>
    </row>
    <row r="2031" spans="1:11" x14ac:dyDescent="0.3">
      <c r="A2031" s="298" t="s">
        <v>6861</v>
      </c>
      <c r="B2031" s="298" t="s">
        <v>6862</v>
      </c>
      <c r="C2031" s="298" t="s">
        <v>2897</v>
      </c>
      <c r="D2031" s="298" t="s">
        <v>256</v>
      </c>
      <c r="E2031" s="298"/>
      <c r="F2031" s="298" t="s">
        <v>6863</v>
      </c>
      <c r="G2031" s="299" t="b">
        <v>0</v>
      </c>
      <c r="H2031" s="299" t="b">
        <v>0</v>
      </c>
      <c r="J2031" s="113" t="str">
        <f t="shared" si="63"/>
        <v>904793147</v>
      </c>
      <c r="K2031" s="113" t="str">
        <f t="shared" si="64"/>
        <v>CG02114</v>
      </c>
    </row>
    <row r="2032" spans="1:11" x14ac:dyDescent="0.3">
      <c r="A2032" s="298" t="s">
        <v>6864</v>
      </c>
      <c r="B2032" s="298" t="s">
        <v>6865</v>
      </c>
      <c r="C2032" s="298" t="s">
        <v>3742</v>
      </c>
      <c r="D2032" s="298" t="s">
        <v>256</v>
      </c>
      <c r="E2032" s="298"/>
      <c r="F2032" s="298" t="s">
        <v>6866</v>
      </c>
      <c r="G2032" s="299" t="b">
        <v>0</v>
      </c>
      <c r="H2032" s="299" t="b">
        <v>0</v>
      </c>
      <c r="J2032" s="113" t="str">
        <f t="shared" si="63"/>
        <v>982722502</v>
      </c>
      <c r="K2032" s="113" t="str">
        <f t="shared" si="64"/>
        <v>CG02115</v>
      </c>
    </row>
    <row r="2033" spans="1:11" x14ac:dyDescent="0.3">
      <c r="A2033" s="298" t="s">
        <v>6867</v>
      </c>
      <c r="B2033" s="298" t="s">
        <v>6868</v>
      </c>
      <c r="C2033" s="298" t="s">
        <v>593</v>
      </c>
      <c r="D2033" s="298" t="s">
        <v>256</v>
      </c>
      <c r="E2033" s="298"/>
      <c r="F2033" s="298" t="s">
        <v>6869</v>
      </c>
      <c r="G2033" s="299" t="b">
        <v>0</v>
      </c>
      <c r="H2033" s="299" t="b">
        <v>0</v>
      </c>
      <c r="J2033" s="113" t="str">
        <f t="shared" si="63"/>
        <v>964445634</v>
      </c>
      <c r="K2033" s="113" t="str">
        <f t="shared" si="64"/>
        <v>CG02116</v>
      </c>
    </row>
    <row r="2034" spans="1:11" x14ac:dyDescent="0.3">
      <c r="A2034" s="298" t="s">
        <v>6870</v>
      </c>
      <c r="B2034" s="298" t="s">
        <v>6871</v>
      </c>
      <c r="C2034" s="298" t="s">
        <v>4297</v>
      </c>
      <c r="D2034" s="298" t="s">
        <v>256</v>
      </c>
      <c r="E2034" s="298"/>
      <c r="F2034" s="298" t="s">
        <v>6872</v>
      </c>
      <c r="G2034" s="299" t="b">
        <v>0</v>
      </c>
      <c r="H2034" s="299" t="b">
        <v>0</v>
      </c>
      <c r="J2034" s="113" t="str">
        <f t="shared" si="63"/>
        <v>986956058</v>
      </c>
      <c r="K2034" s="113" t="str">
        <f t="shared" si="64"/>
        <v>CG02117</v>
      </c>
    </row>
    <row r="2035" spans="1:11" x14ac:dyDescent="0.3">
      <c r="A2035" s="298" t="s">
        <v>6873</v>
      </c>
      <c r="B2035" s="298" t="s">
        <v>6874</v>
      </c>
      <c r="C2035" s="298" t="s">
        <v>230</v>
      </c>
      <c r="D2035" s="298" t="s">
        <v>256</v>
      </c>
      <c r="E2035" s="298"/>
      <c r="F2035" s="298" t="s">
        <v>6875</v>
      </c>
      <c r="G2035" s="299" t="b">
        <v>0</v>
      </c>
      <c r="H2035" s="299" t="b">
        <v>0</v>
      </c>
      <c r="J2035" s="113" t="str">
        <f t="shared" si="63"/>
        <v>942929018</v>
      </c>
      <c r="K2035" s="113" t="str">
        <f t="shared" si="64"/>
        <v>CG02118</v>
      </c>
    </row>
    <row r="2036" spans="1:11" x14ac:dyDescent="0.3">
      <c r="A2036" s="298" t="s">
        <v>6876</v>
      </c>
      <c r="B2036" s="298" t="s">
        <v>6877</v>
      </c>
      <c r="C2036" s="298" t="s">
        <v>286</v>
      </c>
      <c r="D2036" s="298" t="s">
        <v>256</v>
      </c>
      <c r="E2036" s="298"/>
      <c r="F2036" s="298" t="s">
        <v>6878</v>
      </c>
      <c r="G2036" s="299" t="b">
        <v>0</v>
      </c>
      <c r="H2036" s="299" t="b">
        <v>0</v>
      </c>
      <c r="J2036" s="113" t="str">
        <f t="shared" si="63"/>
        <v>988352483</v>
      </c>
      <c r="K2036" s="113" t="str">
        <f t="shared" si="64"/>
        <v>CG02119</v>
      </c>
    </row>
    <row r="2037" spans="1:11" x14ac:dyDescent="0.3">
      <c r="A2037" s="298" t="s">
        <v>6879</v>
      </c>
      <c r="B2037" s="298" t="s">
        <v>6880</v>
      </c>
      <c r="C2037" s="298" t="s">
        <v>355</v>
      </c>
      <c r="D2037" s="298" t="s">
        <v>256</v>
      </c>
      <c r="E2037" s="298"/>
      <c r="F2037" s="298" t="s">
        <v>6881</v>
      </c>
      <c r="G2037" s="299" t="b">
        <v>0</v>
      </c>
      <c r="H2037" s="299" t="b">
        <v>0</v>
      </c>
      <c r="J2037" s="113" t="str">
        <f t="shared" si="63"/>
        <v>989578786</v>
      </c>
      <c r="K2037" s="113" t="str">
        <f t="shared" si="64"/>
        <v>CG02120</v>
      </c>
    </row>
    <row r="2038" spans="1:11" x14ac:dyDescent="0.3">
      <c r="A2038" s="298" t="s">
        <v>6882</v>
      </c>
      <c r="B2038" s="298" t="s">
        <v>6883</v>
      </c>
      <c r="C2038" s="298" t="s">
        <v>2531</v>
      </c>
      <c r="D2038" s="298" t="s">
        <v>256</v>
      </c>
      <c r="E2038" s="298"/>
      <c r="F2038" s="298" t="s">
        <v>6884</v>
      </c>
      <c r="G2038" s="299" t="b">
        <v>0</v>
      </c>
      <c r="H2038" s="299" t="b">
        <v>0</v>
      </c>
      <c r="J2038" s="113" t="str">
        <f t="shared" si="63"/>
        <v>932798889</v>
      </c>
      <c r="K2038" s="113" t="str">
        <f t="shared" si="64"/>
        <v>CG02121</v>
      </c>
    </row>
    <row r="2039" spans="1:11" x14ac:dyDescent="0.3">
      <c r="A2039" s="298" t="s">
        <v>6885</v>
      </c>
      <c r="B2039" s="298" t="s">
        <v>6886</v>
      </c>
      <c r="C2039" s="298" t="s">
        <v>541</v>
      </c>
      <c r="D2039" s="298" t="s">
        <v>256</v>
      </c>
      <c r="E2039" s="298"/>
      <c r="F2039" s="298" t="s">
        <v>6887</v>
      </c>
      <c r="G2039" s="299" t="b">
        <v>0</v>
      </c>
      <c r="H2039" s="299" t="b">
        <v>0</v>
      </c>
      <c r="J2039" s="113" t="str">
        <f t="shared" si="63"/>
        <v>982084982</v>
      </c>
      <c r="K2039" s="113" t="str">
        <f t="shared" si="64"/>
        <v>CG02122</v>
      </c>
    </row>
    <row r="2040" spans="1:11" x14ac:dyDescent="0.3">
      <c r="A2040" s="298" t="s">
        <v>6888</v>
      </c>
      <c r="B2040" s="298" t="s">
        <v>6889</v>
      </c>
      <c r="C2040" s="298" t="s">
        <v>1207</v>
      </c>
      <c r="D2040" s="298" t="s">
        <v>256</v>
      </c>
      <c r="E2040" s="298"/>
      <c r="F2040" s="298" t="s">
        <v>6890</v>
      </c>
      <c r="G2040" s="299" t="b">
        <v>0</v>
      </c>
      <c r="H2040" s="299" t="b">
        <v>0</v>
      </c>
      <c r="J2040" s="113" t="str">
        <f t="shared" si="63"/>
        <v>912443362</v>
      </c>
      <c r="K2040" s="113" t="str">
        <f t="shared" si="64"/>
        <v>CG02123</v>
      </c>
    </row>
    <row r="2041" spans="1:11" x14ac:dyDescent="0.3">
      <c r="A2041" s="298" t="s">
        <v>6891</v>
      </c>
      <c r="B2041" s="298" t="s">
        <v>6892</v>
      </c>
      <c r="C2041" s="298" t="s">
        <v>6893</v>
      </c>
      <c r="D2041" s="298" t="s">
        <v>256</v>
      </c>
      <c r="E2041" s="298"/>
      <c r="F2041" s="298" t="s">
        <v>6894</v>
      </c>
      <c r="G2041" s="299" t="b">
        <v>0</v>
      </c>
      <c r="H2041" s="299" t="b">
        <v>0</v>
      </c>
      <c r="J2041" s="113" t="str">
        <f t="shared" si="63"/>
        <v>377956466</v>
      </c>
      <c r="K2041" s="113" t="str">
        <f t="shared" si="64"/>
        <v>CG02124</v>
      </c>
    </row>
    <row r="2042" spans="1:11" x14ac:dyDescent="0.3">
      <c r="A2042" s="298" t="s">
        <v>6895</v>
      </c>
      <c r="B2042" s="298" t="s">
        <v>6896</v>
      </c>
      <c r="C2042" s="298" t="s">
        <v>613</v>
      </c>
      <c r="D2042" s="298" t="s">
        <v>256</v>
      </c>
      <c r="E2042" s="298"/>
      <c r="F2042" s="298" t="s">
        <v>6897</v>
      </c>
      <c r="G2042" s="299" t="b">
        <v>0</v>
      </c>
      <c r="H2042" s="299" t="b">
        <v>0</v>
      </c>
      <c r="J2042" s="113" t="str">
        <f t="shared" si="63"/>
        <v>913375694</v>
      </c>
      <c r="K2042" s="113" t="str">
        <f t="shared" si="64"/>
        <v>CG02125</v>
      </c>
    </row>
    <row r="2043" spans="1:11" x14ac:dyDescent="0.3">
      <c r="A2043" s="298" t="s">
        <v>6898</v>
      </c>
      <c r="B2043" s="298" t="s">
        <v>6899</v>
      </c>
      <c r="C2043" s="298" t="s">
        <v>2170</v>
      </c>
      <c r="D2043" s="298" t="s">
        <v>256</v>
      </c>
      <c r="E2043" s="298"/>
      <c r="F2043" s="298" t="s">
        <v>6900</v>
      </c>
      <c r="G2043" s="299" t="b">
        <v>0</v>
      </c>
      <c r="H2043" s="299" t="b">
        <v>0</v>
      </c>
      <c r="J2043" s="113" t="str">
        <f t="shared" si="63"/>
        <v>913010362</v>
      </c>
      <c r="K2043" s="113" t="str">
        <f t="shared" si="64"/>
        <v>CG02126</v>
      </c>
    </row>
    <row r="2044" spans="1:11" x14ac:dyDescent="0.3">
      <c r="A2044" s="298" t="s">
        <v>6901</v>
      </c>
      <c r="B2044" s="298" t="s">
        <v>6902</v>
      </c>
      <c r="C2044" s="298" t="s">
        <v>230</v>
      </c>
      <c r="D2044" s="298" t="s">
        <v>256</v>
      </c>
      <c r="E2044" s="298"/>
      <c r="F2044" s="298" t="s">
        <v>6903</v>
      </c>
      <c r="G2044" s="299" t="b">
        <v>0</v>
      </c>
      <c r="H2044" s="299" t="b">
        <v>0</v>
      </c>
      <c r="J2044" s="113" t="str">
        <f t="shared" si="63"/>
        <v>985211602</v>
      </c>
      <c r="K2044" s="113" t="str">
        <f t="shared" si="64"/>
        <v>CG02127</v>
      </c>
    </row>
    <row r="2045" spans="1:11" x14ac:dyDescent="0.3">
      <c r="A2045" s="298" t="s">
        <v>6904</v>
      </c>
      <c r="B2045" s="298" t="s">
        <v>6905</v>
      </c>
      <c r="C2045" s="298" t="s">
        <v>416</v>
      </c>
      <c r="D2045" s="298" t="s">
        <v>256</v>
      </c>
      <c r="E2045" s="298"/>
      <c r="F2045" s="298" t="s">
        <v>6906</v>
      </c>
      <c r="G2045" s="299" t="b">
        <v>0</v>
      </c>
      <c r="H2045" s="299" t="b">
        <v>0</v>
      </c>
      <c r="J2045" s="113" t="str">
        <f t="shared" si="63"/>
        <v>976385485</v>
      </c>
      <c r="K2045" s="113" t="str">
        <f t="shared" si="64"/>
        <v>CG02128</v>
      </c>
    </row>
    <row r="2046" spans="1:11" x14ac:dyDescent="0.3">
      <c r="A2046" s="298" t="s">
        <v>6907</v>
      </c>
      <c r="B2046" s="298" t="s">
        <v>6908</v>
      </c>
      <c r="C2046" s="298" t="s">
        <v>487</v>
      </c>
      <c r="D2046" s="298" t="s">
        <v>256</v>
      </c>
      <c r="E2046" s="298"/>
      <c r="F2046" s="298" t="s">
        <v>6909</v>
      </c>
      <c r="G2046" s="299" t="b">
        <v>0</v>
      </c>
      <c r="H2046" s="299" t="b">
        <v>0</v>
      </c>
      <c r="J2046" s="113" t="str">
        <f t="shared" si="63"/>
        <v>914558603</v>
      </c>
      <c r="K2046" s="113" t="str">
        <f t="shared" si="64"/>
        <v>CG02129</v>
      </c>
    </row>
    <row r="2047" spans="1:11" x14ac:dyDescent="0.3">
      <c r="A2047" s="298" t="s">
        <v>6910</v>
      </c>
      <c r="B2047" s="298" t="s">
        <v>6911</v>
      </c>
      <c r="C2047" s="298" t="s">
        <v>541</v>
      </c>
      <c r="D2047" s="298" t="s">
        <v>256</v>
      </c>
      <c r="E2047" s="298"/>
      <c r="F2047" s="298" t="s">
        <v>6912</v>
      </c>
      <c r="G2047" s="299" t="b">
        <v>0</v>
      </c>
      <c r="H2047" s="299" t="b">
        <v>0</v>
      </c>
      <c r="J2047" s="113" t="str">
        <f t="shared" si="63"/>
        <v>906073777</v>
      </c>
      <c r="K2047" s="113" t="str">
        <f t="shared" si="64"/>
        <v>CG02130</v>
      </c>
    </row>
    <row r="2048" spans="1:11" x14ac:dyDescent="0.3">
      <c r="A2048" s="298" t="s">
        <v>6913</v>
      </c>
      <c r="B2048" s="298" t="s">
        <v>6914</v>
      </c>
      <c r="C2048" s="298" t="s">
        <v>2114</v>
      </c>
      <c r="D2048" s="298" t="s">
        <v>256</v>
      </c>
      <c r="E2048" s="298"/>
      <c r="F2048" s="298" t="s">
        <v>6915</v>
      </c>
      <c r="G2048" s="299" t="b">
        <v>0</v>
      </c>
      <c r="H2048" s="299" t="b">
        <v>0</v>
      </c>
      <c r="J2048" s="113" t="str">
        <f t="shared" si="63"/>
        <v>917934386</v>
      </c>
      <c r="K2048" s="113" t="str">
        <f t="shared" si="64"/>
        <v>CG02131</v>
      </c>
    </row>
    <row r="2049" spans="1:11" x14ac:dyDescent="0.3">
      <c r="A2049" s="298" t="s">
        <v>6916</v>
      </c>
      <c r="B2049" s="298" t="s">
        <v>6917</v>
      </c>
      <c r="C2049" s="298" t="s">
        <v>231</v>
      </c>
      <c r="D2049" s="298" t="s">
        <v>256</v>
      </c>
      <c r="E2049" s="298"/>
      <c r="F2049" s="298" t="s">
        <v>6918</v>
      </c>
      <c r="G2049" s="299" t="b">
        <v>0</v>
      </c>
      <c r="H2049" s="299" t="b">
        <v>0</v>
      </c>
      <c r="J2049" s="113" t="str">
        <f t="shared" si="63"/>
        <v>948969778</v>
      </c>
      <c r="K2049" s="113" t="str">
        <f t="shared" si="64"/>
        <v>CG02132</v>
      </c>
    </row>
    <row r="2050" spans="1:11" x14ac:dyDescent="0.3">
      <c r="A2050" s="298" t="s">
        <v>6919</v>
      </c>
      <c r="B2050" s="298" t="s">
        <v>6920</v>
      </c>
      <c r="C2050" s="298" t="s">
        <v>593</v>
      </c>
      <c r="D2050" s="298" t="s">
        <v>256</v>
      </c>
      <c r="E2050" s="298"/>
      <c r="F2050" s="298" t="s">
        <v>6921</v>
      </c>
      <c r="G2050" s="299" t="b">
        <v>0</v>
      </c>
      <c r="H2050" s="299" t="b">
        <v>0</v>
      </c>
      <c r="J2050" s="113" t="str">
        <f t="shared" si="63"/>
        <v>384458853</v>
      </c>
      <c r="K2050" s="113" t="str">
        <f t="shared" si="64"/>
        <v>CG02133</v>
      </c>
    </row>
    <row r="2051" spans="1:11" x14ac:dyDescent="0.3">
      <c r="A2051" s="298" t="s">
        <v>6922</v>
      </c>
      <c r="B2051" s="298" t="s">
        <v>6923</v>
      </c>
      <c r="C2051" s="298" t="s">
        <v>6924</v>
      </c>
      <c r="D2051" s="298" t="s">
        <v>256</v>
      </c>
      <c r="E2051" s="298"/>
      <c r="F2051" s="298" t="s">
        <v>6925</v>
      </c>
      <c r="G2051" s="299" t="b">
        <v>0</v>
      </c>
      <c r="H2051" s="299" t="b">
        <v>0</v>
      </c>
      <c r="J2051" s="113" t="str">
        <f t="shared" si="63"/>
        <v>919859746</v>
      </c>
      <c r="K2051" s="113" t="str">
        <f t="shared" si="64"/>
        <v>CG02134</v>
      </c>
    </row>
    <row r="2052" spans="1:11" x14ac:dyDescent="0.3">
      <c r="A2052" s="298" t="s">
        <v>6926</v>
      </c>
      <c r="B2052" s="298" t="s">
        <v>6927</v>
      </c>
      <c r="C2052" s="298" t="s">
        <v>469</v>
      </c>
      <c r="D2052" s="298" t="s">
        <v>256</v>
      </c>
      <c r="E2052" s="298"/>
      <c r="F2052" s="298" t="s">
        <v>6928</v>
      </c>
      <c r="G2052" s="299" t="b">
        <v>0</v>
      </c>
      <c r="H2052" s="299" t="b">
        <v>0</v>
      </c>
      <c r="J2052" s="113" t="str">
        <f t="shared" si="63"/>
        <v>919046088</v>
      </c>
      <c r="K2052" s="113" t="str">
        <f t="shared" si="64"/>
        <v>CG02135</v>
      </c>
    </row>
    <row r="2053" spans="1:11" x14ac:dyDescent="0.3">
      <c r="A2053" s="298" t="s">
        <v>6929</v>
      </c>
      <c r="B2053" s="298" t="s">
        <v>6930</v>
      </c>
      <c r="C2053" s="298" t="s">
        <v>355</v>
      </c>
      <c r="D2053" s="298" t="s">
        <v>256</v>
      </c>
      <c r="E2053" s="298"/>
      <c r="F2053" s="298" t="s">
        <v>6931</v>
      </c>
      <c r="G2053" s="299" t="b">
        <v>0</v>
      </c>
      <c r="H2053" s="299" t="b">
        <v>0</v>
      </c>
      <c r="J2053" s="113" t="str">
        <f t="shared" ref="J2053:J2116" si="65">RIGHT(B2053,9)</f>
        <v>913507187</v>
      </c>
      <c r="K2053" s="113" t="str">
        <f t="shared" ref="K2053:K2116" si="66">A2053</f>
        <v>CG02136</v>
      </c>
    </row>
    <row r="2054" spans="1:11" x14ac:dyDescent="0.3">
      <c r="A2054" s="298" t="s">
        <v>6932</v>
      </c>
      <c r="B2054" s="298" t="s">
        <v>6933</v>
      </c>
      <c r="C2054" s="298" t="s">
        <v>884</v>
      </c>
      <c r="D2054" s="298" t="s">
        <v>256</v>
      </c>
      <c r="E2054" s="298"/>
      <c r="F2054" s="298" t="s">
        <v>6934</v>
      </c>
      <c r="G2054" s="299" t="b">
        <v>0</v>
      </c>
      <c r="H2054" s="299" t="b">
        <v>0</v>
      </c>
      <c r="J2054" s="113" t="str">
        <f t="shared" si="65"/>
        <v>912695555</v>
      </c>
      <c r="K2054" s="113" t="str">
        <f t="shared" si="66"/>
        <v>CG02137</v>
      </c>
    </row>
    <row r="2055" spans="1:11" x14ac:dyDescent="0.3">
      <c r="A2055" s="298" t="s">
        <v>6935</v>
      </c>
      <c r="B2055" s="298" t="s">
        <v>6936</v>
      </c>
      <c r="C2055" s="298" t="s">
        <v>355</v>
      </c>
      <c r="D2055" s="298" t="s">
        <v>256</v>
      </c>
      <c r="E2055" s="298"/>
      <c r="F2055" s="298" t="s">
        <v>6937</v>
      </c>
      <c r="G2055" s="299" t="b">
        <v>0</v>
      </c>
      <c r="H2055" s="299" t="b">
        <v>0</v>
      </c>
      <c r="J2055" s="113" t="str">
        <f t="shared" si="65"/>
        <v>973770039</v>
      </c>
      <c r="K2055" s="113" t="str">
        <f t="shared" si="66"/>
        <v>CG02138</v>
      </c>
    </row>
    <row r="2056" spans="1:11" x14ac:dyDescent="0.3">
      <c r="A2056" s="298" t="s">
        <v>6938</v>
      </c>
      <c r="B2056" s="298" t="s">
        <v>6939</v>
      </c>
      <c r="C2056" s="298" t="s">
        <v>4771</v>
      </c>
      <c r="D2056" s="298" t="s">
        <v>256</v>
      </c>
      <c r="E2056" s="298"/>
      <c r="F2056" s="298" t="s">
        <v>6940</v>
      </c>
      <c r="G2056" s="299" t="b">
        <v>0</v>
      </c>
      <c r="H2056" s="299" t="b">
        <v>0</v>
      </c>
      <c r="J2056" s="113" t="str">
        <f t="shared" si="65"/>
        <v>913357055</v>
      </c>
      <c r="K2056" s="113" t="str">
        <f t="shared" si="66"/>
        <v>CG02139</v>
      </c>
    </row>
    <row r="2057" spans="1:11" x14ac:dyDescent="0.3">
      <c r="A2057" s="298" t="s">
        <v>6941</v>
      </c>
      <c r="B2057" s="298" t="s">
        <v>6942</v>
      </c>
      <c r="C2057" s="298" t="s">
        <v>6943</v>
      </c>
      <c r="D2057" s="298" t="s">
        <v>256</v>
      </c>
      <c r="E2057" s="298"/>
      <c r="F2057" s="298" t="s">
        <v>6944</v>
      </c>
      <c r="G2057" s="299" t="b">
        <v>0</v>
      </c>
      <c r="H2057" s="299" t="b">
        <v>0</v>
      </c>
      <c r="J2057" s="113" t="str">
        <f t="shared" si="65"/>
        <v>989210963</v>
      </c>
      <c r="K2057" s="113" t="str">
        <f t="shared" si="66"/>
        <v>CG02140</v>
      </c>
    </row>
    <row r="2058" spans="1:11" x14ac:dyDescent="0.3">
      <c r="A2058" s="298" t="s">
        <v>6945</v>
      </c>
      <c r="B2058" s="298" t="s">
        <v>6946</v>
      </c>
      <c r="C2058" s="298" t="s">
        <v>322</v>
      </c>
      <c r="D2058" s="298" t="s">
        <v>256</v>
      </c>
      <c r="E2058" s="298"/>
      <c r="F2058" s="298" t="s">
        <v>6947</v>
      </c>
      <c r="G2058" s="299" t="b">
        <v>0</v>
      </c>
      <c r="H2058" s="299" t="b">
        <v>0</v>
      </c>
      <c r="J2058" s="113" t="str">
        <f t="shared" si="65"/>
        <v>976212835</v>
      </c>
      <c r="K2058" s="113" t="str">
        <f t="shared" si="66"/>
        <v>CG02141</v>
      </c>
    </row>
    <row r="2059" spans="1:11" x14ac:dyDescent="0.3">
      <c r="A2059" s="298" t="s">
        <v>6948</v>
      </c>
      <c r="B2059" s="298" t="s">
        <v>6949</v>
      </c>
      <c r="C2059" s="298" t="s">
        <v>432</v>
      </c>
      <c r="D2059" s="298" t="s">
        <v>256</v>
      </c>
      <c r="E2059" s="298"/>
      <c r="F2059" s="298" t="s">
        <v>6950</v>
      </c>
      <c r="G2059" s="299" t="b">
        <v>0</v>
      </c>
      <c r="H2059" s="299" t="b">
        <v>0</v>
      </c>
      <c r="J2059" s="113" t="str">
        <f t="shared" si="65"/>
        <v>916533397</v>
      </c>
      <c r="K2059" s="113" t="str">
        <f t="shared" si="66"/>
        <v>CG02142</v>
      </c>
    </row>
    <row r="2060" spans="1:11" x14ac:dyDescent="0.3">
      <c r="A2060" s="298" t="s">
        <v>6951</v>
      </c>
      <c r="B2060" s="298" t="s">
        <v>6952</v>
      </c>
      <c r="C2060" s="298" t="s">
        <v>289</v>
      </c>
      <c r="D2060" s="298" t="s">
        <v>256</v>
      </c>
      <c r="E2060" s="298"/>
      <c r="F2060" s="298" t="s">
        <v>6953</v>
      </c>
      <c r="G2060" s="299" t="b">
        <v>0</v>
      </c>
      <c r="H2060" s="299" t="b">
        <v>0</v>
      </c>
      <c r="J2060" s="113" t="str">
        <f t="shared" si="65"/>
        <v>949283595</v>
      </c>
      <c r="K2060" s="113" t="str">
        <f t="shared" si="66"/>
        <v>CG02143</v>
      </c>
    </row>
    <row r="2061" spans="1:11" x14ac:dyDescent="0.3">
      <c r="A2061" s="298" t="s">
        <v>6954</v>
      </c>
      <c r="B2061" s="298" t="s">
        <v>6955</v>
      </c>
      <c r="C2061" s="298" t="s">
        <v>2114</v>
      </c>
      <c r="D2061" s="298" t="s">
        <v>256</v>
      </c>
      <c r="E2061" s="298"/>
      <c r="F2061" s="298" t="s">
        <v>6956</v>
      </c>
      <c r="G2061" s="299" t="b">
        <v>0</v>
      </c>
      <c r="H2061" s="299" t="b">
        <v>0</v>
      </c>
      <c r="J2061" s="113" t="str">
        <f t="shared" si="65"/>
        <v>984910557</v>
      </c>
      <c r="K2061" s="113" t="str">
        <f t="shared" si="66"/>
        <v>CG02144</v>
      </c>
    </row>
    <row r="2062" spans="1:11" x14ac:dyDescent="0.3">
      <c r="A2062" s="298" t="s">
        <v>6957</v>
      </c>
      <c r="B2062" s="298" t="s">
        <v>6958</v>
      </c>
      <c r="C2062" s="298" t="s">
        <v>230</v>
      </c>
      <c r="D2062" s="298" t="s">
        <v>256</v>
      </c>
      <c r="E2062" s="298"/>
      <c r="F2062" s="298" t="s">
        <v>6959</v>
      </c>
      <c r="G2062" s="299" t="b">
        <v>0</v>
      </c>
      <c r="H2062" s="299" t="b">
        <v>0</v>
      </c>
      <c r="J2062" s="113" t="str">
        <f t="shared" si="65"/>
        <v>369666684</v>
      </c>
      <c r="K2062" s="113" t="str">
        <f t="shared" si="66"/>
        <v>CG02145</v>
      </c>
    </row>
    <row r="2063" spans="1:11" x14ac:dyDescent="0.3">
      <c r="A2063" s="298" t="s">
        <v>6960</v>
      </c>
      <c r="B2063" s="298" t="s">
        <v>6961</v>
      </c>
      <c r="C2063" s="298" t="s">
        <v>5607</v>
      </c>
      <c r="D2063" s="298" t="s">
        <v>256</v>
      </c>
      <c r="E2063" s="298"/>
      <c r="F2063" s="298" t="s">
        <v>6962</v>
      </c>
      <c r="G2063" s="299" t="b">
        <v>0</v>
      </c>
      <c r="H2063" s="299" t="b">
        <v>0</v>
      </c>
      <c r="J2063" s="113" t="str">
        <f t="shared" si="65"/>
        <v>913374420</v>
      </c>
      <c r="K2063" s="113" t="str">
        <f t="shared" si="66"/>
        <v>CG02146</v>
      </c>
    </row>
    <row r="2064" spans="1:11" x14ac:dyDescent="0.3">
      <c r="A2064" s="298" t="s">
        <v>6963</v>
      </c>
      <c r="B2064" s="298" t="s">
        <v>6964</v>
      </c>
      <c r="C2064" s="298" t="s">
        <v>355</v>
      </c>
      <c r="D2064" s="298" t="s">
        <v>256</v>
      </c>
      <c r="E2064" s="298"/>
      <c r="F2064" s="298" t="s">
        <v>6965</v>
      </c>
      <c r="G2064" s="299" t="b">
        <v>0</v>
      </c>
      <c r="H2064" s="299" t="b">
        <v>0</v>
      </c>
      <c r="J2064" s="113" t="str">
        <f t="shared" si="65"/>
        <v>962989686</v>
      </c>
      <c r="K2064" s="113" t="str">
        <f t="shared" si="66"/>
        <v>CG02147</v>
      </c>
    </row>
    <row r="2065" spans="1:11" x14ac:dyDescent="0.3">
      <c r="A2065" s="298" t="s">
        <v>6966</v>
      </c>
      <c r="B2065" s="298" t="s">
        <v>6967</v>
      </c>
      <c r="C2065" s="298" t="s">
        <v>693</v>
      </c>
      <c r="D2065" s="298" t="s">
        <v>256</v>
      </c>
      <c r="E2065" s="298" t="s">
        <v>6968</v>
      </c>
      <c r="F2065" s="298" t="s">
        <v>6969</v>
      </c>
      <c r="G2065" s="299" t="b">
        <v>0</v>
      </c>
      <c r="H2065" s="299" t="b">
        <v>0</v>
      </c>
      <c r="J2065" s="113" t="str">
        <f t="shared" si="65"/>
        <v>108331800</v>
      </c>
      <c r="K2065" s="113" t="str">
        <f t="shared" si="66"/>
        <v>CG02148</v>
      </c>
    </row>
    <row r="2066" spans="1:11" x14ac:dyDescent="0.3">
      <c r="A2066" s="298" t="s">
        <v>6970</v>
      </c>
      <c r="B2066" s="298" t="s">
        <v>6971</v>
      </c>
      <c r="C2066" s="298" t="s">
        <v>718</v>
      </c>
      <c r="D2066" s="298" t="s">
        <v>256</v>
      </c>
      <c r="E2066" s="298"/>
      <c r="F2066" s="298" t="s">
        <v>6972</v>
      </c>
      <c r="G2066" s="299" t="b">
        <v>0</v>
      </c>
      <c r="H2066" s="299" t="b">
        <v>0</v>
      </c>
      <c r="J2066" s="113" t="str">
        <f t="shared" si="65"/>
        <v>914971332</v>
      </c>
      <c r="K2066" s="113" t="str">
        <f t="shared" si="66"/>
        <v>CG02149</v>
      </c>
    </row>
    <row r="2067" spans="1:11" x14ac:dyDescent="0.3">
      <c r="A2067" s="298" t="s">
        <v>6973</v>
      </c>
      <c r="B2067" s="298" t="s">
        <v>6974</v>
      </c>
      <c r="C2067" s="298" t="s">
        <v>355</v>
      </c>
      <c r="D2067" s="298" t="s">
        <v>256</v>
      </c>
      <c r="E2067" s="298"/>
      <c r="F2067" s="298" t="s">
        <v>6975</v>
      </c>
      <c r="G2067" s="299" t="b">
        <v>0</v>
      </c>
      <c r="H2067" s="299" t="b">
        <v>0</v>
      </c>
      <c r="J2067" s="113" t="str">
        <f t="shared" si="65"/>
        <v>917999188</v>
      </c>
      <c r="K2067" s="113" t="str">
        <f t="shared" si="66"/>
        <v>CG02150</v>
      </c>
    </row>
    <row r="2068" spans="1:11" x14ac:dyDescent="0.3">
      <c r="A2068" s="298" t="s">
        <v>6976</v>
      </c>
      <c r="B2068" s="298" t="s">
        <v>6977</v>
      </c>
      <c r="C2068" s="298" t="s">
        <v>3257</v>
      </c>
      <c r="D2068" s="298" t="s">
        <v>256</v>
      </c>
      <c r="E2068" s="298"/>
      <c r="F2068" s="298" t="s">
        <v>6978</v>
      </c>
      <c r="G2068" s="299" t="b">
        <v>0</v>
      </c>
      <c r="H2068" s="299" t="b">
        <v>0</v>
      </c>
      <c r="J2068" s="113" t="str">
        <f t="shared" si="65"/>
        <v>941112982</v>
      </c>
      <c r="K2068" s="113" t="str">
        <f t="shared" si="66"/>
        <v>CG02151</v>
      </c>
    </row>
    <row r="2069" spans="1:11" x14ac:dyDescent="0.3">
      <c r="A2069" s="298" t="s">
        <v>6979</v>
      </c>
      <c r="B2069" s="298" t="s">
        <v>6980</v>
      </c>
      <c r="C2069" s="298" t="s">
        <v>289</v>
      </c>
      <c r="D2069" s="298" t="s">
        <v>256</v>
      </c>
      <c r="E2069" s="298"/>
      <c r="F2069" s="298" t="s">
        <v>6981</v>
      </c>
      <c r="G2069" s="299" t="b">
        <v>0</v>
      </c>
      <c r="H2069" s="299" t="b">
        <v>0</v>
      </c>
      <c r="J2069" s="113" t="str">
        <f t="shared" si="65"/>
        <v>912475407</v>
      </c>
      <c r="K2069" s="113" t="str">
        <f t="shared" si="66"/>
        <v>CG02152</v>
      </c>
    </row>
    <row r="2070" spans="1:11" x14ac:dyDescent="0.3">
      <c r="A2070" s="298" t="s">
        <v>6982</v>
      </c>
      <c r="B2070" s="298" t="s">
        <v>6983</v>
      </c>
      <c r="C2070" s="298" t="s">
        <v>1671</v>
      </c>
      <c r="D2070" s="298" t="s">
        <v>256</v>
      </c>
      <c r="E2070" s="298"/>
      <c r="F2070" s="298" t="s">
        <v>6984</v>
      </c>
      <c r="G2070" s="299" t="b">
        <v>0</v>
      </c>
      <c r="H2070" s="299" t="b">
        <v>0</v>
      </c>
      <c r="J2070" s="113" t="str">
        <f t="shared" si="65"/>
        <v>945543000</v>
      </c>
      <c r="K2070" s="113" t="str">
        <f t="shared" si="66"/>
        <v>CG02153</v>
      </c>
    </row>
    <row r="2071" spans="1:11" x14ac:dyDescent="0.3">
      <c r="A2071" s="298" t="s">
        <v>6985</v>
      </c>
      <c r="B2071" s="298" t="s">
        <v>6986</v>
      </c>
      <c r="C2071" s="298" t="s">
        <v>375</v>
      </c>
      <c r="D2071" s="298" t="s">
        <v>256</v>
      </c>
      <c r="E2071" s="298"/>
      <c r="F2071" s="298" t="s">
        <v>6987</v>
      </c>
      <c r="G2071" s="299" t="b">
        <v>0</v>
      </c>
      <c r="H2071" s="299" t="b">
        <v>0</v>
      </c>
      <c r="J2071" s="113" t="str">
        <f t="shared" si="65"/>
        <v>913293270</v>
      </c>
      <c r="K2071" s="113" t="str">
        <f t="shared" si="66"/>
        <v>CG02154</v>
      </c>
    </row>
    <row r="2072" spans="1:11" x14ac:dyDescent="0.3">
      <c r="A2072" s="298" t="s">
        <v>6988</v>
      </c>
      <c r="B2072" s="298" t="s">
        <v>6989</v>
      </c>
      <c r="C2072" s="298" t="s">
        <v>785</v>
      </c>
      <c r="D2072" s="298" t="s">
        <v>256</v>
      </c>
      <c r="E2072" s="298"/>
      <c r="F2072" s="298" t="s">
        <v>6990</v>
      </c>
      <c r="G2072" s="299" t="b">
        <v>0</v>
      </c>
      <c r="H2072" s="299" t="b">
        <v>0</v>
      </c>
      <c r="J2072" s="113" t="str">
        <f t="shared" si="65"/>
        <v>394500593</v>
      </c>
      <c r="K2072" s="113" t="str">
        <f t="shared" si="66"/>
        <v>CG02155</v>
      </c>
    </row>
    <row r="2073" spans="1:11" x14ac:dyDescent="0.3">
      <c r="A2073" s="298" t="s">
        <v>6991</v>
      </c>
      <c r="B2073" s="298" t="s">
        <v>6992</v>
      </c>
      <c r="C2073" s="298" t="s">
        <v>2136</v>
      </c>
      <c r="D2073" s="298" t="s">
        <v>256</v>
      </c>
      <c r="E2073" s="298"/>
      <c r="F2073" s="298" t="s">
        <v>6993</v>
      </c>
      <c r="G2073" s="299" t="b">
        <v>0</v>
      </c>
      <c r="H2073" s="299" t="b">
        <v>0</v>
      </c>
      <c r="J2073" s="113" t="str">
        <f t="shared" si="65"/>
        <v>912705286</v>
      </c>
      <c r="K2073" s="113" t="str">
        <f t="shared" si="66"/>
        <v>CG02156</v>
      </c>
    </row>
    <row r="2074" spans="1:11" x14ac:dyDescent="0.3">
      <c r="A2074" s="298" t="s">
        <v>6994</v>
      </c>
      <c r="B2074" s="298" t="s">
        <v>6995</v>
      </c>
      <c r="C2074" s="298" t="s">
        <v>231</v>
      </c>
      <c r="D2074" s="298" t="s">
        <v>256</v>
      </c>
      <c r="E2074" s="298"/>
      <c r="F2074" s="298" t="s">
        <v>6996</v>
      </c>
      <c r="G2074" s="299" t="b">
        <v>0</v>
      </c>
      <c r="H2074" s="299" t="b">
        <v>0</v>
      </c>
      <c r="J2074" s="113" t="str">
        <f t="shared" si="65"/>
        <v>987074563</v>
      </c>
      <c r="K2074" s="113" t="str">
        <f t="shared" si="66"/>
        <v>CG02157</v>
      </c>
    </row>
    <row r="2075" spans="1:11" x14ac:dyDescent="0.3">
      <c r="A2075" s="298" t="s">
        <v>6997</v>
      </c>
      <c r="B2075" s="298" t="s">
        <v>6998</v>
      </c>
      <c r="C2075" s="298" t="s">
        <v>1335</v>
      </c>
      <c r="D2075" s="298" t="s">
        <v>256</v>
      </c>
      <c r="E2075" s="298"/>
      <c r="F2075" s="298" t="s">
        <v>6999</v>
      </c>
      <c r="G2075" s="299" t="b">
        <v>0</v>
      </c>
      <c r="H2075" s="299" t="b">
        <v>0</v>
      </c>
      <c r="J2075" s="113" t="str">
        <f t="shared" si="65"/>
        <v>977213737</v>
      </c>
      <c r="K2075" s="113" t="str">
        <f t="shared" si="66"/>
        <v>CG02158</v>
      </c>
    </row>
    <row r="2076" spans="1:11" x14ac:dyDescent="0.3">
      <c r="A2076" s="298" t="s">
        <v>7000</v>
      </c>
      <c r="B2076" s="298" t="s">
        <v>7001</v>
      </c>
      <c r="C2076" s="298" t="s">
        <v>390</v>
      </c>
      <c r="D2076" s="298" t="s">
        <v>256</v>
      </c>
      <c r="E2076" s="298"/>
      <c r="F2076" s="298" t="s">
        <v>7002</v>
      </c>
      <c r="G2076" s="299" t="b">
        <v>0</v>
      </c>
      <c r="H2076" s="299" t="b">
        <v>0</v>
      </c>
      <c r="J2076" s="113" t="str">
        <f t="shared" si="65"/>
        <v>983565955</v>
      </c>
      <c r="K2076" s="113" t="str">
        <f t="shared" si="66"/>
        <v>CG02159</v>
      </c>
    </row>
    <row r="2077" spans="1:11" x14ac:dyDescent="0.3">
      <c r="A2077" s="298" t="s">
        <v>7003</v>
      </c>
      <c r="B2077" s="298" t="s">
        <v>7004</v>
      </c>
      <c r="C2077" s="298" t="s">
        <v>2763</v>
      </c>
      <c r="D2077" s="298" t="s">
        <v>256</v>
      </c>
      <c r="E2077" s="298"/>
      <c r="F2077" s="298" t="s">
        <v>7005</v>
      </c>
      <c r="G2077" s="299" t="b">
        <v>0</v>
      </c>
      <c r="H2077" s="299" t="b">
        <v>0</v>
      </c>
      <c r="J2077" s="113" t="str">
        <f t="shared" si="65"/>
        <v>902017112</v>
      </c>
      <c r="K2077" s="113" t="str">
        <f t="shared" si="66"/>
        <v>CG02160</v>
      </c>
    </row>
    <row r="2078" spans="1:11" x14ac:dyDescent="0.3">
      <c r="A2078" s="298" t="s">
        <v>7006</v>
      </c>
      <c r="B2078" s="298" t="s">
        <v>7007</v>
      </c>
      <c r="C2078" s="298" t="s">
        <v>409</v>
      </c>
      <c r="D2078" s="298" t="s">
        <v>256</v>
      </c>
      <c r="E2078" s="298"/>
      <c r="F2078" s="298" t="s">
        <v>7008</v>
      </c>
      <c r="G2078" s="299" t="b">
        <v>0</v>
      </c>
      <c r="H2078" s="299" t="b">
        <v>0</v>
      </c>
      <c r="J2078" s="113" t="str">
        <f t="shared" si="65"/>
        <v>392576517</v>
      </c>
      <c r="K2078" s="113" t="str">
        <f t="shared" si="66"/>
        <v>CG02161</v>
      </c>
    </row>
    <row r="2079" spans="1:11" x14ac:dyDescent="0.3">
      <c r="A2079" s="298" t="s">
        <v>7009</v>
      </c>
      <c r="B2079" s="298" t="s">
        <v>7010</v>
      </c>
      <c r="C2079" s="298" t="s">
        <v>541</v>
      </c>
      <c r="D2079" s="298" t="s">
        <v>256</v>
      </c>
      <c r="E2079" s="298"/>
      <c r="F2079" s="298" t="s">
        <v>7011</v>
      </c>
      <c r="G2079" s="299" t="b">
        <v>0</v>
      </c>
      <c r="H2079" s="299" t="b">
        <v>0</v>
      </c>
      <c r="J2079" s="113" t="str">
        <f t="shared" si="65"/>
        <v>902048837</v>
      </c>
      <c r="K2079" s="113" t="str">
        <f t="shared" si="66"/>
        <v>CG02162</v>
      </c>
    </row>
    <row r="2080" spans="1:11" x14ac:dyDescent="0.3">
      <c r="A2080" s="298" t="s">
        <v>7012</v>
      </c>
      <c r="B2080" s="298" t="s">
        <v>7013</v>
      </c>
      <c r="C2080" s="298" t="s">
        <v>7014</v>
      </c>
      <c r="D2080" s="298" t="s">
        <v>256</v>
      </c>
      <c r="E2080" s="298"/>
      <c r="F2080" s="298" t="s">
        <v>7015</v>
      </c>
      <c r="G2080" s="299" t="b">
        <v>0</v>
      </c>
      <c r="H2080" s="299" t="b">
        <v>0</v>
      </c>
      <c r="J2080" s="113" t="str">
        <f t="shared" si="65"/>
        <v>986345760</v>
      </c>
      <c r="K2080" s="113" t="str">
        <f t="shared" si="66"/>
        <v>CG02163</v>
      </c>
    </row>
    <row r="2081" spans="1:11" x14ac:dyDescent="0.3">
      <c r="A2081" s="298" t="s">
        <v>7016</v>
      </c>
      <c r="B2081" s="298" t="s">
        <v>7017</v>
      </c>
      <c r="C2081" s="298" t="s">
        <v>2862</v>
      </c>
      <c r="D2081" s="298" t="s">
        <v>256</v>
      </c>
      <c r="E2081" s="298"/>
      <c r="F2081" s="298" t="s">
        <v>7018</v>
      </c>
      <c r="G2081" s="299" t="b">
        <v>0</v>
      </c>
      <c r="H2081" s="299" t="b">
        <v>0</v>
      </c>
      <c r="J2081" s="113" t="str">
        <f t="shared" si="65"/>
        <v>913485151</v>
      </c>
      <c r="K2081" s="113" t="str">
        <f t="shared" si="66"/>
        <v>CG02164</v>
      </c>
    </row>
    <row r="2082" spans="1:11" x14ac:dyDescent="0.3">
      <c r="A2082" s="298" t="s">
        <v>7019</v>
      </c>
      <c r="B2082" s="298" t="s">
        <v>7020</v>
      </c>
      <c r="C2082" s="298" t="s">
        <v>1508</v>
      </c>
      <c r="D2082" s="298" t="s">
        <v>256</v>
      </c>
      <c r="E2082" s="298"/>
      <c r="F2082" s="298" t="s">
        <v>7021</v>
      </c>
      <c r="G2082" s="299" t="b">
        <v>0</v>
      </c>
      <c r="H2082" s="299" t="b">
        <v>0</v>
      </c>
      <c r="J2082" s="113" t="str">
        <f t="shared" si="65"/>
        <v>974557168</v>
      </c>
      <c r="K2082" s="113" t="str">
        <f t="shared" si="66"/>
        <v>CG02165</v>
      </c>
    </row>
    <row r="2083" spans="1:11" x14ac:dyDescent="0.3">
      <c r="A2083" s="298" t="s">
        <v>7022</v>
      </c>
      <c r="B2083" s="298" t="s">
        <v>7023</v>
      </c>
      <c r="C2083" s="298" t="s">
        <v>340</v>
      </c>
      <c r="D2083" s="298" t="s">
        <v>256</v>
      </c>
      <c r="E2083" s="298"/>
      <c r="F2083" s="298" t="s">
        <v>7024</v>
      </c>
      <c r="G2083" s="299" t="b">
        <v>0</v>
      </c>
      <c r="H2083" s="299" t="b">
        <v>0</v>
      </c>
      <c r="J2083" s="113" t="str">
        <f t="shared" si="65"/>
        <v>982561159</v>
      </c>
      <c r="K2083" s="113" t="str">
        <f t="shared" si="66"/>
        <v>CG02166</v>
      </c>
    </row>
    <row r="2084" spans="1:11" x14ac:dyDescent="0.3">
      <c r="A2084" s="298" t="s">
        <v>7025</v>
      </c>
      <c r="B2084" s="298" t="s">
        <v>7026</v>
      </c>
      <c r="C2084" s="298" t="s">
        <v>1587</v>
      </c>
      <c r="D2084" s="298" t="s">
        <v>256</v>
      </c>
      <c r="E2084" s="298"/>
      <c r="F2084" s="298" t="s">
        <v>7027</v>
      </c>
      <c r="G2084" s="299" t="b">
        <v>0</v>
      </c>
      <c r="H2084" s="299" t="b">
        <v>0</v>
      </c>
      <c r="J2084" s="113" t="str">
        <f t="shared" si="65"/>
        <v>982615774</v>
      </c>
      <c r="K2084" s="113" t="str">
        <f t="shared" si="66"/>
        <v>CG02167</v>
      </c>
    </row>
    <row r="2085" spans="1:11" x14ac:dyDescent="0.3">
      <c r="A2085" s="298" t="s">
        <v>7028</v>
      </c>
      <c r="B2085" s="298" t="s">
        <v>7029</v>
      </c>
      <c r="C2085" s="298" t="s">
        <v>845</v>
      </c>
      <c r="D2085" s="298" t="s">
        <v>256</v>
      </c>
      <c r="E2085" s="298"/>
      <c r="F2085" s="298" t="s">
        <v>7030</v>
      </c>
      <c r="G2085" s="299" t="b">
        <v>0</v>
      </c>
      <c r="H2085" s="299" t="b">
        <v>0</v>
      </c>
      <c r="J2085" s="113" t="str">
        <f t="shared" si="65"/>
        <v>987255335</v>
      </c>
      <c r="K2085" s="113" t="str">
        <f t="shared" si="66"/>
        <v>CG02168</v>
      </c>
    </row>
    <row r="2086" spans="1:11" x14ac:dyDescent="0.3">
      <c r="A2086" s="298" t="s">
        <v>7031</v>
      </c>
      <c r="B2086" s="298" t="s">
        <v>7032</v>
      </c>
      <c r="C2086" s="298" t="s">
        <v>1508</v>
      </c>
      <c r="D2086" s="298" t="s">
        <v>256</v>
      </c>
      <c r="E2086" s="298"/>
      <c r="F2086" s="298" t="s">
        <v>7033</v>
      </c>
      <c r="G2086" s="299" t="b">
        <v>0</v>
      </c>
      <c r="H2086" s="299" t="b">
        <v>0</v>
      </c>
      <c r="J2086" s="113" t="str">
        <f t="shared" si="65"/>
        <v>979666595</v>
      </c>
      <c r="K2086" s="113" t="str">
        <f t="shared" si="66"/>
        <v>CG02169</v>
      </c>
    </row>
    <row r="2087" spans="1:11" x14ac:dyDescent="0.3">
      <c r="A2087" s="298" t="s">
        <v>7034</v>
      </c>
      <c r="B2087" s="298" t="s">
        <v>7035</v>
      </c>
      <c r="C2087" s="298" t="s">
        <v>460</v>
      </c>
      <c r="D2087" s="298" t="s">
        <v>256</v>
      </c>
      <c r="E2087" s="298"/>
      <c r="F2087" s="298" t="s">
        <v>7036</v>
      </c>
      <c r="G2087" s="299" t="b">
        <v>0</v>
      </c>
      <c r="H2087" s="299" t="b">
        <v>0</v>
      </c>
      <c r="J2087" s="113" t="str">
        <f t="shared" si="65"/>
        <v>982931199</v>
      </c>
      <c r="K2087" s="113" t="str">
        <f t="shared" si="66"/>
        <v>CG02170</v>
      </c>
    </row>
    <row r="2088" spans="1:11" x14ac:dyDescent="0.3">
      <c r="A2088" s="298" t="s">
        <v>7037</v>
      </c>
      <c r="B2088" s="298" t="s">
        <v>7038</v>
      </c>
      <c r="C2088" s="298" t="s">
        <v>231</v>
      </c>
      <c r="D2088" s="298" t="s">
        <v>256</v>
      </c>
      <c r="E2088" s="298"/>
      <c r="F2088" s="298" t="s">
        <v>7039</v>
      </c>
      <c r="G2088" s="299" t="b">
        <v>0</v>
      </c>
      <c r="H2088" s="299" t="b">
        <v>0</v>
      </c>
      <c r="J2088" s="113" t="str">
        <f t="shared" si="65"/>
        <v>973470892</v>
      </c>
      <c r="K2088" s="113" t="str">
        <f t="shared" si="66"/>
        <v>CG02171</v>
      </c>
    </row>
    <row r="2089" spans="1:11" x14ac:dyDescent="0.3">
      <c r="A2089" s="298" t="s">
        <v>7040</v>
      </c>
      <c r="B2089" s="298" t="s">
        <v>7041</v>
      </c>
      <c r="C2089" s="298" t="s">
        <v>1734</v>
      </c>
      <c r="D2089" s="298" t="s">
        <v>256</v>
      </c>
      <c r="E2089" s="298"/>
      <c r="F2089" s="298" t="s">
        <v>7042</v>
      </c>
      <c r="G2089" s="299" t="b">
        <v>0</v>
      </c>
      <c r="H2089" s="299" t="b">
        <v>0</v>
      </c>
      <c r="J2089" s="113" t="str">
        <f t="shared" si="65"/>
        <v>914964916</v>
      </c>
      <c r="K2089" s="113" t="str">
        <f t="shared" si="66"/>
        <v>CG02172</v>
      </c>
    </row>
    <row r="2090" spans="1:11" x14ac:dyDescent="0.3">
      <c r="A2090" s="298" t="s">
        <v>7043</v>
      </c>
      <c r="B2090" s="298" t="s">
        <v>7044</v>
      </c>
      <c r="C2090" s="298" t="s">
        <v>1579</v>
      </c>
      <c r="D2090" s="298" t="s">
        <v>256</v>
      </c>
      <c r="E2090" s="298"/>
      <c r="F2090" s="298" t="s">
        <v>7045</v>
      </c>
      <c r="G2090" s="299" t="b">
        <v>0</v>
      </c>
      <c r="H2090" s="299" t="b">
        <v>0</v>
      </c>
      <c r="J2090" s="113" t="str">
        <f t="shared" si="65"/>
        <v>983771381</v>
      </c>
      <c r="K2090" s="113" t="str">
        <f t="shared" si="66"/>
        <v>CG02173</v>
      </c>
    </row>
    <row r="2091" spans="1:11" x14ac:dyDescent="0.3">
      <c r="A2091" s="298" t="s">
        <v>7046</v>
      </c>
      <c r="B2091" s="298" t="s">
        <v>7047</v>
      </c>
      <c r="C2091" s="298" t="s">
        <v>500</v>
      </c>
      <c r="D2091" s="298" t="s">
        <v>256</v>
      </c>
      <c r="E2091" s="298"/>
      <c r="F2091" s="298" t="s">
        <v>203</v>
      </c>
      <c r="G2091" s="299" t="b">
        <v>0</v>
      </c>
      <c r="H2091" s="299" t="b">
        <v>0</v>
      </c>
      <c r="J2091" s="113" t="str">
        <f t="shared" si="65"/>
        <v>979841802</v>
      </c>
      <c r="K2091" s="113" t="str">
        <f t="shared" si="66"/>
        <v>CG02174</v>
      </c>
    </row>
    <row r="2092" spans="1:11" x14ac:dyDescent="0.3">
      <c r="A2092" s="298" t="s">
        <v>7048</v>
      </c>
      <c r="B2092" s="298" t="s">
        <v>7049</v>
      </c>
      <c r="C2092" s="298" t="s">
        <v>495</v>
      </c>
      <c r="D2092" s="298" t="s">
        <v>256</v>
      </c>
      <c r="E2092" s="298"/>
      <c r="F2092" s="298" t="s">
        <v>7050</v>
      </c>
      <c r="G2092" s="299" t="b">
        <v>0</v>
      </c>
      <c r="H2092" s="299" t="b">
        <v>0</v>
      </c>
      <c r="J2092" s="113" t="str">
        <f t="shared" si="65"/>
        <v>984066787</v>
      </c>
      <c r="K2092" s="113" t="str">
        <f t="shared" si="66"/>
        <v>CG02175</v>
      </c>
    </row>
    <row r="2093" spans="1:11" x14ac:dyDescent="0.3">
      <c r="A2093" s="298" t="s">
        <v>7051</v>
      </c>
      <c r="B2093" s="298" t="s">
        <v>7052</v>
      </c>
      <c r="C2093" s="298" t="s">
        <v>7053</v>
      </c>
      <c r="D2093" s="298" t="s">
        <v>256</v>
      </c>
      <c r="E2093" s="298"/>
      <c r="F2093" s="298" t="s">
        <v>7054</v>
      </c>
      <c r="G2093" s="299" t="b">
        <v>0</v>
      </c>
      <c r="H2093" s="299" t="b">
        <v>0</v>
      </c>
      <c r="J2093" s="113" t="str">
        <f t="shared" si="65"/>
        <v>989124266</v>
      </c>
      <c r="K2093" s="113" t="str">
        <f t="shared" si="66"/>
        <v>CG02176</v>
      </c>
    </row>
    <row r="2094" spans="1:11" x14ac:dyDescent="0.3">
      <c r="A2094" s="298" t="s">
        <v>7055</v>
      </c>
      <c r="B2094" s="298" t="s">
        <v>7056</v>
      </c>
      <c r="C2094" s="298" t="s">
        <v>730</v>
      </c>
      <c r="D2094" s="298" t="s">
        <v>256</v>
      </c>
      <c r="E2094" s="298"/>
      <c r="F2094" s="298" t="s">
        <v>7057</v>
      </c>
      <c r="G2094" s="299" t="b">
        <v>0</v>
      </c>
      <c r="H2094" s="299" t="b">
        <v>0</v>
      </c>
      <c r="J2094" s="113" t="str">
        <f t="shared" si="65"/>
        <v>979899707</v>
      </c>
      <c r="K2094" s="113" t="str">
        <f t="shared" si="66"/>
        <v>CG02177</v>
      </c>
    </row>
    <row r="2095" spans="1:11" x14ac:dyDescent="0.3">
      <c r="A2095" s="298" t="s">
        <v>7058</v>
      </c>
      <c r="B2095" s="298" t="s">
        <v>7059</v>
      </c>
      <c r="C2095" s="298" t="s">
        <v>711</v>
      </c>
      <c r="D2095" s="298" t="s">
        <v>256</v>
      </c>
      <c r="E2095" s="298"/>
      <c r="F2095" s="298" t="s">
        <v>7060</v>
      </c>
      <c r="G2095" s="299" t="b">
        <v>0</v>
      </c>
      <c r="H2095" s="299" t="b">
        <v>0</v>
      </c>
      <c r="J2095" s="113" t="str">
        <f t="shared" si="65"/>
        <v>979270886</v>
      </c>
      <c r="K2095" s="113" t="str">
        <f t="shared" si="66"/>
        <v>CG02178</v>
      </c>
    </row>
    <row r="2096" spans="1:11" x14ac:dyDescent="0.3">
      <c r="A2096" s="298" t="s">
        <v>7061</v>
      </c>
      <c r="B2096" s="298" t="s">
        <v>7062</v>
      </c>
      <c r="C2096" s="298" t="s">
        <v>343</v>
      </c>
      <c r="D2096" s="298" t="s">
        <v>256</v>
      </c>
      <c r="E2096" s="298"/>
      <c r="F2096" s="298" t="s">
        <v>7063</v>
      </c>
      <c r="G2096" s="299" t="b">
        <v>0</v>
      </c>
      <c r="H2096" s="299" t="b">
        <v>0</v>
      </c>
      <c r="J2096" s="113" t="str">
        <f t="shared" si="65"/>
        <v>945028298</v>
      </c>
      <c r="K2096" s="113" t="str">
        <f t="shared" si="66"/>
        <v>CG02179</v>
      </c>
    </row>
    <row r="2097" spans="1:11" x14ac:dyDescent="0.3">
      <c r="A2097" s="298" t="s">
        <v>7064</v>
      </c>
      <c r="B2097" s="298" t="s">
        <v>7065</v>
      </c>
      <c r="C2097" s="298" t="s">
        <v>1335</v>
      </c>
      <c r="D2097" s="298" t="s">
        <v>256</v>
      </c>
      <c r="E2097" s="298"/>
      <c r="F2097" s="298" t="s">
        <v>7066</v>
      </c>
      <c r="G2097" s="299" t="b">
        <v>0</v>
      </c>
      <c r="H2097" s="299" t="b">
        <v>0</v>
      </c>
      <c r="J2097" s="113" t="str">
        <f t="shared" si="65"/>
        <v>978575168</v>
      </c>
      <c r="K2097" s="113" t="str">
        <f t="shared" si="66"/>
        <v>CG02180</v>
      </c>
    </row>
    <row r="2098" spans="1:11" x14ac:dyDescent="0.3">
      <c r="A2098" s="298" t="s">
        <v>7067</v>
      </c>
      <c r="B2098" s="298" t="s">
        <v>7068</v>
      </c>
      <c r="C2098" s="298" t="s">
        <v>286</v>
      </c>
      <c r="D2098" s="298" t="s">
        <v>256</v>
      </c>
      <c r="E2098" s="298"/>
      <c r="F2098" s="298" t="s">
        <v>7069</v>
      </c>
      <c r="G2098" s="299" t="b">
        <v>0</v>
      </c>
      <c r="H2098" s="299" t="b">
        <v>0</v>
      </c>
      <c r="J2098" s="113" t="str">
        <f t="shared" si="65"/>
        <v>963978698</v>
      </c>
      <c r="K2098" s="113" t="str">
        <f t="shared" si="66"/>
        <v>CG02181</v>
      </c>
    </row>
    <row r="2099" spans="1:11" x14ac:dyDescent="0.3">
      <c r="A2099" s="298" t="s">
        <v>7070</v>
      </c>
      <c r="B2099" s="298" t="s">
        <v>7071</v>
      </c>
      <c r="C2099" s="298" t="s">
        <v>816</v>
      </c>
      <c r="D2099" s="298" t="s">
        <v>256</v>
      </c>
      <c r="E2099" s="298"/>
      <c r="F2099" s="298" t="s">
        <v>7072</v>
      </c>
      <c r="G2099" s="299" t="b">
        <v>0</v>
      </c>
      <c r="H2099" s="299" t="b">
        <v>0</v>
      </c>
      <c r="J2099" s="113" t="str">
        <f t="shared" si="65"/>
        <v>984448884</v>
      </c>
      <c r="K2099" s="113" t="str">
        <f t="shared" si="66"/>
        <v>CG02182</v>
      </c>
    </row>
    <row r="2100" spans="1:11" x14ac:dyDescent="0.3">
      <c r="A2100" s="298" t="s">
        <v>7073</v>
      </c>
      <c r="B2100" s="298" t="s">
        <v>7074</v>
      </c>
      <c r="C2100" s="298" t="s">
        <v>355</v>
      </c>
      <c r="D2100" s="298" t="s">
        <v>256</v>
      </c>
      <c r="E2100" s="298"/>
      <c r="F2100" s="298" t="s">
        <v>7075</v>
      </c>
      <c r="G2100" s="299" t="b">
        <v>0</v>
      </c>
      <c r="H2100" s="299" t="b">
        <v>0</v>
      </c>
      <c r="J2100" s="113" t="str">
        <f t="shared" si="65"/>
        <v>857668668</v>
      </c>
      <c r="K2100" s="113" t="str">
        <f t="shared" si="66"/>
        <v>CG02183</v>
      </c>
    </row>
    <row r="2101" spans="1:11" x14ac:dyDescent="0.3">
      <c r="A2101" s="298" t="s">
        <v>7076</v>
      </c>
      <c r="B2101" s="298" t="s">
        <v>7077</v>
      </c>
      <c r="C2101" s="298" t="s">
        <v>2170</v>
      </c>
      <c r="D2101" s="298" t="s">
        <v>256</v>
      </c>
      <c r="E2101" s="298"/>
      <c r="F2101" s="298" t="s">
        <v>7078</v>
      </c>
      <c r="G2101" s="299" t="b">
        <v>0</v>
      </c>
      <c r="H2101" s="299" t="b">
        <v>0</v>
      </c>
      <c r="J2101" s="113" t="str">
        <f t="shared" si="65"/>
        <v>978869248</v>
      </c>
      <c r="K2101" s="113" t="str">
        <f t="shared" si="66"/>
        <v>CG02184</v>
      </c>
    </row>
    <row r="2102" spans="1:11" x14ac:dyDescent="0.3">
      <c r="A2102" s="298" t="s">
        <v>7079</v>
      </c>
      <c r="B2102" s="298" t="s">
        <v>7080</v>
      </c>
      <c r="C2102" s="298" t="s">
        <v>4347</v>
      </c>
      <c r="D2102" s="298" t="s">
        <v>256</v>
      </c>
      <c r="E2102" s="298" t="s">
        <v>4348</v>
      </c>
      <c r="F2102" s="298" t="s">
        <v>7081</v>
      </c>
      <c r="G2102" s="299" t="b">
        <v>0</v>
      </c>
      <c r="H2102" s="299" t="b">
        <v>0</v>
      </c>
      <c r="J2102" s="113" t="str">
        <f t="shared" si="65"/>
        <v>600200635</v>
      </c>
      <c r="K2102" s="113" t="str">
        <f t="shared" si="66"/>
        <v>CG02185</v>
      </c>
    </row>
    <row r="2103" spans="1:11" x14ac:dyDescent="0.3">
      <c r="A2103" s="298" t="s">
        <v>7082</v>
      </c>
      <c r="B2103" s="298" t="s">
        <v>7083</v>
      </c>
      <c r="C2103" s="298" t="s">
        <v>993</v>
      </c>
      <c r="D2103" s="298" t="s">
        <v>256</v>
      </c>
      <c r="E2103" s="298"/>
      <c r="F2103" s="298" t="s">
        <v>7084</v>
      </c>
      <c r="G2103" s="299" t="b">
        <v>0</v>
      </c>
      <c r="H2103" s="299" t="b">
        <v>0</v>
      </c>
      <c r="J2103" s="113" t="str">
        <f t="shared" si="65"/>
        <v>989195222</v>
      </c>
      <c r="K2103" s="113" t="str">
        <f t="shared" si="66"/>
        <v>CG02186</v>
      </c>
    </row>
    <row r="2104" spans="1:11" x14ac:dyDescent="0.3">
      <c r="A2104" s="298" t="s">
        <v>7085</v>
      </c>
      <c r="B2104" s="298" t="s">
        <v>13315</v>
      </c>
      <c r="C2104" s="298" t="s">
        <v>13316</v>
      </c>
      <c r="D2104" s="298" t="s">
        <v>256</v>
      </c>
      <c r="E2104" s="298" t="s">
        <v>13317</v>
      </c>
      <c r="F2104" s="298" t="s">
        <v>7086</v>
      </c>
      <c r="G2104" s="299" t="b">
        <v>0</v>
      </c>
      <c r="H2104" s="299" t="b">
        <v>0</v>
      </c>
      <c r="J2104" s="113" t="str">
        <f t="shared" si="65"/>
        <v>978506878</v>
      </c>
      <c r="K2104" s="113" t="str">
        <f t="shared" si="66"/>
        <v>CG02187</v>
      </c>
    </row>
    <row r="2105" spans="1:11" x14ac:dyDescent="0.3">
      <c r="A2105" s="298" t="s">
        <v>7087</v>
      </c>
      <c r="B2105" s="298" t="s">
        <v>7088</v>
      </c>
      <c r="C2105" s="298" t="s">
        <v>4784</v>
      </c>
      <c r="D2105" s="298" t="s">
        <v>256</v>
      </c>
      <c r="E2105" s="298"/>
      <c r="F2105" s="298" t="s">
        <v>7089</v>
      </c>
      <c r="G2105" s="299" t="b">
        <v>0</v>
      </c>
      <c r="H2105" s="299" t="b">
        <v>0</v>
      </c>
      <c r="J2105" s="113" t="str">
        <f t="shared" si="65"/>
        <v>988469505</v>
      </c>
      <c r="K2105" s="113" t="str">
        <f t="shared" si="66"/>
        <v>CG02188</v>
      </c>
    </row>
    <row r="2106" spans="1:11" x14ac:dyDescent="0.3">
      <c r="A2106" s="298" t="s">
        <v>7090</v>
      </c>
      <c r="B2106" s="298" t="s">
        <v>7091</v>
      </c>
      <c r="C2106" s="298" t="s">
        <v>7092</v>
      </c>
      <c r="D2106" s="298" t="s">
        <v>256</v>
      </c>
      <c r="E2106" s="298"/>
      <c r="F2106" s="298" t="s">
        <v>7093</v>
      </c>
      <c r="G2106" s="299" t="b">
        <v>0</v>
      </c>
      <c r="H2106" s="299" t="b">
        <v>0</v>
      </c>
      <c r="J2106" s="113" t="str">
        <f t="shared" si="65"/>
        <v>902290539</v>
      </c>
      <c r="K2106" s="113" t="str">
        <f t="shared" si="66"/>
        <v>CG02189</v>
      </c>
    </row>
    <row r="2107" spans="1:11" x14ac:dyDescent="0.3">
      <c r="A2107" s="298" t="s">
        <v>7094</v>
      </c>
      <c r="B2107" s="298" t="s">
        <v>7095</v>
      </c>
      <c r="C2107" s="298" t="s">
        <v>711</v>
      </c>
      <c r="D2107" s="298" t="s">
        <v>256</v>
      </c>
      <c r="E2107" s="298"/>
      <c r="F2107" s="298" t="s">
        <v>7096</v>
      </c>
      <c r="G2107" s="299" t="b">
        <v>0</v>
      </c>
      <c r="H2107" s="299" t="b">
        <v>0</v>
      </c>
      <c r="J2107" s="113" t="str">
        <f t="shared" si="65"/>
        <v>976966554</v>
      </c>
      <c r="K2107" s="113" t="str">
        <f t="shared" si="66"/>
        <v>CG02190</v>
      </c>
    </row>
    <row r="2108" spans="1:11" x14ac:dyDescent="0.3">
      <c r="A2108" s="298" t="s">
        <v>7097</v>
      </c>
      <c r="B2108" s="298" t="s">
        <v>7098</v>
      </c>
      <c r="C2108" s="298" t="s">
        <v>613</v>
      </c>
      <c r="D2108" s="298" t="s">
        <v>256</v>
      </c>
      <c r="E2108" s="298"/>
      <c r="F2108" s="298" t="s">
        <v>7099</v>
      </c>
      <c r="G2108" s="299" t="b">
        <v>0</v>
      </c>
      <c r="H2108" s="299" t="b">
        <v>0</v>
      </c>
      <c r="J2108" s="113" t="str">
        <f t="shared" si="65"/>
        <v>936888157</v>
      </c>
      <c r="K2108" s="113" t="str">
        <f t="shared" si="66"/>
        <v>CG02191</v>
      </c>
    </row>
    <row r="2109" spans="1:11" x14ac:dyDescent="0.3">
      <c r="A2109" s="298" t="s">
        <v>7100</v>
      </c>
      <c r="B2109" s="298" t="s">
        <v>7101</v>
      </c>
      <c r="C2109" s="298" t="s">
        <v>1237</v>
      </c>
      <c r="D2109" s="298" t="s">
        <v>256</v>
      </c>
      <c r="E2109" s="298"/>
      <c r="F2109" s="298" t="s">
        <v>7102</v>
      </c>
      <c r="G2109" s="299" t="b">
        <v>0</v>
      </c>
      <c r="H2109" s="299" t="b">
        <v>0</v>
      </c>
      <c r="J2109" s="113" t="str">
        <f t="shared" si="65"/>
        <v>944707007</v>
      </c>
      <c r="K2109" s="113" t="str">
        <f t="shared" si="66"/>
        <v>CG02192</v>
      </c>
    </row>
    <row r="2110" spans="1:11" x14ac:dyDescent="0.3">
      <c r="A2110" s="298" t="s">
        <v>7103</v>
      </c>
      <c r="B2110" s="298" t="s">
        <v>7104</v>
      </c>
      <c r="C2110" s="298" t="s">
        <v>809</v>
      </c>
      <c r="D2110" s="298" t="s">
        <v>256</v>
      </c>
      <c r="E2110" s="298"/>
      <c r="F2110" s="298" t="s">
        <v>7105</v>
      </c>
      <c r="G2110" s="299" t="b">
        <v>0</v>
      </c>
      <c r="H2110" s="299" t="b">
        <v>0</v>
      </c>
      <c r="J2110" s="113" t="str">
        <f t="shared" si="65"/>
        <v>966396802</v>
      </c>
      <c r="K2110" s="113" t="str">
        <f t="shared" si="66"/>
        <v>CG02193</v>
      </c>
    </row>
    <row r="2111" spans="1:11" x14ac:dyDescent="0.3">
      <c r="A2111" s="298" t="s">
        <v>7106</v>
      </c>
      <c r="B2111" s="298" t="s">
        <v>7107</v>
      </c>
      <c r="C2111" s="298" t="s">
        <v>3253</v>
      </c>
      <c r="D2111" s="298" t="s">
        <v>256</v>
      </c>
      <c r="E2111" s="298"/>
      <c r="F2111" s="298" t="s">
        <v>7108</v>
      </c>
      <c r="G2111" s="299" t="b">
        <v>0</v>
      </c>
      <c r="H2111" s="299" t="b">
        <v>0</v>
      </c>
      <c r="J2111" s="113" t="str">
        <f t="shared" si="65"/>
        <v>975222040</v>
      </c>
      <c r="K2111" s="113" t="str">
        <f t="shared" si="66"/>
        <v>CG02194</v>
      </c>
    </row>
    <row r="2112" spans="1:11" x14ac:dyDescent="0.3">
      <c r="A2112" s="298" t="s">
        <v>7109</v>
      </c>
      <c r="B2112" s="298" t="s">
        <v>7110</v>
      </c>
      <c r="C2112" s="298" t="s">
        <v>231</v>
      </c>
      <c r="D2112" s="298" t="s">
        <v>256</v>
      </c>
      <c r="E2112" s="298"/>
      <c r="F2112" s="298" t="s">
        <v>7111</v>
      </c>
      <c r="G2112" s="299" t="b">
        <v>0</v>
      </c>
      <c r="H2112" s="299" t="b">
        <v>0</v>
      </c>
      <c r="J2112" s="113" t="str">
        <f t="shared" si="65"/>
        <v>977434560</v>
      </c>
      <c r="K2112" s="113" t="str">
        <f t="shared" si="66"/>
        <v>CG02195</v>
      </c>
    </row>
    <row r="2113" spans="1:11" x14ac:dyDescent="0.3">
      <c r="A2113" s="298" t="s">
        <v>7112</v>
      </c>
      <c r="B2113" s="298" t="s">
        <v>7113</v>
      </c>
      <c r="C2113" s="298" t="s">
        <v>355</v>
      </c>
      <c r="D2113" s="298" t="s">
        <v>256</v>
      </c>
      <c r="E2113" s="298"/>
      <c r="F2113" s="298" t="s">
        <v>7114</v>
      </c>
      <c r="G2113" s="299" t="b">
        <v>0</v>
      </c>
      <c r="H2113" s="299" t="b">
        <v>0</v>
      </c>
      <c r="J2113" s="113" t="str">
        <f t="shared" si="65"/>
        <v>912456123</v>
      </c>
      <c r="K2113" s="113" t="str">
        <f t="shared" si="66"/>
        <v>CG02196</v>
      </c>
    </row>
    <row r="2114" spans="1:11" x14ac:dyDescent="0.3">
      <c r="A2114" s="298" t="s">
        <v>7115</v>
      </c>
      <c r="B2114" s="298" t="s">
        <v>7116</v>
      </c>
      <c r="C2114" s="298" t="s">
        <v>355</v>
      </c>
      <c r="D2114" s="298" t="s">
        <v>256</v>
      </c>
      <c r="E2114" s="298"/>
      <c r="F2114" s="298" t="s">
        <v>7117</v>
      </c>
      <c r="G2114" s="299" t="b">
        <v>0</v>
      </c>
      <c r="H2114" s="299" t="b">
        <v>0</v>
      </c>
      <c r="J2114" s="113" t="str">
        <f t="shared" si="65"/>
        <v>988314777</v>
      </c>
      <c r="K2114" s="113" t="str">
        <f t="shared" si="66"/>
        <v>CG02197</v>
      </c>
    </row>
    <row r="2115" spans="1:11" x14ac:dyDescent="0.3">
      <c r="A2115" s="298" t="s">
        <v>7118</v>
      </c>
      <c r="B2115" s="298" t="s">
        <v>7119</v>
      </c>
      <c r="C2115" s="298" t="s">
        <v>231</v>
      </c>
      <c r="D2115" s="298" t="s">
        <v>256</v>
      </c>
      <c r="E2115" s="298"/>
      <c r="F2115" s="298" t="s">
        <v>7120</v>
      </c>
      <c r="G2115" s="299" t="b">
        <v>0</v>
      </c>
      <c r="H2115" s="299" t="b">
        <v>0</v>
      </c>
      <c r="J2115" s="113" t="str">
        <f t="shared" si="65"/>
        <v>913365834</v>
      </c>
      <c r="K2115" s="113" t="str">
        <f t="shared" si="66"/>
        <v>CG02198</v>
      </c>
    </row>
    <row r="2116" spans="1:11" x14ac:dyDescent="0.3">
      <c r="A2116" s="298" t="s">
        <v>7121</v>
      </c>
      <c r="B2116" s="298" t="s">
        <v>7122</v>
      </c>
      <c r="C2116" s="298" t="s">
        <v>672</v>
      </c>
      <c r="D2116" s="298" t="s">
        <v>256</v>
      </c>
      <c r="E2116" s="298"/>
      <c r="F2116" s="298" t="s">
        <v>7123</v>
      </c>
      <c r="G2116" s="299" t="b">
        <v>0</v>
      </c>
      <c r="H2116" s="299" t="b">
        <v>0</v>
      </c>
      <c r="J2116" s="113" t="str">
        <f t="shared" si="65"/>
        <v>903489926</v>
      </c>
      <c r="K2116" s="113" t="str">
        <f t="shared" si="66"/>
        <v>CG02199</v>
      </c>
    </row>
    <row r="2117" spans="1:11" x14ac:dyDescent="0.3">
      <c r="A2117" s="298" t="s">
        <v>7124</v>
      </c>
      <c r="B2117" s="298" t="s">
        <v>7125</v>
      </c>
      <c r="C2117" s="298" t="s">
        <v>1587</v>
      </c>
      <c r="D2117" s="298" t="s">
        <v>256</v>
      </c>
      <c r="E2117" s="298"/>
      <c r="F2117" s="298" t="s">
        <v>7126</v>
      </c>
      <c r="G2117" s="299" t="b">
        <v>0</v>
      </c>
      <c r="H2117" s="299" t="b">
        <v>0</v>
      </c>
      <c r="J2117" s="113" t="str">
        <f t="shared" ref="J2117:J2180" si="67">RIGHT(B2117,9)</f>
        <v>915808265</v>
      </c>
      <c r="K2117" s="113" t="str">
        <f t="shared" ref="K2117:K2180" si="68">A2117</f>
        <v>CG02200</v>
      </c>
    </row>
    <row r="2118" spans="1:11" x14ac:dyDescent="0.3">
      <c r="A2118" s="298" t="s">
        <v>7127</v>
      </c>
      <c r="B2118" s="298" t="s">
        <v>7128</v>
      </c>
      <c r="C2118" s="298" t="s">
        <v>416</v>
      </c>
      <c r="D2118" s="298" t="s">
        <v>256</v>
      </c>
      <c r="E2118" s="298"/>
      <c r="F2118" s="298" t="s">
        <v>7129</v>
      </c>
      <c r="G2118" s="299" t="b">
        <v>0</v>
      </c>
      <c r="H2118" s="299" t="b">
        <v>0</v>
      </c>
      <c r="J2118" s="113" t="str">
        <f t="shared" si="67"/>
        <v>968612801</v>
      </c>
      <c r="K2118" s="113" t="str">
        <f t="shared" si="68"/>
        <v>CG02201</v>
      </c>
    </row>
    <row r="2119" spans="1:11" x14ac:dyDescent="0.3">
      <c r="A2119" s="298" t="s">
        <v>7130</v>
      </c>
      <c r="B2119" s="298" t="s">
        <v>7131</v>
      </c>
      <c r="C2119" s="298" t="s">
        <v>609</v>
      </c>
      <c r="D2119" s="298" t="s">
        <v>256</v>
      </c>
      <c r="E2119" s="298"/>
      <c r="F2119" s="298" t="s">
        <v>7132</v>
      </c>
      <c r="G2119" s="299" t="b">
        <v>0</v>
      </c>
      <c r="H2119" s="299" t="b">
        <v>0</v>
      </c>
      <c r="J2119" s="113" t="str">
        <f t="shared" si="67"/>
        <v>973564668</v>
      </c>
      <c r="K2119" s="113" t="str">
        <f t="shared" si="68"/>
        <v>CG02202</v>
      </c>
    </row>
    <row r="2120" spans="1:11" x14ac:dyDescent="0.3">
      <c r="A2120" s="298" t="s">
        <v>7133</v>
      </c>
      <c r="B2120" s="298" t="s">
        <v>7134</v>
      </c>
      <c r="C2120" s="298" t="s">
        <v>3253</v>
      </c>
      <c r="D2120" s="298" t="s">
        <v>256</v>
      </c>
      <c r="E2120" s="298"/>
      <c r="F2120" s="298" t="s">
        <v>7135</v>
      </c>
      <c r="G2120" s="299" t="b">
        <v>0</v>
      </c>
      <c r="H2120" s="299" t="b">
        <v>0</v>
      </c>
      <c r="J2120" s="113" t="str">
        <f t="shared" si="67"/>
        <v>978111111</v>
      </c>
      <c r="K2120" s="113" t="str">
        <f t="shared" si="68"/>
        <v>CG02203</v>
      </c>
    </row>
    <row r="2121" spans="1:11" x14ac:dyDescent="0.3">
      <c r="A2121" s="298" t="s">
        <v>7136</v>
      </c>
      <c r="B2121" s="298" t="s">
        <v>7137</v>
      </c>
      <c r="C2121" s="298" t="s">
        <v>7138</v>
      </c>
      <c r="D2121" s="298" t="s">
        <v>256</v>
      </c>
      <c r="E2121" s="298"/>
      <c r="F2121" s="298" t="s">
        <v>7139</v>
      </c>
      <c r="G2121" s="299" t="b">
        <v>0</v>
      </c>
      <c r="H2121" s="299" t="b">
        <v>0</v>
      </c>
      <c r="J2121" s="113" t="str">
        <f t="shared" si="67"/>
        <v>936321255</v>
      </c>
      <c r="K2121" s="113" t="str">
        <f t="shared" si="68"/>
        <v>CG02204</v>
      </c>
    </row>
    <row r="2122" spans="1:11" x14ac:dyDescent="0.3">
      <c r="A2122" s="298" t="s">
        <v>7140</v>
      </c>
      <c r="B2122" s="298" t="s">
        <v>7141</v>
      </c>
      <c r="C2122" s="298" t="s">
        <v>2720</v>
      </c>
      <c r="D2122" s="298" t="s">
        <v>256</v>
      </c>
      <c r="E2122" s="298"/>
      <c r="F2122" s="298" t="s">
        <v>7142</v>
      </c>
      <c r="G2122" s="299" t="b">
        <v>0</v>
      </c>
      <c r="H2122" s="299" t="b">
        <v>0</v>
      </c>
      <c r="J2122" s="113" t="str">
        <f t="shared" si="67"/>
        <v>915430557</v>
      </c>
      <c r="K2122" s="113" t="str">
        <f t="shared" si="68"/>
        <v>CG02205</v>
      </c>
    </row>
    <row r="2123" spans="1:11" x14ac:dyDescent="0.3">
      <c r="A2123" s="298" t="s">
        <v>7143</v>
      </c>
      <c r="B2123" s="298" t="s">
        <v>7144</v>
      </c>
      <c r="C2123" s="298" t="s">
        <v>7145</v>
      </c>
      <c r="D2123" s="298" t="s">
        <v>256</v>
      </c>
      <c r="E2123" s="298"/>
      <c r="F2123" s="298" t="s">
        <v>7146</v>
      </c>
      <c r="G2123" s="299" t="b">
        <v>0</v>
      </c>
      <c r="H2123" s="299" t="b">
        <v>0</v>
      </c>
      <c r="J2123" s="113" t="str">
        <f t="shared" si="67"/>
        <v>982788217</v>
      </c>
      <c r="K2123" s="113" t="str">
        <f t="shared" si="68"/>
        <v>CG02206</v>
      </c>
    </row>
    <row r="2124" spans="1:11" x14ac:dyDescent="0.3">
      <c r="A2124" s="298" t="s">
        <v>7147</v>
      </c>
      <c r="B2124" s="298" t="s">
        <v>7148</v>
      </c>
      <c r="C2124" s="298" t="s">
        <v>231</v>
      </c>
      <c r="D2124" s="298" t="s">
        <v>256</v>
      </c>
      <c r="E2124" s="298"/>
      <c r="F2124" s="298" t="s">
        <v>7149</v>
      </c>
      <c r="G2124" s="299" t="b">
        <v>0</v>
      </c>
      <c r="H2124" s="299" t="b">
        <v>0</v>
      </c>
      <c r="J2124" s="113" t="str">
        <f t="shared" si="67"/>
        <v>985168909</v>
      </c>
      <c r="K2124" s="113" t="str">
        <f t="shared" si="68"/>
        <v>CG02207</v>
      </c>
    </row>
    <row r="2125" spans="1:11" x14ac:dyDescent="0.3">
      <c r="A2125" s="298" t="s">
        <v>7150</v>
      </c>
      <c r="B2125" s="298" t="s">
        <v>7151</v>
      </c>
      <c r="C2125" s="298" t="s">
        <v>4499</v>
      </c>
      <c r="D2125" s="298" t="s">
        <v>256</v>
      </c>
      <c r="E2125" s="298"/>
      <c r="F2125" s="298" t="s">
        <v>7152</v>
      </c>
      <c r="G2125" s="299" t="b">
        <v>0</v>
      </c>
      <c r="H2125" s="299" t="b">
        <v>0</v>
      </c>
      <c r="J2125" s="113" t="str">
        <f t="shared" si="67"/>
        <v>912107880</v>
      </c>
      <c r="K2125" s="113" t="str">
        <f t="shared" si="68"/>
        <v>CG02208</v>
      </c>
    </row>
    <row r="2126" spans="1:11" x14ac:dyDescent="0.3">
      <c r="A2126" s="298" t="s">
        <v>7153</v>
      </c>
      <c r="B2126" s="298" t="s">
        <v>7154</v>
      </c>
      <c r="C2126" s="298" t="s">
        <v>309</v>
      </c>
      <c r="D2126" s="298" t="s">
        <v>256</v>
      </c>
      <c r="E2126" s="298"/>
      <c r="F2126" s="298" t="s">
        <v>7155</v>
      </c>
      <c r="G2126" s="299" t="b">
        <v>0</v>
      </c>
      <c r="H2126" s="299" t="b">
        <v>0</v>
      </c>
      <c r="J2126" s="113" t="str">
        <f t="shared" si="67"/>
        <v>988136271</v>
      </c>
      <c r="K2126" s="113" t="str">
        <f t="shared" si="68"/>
        <v>CG02209</v>
      </c>
    </row>
    <row r="2127" spans="1:11" x14ac:dyDescent="0.3">
      <c r="A2127" s="298" t="s">
        <v>7156</v>
      </c>
      <c r="B2127" s="298" t="s">
        <v>7157</v>
      </c>
      <c r="C2127" s="298" t="s">
        <v>1173</v>
      </c>
      <c r="D2127" s="298" t="s">
        <v>256</v>
      </c>
      <c r="E2127" s="298"/>
      <c r="F2127" s="298" t="s">
        <v>7158</v>
      </c>
      <c r="G2127" s="299" t="b">
        <v>0</v>
      </c>
      <c r="H2127" s="299" t="b">
        <v>0</v>
      </c>
      <c r="J2127" s="113" t="str">
        <f t="shared" si="67"/>
        <v>364322514</v>
      </c>
      <c r="K2127" s="113" t="str">
        <f t="shared" si="68"/>
        <v>CG02210</v>
      </c>
    </row>
    <row r="2128" spans="1:11" x14ac:dyDescent="0.3">
      <c r="A2128" s="298" t="s">
        <v>7159</v>
      </c>
      <c r="B2128" s="298" t="s">
        <v>7160</v>
      </c>
      <c r="C2128" s="298" t="s">
        <v>487</v>
      </c>
      <c r="D2128" s="298" t="s">
        <v>256</v>
      </c>
      <c r="E2128" s="298"/>
      <c r="F2128" s="298" t="s">
        <v>7161</v>
      </c>
      <c r="G2128" s="299" t="b">
        <v>0</v>
      </c>
      <c r="H2128" s="299" t="b">
        <v>0</v>
      </c>
      <c r="J2128" s="113" t="str">
        <f t="shared" si="67"/>
        <v>986180685</v>
      </c>
      <c r="K2128" s="113" t="str">
        <f t="shared" si="68"/>
        <v>CG02211</v>
      </c>
    </row>
    <row r="2129" spans="1:11" x14ac:dyDescent="0.3">
      <c r="A2129" s="298" t="s">
        <v>7162</v>
      </c>
      <c r="B2129" s="298" t="s">
        <v>7163</v>
      </c>
      <c r="C2129" s="298" t="s">
        <v>7164</v>
      </c>
      <c r="D2129" s="298" t="s">
        <v>256</v>
      </c>
      <c r="E2129" s="298"/>
      <c r="F2129" s="298" t="s">
        <v>7165</v>
      </c>
      <c r="G2129" s="299" t="b">
        <v>0</v>
      </c>
      <c r="H2129" s="299" t="b">
        <v>0</v>
      </c>
      <c r="J2129" s="113" t="str">
        <f t="shared" si="67"/>
        <v>916895931</v>
      </c>
      <c r="K2129" s="113" t="str">
        <f t="shared" si="68"/>
        <v>CG02212</v>
      </c>
    </row>
    <row r="2130" spans="1:11" x14ac:dyDescent="0.3">
      <c r="A2130" s="298" t="s">
        <v>7166</v>
      </c>
      <c r="B2130" s="298" t="s">
        <v>7167</v>
      </c>
      <c r="C2130" s="298" t="s">
        <v>409</v>
      </c>
      <c r="D2130" s="298" t="s">
        <v>256</v>
      </c>
      <c r="E2130" s="298"/>
      <c r="F2130" s="298" t="s">
        <v>7168</v>
      </c>
      <c r="G2130" s="299" t="b">
        <v>0</v>
      </c>
      <c r="H2130" s="299" t="b">
        <v>0</v>
      </c>
      <c r="J2130" s="113" t="str">
        <f t="shared" si="67"/>
        <v>982806732</v>
      </c>
      <c r="K2130" s="113" t="str">
        <f t="shared" si="68"/>
        <v>CG02213</v>
      </c>
    </row>
    <row r="2131" spans="1:11" x14ac:dyDescent="0.3">
      <c r="A2131" s="298" t="s">
        <v>7169</v>
      </c>
      <c r="B2131" s="298" t="s">
        <v>7170</v>
      </c>
      <c r="C2131" s="298" t="s">
        <v>816</v>
      </c>
      <c r="D2131" s="298" t="s">
        <v>256</v>
      </c>
      <c r="E2131" s="298"/>
      <c r="F2131" s="298" t="s">
        <v>7171</v>
      </c>
      <c r="G2131" s="299" t="b">
        <v>0</v>
      </c>
      <c r="H2131" s="299" t="b">
        <v>0</v>
      </c>
      <c r="J2131" s="113" t="str">
        <f t="shared" si="67"/>
        <v>914548018</v>
      </c>
      <c r="K2131" s="113" t="str">
        <f t="shared" si="68"/>
        <v>CG02214</v>
      </c>
    </row>
    <row r="2132" spans="1:11" x14ac:dyDescent="0.3">
      <c r="A2132" s="298" t="s">
        <v>7172</v>
      </c>
      <c r="B2132" s="298" t="s">
        <v>7173</v>
      </c>
      <c r="C2132" s="298" t="s">
        <v>7174</v>
      </c>
      <c r="D2132" s="298" t="s">
        <v>256</v>
      </c>
      <c r="E2132" s="298" t="s">
        <v>7175</v>
      </c>
      <c r="F2132" s="298" t="s">
        <v>7176</v>
      </c>
      <c r="G2132" s="299" t="b">
        <v>0</v>
      </c>
      <c r="H2132" s="299" t="b">
        <v>0</v>
      </c>
      <c r="J2132" s="113" t="str">
        <f t="shared" si="67"/>
        <v>987947775</v>
      </c>
      <c r="K2132" s="113" t="str">
        <f t="shared" si="68"/>
        <v>CG02215</v>
      </c>
    </row>
    <row r="2133" spans="1:11" x14ac:dyDescent="0.3">
      <c r="A2133" s="298" t="s">
        <v>7177</v>
      </c>
      <c r="B2133" s="298" t="s">
        <v>7178</v>
      </c>
      <c r="C2133" s="298" t="s">
        <v>7179</v>
      </c>
      <c r="D2133" s="298" t="s">
        <v>256</v>
      </c>
      <c r="E2133" s="298"/>
      <c r="F2133" s="298" t="s">
        <v>7180</v>
      </c>
      <c r="G2133" s="299" t="b">
        <v>0</v>
      </c>
      <c r="H2133" s="299" t="b">
        <v>0</v>
      </c>
      <c r="J2133" s="113" t="str">
        <f t="shared" si="67"/>
        <v>913053207</v>
      </c>
      <c r="K2133" s="113" t="str">
        <f t="shared" si="68"/>
        <v>CG02216</v>
      </c>
    </row>
    <row r="2134" spans="1:11" x14ac:dyDescent="0.3">
      <c r="A2134" s="298" t="s">
        <v>7181</v>
      </c>
      <c r="B2134" s="298" t="s">
        <v>7182</v>
      </c>
      <c r="C2134" s="298" t="s">
        <v>409</v>
      </c>
      <c r="D2134" s="298" t="s">
        <v>256</v>
      </c>
      <c r="E2134" s="298"/>
      <c r="F2134" s="298" t="s">
        <v>7183</v>
      </c>
      <c r="G2134" s="299" t="b">
        <v>0</v>
      </c>
      <c r="H2134" s="299" t="b">
        <v>0</v>
      </c>
      <c r="J2134" s="113" t="str">
        <f t="shared" si="67"/>
        <v>912464614</v>
      </c>
      <c r="K2134" s="113" t="str">
        <f t="shared" si="68"/>
        <v>CG02217</v>
      </c>
    </row>
    <row r="2135" spans="1:11" x14ac:dyDescent="0.3">
      <c r="A2135" s="298" t="s">
        <v>7184</v>
      </c>
      <c r="B2135" s="298" t="s">
        <v>7185</v>
      </c>
      <c r="C2135" s="298" t="s">
        <v>718</v>
      </c>
      <c r="D2135" s="298" t="s">
        <v>256</v>
      </c>
      <c r="E2135" s="298"/>
      <c r="F2135" s="298" t="s">
        <v>7186</v>
      </c>
      <c r="G2135" s="299" t="b">
        <v>0</v>
      </c>
      <c r="H2135" s="299" t="b">
        <v>0</v>
      </c>
      <c r="J2135" s="113" t="str">
        <f t="shared" si="67"/>
        <v>976058038</v>
      </c>
      <c r="K2135" s="113" t="str">
        <f t="shared" si="68"/>
        <v>CG02218</v>
      </c>
    </row>
    <row r="2136" spans="1:11" x14ac:dyDescent="0.3">
      <c r="A2136" s="298" t="s">
        <v>7187</v>
      </c>
      <c r="B2136" s="298" t="s">
        <v>7188</v>
      </c>
      <c r="C2136" s="298" t="s">
        <v>718</v>
      </c>
      <c r="D2136" s="298" t="s">
        <v>256</v>
      </c>
      <c r="E2136" s="298"/>
      <c r="F2136" s="298" t="s">
        <v>7189</v>
      </c>
      <c r="G2136" s="299" t="b">
        <v>0</v>
      </c>
      <c r="H2136" s="299" t="b">
        <v>0</v>
      </c>
      <c r="J2136" s="113" t="str">
        <f t="shared" si="67"/>
        <v>972222265</v>
      </c>
      <c r="K2136" s="113" t="str">
        <f t="shared" si="68"/>
        <v>CG02219</v>
      </c>
    </row>
    <row r="2137" spans="1:11" x14ac:dyDescent="0.3">
      <c r="A2137" s="298" t="s">
        <v>7190</v>
      </c>
      <c r="B2137" s="298" t="s">
        <v>7191</v>
      </c>
      <c r="C2137" s="298" t="s">
        <v>2877</v>
      </c>
      <c r="D2137" s="298" t="s">
        <v>256</v>
      </c>
      <c r="E2137" s="298"/>
      <c r="F2137" s="298" t="s">
        <v>7192</v>
      </c>
      <c r="G2137" s="299" t="b">
        <v>0</v>
      </c>
      <c r="H2137" s="299" t="b">
        <v>0</v>
      </c>
      <c r="J2137" s="113" t="str">
        <f t="shared" si="67"/>
        <v>982137509</v>
      </c>
      <c r="K2137" s="113" t="str">
        <f t="shared" si="68"/>
        <v>CG02220</v>
      </c>
    </row>
    <row r="2138" spans="1:11" x14ac:dyDescent="0.3">
      <c r="A2138" s="298" t="s">
        <v>7193</v>
      </c>
      <c r="B2138" s="298" t="s">
        <v>7194</v>
      </c>
      <c r="C2138" s="298" t="s">
        <v>500</v>
      </c>
      <c r="D2138" s="298" t="s">
        <v>256</v>
      </c>
      <c r="E2138" s="298"/>
      <c r="F2138" s="298" t="s">
        <v>7195</v>
      </c>
      <c r="G2138" s="299" t="b">
        <v>0</v>
      </c>
      <c r="H2138" s="299" t="b">
        <v>0</v>
      </c>
      <c r="J2138" s="113" t="str">
        <f t="shared" si="67"/>
        <v>704115255</v>
      </c>
      <c r="K2138" s="113" t="str">
        <f t="shared" si="68"/>
        <v>CG02221</v>
      </c>
    </row>
    <row r="2139" spans="1:11" x14ac:dyDescent="0.3">
      <c r="A2139" s="298" t="s">
        <v>7196</v>
      </c>
      <c r="B2139" s="298" t="s">
        <v>7197</v>
      </c>
      <c r="C2139" s="298" t="s">
        <v>1237</v>
      </c>
      <c r="D2139" s="298" t="s">
        <v>256</v>
      </c>
      <c r="E2139" s="298"/>
      <c r="F2139" s="298" t="s">
        <v>7198</v>
      </c>
      <c r="G2139" s="299" t="b">
        <v>0</v>
      </c>
      <c r="H2139" s="299" t="b">
        <v>0</v>
      </c>
      <c r="J2139" s="113" t="str">
        <f t="shared" si="67"/>
        <v>982587043</v>
      </c>
      <c r="K2139" s="113" t="str">
        <f t="shared" si="68"/>
        <v>CG02222</v>
      </c>
    </row>
    <row r="2140" spans="1:11" x14ac:dyDescent="0.3">
      <c r="A2140" s="298" t="s">
        <v>7199</v>
      </c>
      <c r="B2140" s="298" t="s">
        <v>7200</v>
      </c>
      <c r="C2140" s="298" t="s">
        <v>340</v>
      </c>
      <c r="D2140" s="298" t="s">
        <v>256</v>
      </c>
      <c r="E2140" s="298"/>
      <c r="F2140" s="298" t="s">
        <v>7201</v>
      </c>
      <c r="G2140" s="299" t="b">
        <v>0</v>
      </c>
      <c r="H2140" s="299" t="b">
        <v>0</v>
      </c>
      <c r="J2140" s="113" t="str">
        <f t="shared" si="67"/>
        <v>977400153</v>
      </c>
      <c r="K2140" s="113" t="str">
        <f t="shared" si="68"/>
        <v>CG02223</v>
      </c>
    </row>
    <row r="2141" spans="1:11" x14ac:dyDescent="0.3">
      <c r="A2141" s="298" t="s">
        <v>7202</v>
      </c>
      <c r="B2141" s="298" t="s">
        <v>7203</v>
      </c>
      <c r="C2141" s="298" t="s">
        <v>349</v>
      </c>
      <c r="D2141" s="298" t="s">
        <v>256</v>
      </c>
      <c r="E2141" s="298"/>
      <c r="F2141" s="298" t="s">
        <v>7204</v>
      </c>
      <c r="G2141" s="299" t="b">
        <v>0</v>
      </c>
      <c r="H2141" s="299" t="b">
        <v>0</v>
      </c>
      <c r="J2141" s="113" t="str">
        <f t="shared" si="67"/>
        <v>974722192</v>
      </c>
      <c r="K2141" s="113" t="str">
        <f t="shared" si="68"/>
        <v>CG02224</v>
      </c>
    </row>
    <row r="2142" spans="1:11" x14ac:dyDescent="0.3">
      <c r="A2142" s="298" t="s">
        <v>7205</v>
      </c>
      <c r="B2142" s="298" t="s">
        <v>7206</v>
      </c>
      <c r="C2142" s="298" t="s">
        <v>7207</v>
      </c>
      <c r="D2142" s="298" t="s">
        <v>256</v>
      </c>
      <c r="E2142" s="298"/>
      <c r="F2142" s="298" t="s">
        <v>7208</v>
      </c>
      <c r="G2142" s="299" t="b">
        <v>0</v>
      </c>
      <c r="H2142" s="299" t="b">
        <v>0</v>
      </c>
      <c r="J2142" s="113" t="str">
        <f t="shared" si="67"/>
        <v>975133197</v>
      </c>
      <c r="K2142" s="113" t="str">
        <f t="shared" si="68"/>
        <v>CG02225</v>
      </c>
    </row>
    <row r="2143" spans="1:11" x14ac:dyDescent="0.3">
      <c r="A2143" s="298" t="s">
        <v>7209</v>
      </c>
      <c r="B2143" s="298" t="s">
        <v>7210</v>
      </c>
      <c r="C2143" s="298" t="s">
        <v>2763</v>
      </c>
      <c r="D2143" s="298" t="s">
        <v>256</v>
      </c>
      <c r="E2143" s="298"/>
      <c r="F2143" s="298" t="s">
        <v>7211</v>
      </c>
      <c r="G2143" s="299" t="b">
        <v>0</v>
      </c>
      <c r="H2143" s="299" t="b">
        <v>0</v>
      </c>
      <c r="J2143" s="113" t="str">
        <f t="shared" si="67"/>
        <v>988663591</v>
      </c>
      <c r="K2143" s="113" t="str">
        <f t="shared" si="68"/>
        <v>CG02226</v>
      </c>
    </row>
    <row r="2144" spans="1:11" x14ac:dyDescent="0.3">
      <c r="A2144" s="298" t="s">
        <v>7212</v>
      </c>
      <c r="B2144" s="298" t="s">
        <v>7213</v>
      </c>
      <c r="C2144" s="298" t="s">
        <v>711</v>
      </c>
      <c r="D2144" s="298" t="s">
        <v>256</v>
      </c>
      <c r="E2144" s="298"/>
      <c r="F2144" s="298" t="s">
        <v>7214</v>
      </c>
      <c r="G2144" s="299" t="b">
        <v>0</v>
      </c>
      <c r="H2144" s="299" t="b">
        <v>0</v>
      </c>
      <c r="J2144" s="113" t="str">
        <f t="shared" si="67"/>
        <v>988822993</v>
      </c>
      <c r="K2144" s="113" t="str">
        <f t="shared" si="68"/>
        <v>CG02227</v>
      </c>
    </row>
    <row r="2145" spans="1:11" x14ac:dyDescent="0.3">
      <c r="A2145" s="298" t="s">
        <v>7215</v>
      </c>
      <c r="B2145" s="298" t="s">
        <v>7216</v>
      </c>
      <c r="C2145" s="298" t="s">
        <v>335</v>
      </c>
      <c r="D2145" s="298" t="s">
        <v>256</v>
      </c>
      <c r="E2145" s="298"/>
      <c r="F2145" s="298" t="s">
        <v>7217</v>
      </c>
      <c r="G2145" s="299" t="b">
        <v>0</v>
      </c>
      <c r="H2145" s="299" t="b">
        <v>0</v>
      </c>
      <c r="J2145" s="113" t="str">
        <f t="shared" si="67"/>
        <v>913255559</v>
      </c>
      <c r="K2145" s="113" t="str">
        <f t="shared" si="68"/>
        <v>CG02228</v>
      </c>
    </row>
    <row r="2146" spans="1:11" x14ac:dyDescent="0.3">
      <c r="A2146" s="298" t="s">
        <v>7218</v>
      </c>
      <c r="B2146" s="298" t="s">
        <v>7219</v>
      </c>
      <c r="C2146" s="298" t="s">
        <v>286</v>
      </c>
      <c r="D2146" s="298" t="s">
        <v>256</v>
      </c>
      <c r="E2146" s="298"/>
      <c r="F2146" s="298" t="s">
        <v>7220</v>
      </c>
      <c r="G2146" s="299" t="b">
        <v>0</v>
      </c>
      <c r="H2146" s="299" t="b">
        <v>0</v>
      </c>
      <c r="J2146" s="113" t="str">
        <f t="shared" si="67"/>
        <v>981629298</v>
      </c>
      <c r="K2146" s="113" t="str">
        <f t="shared" si="68"/>
        <v>CG02229</v>
      </c>
    </row>
    <row r="2147" spans="1:11" x14ac:dyDescent="0.3">
      <c r="A2147" s="298" t="s">
        <v>7221</v>
      </c>
      <c r="B2147" s="298" t="s">
        <v>7222</v>
      </c>
      <c r="C2147" s="298" t="s">
        <v>317</v>
      </c>
      <c r="D2147" s="298" t="s">
        <v>256</v>
      </c>
      <c r="E2147" s="298"/>
      <c r="F2147" s="298" t="s">
        <v>7223</v>
      </c>
      <c r="G2147" s="299" t="b">
        <v>0</v>
      </c>
      <c r="H2147" s="299" t="b">
        <v>0</v>
      </c>
      <c r="J2147" s="113" t="str">
        <f t="shared" si="67"/>
        <v>983151315</v>
      </c>
      <c r="K2147" s="113" t="str">
        <f t="shared" si="68"/>
        <v>CG02230</v>
      </c>
    </row>
    <row r="2148" spans="1:11" x14ac:dyDescent="0.3">
      <c r="A2148" s="298" t="s">
        <v>7224</v>
      </c>
      <c r="B2148" s="298" t="s">
        <v>7225</v>
      </c>
      <c r="C2148" s="298" t="s">
        <v>4624</v>
      </c>
      <c r="D2148" s="298" t="s">
        <v>256</v>
      </c>
      <c r="E2148" s="298"/>
      <c r="F2148" s="298" t="s">
        <v>7226</v>
      </c>
      <c r="G2148" s="299" t="b">
        <v>0</v>
      </c>
      <c r="H2148" s="299" t="b">
        <v>0</v>
      </c>
      <c r="J2148" s="113" t="str">
        <f t="shared" si="67"/>
        <v xml:space="preserve">45989661 </v>
      </c>
      <c r="K2148" s="113" t="str">
        <f t="shared" si="68"/>
        <v>CG02231</v>
      </c>
    </row>
    <row r="2149" spans="1:11" x14ac:dyDescent="0.3">
      <c r="A2149" s="298" t="s">
        <v>7227</v>
      </c>
      <c r="B2149" s="298" t="s">
        <v>7228</v>
      </c>
      <c r="C2149" s="298" t="s">
        <v>355</v>
      </c>
      <c r="D2149" s="298" t="s">
        <v>256</v>
      </c>
      <c r="E2149" s="298"/>
      <c r="F2149" s="298" t="s">
        <v>7229</v>
      </c>
      <c r="G2149" s="299" t="b">
        <v>0</v>
      </c>
      <c r="H2149" s="299" t="b">
        <v>0</v>
      </c>
      <c r="J2149" s="113" t="str">
        <f t="shared" si="67"/>
        <v>988263213</v>
      </c>
      <c r="K2149" s="113" t="str">
        <f t="shared" si="68"/>
        <v>CG02232</v>
      </c>
    </row>
    <row r="2150" spans="1:11" x14ac:dyDescent="0.3">
      <c r="A2150" s="298" t="s">
        <v>7230</v>
      </c>
      <c r="B2150" s="298" t="s">
        <v>7231</v>
      </c>
      <c r="C2150" s="298" t="s">
        <v>7232</v>
      </c>
      <c r="D2150" s="298" t="s">
        <v>256</v>
      </c>
      <c r="E2150" s="298"/>
      <c r="F2150" s="298" t="s">
        <v>7233</v>
      </c>
      <c r="G2150" s="299" t="b">
        <v>0</v>
      </c>
      <c r="H2150" s="299" t="b">
        <v>0</v>
      </c>
      <c r="J2150" s="113" t="str">
        <f t="shared" si="67"/>
        <v>986678458</v>
      </c>
      <c r="K2150" s="113" t="str">
        <f t="shared" si="68"/>
        <v>CG02233</v>
      </c>
    </row>
    <row r="2151" spans="1:11" x14ac:dyDescent="0.3">
      <c r="A2151" s="298" t="s">
        <v>7234</v>
      </c>
      <c r="B2151" s="298" t="s">
        <v>7235</v>
      </c>
      <c r="C2151" s="298" t="s">
        <v>1237</v>
      </c>
      <c r="D2151" s="298" t="s">
        <v>256</v>
      </c>
      <c r="E2151" s="298"/>
      <c r="F2151" s="298" t="s">
        <v>7236</v>
      </c>
      <c r="G2151" s="299" t="b">
        <v>0</v>
      </c>
      <c r="H2151" s="299" t="b">
        <v>0</v>
      </c>
      <c r="J2151" s="113" t="str">
        <f t="shared" si="67"/>
        <v>915072034</v>
      </c>
      <c r="K2151" s="113" t="str">
        <f t="shared" si="68"/>
        <v>CG02234</v>
      </c>
    </row>
    <row r="2152" spans="1:11" x14ac:dyDescent="0.3">
      <c r="A2152" s="298" t="s">
        <v>7237</v>
      </c>
      <c r="B2152" s="298" t="s">
        <v>7238</v>
      </c>
      <c r="C2152" s="298" t="s">
        <v>3230</v>
      </c>
      <c r="D2152" s="298" t="s">
        <v>256</v>
      </c>
      <c r="E2152" s="298"/>
      <c r="F2152" s="298" t="s">
        <v>7239</v>
      </c>
      <c r="G2152" s="299" t="b">
        <v>0</v>
      </c>
      <c r="H2152" s="299" t="b">
        <v>0</v>
      </c>
      <c r="J2152" s="113" t="str">
        <f t="shared" si="67"/>
        <v>367060632</v>
      </c>
      <c r="K2152" s="113" t="str">
        <f t="shared" si="68"/>
        <v>CG02235</v>
      </c>
    </row>
    <row r="2153" spans="1:11" x14ac:dyDescent="0.3">
      <c r="A2153" s="298" t="s">
        <v>7240</v>
      </c>
      <c r="B2153" s="298" t="s">
        <v>7241</v>
      </c>
      <c r="C2153" s="298" t="s">
        <v>474</v>
      </c>
      <c r="D2153" s="298" t="s">
        <v>256</v>
      </c>
      <c r="E2153" s="298"/>
      <c r="F2153" s="298" t="s">
        <v>7242</v>
      </c>
      <c r="G2153" s="299" t="b">
        <v>0</v>
      </c>
      <c r="H2153" s="299" t="b">
        <v>0</v>
      </c>
      <c r="J2153" s="113" t="str">
        <f t="shared" si="67"/>
        <v>982427208</v>
      </c>
      <c r="K2153" s="113" t="str">
        <f t="shared" si="68"/>
        <v>CG02236</v>
      </c>
    </row>
    <row r="2154" spans="1:11" x14ac:dyDescent="0.3">
      <c r="A2154" s="298" t="s">
        <v>7243</v>
      </c>
      <c r="B2154" s="298" t="s">
        <v>7244</v>
      </c>
      <c r="C2154" s="298" t="s">
        <v>7245</v>
      </c>
      <c r="D2154" s="298" t="s">
        <v>256</v>
      </c>
      <c r="E2154" s="298"/>
      <c r="F2154" s="298" t="s">
        <v>7246</v>
      </c>
      <c r="G2154" s="299" t="b">
        <v>0</v>
      </c>
      <c r="H2154" s="299" t="b">
        <v>0</v>
      </c>
      <c r="J2154" s="113" t="str">
        <f t="shared" si="67"/>
        <v>913562488</v>
      </c>
      <c r="K2154" s="113" t="str">
        <f t="shared" si="68"/>
        <v>CG02237</v>
      </c>
    </row>
    <row r="2155" spans="1:11" x14ac:dyDescent="0.3">
      <c r="A2155" s="298" t="s">
        <v>7247</v>
      </c>
      <c r="B2155" s="298" t="s">
        <v>7248</v>
      </c>
      <c r="C2155" s="298" t="s">
        <v>1587</v>
      </c>
      <c r="D2155" s="298" t="s">
        <v>256</v>
      </c>
      <c r="E2155" s="298"/>
      <c r="F2155" s="298" t="s">
        <v>7249</v>
      </c>
      <c r="G2155" s="299" t="b">
        <v>0</v>
      </c>
      <c r="H2155" s="299" t="b">
        <v>0</v>
      </c>
      <c r="J2155" s="113" t="str">
        <f t="shared" si="67"/>
        <v>913242558</v>
      </c>
      <c r="K2155" s="113" t="str">
        <f t="shared" si="68"/>
        <v>CG02238</v>
      </c>
    </row>
    <row r="2156" spans="1:11" x14ac:dyDescent="0.3">
      <c r="A2156" s="298" t="s">
        <v>7250</v>
      </c>
      <c r="B2156" s="298" t="s">
        <v>7251</v>
      </c>
      <c r="C2156" s="298" t="s">
        <v>409</v>
      </c>
      <c r="D2156" s="298" t="s">
        <v>256</v>
      </c>
      <c r="E2156" s="298"/>
      <c r="F2156" s="298" t="s">
        <v>7252</v>
      </c>
      <c r="G2156" s="299" t="b">
        <v>0</v>
      </c>
      <c r="H2156" s="299" t="b">
        <v>0</v>
      </c>
      <c r="J2156" s="113" t="str">
        <f t="shared" si="67"/>
        <v>915012695</v>
      </c>
      <c r="K2156" s="113" t="str">
        <f t="shared" si="68"/>
        <v>CG02240</v>
      </c>
    </row>
    <row r="2157" spans="1:11" x14ac:dyDescent="0.3">
      <c r="A2157" s="298" t="s">
        <v>7253</v>
      </c>
      <c r="B2157" s="298" t="s">
        <v>7254</v>
      </c>
      <c r="C2157" s="298" t="s">
        <v>6314</v>
      </c>
      <c r="D2157" s="298" t="s">
        <v>256</v>
      </c>
      <c r="E2157" s="298"/>
      <c r="F2157" s="298" t="s">
        <v>7255</v>
      </c>
      <c r="G2157" s="299" t="b">
        <v>0</v>
      </c>
      <c r="H2157" s="299" t="b">
        <v>0</v>
      </c>
      <c r="J2157" s="113" t="str">
        <f t="shared" si="67"/>
        <v>912367829</v>
      </c>
      <c r="K2157" s="113" t="str">
        <f t="shared" si="68"/>
        <v>CG02241</v>
      </c>
    </row>
    <row r="2158" spans="1:11" x14ac:dyDescent="0.3">
      <c r="A2158" s="298" t="s">
        <v>7256</v>
      </c>
      <c r="B2158" s="298" t="s">
        <v>7257</v>
      </c>
      <c r="C2158" s="298" t="s">
        <v>816</v>
      </c>
      <c r="D2158" s="298" t="s">
        <v>256</v>
      </c>
      <c r="E2158" s="298"/>
      <c r="F2158" s="298" t="s">
        <v>7258</v>
      </c>
      <c r="G2158" s="299" t="b">
        <v>0</v>
      </c>
      <c r="H2158" s="299" t="b">
        <v>0</v>
      </c>
      <c r="J2158" s="113" t="str">
        <f t="shared" si="67"/>
        <v>982915886</v>
      </c>
      <c r="K2158" s="113" t="str">
        <f t="shared" si="68"/>
        <v>CG02242</v>
      </c>
    </row>
    <row r="2159" spans="1:11" x14ac:dyDescent="0.3">
      <c r="A2159" s="298" t="s">
        <v>7259</v>
      </c>
      <c r="B2159" s="298" t="s">
        <v>7260</v>
      </c>
      <c r="C2159" s="298" t="s">
        <v>2650</v>
      </c>
      <c r="D2159" s="298" t="s">
        <v>256</v>
      </c>
      <c r="E2159" s="298"/>
      <c r="F2159" s="298" t="s">
        <v>7261</v>
      </c>
      <c r="G2159" s="299" t="b">
        <v>0</v>
      </c>
      <c r="H2159" s="299" t="b">
        <v>0</v>
      </c>
      <c r="J2159" s="113" t="str">
        <f t="shared" si="67"/>
        <v>973506686</v>
      </c>
      <c r="K2159" s="113" t="str">
        <f t="shared" si="68"/>
        <v>CG02243</v>
      </c>
    </row>
    <row r="2160" spans="1:11" x14ac:dyDescent="0.3">
      <c r="A2160" s="298" t="s">
        <v>7262</v>
      </c>
      <c r="B2160" s="298" t="s">
        <v>7263</v>
      </c>
      <c r="C2160" s="298" t="s">
        <v>355</v>
      </c>
      <c r="D2160" s="298" t="s">
        <v>256</v>
      </c>
      <c r="E2160" s="298"/>
      <c r="F2160" s="298" t="s">
        <v>7264</v>
      </c>
      <c r="G2160" s="299" t="b">
        <v>0</v>
      </c>
      <c r="H2160" s="299" t="b">
        <v>0</v>
      </c>
      <c r="J2160" s="113" t="str">
        <f t="shared" si="67"/>
        <v>989173732</v>
      </c>
      <c r="K2160" s="113" t="str">
        <f t="shared" si="68"/>
        <v>CG02244</v>
      </c>
    </row>
    <row r="2161" spans="1:11" x14ac:dyDescent="0.3">
      <c r="A2161" s="298" t="s">
        <v>7265</v>
      </c>
      <c r="B2161" s="298" t="s">
        <v>7266</v>
      </c>
      <c r="C2161" s="298" t="s">
        <v>317</v>
      </c>
      <c r="D2161" s="298" t="s">
        <v>256</v>
      </c>
      <c r="E2161" s="298"/>
      <c r="F2161" s="298" t="s">
        <v>7267</v>
      </c>
      <c r="G2161" s="299" t="b">
        <v>0</v>
      </c>
      <c r="H2161" s="299" t="b">
        <v>0</v>
      </c>
      <c r="J2161" s="113" t="str">
        <f t="shared" si="67"/>
        <v>989028088</v>
      </c>
      <c r="K2161" s="113" t="str">
        <f t="shared" si="68"/>
        <v>CG02245</v>
      </c>
    </row>
    <row r="2162" spans="1:11" x14ac:dyDescent="0.3">
      <c r="A2162" s="298" t="s">
        <v>7268</v>
      </c>
      <c r="B2162" s="298" t="s">
        <v>7269</v>
      </c>
      <c r="C2162" s="298" t="s">
        <v>718</v>
      </c>
      <c r="D2162" s="298" t="s">
        <v>256</v>
      </c>
      <c r="E2162" s="298"/>
      <c r="F2162" s="298" t="s">
        <v>7270</v>
      </c>
      <c r="G2162" s="299" t="b">
        <v>0</v>
      </c>
      <c r="H2162" s="299" t="b">
        <v>0</v>
      </c>
      <c r="J2162" s="113" t="str">
        <f t="shared" si="67"/>
        <v>934604036</v>
      </c>
      <c r="K2162" s="113" t="str">
        <f t="shared" si="68"/>
        <v>CG02246</v>
      </c>
    </row>
    <row r="2163" spans="1:11" x14ac:dyDescent="0.3">
      <c r="A2163" s="298" t="s">
        <v>7271</v>
      </c>
      <c r="B2163" s="298" t="s">
        <v>14681</v>
      </c>
      <c r="C2163" s="298" t="s">
        <v>286</v>
      </c>
      <c r="D2163" s="298" t="s">
        <v>256</v>
      </c>
      <c r="E2163" s="298"/>
      <c r="F2163" s="298" t="s">
        <v>7272</v>
      </c>
      <c r="G2163" s="299" t="b">
        <v>0</v>
      </c>
      <c r="H2163" s="299" t="b">
        <v>0</v>
      </c>
      <c r="J2163" s="113" t="str">
        <f t="shared" si="67"/>
        <v>915220459</v>
      </c>
      <c r="K2163" s="113" t="str">
        <f t="shared" si="68"/>
        <v>CG02247</v>
      </c>
    </row>
    <row r="2164" spans="1:11" x14ac:dyDescent="0.3">
      <c r="A2164" s="298" t="s">
        <v>7273</v>
      </c>
      <c r="B2164" s="298" t="s">
        <v>7274</v>
      </c>
      <c r="C2164" s="298" t="s">
        <v>3097</v>
      </c>
      <c r="D2164" s="298" t="s">
        <v>256</v>
      </c>
      <c r="E2164" s="298"/>
      <c r="F2164" s="298" t="s">
        <v>7275</v>
      </c>
      <c r="G2164" s="299" t="b">
        <v>0</v>
      </c>
      <c r="H2164" s="299" t="b">
        <v>0</v>
      </c>
      <c r="J2164" s="113" t="str">
        <f t="shared" si="67"/>
        <v>983437832</v>
      </c>
      <c r="K2164" s="113" t="str">
        <f t="shared" si="68"/>
        <v>CG02248</v>
      </c>
    </row>
    <row r="2165" spans="1:11" x14ac:dyDescent="0.3">
      <c r="A2165" s="298" t="s">
        <v>7276</v>
      </c>
      <c r="B2165" s="298" t="s">
        <v>7277</v>
      </c>
      <c r="C2165" s="298" t="s">
        <v>286</v>
      </c>
      <c r="D2165" s="298" t="s">
        <v>256</v>
      </c>
      <c r="E2165" s="298"/>
      <c r="F2165" s="298" t="s">
        <v>7278</v>
      </c>
      <c r="G2165" s="299" t="b">
        <v>0</v>
      </c>
      <c r="H2165" s="299" t="b">
        <v>0</v>
      </c>
      <c r="J2165" s="113" t="str">
        <f t="shared" si="67"/>
        <v>397459616</v>
      </c>
      <c r="K2165" s="113" t="str">
        <f t="shared" si="68"/>
        <v>CG02249</v>
      </c>
    </row>
    <row r="2166" spans="1:11" x14ac:dyDescent="0.3">
      <c r="A2166" s="298" t="s">
        <v>7279</v>
      </c>
      <c r="B2166" s="298" t="s">
        <v>7280</v>
      </c>
      <c r="C2166" s="298" t="s">
        <v>7281</v>
      </c>
      <c r="D2166" s="298" t="s">
        <v>256</v>
      </c>
      <c r="E2166" s="298"/>
      <c r="F2166" s="298" t="s">
        <v>7282</v>
      </c>
      <c r="G2166" s="299" t="b">
        <v>0</v>
      </c>
      <c r="H2166" s="299" t="b">
        <v>0</v>
      </c>
      <c r="J2166" s="113" t="str">
        <f t="shared" si="67"/>
        <v>913249389</v>
      </c>
      <c r="K2166" s="113" t="str">
        <f t="shared" si="68"/>
        <v>CG02250</v>
      </c>
    </row>
    <row r="2167" spans="1:11" x14ac:dyDescent="0.3">
      <c r="A2167" s="298" t="s">
        <v>7283</v>
      </c>
      <c r="B2167" s="298" t="s">
        <v>7284</v>
      </c>
      <c r="C2167" s="298" t="s">
        <v>7285</v>
      </c>
      <c r="D2167" s="298" t="s">
        <v>256</v>
      </c>
      <c r="E2167" s="298"/>
      <c r="F2167" s="298" t="s">
        <v>7286</v>
      </c>
      <c r="G2167" s="299" t="b">
        <v>0</v>
      </c>
      <c r="H2167" s="299" t="b">
        <v>0</v>
      </c>
      <c r="J2167" s="113" t="str">
        <f t="shared" si="67"/>
        <v>986561070</v>
      </c>
      <c r="K2167" s="113" t="str">
        <f t="shared" si="68"/>
        <v>CG02251</v>
      </c>
    </row>
    <row r="2168" spans="1:11" x14ac:dyDescent="0.3">
      <c r="A2168" s="298" t="s">
        <v>7287</v>
      </c>
      <c r="B2168" s="298" t="s">
        <v>7288</v>
      </c>
      <c r="C2168" s="298" t="s">
        <v>809</v>
      </c>
      <c r="D2168" s="298" t="s">
        <v>256</v>
      </c>
      <c r="E2168" s="298"/>
      <c r="F2168" s="298" t="s">
        <v>7289</v>
      </c>
      <c r="G2168" s="299" t="b">
        <v>0</v>
      </c>
      <c r="H2168" s="299" t="b">
        <v>0</v>
      </c>
      <c r="J2168" s="113" t="str">
        <f t="shared" si="67"/>
        <v>946447590</v>
      </c>
      <c r="K2168" s="113" t="str">
        <f t="shared" si="68"/>
        <v>CG02252</v>
      </c>
    </row>
    <row r="2169" spans="1:11" x14ac:dyDescent="0.3">
      <c r="A2169" s="298" t="s">
        <v>7290</v>
      </c>
      <c r="B2169" s="298" t="s">
        <v>7291</v>
      </c>
      <c r="C2169" s="298" t="s">
        <v>230</v>
      </c>
      <c r="D2169" s="298" t="s">
        <v>256</v>
      </c>
      <c r="E2169" s="298"/>
      <c r="F2169" s="298" t="s">
        <v>7292</v>
      </c>
      <c r="G2169" s="299" t="b">
        <v>0</v>
      </c>
      <c r="H2169" s="299" t="b">
        <v>0</v>
      </c>
      <c r="J2169" s="113" t="str">
        <f t="shared" si="67"/>
        <v>963178555</v>
      </c>
      <c r="K2169" s="113" t="str">
        <f t="shared" si="68"/>
        <v>CG02253</v>
      </c>
    </row>
    <row r="2170" spans="1:11" x14ac:dyDescent="0.3">
      <c r="A2170" s="298" t="s">
        <v>7293</v>
      </c>
      <c r="B2170" s="298" t="s">
        <v>7294</v>
      </c>
      <c r="C2170" s="298" t="s">
        <v>1237</v>
      </c>
      <c r="D2170" s="298" t="s">
        <v>256</v>
      </c>
      <c r="E2170" s="298"/>
      <c r="F2170" s="298" t="s">
        <v>7295</v>
      </c>
      <c r="G2170" s="299" t="b">
        <v>0</v>
      </c>
      <c r="H2170" s="299" t="b">
        <v>0</v>
      </c>
      <c r="J2170" s="113" t="str">
        <f t="shared" si="67"/>
        <v>914289887</v>
      </c>
      <c r="K2170" s="113" t="str">
        <f t="shared" si="68"/>
        <v>CG02254</v>
      </c>
    </row>
    <row r="2171" spans="1:11" x14ac:dyDescent="0.3">
      <c r="A2171" s="298" t="s">
        <v>7296</v>
      </c>
      <c r="B2171" s="298" t="s">
        <v>7297</v>
      </c>
      <c r="C2171" s="298" t="s">
        <v>4784</v>
      </c>
      <c r="D2171" s="298" t="s">
        <v>256</v>
      </c>
      <c r="E2171" s="298"/>
      <c r="F2171" s="298" t="s">
        <v>7298</v>
      </c>
      <c r="G2171" s="299" t="b">
        <v>0</v>
      </c>
      <c r="H2171" s="299" t="b">
        <v>0</v>
      </c>
      <c r="J2171" s="113" t="str">
        <f t="shared" si="67"/>
        <v>353537242</v>
      </c>
      <c r="K2171" s="113" t="str">
        <f t="shared" si="68"/>
        <v>CG02255</v>
      </c>
    </row>
    <row r="2172" spans="1:11" x14ac:dyDescent="0.3">
      <c r="A2172" s="298" t="s">
        <v>7299</v>
      </c>
      <c r="B2172" s="298" t="s">
        <v>7300</v>
      </c>
      <c r="C2172" s="298" t="s">
        <v>416</v>
      </c>
      <c r="D2172" s="298" t="s">
        <v>256</v>
      </c>
      <c r="E2172" s="298"/>
      <c r="F2172" s="298" t="s">
        <v>7301</v>
      </c>
      <c r="G2172" s="299" t="b">
        <v>0</v>
      </c>
      <c r="H2172" s="299" t="b">
        <v>0</v>
      </c>
      <c r="J2172" s="113" t="str">
        <f t="shared" si="67"/>
        <v>989616695</v>
      </c>
      <c r="K2172" s="113" t="str">
        <f t="shared" si="68"/>
        <v>CG02256</v>
      </c>
    </row>
    <row r="2173" spans="1:11" x14ac:dyDescent="0.3">
      <c r="A2173" s="298" t="s">
        <v>7302</v>
      </c>
      <c r="B2173" s="298" t="s">
        <v>7303</v>
      </c>
      <c r="C2173" s="298" t="s">
        <v>5858</v>
      </c>
      <c r="D2173" s="298" t="s">
        <v>256</v>
      </c>
      <c r="E2173" s="298"/>
      <c r="F2173" s="298" t="s">
        <v>7304</v>
      </c>
      <c r="G2173" s="299" t="b">
        <v>0</v>
      </c>
      <c r="H2173" s="299" t="b">
        <v>0</v>
      </c>
      <c r="J2173" s="113" t="str">
        <f t="shared" si="67"/>
        <v>343874374</v>
      </c>
      <c r="K2173" s="113" t="str">
        <f t="shared" si="68"/>
        <v>CG02257</v>
      </c>
    </row>
    <row r="2174" spans="1:11" x14ac:dyDescent="0.3">
      <c r="A2174" s="298" t="s">
        <v>7305</v>
      </c>
      <c r="B2174" s="298" t="s">
        <v>7306</v>
      </c>
      <c r="C2174" s="298" t="s">
        <v>230</v>
      </c>
      <c r="D2174" s="298" t="s">
        <v>256</v>
      </c>
      <c r="E2174" s="298"/>
      <c r="F2174" s="298" t="s">
        <v>7307</v>
      </c>
      <c r="G2174" s="299" t="b">
        <v>0</v>
      </c>
      <c r="H2174" s="299" t="b">
        <v>0</v>
      </c>
      <c r="J2174" s="113" t="str">
        <f t="shared" si="67"/>
        <v>916623099</v>
      </c>
      <c r="K2174" s="113" t="str">
        <f t="shared" si="68"/>
        <v>CG02258</v>
      </c>
    </row>
    <row r="2175" spans="1:11" x14ac:dyDescent="0.3">
      <c r="A2175" s="298" t="s">
        <v>7308</v>
      </c>
      <c r="B2175" s="298" t="s">
        <v>7309</v>
      </c>
      <c r="C2175" s="298" t="s">
        <v>286</v>
      </c>
      <c r="D2175" s="298" t="s">
        <v>256</v>
      </c>
      <c r="E2175" s="298"/>
      <c r="F2175" s="298" t="s">
        <v>7310</v>
      </c>
      <c r="G2175" s="299" t="b">
        <v>0</v>
      </c>
      <c r="H2175" s="299" t="b">
        <v>0</v>
      </c>
      <c r="J2175" s="113" t="str">
        <f t="shared" si="67"/>
        <v>977888499</v>
      </c>
      <c r="K2175" s="113" t="str">
        <f t="shared" si="68"/>
        <v>CG02259</v>
      </c>
    </row>
    <row r="2176" spans="1:11" x14ac:dyDescent="0.3">
      <c r="A2176" s="298" t="s">
        <v>7311</v>
      </c>
      <c r="B2176" s="298" t="s">
        <v>7312</v>
      </c>
      <c r="C2176" s="298" t="s">
        <v>4354</v>
      </c>
      <c r="D2176" s="298" t="s">
        <v>256</v>
      </c>
      <c r="E2176" s="298"/>
      <c r="F2176" s="298" t="s">
        <v>7313</v>
      </c>
      <c r="G2176" s="299" t="b">
        <v>0</v>
      </c>
      <c r="H2176" s="299" t="b">
        <v>0</v>
      </c>
      <c r="J2176" s="113" t="str">
        <f t="shared" si="67"/>
        <v>904053269</v>
      </c>
      <c r="K2176" s="113" t="str">
        <f t="shared" si="68"/>
        <v>CG02260</v>
      </c>
    </row>
    <row r="2177" spans="1:11" x14ac:dyDescent="0.3">
      <c r="A2177" s="298" t="s">
        <v>7314</v>
      </c>
      <c r="B2177" s="298" t="s">
        <v>7315</v>
      </c>
      <c r="C2177" s="298" t="s">
        <v>1776</v>
      </c>
      <c r="D2177" s="298" t="s">
        <v>256</v>
      </c>
      <c r="E2177" s="298"/>
      <c r="F2177" s="298" t="s">
        <v>7316</v>
      </c>
      <c r="G2177" s="299" t="b">
        <v>0</v>
      </c>
      <c r="H2177" s="299" t="b">
        <v>0</v>
      </c>
      <c r="J2177" s="113" t="str">
        <f t="shared" si="67"/>
        <v>763445514</v>
      </c>
      <c r="K2177" s="113" t="str">
        <f t="shared" si="68"/>
        <v>CG02261</v>
      </c>
    </row>
    <row r="2178" spans="1:11" x14ac:dyDescent="0.3">
      <c r="A2178" s="298" t="s">
        <v>7317</v>
      </c>
      <c r="B2178" s="298" t="s">
        <v>7318</v>
      </c>
      <c r="C2178" s="298" t="s">
        <v>7319</v>
      </c>
      <c r="D2178" s="298" t="s">
        <v>256</v>
      </c>
      <c r="E2178" s="298"/>
      <c r="F2178" s="298" t="s">
        <v>7320</v>
      </c>
      <c r="G2178" s="299" t="b">
        <v>0</v>
      </c>
      <c r="H2178" s="299" t="b">
        <v>0</v>
      </c>
      <c r="J2178" s="113" t="str">
        <f t="shared" si="67"/>
        <v>971028355</v>
      </c>
      <c r="K2178" s="113" t="str">
        <f t="shared" si="68"/>
        <v>CG02262</v>
      </c>
    </row>
    <row r="2179" spans="1:11" x14ac:dyDescent="0.3">
      <c r="A2179" s="298" t="s">
        <v>7321</v>
      </c>
      <c r="B2179" s="298" t="s">
        <v>7322</v>
      </c>
      <c r="C2179" s="298" t="s">
        <v>409</v>
      </c>
      <c r="D2179" s="298" t="s">
        <v>256</v>
      </c>
      <c r="E2179" s="298"/>
      <c r="F2179" s="298" t="s">
        <v>7323</v>
      </c>
      <c r="G2179" s="299" t="b">
        <v>0</v>
      </c>
      <c r="H2179" s="299" t="b">
        <v>0</v>
      </c>
      <c r="J2179" s="113" t="str">
        <f t="shared" si="67"/>
        <v>986909956</v>
      </c>
      <c r="K2179" s="113" t="str">
        <f t="shared" si="68"/>
        <v>CG02263</v>
      </c>
    </row>
    <row r="2180" spans="1:11" x14ac:dyDescent="0.3">
      <c r="A2180" s="298" t="s">
        <v>7324</v>
      </c>
      <c r="B2180" s="298" t="s">
        <v>7325</v>
      </c>
      <c r="C2180" s="298" t="s">
        <v>390</v>
      </c>
      <c r="D2180" s="298" t="s">
        <v>256</v>
      </c>
      <c r="E2180" s="298"/>
      <c r="F2180" s="298" t="s">
        <v>7326</v>
      </c>
      <c r="G2180" s="299" t="b">
        <v>0</v>
      </c>
      <c r="H2180" s="299" t="b">
        <v>0</v>
      </c>
      <c r="J2180" s="113" t="str">
        <f t="shared" si="67"/>
        <v>977129299</v>
      </c>
      <c r="K2180" s="113" t="str">
        <f t="shared" si="68"/>
        <v>CG02264</v>
      </c>
    </row>
    <row r="2181" spans="1:11" x14ac:dyDescent="0.3">
      <c r="A2181" s="298" t="s">
        <v>7327</v>
      </c>
      <c r="B2181" s="298" t="s">
        <v>7328</v>
      </c>
      <c r="C2181" s="298" t="s">
        <v>355</v>
      </c>
      <c r="D2181" s="298" t="s">
        <v>256</v>
      </c>
      <c r="E2181" s="298"/>
      <c r="F2181" s="298" t="s">
        <v>7329</v>
      </c>
      <c r="G2181" s="299" t="b">
        <v>0</v>
      </c>
      <c r="H2181" s="299" t="b">
        <v>0</v>
      </c>
      <c r="J2181" s="113" t="str">
        <f t="shared" ref="J2181:J2244" si="69">RIGHT(B2181,9)</f>
        <v>974958866</v>
      </c>
      <c r="K2181" s="113" t="str">
        <f t="shared" ref="K2181:K2244" si="70">A2181</f>
        <v>CG02265</v>
      </c>
    </row>
    <row r="2182" spans="1:11" x14ac:dyDescent="0.3">
      <c r="A2182" s="298" t="s">
        <v>7330</v>
      </c>
      <c r="B2182" s="298" t="s">
        <v>7331</v>
      </c>
      <c r="C2182" s="298" t="s">
        <v>1633</v>
      </c>
      <c r="D2182" s="298" t="s">
        <v>256</v>
      </c>
      <c r="E2182" s="298"/>
      <c r="F2182" s="298" t="s">
        <v>7332</v>
      </c>
      <c r="G2182" s="299" t="b">
        <v>0</v>
      </c>
      <c r="H2182" s="299" t="b">
        <v>0</v>
      </c>
      <c r="J2182" s="113" t="str">
        <f t="shared" si="69"/>
        <v>973522175</v>
      </c>
      <c r="K2182" s="113" t="str">
        <f t="shared" si="70"/>
        <v>CG02266</v>
      </c>
    </row>
    <row r="2183" spans="1:11" x14ac:dyDescent="0.3">
      <c r="A2183" s="298" t="s">
        <v>7333</v>
      </c>
      <c r="B2183" s="298" t="s">
        <v>7334</v>
      </c>
      <c r="C2183" s="298" t="s">
        <v>286</v>
      </c>
      <c r="D2183" s="298" t="s">
        <v>256</v>
      </c>
      <c r="E2183" s="298"/>
      <c r="F2183" s="298" t="s">
        <v>7335</v>
      </c>
      <c r="G2183" s="299" t="b">
        <v>0</v>
      </c>
      <c r="H2183" s="299" t="b">
        <v>0</v>
      </c>
      <c r="J2183" s="113" t="str">
        <f t="shared" si="69"/>
        <v>912728738</v>
      </c>
      <c r="K2183" s="113" t="str">
        <f t="shared" si="70"/>
        <v>CG02267</v>
      </c>
    </row>
    <row r="2184" spans="1:11" x14ac:dyDescent="0.3">
      <c r="A2184" s="298" t="s">
        <v>7336</v>
      </c>
      <c r="B2184" s="298" t="s">
        <v>7337</v>
      </c>
      <c r="C2184" s="298" t="s">
        <v>5490</v>
      </c>
      <c r="D2184" s="298" t="s">
        <v>256</v>
      </c>
      <c r="E2184" s="298"/>
      <c r="F2184" s="298" t="s">
        <v>7338</v>
      </c>
      <c r="G2184" s="299" t="b">
        <v>0</v>
      </c>
      <c r="H2184" s="299" t="b">
        <v>0</v>
      </c>
      <c r="J2184" s="113" t="str">
        <f t="shared" si="69"/>
        <v>384161616</v>
      </c>
      <c r="K2184" s="113" t="str">
        <f t="shared" si="70"/>
        <v>CG02268</v>
      </c>
    </row>
    <row r="2185" spans="1:11" x14ac:dyDescent="0.3">
      <c r="A2185" s="298" t="s">
        <v>7339</v>
      </c>
      <c r="B2185" s="298" t="s">
        <v>7340</v>
      </c>
      <c r="C2185" s="298" t="s">
        <v>2531</v>
      </c>
      <c r="D2185" s="298" t="s">
        <v>256</v>
      </c>
      <c r="E2185" s="298"/>
      <c r="F2185" s="298" t="s">
        <v>7341</v>
      </c>
      <c r="G2185" s="299" t="b">
        <v>0</v>
      </c>
      <c r="H2185" s="299" t="b">
        <v>0</v>
      </c>
      <c r="J2185" s="113" t="str">
        <f t="shared" si="69"/>
        <v>353239455</v>
      </c>
      <c r="K2185" s="113" t="str">
        <f t="shared" si="70"/>
        <v>CG02269</v>
      </c>
    </row>
    <row r="2186" spans="1:11" x14ac:dyDescent="0.3">
      <c r="A2186" s="298" t="s">
        <v>7342</v>
      </c>
      <c r="B2186" s="298" t="s">
        <v>7343</v>
      </c>
      <c r="C2186" s="298" t="s">
        <v>541</v>
      </c>
      <c r="D2186" s="298" t="s">
        <v>256</v>
      </c>
      <c r="E2186" s="298"/>
      <c r="F2186" s="298" t="s">
        <v>7344</v>
      </c>
      <c r="G2186" s="299" t="b">
        <v>0</v>
      </c>
      <c r="H2186" s="299" t="b">
        <v>0</v>
      </c>
      <c r="J2186" s="113" t="str">
        <f t="shared" si="69"/>
        <v>915120074</v>
      </c>
      <c r="K2186" s="113" t="str">
        <f t="shared" si="70"/>
        <v>CG02270</v>
      </c>
    </row>
    <row r="2187" spans="1:11" x14ac:dyDescent="0.3">
      <c r="A2187" s="298" t="s">
        <v>7345</v>
      </c>
      <c r="B2187" s="298" t="s">
        <v>7346</v>
      </c>
      <c r="C2187" s="298" t="s">
        <v>432</v>
      </c>
      <c r="D2187" s="298" t="s">
        <v>256</v>
      </c>
      <c r="E2187" s="298"/>
      <c r="F2187" s="298" t="s">
        <v>7347</v>
      </c>
      <c r="G2187" s="299" t="b">
        <v>0</v>
      </c>
      <c r="H2187" s="299" t="b">
        <v>0</v>
      </c>
      <c r="J2187" s="113" t="str">
        <f t="shared" si="69"/>
        <v>975351985</v>
      </c>
      <c r="K2187" s="113" t="str">
        <f t="shared" si="70"/>
        <v>CG02271</v>
      </c>
    </row>
    <row r="2188" spans="1:11" x14ac:dyDescent="0.3">
      <c r="A2188" s="298" t="s">
        <v>7348</v>
      </c>
      <c r="B2188" s="298" t="s">
        <v>7349</v>
      </c>
      <c r="C2188" s="298" t="s">
        <v>5738</v>
      </c>
      <c r="D2188" s="298" t="s">
        <v>256</v>
      </c>
      <c r="E2188" s="298"/>
      <c r="F2188" s="298" t="s">
        <v>7350</v>
      </c>
      <c r="G2188" s="299" t="b">
        <v>0</v>
      </c>
      <c r="H2188" s="299" t="b">
        <v>0</v>
      </c>
      <c r="J2188" s="113" t="str">
        <f t="shared" si="69"/>
        <v>912390533</v>
      </c>
      <c r="K2188" s="113" t="str">
        <f t="shared" si="70"/>
        <v>CG02272</v>
      </c>
    </row>
    <row r="2189" spans="1:11" x14ac:dyDescent="0.3">
      <c r="A2189" s="298" t="s">
        <v>7351</v>
      </c>
      <c r="B2189" s="298" t="s">
        <v>7352</v>
      </c>
      <c r="C2189" s="298" t="s">
        <v>317</v>
      </c>
      <c r="D2189" s="298" t="s">
        <v>256</v>
      </c>
      <c r="E2189" s="298"/>
      <c r="F2189" s="298" t="s">
        <v>7353</v>
      </c>
      <c r="G2189" s="299" t="b">
        <v>0</v>
      </c>
      <c r="H2189" s="299" t="b">
        <v>0</v>
      </c>
      <c r="J2189" s="113" t="str">
        <f t="shared" si="69"/>
        <v>978023023</v>
      </c>
      <c r="K2189" s="113" t="str">
        <f t="shared" si="70"/>
        <v>CG02273</v>
      </c>
    </row>
    <row r="2190" spans="1:11" x14ac:dyDescent="0.3">
      <c r="A2190" s="298" t="s">
        <v>7354</v>
      </c>
      <c r="B2190" s="298" t="s">
        <v>7355</v>
      </c>
      <c r="C2190" s="298" t="s">
        <v>711</v>
      </c>
      <c r="D2190" s="298" t="s">
        <v>256</v>
      </c>
      <c r="E2190" s="298"/>
      <c r="F2190" s="298" t="s">
        <v>7356</v>
      </c>
      <c r="G2190" s="299" t="b">
        <v>0</v>
      </c>
      <c r="H2190" s="299" t="b">
        <v>0</v>
      </c>
      <c r="J2190" s="113" t="str">
        <f t="shared" si="69"/>
        <v>989999689</v>
      </c>
      <c r="K2190" s="113" t="str">
        <f t="shared" si="70"/>
        <v>CG02274</v>
      </c>
    </row>
    <row r="2191" spans="1:11" x14ac:dyDescent="0.3">
      <c r="A2191" s="298" t="s">
        <v>7357</v>
      </c>
      <c r="B2191" s="298" t="s">
        <v>7358</v>
      </c>
      <c r="C2191" s="298" t="s">
        <v>286</v>
      </c>
      <c r="D2191" s="298" t="s">
        <v>256</v>
      </c>
      <c r="E2191" s="298"/>
      <c r="F2191" s="298" t="s">
        <v>7359</v>
      </c>
      <c r="G2191" s="299" t="b">
        <v>0</v>
      </c>
      <c r="H2191" s="299" t="b">
        <v>0</v>
      </c>
      <c r="J2191" s="113" t="str">
        <f t="shared" si="69"/>
        <v>346414838</v>
      </c>
      <c r="K2191" s="113" t="str">
        <f t="shared" si="70"/>
        <v>CG02275</v>
      </c>
    </row>
    <row r="2192" spans="1:11" x14ac:dyDescent="0.3">
      <c r="A2192" s="298" t="s">
        <v>7360</v>
      </c>
      <c r="B2192" s="298" t="s">
        <v>7361</v>
      </c>
      <c r="C2192" s="298" t="s">
        <v>2186</v>
      </c>
      <c r="D2192" s="298" t="s">
        <v>256</v>
      </c>
      <c r="E2192" s="298"/>
      <c r="F2192" s="298" t="s">
        <v>7362</v>
      </c>
      <c r="G2192" s="299" t="b">
        <v>0</v>
      </c>
      <c r="H2192" s="299" t="b">
        <v>0</v>
      </c>
      <c r="J2192" s="113" t="str">
        <f t="shared" si="69"/>
        <v>978795818</v>
      </c>
      <c r="K2192" s="113" t="str">
        <f t="shared" si="70"/>
        <v>CG02276</v>
      </c>
    </row>
    <row r="2193" spans="1:11" x14ac:dyDescent="0.3">
      <c r="A2193" s="298" t="s">
        <v>7363</v>
      </c>
      <c r="B2193" s="298" t="s">
        <v>7364</v>
      </c>
      <c r="C2193" s="298" t="s">
        <v>289</v>
      </c>
      <c r="D2193" s="298" t="s">
        <v>256</v>
      </c>
      <c r="E2193" s="298"/>
      <c r="F2193" s="298" t="s">
        <v>7365</v>
      </c>
      <c r="G2193" s="299" t="b">
        <v>0</v>
      </c>
      <c r="H2193" s="299" t="b">
        <v>0</v>
      </c>
      <c r="J2193" s="113" t="str">
        <f t="shared" si="69"/>
        <v>947806997</v>
      </c>
      <c r="K2193" s="113" t="str">
        <f t="shared" si="70"/>
        <v>CG02277</v>
      </c>
    </row>
    <row r="2194" spans="1:11" x14ac:dyDescent="0.3">
      <c r="A2194" s="298" t="s">
        <v>7366</v>
      </c>
      <c r="B2194" s="298" t="s">
        <v>7367</v>
      </c>
      <c r="C2194" s="298" t="s">
        <v>541</v>
      </c>
      <c r="D2194" s="298" t="s">
        <v>256</v>
      </c>
      <c r="E2194" s="298"/>
      <c r="F2194" s="298" t="s">
        <v>7368</v>
      </c>
      <c r="G2194" s="299" t="b">
        <v>0</v>
      </c>
      <c r="H2194" s="299" t="b">
        <v>0</v>
      </c>
      <c r="J2194" s="113" t="str">
        <f t="shared" si="69"/>
        <v>977447215</v>
      </c>
      <c r="K2194" s="113" t="str">
        <f t="shared" si="70"/>
        <v>CG02278</v>
      </c>
    </row>
    <row r="2195" spans="1:11" x14ac:dyDescent="0.3">
      <c r="A2195" s="298" t="s">
        <v>7369</v>
      </c>
      <c r="B2195" s="298" t="s">
        <v>7370</v>
      </c>
      <c r="C2195" s="298" t="s">
        <v>7371</v>
      </c>
      <c r="D2195" s="298" t="s">
        <v>256</v>
      </c>
      <c r="E2195" s="298"/>
      <c r="F2195" s="298" t="s">
        <v>7372</v>
      </c>
      <c r="G2195" s="299" t="b">
        <v>0</v>
      </c>
      <c r="H2195" s="299" t="b">
        <v>0</v>
      </c>
      <c r="J2195" s="113" t="str">
        <f t="shared" si="69"/>
        <v>988144680</v>
      </c>
      <c r="K2195" s="113" t="str">
        <f t="shared" si="70"/>
        <v>CG02279</v>
      </c>
    </row>
    <row r="2196" spans="1:11" x14ac:dyDescent="0.3">
      <c r="A2196" s="298" t="s">
        <v>7373</v>
      </c>
      <c r="B2196" s="298" t="s">
        <v>7374</v>
      </c>
      <c r="C2196" s="298" t="s">
        <v>289</v>
      </c>
      <c r="D2196" s="298" t="s">
        <v>256</v>
      </c>
      <c r="E2196" s="298"/>
      <c r="F2196" s="298" t="s">
        <v>7375</v>
      </c>
      <c r="G2196" s="299" t="b">
        <v>0</v>
      </c>
      <c r="H2196" s="299" t="b">
        <v>0</v>
      </c>
      <c r="J2196" s="113" t="str">
        <f t="shared" si="69"/>
        <v>942038689</v>
      </c>
      <c r="K2196" s="113" t="str">
        <f t="shared" si="70"/>
        <v>CG02280</v>
      </c>
    </row>
    <row r="2197" spans="1:11" x14ac:dyDescent="0.3">
      <c r="A2197" s="298" t="s">
        <v>7376</v>
      </c>
      <c r="B2197" s="298" t="s">
        <v>7377</v>
      </c>
      <c r="C2197" s="298" t="s">
        <v>495</v>
      </c>
      <c r="D2197" s="298" t="s">
        <v>256</v>
      </c>
      <c r="E2197" s="298"/>
      <c r="F2197" s="298" t="s">
        <v>7378</v>
      </c>
      <c r="G2197" s="299" t="b">
        <v>0</v>
      </c>
      <c r="H2197" s="299" t="b">
        <v>0</v>
      </c>
      <c r="J2197" s="113" t="str">
        <f t="shared" si="69"/>
        <v>972107158</v>
      </c>
      <c r="K2197" s="113" t="str">
        <f t="shared" si="70"/>
        <v>CG02281</v>
      </c>
    </row>
    <row r="2198" spans="1:11" x14ac:dyDescent="0.3">
      <c r="A2198" s="298" t="s">
        <v>7379</v>
      </c>
      <c r="B2198" s="298" t="s">
        <v>7380</v>
      </c>
      <c r="C2198" s="298" t="s">
        <v>1335</v>
      </c>
      <c r="D2198" s="298" t="s">
        <v>256</v>
      </c>
      <c r="E2198" s="298"/>
      <c r="F2198" s="298" t="s">
        <v>7381</v>
      </c>
      <c r="G2198" s="299" t="b">
        <v>0</v>
      </c>
      <c r="H2198" s="299" t="b">
        <v>0</v>
      </c>
      <c r="J2198" s="113" t="str">
        <f t="shared" si="69"/>
        <v>915137717</v>
      </c>
      <c r="K2198" s="113" t="str">
        <f t="shared" si="70"/>
        <v>CG02282</v>
      </c>
    </row>
    <row r="2199" spans="1:11" x14ac:dyDescent="0.3">
      <c r="A2199" s="298" t="s">
        <v>7382</v>
      </c>
      <c r="B2199" s="298" t="s">
        <v>7383</v>
      </c>
      <c r="C2199" s="298" t="s">
        <v>335</v>
      </c>
      <c r="D2199" s="298" t="s">
        <v>256</v>
      </c>
      <c r="E2199" s="298"/>
      <c r="F2199" s="298" t="s">
        <v>7384</v>
      </c>
      <c r="G2199" s="299" t="b">
        <v>0</v>
      </c>
      <c r="H2199" s="299" t="b">
        <v>0</v>
      </c>
      <c r="J2199" s="113" t="str">
        <f t="shared" si="69"/>
        <v>913237219</v>
      </c>
      <c r="K2199" s="113" t="str">
        <f t="shared" si="70"/>
        <v>CG02283</v>
      </c>
    </row>
    <row r="2200" spans="1:11" x14ac:dyDescent="0.3">
      <c r="A2200" s="298" t="s">
        <v>7385</v>
      </c>
      <c r="B2200" s="298" t="s">
        <v>7386</v>
      </c>
      <c r="C2200" s="298" t="s">
        <v>593</v>
      </c>
      <c r="D2200" s="298" t="s">
        <v>256</v>
      </c>
      <c r="E2200" s="298"/>
      <c r="F2200" s="298" t="s">
        <v>7387</v>
      </c>
      <c r="G2200" s="299" t="b">
        <v>0</v>
      </c>
      <c r="H2200" s="299" t="b">
        <v>0</v>
      </c>
      <c r="J2200" s="113" t="str">
        <f t="shared" si="69"/>
        <v>378604102</v>
      </c>
      <c r="K2200" s="113" t="str">
        <f t="shared" si="70"/>
        <v>CG02284</v>
      </c>
    </row>
    <row r="2201" spans="1:11" x14ac:dyDescent="0.3">
      <c r="A2201" s="298" t="s">
        <v>7388</v>
      </c>
      <c r="B2201" s="298" t="s">
        <v>7389</v>
      </c>
      <c r="C2201" s="298" t="s">
        <v>877</v>
      </c>
      <c r="D2201" s="298" t="s">
        <v>256</v>
      </c>
      <c r="E2201" s="298"/>
      <c r="F2201" s="298" t="s">
        <v>7390</v>
      </c>
      <c r="G2201" s="299" t="b">
        <v>0</v>
      </c>
      <c r="H2201" s="299" t="b">
        <v>0</v>
      </c>
      <c r="J2201" s="113" t="str">
        <f t="shared" si="69"/>
        <v>946529995</v>
      </c>
      <c r="K2201" s="113" t="str">
        <f t="shared" si="70"/>
        <v>CG02285</v>
      </c>
    </row>
    <row r="2202" spans="1:11" x14ac:dyDescent="0.3">
      <c r="A2202" s="298" t="s">
        <v>7391</v>
      </c>
      <c r="B2202" s="298" t="s">
        <v>7392</v>
      </c>
      <c r="C2202" s="298" t="s">
        <v>711</v>
      </c>
      <c r="D2202" s="298" t="s">
        <v>256</v>
      </c>
      <c r="E2202" s="298"/>
      <c r="F2202" s="298" t="s">
        <v>7393</v>
      </c>
      <c r="G2202" s="299" t="b">
        <v>0</v>
      </c>
      <c r="H2202" s="299" t="b">
        <v>0</v>
      </c>
      <c r="J2202" s="113" t="str">
        <f t="shared" si="69"/>
        <v>968829128</v>
      </c>
      <c r="K2202" s="113" t="str">
        <f t="shared" si="70"/>
        <v>CG02286</v>
      </c>
    </row>
    <row r="2203" spans="1:11" x14ac:dyDescent="0.3">
      <c r="A2203" s="298" t="s">
        <v>7394</v>
      </c>
      <c r="B2203" s="298" t="s">
        <v>7395</v>
      </c>
      <c r="C2203" s="298" t="s">
        <v>7396</v>
      </c>
      <c r="D2203" s="298" t="s">
        <v>256</v>
      </c>
      <c r="E2203" s="298"/>
      <c r="F2203" s="298" t="s">
        <v>7397</v>
      </c>
      <c r="G2203" s="299" t="b">
        <v>0</v>
      </c>
      <c r="H2203" s="299" t="b">
        <v>0</v>
      </c>
      <c r="J2203" s="113" t="str">
        <f t="shared" si="69"/>
        <v>975141389</v>
      </c>
      <c r="K2203" s="113" t="str">
        <f t="shared" si="70"/>
        <v>CG02287</v>
      </c>
    </row>
    <row r="2204" spans="1:11" x14ac:dyDescent="0.3">
      <c r="A2204" s="298" t="s">
        <v>7398</v>
      </c>
      <c r="B2204" s="298" t="s">
        <v>7399</v>
      </c>
      <c r="C2204" s="298" t="s">
        <v>7400</v>
      </c>
      <c r="D2204" s="298" t="s">
        <v>256</v>
      </c>
      <c r="E2204" s="298"/>
      <c r="F2204" s="298" t="s">
        <v>7401</v>
      </c>
      <c r="G2204" s="299" t="b">
        <v>0</v>
      </c>
      <c r="H2204" s="299" t="b">
        <v>0</v>
      </c>
      <c r="J2204" s="113" t="str">
        <f t="shared" si="69"/>
        <v>901740666</v>
      </c>
      <c r="K2204" s="113" t="str">
        <f t="shared" si="70"/>
        <v>CG02288</v>
      </c>
    </row>
    <row r="2205" spans="1:11" x14ac:dyDescent="0.3">
      <c r="A2205" s="298" t="s">
        <v>7402</v>
      </c>
      <c r="B2205" s="298" t="s">
        <v>7403</v>
      </c>
      <c r="C2205" s="298" t="s">
        <v>5738</v>
      </c>
      <c r="D2205" s="298" t="s">
        <v>256</v>
      </c>
      <c r="E2205" s="298"/>
      <c r="F2205" s="298" t="s">
        <v>7404</v>
      </c>
      <c r="G2205" s="299" t="b">
        <v>0</v>
      </c>
      <c r="H2205" s="299" t="b">
        <v>0</v>
      </c>
      <c r="J2205" s="113" t="str">
        <f t="shared" si="69"/>
        <v>914590059</v>
      </c>
      <c r="K2205" s="113" t="str">
        <f t="shared" si="70"/>
        <v>CG02289</v>
      </c>
    </row>
    <row r="2206" spans="1:11" x14ac:dyDescent="0.3">
      <c r="A2206" s="298" t="s">
        <v>7405</v>
      </c>
      <c r="B2206" s="298" t="s">
        <v>7406</v>
      </c>
      <c r="C2206" s="298" t="s">
        <v>335</v>
      </c>
      <c r="D2206" s="298" t="s">
        <v>256</v>
      </c>
      <c r="E2206" s="298"/>
      <c r="F2206" s="298" t="s">
        <v>7407</v>
      </c>
      <c r="G2206" s="299" t="b">
        <v>0</v>
      </c>
      <c r="H2206" s="299" t="b">
        <v>0</v>
      </c>
      <c r="J2206" s="113" t="str">
        <f t="shared" si="69"/>
        <v>943834388</v>
      </c>
      <c r="K2206" s="113" t="str">
        <f t="shared" si="70"/>
        <v>CG02290</v>
      </c>
    </row>
    <row r="2207" spans="1:11" x14ac:dyDescent="0.3">
      <c r="A2207" s="298" t="s">
        <v>7408</v>
      </c>
      <c r="B2207" s="298" t="s">
        <v>7409</v>
      </c>
      <c r="C2207" s="298" t="s">
        <v>335</v>
      </c>
      <c r="D2207" s="298" t="s">
        <v>256</v>
      </c>
      <c r="E2207" s="298"/>
      <c r="F2207" s="298" t="s">
        <v>7410</v>
      </c>
      <c r="G2207" s="299" t="b">
        <v>0</v>
      </c>
      <c r="H2207" s="299" t="b">
        <v>0</v>
      </c>
      <c r="J2207" s="113" t="str">
        <f t="shared" si="69"/>
        <v>904304519</v>
      </c>
      <c r="K2207" s="113" t="str">
        <f t="shared" si="70"/>
        <v>CG02291</v>
      </c>
    </row>
    <row r="2208" spans="1:11" x14ac:dyDescent="0.3">
      <c r="A2208" s="298" t="s">
        <v>7411</v>
      </c>
      <c r="B2208" s="298" t="s">
        <v>7412</v>
      </c>
      <c r="C2208" s="298" t="s">
        <v>2426</v>
      </c>
      <c r="D2208" s="298" t="s">
        <v>256</v>
      </c>
      <c r="E2208" s="298"/>
      <c r="F2208" s="298" t="s">
        <v>7413</v>
      </c>
      <c r="G2208" s="299" t="b">
        <v>0</v>
      </c>
      <c r="H2208" s="299" t="b">
        <v>0</v>
      </c>
      <c r="J2208" s="113" t="str">
        <f t="shared" si="69"/>
        <v>915027100</v>
      </c>
      <c r="K2208" s="113" t="str">
        <f t="shared" si="70"/>
        <v>CG02292</v>
      </c>
    </row>
    <row r="2209" spans="1:11" x14ac:dyDescent="0.3">
      <c r="A2209" s="298" t="s">
        <v>7414</v>
      </c>
      <c r="B2209" s="298" t="s">
        <v>7415</v>
      </c>
      <c r="C2209" s="298" t="s">
        <v>286</v>
      </c>
      <c r="D2209" s="298" t="s">
        <v>256</v>
      </c>
      <c r="E2209" s="298"/>
      <c r="F2209" s="298" t="s">
        <v>7416</v>
      </c>
      <c r="G2209" s="299" t="b">
        <v>0</v>
      </c>
      <c r="H2209" s="299" t="b">
        <v>0</v>
      </c>
      <c r="J2209" s="113" t="str">
        <f t="shared" si="69"/>
        <v>969796999</v>
      </c>
      <c r="K2209" s="113" t="str">
        <f t="shared" si="70"/>
        <v>CG02293</v>
      </c>
    </row>
    <row r="2210" spans="1:11" x14ac:dyDescent="0.3">
      <c r="A2210" s="298" t="s">
        <v>7417</v>
      </c>
      <c r="B2210" s="298" t="s">
        <v>7418</v>
      </c>
      <c r="C2210" s="298" t="s">
        <v>416</v>
      </c>
      <c r="D2210" s="298" t="s">
        <v>256</v>
      </c>
      <c r="E2210" s="298"/>
      <c r="F2210" s="298" t="s">
        <v>7419</v>
      </c>
      <c r="G2210" s="299" t="b">
        <v>0</v>
      </c>
      <c r="H2210" s="299" t="b">
        <v>0</v>
      </c>
      <c r="J2210" s="113" t="str">
        <f t="shared" si="69"/>
        <v>906018879</v>
      </c>
      <c r="K2210" s="113" t="str">
        <f t="shared" si="70"/>
        <v>CG02294</v>
      </c>
    </row>
    <row r="2211" spans="1:11" x14ac:dyDescent="0.3">
      <c r="A2211" s="298" t="s">
        <v>7420</v>
      </c>
      <c r="B2211" s="298" t="s">
        <v>7421</v>
      </c>
      <c r="C2211" s="298" t="s">
        <v>1587</v>
      </c>
      <c r="D2211" s="298" t="s">
        <v>256</v>
      </c>
      <c r="E2211" s="298"/>
      <c r="F2211" s="298" t="s">
        <v>7422</v>
      </c>
      <c r="G2211" s="299" t="b">
        <v>0</v>
      </c>
      <c r="H2211" s="299" t="b">
        <v>0</v>
      </c>
      <c r="J2211" s="113" t="str">
        <f t="shared" si="69"/>
        <v>912937724</v>
      </c>
      <c r="K2211" s="113" t="str">
        <f t="shared" si="70"/>
        <v>CG02295</v>
      </c>
    </row>
    <row r="2212" spans="1:11" x14ac:dyDescent="0.3">
      <c r="A2212" s="298" t="s">
        <v>7423</v>
      </c>
      <c r="B2212" s="298" t="s">
        <v>7424</v>
      </c>
      <c r="C2212" s="298" t="s">
        <v>317</v>
      </c>
      <c r="D2212" s="298" t="s">
        <v>256</v>
      </c>
      <c r="E2212" s="298"/>
      <c r="F2212" s="298" t="s">
        <v>7425</v>
      </c>
      <c r="G2212" s="299" t="b">
        <v>0</v>
      </c>
      <c r="H2212" s="299" t="b">
        <v>0</v>
      </c>
      <c r="J2212" s="113" t="str">
        <f t="shared" si="69"/>
        <v>979132134</v>
      </c>
      <c r="K2212" s="113" t="str">
        <f t="shared" si="70"/>
        <v>CG02296</v>
      </c>
    </row>
    <row r="2213" spans="1:11" x14ac:dyDescent="0.3">
      <c r="A2213" s="298" t="s">
        <v>7426</v>
      </c>
      <c r="B2213" s="298" t="s">
        <v>7427</v>
      </c>
      <c r="C2213" s="298" t="s">
        <v>1734</v>
      </c>
      <c r="D2213" s="298" t="s">
        <v>256</v>
      </c>
      <c r="E2213" s="298"/>
      <c r="F2213" s="298" t="s">
        <v>7428</v>
      </c>
      <c r="G2213" s="299" t="b">
        <v>0</v>
      </c>
      <c r="H2213" s="299" t="b">
        <v>0</v>
      </c>
      <c r="J2213" s="113" t="str">
        <f t="shared" si="69"/>
        <v>984666441</v>
      </c>
      <c r="K2213" s="113" t="str">
        <f t="shared" si="70"/>
        <v>CG02297</v>
      </c>
    </row>
    <row r="2214" spans="1:11" x14ac:dyDescent="0.3">
      <c r="A2214" s="298" t="s">
        <v>7429</v>
      </c>
      <c r="B2214" s="298" t="s">
        <v>7430</v>
      </c>
      <c r="C2214" s="298" t="s">
        <v>884</v>
      </c>
      <c r="D2214" s="298" t="s">
        <v>256</v>
      </c>
      <c r="E2214" s="298"/>
      <c r="F2214" s="298" t="s">
        <v>7431</v>
      </c>
      <c r="G2214" s="299" t="b">
        <v>0</v>
      </c>
      <c r="H2214" s="299" t="b">
        <v>0</v>
      </c>
      <c r="J2214" s="113" t="str">
        <f t="shared" si="69"/>
        <v>936215720</v>
      </c>
      <c r="K2214" s="113" t="str">
        <f t="shared" si="70"/>
        <v>CG02298</v>
      </c>
    </row>
    <row r="2215" spans="1:11" x14ac:dyDescent="0.3">
      <c r="A2215" s="298" t="s">
        <v>7432</v>
      </c>
      <c r="B2215" s="298" t="s">
        <v>7433</v>
      </c>
      <c r="C2215" s="298" t="s">
        <v>5887</v>
      </c>
      <c r="D2215" s="298" t="s">
        <v>256</v>
      </c>
      <c r="E2215" s="298" t="s">
        <v>7434</v>
      </c>
      <c r="F2215" s="298" t="s">
        <v>7435</v>
      </c>
      <c r="G2215" s="299" t="b">
        <v>0</v>
      </c>
      <c r="H2215" s="299" t="b">
        <v>0</v>
      </c>
      <c r="J2215" s="113" t="str">
        <f t="shared" si="69"/>
        <v>973662698</v>
      </c>
      <c r="K2215" s="113" t="str">
        <f t="shared" si="70"/>
        <v>CG02299</v>
      </c>
    </row>
    <row r="2216" spans="1:11" x14ac:dyDescent="0.3">
      <c r="A2216" s="298" t="s">
        <v>7436</v>
      </c>
      <c r="B2216" s="298" t="s">
        <v>7437</v>
      </c>
      <c r="C2216" s="298" t="s">
        <v>7438</v>
      </c>
      <c r="D2216" s="298" t="s">
        <v>256</v>
      </c>
      <c r="E2216" s="298"/>
      <c r="F2216" s="298" t="s">
        <v>7439</v>
      </c>
      <c r="G2216" s="299" t="b">
        <v>0</v>
      </c>
      <c r="H2216" s="299" t="b">
        <v>0</v>
      </c>
      <c r="J2216" s="113" t="str">
        <f t="shared" si="69"/>
        <v>973717519</v>
      </c>
      <c r="K2216" s="113" t="str">
        <f t="shared" si="70"/>
        <v>CG02300</v>
      </c>
    </row>
    <row r="2217" spans="1:11" x14ac:dyDescent="0.3">
      <c r="A2217" s="298" t="s">
        <v>7440</v>
      </c>
      <c r="B2217" s="298" t="s">
        <v>7441</v>
      </c>
      <c r="C2217" s="298" t="s">
        <v>230</v>
      </c>
      <c r="D2217" s="298" t="s">
        <v>256</v>
      </c>
      <c r="E2217" s="298"/>
      <c r="F2217" s="298" t="s">
        <v>7442</v>
      </c>
      <c r="G2217" s="299" t="b">
        <v>0</v>
      </c>
      <c r="H2217" s="299" t="b">
        <v>0</v>
      </c>
      <c r="J2217" s="113" t="str">
        <f t="shared" si="69"/>
        <v>977728596</v>
      </c>
      <c r="K2217" s="113" t="str">
        <f t="shared" si="70"/>
        <v>CG02301</v>
      </c>
    </row>
    <row r="2218" spans="1:11" x14ac:dyDescent="0.3">
      <c r="A2218" s="298" t="s">
        <v>7443</v>
      </c>
      <c r="B2218" s="298" t="s">
        <v>7444</v>
      </c>
      <c r="C2218" s="298" t="s">
        <v>541</v>
      </c>
      <c r="D2218" s="298" t="s">
        <v>256</v>
      </c>
      <c r="E2218" s="298"/>
      <c r="F2218" s="298" t="s">
        <v>7445</v>
      </c>
      <c r="G2218" s="299" t="b">
        <v>0</v>
      </c>
      <c r="H2218" s="299" t="b">
        <v>0</v>
      </c>
      <c r="J2218" s="113" t="str">
        <f t="shared" si="69"/>
        <v>975934136</v>
      </c>
      <c r="K2218" s="113" t="str">
        <f t="shared" si="70"/>
        <v>CG02302</v>
      </c>
    </row>
    <row r="2219" spans="1:11" x14ac:dyDescent="0.3">
      <c r="A2219" s="298" t="s">
        <v>7446</v>
      </c>
      <c r="B2219" s="298" t="s">
        <v>7447</v>
      </c>
      <c r="C2219" s="298" t="s">
        <v>289</v>
      </c>
      <c r="D2219" s="298" t="s">
        <v>256</v>
      </c>
      <c r="E2219" s="298"/>
      <c r="F2219" s="298" t="s">
        <v>7448</v>
      </c>
      <c r="G2219" s="299" t="b">
        <v>0</v>
      </c>
      <c r="H2219" s="299" t="b">
        <v>0</v>
      </c>
      <c r="J2219" s="113" t="str">
        <f t="shared" si="69"/>
        <v>913489833</v>
      </c>
      <c r="K2219" s="113" t="str">
        <f t="shared" si="70"/>
        <v>CG02303</v>
      </c>
    </row>
    <row r="2220" spans="1:11" x14ac:dyDescent="0.3">
      <c r="A2220" s="298" t="s">
        <v>7449</v>
      </c>
      <c r="B2220" s="298" t="s">
        <v>7450</v>
      </c>
      <c r="C2220" s="298" t="s">
        <v>463</v>
      </c>
      <c r="D2220" s="298" t="s">
        <v>256</v>
      </c>
      <c r="E2220" s="298"/>
      <c r="F2220" s="298" t="s">
        <v>7451</v>
      </c>
      <c r="G2220" s="299" t="b">
        <v>0</v>
      </c>
      <c r="H2220" s="299" t="b">
        <v>0</v>
      </c>
      <c r="J2220" s="113" t="str">
        <f t="shared" si="69"/>
        <v>915820642</v>
      </c>
      <c r="K2220" s="113" t="str">
        <f t="shared" si="70"/>
        <v>CG02304</v>
      </c>
    </row>
    <row r="2221" spans="1:11" x14ac:dyDescent="0.3">
      <c r="A2221" s="298" t="s">
        <v>7452</v>
      </c>
      <c r="B2221" s="298" t="s">
        <v>7453</v>
      </c>
      <c r="C2221" s="298" t="s">
        <v>355</v>
      </c>
      <c r="D2221" s="298" t="s">
        <v>256</v>
      </c>
      <c r="E2221" s="298"/>
      <c r="F2221" s="298" t="s">
        <v>7454</v>
      </c>
      <c r="G2221" s="299" t="b">
        <v>0</v>
      </c>
      <c r="H2221" s="299" t="b">
        <v>0</v>
      </c>
      <c r="J2221" s="113" t="str">
        <f t="shared" si="69"/>
        <v>912345256</v>
      </c>
      <c r="K2221" s="113" t="str">
        <f t="shared" si="70"/>
        <v>CG02305</v>
      </c>
    </row>
    <row r="2222" spans="1:11" x14ac:dyDescent="0.3">
      <c r="A2222" s="298" t="s">
        <v>7455</v>
      </c>
      <c r="B2222" s="298" t="s">
        <v>7456</v>
      </c>
      <c r="C2222" s="298" t="s">
        <v>231</v>
      </c>
      <c r="D2222" s="298" t="s">
        <v>256</v>
      </c>
      <c r="E2222" s="298"/>
      <c r="F2222" s="298" t="s">
        <v>7457</v>
      </c>
      <c r="G2222" s="299" t="b">
        <v>0</v>
      </c>
      <c r="H2222" s="299" t="b">
        <v>0</v>
      </c>
      <c r="J2222" s="113" t="str">
        <f t="shared" si="69"/>
        <v>356843350</v>
      </c>
      <c r="K2222" s="113" t="str">
        <f t="shared" si="70"/>
        <v>CG02306</v>
      </c>
    </row>
    <row r="2223" spans="1:11" x14ac:dyDescent="0.3">
      <c r="A2223" s="298" t="s">
        <v>7458</v>
      </c>
      <c r="B2223" s="298" t="s">
        <v>7459</v>
      </c>
      <c r="C2223" s="298" t="s">
        <v>877</v>
      </c>
      <c r="D2223" s="298" t="s">
        <v>256</v>
      </c>
      <c r="E2223" s="298"/>
      <c r="F2223" s="298" t="s">
        <v>7460</v>
      </c>
      <c r="G2223" s="299" t="b">
        <v>0</v>
      </c>
      <c r="H2223" s="299" t="b">
        <v>0</v>
      </c>
      <c r="J2223" s="113" t="str">
        <f t="shared" si="69"/>
        <v>983869170</v>
      </c>
      <c r="K2223" s="113" t="str">
        <f t="shared" si="70"/>
        <v>CG02307</v>
      </c>
    </row>
    <row r="2224" spans="1:11" x14ac:dyDescent="0.3">
      <c r="A2224" s="298" t="s">
        <v>7461</v>
      </c>
      <c r="B2224" s="298" t="s">
        <v>7462</v>
      </c>
      <c r="C2224" s="298" t="s">
        <v>816</v>
      </c>
      <c r="D2224" s="298" t="s">
        <v>256</v>
      </c>
      <c r="E2224" s="298"/>
      <c r="F2224" s="298" t="s">
        <v>7463</v>
      </c>
      <c r="G2224" s="299" t="b">
        <v>0</v>
      </c>
      <c r="H2224" s="299" t="b">
        <v>0</v>
      </c>
      <c r="J2224" s="113" t="str">
        <f t="shared" si="69"/>
        <v>987844325</v>
      </c>
      <c r="K2224" s="113" t="str">
        <f t="shared" si="70"/>
        <v>CG02308</v>
      </c>
    </row>
    <row r="2225" spans="1:11" x14ac:dyDescent="0.3">
      <c r="A2225" s="298" t="s">
        <v>7464</v>
      </c>
      <c r="B2225" s="298" t="s">
        <v>7465</v>
      </c>
      <c r="C2225" s="298" t="s">
        <v>1196</v>
      </c>
      <c r="D2225" s="298" t="s">
        <v>256</v>
      </c>
      <c r="E2225" s="298"/>
      <c r="F2225" s="298" t="s">
        <v>7466</v>
      </c>
      <c r="G2225" s="299" t="b">
        <v>0</v>
      </c>
      <c r="H2225" s="299" t="b">
        <v>0</v>
      </c>
      <c r="J2225" s="113" t="str">
        <f t="shared" si="69"/>
        <v>912334796</v>
      </c>
      <c r="K2225" s="113" t="str">
        <f t="shared" si="70"/>
        <v>CG02309</v>
      </c>
    </row>
    <row r="2226" spans="1:11" x14ac:dyDescent="0.3">
      <c r="A2226" s="298" t="s">
        <v>7467</v>
      </c>
      <c r="B2226" s="298" t="s">
        <v>7468</v>
      </c>
      <c r="C2226" s="298" t="s">
        <v>7469</v>
      </c>
      <c r="D2226" s="298" t="s">
        <v>256</v>
      </c>
      <c r="E2226" s="298" t="s">
        <v>7470</v>
      </c>
      <c r="F2226" s="298" t="s">
        <v>7471</v>
      </c>
      <c r="G2226" s="299" t="b">
        <v>0</v>
      </c>
      <c r="H2226" s="299" t="b">
        <v>0</v>
      </c>
      <c r="J2226" s="113" t="str">
        <f t="shared" si="69"/>
        <v>976441939</v>
      </c>
      <c r="K2226" s="113" t="str">
        <f t="shared" si="70"/>
        <v>CG02310</v>
      </c>
    </row>
    <row r="2227" spans="1:11" x14ac:dyDescent="0.3">
      <c r="A2227" s="298" t="s">
        <v>7472</v>
      </c>
      <c r="B2227" s="298" t="s">
        <v>7473</v>
      </c>
      <c r="C2227" s="298" t="s">
        <v>2713</v>
      </c>
      <c r="D2227" s="298" t="s">
        <v>256</v>
      </c>
      <c r="E2227" s="298"/>
      <c r="F2227" s="298" t="s">
        <v>7474</v>
      </c>
      <c r="G2227" s="299" t="b">
        <v>0</v>
      </c>
      <c r="H2227" s="299" t="b">
        <v>0</v>
      </c>
      <c r="J2227" s="113" t="str">
        <f t="shared" si="69"/>
        <v>981294999</v>
      </c>
      <c r="K2227" s="113" t="str">
        <f t="shared" si="70"/>
        <v>CG02311</v>
      </c>
    </row>
    <row r="2228" spans="1:11" x14ac:dyDescent="0.3">
      <c r="A2228" s="298" t="s">
        <v>7475</v>
      </c>
      <c r="B2228" s="298" t="s">
        <v>7476</v>
      </c>
      <c r="C2228" s="298" t="s">
        <v>463</v>
      </c>
      <c r="D2228" s="298" t="s">
        <v>256</v>
      </c>
      <c r="E2228" s="298"/>
      <c r="F2228" s="298" t="s">
        <v>7477</v>
      </c>
      <c r="G2228" s="299" t="b">
        <v>0</v>
      </c>
      <c r="H2228" s="299" t="b">
        <v>0</v>
      </c>
      <c r="J2228" s="113" t="str">
        <f t="shared" si="69"/>
        <v>904260158</v>
      </c>
      <c r="K2228" s="113" t="str">
        <f t="shared" si="70"/>
        <v>CG02312</v>
      </c>
    </row>
    <row r="2229" spans="1:11" x14ac:dyDescent="0.3">
      <c r="A2229" s="298" t="s">
        <v>7478</v>
      </c>
      <c r="B2229" s="298" t="s">
        <v>7479</v>
      </c>
      <c r="C2229" s="298" t="s">
        <v>7480</v>
      </c>
      <c r="D2229" s="298" t="s">
        <v>256</v>
      </c>
      <c r="E2229" s="298"/>
      <c r="F2229" s="298" t="s">
        <v>7481</v>
      </c>
      <c r="G2229" s="299" t="b">
        <v>0</v>
      </c>
      <c r="H2229" s="299" t="b">
        <v>0</v>
      </c>
      <c r="J2229" s="113" t="str">
        <f t="shared" si="69"/>
        <v>912673779</v>
      </c>
      <c r="K2229" s="113" t="str">
        <f t="shared" si="70"/>
        <v>CG02313</v>
      </c>
    </row>
    <row r="2230" spans="1:11" x14ac:dyDescent="0.3">
      <c r="A2230" s="298" t="s">
        <v>7482</v>
      </c>
      <c r="B2230" s="298" t="s">
        <v>7483</v>
      </c>
      <c r="C2230" s="298" t="s">
        <v>231</v>
      </c>
      <c r="D2230" s="298" t="s">
        <v>256</v>
      </c>
      <c r="E2230" s="298"/>
      <c r="F2230" s="298" t="s">
        <v>7484</v>
      </c>
      <c r="G2230" s="299" t="b">
        <v>0</v>
      </c>
      <c r="H2230" s="299" t="b">
        <v>0</v>
      </c>
      <c r="J2230" s="113" t="str">
        <f t="shared" si="69"/>
        <v>942754089</v>
      </c>
      <c r="K2230" s="113" t="str">
        <f t="shared" si="70"/>
        <v>CG02314</v>
      </c>
    </row>
    <row r="2231" spans="1:11" x14ac:dyDescent="0.3">
      <c r="A2231" s="298" t="s">
        <v>7485</v>
      </c>
      <c r="B2231" s="298" t="s">
        <v>7486</v>
      </c>
      <c r="C2231" s="298" t="s">
        <v>7487</v>
      </c>
      <c r="D2231" s="298" t="s">
        <v>256</v>
      </c>
      <c r="E2231" s="298"/>
      <c r="F2231" s="298" t="s">
        <v>7488</v>
      </c>
      <c r="G2231" s="299" t="b">
        <v>0</v>
      </c>
      <c r="H2231" s="299" t="b">
        <v>0</v>
      </c>
      <c r="J2231" s="113" t="str">
        <f t="shared" si="69"/>
        <v>976280291</v>
      </c>
      <c r="K2231" s="113" t="str">
        <f t="shared" si="70"/>
        <v>CG02316</v>
      </c>
    </row>
    <row r="2232" spans="1:11" x14ac:dyDescent="0.3">
      <c r="A2232" s="298" t="s">
        <v>7489</v>
      </c>
      <c r="B2232" s="298" t="s">
        <v>7490</v>
      </c>
      <c r="C2232" s="298" t="s">
        <v>7491</v>
      </c>
      <c r="D2232" s="298" t="s">
        <v>256</v>
      </c>
      <c r="E2232" s="298"/>
      <c r="F2232" s="298" t="s">
        <v>7492</v>
      </c>
      <c r="G2232" s="299" t="b">
        <v>0</v>
      </c>
      <c r="H2232" s="299" t="b">
        <v>0</v>
      </c>
      <c r="J2232" s="113" t="str">
        <f t="shared" si="69"/>
        <v>332766176</v>
      </c>
      <c r="K2232" s="113" t="str">
        <f t="shared" si="70"/>
        <v>CG02317</v>
      </c>
    </row>
    <row r="2233" spans="1:11" x14ac:dyDescent="0.3">
      <c r="A2233" s="298" t="s">
        <v>7493</v>
      </c>
      <c r="B2233" s="298" t="s">
        <v>7494</v>
      </c>
      <c r="C2233" s="298" t="s">
        <v>340</v>
      </c>
      <c r="D2233" s="298" t="s">
        <v>256</v>
      </c>
      <c r="E2233" s="298"/>
      <c r="F2233" s="298" t="s">
        <v>7495</v>
      </c>
      <c r="G2233" s="299" t="b">
        <v>0</v>
      </c>
      <c r="H2233" s="299" t="b">
        <v>0</v>
      </c>
      <c r="J2233" s="113" t="str">
        <f t="shared" si="69"/>
        <v>888683222</v>
      </c>
      <c r="K2233" s="113" t="str">
        <f t="shared" si="70"/>
        <v>CG02318</v>
      </c>
    </row>
    <row r="2234" spans="1:11" x14ac:dyDescent="0.3">
      <c r="A2234" s="298" t="s">
        <v>7496</v>
      </c>
      <c r="B2234" s="298" t="s">
        <v>7497</v>
      </c>
      <c r="C2234" s="298" t="s">
        <v>2531</v>
      </c>
      <c r="D2234" s="298" t="s">
        <v>256</v>
      </c>
      <c r="E2234" s="298"/>
      <c r="F2234" s="298" t="s">
        <v>7498</v>
      </c>
      <c r="G2234" s="299" t="b">
        <v>0</v>
      </c>
      <c r="H2234" s="299" t="b">
        <v>0</v>
      </c>
      <c r="J2234" s="113" t="str">
        <f t="shared" si="69"/>
        <v>395627807</v>
      </c>
      <c r="K2234" s="113" t="str">
        <f t="shared" si="70"/>
        <v>CG02319</v>
      </c>
    </row>
    <row r="2235" spans="1:11" x14ac:dyDescent="0.3">
      <c r="A2235" s="298" t="s">
        <v>7499</v>
      </c>
      <c r="B2235" s="298" t="s">
        <v>7500</v>
      </c>
      <c r="C2235" s="298" t="s">
        <v>1890</v>
      </c>
      <c r="D2235" s="298" t="s">
        <v>256</v>
      </c>
      <c r="E2235" s="298"/>
      <c r="F2235" s="298" t="s">
        <v>7501</v>
      </c>
      <c r="G2235" s="299" t="b">
        <v>0</v>
      </c>
      <c r="H2235" s="299" t="b">
        <v>0</v>
      </c>
      <c r="J2235" s="113" t="str">
        <f t="shared" si="69"/>
        <v>983815022</v>
      </c>
      <c r="K2235" s="113" t="str">
        <f t="shared" si="70"/>
        <v>CG02320</v>
      </c>
    </row>
    <row r="2236" spans="1:11" x14ac:dyDescent="0.3">
      <c r="A2236" s="298" t="s">
        <v>7502</v>
      </c>
      <c r="B2236" s="298" t="s">
        <v>7503</v>
      </c>
      <c r="C2236" s="298" t="s">
        <v>7504</v>
      </c>
      <c r="D2236" s="298" t="s">
        <v>256</v>
      </c>
      <c r="E2236" s="298" t="s">
        <v>7505</v>
      </c>
      <c r="F2236" s="298" t="s">
        <v>7506</v>
      </c>
      <c r="G2236" s="299" t="b">
        <v>0</v>
      </c>
      <c r="H2236" s="299" t="b">
        <v>0</v>
      </c>
      <c r="J2236" s="113" t="str">
        <f t="shared" si="69"/>
        <v>900626230</v>
      </c>
      <c r="K2236" s="113" t="str">
        <f t="shared" si="70"/>
        <v>CG02321</v>
      </c>
    </row>
    <row r="2237" spans="1:11" x14ac:dyDescent="0.3">
      <c r="A2237" s="298" t="s">
        <v>7507</v>
      </c>
      <c r="B2237" s="298" t="s">
        <v>7508</v>
      </c>
      <c r="C2237" s="298" t="s">
        <v>317</v>
      </c>
      <c r="D2237" s="298" t="s">
        <v>256</v>
      </c>
      <c r="E2237" s="298"/>
      <c r="F2237" s="298" t="s">
        <v>7509</v>
      </c>
      <c r="G2237" s="299" t="b">
        <v>0</v>
      </c>
      <c r="H2237" s="299" t="b">
        <v>0</v>
      </c>
      <c r="J2237" s="113" t="str">
        <f t="shared" si="69"/>
        <v>912989949</v>
      </c>
      <c r="K2237" s="113" t="str">
        <f t="shared" si="70"/>
        <v>CG02322</v>
      </c>
    </row>
    <row r="2238" spans="1:11" x14ac:dyDescent="0.3">
      <c r="A2238" s="298" t="s">
        <v>7510</v>
      </c>
      <c r="B2238" s="298" t="s">
        <v>7511</v>
      </c>
      <c r="C2238" s="298" t="s">
        <v>231</v>
      </c>
      <c r="D2238" s="298" t="s">
        <v>256</v>
      </c>
      <c r="E2238" s="298"/>
      <c r="F2238" s="298" t="s">
        <v>7512</v>
      </c>
      <c r="G2238" s="299" t="b">
        <v>0</v>
      </c>
      <c r="H2238" s="299" t="b">
        <v>0</v>
      </c>
      <c r="J2238" s="113" t="str">
        <f t="shared" si="69"/>
        <v>986109111</v>
      </c>
      <c r="K2238" s="113" t="str">
        <f t="shared" si="70"/>
        <v>CG02323</v>
      </c>
    </row>
    <row r="2239" spans="1:11" x14ac:dyDescent="0.3">
      <c r="A2239" s="298" t="s">
        <v>7513</v>
      </c>
      <c r="B2239" s="298" t="s">
        <v>7514</v>
      </c>
      <c r="C2239" s="298" t="s">
        <v>3230</v>
      </c>
      <c r="D2239" s="298" t="s">
        <v>256</v>
      </c>
      <c r="E2239" s="298"/>
      <c r="F2239" s="298" t="s">
        <v>7515</v>
      </c>
      <c r="G2239" s="299" t="b">
        <v>0</v>
      </c>
      <c r="H2239" s="299" t="b">
        <v>0</v>
      </c>
      <c r="J2239" s="113" t="str">
        <f t="shared" si="69"/>
        <v>969551513</v>
      </c>
      <c r="K2239" s="113" t="str">
        <f t="shared" si="70"/>
        <v>CG02324</v>
      </c>
    </row>
    <row r="2240" spans="1:11" x14ac:dyDescent="0.3">
      <c r="A2240" s="298" t="s">
        <v>7516</v>
      </c>
      <c r="B2240" s="298" t="s">
        <v>7517</v>
      </c>
      <c r="C2240" s="298" t="s">
        <v>409</v>
      </c>
      <c r="D2240" s="298" t="s">
        <v>256</v>
      </c>
      <c r="E2240" s="298"/>
      <c r="F2240" s="298" t="s">
        <v>7518</v>
      </c>
      <c r="G2240" s="299" t="b">
        <v>0</v>
      </c>
      <c r="H2240" s="299" t="b">
        <v>0</v>
      </c>
      <c r="J2240" s="113" t="str">
        <f t="shared" si="69"/>
        <v>395877755</v>
      </c>
      <c r="K2240" s="113" t="str">
        <f t="shared" si="70"/>
        <v>CG02325</v>
      </c>
    </row>
    <row r="2241" spans="1:11" x14ac:dyDescent="0.3">
      <c r="A2241" s="298" t="s">
        <v>7519</v>
      </c>
      <c r="B2241" s="298" t="s">
        <v>7520</v>
      </c>
      <c r="C2241" s="298" t="s">
        <v>7521</v>
      </c>
      <c r="D2241" s="298" t="s">
        <v>256</v>
      </c>
      <c r="E2241" s="298"/>
      <c r="F2241" s="298" t="s">
        <v>7522</v>
      </c>
      <c r="G2241" s="299" t="b">
        <v>0</v>
      </c>
      <c r="H2241" s="299" t="b">
        <v>0</v>
      </c>
      <c r="J2241" s="113" t="str">
        <f t="shared" si="69"/>
        <v>868962415</v>
      </c>
      <c r="K2241" s="113" t="str">
        <f t="shared" si="70"/>
        <v>CG02326</v>
      </c>
    </row>
    <row r="2242" spans="1:11" x14ac:dyDescent="0.3">
      <c r="A2242" s="298" t="s">
        <v>7523</v>
      </c>
      <c r="B2242" s="298" t="s">
        <v>7524</v>
      </c>
      <c r="C2242" s="298" t="s">
        <v>1587</v>
      </c>
      <c r="D2242" s="298" t="s">
        <v>256</v>
      </c>
      <c r="E2242" s="298"/>
      <c r="F2242" s="298" t="s">
        <v>7525</v>
      </c>
      <c r="G2242" s="299" t="b">
        <v>0</v>
      </c>
      <c r="H2242" s="299" t="b">
        <v>0</v>
      </c>
      <c r="J2242" s="113" t="str">
        <f t="shared" si="69"/>
        <v>903485954</v>
      </c>
      <c r="K2242" s="113" t="str">
        <f t="shared" si="70"/>
        <v>CG02327</v>
      </c>
    </row>
    <row r="2243" spans="1:11" x14ac:dyDescent="0.3">
      <c r="A2243" s="298" t="s">
        <v>7526</v>
      </c>
      <c r="B2243" s="298" t="s">
        <v>7527</v>
      </c>
      <c r="C2243" s="298" t="s">
        <v>2412</v>
      </c>
      <c r="D2243" s="298" t="s">
        <v>256</v>
      </c>
      <c r="E2243" s="298"/>
      <c r="F2243" s="298" t="s">
        <v>7528</v>
      </c>
      <c r="G2243" s="299" t="b">
        <v>0</v>
      </c>
      <c r="H2243" s="299" t="b">
        <v>0</v>
      </c>
      <c r="J2243" s="113" t="str">
        <f t="shared" si="69"/>
        <v>905652868</v>
      </c>
      <c r="K2243" s="113" t="str">
        <f t="shared" si="70"/>
        <v>CG02328</v>
      </c>
    </row>
    <row r="2244" spans="1:11" x14ac:dyDescent="0.3">
      <c r="A2244" s="298" t="s">
        <v>7529</v>
      </c>
      <c r="B2244" s="298" t="s">
        <v>7530</v>
      </c>
      <c r="C2244" s="298" t="s">
        <v>1004</v>
      </c>
      <c r="D2244" s="298" t="s">
        <v>256</v>
      </c>
      <c r="E2244" s="298"/>
      <c r="F2244" s="298" t="s">
        <v>7531</v>
      </c>
      <c r="G2244" s="299" t="b">
        <v>0</v>
      </c>
      <c r="H2244" s="299" t="b">
        <v>0</v>
      </c>
      <c r="J2244" s="113" t="str">
        <f t="shared" si="69"/>
        <v>915332911</v>
      </c>
      <c r="K2244" s="113" t="str">
        <f t="shared" si="70"/>
        <v>CG02329</v>
      </c>
    </row>
    <row r="2245" spans="1:11" x14ac:dyDescent="0.3">
      <c r="A2245" s="298" t="s">
        <v>7532</v>
      </c>
      <c r="B2245" s="298" t="s">
        <v>7533</v>
      </c>
      <c r="C2245" s="298" t="s">
        <v>231</v>
      </c>
      <c r="D2245" s="298" t="s">
        <v>256</v>
      </c>
      <c r="E2245" s="298"/>
      <c r="F2245" s="298" t="s">
        <v>7534</v>
      </c>
      <c r="G2245" s="299" t="b">
        <v>0</v>
      </c>
      <c r="H2245" s="299" t="b">
        <v>0</v>
      </c>
      <c r="J2245" s="113" t="str">
        <f t="shared" ref="J2245:J2308" si="71">RIGHT(B2245,9)</f>
        <v>948554422</v>
      </c>
      <c r="K2245" s="113" t="str">
        <f t="shared" ref="K2245:K2308" si="72">A2245</f>
        <v>CG02330</v>
      </c>
    </row>
    <row r="2246" spans="1:11" x14ac:dyDescent="0.3">
      <c r="A2246" s="298" t="s">
        <v>7535</v>
      </c>
      <c r="B2246" s="298" t="s">
        <v>7536</v>
      </c>
      <c r="C2246" s="298" t="s">
        <v>2763</v>
      </c>
      <c r="D2246" s="298" t="s">
        <v>256</v>
      </c>
      <c r="E2246" s="298"/>
      <c r="F2246" s="298" t="s">
        <v>7537</v>
      </c>
      <c r="G2246" s="299" t="b">
        <v>0</v>
      </c>
      <c r="H2246" s="299" t="b">
        <v>0</v>
      </c>
      <c r="J2246" s="113" t="str">
        <f t="shared" si="71"/>
        <v>081129672</v>
      </c>
      <c r="K2246" s="113" t="str">
        <f t="shared" si="72"/>
        <v>CG02331</v>
      </c>
    </row>
    <row r="2247" spans="1:11" x14ac:dyDescent="0.3">
      <c r="A2247" s="298" t="s">
        <v>7538</v>
      </c>
      <c r="B2247" s="298" t="s">
        <v>7539</v>
      </c>
      <c r="C2247" s="298" t="s">
        <v>547</v>
      </c>
      <c r="D2247" s="298" t="s">
        <v>256</v>
      </c>
      <c r="E2247" s="298"/>
      <c r="F2247" s="298" t="s">
        <v>7540</v>
      </c>
      <c r="G2247" s="299" t="b">
        <v>0</v>
      </c>
      <c r="H2247" s="299" t="b">
        <v>0</v>
      </c>
      <c r="J2247" s="113" t="str">
        <f t="shared" si="71"/>
        <v>984147855</v>
      </c>
      <c r="K2247" s="113" t="str">
        <f t="shared" si="72"/>
        <v>CG02332</v>
      </c>
    </row>
    <row r="2248" spans="1:11" x14ac:dyDescent="0.3">
      <c r="A2248" s="298" t="s">
        <v>7541</v>
      </c>
      <c r="B2248" s="298" t="s">
        <v>7542</v>
      </c>
      <c r="C2248" s="298" t="s">
        <v>340</v>
      </c>
      <c r="D2248" s="298" t="s">
        <v>256</v>
      </c>
      <c r="E2248" s="298"/>
      <c r="F2248" s="298" t="s">
        <v>7543</v>
      </c>
      <c r="G2248" s="299" t="b">
        <v>0</v>
      </c>
      <c r="H2248" s="299" t="b">
        <v>0</v>
      </c>
      <c r="J2248" s="113" t="str">
        <f t="shared" si="71"/>
        <v>979290375</v>
      </c>
      <c r="K2248" s="113" t="str">
        <f t="shared" si="72"/>
        <v>CG02333</v>
      </c>
    </row>
    <row r="2249" spans="1:11" x14ac:dyDescent="0.3">
      <c r="A2249" s="298" t="s">
        <v>7544</v>
      </c>
      <c r="B2249" s="298" t="s">
        <v>7545</v>
      </c>
      <c r="C2249" s="298" t="s">
        <v>340</v>
      </c>
      <c r="D2249" s="298" t="s">
        <v>256</v>
      </c>
      <c r="E2249" s="298"/>
      <c r="F2249" s="298" t="s">
        <v>7546</v>
      </c>
      <c r="G2249" s="299" t="b">
        <v>0</v>
      </c>
      <c r="H2249" s="299" t="b">
        <v>0</v>
      </c>
      <c r="J2249" s="113" t="str">
        <f t="shared" si="71"/>
        <v>974329929</v>
      </c>
      <c r="K2249" s="113" t="str">
        <f t="shared" si="72"/>
        <v>CG02334</v>
      </c>
    </row>
    <row r="2250" spans="1:11" x14ac:dyDescent="0.3">
      <c r="A2250" s="298" t="s">
        <v>7547</v>
      </c>
      <c r="B2250" s="298" t="s">
        <v>7548</v>
      </c>
      <c r="C2250" s="298" t="s">
        <v>289</v>
      </c>
      <c r="D2250" s="298" t="s">
        <v>256</v>
      </c>
      <c r="E2250" s="298"/>
      <c r="F2250" s="298" t="s">
        <v>7549</v>
      </c>
      <c r="G2250" s="299" t="b">
        <v>0</v>
      </c>
      <c r="H2250" s="299" t="b">
        <v>0</v>
      </c>
      <c r="J2250" s="113" t="str">
        <f t="shared" si="71"/>
        <v>936017207</v>
      </c>
      <c r="K2250" s="113" t="str">
        <f t="shared" si="72"/>
        <v>CG02335</v>
      </c>
    </row>
    <row r="2251" spans="1:11" x14ac:dyDescent="0.3">
      <c r="A2251" s="298" t="s">
        <v>7550</v>
      </c>
      <c r="B2251" s="298" t="s">
        <v>7551</v>
      </c>
      <c r="C2251" s="298" t="s">
        <v>340</v>
      </c>
      <c r="D2251" s="298" t="s">
        <v>256</v>
      </c>
      <c r="E2251" s="298"/>
      <c r="F2251" s="298" t="s">
        <v>7552</v>
      </c>
      <c r="G2251" s="299" t="b">
        <v>0</v>
      </c>
      <c r="H2251" s="299" t="b">
        <v>0</v>
      </c>
      <c r="J2251" s="113" t="str">
        <f t="shared" si="71"/>
        <v>395133688</v>
      </c>
      <c r="K2251" s="113" t="str">
        <f t="shared" si="72"/>
        <v>CG02336</v>
      </c>
    </row>
    <row r="2252" spans="1:11" x14ac:dyDescent="0.3">
      <c r="A2252" s="298" t="s">
        <v>7553</v>
      </c>
      <c r="B2252" s="298" t="s">
        <v>7554</v>
      </c>
      <c r="C2252" s="298" t="s">
        <v>5790</v>
      </c>
      <c r="D2252" s="298" t="s">
        <v>256</v>
      </c>
      <c r="E2252" s="298"/>
      <c r="F2252" s="298" t="s">
        <v>7555</v>
      </c>
      <c r="G2252" s="299" t="b">
        <v>0</v>
      </c>
      <c r="H2252" s="299" t="b">
        <v>0</v>
      </c>
      <c r="J2252" s="113" t="str">
        <f t="shared" si="71"/>
        <v>914953333</v>
      </c>
      <c r="K2252" s="113" t="str">
        <f t="shared" si="72"/>
        <v>CG02337</v>
      </c>
    </row>
    <row r="2253" spans="1:11" x14ac:dyDescent="0.3">
      <c r="A2253" s="298" t="s">
        <v>7556</v>
      </c>
      <c r="B2253" s="298" t="s">
        <v>7557</v>
      </c>
      <c r="C2253" s="298" t="s">
        <v>1152</v>
      </c>
      <c r="D2253" s="298" t="s">
        <v>256</v>
      </c>
      <c r="E2253" s="298"/>
      <c r="F2253" s="298" t="s">
        <v>7558</v>
      </c>
      <c r="G2253" s="299" t="b">
        <v>0</v>
      </c>
      <c r="H2253" s="299" t="b">
        <v>0</v>
      </c>
      <c r="J2253" s="113" t="str">
        <f t="shared" si="71"/>
        <v>433656192</v>
      </c>
      <c r="K2253" s="113" t="str">
        <f t="shared" si="72"/>
        <v>CG02338</v>
      </c>
    </row>
    <row r="2254" spans="1:11" x14ac:dyDescent="0.3">
      <c r="A2254" s="298" t="s">
        <v>7559</v>
      </c>
      <c r="B2254" s="298" t="s">
        <v>7560</v>
      </c>
      <c r="C2254" s="298" t="s">
        <v>355</v>
      </c>
      <c r="D2254" s="298" t="s">
        <v>256</v>
      </c>
      <c r="E2254" s="298"/>
      <c r="F2254" s="298" t="s">
        <v>7561</v>
      </c>
      <c r="G2254" s="299" t="b">
        <v>0</v>
      </c>
      <c r="H2254" s="299" t="b">
        <v>0</v>
      </c>
      <c r="J2254" s="113" t="str">
        <f t="shared" si="71"/>
        <v>947551978</v>
      </c>
      <c r="K2254" s="113" t="str">
        <f t="shared" si="72"/>
        <v>CG02339</v>
      </c>
    </row>
    <row r="2255" spans="1:11" x14ac:dyDescent="0.3">
      <c r="A2255" s="298" t="s">
        <v>7562</v>
      </c>
      <c r="B2255" s="298" t="s">
        <v>7563</v>
      </c>
      <c r="C2255" s="298" t="s">
        <v>5285</v>
      </c>
      <c r="D2255" s="298" t="s">
        <v>256</v>
      </c>
      <c r="E2255" s="298"/>
      <c r="F2255" s="298" t="s">
        <v>7564</v>
      </c>
      <c r="G2255" s="299" t="b">
        <v>0</v>
      </c>
      <c r="H2255" s="299" t="b">
        <v>0</v>
      </c>
      <c r="J2255" s="113" t="str">
        <f t="shared" si="71"/>
        <v>982529611</v>
      </c>
      <c r="K2255" s="113" t="str">
        <f t="shared" si="72"/>
        <v>CG02340</v>
      </c>
    </row>
    <row r="2256" spans="1:11" x14ac:dyDescent="0.3">
      <c r="A2256" s="298" t="s">
        <v>7565</v>
      </c>
      <c r="B2256" s="298" t="s">
        <v>7566</v>
      </c>
      <c r="C2256" s="298" t="s">
        <v>664</v>
      </c>
      <c r="D2256" s="298" t="s">
        <v>256</v>
      </c>
      <c r="E2256" s="298"/>
      <c r="F2256" s="298" t="s">
        <v>7567</v>
      </c>
      <c r="G2256" s="299" t="b">
        <v>0</v>
      </c>
      <c r="H2256" s="299" t="b">
        <v>0</v>
      </c>
      <c r="J2256" s="113" t="str">
        <f t="shared" si="71"/>
        <v>986079805</v>
      </c>
      <c r="K2256" s="113" t="str">
        <f t="shared" si="72"/>
        <v>CG02341</v>
      </c>
    </row>
    <row r="2257" spans="1:11" x14ac:dyDescent="0.3">
      <c r="A2257" s="298" t="s">
        <v>7568</v>
      </c>
      <c r="B2257" s="298" t="s">
        <v>7569</v>
      </c>
      <c r="C2257" s="298" t="s">
        <v>884</v>
      </c>
      <c r="D2257" s="298" t="s">
        <v>256</v>
      </c>
      <c r="E2257" s="298"/>
      <c r="F2257" s="298" t="s">
        <v>7570</v>
      </c>
      <c r="G2257" s="299" t="b">
        <v>0</v>
      </c>
      <c r="H2257" s="299" t="b">
        <v>0</v>
      </c>
      <c r="J2257" s="113" t="str">
        <f t="shared" si="71"/>
        <v>942437576</v>
      </c>
      <c r="K2257" s="113" t="str">
        <f t="shared" si="72"/>
        <v>CG02342</v>
      </c>
    </row>
    <row r="2258" spans="1:11" x14ac:dyDescent="0.3">
      <c r="A2258" s="298" t="s">
        <v>7571</v>
      </c>
      <c r="B2258" s="298" t="s">
        <v>7572</v>
      </c>
      <c r="C2258" s="298" t="s">
        <v>5738</v>
      </c>
      <c r="D2258" s="298" t="s">
        <v>256</v>
      </c>
      <c r="E2258" s="298"/>
      <c r="F2258" s="298" t="s">
        <v>7573</v>
      </c>
      <c r="G2258" s="299" t="b">
        <v>0</v>
      </c>
      <c r="H2258" s="299" t="b">
        <v>0</v>
      </c>
      <c r="J2258" s="113" t="str">
        <f t="shared" si="71"/>
        <v>986988598</v>
      </c>
      <c r="K2258" s="113" t="str">
        <f t="shared" si="72"/>
        <v>CG02343</v>
      </c>
    </row>
    <row r="2259" spans="1:11" x14ac:dyDescent="0.3">
      <c r="A2259" s="298" t="s">
        <v>7574</v>
      </c>
      <c r="B2259" s="298" t="s">
        <v>7575</v>
      </c>
      <c r="C2259" s="298" t="s">
        <v>230</v>
      </c>
      <c r="D2259" s="298" t="s">
        <v>256</v>
      </c>
      <c r="E2259" s="298"/>
      <c r="F2259" s="298" t="s">
        <v>7576</v>
      </c>
      <c r="G2259" s="299" t="b">
        <v>0</v>
      </c>
      <c r="H2259" s="299" t="b">
        <v>0</v>
      </c>
      <c r="J2259" s="113" t="str">
        <f t="shared" si="71"/>
        <v>986703188</v>
      </c>
      <c r="K2259" s="113" t="str">
        <f t="shared" si="72"/>
        <v>CG02344</v>
      </c>
    </row>
    <row r="2260" spans="1:11" x14ac:dyDescent="0.3">
      <c r="A2260" s="298" t="s">
        <v>7577</v>
      </c>
      <c r="B2260" s="298" t="s">
        <v>7578</v>
      </c>
      <c r="C2260" s="298" t="s">
        <v>7579</v>
      </c>
      <c r="D2260" s="298" t="s">
        <v>256</v>
      </c>
      <c r="E2260" s="298"/>
      <c r="F2260" s="298" t="s">
        <v>7580</v>
      </c>
      <c r="G2260" s="299" t="b">
        <v>0</v>
      </c>
      <c r="H2260" s="299" t="b">
        <v>0</v>
      </c>
      <c r="J2260" s="113" t="str">
        <f t="shared" si="71"/>
        <v xml:space="preserve">83461928 </v>
      </c>
      <c r="K2260" s="113" t="str">
        <f t="shared" si="72"/>
        <v>CG02345</v>
      </c>
    </row>
    <row r="2261" spans="1:11" x14ac:dyDescent="0.3">
      <c r="A2261" s="298" t="s">
        <v>7581</v>
      </c>
      <c r="B2261" s="298" t="s">
        <v>7582</v>
      </c>
      <c r="C2261" s="298" t="s">
        <v>230</v>
      </c>
      <c r="D2261" s="298" t="s">
        <v>256</v>
      </c>
      <c r="E2261" s="298"/>
      <c r="F2261" s="298" t="s">
        <v>7583</v>
      </c>
      <c r="G2261" s="299" t="b">
        <v>0</v>
      </c>
      <c r="H2261" s="299" t="b">
        <v>0</v>
      </c>
      <c r="J2261" s="113" t="str">
        <f t="shared" si="71"/>
        <v>983185919</v>
      </c>
      <c r="K2261" s="113" t="str">
        <f t="shared" si="72"/>
        <v>CG02346</v>
      </c>
    </row>
    <row r="2262" spans="1:11" x14ac:dyDescent="0.3">
      <c r="A2262" s="298" t="s">
        <v>7584</v>
      </c>
      <c r="B2262" s="298" t="s">
        <v>7585</v>
      </c>
      <c r="C2262" s="298" t="s">
        <v>378</v>
      </c>
      <c r="D2262" s="298" t="s">
        <v>256</v>
      </c>
      <c r="E2262" s="298"/>
      <c r="F2262" s="298" t="s">
        <v>7586</v>
      </c>
      <c r="G2262" s="299" t="b">
        <v>0</v>
      </c>
      <c r="H2262" s="299" t="b">
        <v>0</v>
      </c>
      <c r="J2262" s="113" t="str">
        <f t="shared" si="71"/>
        <v>989154666</v>
      </c>
      <c r="K2262" s="113" t="str">
        <f t="shared" si="72"/>
        <v>CG02347</v>
      </c>
    </row>
    <row r="2263" spans="1:11" x14ac:dyDescent="0.3">
      <c r="A2263" s="298" t="s">
        <v>7587</v>
      </c>
      <c r="B2263" s="298" t="s">
        <v>7588</v>
      </c>
      <c r="C2263" s="298" t="s">
        <v>892</v>
      </c>
      <c r="D2263" s="298" t="s">
        <v>256</v>
      </c>
      <c r="E2263" s="298"/>
      <c r="F2263" s="298" t="s">
        <v>7589</v>
      </c>
      <c r="G2263" s="299" t="b">
        <v>0</v>
      </c>
      <c r="H2263" s="299" t="b">
        <v>0</v>
      </c>
      <c r="J2263" s="113" t="str">
        <f t="shared" si="71"/>
        <v>912366642</v>
      </c>
      <c r="K2263" s="113" t="str">
        <f t="shared" si="72"/>
        <v>CG02348</v>
      </c>
    </row>
    <row r="2264" spans="1:11" x14ac:dyDescent="0.3">
      <c r="A2264" s="298" t="s">
        <v>7590</v>
      </c>
      <c r="B2264" s="298" t="s">
        <v>7591</v>
      </c>
      <c r="C2264" s="298" t="s">
        <v>2051</v>
      </c>
      <c r="D2264" s="298" t="s">
        <v>256</v>
      </c>
      <c r="E2264" s="298"/>
      <c r="F2264" s="298" t="s">
        <v>7592</v>
      </c>
      <c r="G2264" s="299" t="b">
        <v>0</v>
      </c>
      <c r="H2264" s="299" t="b">
        <v>0</v>
      </c>
      <c r="J2264" s="113" t="str">
        <f t="shared" si="71"/>
        <v>988965346</v>
      </c>
      <c r="K2264" s="113" t="str">
        <f t="shared" si="72"/>
        <v>CG02349</v>
      </c>
    </row>
    <row r="2265" spans="1:11" x14ac:dyDescent="0.3">
      <c r="A2265" s="298" t="s">
        <v>7593</v>
      </c>
      <c r="B2265" s="298" t="s">
        <v>7594</v>
      </c>
      <c r="C2265" s="298" t="s">
        <v>7595</v>
      </c>
      <c r="D2265" s="298" t="s">
        <v>256</v>
      </c>
      <c r="E2265" s="298"/>
      <c r="F2265" s="298" t="s">
        <v>7596</v>
      </c>
      <c r="G2265" s="299" t="b">
        <v>0</v>
      </c>
      <c r="H2265" s="299" t="b">
        <v>0</v>
      </c>
      <c r="J2265" s="113" t="str">
        <f t="shared" si="71"/>
        <v>972349348</v>
      </c>
      <c r="K2265" s="113" t="str">
        <f t="shared" si="72"/>
        <v>CG02350</v>
      </c>
    </row>
    <row r="2266" spans="1:11" x14ac:dyDescent="0.3">
      <c r="A2266" s="298" t="s">
        <v>7597</v>
      </c>
      <c r="B2266" s="298" t="s">
        <v>7598</v>
      </c>
      <c r="C2266" s="298" t="s">
        <v>7599</v>
      </c>
      <c r="D2266" s="298" t="s">
        <v>256</v>
      </c>
      <c r="E2266" s="298"/>
      <c r="F2266" s="298" t="s">
        <v>7600</v>
      </c>
      <c r="G2266" s="299" t="b">
        <v>0</v>
      </c>
      <c r="H2266" s="299" t="b">
        <v>0</v>
      </c>
      <c r="J2266" s="113" t="str">
        <f t="shared" si="71"/>
        <v>973308719</v>
      </c>
      <c r="K2266" s="113" t="str">
        <f t="shared" si="72"/>
        <v>CG02351</v>
      </c>
    </row>
    <row r="2267" spans="1:11" x14ac:dyDescent="0.3">
      <c r="A2267" s="298" t="s">
        <v>7601</v>
      </c>
      <c r="B2267" s="298" t="s">
        <v>7602</v>
      </c>
      <c r="C2267" s="298" t="s">
        <v>7603</v>
      </c>
      <c r="D2267" s="298" t="s">
        <v>256</v>
      </c>
      <c r="E2267" s="298"/>
      <c r="F2267" s="298" t="s">
        <v>7604</v>
      </c>
      <c r="G2267" s="299" t="b">
        <v>0</v>
      </c>
      <c r="H2267" s="299" t="b">
        <v>0</v>
      </c>
      <c r="J2267" s="113" t="str">
        <f t="shared" si="71"/>
        <v>974965968</v>
      </c>
      <c r="K2267" s="113" t="str">
        <f t="shared" si="72"/>
        <v>CG02352</v>
      </c>
    </row>
    <row r="2268" spans="1:11" x14ac:dyDescent="0.3">
      <c r="A2268" s="298" t="s">
        <v>7605</v>
      </c>
      <c r="B2268" s="298" t="s">
        <v>7606</v>
      </c>
      <c r="C2268" s="298" t="s">
        <v>230</v>
      </c>
      <c r="D2268" s="298" t="s">
        <v>256</v>
      </c>
      <c r="E2268" s="298"/>
      <c r="F2268" s="298" t="s">
        <v>7607</v>
      </c>
      <c r="G2268" s="299" t="b">
        <v>0</v>
      </c>
      <c r="H2268" s="299" t="b">
        <v>0</v>
      </c>
      <c r="J2268" s="113" t="str">
        <f t="shared" si="71"/>
        <v>913579121</v>
      </c>
      <c r="K2268" s="113" t="str">
        <f t="shared" si="72"/>
        <v>CG02353</v>
      </c>
    </row>
    <row r="2269" spans="1:11" x14ac:dyDescent="0.3">
      <c r="A2269" s="298" t="s">
        <v>7608</v>
      </c>
      <c r="B2269" s="298" t="s">
        <v>7609</v>
      </c>
      <c r="C2269" s="298" t="s">
        <v>903</v>
      </c>
      <c r="D2269" s="298" t="s">
        <v>256</v>
      </c>
      <c r="E2269" s="298"/>
      <c r="F2269" s="298" t="s">
        <v>7610</v>
      </c>
      <c r="G2269" s="299" t="b">
        <v>0</v>
      </c>
      <c r="H2269" s="299" t="b">
        <v>0</v>
      </c>
      <c r="J2269" s="113" t="str">
        <f t="shared" si="71"/>
        <v>919500165</v>
      </c>
      <c r="K2269" s="113" t="str">
        <f t="shared" si="72"/>
        <v>CG02354</v>
      </c>
    </row>
    <row r="2270" spans="1:11" x14ac:dyDescent="0.3">
      <c r="A2270" s="298" t="s">
        <v>7611</v>
      </c>
      <c r="B2270" s="298" t="s">
        <v>7612</v>
      </c>
      <c r="C2270" s="298" t="s">
        <v>7613</v>
      </c>
      <c r="D2270" s="298" t="s">
        <v>256</v>
      </c>
      <c r="E2270" s="298"/>
      <c r="F2270" s="298" t="s">
        <v>7614</v>
      </c>
      <c r="G2270" s="299" t="b">
        <v>0</v>
      </c>
      <c r="H2270" s="299" t="b">
        <v>0</v>
      </c>
      <c r="J2270" s="113" t="str">
        <f t="shared" si="71"/>
        <v>968588887</v>
      </c>
      <c r="K2270" s="113" t="str">
        <f t="shared" si="72"/>
        <v>CG02355</v>
      </c>
    </row>
    <row r="2271" spans="1:11" x14ac:dyDescent="0.3">
      <c r="A2271" s="298" t="s">
        <v>7615</v>
      </c>
      <c r="B2271" s="298" t="s">
        <v>7616</v>
      </c>
      <c r="C2271" s="298" t="s">
        <v>7617</v>
      </c>
      <c r="D2271" s="298" t="s">
        <v>256</v>
      </c>
      <c r="E2271" s="298"/>
      <c r="F2271" s="298" t="s">
        <v>7618</v>
      </c>
      <c r="G2271" s="299" t="b">
        <v>0</v>
      </c>
      <c r="H2271" s="299" t="b">
        <v>0</v>
      </c>
      <c r="J2271" s="113" t="str">
        <f t="shared" si="71"/>
        <v>934413333</v>
      </c>
      <c r="K2271" s="113" t="str">
        <f t="shared" si="72"/>
        <v>CG02356</v>
      </c>
    </row>
    <row r="2272" spans="1:11" x14ac:dyDescent="0.3">
      <c r="A2272" s="298" t="s">
        <v>7619</v>
      </c>
      <c r="B2272" s="298" t="s">
        <v>7620</v>
      </c>
      <c r="C2272" s="298" t="s">
        <v>1237</v>
      </c>
      <c r="D2272" s="298" t="s">
        <v>256</v>
      </c>
      <c r="E2272" s="298"/>
      <c r="F2272" s="298" t="s">
        <v>7621</v>
      </c>
      <c r="G2272" s="299" t="b">
        <v>0</v>
      </c>
      <c r="H2272" s="299" t="b">
        <v>0</v>
      </c>
      <c r="J2272" s="113" t="str">
        <f t="shared" si="71"/>
        <v>982846859</v>
      </c>
      <c r="K2272" s="113" t="str">
        <f t="shared" si="72"/>
        <v>CG02357</v>
      </c>
    </row>
    <row r="2273" spans="1:11" x14ac:dyDescent="0.3">
      <c r="A2273" s="298" t="s">
        <v>7622</v>
      </c>
      <c r="B2273" s="298" t="s">
        <v>7623</v>
      </c>
      <c r="C2273" s="298" t="s">
        <v>340</v>
      </c>
      <c r="D2273" s="298" t="s">
        <v>256</v>
      </c>
      <c r="E2273" s="298"/>
      <c r="F2273" s="298" t="s">
        <v>7624</v>
      </c>
      <c r="G2273" s="299" t="b">
        <v>0</v>
      </c>
      <c r="H2273" s="299" t="b">
        <v>0</v>
      </c>
      <c r="J2273" s="113" t="str">
        <f t="shared" si="71"/>
        <v>397980695</v>
      </c>
      <c r="K2273" s="113" t="str">
        <f t="shared" si="72"/>
        <v>CG02358</v>
      </c>
    </row>
    <row r="2274" spans="1:11" x14ac:dyDescent="0.3">
      <c r="A2274" s="298" t="s">
        <v>7625</v>
      </c>
      <c r="B2274" s="298" t="s">
        <v>7626</v>
      </c>
      <c r="C2274" s="298" t="s">
        <v>989</v>
      </c>
      <c r="D2274" s="298" t="s">
        <v>256</v>
      </c>
      <c r="E2274" s="298"/>
      <c r="F2274" s="298" t="s">
        <v>7627</v>
      </c>
      <c r="G2274" s="299" t="b">
        <v>0</v>
      </c>
      <c r="H2274" s="299" t="b">
        <v>0</v>
      </c>
      <c r="J2274" s="113" t="str">
        <f t="shared" si="71"/>
        <v>913365186</v>
      </c>
      <c r="K2274" s="113" t="str">
        <f t="shared" si="72"/>
        <v>CG02359</v>
      </c>
    </row>
    <row r="2275" spans="1:11" x14ac:dyDescent="0.3">
      <c r="A2275" s="298" t="s">
        <v>7628</v>
      </c>
      <c r="B2275" s="298" t="s">
        <v>7629</v>
      </c>
      <c r="C2275" s="298" t="s">
        <v>416</v>
      </c>
      <c r="D2275" s="298" t="s">
        <v>256</v>
      </c>
      <c r="E2275" s="298"/>
      <c r="F2275" s="298" t="s">
        <v>7630</v>
      </c>
      <c r="G2275" s="299" t="b">
        <v>0</v>
      </c>
      <c r="H2275" s="299" t="b">
        <v>0</v>
      </c>
      <c r="J2275" s="113" t="str">
        <f t="shared" si="71"/>
        <v>904535987</v>
      </c>
      <c r="K2275" s="113" t="str">
        <f t="shared" si="72"/>
        <v>CG02360</v>
      </c>
    </row>
    <row r="2276" spans="1:11" x14ac:dyDescent="0.3">
      <c r="A2276" s="298" t="s">
        <v>7631</v>
      </c>
      <c r="B2276" s="298" t="s">
        <v>7632</v>
      </c>
      <c r="C2276" s="298" t="s">
        <v>231</v>
      </c>
      <c r="D2276" s="298" t="s">
        <v>256</v>
      </c>
      <c r="E2276" s="298"/>
      <c r="F2276" s="298" t="s">
        <v>7633</v>
      </c>
      <c r="G2276" s="299" t="b">
        <v>0</v>
      </c>
      <c r="H2276" s="299" t="b">
        <v>0</v>
      </c>
      <c r="J2276" s="113" t="str">
        <f t="shared" si="71"/>
        <v>966884570</v>
      </c>
      <c r="K2276" s="113" t="str">
        <f t="shared" si="72"/>
        <v>CG02361</v>
      </c>
    </row>
    <row r="2277" spans="1:11" x14ac:dyDescent="0.3">
      <c r="A2277" s="298" t="s">
        <v>7634</v>
      </c>
      <c r="B2277" s="298" t="s">
        <v>7635</v>
      </c>
      <c r="C2277" s="298" t="s">
        <v>1335</v>
      </c>
      <c r="D2277" s="298" t="s">
        <v>256</v>
      </c>
      <c r="E2277" s="298"/>
      <c r="F2277" s="298" t="s">
        <v>7636</v>
      </c>
      <c r="G2277" s="299" t="b">
        <v>0</v>
      </c>
      <c r="H2277" s="299" t="b">
        <v>0</v>
      </c>
      <c r="J2277" s="113" t="str">
        <f t="shared" si="71"/>
        <v>982079169</v>
      </c>
      <c r="K2277" s="113" t="str">
        <f t="shared" si="72"/>
        <v>CG02362</v>
      </c>
    </row>
    <row r="2278" spans="1:11" x14ac:dyDescent="0.3">
      <c r="A2278" s="298" t="s">
        <v>7637</v>
      </c>
      <c r="B2278" s="298" t="s">
        <v>7638</v>
      </c>
      <c r="C2278" s="298" t="s">
        <v>2412</v>
      </c>
      <c r="D2278" s="298" t="s">
        <v>256</v>
      </c>
      <c r="E2278" s="298"/>
      <c r="F2278" s="298" t="s">
        <v>7639</v>
      </c>
      <c r="G2278" s="299" t="b">
        <v>0</v>
      </c>
      <c r="H2278" s="299" t="b">
        <v>0</v>
      </c>
      <c r="J2278" s="113" t="str">
        <f t="shared" si="71"/>
        <v>905837540</v>
      </c>
      <c r="K2278" s="113" t="str">
        <f t="shared" si="72"/>
        <v>CG02363</v>
      </c>
    </row>
    <row r="2279" spans="1:11" x14ac:dyDescent="0.3">
      <c r="A2279" s="298" t="s">
        <v>7640</v>
      </c>
      <c r="B2279" s="298" t="s">
        <v>7641</v>
      </c>
      <c r="C2279" s="298" t="s">
        <v>7642</v>
      </c>
      <c r="D2279" s="298" t="s">
        <v>256</v>
      </c>
      <c r="E2279" s="298"/>
      <c r="F2279" s="298" t="s">
        <v>7643</v>
      </c>
      <c r="G2279" s="299" t="b">
        <v>0</v>
      </c>
      <c r="H2279" s="299" t="b">
        <v>0</v>
      </c>
      <c r="J2279" s="113" t="str">
        <f t="shared" si="71"/>
        <v>911996777</v>
      </c>
      <c r="K2279" s="113" t="str">
        <f t="shared" si="72"/>
        <v>CG02364</v>
      </c>
    </row>
    <row r="2280" spans="1:11" x14ac:dyDescent="0.3">
      <c r="A2280" s="298" t="s">
        <v>7644</v>
      </c>
      <c r="B2280" s="298" t="s">
        <v>7645</v>
      </c>
      <c r="C2280" s="298" t="s">
        <v>7646</v>
      </c>
      <c r="D2280" s="298" t="s">
        <v>256</v>
      </c>
      <c r="E2280" s="298"/>
      <c r="F2280" s="298" t="s">
        <v>7647</v>
      </c>
      <c r="G2280" s="299" t="b">
        <v>0</v>
      </c>
      <c r="H2280" s="299" t="b">
        <v>0</v>
      </c>
      <c r="J2280" s="113" t="str">
        <f t="shared" si="71"/>
        <v>986704511</v>
      </c>
      <c r="K2280" s="113" t="str">
        <f t="shared" si="72"/>
        <v>CG02365</v>
      </c>
    </row>
    <row r="2281" spans="1:11" x14ac:dyDescent="0.3">
      <c r="A2281" s="298" t="s">
        <v>7648</v>
      </c>
      <c r="B2281" s="298" t="s">
        <v>7649</v>
      </c>
      <c r="C2281" s="298" t="s">
        <v>593</v>
      </c>
      <c r="D2281" s="298" t="s">
        <v>256</v>
      </c>
      <c r="E2281" s="298"/>
      <c r="F2281" s="298" t="s">
        <v>7650</v>
      </c>
      <c r="G2281" s="299" t="b">
        <v>0</v>
      </c>
      <c r="H2281" s="299" t="b">
        <v>0</v>
      </c>
      <c r="J2281" s="113" t="str">
        <f t="shared" si="71"/>
        <v>888457788</v>
      </c>
      <c r="K2281" s="113" t="str">
        <f t="shared" si="72"/>
        <v>CG02366</v>
      </c>
    </row>
    <row r="2282" spans="1:11" x14ac:dyDescent="0.3">
      <c r="A2282" s="298" t="s">
        <v>7651</v>
      </c>
      <c r="B2282" s="298" t="s">
        <v>7652</v>
      </c>
      <c r="C2282" s="298" t="s">
        <v>7653</v>
      </c>
      <c r="D2282" s="298" t="s">
        <v>256</v>
      </c>
      <c r="E2282" s="298"/>
      <c r="F2282" s="298" t="s">
        <v>7654</v>
      </c>
      <c r="G2282" s="299" t="b">
        <v>0</v>
      </c>
      <c r="H2282" s="299" t="b">
        <v>0</v>
      </c>
      <c r="J2282" s="113" t="str">
        <f t="shared" si="71"/>
        <v>978833203</v>
      </c>
      <c r="K2282" s="113" t="str">
        <f t="shared" si="72"/>
        <v>CG02367</v>
      </c>
    </row>
    <row r="2283" spans="1:11" x14ac:dyDescent="0.3">
      <c r="A2283" s="298" t="s">
        <v>7655</v>
      </c>
      <c r="B2283" s="298" t="s">
        <v>7656</v>
      </c>
      <c r="C2283" s="298" t="s">
        <v>593</v>
      </c>
      <c r="D2283" s="298" t="s">
        <v>256</v>
      </c>
      <c r="E2283" s="298"/>
      <c r="F2283" s="298" t="s">
        <v>7657</v>
      </c>
      <c r="G2283" s="299" t="b">
        <v>0</v>
      </c>
      <c r="H2283" s="299" t="b">
        <v>0</v>
      </c>
      <c r="J2283" s="113" t="str">
        <f t="shared" si="71"/>
        <v>946121693</v>
      </c>
      <c r="K2283" s="113" t="str">
        <f t="shared" si="72"/>
        <v>CG02368</v>
      </c>
    </row>
    <row r="2284" spans="1:11" x14ac:dyDescent="0.3">
      <c r="A2284" s="298" t="s">
        <v>7658</v>
      </c>
      <c r="B2284" s="298" t="s">
        <v>7659</v>
      </c>
      <c r="C2284" s="298" t="s">
        <v>289</v>
      </c>
      <c r="D2284" s="298" t="s">
        <v>256</v>
      </c>
      <c r="E2284" s="298"/>
      <c r="F2284" s="298" t="s">
        <v>7660</v>
      </c>
      <c r="G2284" s="299" t="b">
        <v>0</v>
      </c>
      <c r="H2284" s="299" t="b">
        <v>0</v>
      </c>
      <c r="J2284" s="113" t="str">
        <f t="shared" si="71"/>
        <v>914690107</v>
      </c>
      <c r="K2284" s="113" t="str">
        <f t="shared" si="72"/>
        <v>CG02369</v>
      </c>
    </row>
    <row r="2285" spans="1:11" x14ac:dyDescent="0.3">
      <c r="A2285" s="298" t="s">
        <v>7661</v>
      </c>
      <c r="B2285" s="298" t="s">
        <v>7662</v>
      </c>
      <c r="C2285" s="298" t="s">
        <v>541</v>
      </c>
      <c r="D2285" s="298" t="s">
        <v>256</v>
      </c>
      <c r="E2285" s="298"/>
      <c r="F2285" s="298" t="s">
        <v>7663</v>
      </c>
      <c r="G2285" s="299" t="b">
        <v>0</v>
      </c>
      <c r="H2285" s="299" t="b">
        <v>0</v>
      </c>
      <c r="J2285" s="113" t="str">
        <f t="shared" si="71"/>
        <v>982186389</v>
      </c>
      <c r="K2285" s="113" t="str">
        <f t="shared" si="72"/>
        <v>CG02370</v>
      </c>
    </row>
    <row r="2286" spans="1:11" x14ac:dyDescent="0.3">
      <c r="A2286" s="298" t="s">
        <v>7664</v>
      </c>
      <c r="B2286" s="298" t="s">
        <v>7665</v>
      </c>
      <c r="C2286" s="298" t="s">
        <v>2160</v>
      </c>
      <c r="D2286" s="298" t="s">
        <v>256</v>
      </c>
      <c r="E2286" s="298"/>
      <c r="F2286" s="298" t="s">
        <v>7666</v>
      </c>
      <c r="G2286" s="299" t="b">
        <v>0</v>
      </c>
      <c r="H2286" s="299" t="b">
        <v>0</v>
      </c>
      <c r="J2286" s="113" t="str">
        <f t="shared" si="71"/>
        <v>904806201</v>
      </c>
      <c r="K2286" s="113" t="str">
        <f t="shared" si="72"/>
        <v>CG02371</v>
      </c>
    </row>
    <row r="2287" spans="1:11" x14ac:dyDescent="0.3">
      <c r="A2287" s="298" t="s">
        <v>7667</v>
      </c>
      <c r="B2287" s="298" t="s">
        <v>7668</v>
      </c>
      <c r="C2287" s="298" t="s">
        <v>7669</v>
      </c>
      <c r="D2287" s="298" t="s">
        <v>256</v>
      </c>
      <c r="E2287" s="298"/>
      <c r="F2287" s="298" t="s">
        <v>7670</v>
      </c>
      <c r="G2287" s="299" t="b">
        <v>0</v>
      </c>
      <c r="H2287" s="299" t="b">
        <v>0</v>
      </c>
      <c r="J2287" s="113" t="str">
        <f t="shared" si="71"/>
        <v>916781799</v>
      </c>
      <c r="K2287" s="113" t="str">
        <f t="shared" si="72"/>
        <v>CG02372</v>
      </c>
    </row>
    <row r="2288" spans="1:11" x14ac:dyDescent="0.3">
      <c r="A2288" s="298" t="s">
        <v>7671</v>
      </c>
      <c r="B2288" s="298" t="s">
        <v>7672</v>
      </c>
      <c r="C2288" s="298" t="s">
        <v>340</v>
      </c>
      <c r="D2288" s="298" t="s">
        <v>256</v>
      </c>
      <c r="E2288" s="298"/>
      <c r="F2288" s="298" t="s">
        <v>7673</v>
      </c>
      <c r="G2288" s="299" t="b">
        <v>0</v>
      </c>
      <c r="H2288" s="299" t="b">
        <v>0</v>
      </c>
      <c r="J2288" s="113" t="str">
        <f t="shared" si="71"/>
        <v>969269333</v>
      </c>
      <c r="K2288" s="113" t="str">
        <f t="shared" si="72"/>
        <v>CG02373</v>
      </c>
    </row>
    <row r="2289" spans="1:11" x14ac:dyDescent="0.3">
      <c r="A2289" s="298" t="s">
        <v>7674</v>
      </c>
      <c r="B2289" s="298" t="s">
        <v>7675</v>
      </c>
      <c r="C2289" s="298" t="s">
        <v>7676</v>
      </c>
      <c r="D2289" s="298" t="s">
        <v>256</v>
      </c>
      <c r="E2289" s="298"/>
      <c r="F2289" s="298" t="s">
        <v>7677</v>
      </c>
      <c r="G2289" s="299" t="b">
        <v>0</v>
      </c>
      <c r="H2289" s="299" t="b">
        <v>0</v>
      </c>
      <c r="J2289" s="113" t="str">
        <f t="shared" si="71"/>
        <v>915024890</v>
      </c>
      <c r="K2289" s="113" t="str">
        <f t="shared" si="72"/>
        <v>CG02374</v>
      </c>
    </row>
    <row r="2290" spans="1:11" x14ac:dyDescent="0.3">
      <c r="A2290" s="298" t="s">
        <v>7678</v>
      </c>
      <c r="B2290" s="298" t="s">
        <v>7679</v>
      </c>
      <c r="C2290" s="298" t="s">
        <v>7680</v>
      </c>
      <c r="D2290" s="298" t="s">
        <v>256</v>
      </c>
      <c r="E2290" s="298"/>
      <c r="F2290" s="298" t="s">
        <v>7681</v>
      </c>
      <c r="G2290" s="299" t="b">
        <v>0</v>
      </c>
      <c r="H2290" s="299" t="b">
        <v>0</v>
      </c>
      <c r="J2290" s="113" t="str">
        <f t="shared" si="71"/>
        <v>978730272</v>
      </c>
      <c r="K2290" s="113" t="str">
        <f t="shared" si="72"/>
        <v>CG02375</v>
      </c>
    </row>
    <row r="2291" spans="1:11" x14ac:dyDescent="0.3">
      <c r="A2291" s="298" t="s">
        <v>7682</v>
      </c>
      <c r="B2291" s="298" t="s">
        <v>7683</v>
      </c>
      <c r="C2291" s="298" t="s">
        <v>613</v>
      </c>
      <c r="D2291" s="298" t="s">
        <v>256</v>
      </c>
      <c r="E2291" s="298"/>
      <c r="F2291" s="298" t="s">
        <v>7684</v>
      </c>
      <c r="G2291" s="299" t="b">
        <v>0</v>
      </c>
      <c r="H2291" s="299" t="b">
        <v>0</v>
      </c>
      <c r="J2291" s="113" t="str">
        <f t="shared" si="71"/>
        <v>936511309</v>
      </c>
      <c r="K2291" s="113" t="str">
        <f t="shared" si="72"/>
        <v>CG02376</v>
      </c>
    </row>
    <row r="2292" spans="1:11" x14ac:dyDescent="0.3">
      <c r="A2292" s="298" t="s">
        <v>7685</v>
      </c>
      <c r="B2292" s="298" t="s">
        <v>7686</v>
      </c>
      <c r="C2292" s="298" t="s">
        <v>3253</v>
      </c>
      <c r="D2292" s="298" t="s">
        <v>256</v>
      </c>
      <c r="E2292" s="298"/>
      <c r="F2292" s="298" t="s">
        <v>7687</v>
      </c>
      <c r="G2292" s="299" t="b">
        <v>0</v>
      </c>
      <c r="H2292" s="299" t="b">
        <v>0</v>
      </c>
      <c r="J2292" s="113" t="str">
        <f t="shared" si="71"/>
        <v>928315582</v>
      </c>
      <c r="K2292" s="113" t="str">
        <f t="shared" si="72"/>
        <v>CG02377</v>
      </c>
    </row>
    <row r="2293" spans="1:11" x14ac:dyDescent="0.3">
      <c r="A2293" s="298" t="s">
        <v>7688</v>
      </c>
      <c r="B2293" s="298" t="s">
        <v>7689</v>
      </c>
      <c r="C2293" s="298" t="s">
        <v>7690</v>
      </c>
      <c r="D2293" s="298" t="s">
        <v>256</v>
      </c>
      <c r="E2293" s="298"/>
      <c r="F2293" s="298" t="s">
        <v>7691</v>
      </c>
      <c r="G2293" s="299" t="b">
        <v>0</v>
      </c>
      <c r="H2293" s="299" t="b">
        <v>0</v>
      </c>
      <c r="J2293" s="113" t="str">
        <f t="shared" si="71"/>
        <v>919133717</v>
      </c>
      <c r="K2293" s="113" t="str">
        <f t="shared" si="72"/>
        <v>CG02378</v>
      </c>
    </row>
    <row r="2294" spans="1:11" x14ac:dyDescent="0.3">
      <c r="A2294" s="298" t="s">
        <v>7692</v>
      </c>
      <c r="B2294" s="298" t="s">
        <v>7693</v>
      </c>
      <c r="C2294" s="298" t="s">
        <v>2114</v>
      </c>
      <c r="D2294" s="298" t="s">
        <v>256</v>
      </c>
      <c r="E2294" s="298"/>
      <c r="F2294" s="298" t="s">
        <v>7694</v>
      </c>
      <c r="G2294" s="299" t="b">
        <v>0</v>
      </c>
      <c r="H2294" s="299" t="b">
        <v>0</v>
      </c>
      <c r="J2294" s="113" t="str">
        <f t="shared" si="71"/>
        <v>379999889</v>
      </c>
      <c r="K2294" s="113" t="str">
        <f t="shared" si="72"/>
        <v>CG02379</v>
      </c>
    </row>
    <row r="2295" spans="1:11" x14ac:dyDescent="0.3">
      <c r="A2295" s="298" t="s">
        <v>7695</v>
      </c>
      <c r="B2295" s="298" t="s">
        <v>7696</v>
      </c>
      <c r="C2295" s="298" t="s">
        <v>7697</v>
      </c>
      <c r="D2295" s="298" t="s">
        <v>256</v>
      </c>
      <c r="E2295" s="298"/>
      <c r="F2295" s="298" t="s">
        <v>7698</v>
      </c>
      <c r="G2295" s="299" t="b">
        <v>0</v>
      </c>
      <c r="H2295" s="299" t="b">
        <v>0</v>
      </c>
      <c r="J2295" s="113" t="str">
        <f t="shared" si="71"/>
        <v>965655296</v>
      </c>
      <c r="K2295" s="113" t="str">
        <f t="shared" si="72"/>
        <v>CG02380</v>
      </c>
    </row>
    <row r="2296" spans="1:11" x14ac:dyDescent="0.3">
      <c r="A2296" s="298" t="s">
        <v>7699</v>
      </c>
      <c r="B2296" s="298" t="s">
        <v>7700</v>
      </c>
      <c r="C2296" s="298" t="s">
        <v>938</v>
      </c>
      <c r="D2296" s="298" t="s">
        <v>256</v>
      </c>
      <c r="E2296" s="298"/>
      <c r="F2296" s="298" t="s">
        <v>7701</v>
      </c>
      <c r="G2296" s="299" t="b">
        <v>0</v>
      </c>
      <c r="H2296" s="299" t="b">
        <v>0</v>
      </c>
      <c r="J2296" s="113" t="str">
        <f t="shared" si="71"/>
        <v>941664466</v>
      </c>
      <c r="K2296" s="113" t="str">
        <f t="shared" si="72"/>
        <v>CG02381</v>
      </c>
    </row>
    <row r="2297" spans="1:11" x14ac:dyDescent="0.3">
      <c r="A2297" s="298" t="s">
        <v>7702</v>
      </c>
      <c r="B2297" s="298" t="s">
        <v>7703</v>
      </c>
      <c r="C2297" s="298" t="s">
        <v>289</v>
      </c>
      <c r="D2297" s="298" t="s">
        <v>256</v>
      </c>
      <c r="E2297" s="298"/>
      <c r="F2297" s="298" t="s">
        <v>7704</v>
      </c>
      <c r="G2297" s="299" t="b">
        <v>0</v>
      </c>
      <c r="H2297" s="299" t="b">
        <v>0</v>
      </c>
      <c r="J2297" s="113" t="str">
        <f t="shared" si="71"/>
        <v>912526819</v>
      </c>
      <c r="K2297" s="113" t="str">
        <f t="shared" si="72"/>
        <v>CG02382</v>
      </c>
    </row>
    <row r="2298" spans="1:11" x14ac:dyDescent="0.3">
      <c r="A2298" s="298" t="s">
        <v>7705</v>
      </c>
      <c r="B2298" s="298" t="s">
        <v>7706</v>
      </c>
      <c r="C2298" s="298" t="s">
        <v>378</v>
      </c>
      <c r="D2298" s="298" t="s">
        <v>256</v>
      </c>
      <c r="E2298" s="298"/>
      <c r="F2298" s="298" t="s">
        <v>7707</v>
      </c>
      <c r="G2298" s="299" t="b">
        <v>0</v>
      </c>
      <c r="H2298" s="299" t="b">
        <v>0</v>
      </c>
      <c r="J2298" s="113" t="str">
        <f t="shared" si="71"/>
        <v>974005359</v>
      </c>
      <c r="K2298" s="113" t="str">
        <f t="shared" si="72"/>
        <v>CG02383</v>
      </c>
    </row>
    <row r="2299" spans="1:11" x14ac:dyDescent="0.3">
      <c r="A2299" s="298" t="s">
        <v>7708</v>
      </c>
      <c r="B2299" s="298" t="s">
        <v>7709</v>
      </c>
      <c r="C2299" s="298" t="s">
        <v>593</v>
      </c>
      <c r="D2299" s="298" t="s">
        <v>256</v>
      </c>
      <c r="E2299" s="298"/>
      <c r="F2299" s="298" t="s">
        <v>7710</v>
      </c>
      <c r="G2299" s="299" t="b">
        <v>0</v>
      </c>
      <c r="H2299" s="299" t="b">
        <v>0</v>
      </c>
      <c r="J2299" s="113" t="str">
        <f t="shared" si="71"/>
        <v>985186966</v>
      </c>
      <c r="K2299" s="113" t="str">
        <f t="shared" si="72"/>
        <v>CG02384</v>
      </c>
    </row>
    <row r="2300" spans="1:11" x14ac:dyDescent="0.3">
      <c r="A2300" s="298" t="s">
        <v>7711</v>
      </c>
      <c r="B2300" s="298" t="s">
        <v>7712</v>
      </c>
      <c r="C2300" s="298" t="s">
        <v>993</v>
      </c>
      <c r="D2300" s="298" t="s">
        <v>256</v>
      </c>
      <c r="E2300" s="298"/>
      <c r="F2300" s="298" t="s">
        <v>7713</v>
      </c>
      <c r="G2300" s="299" t="b">
        <v>0</v>
      </c>
      <c r="H2300" s="299" t="b">
        <v>0</v>
      </c>
      <c r="J2300" s="113" t="str">
        <f t="shared" si="71"/>
        <v>974840893</v>
      </c>
      <c r="K2300" s="113" t="str">
        <f t="shared" si="72"/>
        <v>CG02385</v>
      </c>
    </row>
    <row r="2301" spans="1:11" x14ac:dyDescent="0.3">
      <c r="A2301" s="298" t="s">
        <v>7714</v>
      </c>
      <c r="B2301" s="298" t="s">
        <v>7715</v>
      </c>
      <c r="C2301" s="298" t="s">
        <v>711</v>
      </c>
      <c r="D2301" s="298" t="s">
        <v>256</v>
      </c>
      <c r="E2301" s="298"/>
      <c r="F2301" s="298" t="s">
        <v>7716</v>
      </c>
      <c r="G2301" s="299" t="b">
        <v>0</v>
      </c>
      <c r="H2301" s="299" t="b">
        <v>0</v>
      </c>
      <c r="J2301" s="113" t="str">
        <f t="shared" si="71"/>
        <v>974027075</v>
      </c>
      <c r="K2301" s="113" t="str">
        <f t="shared" si="72"/>
        <v>CG02386</v>
      </c>
    </row>
    <row r="2302" spans="1:11" x14ac:dyDescent="0.3">
      <c r="A2302" s="298" t="s">
        <v>7717</v>
      </c>
      <c r="B2302" s="298" t="s">
        <v>7718</v>
      </c>
      <c r="C2302" s="298" t="s">
        <v>4297</v>
      </c>
      <c r="D2302" s="298" t="s">
        <v>256</v>
      </c>
      <c r="E2302" s="298"/>
      <c r="F2302" s="298" t="s">
        <v>7719</v>
      </c>
      <c r="G2302" s="299" t="b">
        <v>0</v>
      </c>
      <c r="H2302" s="299" t="b">
        <v>0</v>
      </c>
      <c r="J2302" s="113" t="str">
        <f t="shared" si="71"/>
        <v>973767656</v>
      </c>
      <c r="K2302" s="113" t="str">
        <f t="shared" si="72"/>
        <v>CG02387</v>
      </c>
    </row>
    <row r="2303" spans="1:11" x14ac:dyDescent="0.3">
      <c r="A2303" s="298" t="s">
        <v>7720</v>
      </c>
      <c r="B2303" s="298" t="s">
        <v>7721</v>
      </c>
      <c r="C2303" s="298" t="s">
        <v>1587</v>
      </c>
      <c r="D2303" s="298" t="s">
        <v>256</v>
      </c>
      <c r="E2303" s="298"/>
      <c r="F2303" s="298" t="s">
        <v>7722</v>
      </c>
      <c r="G2303" s="299" t="b">
        <v>0</v>
      </c>
      <c r="H2303" s="299" t="b">
        <v>0</v>
      </c>
      <c r="J2303" s="113" t="str">
        <f t="shared" si="71"/>
        <v>886456989</v>
      </c>
      <c r="K2303" s="113" t="str">
        <f t="shared" si="72"/>
        <v>CG02388</v>
      </c>
    </row>
    <row r="2304" spans="1:11" x14ac:dyDescent="0.3">
      <c r="A2304" s="298" t="s">
        <v>7723</v>
      </c>
      <c r="B2304" s="298" t="s">
        <v>7724</v>
      </c>
      <c r="C2304" s="298" t="s">
        <v>335</v>
      </c>
      <c r="D2304" s="298" t="s">
        <v>256</v>
      </c>
      <c r="E2304" s="298"/>
      <c r="F2304" s="298" t="s">
        <v>7725</v>
      </c>
      <c r="G2304" s="299" t="b">
        <v>0</v>
      </c>
      <c r="H2304" s="299" t="b">
        <v>0</v>
      </c>
      <c r="J2304" s="113" t="str">
        <f t="shared" si="71"/>
        <v>972934907</v>
      </c>
      <c r="K2304" s="113" t="str">
        <f t="shared" si="72"/>
        <v>CG02389</v>
      </c>
    </row>
    <row r="2305" spans="1:11" x14ac:dyDescent="0.3">
      <c r="A2305" s="298" t="s">
        <v>7726</v>
      </c>
      <c r="B2305" s="298" t="s">
        <v>14682</v>
      </c>
      <c r="C2305" s="298" t="s">
        <v>231</v>
      </c>
      <c r="D2305" s="298" t="s">
        <v>256</v>
      </c>
      <c r="E2305" s="298"/>
      <c r="F2305" s="298" t="s">
        <v>7727</v>
      </c>
      <c r="G2305" s="299" t="b">
        <v>0</v>
      </c>
      <c r="H2305" s="299" t="b">
        <v>0</v>
      </c>
      <c r="J2305" s="113" t="str">
        <f t="shared" si="71"/>
        <v>968116522</v>
      </c>
      <c r="K2305" s="113" t="str">
        <f t="shared" si="72"/>
        <v>CG02390</v>
      </c>
    </row>
    <row r="2306" spans="1:11" x14ac:dyDescent="0.3">
      <c r="A2306" s="298" t="s">
        <v>7728</v>
      </c>
      <c r="B2306" s="298" t="s">
        <v>7729</v>
      </c>
      <c r="C2306" s="298" t="s">
        <v>416</v>
      </c>
      <c r="D2306" s="298" t="s">
        <v>256</v>
      </c>
      <c r="E2306" s="298"/>
      <c r="F2306" s="298" t="s">
        <v>7730</v>
      </c>
      <c r="G2306" s="299" t="b">
        <v>0</v>
      </c>
      <c r="H2306" s="299" t="b">
        <v>0</v>
      </c>
      <c r="J2306" s="113" t="str">
        <f t="shared" si="71"/>
        <v>984092268</v>
      </c>
      <c r="K2306" s="113" t="str">
        <f t="shared" si="72"/>
        <v>CG02391</v>
      </c>
    </row>
    <row r="2307" spans="1:11" x14ac:dyDescent="0.3">
      <c r="A2307" s="298" t="s">
        <v>7731</v>
      </c>
      <c r="B2307" s="298" t="s">
        <v>7732</v>
      </c>
      <c r="C2307" s="298" t="s">
        <v>231</v>
      </c>
      <c r="D2307" s="298" t="s">
        <v>256</v>
      </c>
      <c r="E2307" s="298"/>
      <c r="F2307" s="298" t="s">
        <v>7733</v>
      </c>
      <c r="G2307" s="299" t="b">
        <v>0</v>
      </c>
      <c r="H2307" s="299" t="b">
        <v>0</v>
      </c>
      <c r="J2307" s="113" t="str">
        <f t="shared" si="71"/>
        <v>913345004</v>
      </c>
      <c r="K2307" s="113" t="str">
        <f t="shared" si="72"/>
        <v>CG02392</v>
      </c>
    </row>
    <row r="2308" spans="1:11" x14ac:dyDescent="0.3">
      <c r="A2308" s="298" t="s">
        <v>7734</v>
      </c>
      <c r="B2308" s="298" t="s">
        <v>7735</v>
      </c>
      <c r="C2308" s="298" t="s">
        <v>416</v>
      </c>
      <c r="D2308" s="298" t="s">
        <v>256</v>
      </c>
      <c r="E2308" s="298"/>
      <c r="F2308" s="298" t="s">
        <v>7736</v>
      </c>
      <c r="G2308" s="299" t="b">
        <v>0</v>
      </c>
      <c r="H2308" s="299" t="b">
        <v>0</v>
      </c>
      <c r="J2308" s="113" t="str">
        <f t="shared" si="71"/>
        <v>915401233</v>
      </c>
      <c r="K2308" s="113" t="str">
        <f t="shared" si="72"/>
        <v>CG02393</v>
      </c>
    </row>
    <row r="2309" spans="1:11" x14ac:dyDescent="0.3">
      <c r="A2309" s="298" t="s">
        <v>7737</v>
      </c>
      <c r="B2309" s="298" t="s">
        <v>7738</v>
      </c>
      <c r="C2309" s="298" t="s">
        <v>416</v>
      </c>
      <c r="D2309" s="298" t="s">
        <v>256</v>
      </c>
      <c r="E2309" s="298"/>
      <c r="F2309" s="298" t="s">
        <v>7739</v>
      </c>
      <c r="G2309" s="299" t="b">
        <v>0</v>
      </c>
      <c r="H2309" s="299" t="b">
        <v>0</v>
      </c>
      <c r="J2309" s="113" t="str">
        <f t="shared" ref="J2309:J2372" si="73">RIGHT(B2309,9)</f>
        <v>906117757</v>
      </c>
      <c r="K2309" s="113" t="str">
        <f t="shared" ref="K2309:K2372" si="74">A2309</f>
        <v>CG02394</v>
      </c>
    </row>
    <row r="2310" spans="1:11" x14ac:dyDescent="0.3">
      <c r="A2310" s="298" t="s">
        <v>7740</v>
      </c>
      <c r="B2310" s="298" t="s">
        <v>7741</v>
      </c>
      <c r="C2310" s="298" t="s">
        <v>355</v>
      </c>
      <c r="D2310" s="298" t="s">
        <v>256</v>
      </c>
      <c r="E2310" s="298"/>
      <c r="F2310" s="298" t="s">
        <v>7742</v>
      </c>
      <c r="G2310" s="299" t="b">
        <v>0</v>
      </c>
      <c r="H2310" s="299" t="b">
        <v>0</v>
      </c>
      <c r="J2310" s="113" t="str">
        <f t="shared" si="73"/>
        <v>929162478</v>
      </c>
      <c r="K2310" s="113" t="str">
        <f t="shared" si="74"/>
        <v>CG02395</v>
      </c>
    </row>
    <row r="2311" spans="1:11" x14ac:dyDescent="0.3">
      <c r="A2311" s="298" t="s">
        <v>7743</v>
      </c>
      <c r="B2311" s="298" t="s">
        <v>7744</v>
      </c>
      <c r="C2311" s="298" t="s">
        <v>541</v>
      </c>
      <c r="D2311" s="298" t="s">
        <v>256</v>
      </c>
      <c r="E2311" s="298"/>
      <c r="F2311" s="298" t="s">
        <v>7745</v>
      </c>
      <c r="G2311" s="299" t="b">
        <v>0</v>
      </c>
      <c r="H2311" s="299" t="b">
        <v>0</v>
      </c>
      <c r="J2311" s="113" t="str">
        <f t="shared" si="73"/>
        <v>912968336</v>
      </c>
      <c r="K2311" s="113" t="str">
        <f t="shared" si="74"/>
        <v>CG02396</v>
      </c>
    </row>
    <row r="2312" spans="1:11" x14ac:dyDescent="0.3">
      <c r="A2312" s="298" t="s">
        <v>7746</v>
      </c>
      <c r="B2312" s="298" t="s">
        <v>7747</v>
      </c>
      <c r="C2312" s="298" t="s">
        <v>711</v>
      </c>
      <c r="D2312" s="298" t="s">
        <v>256</v>
      </c>
      <c r="E2312" s="298"/>
      <c r="F2312" s="298" t="s">
        <v>7748</v>
      </c>
      <c r="G2312" s="299" t="b">
        <v>0</v>
      </c>
      <c r="H2312" s="299" t="b">
        <v>0</v>
      </c>
      <c r="J2312" s="113" t="str">
        <f t="shared" si="73"/>
        <v>976600116</v>
      </c>
      <c r="K2312" s="113" t="str">
        <f t="shared" si="74"/>
        <v>CG02397</v>
      </c>
    </row>
    <row r="2313" spans="1:11" x14ac:dyDescent="0.3">
      <c r="A2313" s="298" t="s">
        <v>7749</v>
      </c>
      <c r="B2313" s="298" t="s">
        <v>7750</v>
      </c>
      <c r="C2313" s="298" t="s">
        <v>3516</v>
      </c>
      <c r="D2313" s="298" t="s">
        <v>256</v>
      </c>
      <c r="E2313" s="298"/>
      <c r="F2313" s="298" t="s">
        <v>7751</v>
      </c>
      <c r="G2313" s="299" t="b">
        <v>0</v>
      </c>
      <c r="H2313" s="299" t="b">
        <v>0</v>
      </c>
      <c r="J2313" s="113" t="str">
        <f t="shared" si="73"/>
        <v>989977846</v>
      </c>
      <c r="K2313" s="113" t="str">
        <f t="shared" si="74"/>
        <v>CG02398</v>
      </c>
    </row>
    <row r="2314" spans="1:11" x14ac:dyDescent="0.3">
      <c r="A2314" s="298" t="s">
        <v>7752</v>
      </c>
      <c r="B2314" s="298" t="s">
        <v>7753</v>
      </c>
      <c r="C2314" s="298" t="s">
        <v>477</v>
      </c>
      <c r="D2314" s="298" t="s">
        <v>256</v>
      </c>
      <c r="E2314" s="298"/>
      <c r="F2314" s="298" t="s">
        <v>7754</v>
      </c>
      <c r="G2314" s="299" t="b">
        <v>0</v>
      </c>
      <c r="H2314" s="299" t="b">
        <v>0</v>
      </c>
      <c r="J2314" s="113" t="str">
        <f t="shared" si="73"/>
        <v>342794958</v>
      </c>
      <c r="K2314" s="113" t="str">
        <f t="shared" si="74"/>
        <v>CG02399</v>
      </c>
    </row>
    <row r="2315" spans="1:11" x14ac:dyDescent="0.3">
      <c r="A2315" s="298" t="s">
        <v>7755</v>
      </c>
      <c r="B2315" s="298" t="s">
        <v>7756</v>
      </c>
      <c r="C2315" s="298" t="s">
        <v>452</v>
      </c>
      <c r="D2315" s="298" t="s">
        <v>256</v>
      </c>
      <c r="E2315" s="298"/>
      <c r="F2315" s="298" t="s">
        <v>7757</v>
      </c>
      <c r="G2315" s="299" t="b">
        <v>0</v>
      </c>
      <c r="H2315" s="299" t="b">
        <v>0</v>
      </c>
      <c r="J2315" s="113" t="str">
        <f t="shared" si="73"/>
        <v>369556218</v>
      </c>
      <c r="K2315" s="113" t="str">
        <f t="shared" si="74"/>
        <v>CG02400</v>
      </c>
    </row>
    <row r="2316" spans="1:11" x14ac:dyDescent="0.3">
      <c r="A2316" s="298" t="s">
        <v>7758</v>
      </c>
      <c r="B2316" s="298" t="s">
        <v>7759</v>
      </c>
      <c r="C2316" s="298" t="s">
        <v>541</v>
      </c>
      <c r="D2316" s="298" t="s">
        <v>256</v>
      </c>
      <c r="E2316" s="298"/>
      <c r="F2316" s="298" t="s">
        <v>7760</v>
      </c>
      <c r="G2316" s="299" t="b">
        <v>0</v>
      </c>
      <c r="H2316" s="299" t="b">
        <v>0</v>
      </c>
      <c r="J2316" s="113" t="str">
        <f t="shared" si="73"/>
        <v>962964666</v>
      </c>
      <c r="K2316" s="113" t="str">
        <f t="shared" si="74"/>
        <v>CG02401</v>
      </c>
    </row>
    <row r="2317" spans="1:11" x14ac:dyDescent="0.3">
      <c r="A2317" s="298" t="s">
        <v>7761</v>
      </c>
      <c r="B2317" s="298" t="s">
        <v>7762</v>
      </c>
      <c r="C2317" s="298" t="s">
        <v>1386</v>
      </c>
      <c r="D2317" s="298" t="s">
        <v>256</v>
      </c>
      <c r="E2317" s="298"/>
      <c r="F2317" s="298" t="s">
        <v>7763</v>
      </c>
      <c r="G2317" s="299" t="b">
        <v>0</v>
      </c>
      <c r="H2317" s="299" t="b">
        <v>0</v>
      </c>
      <c r="J2317" s="113" t="str">
        <f t="shared" si="73"/>
        <v>984865269</v>
      </c>
      <c r="K2317" s="113" t="str">
        <f t="shared" si="74"/>
        <v>CG02402</v>
      </c>
    </row>
    <row r="2318" spans="1:11" x14ac:dyDescent="0.3">
      <c r="A2318" s="298" t="s">
        <v>7764</v>
      </c>
      <c r="B2318" s="298" t="s">
        <v>7765</v>
      </c>
      <c r="C2318" s="298" t="s">
        <v>355</v>
      </c>
      <c r="D2318" s="298" t="s">
        <v>256</v>
      </c>
      <c r="E2318" s="298"/>
      <c r="F2318" s="298" t="s">
        <v>7766</v>
      </c>
      <c r="G2318" s="299" t="b">
        <v>0</v>
      </c>
      <c r="H2318" s="299" t="b">
        <v>0</v>
      </c>
      <c r="J2318" s="113" t="str">
        <f t="shared" si="73"/>
        <v>934208778</v>
      </c>
      <c r="K2318" s="113" t="str">
        <f t="shared" si="74"/>
        <v>CG02403</v>
      </c>
    </row>
    <row r="2319" spans="1:11" x14ac:dyDescent="0.3">
      <c r="A2319" s="298" t="s">
        <v>7767</v>
      </c>
      <c r="B2319" s="298" t="s">
        <v>7768</v>
      </c>
      <c r="C2319" s="298" t="s">
        <v>7769</v>
      </c>
      <c r="D2319" s="298" t="s">
        <v>256</v>
      </c>
      <c r="E2319" s="298"/>
      <c r="F2319" s="298" t="s">
        <v>7770</v>
      </c>
      <c r="G2319" s="299" t="b">
        <v>0</v>
      </c>
      <c r="H2319" s="299" t="b">
        <v>0</v>
      </c>
      <c r="J2319" s="113" t="str">
        <f t="shared" si="73"/>
        <v>966337147</v>
      </c>
      <c r="K2319" s="113" t="str">
        <f t="shared" si="74"/>
        <v>CG02404</v>
      </c>
    </row>
    <row r="2320" spans="1:11" x14ac:dyDescent="0.3">
      <c r="A2320" s="298" t="s">
        <v>7771</v>
      </c>
      <c r="B2320" s="298" t="s">
        <v>7772</v>
      </c>
      <c r="C2320" s="298" t="s">
        <v>7769</v>
      </c>
      <c r="D2320" s="298" t="s">
        <v>256</v>
      </c>
      <c r="E2320" s="298"/>
      <c r="F2320" s="298" t="s">
        <v>7773</v>
      </c>
      <c r="G2320" s="299" t="b">
        <v>0</v>
      </c>
      <c r="H2320" s="299" t="b">
        <v>0</v>
      </c>
      <c r="J2320" s="113" t="str">
        <f t="shared" si="73"/>
        <v>912639692</v>
      </c>
      <c r="K2320" s="113" t="str">
        <f t="shared" si="74"/>
        <v>CG02405</v>
      </c>
    </row>
    <row r="2321" spans="1:11" x14ac:dyDescent="0.3">
      <c r="A2321" s="298" t="s">
        <v>7774</v>
      </c>
      <c r="B2321" s="298" t="s">
        <v>7775</v>
      </c>
      <c r="C2321" s="298" t="s">
        <v>7776</v>
      </c>
      <c r="D2321" s="298" t="s">
        <v>256</v>
      </c>
      <c r="E2321" s="298"/>
      <c r="F2321" s="298" t="s">
        <v>7777</v>
      </c>
      <c r="G2321" s="299" t="b">
        <v>0</v>
      </c>
      <c r="H2321" s="299" t="b">
        <v>0</v>
      </c>
      <c r="J2321" s="113" t="str">
        <f t="shared" si="73"/>
        <v>982432755</v>
      </c>
      <c r="K2321" s="113" t="str">
        <f t="shared" si="74"/>
        <v>CG02406</v>
      </c>
    </row>
    <row r="2322" spans="1:11" x14ac:dyDescent="0.3">
      <c r="A2322" s="298" t="s">
        <v>7778</v>
      </c>
      <c r="B2322" s="298" t="s">
        <v>7779</v>
      </c>
      <c r="C2322" s="298" t="s">
        <v>831</v>
      </c>
      <c r="D2322" s="298" t="s">
        <v>256</v>
      </c>
      <c r="E2322" s="298"/>
      <c r="F2322" s="298" t="s">
        <v>7780</v>
      </c>
      <c r="G2322" s="299" t="b">
        <v>0</v>
      </c>
      <c r="H2322" s="299" t="b">
        <v>0</v>
      </c>
      <c r="J2322" s="113" t="str">
        <f t="shared" si="73"/>
        <v xml:space="preserve">02201127 </v>
      </c>
      <c r="K2322" s="113" t="str">
        <f t="shared" si="74"/>
        <v>CG02407</v>
      </c>
    </row>
    <row r="2323" spans="1:11" x14ac:dyDescent="0.3">
      <c r="A2323" s="298" t="s">
        <v>7781</v>
      </c>
      <c r="B2323" s="298" t="s">
        <v>7782</v>
      </c>
      <c r="C2323" s="298" t="s">
        <v>7783</v>
      </c>
      <c r="D2323" s="298" t="s">
        <v>256</v>
      </c>
      <c r="E2323" s="298"/>
      <c r="F2323" s="298" t="s">
        <v>7784</v>
      </c>
      <c r="G2323" s="299" t="b">
        <v>0</v>
      </c>
      <c r="H2323" s="299" t="b">
        <v>0</v>
      </c>
      <c r="J2323" s="113" t="str">
        <f t="shared" si="73"/>
        <v>988891826</v>
      </c>
      <c r="K2323" s="113" t="str">
        <f t="shared" si="74"/>
        <v>CG02408</v>
      </c>
    </row>
    <row r="2324" spans="1:11" x14ac:dyDescent="0.3">
      <c r="A2324" s="298" t="s">
        <v>7785</v>
      </c>
      <c r="B2324" s="298" t="s">
        <v>7786</v>
      </c>
      <c r="C2324" s="298" t="s">
        <v>5490</v>
      </c>
      <c r="D2324" s="298" t="s">
        <v>256</v>
      </c>
      <c r="E2324" s="298"/>
      <c r="F2324" s="298" t="s">
        <v>7787</v>
      </c>
      <c r="G2324" s="299" t="b">
        <v>0</v>
      </c>
      <c r="H2324" s="299" t="b">
        <v>0</v>
      </c>
      <c r="J2324" s="113" t="str">
        <f t="shared" si="73"/>
        <v>904234899</v>
      </c>
      <c r="K2324" s="113" t="str">
        <f t="shared" si="74"/>
        <v>CG02409</v>
      </c>
    </row>
    <row r="2325" spans="1:11" x14ac:dyDescent="0.3">
      <c r="A2325" s="298" t="s">
        <v>7788</v>
      </c>
      <c r="B2325" s="298" t="s">
        <v>7789</v>
      </c>
      <c r="C2325" s="298" t="s">
        <v>452</v>
      </c>
      <c r="D2325" s="298" t="s">
        <v>256</v>
      </c>
      <c r="E2325" s="298"/>
      <c r="F2325" s="298" t="s">
        <v>7790</v>
      </c>
      <c r="G2325" s="299" t="b">
        <v>0</v>
      </c>
      <c r="H2325" s="299" t="b">
        <v>0</v>
      </c>
      <c r="J2325" s="113" t="str">
        <f t="shared" si="73"/>
        <v>705656134</v>
      </c>
      <c r="K2325" s="113" t="str">
        <f t="shared" si="74"/>
        <v>CG02410</v>
      </c>
    </row>
    <row r="2326" spans="1:11" x14ac:dyDescent="0.3">
      <c r="A2326" s="298" t="s">
        <v>7791</v>
      </c>
      <c r="B2326" s="298" t="s">
        <v>7792</v>
      </c>
      <c r="C2326" s="298" t="s">
        <v>816</v>
      </c>
      <c r="D2326" s="298" t="s">
        <v>256</v>
      </c>
      <c r="E2326" s="298"/>
      <c r="F2326" s="298" t="s">
        <v>7793</v>
      </c>
      <c r="G2326" s="299" t="b">
        <v>0</v>
      </c>
      <c r="H2326" s="299" t="b">
        <v>0</v>
      </c>
      <c r="J2326" s="113" t="str">
        <f t="shared" si="73"/>
        <v>919599352</v>
      </c>
      <c r="K2326" s="113" t="str">
        <f t="shared" si="74"/>
        <v>CG02411</v>
      </c>
    </row>
    <row r="2327" spans="1:11" x14ac:dyDescent="0.3">
      <c r="A2327" s="298" t="s">
        <v>7794</v>
      </c>
      <c r="B2327" s="298" t="s">
        <v>7795</v>
      </c>
      <c r="C2327" s="298" t="s">
        <v>1671</v>
      </c>
      <c r="D2327" s="298" t="s">
        <v>256</v>
      </c>
      <c r="E2327" s="298"/>
      <c r="F2327" s="298" t="s">
        <v>7796</v>
      </c>
      <c r="G2327" s="299" t="b">
        <v>0</v>
      </c>
      <c r="H2327" s="299" t="b">
        <v>0</v>
      </c>
      <c r="J2327" s="113" t="str">
        <f t="shared" si="73"/>
        <v>913254896</v>
      </c>
      <c r="K2327" s="113" t="str">
        <f t="shared" si="74"/>
        <v>CG02412</v>
      </c>
    </row>
    <row r="2328" spans="1:11" x14ac:dyDescent="0.3">
      <c r="A2328" s="298" t="s">
        <v>7797</v>
      </c>
      <c r="B2328" s="298" t="s">
        <v>7798</v>
      </c>
      <c r="C2328" s="298" t="s">
        <v>4297</v>
      </c>
      <c r="D2328" s="298" t="s">
        <v>256</v>
      </c>
      <c r="E2328" s="298"/>
      <c r="F2328" s="298" t="s">
        <v>7799</v>
      </c>
      <c r="G2328" s="299" t="b">
        <v>0</v>
      </c>
      <c r="H2328" s="299" t="b">
        <v>0</v>
      </c>
      <c r="J2328" s="113" t="str">
        <f t="shared" si="73"/>
        <v>922989889</v>
      </c>
      <c r="K2328" s="113" t="str">
        <f t="shared" si="74"/>
        <v>CG02413</v>
      </c>
    </row>
    <row r="2329" spans="1:11" x14ac:dyDescent="0.3">
      <c r="A2329" s="298" t="s">
        <v>7800</v>
      </c>
      <c r="B2329" s="298" t="s">
        <v>7801</v>
      </c>
      <c r="C2329" s="298" t="s">
        <v>5738</v>
      </c>
      <c r="D2329" s="298" t="s">
        <v>256</v>
      </c>
      <c r="E2329" s="298"/>
      <c r="F2329" s="298" t="s">
        <v>7802</v>
      </c>
      <c r="G2329" s="299" t="b">
        <v>0</v>
      </c>
      <c r="H2329" s="299" t="b">
        <v>0</v>
      </c>
      <c r="J2329" s="113" t="str">
        <f t="shared" si="73"/>
        <v>936559009</v>
      </c>
      <c r="K2329" s="113" t="str">
        <f t="shared" si="74"/>
        <v>CG02414</v>
      </c>
    </row>
    <row r="2330" spans="1:11" x14ac:dyDescent="0.3">
      <c r="A2330" s="298" t="s">
        <v>7803</v>
      </c>
      <c r="B2330" s="298" t="s">
        <v>7804</v>
      </c>
      <c r="C2330" s="298" t="s">
        <v>231</v>
      </c>
      <c r="D2330" s="298" t="s">
        <v>256</v>
      </c>
      <c r="E2330" s="298"/>
      <c r="F2330" s="298" t="s">
        <v>7805</v>
      </c>
      <c r="G2330" s="299" t="b">
        <v>0</v>
      </c>
      <c r="H2330" s="299" t="b">
        <v>0</v>
      </c>
      <c r="J2330" s="113" t="str">
        <f t="shared" si="73"/>
        <v>983290312</v>
      </c>
      <c r="K2330" s="113" t="str">
        <f t="shared" si="74"/>
        <v>CG02415</v>
      </c>
    </row>
    <row r="2331" spans="1:11" x14ac:dyDescent="0.3">
      <c r="A2331" s="298" t="s">
        <v>7806</v>
      </c>
      <c r="B2331" s="298" t="s">
        <v>7807</v>
      </c>
      <c r="C2331" s="298" t="s">
        <v>7808</v>
      </c>
      <c r="D2331" s="298" t="s">
        <v>256</v>
      </c>
      <c r="E2331" s="298"/>
      <c r="F2331" s="298" t="s">
        <v>7809</v>
      </c>
      <c r="G2331" s="299" t="b">
        <v>0</v>
      </c>
      <c r="H2331" s="299" t="b">
        <v>0</v>
      </c>
      <c r="J2331" s="113" t="str">
        <f t="shared" si="73"/>
        <v>966234668</v>
      </c>
      <c r="K2331" s="113" t="str">
        <f t="shared" si="74"/>
        <v>CG02416</v>
      </c>
    </row>
    <row r="2332" spans="1:11" x14ac:dyDescent="0.3">
      <c r="A2332" s="298" t="s">
        <v>7810</v>
      </c>
      <c r="B2332" s="298" t="s">
        <v>7811</v>
      </c>
      <c r="C2332" s="298" t="s">
        <v>3158</v>
      </c>
      <c r="D2332" s="298" t="s">
        <v>256</v>
      </c>
      <c r="E2332" s="298"/>
      <c r="F2332" s="298" t="s">
        <v>7812</v>
      </c>
      <c r="G2332" s="299" t="b">
        <v>0</v>
      </c>
      <c r="H2332" s="299" t="b">
        <v>0</v>
      </c>
      <c r="J2332" s="113" t="str">
        <f t="shared" si="73"/>
        <v>906062228</v>
      </c>
      <c r="K2332" s="113" t="str">
        <f t="shared" si="74"/>
        <v>CG02417</v>
      </c>
    </row>
    <row r="2333" spans="1:11" x14ac:dyDescent="0.3">
      <c r="A2333" s="298" t="s">
        <v>7813</v>
      </c>
      <c r="B2333" s="298" t="s">
        <v>7814</v>
      </c>
      <c r="C2333" s="298" t="s">
        <v>286</v>
      </c>
      <c r="D2333" s="298" t="s">
        <v>256</v>
      </c>
      <c r="E2333" s="298"/>
      <c r="F2333" s="298" t="s">
        <v>7815</v>
      </c>
      <c r="G2333" s="299" t="b">
        <v>0</v>
      </c>
      <c r="H2333" s="299" t="b">
        <v>0</v>
      </c>
      <c r="J2333" s="113" t="str">
        <f t="shared" si="73"/>
        <v>904594106</v>
      </c>
      <c r="K2333" s="113" t="str">
        <f t="shared" si="74"/>
        <v>CG02418</v>
      </c>
    </row>
    <row r="2334" spans="1:11" x14ac:dyDescent="0.3">
      <c r="A2334" s="298" t="s">
        <v>7816</v>
      </c>
      <c r="B2334" s="298" t="s">
        <v>7817</v>
      </c>
      <c r="C2334" s="298" t="s">
        <v>4324</v>
      </c>
      <c r="D2334" s="298" t="s">
        <v>256</v>
      </c>
      <c r="E2334" s="298"/>
      <c r="F2334" s="298" t="s">
        <v>7818</v>
      </c>
      <c r="G2334" s="299" t="b">
        <v>0</v>
      </c>
      <c r="H2334" s="299" t="b">
        <v>0</v>
      </c>
      <c r="J2334" s="113" t="str">
        <f t="shared" si="73"/>
        <v>989444999</v>
      </c>
      <c r="K2334" s="113" t="str">
        <f t="shared" si="74"/>
        <v>CG02419</v>
      </c>
    </row>
    <row r="2335" spans="1:11" x14ac:dyDescent="0.3">
      <c r="A2335" s="298" t="s">
        <v>7819</v>
      </c>
      <c r="B2335" s="298" t="s">
        <v>7820</v>
      </c>
      <c r="C2335" s="298" t="s">
        <v>6291</v>
      </c>
      <c r="D2335" s="298" t="s">
        <v>256</v>
      </c>
      <c r="E2335" s="298"/>
      <c r="F2335" s="298" t="s">
        <v>7821</v>
      </c>
      <c r="G2335" s="299" t="b">
        <v>0</v>
      </c>
      <c r="H2335" s="299" t="b">
        <v>0</v>
      </c>
      <c r="J2335" s="113" t="str">
        <f t="shared" si="73"/>
        <v>904207787</v>
      </c>
      <c r="K2335" s="113" t="str">
        <f t="shared" si="74"/>
        <v>CG02420</v>
      </c>
    </row>
    <row r="2336" spans="1:11" x14ac:dyDescent="0.3">
      <c r="A2336" s="298" t="s">
        <v>7822</v>
      </c>
      <c r="B2336" s="298" t="s">
        <v>7823</v>
      </c>
      <c r="C2336" s="298" t="s">
        <v>289</v>
      </c>
      <c r="D2336" s="298" t="s">
        <v>256</v>
      </c>
      <c r="E2336" s="298"/>
      <c r="F2336" s="298" t="s">
        <v>7824</v>
      </c>
      <c r="G2336" s="299" t="b">
        <v>0</v>
      </c>
      <c r="H2336" s="299" t="b">
        <v>0</v>
      </c>
      <c r="J2336" s="113" t="str">
        <f t="shared" si="73"/>
        <v>988166861</v>
      </c>
      <c r="K2336" s="113" t="str">
        <f t="shared" si="74"/>
        <v>CG02421</v>
      </c>
    </row>
    <row r="2337" spans="1:11" x14ac:dyDescent="0.3">
      <c r="A2337" s="298" t="s">
        <v>7825</v>
      </c>
      <c r="B2337" s="298" t="s">
        <v>7826</v>
      </c>
      <c r="C2337" s="298" t="s">
        <v>4162</v>
      </c>
      <c r="D2337" s="298" t="s">
        <v>256</v>
      </c>
      <c r="E2337" s="298"/>
      <c r="F2337" s="298" t="s">
        <v>7827</v>
      </c>
      <c r="G2337" s="299" t="b">
        <v>0</v>
      </c>
      <c r="H2337" s="299" t="b">
        <v>0</v>
      </c>
      <c r="J2337" s="113" t="str">
        <f t="shared" si="73"/>
        <v>913357948</v>
      </c>
      <c r="K2337" s="113" t="str">
        <f t="shared" si="74"/>
        <v>CG02422</v>
      </c>
    </row>
    <row r="2338" spans="1:11" x14ac:dyDescent="0.3">
      <c r="A2338" s="298" t="s">
        <v>7828</v>
      </c>
      <c r="B2338" s="298" t="s">
        <v>7829</v>
      </c>
      <c r="C2338" s="298" t="s">
        <v>541</v>
      </c>
      <c r="D2338" s="298" t="s">
        <v>256</v>
      </c>
      <c r="E2338" s="298"/>
      <c r="F2338" s="298" t="s">
        <v>7830</v>
      </c>
      <c r="G2338" s="299" t="b">
        <v>0</v>
      </c>
      <c r="H2338" s="299" t="b">
        <v>0</v>
      </c>
      <c r="J2338" s="113" t="str">
        <f t="shared" si="73"/>
        <v>971887070</v>
      </c>
      <c r="K2338" s="113" t="str">
        <f t="shared" si="74"/>
        <v>CG02423</v>
      </c>
    </row>
    <row r="2339" spans="1:11" x14ac:dyDescent="0.3">
      <c r="A2339" s="298" t="s">
        <v>7831</v>
      </c>
      <c r="B2339" s="298" t="s">
        <v>7832</v>
      </c>
      <c r="C2339" s="298" t="s">
        <v>7833</v>
      </c>
      <c r="D2339" s="298" t="s">
        <v>256</v>
      </c>
      <c r="E2339" s="298"/>
      <c r="F2339" s="298" t="s">
        <v>7834</v>
      </c>
      <c r="G2339" s="299" t="b">
        <v>0</v>
      </c>
      <c r="H2339" s="299" t="b">
        <v>0</v>
      </c>
      <c r="J2339" s="113" t="str">
        <f t="shared" si="73"/>
        <v>912927199</v>
      </c>
      <c r="K2339" s="113" t="str">
        <f t="shared" si="74"/>
        <v>CG02424</v>
      </c>
    </row>
    <row r="2340" spans="1:11" x14ac:dyDescent="0.3">
      <c r="A2340" s="298" t="s">
        <v>7835</v>
      </c>
      <c r="B2340" s="298" t="s">
        <v>7836</v>
      </c>
      <c r="C2340" s="298" t="s">
        <v>7837</v>
      </c>
      <c r="D2340" s="298" t="s">
        <v>256</v>
      </c>
      <c r="E2340" s="298"/>
      <c r="F2340" s="298" t="s">
        <v>7838</v>
      </c>
      <c r="G2340" s="299" t="b">
        <v>0</v>
      </c>
      <c r="H2340" s="299" t="b">
        <v>0</v>
      </c>
      <c r="J2340" s="113" t="str">
        <f t="shared" si="73"/>
        <v>976025837</v>
      </c>
      <c r="K2340" s="113" t="str">
        <f t="shared" si="74"/>
        <v>CG02425</v>
      </c>
    </row>
    <row r="2341" spans="1:11" x14ac:dyDescent="0.3">
      <c r="A2341" s="298" t="s">
        <v>7839</v>
      </c>
      <c r="B2341" s="298" t="s">
        <v>7840</v>
      </c>
      <c r="C2341" s="298" t="s">
        <v>1658</v>
      </c>
      <c r="D2341" s="298" t="s">
        <v>256</v>
      </c>
      <c r="E2341" s="298"/>
      <c r="F2341" s="298" t="s">
        <v>7841</v>
      </c>
      <c r="G2341" s="299" t="b">
        <v>0</v>
      </c>
      <c r="H2341" s="299" t="b">
        <v>0</v>
      </c>
      <c r="J2341" s="113" t="str">
        <f t="shared" si="73"/>
        <v>386690509</v>
      </c>
      <c r="K2341" s="113" t="str">
        <f t="shared" si="74"/>
        <v>CG02426</v>
      </c>
    </row>
    <row r="2342" spans="1:11" x14ac:dyDescent="0.3">
      <c r="A2342" s="298" t="s">
        <v>7842</v>
      </c>
      <c r="B2342" s="298" t="s">
        <v>7843</v>
      </c>
      <c r="C2342" s="298" t="s">
        <v>676</v>
      </c>
      <c r="D2342" s="298" t="s">
        <v>256</v>
      </c>
      <c r="E2342" s="298"/>
      <c r="F2342" s="298" t="s">
        <v>7844</v>
      </c>
      <c r="G2342" s="299" t="b">
        <v>0</v>
      </c>
      <c r="H2342" s="299" t="b">
        <v>0</v>
      </c>
      <c r="J2342" s="113" t="str">
        <f t="shared" si="73"/>
        <v>902168126</v>
      </c>
      <c r="K2342" s="113" t="str">
        <f t="shared" si="74"/>
        <v>CG02427</v>
      </c>
    </row>
    <row r="2343" spans="1:11" x14ac:dyDescent="0.3">
      <c r="A2343" s="298" t="s">
        <v>7845</v>
      </c>
      <c r="B2343" s="298" t="s">
        <v>7846</v>
      </c>
      <c r="C2343" s="298" t="s">
        <v>1671</v>
      </c>
      <c r="D2343" s="298" t="s">
        <v>256</v>
      </c>
      <c r="E2343" s="298"/>
      <c r="F2343" s="298" t="s">
        <v>7847</v>
      </c>
      <c r="G2343" s="299" t="b">
        <v>0</v>
      </c>
      <c r="H2343" s="299" t="b">
        <v>0</v>
      </c>
      <c r="J2343" s="113" t="str">
        <f t="shared" si="73"/>
        <v>936979404</v>
      </c>
      <c r="K2343" s="113" t="str">
        <f t="shared" si="74"/>
        <v>CG02428</v>
      </c>
    </row>
    <row r="2344" spans="1:11" x14ac:dyDescent="0.3">
      <c r="A2344" s="298" t="s">
        <v>7848</v>
      </c>
      <c r="B2344" s="298" t="s">
        <v>7849</v>
      </c>
      <c r="C2344" s="298" t="s">
        <v>7850</v>
      </c>
      <c r="D2344" s="298" t="s">
        <v>256</v>
      </c>
      <c r="E2344" s="298"/>
      <c r="F2344" s="298" t="s">
        <v>7851</v>
      </c>
      <c r="G2344" s="299" t="b">
        <v>0</v>
      </c>
      <c r="H2344" s="299" t="b">
        <v>0</v>
      </c>
      <c r="J2344" s="113" t="str">
        <f t="shared" si="73"/>
        <v>916112198</v>
      </c>
      <c r="K2344" s="113" t="str">
        <f t="shared" si="74"/>
        <v>CG02429</v>
      </c>
    </row>
    <row r="2345" spans="1:11" x14ac:dyDescent="0.3">
      <c r="A2345" s="298" t="s">
        <v>7852</v>
      </c>
      <c r="B2345" s="298" t="s">
        <v>7853</v>
      </c>
      <c r="C2345" s="298" t="s">
        <v>892</v>
      </c>
      <c r="D2345" s="298" t="s">
        <v>256</v>
      </c>
      <c r="E2345" s="298"/>
      <c r="F2345" s="298" t="s">
        <v>7854</v>
      </c>
      <c r="G2345" s="299" t="b">
        <v>0</v>
      </c>
      <c r="H2345" s="299" t="b">
        <v>0</v>
      </c>
      <c r="J2345" s="113" t="str">
        <f t="shared" si="73"/>
        <v>366274742</v>
      </c>
      <c r="K2345" s="113" t="str">
        <f t="shared" si="74"/>
        <v>CG02430</v>
      </c>
    </row>
    <row r="2346" spans="1:11" x14ac:dyDescent="0.3">
      <c r="A2346" s="298" t="s">
        <v>7855</v>
      </c>
      <c r="B2346" s="298" t="s">
        <v>7856</v>
      </c>
      <c r="C2346" s="298" t="s">
        <v>231</v>
      </c>
      <c r="D2346" s="298" t="s">
        <v>256</v>
      </c>
      <c r="E2346" s="298"/>
      <c r="F2346" s="298" t="s">
        <v>7857</v>
      </c>
      <c r="G2346" s="299" t="b">
        <v>0</v>
      </c>
      <c r="H2346" s="299" t="b">
        <v>0</v>
      </c>
      <c r="J2346" s="113" t="str">
        <f t="shared" si="73"/>
        <v>368679404</v>
      </c>
      <c r="K2346" s="113" t="str">
        <f t="shared" si="74"/>
        <v>CG02431</v>
      </c>
    </row>
    <row r="2347" spans="1:11" x14ac:dyDescent="0.3">
      <c r="A2347" s="298" t="s">
        <v>7858</v>
      </c>
      <c r="B2347" s="298" t="s">
        <v>7859</v>
      </c>
      <c r="C2347" s="298" t="s">
        <v>1890</v>
      </c>
      <c r="D2347" s="298" t="s">
        <v>256</v>
      </c>
      <c r="E2347" s="298"/>
      <c r="F2347" s="298" t="s">
        <v>7860</v>
      </c>
      <c r="G2347" s="299" t="b">
        <v>0</v>
      </c>
      <c r="H2347" s="299" t="b">
        <v>0</v>
      </c>
      <c r="J2347" s="113" t="str">
        <f t="shared" si="73"/>
        <v>986921654</v>
      </c>
      <c r="K2347" s="113" t="str">
        <f t="shared" si="74"/>
        <v>CG02432</v>
      </c>
    </row>
    <row r="2348" spans="1:11" x14ac:dyDescent="0.3">
      <c r="A2348" s="298" t="s">
        <v>7861</v>
      </c>
      <c r="B2348" s="298" t="s">
        <v>7862</v>
      </c>
      <c r="C2348" s="298" t="s">
        <v>6234</v>
      </c>
      <c r="D2348" s="298" t="s">
        <v>256</v>
      </c>
      <c r="E2348" s="298"/>
      <c r="F2348" s="298" t="s">
        <v>7863</v>
      </c>
      <c r="G2348" s="299" t="b">
        <v>0</v>
      </c>
      <c r="H2348" s="299" t="b">
        <v>0</v>
      </c>
      <c r="J2348" s="113" t="str">
        <f t="shared" si="73"/>
        <v>983881343</v>
      </c>
      <c r="K2348" s="113" t="str">
        <f t="shared" si="74"/>
        <v>CG02433</v>
      </c>
    </row>
    <row r="2349" spans="1:11" x14ac:dyDescent="0.3">
      <c r="A2349" s="298" t="s">
        <v>7864</v>
      </c>
      <c r="B2349" s="298" t="s">
        <v>7865</v>
      </c>
      <c r="C2349" s="298" t="s">
        <v>495</v>
      </c>
      <c r="D2349" s="298" t="s">
        <v>256</v>
      </c>
      <c r="E2349" s="298"/>
      <c r="F2349" s="298" t="s">
        <v>7866</v>
      </c>
      <c r="G2349" s="299" t="b">
        <v>0</v>
      </c>
      <c r="H2349" s="299" t="b">
        <v>0</v>
      </c>
      <c r="J2349" s="113" t="str">
        <f t="shared" si="73"/>
        <v>982608985</v>
      </c>
      <c r="K2349" s="113" t="str">
        <f t="shared" si="74"/>
        <v>CG02434</v>
      </c>
    </row>
    <row r="2350" spans="1:11" x14ac:dyDescent="0.3">
      <c r="A2350" s="298" t="s">
        <v>7867</v>
      </c>
      <c r="B2350" s="298" t="s">
        <v>7868</v>
      </c>
      <c r="C2350" s="298" t="s">
        <v>289</v>
      </c>
      <c r="D2350" s="298" t="s">
        <v>256</v>
      </c>
      <c r="E2350" s="298"/>
      <c r="F2350" s="298" t="s">
        <v>7869</v>
      </c>
      <c r="G2350" s="299" t="b">
        <v>0</v>
      </c>
      <c r="H2350" s="299" t="b">
        <v>0</v>
      </c>
      <c r="J2350" s="113" t="str">
        <f t="shared" si="73"/>
        <v>912767276</v>
      </c>
      <c r="K2350" s="113" t="str">
        <f t="shared" si="74"/>
        <v>CG02435</v>
      </c>
    </row>
    <row r="2351" spans="1:11" x14ac:dyDescent="0.3">
      <c r="A2351" s="298" t="s">
        <v>7870</v>
      </c>
      <c r="B2351" s="298" t="s">
        <v>7871</v>
      </c>
      <c r="C2351" s="298" t="s">
        <v>355</v>
      </c>
      <c r="D2351" s="298" t="s">
        <v>256</v>
      </c>
      <c r="E2351" s="298"/>
      <c r="F2351" s="298" t="s">
        <v>7872</v>
      </c>
      <c r="G2351" s="299" t="b">
        <v>0</v>
      </c>
      <c r="H2351" s="299" t="b">
        <v>0</v>
      </c>
      <c r="J2351" s="113" t="str">
        <f t="shared" si="73"/>
        <v>913394390</v>
      </c>
      <c r="K2351" s="113" t="str">
        <f t="shared" si="74"/>
        <v>CG02436</v>
      </c>
    </row>
    <row r="2352" spans="1:11" x14ac:dyDescent="0.3">
      <c r="A2352" s="298" t="s">
        <v>7873</v>
      </c>
      <c r="B2352" s="298" t="s">
        <v>7874</v>
      </c>
      <c r="C2352" s="298" t="s">
        <v>884</v>
      </c>
      <c r="D2352" s="298" t="s">
        <v>256</v>
      </c>
      <c r="E2352" s="298"/>
      <c r="F2352" s="298" t="s">
        <v>7875</v>
      </c>
      <c r="G2352" s="299" t="b">
        <v>0</v>
      </c>
      <c r="H2352" s="299" t="b">
        <v>0</v>
      </c>
      <c r="J2352" s="113" t="str">
        <f t="shared" si="73"/>
        <v>936078955</v>
      </c>
      <c r="K2352" s="113" t="str">
        <f t="shared" si="74"/>
        <v>CG02437</v>
      </c>
    </row>
    <row r="2353" spans="1:11" x14ac:dyDescent="0.3">
      <c r="A2353" s="298" t="s">
        <v>7876</v>
      </c>
      <c r="B2353" s="298" t="s">
        <v>7877</v>
      </c>
      <c r="C2353" s="298" t="s">
        <v>1173</v>
      </c>
      <c r="D2353" s="298" t="s">
        <v>256</v>
      </c>
      <c r="E2353" s="298"/>
      <c r="F2353" s="298" t="s">
        <v>7878</v>
      </c>
      <c r="G2353" s="299" t="b">
        <v>0</v>
      </c>
      <c r="H2353" s="299" t="b">
        <v>0</v>
      </c>
      <c r="J2353" s="113" t="str">
        <f t="shared" si="73"/>
        <v>912021913</v>
      </c>
      <c r="K2353" s="113" t="str">
        <f t="shared" si="74"/>
        <v>CG02438</v>
      </c>
    </row>
    <row r="2354" spans="1:11" x14ac:dyDescent="0.3">
      <c r="A2354" s="298" t="s">
        <v>7879</v>
      </c>
      <c r="B2354" s="298" t="s">
        <v>7880</v>
      </c>
      <c r="C2354" s="298" t="s">
        <v>613</v>
      </c>
      <c r="D2354" s="298" t="s">
        <v>256</v>
      </c>
      <c r="E2354" s="298"/>
      <c r="F2354" s="298" t="s">
        <v>7881</v>
      </c>
      <c r="G2354" s="299" t="b">
        <v>0</v>
      </c>
      <c r="H2354" s="299" t="b">
        <v>0</v>
      </c>
      <c r="J2354" s="113" t="str">
        <f t="shared" si="73"/>
        <v>945350269</v>
      </c>
      <c r="K2354" s="113" t="str">
        <f t="shared" si="74"/>
        <v>CG02439</v>
      </c>
    </row>
    <row r="2355" spans="1:11" x14ac:dyDescent="0.3">
      <c r="A2355" s="298" t="s">
        <v>7882</v>
      </c>
      <c r="B2355" s="298" t="s">
        <v>7883</v>
      </c>
      <c r="C2355" s="298" t="s">
        <v>5160</v>
      </c>
      <c r="D2355" s="298" t="s">
        <v>256</v>
      </c>
      <c r="E2355" s="298"/>
      <c r="F2355" s="298" t="s">
        <v>7884</v>
      </c>
      <c r="G2355" s="299" t="b">
        <v>0</v>
      </c>
      <c r="H2355" s="299" t="b">
        <v>0</v>
      </c>
      <c r="J2355" s="113" t="str">
        <f t="shared" si="73"/>
        <v>913568141</v>
      </c>
      <c r="K2355" s="113" t="str">
        <f t="shared" si="74"/>
        <v>CG02440</v>
      </c>
    </row>
    <row r="2356" spans="1:11" x14ac:dyDescent="0.3">
      <c r="A2356" s="298" t="s">
        <v>7885</v>
      </c>
      <c r="B2356" s="298" t="s">
        <v>12676</v>
      </c>
      <c r="C2356" s="298" t="s">
        <v>12678</v>
      </c>
      <c r="D2356" s="298" t="s">
        <v>256</v>
      </c>
      <c r="E2356" s="298" t="s">
        <v>12677</v>
      </c>
      <c r="F2356" s="298" t="s">
        <v>7886</v>
      </c>
      <c r="G2356" s="299" t="b">
        <v>0</v>
      </c>
      <c r="H2356" s="299" t="b">
        <v>0</v>
      </c>
      <c r="J2356" s="113" t="str">
        <f t="shared" si="73"/>
        <v>963336999</v>
      </c>
      <c r="K2356" s="113" t="str">
        <f t="shared" si="74"/>
        <v>CG02441</v>
      </c>
    </row>
    <row r="2357" spans="1:11" x14ac:dyDescent="0.3">
      <c r="A2357" s="298" t="s">
        <v>7887</v>
      </c>
      <c r="B2357" s="298" t="s">
        <v>7888</v>
      </c>
      <c r="C2357" s="298" t="s">
        <v>7889</v>
      </c>
      <c r="D2357" s="298" t="s">
        <v>256</v>
      </c>
      <c r="E2357" s="298"/>
      <c r="F2357" s="298" t="s">
        <v>7890</v>
      </c>
      <c r="G2357" s="299" t="b">
        <v>0</v>
      </c>
      <c r="H2357" s="299" t="b">
        <v>0</v>
      </c>
      <c r="J2357" s="113" t="str">
        <f t="shared" si="73"/>
        <v>356767476</v>
      </c>
      <c r="K2357" s="113" t="str">
        <f t="shared" si="74"/>
        <v>CG02442</v>
      </c>
    </row>
    <row r="2358" spans="1:11" x14ac:dyDescent="0.3">
      <c r="A2358" s="298" t="s">
        <v>7891</v>
      </c>
      <c r="B2358" s="298" t="s">
        <v>7892</v>
      </c>
      <c r="C2358" s="298" t="s">
        <v>718</v>
      </c>
      <c r="D2358" s="298" t="s">
        <v>256</v>
      </c>
      <c r="E2358" s="298"/>
      <c r="F2358" s="298" t="s">
        <v>7893</v>
      </c>
      <c r="G2358" s="299" t="b">
        <v>0</v>
      </c>
      <c r="H2358" s="299" t="b">
        <v>0</v>
      </c>
      <c r="J2358" s="113" t="str">
        <f t="shared" si="73"/>
        <v>912713268</v>
      </c>
      <c r="K2358" s="113" t="str">
        <f t="shared" si="74"/>
        <v>CG02443</v>
      </c>
    </row>
    <row r="2359" spans="1:11" x14ac:dyDescent="0.3">
      <c r="A2359" s="298" t="s">
        <v>7894</v>
      </c>
      <c r="B2359" s="298" t="s">
        <v>7895</v>
      </c>
      <c r="C2359" s="298" t="s">
        <v>1508</v>
      </c>
      <c r="D2359" s="298" t="s">
        <v>256</v>
      </c>
      <c r="E2359" s="298"/>
      <c r="F2359" s="298" t="s">
        <v>7896</v>
      </c>
      <c r="G2359" s="299" t="b">
        <v>0</v>
      </c>
      <c r="H2359" s="299" t="b">
        <v>0</v>
      </c>
      <c r="J2359" s="113" t="str">
        <f t="shared" si="73"/>
        <v>988172838</v>
      </c>
      <c r="K2359" s="113" t="str">
        <f t="shared" si="74"/>
        <v>CG02444</v>
      </c>
    </row>
    <row r="2360" spans="1:11" x14ac:dyDescent="0.3">
      <c r="A2360" s="298" t="s">
        <v>7897</v>
      </c>
      <c r="B2360" s="298" t="s">
        <v>7898</v>
      </c>
      <c r="C2360" s="298" t="s">
        <v>231</v>
      </c>
      <c r="D2360" s="298" t="s">
        <v>256</v>
      </c>
      <c r="E2360" s="298"/>
      <c r="F2360" s="298" t="s">
        <v>7899</v>
      </c>
      <c r="G2360" s="299" t="b">
        <v>0</v>
      </c>
      <c r="H2360" s="299" t="b">
        <v>0</v>
      </c>
      <c r="J2360" s="113" t="str">
        <f t="shared" si="73"/>
        <v>347413666</v>
      </c>
      <c r="K2360" s="113" t="str">
        <f t="shared" si="74"/>
        <v>CG02445</v>
      </c>
    </row>
    <row r="2361" spans="1:11" x14ac:dyDescent="0.3">
      <c r="A2361" s="298" t="s">
        <v>7900</v>
      </c>
      <c r="B2361" s="298" t="s">
        <v>7901</v>
      </c>
      <c r="C2361" s="298" t="s">
        <v>286</v>
      </c>
      <c r="D2361" s="298" t="s">
        <v>256</v>
      </c>
      <c r="E2361" s="298"/>
      <c r="F2361" s="298" t="s">
        <v>7902</v>
      </c>
      <c r="G2361" s="299" t="b">
        <v>0</v>
      </c>
      <c r="H2361" s="299" t="b">
        <v>0</v>
      </c>
      <c r="J2361" s="113" t="str">
        <f t="shared" si="73"/>
        <v>976204503</v>
      </c>
      <c r="K2361" s="113" t="str">
        <f t="shared" si="74"/>
        <v>CG02446</v>
      </c>
    </row>
    <row r="2362" spans="1:11" x14ac:dyDescent="0.3">
      <c r="A2362" s="298" t="s">
        <v>7903</v>
      </c>
      <c r="B2362" s="298" t="s">
        <v>7904</v>
      </c>
      <c r="C2362" s="298" t="s">
        <v>5637</v>
      </c>
      <c r="D2362" s="298" t="s">
        <v>256</v>
      </c>
      <c r="E2362" s="298"/>
      <c r="F2362" s="298" t="s">
        <v>7905</v>
      </c>
      <c r="G2362" s="299" t="b">
        <v>0</v>
      </c>
      <c r="H2362" s="299" t="b">
        <v>0</v>
      </c>
      <c r="J2362" s="113" t="str">
        <f t="shared" si="73"/>
        <v>987885318</v>
      </c>
      <c r="K2362" s="113" t="str">
        <f t="shared" si="74"/>
        <v>CG02447</v>
      </c>
    </row>
    <row r="2363" spans="1:11" x14ac:dyDescent="0.3">
      <c r="A2363" s="298" t="s">
        <v>7906</v>
      </c>
      <c r="B2363" s="298" t="s">
        <v>7907</v>
      </c>
      <c r="C2363" s="298" t="s">
        <v>4771</v>
      </c>
      <c r="D2363" s="298" t="s">
        <v>256</v>
      </c>
      <c r="E2363" s="298"/>
      <c r="F2363" s="298" t="s">
        <v>7908</v>
      </c>
      <c r="G2363" s="299" t="b">
        <v>0</v>
      </c>
      <c r="H2363" s="299" t="b">
        <v>0</v>
      </c>
      <c r="J2363" s="113" t="str">
        <f t="shared" si="73"/>
        <v>963161258</v>
      </c>
      <c r="K2363" s="113" t="str">
        <f t="shared" si="74"/>
        <v>CG02448</v>
      </c>
    </row>
    <row r="2364" spans="1:11" x14ac:dyDescent="0.3">
      <c r="A2364" s="298" t="s">
        <v>7909</v>
      </c>
      <c r="B2364" s="298" t="s">
        <v>7910</v>
      </c>
      <c r="C2364" s="298" t="s">
        <v>7911</v>
      </c>
      <c r="D2364" s="298" t="s">
        <v>256</v>
      </c>
      <c r="E2364" s="298"/>
      <c r="F2364" s="298" t="s">
        <v>7912</v>
      </c>
      <c r="G2364" s="299" t="b">
        <v>0</v>
      </c>
      <c r="H2364" s="299" t="b">
        <v>0</v>
      </c>
      <c r="J2364" s="113" t="str">
        <f t="shared" si="73"/>
        <v>822010572</v>
      </c>
      <c r="K2364" s="113" t="str">
        <f t="shared" si="74"/>
        <v>CG02449</v>
      </c>
    </row>
    <row r="2365" spans="1:11" x14ac:dyDescent="0.3">
      <c r="A2365" s="298" t="s">
        <v>7913</v>
      </c>
      <c r="B2365" s="298" t="s">
        <v>7914</v>
      </c>
      <c r="C2365" s="298" t="s">
        <v>463</v>
      </c>
      <c r="D2365" s="298" t="s">
        <v>256</v>
      </c>
      <c r="E2365" s="298"/>
      <c r="F2365" s="298" t="s">
        <v>7915</v>
      </c>
      <c r="G2365" s="299" t="b">
        <v>0</v>
      </c>
      <c r="H2365" s="299" t="b">
        <v>0</v>
      </c>
      <c r="J2365" s="113" t="str">
        <f t="shared" si="73"/>
        <v>918018111</v>
      </c>
      <c r="K2365" s="113" t="str">
        <f t="shared" si="74"/>
        <v>CG02450</v>
      </c>
    </row>
    <row r="2366" spans="1:11" x14ac:dyDescent="0.3">
      <c r="A2366" s="298" t="s">
        <v>7916</v>
      </c>
      <c r="B2366" s="298" t="s">
        <v>7917</v>
      </c>
      <c r="C2366" s="298" t="s">
        <v>343</v>
      </c>
      <c r="D2366" s="298" t="s">
        <v>256</v>
      </c>
      <c r="E2366" s="298"/>
      <c r="F2366" s="298" t="s">
        <v>7918</v>
      </c>
      <c r="G2366" s="299" t="b">
        <v>0</v>
      </c>
      <c r="H2366" s="299" t="b">
        <v>0</v>
      </c>
      <c r="J2366" s="113" t="str">
        <f t="shared" si="73"/>
        <v>975406283</v>
      </c>
      <c r="K2366" s="113" t="str">
        <f t="shared" si="74"/>
        <v>CG02451</v>
      </c>
    </row>
    <row r="2367" spans="1:11" x14ac:dyDescent="0.3">
      <c r="A2367" s="298" t="s">
        <v>7919</v>
      </c>
      <c r="B2367" s="298" t="s">
        <v>7920</v>
      </c>
      <c r="C2367" s="298" t="s">
        <v>378</v>
      </c>
      <c r="D2367" s="298" t="s">
        <v>256</v>
      </c>
      <c r="E2367" s="298"/>
      <c r="F2367" s="298" t="s">
        <v>7921</v>
      </c>
      <c r="G2367" s="299" t="b">
        <v>0</v>
      </c>
      <c r="H2367" s="299" t="b">
        <v>0</v>
      </c>
      <c r="J2367" s="113" t="str">
        <f t="shared" si="73"/>
        <v>977553877</v>
      </c>
      <c r="K2367" s="113" t="str">
        <f t="shared" si="74"/>
        <v>CG02452</v>
      </c>
    </row>
    <row r="2368" spans="1:11" x14ac:dyDescent="0.3">
      <c r="A2368" s="298" t="s">
        <v>7922</v>
      </c>
      <c r="B2368" s="298" t="s">
        <v>7923</v>
      </c>
      <c r="C2368" s="298" t="s">
        <v>5637</v>
      </c>
      <c r="D2368" s="298" t="s">
        <v>256</v>
      </c>
      <c r="E2368" s="298"/>
      <c r="F2368" s="298" t="s">
        <v>7924</v>
      </c>
      <c r="G2368" s="299" t="b">
        <v>0</v>
      </c>
      <c r="H2368" s="299" t="b">
        <v>0</v>
      </c>
      <c r="J2368" s="113" t="str">
        <f t="shared" si="73"/>
        <v>977412919</v>
      </c>
      <c r="K2368" s="113" t="str">
        <f t="shared" si="74"/>
        <v>CG02453</v>
      </c>
    </row>
    <row r="2369" spans="1:11" x14ac:dyDescent="0.3">
      <c r="A2369" s="298" t="s">
        <v>7925</v>
      </c>
      <c r="B2369" s="298" t="s">
        <v>7926</v>
      </c>
      <c r="C2369" s="298" t="s">
        <v>1237</v>
      </c>
      <c r="D2369" s="298" t="s">
        <v>256</v>
      </c>
      <c r="E2369" s="298"/>
      <c r="F2369" s="298" t="s">
        <v>7927</v>
      </c>
      <c r="G2369" s="299" t="b">
        <v>0</v>
      </c>
      <c r="H2369" s="299" t="b">
        <v>0</v>
      </c>
      <c r="J2369" s="113" t="str">
        <f t="shared" si="73"/>
        <v>981579079</v>
      </c>
      <c r="K2369" s="113" t="str">
        <f t="shared" si="74"/>
        <v>CG02454</v>
      </c>
    </row>
    <row r="2370" spans="1:11" x14ac:dyDescent="0.3">
      <c r="A2370" s="298" t="s">
        <v>7928</v>
      </c>
      <c r="B2370" s="298" t="s">
        <v>7929</v>
      </c>
      <c r="C2370" s="298" t="s">
        <v>390</v>
      </c>
      <c r="D2370" s="298" t="s">
        <v>256</v>
      </c>
      <c r="E2370" s="298"/>
      <c r="F2370" s="298" t="s">
        <v>7930</v>
      </c>
      <c r="G2370" s="299" t="b">
        <v>0</v>
      </c>
      <c r="H2370" s="299" t="b">
        <v>0</v>
      </c>
      <c r="J2370" s="113" t="str">
        <f t="shared" si="73"/>
        <v>903456447</v>
      </c>
      <c r="K2370" s="113" t="str">
        <f t="shared" si="74"/>
        <v>CG02455</v>
      </c>
    </row>
    <row r="2371" spans="1:11" x14ac:dyDescent="0.3">
      <c r="A2371" s="298" t="s">
        <v>7931</v>
      </c>
      <c r="B2371" s="298" t="s">
        <v>7932</v>
      </c>
      <c r="C2371" s="298" t="s">
        <v>1335</v>
      </c>
      <c r="D2371" s="298" t="s">
        <v>256</v>
      </c>
      <c r="E2371" s="298"/>
      <c r="F2371" s="298" t="s">
        <v>7933</v>
      </c>
      <c r="G2371" s="299" t="b">
        <v>0</v>
      </c>
      <c r="H2371" s="299" t="b">
        <v>0</v>
      </c>
      <c r="J2371" s="113" t="str">
        <f t="shared" si="73"/>
        <v>344603613</v>
      </c>
      <c r="K2371" s="113" t="str">
        <f t="shared" si="74"/>
        <v>CG02456</v>
      </c>
    </row>
    <row r="2372" spans="1:11" x14ac:dyDescent="0.3">
      <c r="A2372" s="298" t="s">
        <v>7934</v>
      </c>
      <c r="B2372" s="298" t="s">
        <v>7935</v>
      </c>
      <c r="C2372" s="298" t="s">
        <v>1257</v>
      </c>
      <c r="D2372" s="298" t="s">
        <v>256</v>
      </c>
      <c r="E2372" s="298"/>
      <c r="F2372" s="298" t="s">
        <v>7936</v>
      </c>
      <c r="G2372" s="299" t="b">
        <v>0</v>
      </c>
      <c r="H2372" s="299" t="b">
        <v>0</v>
      </c>
      <c r="J2372" s="113" t="str">
        <f t="shared" si="73"/>
        <v>963721721</v>
      </c>
      <c r="K2372" s="113" t="str">
        <f t="shared" si="74"/>
        <v>CG02457</v>
      </c>
    </row>
    <row r="2373" spans="1:11" x14ac:dyDescent="0.3">
      <c r="A2373" s="298" t="s">
        <v>7937</v>
      </c>
      <c r="B2373" s="298" t="s">
        <v>7938</v>
      </c>
      <c r="C2373" s="298" t="s">
        <v>375</v>
      </c>
      <c r="D2373" s="298" t="s">
        <v>256</v>
      </c>
      <c r="E2373" s="298"/>
      <c r="F2373" s="298" t="s">
        <v>7939</v>
      </c>
      <c r="G2373" s="299" t="b">
        <v>0</v>
      </c>
      <c r="H2373" s="299" t="b">
        <v>0</v>
      </c>
      <c r="J2373" s="113" t="str">
        <f t="shared" ref="J2373:J2436" si="75">RIGHT(B2373,9)</f>
        <v>976661999</v>
      </c>
      <c r="K2373" s="113" t="str">
        <f t="shared" ref="K2373:K2436" si="76">A2373</f>
        <v>CG02458</v>
      </c>
    </row>
    <row r="2374" spans="1:11" x14ac:dyDescent="0.3">
      <c r="A2374" s="298" t="s">
        <v>7940</v>
      </c>
      <c r="B2374" s="298" t="s">
        <v>7941</v>
      </c>
      <c r="C2374" s="298" t="s">
        <v>3230</v>
      </c>
      <c r="D2374" s="298" t="s">
        <v>256</v>
      </c>
      <c r="E2374" s="298"/>
      <c r="F2374" s="298" t="s">
        <v>7942</v>
      </c>
      <c r="G2374" s="299" t="b">
        <v>0</v>
      </c>
      <c r="H2374" s="299" t="b">
        <v>0</v>
      </c>
      <c r="J2374" s="113" t="str">
        <f t="shared" si="75"/>
        <v>941347666</v>
      </c>
      <c r="K2374" s="113" t="str">
        <f t="shared" si="76"/>
        <v>CG02459</v>
      </c>
    </row>
    <row r="2375" spans="1:11" x14ac:dyDescent="0.3">
      <c r="A2375" s="298" t="s">
        <v>7943</v>
      </c>
      <c r="B2375" s="298" t="s">
        <v>7944</v>
      </c>
      <c r="C2375" s="298" t="s">
        <v>4764</v>
      </c>
      <c r="D2375" s="298" t="s">
        <v>256</v>
      </c>
      <c r="E2375" s="298"/>
      <c r="F2375" s="298" t="s">
        <v>7945</v>
      </c>
      <c r="G2375" s="299" t="b">
        <v>0</v>
      </c>
      <c r="H2375" s="299" t="b">
        <v>0</v>
      </c>
      <c r="J2375" s="113" t="str">
        <f t="shared" si="75"/>
        <v>985287437</v>
      </c>
      <c r="K2375" s="113" t="str">
        <f t="shared" si="76"/>
        <v>CG02460</v>
      </c>
    </row>
    <row r="2376" spans="1:11" x14ac:dyDescent="0.3">
      <c r="A2376" s="298" t="s">
        <v>7946</v>
      </c>
      <c r="B2376" s="298" t="s">
        <v>7947</v>
      </c>
      <c r="C2376" s="298" t="s">
        <v>286</v>
      </c>
      <c r="D2376" s="298" t="s">
        <v>256</v>
      </c>
      <c r="E2376" s="298"/>
      <c r="F2376" s="298" t="s">
        <v>7948</v>
      </c>
      <c r="G2376" s="299" t="b">
        <v>0</v>
      </c>
      <c r="H2376" s="299" t="b">
        <v>0</v>
      </c>
      <c r="J2376" s="113" t="str">
        <f t="shared" si="75"/>
        <v>814553333</v>
      </c>
      <c r="K2376" s="113" t="str">
        <f t="shared" si="76"/>
        <v>CG02461</v>
      </c>
    </row>
    <row r="2377" spans="1:11" x14ac:dyDescent="0.3">
      <c r="A2377" s="298" t="s">
        <v>7949</v>
      </c>
      <c r="B2377" s="298" t="s">
        <v>7950</v>
      </c>
      <c r="C2377" s="298" t="s">
        <v>7951</v>
      </c>
      <c r="D2377" s="298" t="s">
        <v>256</v>
      </c>
      <c r="E2377" s="298"/>
      <c r="F2377" s="298" t="s">
        <v>7952</v>
      </c>
      <c r="G2377" s="299" t="b">
        <v>0</v>
      </c>
      <c r="H2377" s="299" t="b">
        <v>0</v>
      </c>
      <c r="J2377" s="113" t="str">
        <f t="shared" si="75"/>
        <v>988309978</v>
      </c>
      <c r="K2377" s="113" t="str">
        <f t="shared" si="76"/>
        <v>CG02462</v>
      </c>
    </row>
    <row r="2378" spans="1:11" x14ac:dyDescent="0.3">
      <c r="A2378" s="298" t="s">
        <v>7953</v>
      </c>
      <c r="B2378" s="298" t="s">
        <v>7954</v>
      </c>
      <c r="C2378" s="298" t="s">
        <v>672</v>
      </c>
      <c r="D2378" s="298" t="s">
        <v>256</v>
      </c>
      <c r="E2378" s="298"/>
      <c r="F2378" s="298" t="s">
        <v>7955</v>
      </c>
      <c r="G2378" s="299" t="b">
        <v>0</v>
      </c>
      <c r="H2378" s="299" t="b">
        <v>0</v>
      </c>
      <c r="J2378" s="113" t="str">
        <f t="shared" si="75"/>
        <v>983192296</v>
      </c>
      <c r="K2378" s="113" t="str">
        <f t="shared" si="76"/>
        <v>CG02463</v>
      </c>
    </row>
    <row r="2379" spans="1:11" x14ac:dyDescent="0.3">
      <c r="A2379" s="298" t="s">
        <v>7956</v>
      </c>
      <c r="B2379" s="298" t="s">
        <v>7957</v>
      </c>
      <c r="C2379" s="298" t="s">
        <v>1625</v>
      </c>
      <c r="D2379" s="298" t="s">
        <v>256</v>
      </c>
      <c r="E2379" s="298"/>
      <c r="F2379" s="298" t="s">
        <v>7958</v>
      </c>
      <c r="G2379" s="299" t="b">
        <v>0</v>
      </c>
      <c r="H2379" s="299" t="b">
        <v>0</v>
      </c>
      <c r="J2379" s="113" t="str">
        <f t="shared" si="75"/>
        <v>912340170</v>
      </c>
      <c r="K2379" s="113" t="str">
        <f t="shared" si="76"/>
        <v>CG02464</v>
      </c>
    </row>
    <row r="2380" spans="1:11" x14ac:dyDescent="0.3">
      <c r="A2380" s="298" t="s">
        <v>7959</v>
      </c>
      <c r="B2380" s="298" t="s">
        <v>7960</v>
      </c>
      <c r="C2380" s="298" t="s">
        <v>1734</v>
      </c>
      <c r="D2380" s="298" t="s">
        <v>256</v>
      </c>
      <c r="E2380" s="298"/>
      <c r="F2380" s="298" t="s">
        <v>7961</v>
      </c>
      <c r="G2380" s="299" t="b">
        <v>0</v>
      </c>
      <c r="H2380" s="299" t="b">
        <v>0</v>
      </c>
      <c r="J2380" s="113" t="str">
        <f t="shared" si="75"/>
        <v>902423992</v>
      </c>
      <c r="K2380" s="113" t="str">
        <f t="shared" si="76"/>
        <v>CG02465</v>
      </c>
    </row>
    <row r="2381" spans="1:11" x14ac:dyDescent="0.3">
      <c r="A2381" s="298" t="s">
        <v>7962</v>
      </c>
      <c r="B2381" s="298" t="s">
        <v>7963</v>
      </c>
      <c r="C2381" s="298" t="s">
        <v>4771</v>
      </c>
      <c r="D2381" s="298" t="s">
        <v>256</v>
      </c>
      <c r="E2381" s="298"/>
      <c r="F2381" s="298" t="s">
        <v>7964</v>
      </c>
      <c r="G2381" s="299" t="b">
        <v>0</v>
      </c>
      <c r="H2381" s="299" t="b">
        <v>0</v>
      </c>
      <c r="J2381" s="113" t="str">
        <f t="shared" si="75"/>
        <v>966237789</v>
      </c>
      <c r="K2381" s="113" t="str">
        <f t="shared" si="76"/>
        <v>CG02466</v>
      </c>
    </row>
    <row r="2382" spans="1:11" x14ac:dyDescent="0.3">
      <c r="A2382" s="298" t="s">
        <v>7965</v>
      </c>
      <c r="B2382" s="298" t="s">
        <v>7966</v>
      </c>
      <c r="C2382" s="298" t="s">
        <v>1444</v>
      </c>
      <c r="D2382" s="298" t="s">
        <v>256</v>
      </c>
      <c r="E2382" s="298"/>
      <c r="F2382" s="298" t="s">
        <v>7967</v>
      </c>
      <c r="G2382" s="299" t="b">
        <v>0</v>
      </c>
      <c r="H2382" s="299" t="b">
        <v>0</v>
      </c>
      <c r="J2382" s="113" t="str">
        <f t="shared" si="75"/>
        <v>972272107</v>
      </c>
      <c r="K2382" s="113" t="str">
        <f t="shared" si="76"/>
        <v>CG02467</v>
      </c>
    </row>
    <row r="2383" spans="1:11" x14ac:dyDescent="0.3">
      <c r="A2383" s="298" t="s">
        <v>7968</v>
      </c>
      <c r="B2383" s="298" t="s">
        <v>7969</v>
      </c>
      <c r="C2383" s="298" t="s">
        <v>286</v>
      </c>
      <c r="D2383" s="298" t="s">
        <v>256</v>
      </c>
      <c r="E2383" s="298"/>
      <c r="F2383" s="298" t="s">
        <v>7970</v>
      </c>
      <c r="G2383" s="299" t="b">
        <v>0</v>
      </c>
      <c r="H2383" s="299" t="b">
        <v>0</v>
      </c>
      <c r="J2383" s="113" t="str">
        <f t="shared" si="75"/>
        <v>987876159</v>
      </c>
      <c r="K2383" s="113" t="str">
        <f t="shared" si="76"/>
        <v>CG024670</v>
      </c>
    </row>
    <row r="2384" spans="1:11" x14ac:dyDescent="0.3">
      <c r="A2384" s="298" t="s">
        <v>7971</v>
      </c>
      <c r="B2384" s="298" t="s">
        <v>7972</v>
      </c>
      <c r="C2384" s="298" t="s">
        <v>305</v>
      </c>
      <c r="D2384" s="298" t="s">
        <v>256</v>
      </c>
      <c r="E2384" s="298"/>
      <c r="F2384" s="298" t="s">
        <v>7973</v>
      </c>
      <c r="G2384" s="299" t="b">
        <v>0</v>
      </c>
      <c r="H2384" s="299" t="b">
        <v>0</v>
      </c>
      <c r="J2384" s="113" t="str">
        <f t="shared" si="75"/>
        <v>912436585</v>
      </c>
      <c r="K2384" s="113" t="str">
        <f t="shared" si="76"/>
        <v>CG02468</v>
      </c>
    </row>
    <row r="2385" spans="1:11" x14ac:dyDescent="0.3">
      <c r="A2385" s="298" t="s">
        <v>7974</v>
      </c>
      <c r="B2385" s="298" t="s">
        <v>7975</v>
      </c>
      <c r="C2385" s="298" t="s">
        <v>541</v>
      </c>
      <c r="D2385" s="298" t="s">
        <v>256</v>
      </c>
      <c r="E2385" s="298"/>
      <c r="F2385" s="298" t="s">
        <v>7976</v>
      </c>
      <c r="G2385" s="299" t="b">
        <v>0</v>
      </c>
      <c r="H2385" s="299" t="b">
        <v>0</v>
      </c>
      <c r="J2385" s="113" t="str">
        <f t="shared" si="75"/>
        <v>912570542</v>
      </c>
      <c r="K2385" s="113" t="str">
        <f t="shared" si="76"/>
        <v>CG02469</v>
      </c>
    </row>
    <row r="2386" spans="1:11" x14ac:dyDescent="0.3">
      <c r="A2386" s="298" t="s">
        <v>7977</v>
      </c>
      <c r="B2386" s="298" t="s">
        <v>7978</v>
      </c>
      <c r="C2386" s="298" t="s">
        <v>3214</v>
      </c>
      <c r="D2386" s="298" t="s">
        <v>256</v>
      </c>
      <c r="E2386" s="298"/>
      <c r="F2386" s="298" t="s">
        <v>7979</v>
      </c>
      <c r="G2386" s="299" t="b">
        <v>0</v>
      </c>
      <c r="H2386" s="299" t="b">
        <v>0</v>
      </c>
      <c r="J2386" s="113" t="str">
        <f t="shared" si="75"/>
        <v>973747777</v>
      </c>
      <c r="K2386" s="113" t="str">
        <f t="shared" si="76"/>
        <v>CG02470</v>
      </c>
    </row>
    <row r="2387" spans="1:11" x14ac:dyDescent="0.3">
      <c r="A2387" s="298" t="s">
        <v>7980</v>
      </c>
      <c r="B2387" s="298" t="s">
        <v>14683</v>
      </c>
      <c r="C2387" s="298" t="s">
        <v>355</v>
      </c>
      <c r="D2387" s="298" t="s">
        <v>256</v>
      </c>
      <c r="E2387" s="298"/>
      <c r="F2387" s="298" t="s">
        <v>7981</v>
      </c>
      <c r="G2387" s="299" t="b">
        <v>0</v>
      </c>
      <c r="H2387" s="299" t="b">
        <v>0</v>
      </c>
      <c r="J2387" s="113" t="str">
        <f t="shared" si="75"/>
        <v>857707709</v>
      </c>
      <c r="K2387" s="113" t="str">
        <f t="shared" si="76"/>
        <v>CG02471</v>
      </c>
    </row>
    <row r="2388" spans="1:11" x14ac:dyDescent="0.3">
      <c r="A2388" s="298" t="s">
        <v>7982</v>
      </c>
      <c r="B2388" s="298" t="s">
        <v>7983</v>
      </c>
      <c r="C2388" s="298" t="s">
        <v>1237</v>
      </c>
      <c r="D2388" s="298" t="s">
        <v>256</v>
      </c>
      <c r="E2388" s="298"/>
      <c r="F2388" s="298" t="s">
        <v>7984</v>
      </c>
      <c r="G2388" s="299" t="b">
        <v>0</v>
      </c>
      <c r="H2388" s="299" t="b">
        <v>0</v>
      </c>
      <c r="J2388" s="113" t="str">
        <f t="shared" si="75"/>
        <v>912711444</v>
      </c>
      <c r="K2388" s="113" t="str">
        <f t="shared" si="76"/>
        <v>CG02472</v>
      </c>
    </row>
    <row r="2389" spans="1:11" x14ac:dyDescent="0.3">
      <c r="A2389" s="298" t="s">
        <v>7985</v>
      </c>
      <c r="B2389" s="298" t="s">
        <v>7986</v>
      </c>
      <c r="C2389" s="298" t="s">
        <v>892</v>
      </c>
      <c r="D2389" s="298" t="s">
        <v>256</v>
      </c>
      <c r="E2389" s="298"/>
      <c r="F2389" s="298" t="s">
        <v>7987</v>
      </c>
      <c r="G2389" s="299" t="b">
        <v>0</v>
      </c>
      <c r="H2389" s="299" t="b">
        <v>0</v>
      </c>
      <c r="J2389" s="113" t="str">
        <f t="shared" si="75"/>
        <v>912827099</v>
      </c>
      <c r="K2389" s="113" t="str">
        <f t="shared" si="76"/>
        <v>CG02473</v>
      </c>
    </row>
    <row r="2390" spans="1:11" x14ac:dyDescent="0.3">
      <c r="A2390" s="298" t="s">
        <v>7988</v>
      </c>
      <c r="B2390" s="298" t="s">
        <v>7989</v>
      </c>
      <c r="C2390" s="298" t="s">
        <v>1540</v>
      </c>
      <c r="D2390" s="298" t="s">
        <v>256</v>
      </c>
      <c r="E2390" s="298"/>
      <c r="F2390" s="298" t="s">
        <v>7990</v>
      </c>
      <c r="G2390" s="299" t="b">
        <v>0</v>
      </c>
      <c r="H2390" s="299" t="b">
        <v>0</v>
      </c>
      <c r="J2390" s="113" t="str">
        <f t="shared" si="75"/>
        <v>947337483</v>
      </c>
      <c r="K2390" s="113" t="str">
        <f t="shared" si="76"/>
        <v>CG02474</v>
      </c>
    </row>
    <row r="2391" spans="1:11" x14ac:dyDescent="0.3">
      <c r="A2391" s="298" t="s">
        <v>7991</v>
      </c>
      <c r="B2391" s="298" t="s">
        <v>7992</v>
      </c>
      <c r="C2391" s="298" t="s">
        <v>3001</v>
      </c>
      <c r="D2391" s="298" t="s">
        <v>256</v>
      </c>
      <c r="E2391" s="298"/>
      <c r="F2391" s="298" t="s">
        <v>7993</v>
      </c>
      <c r="G2391" s="299" t="b">
        <v>0</v>
      </c>
      <c r="H2391" s="299" t="b">
        <v>0</v>
      </c>
      <c r="J2391" s="113" t="str">
        <f t="shared" si="75"/>
        <v>936950983</v>
      </c>
      <c r="K2391" s="113" t="str">
        <f t="shared" si="76"/>
        <v>CG02475</v>
      </c>
    </row>
    <row r="2392" spans="1:11" x14ac:dyDescent="0.3">
      <c r="A2392" s="298" t="s">
        <v>7994</v>
      </c>
      <c r="B2392" s="298" t="s">
        <v>7995</v>
      </c>
      <c r="C2392" s="298" t="s">
        <v>2862</v>
      </c>
      <c r="D2392" s="298" t="s">
        <v>256</v>
      </c>
      <c r="E2392" s="298"/>
      <c r="F2392" s="298" t="s">
        <v>7996</v>
      </c>
      <c r="G2392" s="299" t="b">
        <v>0</v>
      </c>
      <c r="H2392" s="299" t="b">
        <v>0</v>
      </c>
      <c r="J2392" s="113" t="str">
        <f t="shared" si="75"/>
        <v>949650287</v>
      </c>
      <c r="K2392" s="113" t="str">
        <f t="shared" si="76"/>
        <v>CG02476</v>
      </c>
    </row>
    <row r="2393" spans="1:11" x14ac:dyDescent="0.3">
      <c r="A2393" s="298" t="s">
        <v>7997</v>
      </c>
      <c r="B2393" s="298" t="s">
        <v>7998</v>
      </c>
      <c r="C2393" s="298" t="s">
        <v>3230</v>
      </c>
      <c r="D2393" s="298" t="s">
        <v>256</v>
      </c>
      <c r="E2393" s="298"/>
      <c r="F2393" s="298" t="s">
        <v>7999</v>
      </c>
      <c r="G2393" s="299" t="b">
        <v>0</v>
      </c>
      <c r="H2393" s="299" t="b">
        <v>0</v>
      </c>
      <c r="J2393" s="113" t="str">
        <f t="shared" si="75"/>
        <v>946559733</v>
      </c>
      <c r="K2393" s="113" t="str">
        <f t="shared" si="76"/>
        <v>CG02477</v>
      </c>
    </row>
    <row r="2394" spans="1:11" x14ac:dyDescent="0.3">
      <c r="A2394" s="298" t="s">
        <v>8000</v>
      </c>
      <c r="B2394" s="298" t="s">
        <v>8001</v>
      </c>
      <c r="C2394" s="298" t="s">
        <v>565</v>
      </c>
      <c r="D2394" s="298" t="s">
        <v>256</v>
      </c>
      <c r="E2394" s="298"/>
      <c r="F2394" s="298" t="s">
        <v>8002</v>
      </c>
      <c r="G2394" s="299" t="b">
        <v>0</v>
      </c>
      <c r="H2394" s="299" t="b">
        <v>0</v>
      </c>
      <c r="J2394" s="113" t="str">
        <f t="shared" si="75"/>
        <v>915659999</v>
      </c>
      <c r="K2394" s="113" t="str">
        <f t="shared" si="76"/>
        <v>CG02478</v>
      </c>
    </row>
    <row r="2395" spans="1:11" x14ac:dyDescent="0.3">
      <c r="A2395" s="298" t="s">
        <v>8003</v>
      </c>
      <c r="B2395" s="298" t="s">
        <v>8004</v>
      </c>
      <c r="C2395" s="298" t="s">
        <v>884</v>
      </c>
      <c r="D2395" s="298" t="s">
        <v>256</v>
      </c>
      <c r="E2395" s="298"/>
      <c r="F2395" s="298" t="s">
        <v>8005</v>
      </c>
      <c r="G2395" s="299" t="b">
        <v>0</v>
      </c>
      <c r="H2395" s="299" t="b">
        <v>0</v>
      </c>
      <c r="J2395" s="113" t="str">
        <f t="shared" si="75"/>
        <v>915149310</v>
      </c>
      <c r="K2395" s="113" t="str">
        <f t="shared" si="76"/>
        <v>CG02479</v>
      </c>
    </row>
    <row r="2396" spans="1:11" x14ac:dyDescent="0.3">
      <c r="A2396" s="298" t="s">
        <v>8006</v>
      </c>
      <c r="B2396" s="298" t="s">
        <v>8007</v>
      </c>
      <c r="C2396" s="298" t="s">
        <v>230</v>
      </c>
      <c r="D2396" s="298" t="s">
        <v>256</v>
      </c>
      <c r="E2396" s="298"/>
      <c r="F2396" s="298" t="s">
        <v>8008</v>
      </c>
      <c r="G2396" s="299" t="b">
        <v>0</v>
      </c>
      <c r="H2396" s="299" t="b">
        <v>0</v>
      </c>
      <c r="J2396" s="113" t="str">
        <f t="shared" si="75"/>
        <v>974791122</v>
      </c>
      <c r="K2396" s="113" t="str">
        <f t="shared" si="76"/>
        <v>CG02480</v>
      </c>
    </row>
    <row r="2397" spans="1:11" x14ac:dyDescent="0.3">
      <c r="A2397" s="298" t="s">
        <v>8009</v>
      </c>
      <c r="B2397" s="298" t="s">
        <v>8010</v>
      </c>
      <c r="C2397" s="298" t="s">
        <v>8011</v>
      </c>
      <c r="D2397" s="298" t="s">
        <v>256</v>
      </c>
      <c r="E2397" s="298"/>
      <c r="F2397" s="298" t="s">
        <v>8012</v>
      </c>
      <c r="G2397" s="299" t="b">
        <v>0</v>
      </c>
      <c r="H2397" s="299" t="b">
        <v>0</v>
      </c>
      <c r="J2397" s="113" t="str">
        <f t="shared" si="75"/>
        <v>986983984</v>
      </c>
      <c r="K2397" s="113" t="str">
        <f t="shared" si="76"/>
        <v>CG02481</v>
      </c>
    </row>
    <row r="2398" spans="1:11" x14ac:dyDescent="0.3">
      <c r="A2398" s="298" t="s">
        <v>8013</v>
      </c>
      <c r="B2398" s="298" t="s">
        <v>8014</v>
      </c>
      <c r="C2398" s="298" t="s">
        <v>3001</v>
      </c>
      <c r="D2398" s="298" t="s">
        <v>256</v>
      </c>
      <c r="E2398" s="298"/>
      <c r="F2398" s="298" t="s">
        <v>8015</v>
      </c>
      <c r="G2398" s="299" t="b">
        <v>0</v>
      </c>
      <c r="H2398" s="299" t="b">
        <v>0</v>
      </c>
      <c r="J2398" s="113" t="str">
        <f t="shared" si="75"/>
        <v>945712882</v>
      </c>
      <c r="K2398" s="113" t="str">
        <f t="shared" si="76"/>
        <v>CG02482</v>
      </c>
    </row>
    <row r="2399" spans="1:11" x14ac:dyDescent="0.3">
      <c r="A2399" s="298" t="s">
        <v>8016</v>
      </c>
      <c r="B2399" s="298" t="s">
        <v>8017</v>
      </c>
      <c r="C2399" s="298" t="s">
        <v>4354</v>
      </c>
      <c r="D2399" s="298" t="s">
        <v>256</v>
      </c>
      <c r="E2399" s="298"/>
      <c r="F2399" s="298" t="s">
        <v>8018</v>
      </c>
      <c r="G2399" s="299" t="b">
        <v>0</v>
      </c>
      <c r="H2399" s="299" t="b">
        <v>0</v>
      </c>
      <c r="J2399" s="113" t="str">
        <f t="shared" si="75"/>
        <v>983660582</v>
      </c>
      <c r="K2399" s="113" t="str">
        <f t="shared" si="76"/>
        <v>CG02483</v>
      </c>
    </row>
    <row r="2400" spans="1:11" x14ac:dyDescent="0.3">
      <c r="A2400" s="298" t="s">
        <v>8019</v>
      </c>
      <c r="B2400" s="298" t="s">
        <v>8020</v>
      </c>
      <c r="C2400" s="298" t="s">
        <v>432</v>
      </c>
      <c r="D2400" s="298" t="s">
        <v>256</v>
      </c>
      <c r="E2400" s="298"/>
      <c r="F2400" s="298" t="s">
        <v>8021</v>
      </c>
      <c r="G2400" s="299" t="b">
        <v>0</v>
      </c>
      <c r="H2400" s="299" t="b">
        <v>0</v>
      </c>
      <c r="J2400" s="113" t="str">
        <f t="shared" si="75"/>
        <v>972645346</v>
      </c>
      <c r="K2400" s="113" t="str">
        <f t="shared" si="76"/>
        <v>CG02484</v>
      </c>
    </row>
    <row r="2401" spans="1:11" x14ac:dyDescent="0.3">
      <c r="A2401" s="298" t="s">
        <v>8022</v>
      </c>
      <c r="B2401" s="298" t="s">
        <v>8023</v>
      </c>
      <c r="C2401" s="298" t="s">
        <v>8024</v>
      </c>
      <c r="D2401" s="298" t="s">
        <v>256</v>
      </c>
      <c r="E2401" s="298" t="s">
        <v>8025</v>
      </c>
      <c r="F2401" s="298" t="s">
        <v>8026</v>
      </c>
      <c r="G2401" s="299" t="b">
        <v>0</v>
      </c>
      <c r="H2401" s="299" t="b">
        <v>0</v>
      </c>
      <c r="J2401" s="113" t="str">
        <f t="shared" si="75"/>
        <v>976226227</v>
      </c>
      <c r="K2401" s="113" t="str">
        <f t="shared" si="76"/>
        <v>CG02485</v>
      </c>
    </row>
    <row r="2402" spans="1:11" x14ac:dyDescent="0.3">
      <c r="A2402" s="298" t="s">
        <v>8027</v>
      </c>
      <c r="B2402" s="298" t="s">
        <v>8028</v>
      </c>
      <c r="C2402" s="298" t="s">
        <v>3516</v>
      </c>
      <c r="D2402" s="298" t="s">
        <v>256</v>
      </c>
      <c r="E2402" s="298"/>
      <c r="F2402" s="298" t="s">
        <v>8029</v>
      </c>
      <c r="G2402" s="299" t="b">
        <v>0</v>
      </c>
      <c r="H2402" s="299" t="b">
        <v>0</v>
      </c>
      <c r="J2402" s="113" t="str">
        <f t="shared" si="75"/>
        <v>348543779</v>
      </c>
      <c r="K2402" s="113" t="str">
        <f t="shared" si="76"/>
        <v>CG02486</v>
      </c>
    </row>
    <row r="2403" spans="1:11" x14ac:dyDescent="0.3">
      <c r="A2403" s="298" t="s">
        <v>8030</v>
      </c>
      <c r="B2403" s="298" t="s">
        <v>8031</v>
      </c>
      <c r="C2403" s="298" t="s">
        <v>1395</v>
      </c>
      <c r="D2403" s="298" t="s">
        <v>256</v>
      </c>
      <c r="E2403" s="298"/>
      <c r="F2403" s="298" t="s">
        <v>8032</v>
      </c>
      <c r="G2403" s="299" t="b">
        <v>0</v>
      </c>
      <c r="H2403" s="299" t="b">
        <v>0</v>
      </c>
      <c r="J2403" s="113" t="str">
        <f t="shared" si="75"/>
        <v>966660505</v>
      </c>
      <c r="K2403" s="113" t="str">
        <f t="shared" si="76"/>
        <v>CG02487</v>
      </c>
    </row>
    <row r="2404" spans="1:11" x14ac:dyDescent="0.3">
      <c r="A2404" s="298" t="s">
        <v>8033</v>
      </c>
      <c r="B2404" s="298" t="s">
        <v>8034</v>
      </c>
      <c r="C2404" s="298" t="s">
        <v>1579</v>
      </c>
      <c r="D2404" s="298" t="s">
        <v>256</v>
      </c>
      <c r="E2404" s="298"/>
      <c r="F2404" s="298" t="s">
        <v>8035</v>
      </c>
      <c r="G2404" s="299" t="b">
        <v>0</v>
      </c>
      <c r="H2404" s="299" t="b">
        <v>0</v>
      </c>
      <c r="J2404" s="113" t="str">
        <f t="shared" si="75"/>
        <v>987112555</v>
      </c>
      <c r="K2404" s="113" t="str">
        <f t="shared" si="76"/>
        <v>CG02488</v>
      </c>
    </row>
    <row r="2405" spans="1:11" x14ac:dyDescent="0.3">
      <c r="A2405" s="298" t="s">
        <v>8036</v>
      </c>
      <c r="B2405" s="298" t="s">
        <v>8037</v>
      </c>
      <c r="C2405" s="298" t="s">
        <v>8038</v>
      </c>
      <c r="D2405" s="298" t="s">
        <v>256</v>
      </c>
      <c r="E2405" s="298"/>
      <c r="F2405" s="298" t="s">
        <v>8039</v>
      </c>
      <c r="G2405" s="299" t="b">
        <v>0</v>
      </c>
      <c r="H2405" s="299" t="b">
        <v>0</v>
      </c>
      <c r="J2405" s="113" t="str">
        <f t="shared" si="75"/>
        <v>987495082</v>
      </c>
      <c r="K2405" s="113" t="str">
        <f t="shared" si="76"/>
        <v>CG02489</v>
      </c>
    </row>
    <row r="2406" spans="1:11" x14ac:dyDescent="0.3">
      <c r="A2406" s="298" t="s">
        <v>8040</v>
      </c>
      <c r="B2406" s="298" t="s">
        <v>8041</v>
      </c>
      <c r="C2406" s="298" t="s">
        <v>3451</v>
      </c>
      <c r="D2406" s="298" t="s">
        <v>256</v>
      </c>
      <c r="E2406" s="298"/>
      <c r="F2406" s="298" t="s">
        <v>8042</v>
      </c>
      <c r="G2406" s="299" t="b">
        <v>0</v>
      </c>
      <c r="H2406" s="299" t="b">
        <v>0</v>
      </c>
      <c r="J2406" s="113" t="str">
        <f t="shared" si="75"/>
        <v>904114974</v>
      </c>
      <c r="K2406" s="113" t="str">
        <f t="shared" si="76"/>
        <v>CG02490</v>
      </c>
    </row>
    <row r="2407" spans="1:11" x14ac:dyDescent="0.3">
      <c r="A2407" s="298" t="s">
        <v>8043</v>
      </c>
      <c r="B2407" s="298" t="s">
        <v>8044</v>
      </c>
      <c r="C2407" s="298" t="s">
        <v>4741</v>
      </c>
      <c r="D2407" s="298" t="s">
        <v>256</v>
      </c>
      <c r="E2407" s="298"/>
      <c r="F2407" s="298" t="s">
        <v>8045</v>
      </c>
      <c r="G2407" s="299" t="b">
        <v>0</v>
      </c>
      <c r="H2407" s="299" t="b">
        <v>0</v>
      </c>
      <c r="J2407" s="113" t="str">
        <f t="shared" si="75"/>
        <v>912095474</v>
      </c>
      <c r="K2407" s="113" t="str">
        <f t="shared" si="76"/>
        <v>CG02491</v>
      </c>
    </row>
    <row r="2408" spans="1:11" x14ac:dyDescent="0.3">
      <c r="A2408" s="298" t="s">
        <v>8046</v>
      </c>
      <c r="B2408" s="298" t="s">
        <v>8047</v>
      </c>
      <c r="C2408" s="298" t="s">
        <v>8048</v>
      </c>
      <c r="D2408" s="298" t="s">
        <v>256</v>
      </c>
      <c r="E2408" s="298" t="s">
        <v>8049</v>
      </c>
      <c r="F2408" s="298" t="s">
        <v>8050</v>
      </c>
      <c r="G2408" s="299" t="b">
        <v>0</v>
      </c>
      <c r="H2408" s="299" t="b">
        <v>0</v>
      </c>
      <c r="J2408" s="113" t="str">
        <f t="shared" si="75"/>
        <v>989836999</v>
      </c>
      <c r="K2408" s="113" t="str">
        <f t="shared" si="76"/>
        <v>CG02492</v>
      </c>
    </row>
    <row r="2409" spans="1:11" x14ac:dyDescent="0.3">
      <c r="A2409" s="298" t="s">
        <v>8051</v>
      </c>
      <c r="B2409" s="298" t="s">
        <v>8052</v>
      </c>
      <c r="C2409" s="298" t="s">
        <v>8053</v>
      </c>
      <c r="D2409" s="298" t="s">
        <v>256</v>
      </c>
      <c r="E2409" s="298"/>
      <c r="F2409" s="298" t="s">
        <v>8054</v>
      </c>
      <c r="G2409" s="299" t="b">
        <v>0</v>
      </c>
      <c r="H2409" s="299" t="b">
        <v>0</v>
      </c>
      <c r="J2409" s="113" t="str">
        <f t="shared" si="75"/>
        <v>912576829</v>
      </c>
      <c r="K2409" s="113" t="str">
        <f t="shared" si="76"/>
        <v>CG02493</v>
      </c>
    </row>
    <row r="2410" spans="1:11" x14ac:dyDescent="0.3">
      <c r="A2410" s="298" t="s">
        <v>8055</v>
      </c>
      <c r="B2410" s="298" t="s">
        <v>8056</v>
      </c>
      <c r="C2410" s="298" t="s">
        <v>593</v>
      </c>
      <c r="D2410" s="298" t="s">
        <v>256</v>
      </c>
      <c r="E2410" s="298"/>
      <c r="F2410" s="298" t="s">
        <v>8057</v>
      </c>
      <c r="G2410" s="299" t="b">
        <v>0</v>
      </c>
      <c r="H2410" s="299" t="b">
        <v>0</v>
      </c>
      <c r="J2410" s="113" t="str">
        <f t="shared" si="75"/>
        <v>984759299</v>
      </c>
      <c r="K2410" s="113" t="str">
        <f t="shared" si="76"/>
        <v>CG02494</v>
      </c>
    </row>
    <row r="2411" spans="1:11" x14ac:dyDescent="0.3">
      <c r="A2411" s="298" t="s">
        <v>8058</v>
      </c>
      <c r="B2411" s="298" t="s">
        <v>8059</v>
      </c>
      <c r="C2411" s="298" t="s">
        <v>230</v>
      </c>
      <c r="D2411" s="298" t="s">
        <v>256</v>
      </c>
      <c r="E2411" s="298"/>
      <c r="F2411" s="298" t="s">
        <v>8060</v>
      </c>
      <c r="G2411" s="299" t="b">
        <v>0</v>
      </c>
      <c r="H2411" s="299" t="b">
        <v>0</v>
      </c>
      <c r="J2411" s="113" t="str">
        <f t="shared" si="75"/>
        <v>986984793</v>
      </c>
      <c r="K2411" s="113" t="str">
        <f t="shared" si="76"/>
        <v>CG02495</v>
      </c>
    </row>
    <row r="2412" spans="1:11" x14ac:dyDescent="0.3">
      <c r="A2412" s="298" t="s">
        <v>8061</v>
      </c>
      <c r="B2412" s="298" t="s">
        <v>8062</v>
      </c>
      <c r="C2412" s="298" t="s">
        <v>613</v>
      </c>
      <c r="D2412" s="298" t="s">
        <v>256</v>
      </c>
      <c r="E2412" s="298"/>
      <c r="F2412" s="298" t="s">
        <v>8063</v>
      </c>
      <c r="G2412" s="299" t="b">
        <v>0</v>
      </c>
      <c r="H2412" s="299" t="b">
        <v>0</v>
      </c>
      <c r="J2412" s="113" t="str">
        <f t="shared" si="75"/>
        <v>915819056</v>
      </c>
      <c r="K2412" s="113" t="str">
        <f t="shared" si="76"/>
        <v>CG02496</v>
      </c>
    </row>
    <row r="2413" spans="1:11" x14ac:dyDescent="0.3">
      <c r="A2413" s="298" t="s">
        <v>8064</v>
      </c>
      <c r="B2413" s="298" t="s">
        <v>8065</v>
      </c>
      <c r="C2413" s="298" t="s">
        <v>2480</v>
      </c>
      <c r="D2413" s="298" t="s">
        <v>256</v>
      </c>
      <c r="E2413" s="298"/>
      <c r="F2413" s="298" t="s">
        <v>8066</v>
      </c>
      <c r="G2413" s="299" t="b">
        <v>0</v>
      </c>
      <c r="H2413" s="299" t="b">
        <v>0</v>
      </c>
      <c r="J2413" s="113" t="str">
        <f t="shared" si="75"/>
        <v>979318809</v>
      </c>
      <c r="K2413" s="113" t="str">
        <f t="shared" si="76"/>
        <v>CG02497</v>
      </c>
    </row>
    <row r="2414" spans="1:11" x14ac:dyDescent="0.3">
      <c r="A2414" s="298" t="s">
        <v>8067</v>
      </c>
      <c r="B2414" s="298" t="s">
        <v>8068</v>
      </c>
      <c r="C2414" s="298" t="s">
        <v>390</v>
      </c>
      <c r="D2414" s="298" t="s">
        <v>256</v>
      </c>
      <c r="E2414" s="298"/>
      <c r="F2414" s="298" t="s">
        <v>8069</v>
      </c>
      <c r="G2414" s="299" t="b">
        <v>0</v>
      </c>
      <c r="H2414" s="299" t="b">
        <v>0</v>
      </c>
      <c r="J2414" s="113" t="str">
        <f t="shared" si="75"/>
        <v>966973668</v>
      </c>
      <c r="K2414" s="113" t="str">
        <f t="shared" si="76"/>
        <v>CG02498</v>
      </c>
    </row>
    <row r="2415" spans="1:11" x14ac:dyDescent="0.3">
      <c r="A2415" s="298" t="s">
        <v>8070</v>
      </c>
      <c r="B2415" s="298" t="s">
        <v>8071</v>
      </c>
      <c r="C2415" s="298" t="s">
        <v>993</v>
      </c>
      <c r="D2415" s="298" t="s">
        <v>256</v>
      </c>
      <c r="E2415" s="298"/>
      <c r="F2415" s="298" t="s">
        <v>8072</v>
      </c>
      <c r="G2415" s="299" t="b">
        <v>0</v>
      </c>
      <c r="H2415" s="299" t="b">
        <v>0</v>
      </c>
      <c r="J2415" s="113" t="str">
        <f t="shared" si="75"/>
        <v>913422568</v>
      </c>
      <c r="K2415" s="113" t="str">
        <f t="shared" si="76"/>
        <v>CG02499</v>
      </c>
    </row>
    <row r="2416" spans="1:11" x14ac:dyDescent="0.3">
      <c r="A2416" s="298" t="s">
        <v>8073</v>
      </c>
      <c r="B2416" s="298" t="s">
        <v>8074</v>
      </c>
      <c r="C2416" s="298" t="s">
        <v>816</v>
      </c>
      <c r="D2416" s="298" t="s">
        <v>256</v>
      </c>
      <c r="E2416" s="298"/>
      <c r="F2416" s="298" t="s">
        <v>8075</v>
      </c>
      <c r="G2416" s="299" t="b">
        <v>0</v>
      </c>
      <c r="H2416" s="299" t="b">
        <v>0</v>
      </c>
      <c r="J2416" s="113" t="str">
        <f t="shared" si="75"/>
        <v>988492638</v>
      </c>
      <c r="K2416" s="113" t="str">
        <f t="shared" si="76"/>
        <v>CG02500</v>
      </c>
    </row>
    <row r="2417" spans="1:11" x14ac:dyDescent="0.3">
      <c r="A2417" s="298" t="s">
        <v>8076</v>
      </c>
      <c r="B2417" s="298" t="s">
        <v>8077</v>
      </c>
      <c r="C2417" s="298" t="s">
        <v>286</v>
      </c>
      <c r="D2417" s="298" t="s">
        <v>256</v>
      </c>
      <c r="E2417" s="298"/>
      <c r="F2417" s="298" t="s">
        <v>8078</v>
      </c>
      <c r="G2417" s="299" t="b">
        <v>0</v>
      </c>
      <c r="H2417" s="299" t="b">
        <v>0</v>
      </c>
      <c r="J2417" s="113" t="str">
        <f t="shared" si="75"/>
        <v>937253999</v>
      </c>
      <c r="K2417" s="113" t="str">
        <f t="shared" si="76"/>
        <v>CG02501</v>
      </c>
    </row>
    <row r="2418" spans="1:11" x14ac:dyDescent="0.3">
      <c r="A2418" s="298" t="s">
        <v>8079</v>
      </c>
      <c r="B2418" s="298" t="s">
        <v>8080</v>
      </c>
      <c r="C2418" s="298" t="s">
        <v>8081</v>
      </c>
      <c r="D2418" s="298" t="s">
        <v>256</v>
      </c>
      <c r="E2418" s="298"/>
      <c r="F2418" s="298" t="s">
        <v>8082</v>
      </c>
      <c r="G2418" s="299" t="b">
        <v>0</v>
      </c>
      <c r="H2418" s="299" t="b">
        <v>0</v>
      </c>
      <c r="J2418" s="113" t="str">
        <f t="shared" si="75"/>
        <v>393992875</v>
      </c>
      <c r="K2418" s="113" t="str">
        <f t="shared" si="76"/>
        <v>CG02502</v>
      </c>
    </row>
    <row r="2419" spans="1:11" x14ac:dyDescent="0.3">
      <c r="A2419" s="298" t="s">
        <v>8083</v>
      </c>
      <c r="B2419" s="298" t="s">
        <v>8084</v>
      </c>
      <c r="C2419" s="298" t="s">
        <v>292</v>
      </c>
      <c r="D2419" s="298" t="s">
        <v>256</v>
      </c>
      <c r="E2419" s="298"/>
      <c r="F2419" s="298" t="s">
        <v>8085</v>
      </c>
      <c r="G2419" s="299" t="b">
        <v>0</v>
      </c>
      <c r="H2419" s="299" t="b">
        <v>0</v>
      </c>
      <c r="J2419" s="113" t="str">
        <f t="shared" si="75"/>
        <v>912227515</v>
      </c>
      <c r="K2419" s="113" t="str">
        <f t="shared" si="76"/>
        <v>CG02503</v>
      </c>
    </row>
    <row r="2420" spans="1:11" x14ac:dyDescent="0.3">
      <c r="A2420" s="298" t="s">
        <v>8086</v>
      </c>
      <c r="B2420" s="298" t="s">
        <v>8087</v>
      </c>
      <c r="C2420" s="298" t="s">
        <v>2170</v>
      </c>
      <c r="D2420" s="298" t="s">
        <v>256</v>
      </c>
      <c r="E2420" s="298"/>
      <c r="F2420" s="298" t="s">
        <v>8088</v>
      </c>
      <c r="G2420" s="299" t="b">
        <v>0</v>
      </c>
      <c r="H2420" s="299" t="b">
        <v>0</v>
      </c>
      <c r="J2420" s="113" t="str">
        <f t="shared" si="75"/>
        <v>945676121</v>
      </c>
      <c r="K2420" s="113" t="str">
        <f t="shared" si="76"/>
        <v>CG02504</v>
      </c>
    </row>
    <row r="2421" spans="1:11" x14ac:dyDescent="0.3">
      <c r="A2421" s="298" t="s">
        <v>8089</v>
      </c>
      <c r="B2421" s="298" t="s">
        <v>8090</v>
      </c>
      <c r="C2421" s="298" t="s">
        <v>378</v>
      </c>
      <c r="D2421" s="298" t="s">
        <v>256</v>
      </c>
      <c r="E2421" s="298"/>
      <c r="F2421" s="298" t="s">
        <v>8091</v>
      </c>
      <c r="G2421" s="299" t="b">
        <v>0</v>
      </c>
      <c r="H2421" s="299" t="b">
        <v>0</v>
      </c>
      <c r="J2421" s="113" t="str">
        <f t="shared" si="75"/>
        <v>914658644</v>
      </c>
      <c r="K2421" s="113" t="str">
        <f t="shared" si="76"/>
        <v>CG02505</v>
      </c>
    </row>
    <row r="2422" spans="1:11" x14ac:dyDescent="0.3">
      <c r="A2422" s="298" t="s">
        <v>8092</v>
      </c>
      <c r="B2422" s="298" t="s">
        <v>8093</v>
      </c>
      <c r="C2422" s="298" t="s">
        <v>343</v>
      </c>
      <c r="D2422" s="298" t="s">
        <v>256</v>
      </c>
      <c r="E2422" s="298"/>
      <c r="F2422" s="298" t="s">
        <v>8094</v>
      </c>
      <c r="G2422" s="299" t="b">
        <v>0</v>
      </c>
      <c r="H2422" s="299" t="b">
        <v>0</v>
      </c>
      <c r="J2422" s="113" t="str">
        <f t="shared" si="75"/>
        <v>983076888</v>
      </c>
      <c r="K2422" s="113" t="str">
        <f t="shared" si="76"/>
        <v>CG02506</v>
      </c>
    </row>
    <row r="2423" spans="1:11" x14ac:dyDescent="0.3">
      <c r="A2423" s="298" t="s">
        <v>8095</v>
      </c>
      <c r="B2423" s="298" t="s">
        <v>8096</v>
      </c>
      <c r="C2423" s="298" t="s">
        <v>8097</v>
      </c>
      <c r="D2423" s="298" t="s">
        <v>256</v>
      </c>
      <c r="E2423" s="298"/>
      <c r="F2423" s="298" t="s">
        <v>8098</v>
      </c>
      <c r="G2423" s="299" t="b">
        <v>0</v>
      </c>
      <c r="H2423" s="299" t="b">
        <v>0</v>
      </c>
      <c r="J2423" s="113" t="str">
        <f t="shared" si="75"/>
        <v>789139999</v>
      </c>
      <c r="K2423" s="113" t="str">
        <f t="shared" si="76"/>
        <v>CG02507</v>
      </c>
    </row>
    <row r="2424" spans="1:11" x14ac:dyDescent="0.3">
      <c r="A2424" s="298" t="s">
        <v>8099</v>
      </c>
      <c r="B2424" s="298" t="s">
        <v>8100</v>
      </c>
      <c r="C2424" s="298" t="s">
        <v>3619</v>
      </c>
      <c r="D2424" s="298" t="s">
        <v>256</v>
      </c>
      <c r="E2424" s="298"/>
      <c r="F2424" s="298" t="s">
        <v>8101</v>
      </c>
      <c r="G2424" s="299" t="b">
        <v>0</v>
      </c>
      <c r="H2424" s="299" t="b">
        <v>0</v>
      </c>
      <c r="J2424" s="113" t="str">
        <f t="shared" si="75"/>
        <v>984571979</v>
      </c>
      <c r="K2424" s="113" t="str">
        <f t="shared" si="76"/>
        <v>CG02508</v>
      </c>
    </row>
    <row r="2425" spans="1:11" x14ac:dyDescent="0.3">
      <c r="A2425" s="298" t="s">
        <v>8102</v>
      </c>
      <c r="B2425" s="298" t="s">
        <v>8103</v>
      </c>
      <c r="C2425" s="298" t="s">
        <v>8104</v>
      </c>
      <c r="D2425" s="298" t="s">
        <v>256</v>
      </c>
      <c r="E2425" s="298"/>
      <c r="F2425" s="298" t="s">
        <v>8105</v>
      </c>
      <c r="G2425" s="299" t="b">
        <v>0</v>
      </c>
      <c r="H2425" s="299" t="b">
        <v>0</v>
      </c>
      <c r="J2425" s="113" t="str">
        <f t="shared" si="75"/>
        <v>919747387</v>
      </c>
      <c r="K2425" s="113" t="str">
        <f t="shared" si="76"/>
        <v>CG02509</v>
      </c>
    </row>
    <row r="2426" spans="1:11" x14ac:dyDescent="0.3">
      <c r="A2426" s="298" t="s">
        <v>8106</v>
      </c>
      <c r="B2426" s="298" t="s">
        <v>8107</v>
      </c>
      <c r="C2426" s="298" t="s">
        <v>6181</v>
      </c>
      <c r="D2426" s="298" t="s">
        <v>256</v>
      </c>
      <c r="E2426" s="298" t="s">
        <v>8108</v>
      </c>
      <c r="F2426" s="298" t="s">
        <v>8109</v>
      </c>
      <c r="G2426" s="299" t="b">
        <v>0</v>
      </c>
      <c r="H2426" s="299" t="b">
        <v>0</v>
      </c>
      <c r="J2426" s="113" t="str">
        <f t="shared" si="75"/>
        <v>392336851</v>
      </c>
      <c r="K2426" s="113" t="str">
        <f t="shared" si="76"/>
        <v>CG02510</v>
      </c>
    </row>
    <row r="2427" spans="1:11" x14ac:dyDescent="0.3">
      <c r="A2427" s="298" t="s">
        <v>8110</v>
      </c>
      <c r="B2427" s="298" t="s">
        <v>8111</v>
      </c>
      <c r="C2427" s="298" t="s">
        <v>1257</v>
      </c>
      <c r="D2427" s="298" t="s">
        <v>256</v>
      </c>
      <c r="E2427" s="298"/>
      <c r="F2427" s="298" t="s">
        <v>8112</v>
      </c>
      <c r="G2427" s="299" t="b">
        <v>0</v>
      </c>
      <c r="H2427" s="299" t="b">
        <v>0</v>
      </c>
      <c r="J2427" s="113" t="str">
        <f t="shared" si="75"/>
        <v>983125527</v>
      </c>
      <c r="K2427" s="113" t="str">
        <f t="shared" si="76"/>
        <v>CG02511</v>
      </c>
    </row>
    <row r="2428" spans="1:11" x14ac:dyDescent="0.3">
      <c r="A2428" s="298" t="s">
        <v>8113</v>
      </c>
      <c r="B2428" s="298" t="s">
        <v>8114</v>
      </c>
      <c r="C2428" s="298" t="s">
        <v>355</v>
      </c>
      <c r="D2428" s="298" t="s">
        <v>256</v>
      </c>
      <c r="E2428" s="298"/>
      <c r="F2428" s="298" t="s">
        <v>8115</v>
      </c>
      <c r="G2428" s="299" t="b">
        <v>0</v>
      </c>
      <c r="H2428" s="299" t="b">
        <v>0</v>
      </c>
      <c r="J2428" s="113" t="str">
        <f t="shared" si="75"/>
        <v>912181958</v>
      </c>
      <c r="K2428" s="113" t="str">
        <f t="shared" si="76"/>
        <v>CG02512</v>
      </c>
    </row>
    <row r="2429" spans="1:11" x14ac:dyDescent="0.3">
      <c r="A2429" s="298" t="s">
        <v>8116</v>
      </c>
      <c r="B2429" s="298" t="s">
        <v>8117</v>
      </c>
      <c r="C2429" s="298" t="s">
        <v>8118</v>
      </c>
      <c r="D2429" s="298" t="s">
        <v>256</v>
      </c>
      <c r="E2429" s="298"/>
      <c r="F2429" s="298" t="s">
        <v>8119</v>
      </c>
      <c r="G2429" s="299" t="b">
        <v>0</v>
      </c>
      <c r="H2429" s="299" t="b">
        <v>0</v>
      </c>
      <c r="J2429" s="113" t="str">
        <f t="shared" si="75"/>
        <v>978001005</v>
      </c>
      <c r="K2429" s="113" t="str">
        <f t="shared" si="76"/>
        <v>CG02513</v>
      </c>
    </row>
    <row r="2430" spans="1:11" x14ac:dyDescent="0.3">
      <c r="A2430" s="298" t="s">
        <v>8120</v>
      </c>
      <c r="B2430" s="298" t="s">
        <v>8121</v>
      </c>
      <c r="C2430" s="298" t="s">
        <v>888</v>
      </c>
      <c r="D2430" s="298" t="s">
        <v>256</v>
      </c>
      <c r="E2430" s="298"/>
      <c r="F2430" s="298" t="s">
        <v>8122</v>
      </c>
      <c r="G2430" s="299" t="b">
        <v>0</v>
      </c>
      <c r="H2430" s="299" t="b">
        <v>0</v>
      </c>
      <c r="J2430" s="113" t="str">
        <f t="shared" si="75"/>
        <v>902023552</v>
      </c>
      <c r="K2430" s="113" t="str">
        <f t="shared" si="76"/>
        <v>CG02514</v>
      </c>
    </row>
    <row r="2431" spans="1:11" x14ac:dyDescent="0.3">
      <c r="A2431" s="298" t="s">
        <v>8123</v>
      </c>
      <c r="B2431" s="298" t="s">
        <v>8124</v>
      </c>
      <c r="C2431" s="298" t="s">
        <v>286</v>
      </c>
      <c r="D2431" s="298" t="s">
        <v>256</v>
      </c>
      <c r="E2431" s="298"/>
      <c r="F2431" s="298" t="s">
        <v>8125</v>
      </c>
      <c r="G2431" s="299" t="b">
        <v>0</v>
      </c>
      <c r="H2431" s="299" t="b">
        <v>0</v>
      </c>
      <c r="J2431" s="113" t="str">
        <f t="shared" si="75"/>
        <v>977473645</v>
      </c>
      <c r="K2431" s="113" t="str">
        <f t="shared" si="76"/>
        <v>CG02515</v>
      </c>
    </row>
    <row r="2432" spans="1:11" x14ac:dyDescent="0.3">
      <c r="A2432" s="298" t="s">
        <v>8126</v>
      </c>
      <c r="B2432" s="298" t="s">
        <v>8127</v>
      </c>
      <c r="C2432" s="298" t="s">
        <v>593</v>
      </c>
      <c r="D2432" s="298" t="s">
        <v>256</v>
      </c>
      <c r="E2432" s="298"/>
      <c r="F2432" s="298" t="s">
        <v>8128</v>
      </c>
      <c r="G2432" s="299" t="b">
        <v>0</v>
      </c>
      <c r="H2432" s="299" t="b">
        <v>0</v>
      </c>
      <c r="J2432" s="113" t="str">
        <f t="shared" si="75"/>
        <v>978777183</v>
      </c>
      <c r="K2432" s="113" t="str">
        <f t="shared" si="76"/>
        <v>CG02516</v>
      </c>
    </row>
    <row r="2433" spans="1:11" x14ac:dyDescent="0.3">
      <c r="A2433" s="298" t="s">
        <v>8129</v>
      </c>
      <c r="B2433" s="298" t="s">
        <v>8130</v>
      </c>
      <c r="C2433" s="298" t="s">
        <v>2051</v>
      </c>
      <c r="D2433" s="298" t="s">
        <v>256</v>
      </c>
      <c r="E2433" s="298"/>
      <c r="F2433" s="298" t="s">
        <v>8131</v>
      </c>
      <c r="G2433" s="299" t="b">
        <v>0</v>
      </c>
      <c r="H2433" s="299" t="b">
        <v>0</v>
      </c>
      <c r="J2433" s="113" t="str">
        <f t="shared" si="75"/>
        <v>969581392</v>
      </c>
      <c r="K2433" s="113" t="str">
        <f t="shared" si="76"/>
        <v>CG02517</v>
      </c>
    </row>
    <row r="2434" spans="1:11" x14ac:dyDescent="0.3">
      <c r="A2434" s="298" t="s">
        <v>8132</v>
      </c>
      <c r="B2434" s="298" t="s">
        <v>8133</v>
      </c>
      <c r="C2434" s="298" t="s">
        <v>286</v>
      </c>
      <c r="D2434" s="298" t="s">
        <v>256</v>
      </c>
      <c r="E2434" s="298"/>
      <c r="F2434" s="298" t="s">
        <v>8134</v>
      </c>
      <c r="G2434" s="299" t="b">
        <v>0</v>
      </c>
      <c r="H2434" s="299" t="b">
        <v>0</v>
      </c>
      <c r="J2434" s="113" t="str">
        <f t="shared" si="75"/>
        <v>935438999</v>
      </c>
      <c r="K2434" s="113" t="str">
        <f t="shared" si="76"/>
        <v>CG02518</v>
      </c>
    </row>
    <row r="2435" spans="1:11" x14ac:dyDescent="0.3">
      <c r="A2435" s="298" t="s">
        <v>8135</v>
      </c>
      <c r="B2435" s="298" t="s">
        <v>8136</v>
      </c>
      <c r="C2435" s="298" t="s">
        <v>3926</v>
      </c>
      <c r="D2435" s="298" t="s">
        <v>256</v>
      </c>
      <c r="E2435" s="298" t="s">
        <v>8137</v>
      </c>
      <c r="F2435" s="298" t="s">
        <v>8138</v>
      </c>
      <c r="G2435" s="299" t="b">
        <v>0</v>
      </c>
      <c r="H2435" s="299" t="b">
        <v>0</v>
      </c>
      <c r="J2435" s="113" t="str">
        <f t="shared" si="75"/>
        <v>917984789</v>
      </c>
      <c r="K2435" s="113" t="str">
        <f t="shared" si="76"/>
        <v>CG02519</v>
      </c>
    </row>
    <row r="2436" spans="1:11" x14ac:dyDescent="0.3">
      <c r="A2436" s="298" t="s">
        <v>8139</v>
      </c>
      <c r="B2436" s="298" t="s">
        <v>8140</v>
      </c>
      <c r="C2436" s="298" t="s">
        <v>355</v>
      </c>
      <c r="D2436" s="298" t="s">
        <v>256</v>
      </c>
      <c r="E2436" s="298"/>
      <c r="F2436" s="298" t="s">
        <v>8141</v>
      </c>
      <c r="G2436" s="299" t="b">
        <v>0</v>
      </c>
      <c r="H2436" s="299" t="b">
        <v>0</v>
      </c>
      <c r="J2436" s="113" t="str">
        <f t="shared" si="75"/>
        <v>966568366</v>
      </c>
      <c r="K2436" s="113" t="str">
        <f t="shared" si="76"/>
        <v>CG02520</v>
      </c>
    </row>
    <row r="2437" spans="1:11" x14ac:dyDescent="0.3">
      <c r="A2437" s="298" t="s">
        <v>8142</v>
      </c>
      <c r="B2437" s="298" t="s">
        <v>8143</v>
      </c>
      <c r="C2437" s="298" t="s">
        <v>647</v>
      </c>
      <c r="D2437" s="298" t="s">
        <v>256</v>
      </c>
      <c r="E2437" s="298"/>
      <c r="F2437" s="298" t="s">
        <v>8144</v>
      </c>
      <c r="G2437" s="299" t="b">
        <v>0</v>
      </c>
      <c r="H2437" s="299" t="b">
        <v>0</v>
      </c>
      <c r="J2437" s="113" t="str">
        <f t="shared" ref="J2437:J2500" si="77">RIGHT(B2437,9)</f>
        <v>904949243</v>
      </c>
      <c r="K2437" s="113" t="str">
        <f t="shared" ref="K2437:K2500" si="78">A2437</f>
        <v>CG02521</v>
      </c>
    </row>
    <row r="2438" spans="1:11" x14ac:dyDescent="0.3">
      <c r="A2438" s="298" t="s">
        <v>8145</v>
      </c>
      <c r="B2438" s="298" t="s">
        <v>8146</v>
      </c>
      <c r="C2438" s="298" t="s">
        <v>2324</v>
      </c>
      <c r="D2438" s="298" t="s">
        <v>256</v>
      </c>
      <c r="E2438" s="298"/>
      <c r="F2438" s="298" t="s">
        <v>8147</v>
      </c>
      <c r="G2438" s="299" t="b">
        <v>0</v>
      </c>
      <c r="H2438" s="299" t="b">
        <v>0</v>
      </c>
      <c r="J2438" s="113" t="str">
        <f t="shared" si="77"/>
        <v>979571962</v>
      </c>
      <c r="K2438" s="113" t="str">
        <f t="shared" si="78"/>
        <v>CG02522</v>
      </c>
    </row>
    <row r="2439" spans="1:11" x14ac:dyDescent="0.3">
      <c r="A2439" s="298" t="s">
        <v>8148</v>
      </c>
      <c r="B2439" s="298" t="s">
        <v>8149</v>
      </c>
      <c r="C2439" s="298" t="s">
        <v>718</v>
      </c>
      <c r="D2439" s="298" t="s">
        <v>256</v>
      </c>
      <c r="E2439" s="298"/>
      <c r="F2439" s="298" t="s">
        <v>8150</v>
      </c>
      <c r="G2439" s="299" t="b">
        <v>0</v>
      </c>
      <c r="H2439" s="299" t="b">
        <v>0</v>
      </c>
      <c r="J2439" s="113" t="str">
        <f t="shared" si="77"/>
        <v>982488190</v>
      </c>
      <c r="K2439" s="113" t="str">
        <f t="shared" si="78"/>
        <v>CG02523</v>
      </c>
    </row>
    <row r="2440" spans="1:11" x14ac:dyDescent="0.3">
      <c r="A2440" s="298" t="s">
        <v>8151</v>
      </c>
      <c r="B2440" s="298" t="s">
        <v>8152</v>
      </c>
      <c r="C2440" s="298" t="s">
        <v>1237</v>
      </c>
      <c r="D2440" s="298" t="s">
        <v>256</v>
      </c>
      <c r="E2440" s="298"/>
      <c r="F2440" s="298" t="s">
        <v>8153</v>
      </c>
      <c r="G2440" s="299" t="b">
        <v>0</v>
      </c>
      <c r="H2440" s="299" t="b">
        <v>0</v>
      </c>
      <c r="J2440" s="113" t="str">
        <f t="shared" si="77"/>
        <v>945028480</v>
      </c>
      <c r="K2440" s="113" t="str">
        <f t="shared" si="78"/>
        <v>CG02524</v>
      </c>
    </row>
    <row r="2441" spans="1:11" x14ac:dyDescent="0.3">
      <c r="A2441" s="298" t="s">
        <v>8154</v>
      </c>
      <c r="B2441" s="298" t="s">
        <v>8155</v>
      </c>
      <c r="C2441" s="298" t="s">
        <v>289</v>
      </c>
      <c r="D2441" s="298" t="s">
        <v>256</v>
      </c>
      <c r="E2441" s="298"/>
      <c r="F2441" s="298" t="s">
        <v>8156</v>
      </c>
      <c r="G2441" s="299" t="b">
        <v>0</v>
      </c>
      <c r="H2441" s="299" t="b">
        <v>0</v>
      </c>
      <c r="J2441" s="113" t="str">
        <f t="shared" si="77"/>
        <v>969523286</v>
      </c>
      <c r="K2441" s="113" t="str">
        <f t="shared" si="78"/>
        <v>CG02525</v>
      </c>
    </row>
    <row r="2442" spans="1:11" x14ac:dyDescent="0.3">
      <c r="A2442" s="298" t="s">
        <v>8157</v>
      </c>
      <c r="B2442" s="298" t="s">
        <v>8158</v>
      </c>
      <c r="C2442" s="298" t="s">
        <v>416</v>
      </c>
      <c r="D2442" s="298" t="s">
        <v>256</v>
      </c>
      <c r="E2442" s="298"/>
      <c r="F2442" s="298" t="s">
        <v>8159</v>
      </c>
      <c r="G2442" s="299" t="b">
        <v>0</v>
      </c>
      <c r="H2442" s="299" t="b">
        <v>0</v>
      </c>
      <c r="J2442" s="113" t="str">
        <f t="shared" si="77"/>
        <v>772318863</v>
      </c>
      <c r="K2442" s="113" t="str">
        <f t="shared" si="78"/>
        <v>CG02526</v>
      </c>
    </row>
    <row r="2443" spans="1:11" x14ac:dyDescent="0.3">
      <c r="A2443" s="298" t="s">
        <v>8160</v>
      </c>
      <c r="B2443" s="298" t="s">
        <v>8161</v>
      </c>
      <c r="C2443" s="298" t="s">
        <v>231</v>
      </c>
      <c r="D2443" s="298" t="s">
        <v>256</v>
      </c>
      <c r="E2443" s="298"/>
      <c r="F2443" s="298" t="s">
        <v>8162</v>
      </c>
      <c r="G2443" s="299" t="b">
        <v>0</v>
      </c>
      <c r="H2443" s="299" t="b">
        <v>0</v>
      </c>
      <c r="J2443" s="113" t="str">
        <f t="shared" si="77"/>
        <v>985099129</v>
      </c>
      <c r="K2443" s="113" t="str">
        <f t="shared" si="78"/>
        <v>CG02527</v>
      </c>
    </row>
    <row r="2444" spans="1:11" x14ac:dyDescent="0.3">
      <c r="A2444" s="298" t="s">
        <v>8163</v>
      </c>
      <c r="B2444" s="298" t="s">
        <v>8164</v>
      </c>
      <c r="C2444" s="298" t="s">
        <v>3966</v>
      </c>
      <c r="D2444" s="298" t="s">
        <v>256</v>
      </c>
      <c r="E2444" s="298"/>
      <c r="F2444" s="298" t="s">
        <v>8165</v>
      </c>
      <c r="G2444" s="299" t="b">
        <v>0</v>
      </c>
      <c r="H2444" s="299" t="b">
        <v>0</v>
      </c>
      <c r="J2444" s="113" t="str">
        <f t="shared" si="77"/>
        <v>988488266</v>
      </c>
      <c r="K2444" s="113" t="str">
        <f t="shared" si="78"/>
        <v>CG02528</v>
      </c>
    </row>
    <row r="2445" spans="1:11" x14ac:dyDescent="0.3">
      <c r="A2445" s="298" t="s">
        <v>8166</v>
      </c>
      <c r="B2445" s="298" t="s">
        <v>8167</v>
      </c>
      <c r="C2445" s="298" t="s">
        <v>3114</v>
      </c>
      <c r="D2445" s="298" t="s">
        <v>256</v>
      </c>
      <c r="E2445" s="298"/>
      <c r="F2445" s="298" t="s">
        <v>8168</v>
      </c>
      <c r="G2445" s="299" t="b">
        <v>0</v>
      </c>
      <c r="H2445" s="299" t="b">
        <v>0</v>
      </c>
      <c r="J2445" s="113" t="str">
        <f t="shared" si="77"/>
        <v>913069954</v>
      </c>
      <c r="K2445" s="113" t="str">
        <f t="shared" si="78"/>
        <v>CG02529</v>
      </c>
    </row>
    <row r="2446" spans="1:11" x14ac:dyDescent="0.3">
      <c r="A2446" s="298" t="s">
        <v>8169</v>
      </c>
      <c r="B2446" s="298" t="s">
        <v>8170</v>
      </c>
      <c r="C2446" s="298" t="s">
        <v>1196</v>
      </c>
      <c r="D2446" s="298" t="s">
        <v>256</v>
      </c>
      <c r="E2446" s="298"/>
      <c r="F2446" s="298" t="s">
        <v>8171</v>
      </c>
      <c r="G2446" s="299" t="b">
        <v>0</v>
      </c>
      <c r="H2446" s="299" t="b">
        <v>0</v>
      </c>
      <c r="J2446" s="113" t="str">
        <f t="shared" si="77"/>
        <v>913350826</v>
      </c>
      <c r="K2446" s="113" t="str">
        <f t="shared" si="78"/>
        <v>CG02530</v>
      </c>
    </row>
    <row r="2447" spans="1:11" x14ac:dyDescent="0.3">
      <c r="A2447" s="298" t="s">
        <v>8172</v>
      </c>
      <c r="B2447" s="298" t="s">
        <v>8173</v>
      </c>
      <c r="C2447" s="298" t="s">
        <v>8174</v>
      </c>
      <c r="D2447" s="298" t="s">
        <v>256</v>
      </c>
      <c r="E2447" s="298"/>
      <c r="F2447" s="298" t="s">
        <v>8175</v>
      </c>
      <c r="G2447" s="299" t="b">
        <v>0</v>
      </c>
      <c r="H2447" s="299" t="b">
        <v>0</v>
      </c>
      <c r="J2447" s="113" t="str">
        <f t="shared" si="77"/>
        <v>987775084</v>
      </c>
      <c r="K2447" s="113" t="str">
        <f t="shared" si="78"/>
        <v>CG02531</v>
      </c>
    </row>
    <row r="2448" spans="1:11" x14ac:dyDescent="0.3">
      <c r="A2448" s="298" t="s">
        <v>8176</v>
      </c>
      <c r="B2448" s="298" t="s">
        <v>8177</v>
      </c>
      <c r="C2448" s="298" t="s">
        <v>8178</v>
      </c>
      <c r="D2448" s="298" t="s">
        <v>256</v>
      </c>
      <c r="E2448" s="298"/>
      <c r="F2448" s="298" t="s">
        <v>8179</v>
      </c>
      <c r="G2448" s="299" t="b">
        <v>0</v>
      </c>
      <c r="H2448" s="299" t="b">
        <v>0</v>
      </c>
      <c r="J2448" s="113" t="str">
        <f t="shared" si="77"/>
        <v>968118212</v>
      </c>
      <c r="K2448" s="113" t="str">
        <f t="shared" si="78"/>
        <v>CG02532</v>
      </c>
    </row>
    <row r="2449" spans="1:11" x14ac:dyDescent="0.3">
      <c r="A2449" s="298" t="s">
        <v>8180</v>
      </c>
      <c r="B2449" s="298" t="s">
        <v>8181</v>
      </c>
      <c r="C2449" s="298" t="s">
        <v>997</v>
      </c>
      <c r="D2449" s="298" t="s">
        <v>256</v>
      </c>
      <c r="E2449" s="298"/>
      <c r="F2449" s="298" t="s">
        <v>8182</v>
      </c>
      <c r="G2449" s="299" t="b">
        <v>0</v>
      </c>
      <c r="H2449" s="299" t="b">
        <v>0</v>
      </c>
      <c r="J2449" s="113" t="str">
        <f t="shared" si="77"/>
        <v>986889829</v>
      </c>
      <c r="K2449" s="113" t="str">
        <f t="shared" si="78"/>
        <v>CG02533</v>
      </c>
    </row>
    <row r="2450" spans="1:11" x14ac:dyDescent="0.3">
      <c r="A2450" s="298" t="s">
        <v>8183</v>
      </c>
      <c r="B2450" s="298" t="s">
        <v>8184</v>
      </c>
      <c r="C2450" s="298" t="s">
        <v>2051</v>
      </c>
      <c r="D2450" s="298" t="s">
        <v>256</v>
      </c>
      <c r="E2450" s="298"/>
      <c r="F2450" s="298" t="s">
        <v>8185</v>
      </c>
      <c r="G2450" s="299" t="b">
        <v>0</v>
      </c>
      <c r="H2450" s="299" t="b">
        <v>0</v>
      </c>
      <c r="J2450" s="113" t="str">
        <f t="shared" si="77"/>
        <v>988914659</v>
      </c>
      <c r="K2450" s="113" t="str">
        <f t="shared" si="78"/>
        <v>CG02534</v>
      </c>
    </row>
    <row r="2451" spans="1:11" x14ac:dyDescent="0.3">
      <c r="A2451" s="298" t="s">
        <v>8186</v>
      </c>
      <c r="B2451" s="298" t="s">
        <v>8187</v>
      </c>
      <c r="C2451" s="298" t="s">
        <v>355</v>
      </c>
      <c r="D2451" s="298" t="s">
        <v>256</v>
      </c>
      <c r="E2451" s="298"/>
      <c r="F2451" s="298" t="s">
        <v>8188</v>
      </c>
      <c r="G2451" s="299" t="b">
        <v>0</v>
      </c>
      <c r="H2451" s="299" t="b">
        <v>0</v>
      </c>
      <c r="J2451" s="113" t="str">
        <f t="shared" si="77"/>
        <v>976222883</v>
      </c>
      <c r="K2451" s="113" t="str">
        <f t="shared" si="78"/>
        <v>CG02535</v>
      </c>
    </row>
    <row r="2452" spans="1:11" x14ac:dyDescent="0.3">
      <c r="A2452" s="298" t="s">
        <v>8189</v>
      </c>
      <c r="B2452" s="298" t="s">
        <v>8190</v>
      </c>
      <c r="C2452" s="298" t="s">
        <v>335</v>
      </c>
      <c r="D2452" s="298" t="s">
        <v>256</v>
      </c>
      <c r="E2452" s="298"/>
      <c r="F2452" s="298" t="s">
        <v>8191</v>
      </c>
      <c r="G2452" s="299" t="b">
        <v>0</v>
      </c>
      <c r="H2452" s="299" t="b">
        <v>0</v>
      </c>
      <c r="J2452" s="113" t="str">
        <f t="shared" si="77"/>
        <v>936915565</v>
      </c>
      <c r="K2452" s="113" t="str">
        <f t="shared" si="78"/>
        <v>CG02536</v>
      </c>
    </row>
    <row r="2453" spans="1:11" x14ac:dyDescent="0.3">
      <c r="A2453" s="298" t="s">
        <v>8192</v>
      </c>
      <c r="B2453" s="298" t="s">
        <v>8193</v>
      </c>
      <c r="C2453" s="298" t="s">
        <v>8194</v>
      </c>
      <c r="D2453" s="298" t="s">
        <v>256</v>
      </c>
      <c r="E2453" s="298"/>
      <c r="F2453" s="298" t="s">
        <v>8195</v>
      </c>
      <c r="G2453" s="299" t="b">
        <v>0</v>
      </c>
      <c r="H2453" s="299" t="b">
        <v>0</v>
      </c>
      <c r="J2453" s="113" t="str">
        <f t="shared" si="77"/>
        <v>983108225</v>
      </c>
      <c r="K2453" s="113" t="str">
        <f t="shared" si="78"/>
        <v>CG02537</v>
      </c>
    </row>
    <row r="2454" spans="1:11" x14ac:dyDescent="0.3">
      <c r="A2454" s="298" t="s">
        <v>8196</v>
      </c>
      <c r="B2454" s="298" t="s">
        <v>8197</v>
      </c>
      <c r="C2454" s="298" t="s">
        <v>495</v>
      </c>
      <c r="D2454" s="298" t="s">
        <v>256</v>
      </c>
      <c r="E2454" s="298"/>
      <c r="F2454" s="298" t="s">
        <v>8198</v>
      </c>
      <c r="G2454" s="299" t="b">
        <v>0</v>
      </c>
      <c r="H2454" s="299" t="b">
        <v>0</v>
      </c>
      <c r="J2454" s="113" t="str">
        <f t="shared" si="77"/>
        <v>968786827</v>
      </c>
      <c r="K2454" s="113" t="str">
        <f t="shared" si="78"/>
        <v>CG02538</v>
      </c>
    </row>
    <row r="2455" spans="1:11" x14ac:dyDescent="0.3">
      <c r="A2455" s="298" t="s">
        <v>8199</v>
      </c>
      <c r="B2455" s="298" t="s">
        <v>8200</v>
      </c>
      <c r="C2455" s="298" t="s">
        <v>8201</v>
      </c>
      <c r="D2455" s="298" t="s">
        <v>256</v>
      </c>
      <c r="E2455" s="298"/>
      <c r="F2455" s="298" t="s">
        <v>8202</v>
      </c>
      <c r="G2455" s="299" t="b">
        <v>0</v>
      </c>
      <c r="H2455" s="299" t="b">
        <v>0</v>
      </c>
      <c r="J2455" s="113" t="str">
        <f t="shared" si="77"/>
        <v>976553357</v>
      </c>
      <c r="K2455" s="113" t="str">
        <f t="shared" si="78"/>
        <v>CG02539</v>
      </c>
    </row>
    <row r="2456" spans="1:11" x14ac:dyDescent="0.3">
      <c r="A2456" s="298" t="s">
        <v>8203</v>
      </c>
      <c r="B2456" s="298" t="s">
        <v>8204</v>
      </c>
      <c r="C2456" s="298" t="s">
        <v>409</v>
      </c>
      <c r="D2456" s="298" t="s">
        <v>256</v>
      </c>
      <c r="E2456" s="298"/>
      <c r="F2456" s="298" t="s">
        <v>8205</v>
      </c>
      <c r="G2456" s="299" t="b">
        <v>0</v>
      </c>
      <c r="H2456" s="299" t="b">
        <v>0</v>
      </c>
      <c r="J2456" s="113" t="str">
        <f t="shared" si="77"/>
        <v>912595217</v>
      </c>
      <c r="K2456" s="113" t="str">
        <f t="shared" si="78"/>
        <v>CG02540</v>
      </c>
    </row>
    <row r="2457" spans="1:11" x14ac:dyDescent="0.3">
      <c r="A2457" s="298" t="s">
        <v>8206</v>
      </c>
      <c r="B2457" s="298" t="s">
        <v>8207</v>
      </c>
      <c r="C2457" s="298" t="s">
        <v>1633</v>
      </c>
      <c r="D2457" s="298" t="s">
        <v>256</v>
      </c>
      <c r="E2457" s="298"/>
      <c r="F2457" s="298" t="s">
        <v>8208</v>
      </c>
      <c r="G2457" s="299" t="b">
        <v>0</v>
      </c>
      <c r="H2457" s="299" t="b">
        <v>0</v>
      </c>
      <c r="J2457" s="113" t="str">
        <f t="shared" si="77"/>
        <v>979662513</v>
      </c>
      <c r="K2457" s="113" t="str">
        <f t="shared" si="78"/>
        <v>CG02541</v>
      </c>
    </row>
    <row r="2458" spans="1:11" x14ac:dyDescent="0.3">
      <c r="A2458" s="298" t="s">
        <v>8209</v>
      </c>
      <c r="B2458" s="298" t="s">
        <v>8210</v>
      </c>
      <c r="C2458" s="298" t="s">
        <v>355</v>
      </c>
      <c r="D2458" s="298" t="s">
        <v>256</v>
      </c>
      <c r="E2458" s="298"/>
      <c r="F2458" s="298" t="s">
        <v>8211</v>
      </c>
      <c r="G2458" s="299" t="b">
        <v>0</v>
      </c>
      <c r="H2458" s="299" t="b">
        <v>0</v>
      </c>
      <c r="J2458" s="113" t="str">
        <f t="shared" si="77"/>
        <v>912642118</v>
      </c>
      <c r="K2458" s="113" t="str">
        <f t="shared" si="78"/>
        <v>CG02542</v>
      </c>
    </row>
    <row r="2459" spans="1:11" x14ac:dyDescent="0.3">
      <c r="A2459" s="298" t="s">
        <v>8212</v>
      </c>
      <c r="B2459" s="298" t="s">
        <v>8213</v>
      </c>
      <c r="C2459" s="298" t="s">
        <v>547</v>
      </c>
      <c r="D2459" s="298" t="s">
        <v>256</v>
      </c>
      <c r="E2459" s="298"/>
      <c r="F2459" s="298" t="s">
        <v>8214</v>
      </c>
      <c r="G2459" s="299" t="b">
        <v>0</v>
      </c>
      <c r="H2459" s="299" t="b">
        <v>0</v>
      </c>
      <c r="J2459" s="113" t="str">
        <f t="shared" si="77"/>
        <v>912553377</v>
      </c>
      <c r="K2459" s="113" t="str">
        <f t="shared" si="78"/>
        <v>CG02543</v>
      </c>
    </row>
    <row r="2460" spans="1:11" x14ac:dyDescent="0.3">
      <c r="A2460" s="298" t="s">
        <v>8215</v>
      </c>
      <c r="B2460" s="298" t="s">
        <v>8216</v>
      </c>
      <c r="C2460" s="298" t="s">
        <v>416</v>
      </c>
      <c r="D2460" s="298" t="s">
        <v>256</v>
      </c>
      <c r="E2460" s="298"/>
      <c r="F2460" s="298" t="s">
        <v>8217</v>
      </c>
      <c r="G2460" s="299" t="b">
        <v>0</v>
      </c>
      <c r="H2460" s="299" t="b">
        <v>0</v>
      </c>
      <c r="J2460" s="113" t="str">
        <f t="shared" si="77"/>
        <v>986673133</v>
      </c>
      <c r="K2460" s="113" t="str">
        <f t="shared" si="78"/>
        <v>CG02544</v>
      </c>
    </row>
    <row r="2461" spans="1:11" x14ac:dyDescent="0.3">
      <c r="A2461" s="298" t="s">
        <v>8218</v>
      </c>
      <c r="B2461" s="298" t="s">
        <v>8219</v>
      </c>
      <c r="C2461" s="298" t="s">
        <v>335</v>
      </c>
      <c r="D2461" s="298" t="s">
        <v>256</v>
      </c>
      <c r="E2461" s="298"/>
      <c r="F2461" s="298" t="s">
        <v>8220</v>
      </c>
      <c r="G2461" s="299" t="b">
        <v>0</v>
      </c>
      <c r="H2461" s="299" t="b">
        <v>0</v>
      </c>
      <c r="J2461" s="113" t="str">
        <f t="shared" si="77"/>
        <v>912235681</v>
      </c>
      <c r="K2461" s="113" t="str">
        <f t="shared" si="78"/>
        <v>CG02545</v>
      </c>
    </row>
    <row r="2462" spans="1:11" x14ac:dyDescent="0.3">
      <c r="A2462" s="298" t="s">
        <v>8221</v>
      </c>
      <c r="B2462" s="298" t="s">
        <v>8222</v>
      </c>
      <c r="C2462" s="298" t="s">
        <v>3253</v>
      </c>
      <c r="D2462" s="298" t="s">
        <v>256</v>
      </c>
      <c r="E2462" s="298"/>
      <c r="F2462" s="298" t="s">
        <v>8223</v>
      </c>
      <c r="G2462" s="299" t="b">
        <v>0</v>
      </c>
      <c r="H2462" s="299" t="b">
        <v>0</v>
      </c>
      <c r="J2462" s="113" t="str">
        <f t="shared" si="77"/>
        <v>398664570</v>
      </c>
      <c r="K2462" s="113" t="str">
        <f t="shared" si="78"/>
        <v>CG02546</v>
      </c>
    </row>
    <row r="2463" spans="1:11" x14ac:dyDescent="0.3">
      <c r="A2463" s="298" t="s">
        <v>8224</v>
      </c>
      <c r="B2463" s="298" t="s">
        <v>8225</v>
      </c>
      <c r="C2463" s="298" t="s">
        <v>231</v>
      </c>
      <c r="D2463" s="298" t="s">
        <v>256</v>
      </c>
      <c r="E2463" s="298"/>
      <c r="F2463" s="298" t="s">
        <v>8226</v>
      </c>
      <c r="G2463" s="299" t="b">
        <v>0</v>
      </c>
      <c r="H2463" s="299" t="b">
        <v>0</v>
      </c>
      <c r="J2463" s="113" t="str">
        <f t="shared" si="77"/>
        <v>924068427</v>
      </c>
      <c r="K2463" s="113" t="str">
        <f t="shared" si="78"/>
        <v>CG02547</v>
      </c>
    </row>
    <row r="2464" spans="1:11" x14ac:dyDescent="0.3">
      <c r="A2464" s="298" t="s">
        <v>8227</v>
      </c>
      <c r="B2464" s="298" t="s">
        <v>8228</v>
      </c>
      <c r="C2464" s="298" t="s">
        <v>8229</v>
      </c>
      <c r="D2464" s="298" t="s">
        <v>256</v>
      </c>
      <c r="E2464" s="298"/>
      <c r="F2464" s="298" t="s">
        <v>8230</v>
      </c>
      <c r="G2464" s="299" t="b">
        <v>0</v>
      </c>
      <c r="H2464" s="299" t="b">
        <v>0</v>
      </c>
      <c r="J2464" s="113" t="str">
        <f t="shared" si="77"/>
        <v>904879891</v>
      </c>
      <c r="K2464" s="113" t="str">
        <f t="shared" si="78"/>
        <v>CG02548</v>
      </c>
    </row>
    <row r="2465" spans="1:11" x14ac:dyDescent="0.3">
      <c r="A2465" s="298" t="s">
        <v>8231</v>
      </c>
      <c r="B2465" s="298" t="s">
        <v>8232</v>
      </c>
      <c r="C2465" s="298" t="s">
        <v>1873</v>
      </c>
      <c r="D2465" s="298" t="s">
        <v>256</v>
      </c>
      <c r="E2465" s="298"/>
      <c r="F2465" s="298" t="s">
        <v>8233</v>
      </c>
      <c r="G2465" s="299" t="b">
        <v>0</v>
      </c>
      <c r="H2465" s="299" t="b">
        <v>0</v>
      </c>
      <c r="J2465" s="113" t="str">
        <f t="shared" si="77"/>
        <v>984615929</v>
      </c>
      <c r="K2465" s="113" t="str">
        <f t="shared" si="78"/>
        <v>CG02549</v>
      </c>
    </row>
    <row r="2466" spans="1:11" x14ac:dyDescent="0.3">
      <c r="A2466" s="298" t="s">
        <v>8234</v>
      </c>
      <c r="B2466" s="298" t="s">
        <v>8235</v>
      </c>
      <c r="C2466" s="298" t="s">
        <v>541</v>
      </c>
      <c r="D2466" s="298" t="s">
        <v>256</v>
      </c>
      <c r="E2466" s="298"/>
      <c r="F2466" s="298" t="s">
        <v>8236</v>
      </c>
      <c r="G2466" s="299" t="b">
        <v>0</v>
      </c>
      <c r="H2466" s="299" t="b">
        <v>0</v>
      </c>
      <c r="J2466" s="113" t="str">
        <f t="shared" si="77"/>
        <v>915104923</v>
      </c>
      <c r="K2466" s="113" t="str">
        <f t="shared" si="78"/>
        <v>CG02550</v>
      </c>
    </row>
    <row r="2467" spans="1:11" x14ac:dyDescent="0.3">
      <c r="A2467" s="298" t="s">
        <v>8237</v>
      </c>
      <c r="B2467" s="298" t="s">
        <v>8238</v>
      </c>
      <c r="C2467" s="298" t="s">
        <v>474</v>
      </c>
      <c r="D2467" s="298" t="s">
        <v>256</v>
      </c>
      <c r="E2467" s="298"/>
      <c r="F2467" s="298" t="s">
        <v>8239</v>
      </c>
      <c r="G2467" s="299" t="b">
        <v>0</v>
      </c>
      <c r="H2467" s="299" t="b">
        <v>0</v>
      </c>
      <c r="J2467" s="113" t="str">
        <f t="shared" si="77"/>
        <v>374353626</v>
      </c>
      <c r="K2467" s="113" t="str">
        <f t="shared" si="78"/>
        <v>CG02551</v>
      </c>
    </row>
    <row r="2468" spans="1:11" x14ac:dyDescent="0.3">
      <c r="A2468" s="298" t="s">
        <v>8240</v>
      </c>
      <c r="B2468" s="298" t="s">
        <v>8241</v>
      </c>
      <c r="C2468" s="298" t="s">
        <v>541</v>
      </c>
      <c r="D2468" s="298" t="s">
        <v>256</v>
      </c>
      <c r="E2468" s="298"/>
      <c r="F2468" s="298" t="s">
        <v>8242</v>
      </c>
      <c r="G2468" s="299" t="b">
        <v>0</v>
      </c>
      <c r="H2468" s="299" t="b">
        <v>0</v>
      </c>
      <c r="J2468" s="113" t="str">
        <f t="shared" si="77"/>
        <v>984139999</v>
      </c>
      <c r="K2468" s="113" t="str">
        <f t="shared" si="78"/>
        <v>CG02552</v>
      </c>
    </row>
    <row r="2469" spans="1:11" x14ac:dyDescent="0.3">
      <c r="A2469" s="298" t="s">
        <v>8243</v>
      </c>
      <c r="B2469" s="298" t="s">
        <v>8244</v>
      </c>
      <c r="C2469" s="298" t="s">
        <v>317</v>
      </c>
      <c r="D2469" s="298" t="s">
        <v>256</v>
      </c>
      <c r="E2469" s="298"/>
      <c r="F2469" s="298" t="s">
        <v>8245</v>
      </c>
      <c r="G2469" s="299" t="b">
        <v>0</v>
      </c>
      <c r="H2469" s="299" t="b">
        <v>0</v>
      </c>
      <c r="J2469" s="113" t="str">
        <f t="shared" si="77"/>
        <v>983606998</v>
      </c>
      <c r="K2469" s="113" t="str">
        <f t="shared" si="78"/>
        <v>CG02553</v>
      </c>
    </row>
    <row r="2470" spans="1:11" x14ac:dyDescent="0.3">
      <c r="A2470" s="298" t="s">
        <v>8246</v>
      </c>
      <c r="B2470" s="298" t="s">
        <v>8247</v>
      </c>
      <c r="C2470" s="298" t="s">
        <v>1890</v>
      </c>
      <c r="D2470" s="298" t="s">
        <v>256</v>
      </c>
      <c r="E2470" s="298"/>
      <c r="F2470" s="298" t="s">
        <v>8248</v>
      </c>
      <c r="G2470" s="299" t="b">
        <v>0</v>
      </c>
      <c r="H2470" s="299" t="b">
        <v>0</v>
      </c>
      <c r="J2470" s="113" t="str">
        <f t="shared" si="77"/>
        <v>917612725</v>
      </c>
      <c r="K2470" s="113" t="str">
        <f t="shared" si="78"/>
        <v>CG02554</v>
      </c>
    </row>
    <row r="2471" spans="1:11" x14ac:dyDescent="0.3">
      <c r="A2471" s="298" t="s">
        <v>8249</v>
      </c>
      <c r="B2471" s="298" t="s">
        <v>8250</v>
      </c>
      <c r="C2471" s="298" t="s">
        <v>3573</v>
      </c>
      <c r="D2471" s="298" t="s">
        <v>256</v>
      </c>
      <c r="E2471" s="298"/>
      <c r="F2471" s="298" t="s">
        <v>8251</v>
      </c>
      <c r="G2471" s="299" t="b">
        <v>0</v>
      </c>
      <c r="H2471" s="299" t="b">
        <v>0</v>
      </c>
      <c r="J2471" s="113" t="str">
        <f t="shared" si="77"/>
        <v>855266286</v>
      </c>
      <c r="K2471" s="113" t="str">
        <f t="shared" si="78"/>
        <v>CG02555</v>
      </c>
    </row>
    <row r="2472" spans="1:11" x14ac:dyDescent="0.3">
      <c r="A2472" s="298" t="s">
        <v>8252</v>
      </c>
      <c r="B2472" s="298" t="s">
        <v>8253</v>
      </c>
      <c r="C2472" s="298" t="s">
        <v>816</v>
      </c>
      <c r="D2472" s="298" t="s">
        <v>256</v>
      </c>
      <c r="E2472" s="298"/>
      <c r="F2472" s="298" t="s">
        <v>8254</v>
      </c>
      <c r="G2472" s="299" t="b">
        <v>0</v>
      </c>
      <c r="H2472" s="299" t="b">
        <v>0</v>
      </c>
      <c r="J2472" s="113" t="str">
        <f t="shared" si="77"/>
        <v>903169678</v>
      </c>
      <c r="K2472" s="113" t="str">
        <f t="shared" si="78"/>
        <v>CG02556</v>
      </c>
    </row>
    <row r="2473" spans="1:11" x14ac:dyDescent="0.3">
      <c r="A2473" s="298" t="s">
        <v>8255</v>
      </c>
      <c r="B2473" s="298" t="s">
        <v>8256</v>
      </c>
      <c r="C2473" s="298" t="s">
        <v>3962</v>
      </c>
      <c r="D2473" s="298" t="s">
        <v>256</v>
      </c>
      <c r="E2473" s="298"/>
      <c r="F2473" s="298" t="s">
        <v>8257</v>
      </c>
      <c r="G2473" s="299" t="b">
        <v>0</v>
      </c>
      <c r="H2473" s="299" t="b">
        <v>0</v>
      </c>
      <c r="J2473" s="113" t="str">
        <f t="shared" si="77"/>
        <v>963502928</v>
      </c>
      <c r="K2473" s="113" t="str">
        <f t="shared" si="78"/>
        <v>CG02557</v>
      </c>
    </row>
    <row r="2474" spans="1:11" x14ac:dyDescent="0.3">
      <c r="A2474" s="298" t="s">
        <v>8258</v>
      </c>
      <c r="B2474" s="298" t="s">
        <v>8259</v>
      </c>
      <c r="C2474" s="298" t="s">
        <v>1508</v>
      </c>
      <c r="D2474" s="298" t="s">
        <v>256</v>
      </c>
      <c r="E2474" s="298"/>
      <c r="F2474" s="298" t="s">
        <v>8260</v>
      </c>
      <c r="G2474" s="299" t="b">
        <v>0</v>
      </c>
      <c r="H2474" s="299" t="b">
        <v>0</v>
      </c>
      <c r="J2474" s="113" t="str">
        <f t="shared" si="77"/>
        <v>904847333</v>
      </c>
      <c r="K2474" s="113" t="str">
        <f t="shared" si="78"/>
        <v>CG02558</v>
      </c>
    </row>
    <row r="2475" spans="1:11" x14ac:dyDescent="0.3">
      <c r="A2475" s="298" t="s">
        <v>8261</v>
      </c>
      <c r="B2475" s="298" t="s">
        <v>8262</v>
      </c>
      <c r="C2475" s="298" t="s">
        <v>355</v>
      </c>
      <c r="D2475" s="298" t="s">
        <v>256</v>
      </c>
      <c r="E2475" s="298"/>
      <c r="F2475" s="298" t="s">
        <v>8263</v>
      </c>
      <c r="G2475" s="299" t="b">
        <v>0</v>
      </c>
      <c r="H2475" s="299" t="b">
        <v>0</v>
      </c>
      <c r="J2475" s="113" t="str">
        <f t="shared" si="77"/>
        <v>948109098</v>
      </c>
      <c r="K2475" s="113" t="str">
        <f t="shared" si="78"/>
        <v>CG02559</v>
      </c>
    </row>
    <row r="2476" spans="1:11" x14ac:dyDescent="0.3">
      <c r="A2476" s="298" t="s">
        <v>8264</v>
      </c>
      <c r="B2476" s="298" t="s">
        <v>8265</v>
      </c>
      <c r="C2476" s="298" t="s">
        <v>676</v>
      </c>
      <c r="D2476" s="298" t="s">
        <v>256</v>
      </c>
      <c r="E2476" s="298"/>
      <c r="F2476" s="298" t="s">
        <v>8266</v>
      </c>
      <c r="G2476" s="299" t="b">
        <v>0</v>
      </c>
      <c r="H2476" s="299" t="b">
        <v>0</v>
      </c>
      <c r="J2476" s="113" t="str">
        <f t="shared" si="77"/>
        <v>988382989</v>
      </c>
      <c r="K2476" s="113" t="str">
        <f t="shared" si="78"/>
        <v>CG02560</v>
      </c>
    </row>
    <row r="2477" spans="1:11" x14ac:dyDescent="0.3">
      <c r="A2477" s="298" t="s">
        <v>8267</v>
      </c>
      <c r="B2477" s="298" t="s">
        <v>8268</v>
      </c>
      <c r="C2477" s="298" t="s">
        <v>230</v>
      </c>
      <c r="D2477" s="298" t="s">
        <v>256</v>
      </c>
      <c r="E2477" s="298"/>
      <c r="F2477" s="298" t="s">
        <v>8269</v>
      </c>
      <c r="G2477" s="299" t="b">
        <v>0</v>
      </c>
      <c r="H2477" s="299" t="b">
        <v>0</v>
      </c>
      <c r="J2477" s="113" t="str">
        <f t="shared" si="77"/>
        <v>961036923</v>
      </c>
      <c r="K2477" s="113" t="str">
        <f t="shared" si="78"/>
        <v>CG02561</v>
      </c>
    </row>
    <row r="2478" spans="1:11" x14ac:dyDescent="0.3">
      <c r="A2478" s="298" t="s">
        <v>8270</v>
      </c>
      <c r="B2478" s="298" t="s">
        <v>8271</v>
      </c>
      <c r="C2478" s="298" t="s">
        <v>409</v>
      </c>
      <c r="D2478" s="298" t="s">
        <v>256</v>
      </c>
      <c r="E2478" s="298"/>
      <c r="F2478" s="298" t="s">
        <v>8272</v>
      </c>
      <c r="G2478" s="299" t="b">
        <v>0</v>
      </c>
      <c r="H2478" s="299" t="b">
        <v>0</v>
      </c>
      <c r="J2478" s="113" t="str">
        <f t="shared" si="77"/>
        <v>982772235</v>
      </c>
      <c r="K2478" s="113" t="str">
        <f t="shared" si="78"/>
        <v>CG02562</v>
      </c>
    </row>
    <row r="2479" spans="1:11" x14ac:dyDescent="0.3">
      <c r="A2479" s="298" t="s">
        <v>8273</v>
      </c>
      <c r="B2479" s="298" t="s">
        <v>8274</v>
      </c>
      <c r="C2479" s="298" t="s">
        <v>2324</v>
      </c>
      <c r="D2479" s="298" t="s">
        <v>256</v>
      </c>
      <c r="E2479" s="298"/>
      <c r="F2479" s="298" t="s">
        <v>8275</v>
      </c>
      <c r="G2479" s="299" t="b">
        <v>0</v>
      </c>
      <c r="H2479" s="299" t="b">
        <v>0</v>
      </c>
      <c r="J2479" s="113" t="str">
        <f t="shared" si="77"/>
        <v>943993741</v>
      </c>
      <c r="K2479" s="113" t="str">
        <f t="shared" si="78"/>
        <v>CG02563</v>
      </c>
    </row>
    <row r="2480" spans="1:11" x14ac:dyDescent="0.3">
      <c r="A2480" s="298" t="s">
        <v>8276</v>
      </c>
      <c r="B2480" s="298" t="s">
        <v>8277</v>
      </c>
      <c r="C2480" s="298" t="s">
        <v>892</v>
      </c>
      <c r="D2480" s="298" t="s">
        <v>256</v>
      </c>
      <c r="E2480" s="298"/>
      <c r="F2480" s="298" t="s">
        <v>8278</v>
      </c>
      <c r="G2480" s="299" t="b">
        <v>0</v>
      </c>
      <c r="H2480" s="299" t="b">
        <v>0</v>
      </c>
      <c r="J2480" s="113" t="str">
        <f t="shared" si="77"/>
        <v>944040324</v>
      </c>
      <c r="K2480" s="113" t="str">
        <f t="shared" si="78"/>
        <v>CG02564</v>
      </c>
    </row>
    <row r="2481" spans="1:11" x14ac:dyDescent="0.3">
      <c r="A2481" s="298" t="s">
        <v>8279</v>
      </c>
      <c r="B2481" s="298" t="s">
        <v>8280</v>
      </c>
      <c r="C2481" s="298" t="s">
        <v>8281</v>
      </c>
      <c r="D2481" s="298" t="s">
        <v>256</v>
      </c>
      <c r="E2481" s="298"/>
      <c r="F2481" s="298" t="s">
        <v>8282</v>
      </c>
      <c r="G2481" s="299" t="b">
        <v>0</v>
      </c>
      <c r="H2481" s="299" t="b">
        <v>0</v>
      </c>
      <c r="J2481" s="113" t="str">
        <f t="shared" si="77"/>
        <v>912294884</v>
      </c>
      <c r="K2481" s="113" t="str">
        <f t="shared" si="78"/>
        <v>CG02565</v>
      </c>
    </row>
    <row r="2482" spans="1:11" x14ac:dyDescent="0.3">
      <c r="A2482" s="298" t="s">
        <v>8283</v>
      </c>
      <c r="B2482" s="298" t="s">
        <v>8284</v>
      </c>
      <c r="C2482" s="298" t="s">
        <v>495</v>
      </c>
      <c r="D2482" s="298" t="s">
        <v>256</v>
      </c>
      <c r="E2482" s="298"/>
      <c r="F2482" s="298" t="s">
        <v>8285</v>
      </c>
      <c r="G2482" s="299" t="b">
        <v>0</v>
      </c>
      <c r="H2482" s="299" t="b">
        <v>0</v>
      </c>
      <c r="J2482" s="113" t="str">
        <f t="shared" si="77"/>
        <v>889690713</v>
      </c>
      <c r="K2482" s="113" t="str">
        <f t="shared" si="78"/>
        <v>CG02566</v>
      </c>
    </row>
    <row r="2483" spans="1:11" x14ac:dyDescent="0.3">
      <c r="A2483" s="298" t="s">
        <v>8286</v>
      </c>
      <c r="B2483" s="298" t="s">
        <v>8287</v>
      </c>
      <c r="C2483" s="298" t="s">
        <v>903</v>
      </c>
      <c r="D2483" s="298" t="s">
        <v>256</v>
      </c>
      <c r="E2483" s="298"/>
      <c r="F2483" s="298" t="s">
        <v>8288</v>
      </c>
      <c r="G2483" s="299" t="b">
        <v>0</v>
      </c>
      <c r="H2483" s="299" t="b">
        <v>0</v>
      </c>
      <c r="J2483" s="113" t="str">
        <f t="shared" si="77"/>
        <v>912751709</v>
      </c>
      <c r="K2483" s="113" t="str">
        <f t="shared" si="78"/>
        <v>CG02567</v>
      </c>
    </row>
    <row r="2484" spans="1:11" x14ac:dyDescent="0.3">
      <c r="A2484" s="298" t="s">
        <v>8289</v>
      </c>
      <c r="B2484" s="298" t="s">
        <v>8290</v>
      </c>
      <c r="C2484" s="298" t="s">
        <v>997</v>
      </c>
      <c r="D2484" s="298" t="s">
        <v>256</v>
      </c>
      <c r="E2484" s="298"/>
      <c r="F2484" s="298" t="s">
        <v>8291</v>
      </c>
      <c r="G2484" s="299" t="b">
        <v>0</v>
      </c>
      <c r="H2484" s="299" t="b">
        <v>0</v>
      </c>
      <c r="J2484" s="113" t="str">
        <f t="shared" si="77"/>
        <v>967595992</v>
      </c>
      <c r="K2484" s="113" t="str">
        <f t="shared" si="78"/>
        <v>CG02568</v>
      </c>
    </row>
    <row r="2485" spans="1:11" x14ac:dyDescent="0.3">
      <c r="A2485" s="298" t="s">
        <v>8292</v>
      </c>
      <c r="B2485" s="298" t="s">
        <v>8293</v>
      </c>
      <c r="C2485" s="298" t="s">
        <v>8294</v>
      </c>
      <c r="D2485" s="298" t="s">
        <v>256</v>
      </c>
      <c r="E2485" s="298"/>
      <c r="F2485" s="298" t="s">
        <v>8295</v>
      </c>
      <c r="G2485" s="299" t="b">
        <v>0</v>
      </c>
      <c r="H2485" s="299" t="b">
        <v>0</v>
      </c>
      <c r="J2485" s="113" t="str">
        <f t="shared" si="77"/>
        <v>942742745</v>
      </c>
      <c r="K2485" s="113" t="str">
        <f t="shared" si="78"/>
        <v>CG02569</v>
      </c>
    </row>
    <row r="2486" spans="1:11" x14ac:dyDescent="0.3">
      <c r="A2486" s="298" t="s">
        <v>8296</v>
      </c>
      <c r="B2486" s="298" t="s">
        <v>8297</v>
      </c>
      <c r="C2486" s="298" t="s">
        <v>231</v>
      </c>
      <c r="D2486" s="298" t="s">
        <v>256</v>
      </c>
      <c r="E2486" s="298"/>
      <c r="F2486" s="298" t="s">
        <v>8298</v>
      </c>
      <c r="G2486" s="299" t="b">
        <v>0</v>
      </c>
      <c r="H2486" s="299" t="b">
        <v>0</v>
      </c>
      <c r="J2486" s="113" t="str">
        <f t="shared" si="77"/>
        <v>944945799</v>
      </c>
      <c r="K2486" s="113" t="str">
        <f t="shared" si="78"/>
        <v>CG02570</v>
      </c>
    </row>
    <row r="2487" spans="1:11" x14ac:dyDescent="0.3">
      <c r="A2487" s="298" t="s">
        <v>8299</v>
      </c>
      <c r="B2487" s="298" t="s">
        <v>8300</v>
      </c>
      <c r="C2487" s="298" t="s">
        <v>469</v>
      </c>
      <c r="D2487" s="298" t="s">
        <v>256</v>
      </c>
      <c r="E2487" s="298"/>
      <c r="F2487" s="298" t="s">
        <v>8301</v>
      </c>
      <c r="G2487" s="299" t="b">
        <v>0</v>
      </c>
      <c r="H2487" s="299" t="b">
        <v>0</v>
      </c>
      <c r="J2487" s="113" t="str">
        <f t="shared" si="77"/>
        <v>973357555</v>
      </c>
      <c r="K2487" s="113" t="str">
        <f t="shared" si="78"/>
        <v>CG02571</v>
      </c>
    </row>
    <row r="2488" spans="1:11" x14ac:dyDescent="0.3">
      <c r="A2488" s="298" t="s">
        <v>8302</v>
      </c>
      <c r="B2488" s="298" t="s">
        <v>8303</v>
      </c>
      <c r="C2488" s="298" t="s">
        <v>2426</v>
      </c>
      <c r="D2488" s="298" t="s">
        <v>256</v>
      </c>
      <c r="E2488" s="298"/>
      <c r="F2488" s="298" t="s">
        <v>8304</v>
      </c>
      <c r="G2488" s="299" t="b">
        <v>0</v>
      </c>
      <c r="H2488" s="299" t="b">
        <v>0</v>
      </c>
      <c r="J2488" s="113" t="str">
        <f t="shared" si="77"/>
        <v>977126126</v>
      </c>
      <c r="K2488" s="113" t="str">
        <f t="shared" si="78"/>
        <v>CG02572</v>
      </c>
    </row>
    <row r="2489" spans="1:11" x14ac:dyDescent="0.3">
      <c r="A2489" s="298" t="s">
        <v>8305</v>
      </c>
      <c r="B2489" s="298" t="s">
        <v>8306</v>
      </c>
      <c r="C2489" s="298" t="s">
        <v>5738</v>
      </c>
      <c r="D2489" s="298" t="s">
        <v>256</v>
      </c>
      <c r="E2489" s="298"/>
      <c r="F2489" s="298" t="s">
        <v>8307</v>
      </c>
      <c r="G2489" s="299" t="b">
        <v>0</v>
      </c>
      <c r="H2489" s="299" t="b">
        <v>0</v>
      </c>
      <c r="J2489" s="113" t="str">
        <f t="shared" si="77"/>
        <v>389338339</v>
      </c>
      <c r="K2489" s="113" t="str">
        <f t="shared" si="78"/>
        <v>CG02573</v>
      </c>
    </row>
    <row r="2490" spans="1:11" x14ac:dyDescent="0.3">
      <c r="A2490" s="298" t="s">
        <v>8308</v>
      </c>
      <c r="B2490" s="298" t="s">
        <v>8309</v>
      </c>
      <c r="C2490" s="298" t="s">
        <v>382</v>
      </c>
      <c r="D2490" s="298" t="s">
        <v>256</v>
      </c>
      <c r="E2490" s="298"/>
      <c r="F2490" s="298" t="s">
        <v>8310</v>
      </c>
      <c r="G2490" s="299" t="b">
        <v>0</v>
      </c>
      <c r="H2490" s="299" t="b">
        <v>0</v>
      </c>
      <c r="J2490" s="113" t="str">
        <f t="shared" si="77"/>
        <v>985988822</v>
      </c>
      <c r="K2490" s="113" t="str">
        <f t="shared" si="78"/>
        <v>CG02574</v>
      </c>
    </row>
    <row r="2491" spans="1:11" x14ac:dyDescent="0.3">
      <c r="A2491" s="298" t="s">
        <v>8311</v>
      </c>
      <c r="B2491" s="298" t="s">
        <v>8312</v>
      </c>
      <c r="C2491" s="298" t="s">
        <v>1237</v>
      </c>
      <c r="D2491" s="298" t="s">
        <v>256</v>
      </c>
      <c r="E2491" s="298"/>
      <c r="F2491" s="298" t="s">
        <v>8313</v>
      </c>
      <c r="G2491" s="299" t="b">
        <v>0</v>
      </c>
      <c r="H2491" s="299" t="b">
        <v>0</v>
      </c>
      <c r="J2491" s="113" t="str">
        <f t="shared" si="77"/>
        <v>966678086</v>
      </c>
      <c r="K2491" s="113" t="str">
        <f t="shared" si="78"/>
        <v>CG02575</v>
      </c>
    </row>
    <row r="2492" spans="1:11" x14ac:dyDescent="0.3">
      <c r="A2492" s="298" t="s">
        <v>8314</v>
      </c>
      <c r="B2492" s="298" t="s">
        <v>8315</v>
      </c>
      <c r="C2492" s="298" t="s">
        <v>1508</v>
      </c>
      <c r="D2492" s="298" t="s">
        <v>256</v>
      </c>
      <c r="E2492" s="298"/>
      <c r="F2492" s="298" t="s">
        <v>8316</v>
      </c>
      <c r="G2492" s="299" t="b">
        <v>0</v>
      </c>
      <c r="H2492" s="299" t="b">
        <v>0</v>
      </c>
      <c r="J2492" s="113" t="str">
        <f t="shared" si="77"/>
        <v>903446806</v>
      </c>
      <c r="K2492" s="113" t="str">
        <f t="shared" si="78"/>
        <v>CG02576</v>
      </c>
    </row>
    <row r="2493" spans="1:11" x14ac:dyDescent="0.3">
      <c r="A2493" s="298" t="s">
        <v>8317</v>
      </c>
      <c r="B2493" s="298" t="s">
        <v>8318</v>
      </c>
      <c r="C2493" s="298" t="s">
        <v>942</v>
      </c>
      <c r="D2493" s="298" t="s">
        <v>256</v>
      </c>
      <c r="E2493" s="298"/>
      <c r="F2493" s="298" t="s">
        <v>8319</v>
      </c>
      <c r="G2493" s="299" t="b">
        <v>0</v>
      </c>
      <c r="H2493" s="299" t="b">
        <v>0</v>
      </c>
      <c r="J2493" s="113" t="str">
        <f t="shared" si="77"/>
        <v>983652868</v>
      </c>
      <c r="K2493" s="113" t="str">
        <f t="shared" si="78"/>
        <v>CG02577</v>
      </c>
    </row>
    <row r="2494" spans="1:11" x14ac:dyDescent="0.3">
      <c r="A2494" s="298" t="s">
        <v>8320</v>
      </c>
      <c r="B2494" s="298" t="s">
        <v>8321</v>
      </c>
      <c r="C2494" s="298" t="s">
        <v>2494</v>
      </c>
      <c r="D2494" s="298" t="s">
        <v>256</v>
      </c>
      <c r="E2494" s="298"/>
      <c r="F2494" s="298" t="s">
        <v>8322</v>
      </c>
      <c r="G2494" s="299" t="b">
        <v>0</v>
      </c>
      <c r="H2494" s="299" t="b">
        <v>0</v>
      </c>
      <c r="J2494" s="113" t="str">
        <f t="shared" si="77"/>
        <v>913516514</v>
      </c>
      <c r="K2494" s="113" t="str">
        <f t="shared" si="78"/>
        <v>CG02578</v>
      </c>
    </row>
    <row r="2495" spans="1:11" x14ac:dyDescent="0.3">
      <c r="A2495" s="298" t="s">
        <v>8323</v>
      </c>
      <c r="B2495" s="298" t="s">
        <v>8324</v>
      </c>
      <c r="C2495" s="298" t="s">
        <v>8325</v>
      </c>
      <c r="D2495" s="298" t="s">
        <v>256</v>
      </c>
      <c r="E2495" s="298"/>
      <c r="F2495" s="298" t="s">
        <v>8326</v>
      </c>
      <c r="G2495" s="299" t="b">
        <v>0</v>
      </c>
      <c r="H2495" s="299" t="b">
        <v>0</v>
      </c>
      <c r="J2495" s="113" t="str">
        <f t="shared" si="77"/>
        <v>979111091</v>
      </c>
      <c r="K2495" s="113" t="str">
        <f t="shared" si="78"/>
        <v>CG02579</v>
      </c>
    </row>
    <row r="2496" spans="1:11" x14ac:dyDescent="0.3">
      <c r="A2496" s="298" t="s">
        <v>8327</v>
      </c>
      <c r="B2496" s="298" t="s">
        <v>8328</v>
      </c>
      <c r="C2496" s="298" t="s">
        <v>3749</v>
      </c>
      <c r="D2496" s="298" t="s">
        <v>256</v>
      </c>
      <c r="E2496" s="298"/>
      <c r="F2496" s="298" t="s">
        <v>8329</v>
      </c>
      <c r="G2496" s="299" t="b">
        <v>0</v>
      </c>
      <c r="H2496" s="299" t="b">
        <v>0</v>
      </c>
      <c r="J2496" s="113" t="str">
        <f t="shared" si="77"/>
        <v>981771130</v>
      </c>
      <c r="K2496" s="113" t="str">
        <f t="shared" si="78"/>
        <v>CG02580</v>
      </c>
    </row>
    <row r="2497" spans="1:11" x14ac:dyDescent="0.3">
      <c r="A2497" s="298" t="s">
        <v>8330</v>
      </c>
      <c r="B2497" s="298" t="s">
        <v>8331</v>
      </c>
      <c r="C2497" s="298" t="s">
        <v>335</v>
      </c>
      <c r="D2497" s="298" t="s">
        <v>256</v>
      </c>
      <c r="E2497" s="298"/>
      <c r="F2497" s="298" t="s">
        <v>8332</v>
      </c>
      <c r="G2497" s="299" t="b">
        <v>0</v>
      </c>
      <c r="H2497" s="299" t="b">
        <v>0</v>
      </c>
      <c r="J2497" s="113" t="str">
        <f t="shared" si="77"/>
        <v>903296376</v>
      </c>
      <c r="K2497" s="113" t="str">
        <f t="shared" si="78"/>
        <v>CG02581</v>
      </c>
    </row>
    <row r="2498" spans="1:11" x14ac:dyDescent="0.3">
      <c r="A2498" s="298" t="s">
        <v>8333</v>
      </c>
      <c r="B2498" s="298" t="s">
        <v>8334</v>
      </c>
      <c r="C2498" s="298" t="s">
        <v>495</v>
      </c>
      <c r="D2498" s="298" t="s">
        <v>256</v>
      </c>
      <c r="E2498" s="298"/>
      <c r="F2498" s="298" t="s">
        <v>8335</v>
      </c>
      <c r="G2498" s="299" t="b">
        <v>0</v>
      </c>
      <c r="H2498" s="299" t="b">
        <v>0</v>
      </c>
      <c r="J2498" s="113" t="str">
        <f t="shared" si="77"/>
        <v>961339088</v>
      </c>
      <c r="K2498" s="113" t="str">
        <f t="shared" si="78"/>
        <v>CG02582</v>
      </c>
    </row>
    <row r="2499" spans="1:11" x14ac:dyDescent="0.3">
      <c r="A2499" s="298" t="s">
        <v>8336</v>
      </c>
      <c r="B2499" s="298" t="s">
        <v>8337</v>
      </c>
      <c r="C2499" s="298" t="s">
        <v>495</v>
      </c>
      <c r="D2499" s="298" t="s">
        <v>256</v>
      </c>
      <c r="E2499" s="298"/>
      <c r="F2499" s="298" t="s">
        <v>8338</v>
      </c>
      <c r="G2499" s="299" t="b">
        <v>0</v>
      </c>
      <c r="H2499" s="299" t="b">
        <v>0</v>
      </c>
      <c r="J2499" s="113" t="str">
        <f t="shared" si="77"/>
        <v>984218015</v>
      </c>
      <c r="K2499" s="113" t="str">
        <f t="shared" si="78"/>
        <v>CG02583</v>
      </c>
    </row>
    <row r="2500" spans="1:11" x14ac:dyDescent="0.3">
      <c r="A2500" s="298" t="s">
        <v>8339</v>
      </c>
      <c r="B2500" s="298" t="s">
        <v>8340</v>
      </c>
      <c r="C2500" s="298" t="s">
        <v>1587</v>
      </c>
      <c r="D2500" s="298" t="s">
        <v>256</v>
      </c>
      <c r="E2500" s="298"/>
      <c r="F2500" s="298" t="s">
        <v>8341</v>
      </c>
      <c r="G2500" s="299" t="b">
        <v>0</v>
      </c>
      <c r="H2500" s="299" t="b">
        <v>0</v>
      </c>
      <c r="J2500" s="113" t="str">
        <f t="shared" si="77"/>
        <v>969014104</v>
      </c>
      <c r="K2500" s="113" t="str">
        <f t="shared" si="78"/>
        <v>CG02584</v>
      </c>
    </row>
    <row r="2501" spans="1:11" x14ac:dyDescent="0.3">
      <c r="A2501" s="298" t="s">
        <v>8342</v>
      </c>
      <c r="B2501" s="298" t="s">
        <v>8343</v>
      </c>
      <c r="C2501" s="298" t="s">
        <v>1135</v>
      </c>
      <c r="D2501" s="298" t="s">
        <v>256</v>
      </c>
      <c r="E2501" s="298"/>
      <c r="F2501" s="298" t="s">
        <v>8344</v>
      </c>
      <c r="G2501" s="299" t="b">
        <v>0</v>
      </c>
      <c r="H2501" s="299" t="b">
        <v>0</v>
      </c>
      <c r="J2501" s="113" t="str">
        <f t="shared" ref="J2501:J2564" si="79">RIGHT(B2501,9)</f>
        <v>982896339</v>
      </c>
      <c r="K2501" s="113" t="str">
        <f t="shared" ref="K2501:K2564" si="80">A2501</f>
        <v>CG02585</v>
      </c>
    </row>
    <row r="2502" spans="1:11" x14ac:dyDescent="0.3">
      <c r="A2502" s="298" t="s">
        <v>8345</v>
      </c>
      <c r="B2502" s="298" t="s">
        <v>8346</v>
      </c>
      <c r="C2502" s="298" t="s">
        <v>2650</v>
      </c>
      <c r="D2502" s="298" t="s">
        <v>256</v>
      </c>
      <c r="E2502" s="298"/>
      <c r="F2502" s="298" t="s">
        <v>8347</v>
      </c>
      <c r="G2502" s="299" t="b">
        <v>0</v>
      </c>
      <c r="H2502" s="299" t="b">
        <v>0</v>
      </c>
      <c r="J2502" s="113" t="str">
        <f t="shared" si="79"/>
        <v>393103222</v>
      </c>
      <c r="K2502" s="113" t="str">
        <f t="shared" si="80"/>
        <v>CG02587</v>
      </c>
    </row>
    <row r="2503" spans="1:11" x14ac:dyDescent="0.3">
      <c r="A2503" s="298" t="s">
        <v>8348</v>
      </c>
      <c r="B2503" s="298" t="s">
        <v>8349</v>
      </c>
      <c r="C2503" s="298" t="s">
        <v>8350</v>
      </c>
      <c r="D2503" s="298" t="s">
        <v>256</v>
      </c>
      <c r="E2503" s="298"/>
      <c r="F2503" s="298" t="s">
        <v>8351</v>
      </c>
      <c r="G2503" s="299" t="b">
        <v>0</v>
      </c>
      <c r="H2503" s="299" t="b">
        <v>0</v>
      </c>
      <c r="J2503" s="113" t="str">
        <f t="shared" si="79"/>
        <v>989326161</v>
      </c>
      <c r="K2503" s="113" t="str">
        <f t="shared" si="80"/>
        <v>CG02588</v>
      </c>
    </row>
    <row r="2504" spans="1:11" x14ac:dyDescent="0.3">
      <c r="A2504" s="298" t="s">
        <v>8352</v>
      </c>
      <c r="B2504" s="298" t="s">
        <v>8353</v>
      </c>
      <c r="C2504" s="298" t="s">
        <v>8354</v>
      </c>
      <c r="D2504" s="298" t="s">
        <v>256</v>
      </c>
      <c r="E2504" s="298"/>
      <c r="F2504" s="298" t="s">
        <v>8355</v>
      </c>
      <c r="G2504" s="299" t="b">
        <v>0</v>
      </c>
      <c r="H2504" s="299" t="b">
        <v>0</v>
      </c>
      <c r="J2504" s="113" t="str">
        <f t="shared" si="79"/>
        <v>988671204</v>
      </c>
      <c r="K2504" s="113" t="str">
        <f t="shared" si="80"/>
        <v>CG02589</v>
      </c>
    </row>
    <row r="2505" spans="1:11" x14ac:dyDescent="0.3">
      <c r="A2505" s="298" t="s">
        <v>8356</v>
      </c>
      <c r="B2505" s="298" t="s">
        <v>8357</v>
      </c>
      <c r="C2505" s="298" t="s">
        <v>8358</v>
      </c>
      <c r="D2505" s="298" t="s">
        <v>256</v>
      </c>
      <c r="E2505" s="298"/>
      <c r="F2505" s="298" t="s">
        <v>8359</v>
      </c>
      <c r="G2505" s="299" t="b">
        <v>0</v>
      </c>
      <c r="H2505" s="299" t="b">
        <v>0</v>
      </c>
      <c r="J2505" s="113" t="str">
        <f t="shared" si="79"/>
        <v>982378537</v>
      </c>
      <c r="K2505" s="113" t="str">
        <f t="shared" si="80"/>
        <v>CG02590</v>
      </c>
    </row>
    <row r="2506" spans="1:11" x14ac:dyDescent="0.3">
      <c r="A2506" s="298" t="s">
        <v>8360</v>
      </c>
      <c r="B2506" s="298" t="s">
        <v>8361</v>
      </c>
      <c r="C2506" s="298" t="s">
        <v>718</v>
      </c>
      <c r="D2506" s="298" t="s">
        <v>256</v>
      </c>
      <c r="E2506" s="298"/>
      <c r="F2506" s="298" t="s">
        <v>8362</v>
      </c>
      <c r="G2506" s="299" t="b">
        <v>0</v>
      </c>
      <c r="H2506" s="299" t="b">
        <v>0</v>
      </c>
      <c r="J2506" s="113" t="str">
        <f t="shared" si="79"/>
        <v>387770688</v>
      </c>
      <c r="K2506" s="113" t="str">
        <f t="shared" si="80"/>
        <v>CG02591</v>
      </c>
    </row>
    <row r="2507" spans="1:11" x14ac:dyDescent="0.3">
      <c r="A2507" s="298" t="s">
        <v>8363</v>
      </c>
      <c r="B2507" s="298" t="s">
        <v>8364</v>
      </c>
      <c r="C2507" s="298" t="s">
        <v>613</v>
      </c>
      <c r="D2507" s="298" t="s">
        <v>256</v>
      </c>
      <c r="E2507" s="298"/>
      <c r="F2507" s="298" t="s">
        <v>8365</v>
      </c>
      <c r="G2507" s="299" t="b">
        <v>0</v>
      </c>
      <c r="H2507" s="299" t="b">
        <v>0</v>
      </c>
      <c r="J2507" s="113" t="str">
        <f t="shared" si="79"/>
        <v>375188968</v>
      </c>
      <c r="K2507" s="113" t="str">
        <f t="shared" si="80"/>
        <v>CG02592</v>
      </c>
    </row>
    <row r="2508" spans="1:11" x14ac:dyDescent="0.3">
      <c r="A2508" s="298" t="s">
        <v>8366</v>
      </c>
      <c r="B2508" s="298" t="s">
        <v>8367</v>
      </c>
      <c r="C2508" s="298" t="s">
        <v>625</v>
      </c>
      <c r="D2508" s="298" t="s">
        <v>256</v>
      </c>
      <c r="E2508" s="298"/>
      <c r="F2508" s="298" t="s">
        <v>8368</v>
      </c>
      <c r="G2508" s="299" t="b">
        <v>0</v>
      </c>
      <c r="H2508" s="299" t="b">
        <v>0</v>
      </c>
      <c r="J2508" s="113" t="str">
        <f t="shared" si="79"/>
        <v>962546788</v>
      </c>
      <c r="K2508" s="113" t="str">
        <f t="shared" si="80"/>
        <v>CG02593</v>
      </c>
    </row>
    <row r="2509" spans="1:11" x14ac:dyDescent="0.3">
      <c r="A2509" s="298" t="s">
        <v>8369</v>
      </c>
      <c r="B2509" s="298" t="s">
        <v>8370</v>
      </c>
      <c r="C2509" s="298" t="s">
        <v>718</v>
      </c>
      <c r="D2509" s="298" t="s">
        <v>256</v>
      </c>
      <c r="E2509" s="298"/>
      <c r="F2509" s="298" t="s">
        <v>8371</v>
      </c>
      <c r="G2509" s="299" t="b">
        <v>0</v>
      </c>
      <c r="H2509" s="299" t="b">
        <v>0</v>
      </c>
      <c r="J2509" s="113" t="str">
        <f t="shared" si="79"/>
        <v>985884991</v>
      </c>
      <c r="K2509" s="113" t="str">
        <f t="shared" si="80"/>
        <v>CG02594</v>
      </c>
    </row>
    <row r="2510" spans="1:11" x14ac:dyDescent="0.3">
      <c r="A2510" s="298" t="s">
        <v>8372</v>
      </c>
      <c r="B2510" s="298" t="s">
        <v>8373</v>
      </c>
      <c r="C2510" s="298" t="s">
        <v>416</v>
      </c>
      <c r="D2510" s="298" t="s">
        <v>256</v>
      </c>
      <c r="E2510" s="298"/>
      <c r="F2510" s="298" t="s">
        <v>8374</v>
      </c>
      <c r="G2510" s="299" t="b">
        <v>0</v>
      </c>
      <c r="H2510" s="299" t="b">
        <v>0</v>
      </c>
      <c r="J2510" s="113" t="str">
        <f t="shared" si="79"/>
        <v>979557168</v>
      </c>
      <c r="K2510" s="113" t="str">
        <f t="shared" si="80"/>
        <v>CG02595</v>
      </c>
    </row>
    <row r="2511" spans="1:11" x14ac:dyDescent="0.3">
      <c r="A2511" s="298" t="s">
        <v>8375</v>
      </c>
      <c r="B2511" s="298" t="s">
        <v>8376</v>
      </c>
      <c r="C2511" s="298" t="s">
        <v>8377</v>
      </c>
      <c r="D2511" s="298" t="s">
        <v>256</v>
      </c>
      <c r="E2511" s="298"/>
      <c r="F2511" s="298" t="s">
        <v>8378</v>
      </c>
      <c r="G2511" s="299" t="b">
        <v>0</v>
      </c>
      <c r="H2511" s="299" t="b">
        <v>0</v>
      </c>
      <c r="J2511" s="113" t="str">
        <f t="shared" si="79"/>
        <v>983582531</v>
      </c>
      <c r="K2511" s="113" t="str">
        <f t="shared" si="80"/>
        <v>CG02596</v>
      </c>
    </row>
    <row r="2512" spans="1:11" x14ac:dyDescent="0.3">
      <c r="A2512" s="298" t="s">
        <v>8379</v>
      </c>
      <c r="B2512" s="298" t="s">
        <v>8380</v>
      </c>
      <c r="C2512" s="298" t="s">
        <v>3005</v>
      </c>
      <c r="D2512" s="298" t="s">
        <v>256</v>
      </c>
      <c r="E2512" s="298"/>
      <c r="F2512" s="298" t="s">
        <v>8381</v>
      </c>
      <c r="G2512" s="299" t="b">
        <v>0</v>
      </c>
      <c r="H2512" s="299" t="b">
        <v>0</v>
      </c>
      <c r="J2512" s="113" t="str">
        <f t="shared" si="79"/>
        <v>369575200</v>
      </c>
      <c r="K2512" s="113" t="str">
        <f t="shared" si="80"/>
        <v>CG02597</v>
      </c>
    </row>
    <row r="2513" spans="1:11" x14ac:dyDescent="0.3">
      <c r="A2513" s="298" t="s">
        <v>8382</v>
      </c>
      <c r="B2513" s="298" t="s">
        <v>8383</v>
      </c>
      <c r="C2513" s="298" t="s">
        <v>2877</v>
      </c>
      <c r="D2513" s="298" t="s">
        <v>256</v>
      </c>
      <c r="E2513" s="298"/>
      <c r="F2513" s="298" t="s">
        <v>8384</v>
      </c>
      <c r="G2513" s="299" t="b">
        <v>0</v>
      </c>
      <c r="H2513" s="299" t="b">
        <v>0</v>
      </c>
      <c r="J2513" s="113" t="str">
        <f t="shared" si="79"/>
        <v>946563213</v>
      </c>
      <c r="K2513" s="113" t="str">
        <f t="shared" si="80"/>
        <v>CG02598</v>
      </c>
    </row>
    <row r="2514" spans="1:11" x14ac:dyDescent="0.3">
      <c r="A2514" s="298" t="s">
        <v>8385</v>
      </c>
      <c r="B2514" s="298" t="s">
        <v>8386</v>
      </c>
      <c r="C2514" s="298" t="s">
        <v>226</v>
      </c>
      <c r="D2514" s="298" t="s">
        <v>256</v>
      </c>
      <c r="E2514" s="298"/>
      <c r="F2514" s="298" t="s">
        <v>8387</v>
      </c>
      <c r="G2514" s="299" t="b">
        <v>0</v>
      </c>
      <c r="H2514" s="299" t="b">
        <v>0</v>
      </c>
      <c r="J2514" s="113" t="str">
        <f t="shared" si="79"/>
        <v>912413820</v>
      </c>
      <c r="K2514" s="113" t="str">
        <f t="shared" si="80"/>
        <v>CG02599</v>
      </c>
    </row>
    <row r="2515" spans="1:11" x14ac:dyDescent="0.3">
      <c r="A2515" s="298" t="s">
        <v>8388</v>
      </c>
      <c r="B2515" s="298" t="s">
        <v>8389</v>
      </c>
      <c r="C2515" s="298" t="s">
        <v>1873</v>
      </c>
      <c r="D2515" s="298" t="s">
        <v>256</v>
      </c>
      <c r="E2515" s="298"/>
      <c r="F2515" s="298" t="s">
        <v>8390</v>
      </c>
      <c r="G2515" s="299" t="b">
        <v>0</v>
      </c>
      <c r="H2515" s="299" t="b">
        <v>0</v>
      </c>
      <c r="J2515" s="113" t="str">
        <f t="shared" si="79"/>
        <v>914656068</v>
      </c>
      <c r="K2515" s="113" t="str">
        <f t="shared" si="80"/>
        <v>CG02600</v>
      </c>
    </row>
    <row r="2516" spans="1:11" x14ac:dyDescent="0.3">
      <c r="A2516" s="298" t="s">
        <v>8391</v>
      </c>
      <c r="B2516" s="298" t="s">
        <v>8392</v>
      </c>
      <c r="C2516" s="298" t="s">
        <v>355</v>
      </c>
      <c r="D2516" s="298" t="s">
        <v>256</v>
      </c>
      <c r="E2516" s="298"/>
      <c r="F2516" s="298" t="s">
        <v>8393</v>
      </c>
      <c r="G2516" s="299" t="b">
        <v>0</v>
      </c>
      <c r="H2516" s="299" t="b">
        <v>0</v>
      </c>
      <c r="J2516" s="113" t="str">
        <f t="shared" si="79"/>
        <v>912902813</v>
      </c>
      <c r="K2516" s="113" t="str">
        <f t="shared" si="80"/>
        <v>CG02601</v>
      </c>
    </row>
    <row r="2517" spans="1:11" x14ac:dyDescent="0.3">
      <c r="A2517" s="298" t="s">
        <v>8394</v>
      </c>
      <c r="B2517" s="298" t="s">
        <v>8395</v>
      </c>
      <c r="C2517" s="298" t="s">
        <v>1173</v>
      </c>
      <c r="D2517" s="298" t="s">
        <v>256</v>
      </c>
      <c r="E2517" s="298"/>
      <c r="F2517" s="298" t="s">
        <v>8396</v>
      </c>
      <c r="G2517" s="299" t="b">
        <v>0</v>
      </c>
      <c r="H2517" s="299" t="b">
        <v>0</v>
      </c>
      <c r="J2517" s="113" t="str">
        <f t="shared" si="79"/>
        <v>912159652</v>
      </c>
      <c r="K2517" s="113" t="str">
        <f t="shared" si="80"/>
        <v>CG02602</v>
      </c>
    </row>
    <row r="2518" spans="1:11" x14ac:dyDescent="0.3">
      <c r="A2518" s="298" t="s">
        <v>8397</v>
      </c>
      <c r="B2518" s="298" t="s">
        <v>8398</v>
      </c>
      <c r="C2518" s="298" t="s">
        <v>8399</v>
      </c>
      <c r="D2518" s="298" t="s">
        <v>256</v>
      </c>
      <c r="E2518" s="298"/>
      <c r="F2518" s="298" t="s">
        <v>8400</v>
      </c>
      <c r="G2518" s="299" t="b">
        <v>0</v>
      </c>
      <c r="H2518" s="299" t="b">
        <v>0</v>
      </c>
      <c r="J2518" s="113" t="str">
        <f t="shared" si="79"/>
        <v>972115156</v>
      </c>
      <c r="K2518" s="113" t="str">
        <f t="shared" si="80"/>
        <v>CG02603</v>
      </c>
    </row>
    <row r="2519" spans="1:11" x14ac:dyDescent="0.3">
      <c r="A2519" s="298" t="s">
        <v>8401</v>
      </c>
      <c r="B2519" s="298" t="s">
        <v>8402</v>
      </c>
      <c r="C2519" s="298" t="s">
        <v>8403</v>
      </c>
      <c r="D2519" s="298" t="s">
        <v>256</v>
      </c>
      <c r="E2519" s="298"/>
      <c r="F2519" s="298" t="s">
        <v>8404</v>
      </c>
      <c r="G2519" s="299" t="b">
        <v>0</v>
      </c>
      <c r="H2519" s="299" t="b">
        <v>0</v>
      </c>
      <c r="J2519" s="113" t="str">
        <f t="shared" si="79"/>
        <v>989093602</v>
      </c>
      <c r="K2519" s="113" t="str">
        <f t="shared" si="80"/>
        <v>CG02604</v>
      </c>
    </row>
    <row r="2520" spans="1:11" x14ac:dyDescent="0.3">
      <c r="A2520" s="298" t="s">
        <v>8405</v>
      </c>
      <c r="B2520" s="298" t="s">
        <v>8406</v>
      </c>
      <c r="C2520" s="298" t="s">
        <v>1257</v>
      </c>
      <c r="D2520" s="298" t="s">
        <v>256</v>
      </c>
      <c r="E2520" s="298"/>
      <c r="F2520" s="298" t="s">
        <v>8407</v>
      </c>
      <c r="G2520" s="299" t="b">
        <v>0</v>
      </c>
      <c r="H2520" s="299" t="b">
        <v>0</v>
      </c>
      <c r="J2520" s="113" t="str">
        <f t="shared" si="79"/>
        <v>912888999</v>
      </c>
      <c r="K2520" s="113" t="str">
        <f t="shared" si="80"/>
        <v>CG02605</v>
      </c>
    </row>
    <row r="2521" spans="1:11" x14ac:dyDescent="0.3">
      <c r="A2521" s="298" t="s">
        <v>8408</v>
      </c>
      <c r="B2521" s="298" t="s">
        <v>8409</v>
      </c>
      <c r="C2521" s="298" t="s">
        <v>230</v>
      </c>
      <c r="D2521" s="298" t="s">
        <v>256</v>
      </c>
      <c r="E2521" s="298"/>
      <c r="F2521" s="298" t="s">
        <v>8410</v>
      </c>
      <c r="G2521" s="299" t="b">
        <v>0</v>
      </c>
      <c r="H2521" s="299" t="b">
        <v>0</v>
      </c>
      <c r="J2521" s="113" t="str">
        <f t="shared" si="79"/>
        <v>982328125</v>
      </c>
      <c r="K2521" s="113" t="str">
        <f t="shared" si="80"/>
        <v>CG02606</v>
      </c>
    </row>
    <row r="2522" spans="1:11" x14ac:dyDescent="0.3">
      <c r="A2522" s="298" t="s">
        <v>8411</v>
      </c>
      <c r="B2522" s="298" t="s">
        <v>8412</v>
      </c>
      <c r="C2522" s="298" t="s">
        <v>409</v>
      </c>
      <c r="D2522" s="298" t="s">
        <v>256</v>
      </c>
      <c r="E2522" s="298"/>
      <c r="F2522" s="298" t="s">
        <v>8413</v>
      </c>
      <c r="G2522" s="299" t="b">
        <v>0</v>
      </c>
      <c r="H2522" s="299" t="b">
        <v>0</v>
      </c>
      <c r="J2522" s="113" t="str">
        <f t="shared" si="79"/>
        <v>912076345</v>
      </c>
      <c r="K2522" s="113" t="str">
        <f t="shared" si="80"/>
        <v>CG02607</v>
      </c>
    </row>
    <row r="2523" spans="1:11" x14ac:dyDescent="0.3">
      <c r="A2523" s="298" t="s">
        <v>8414</v>
      </c>
      <c r="B2523" s="298" t="s">
        <v>8415</v>
      </c>
      <c r="C2523" s="298" t="s">
        <v>6924</v>
      </c>
      <c r="D2523" s="298" t="s">
        <v>256</v>
      </c>
      <c r="E2523" s="298"/>
      <c r="F2523" s="298" t="s">
        <v>8416</v>
      </c>
      <c r="G2523" s="299" t="b">
        <v>0</v>
      </c>
      <c r="H2523" s="299" t="b">
        <v>0</v>
      </c>
      <c r="J2523" s="113" t="str">
        <f t="shared" si="79"/>
        <v>368949340</v>
      </c>
      <c r="K2523" s="113" t="str">
        <f t="shared" si="80"/>
        <v>CG02608</v>
      </c>
    </row>
    <row r="2524" spans="1:11" x14ac:dyDescent="0.3">
      <c r="A2524" s="298" t="s">
        <v>8417</v>
      </c>
      <c r="B2524" s="298" t="s">
        <v>8418</v>
      </c>
      <c r="C2524" s="298" t="s">
        <v>1395</v>
      </c>
      <c r="D2524" s="298" t="s">
        <v>256</v>
      </c>
      <c r="E2524" s="298"/>
      <c r="F2524" s="298" t="s">
        <v>8419</v>
      </c>
      <c r="G2524" s="299" t="b">
        <v>0</v>
      </c>
      <c r="H2524" s="299" t="b">
        <v>0</v>
      </c>
      <c r="J2524" s="113" t="str">
        <f t="shared" si="79"/>
        <v>983086750</v>
      </c>
      <c r="K2524" s="113" t="str">
        <f t="shared" si="80"/>
        <v>CG02609</v>
      </c>
    </row>
    <row r="2525" spans="1:11" x14ac:dyDescent="0.3">
      <c r="A2525" s="298" t="s">
        <v>8420</v>
      </c>
      <c r="B2525" s="298" t="s">
        <v>8421</v>
      </c>
      <c r="C2525" s="298" t="s">
        <v>289</v>
      </c>
      <c r="D2525" s="298" t="s">
        <v>256</v>
      </c>
      <c r="E2525" s="298"/>
      <c r="F2525" s="298" t="s">
        <v>8422</v>
      </c>
      <c r="G2525" s="299" t="b">
        <v>0</v>
      </c>
      <c r="H2525" s="299" t="b">
        <v>0</v>
      </c>
      <c r="J2525" s="113" t="str">
        <f t="shared" si="79"/>
        <v>984197353</v>
      </c>
      <c r="K2525" s="113" t="str">
        <f t="shared" si="80"/>
        <v>CG02610</v>
      </c>
    </row>
    <row r="2526" spans="1:11" x14ac:dyDescent="0.3">
      <c r="A2526" s="298" t="s">
        <v>8423</v>
      </c>
      <c r="B2526" s="298" t="s">
        <v>8424</v>
      </c>
      <c r="C2526" s="298" t="s">
        <v>541</v>
      </c>
      <c r="D2526" s="298" t="s">
        <v>256</v>
      </c>
      <c r="E2526" s="298"/>
      <c r="F2526" s="298" t="s">
        <v>8425</v>
      </c>
      <c r="G2526" s="299" t="b">
        <v>0</v>
      </c>
      <c r="H2526" s="299" t="b">
        <v>0</v>
      </c>
      <c r="J2526" s="113" t="str">
        <f t="shared" si="79"/>
        <v>975318586</v>
      </c>
      <c r="K2526" s="113" t="str">
        <f t="shared" si="80"/>
        <v>CG02611</v>
      </c>
    </row>
    <row r="2527" spans="1:11" x14ac:dyDescent="0.3">
      <c r="A2527" s="298" t="s">
        <v>8426</v>
      </c>
      <c r="B2527" s="298" t="s">
        <v>8427</v>
      </c>
      <c r="C2527" s="298" t="s">
        <v>286</v>
      </c>
      <c r="D2527" s="298" t="s">
        <v>256</v>
      </c>
      <c r="E2527" s="298"/>
      <c r="F2527" s="298" t="s">
        <v>8428</v>
      </c>
      <c r="G2527" s="299" t="b">
        <v>0</v>
      </c>
      <c r="H2527" s="299" t="b">
        <v>0</v>
      </c>
      <c r="J2527" s="113" t="str">
        <f t="shared" si="79"/>
        <v>975440026</v>
      </c>
      <c r="K2527" s="113" t="str">
        <f t="shared" si="80"/>
        <v>CG02612</v>
      </c>
    </row>
    <row r="2528" spans="1:11" x14ac:dyDescent="0.3">
      <c r="A2528" s="298" t="s">
        <v>8429</v>
      </c>
      <c r="B2528" s="298" t="s">
        <v>8430</v>
      </c>
      <c r="C2528" s="298" t="s">
        <v>593</v>
      </c>
      <c r="D2528" s="298" t="s">
        <v>256</v>
      </c>
      <c r="E2528" s="298"/>
      <c r="F2528" s="298" t="s">
        <v>8431</v>
      </c>
      <c r="G2528" s="299" t="b">
        <v>0</v>
      </c>
      <c r="H2528" s="299" t="b">
        <v>0</v>
      </c>
      <c r="J2528" s="113" t="str">
        <f t="shared" si="79"/>
        <v>972737905</v>
      </c>
      <c r="K2528" s="113" t="str">
        <f t="shared" si="80"/>
        <v>CG02613</v>
      </c>
    </row>
    <row r="2529" spans="1:11" x14ac:dyDescent="0.3">
      <c r="A2529" s="298" t="s">
        <v>8432</v>
      </c>
      <c r="B2529" s="298" t="s">
        <v>8433</v>
      </c>
      <c r="C2529" s="298" t="s">
        <v>355</v>
      </c>
      <c r="D2529" s="298" t="s">
        <v>256</v>
      </c>
      <c r="E2529" s="298"/>
      <c r="F2529" s="298" t="s">
        <v>8434</v>
      </c>
      <c r="G2529" s="299" t="b">
        <v>0</v>
      </c>
      <c r="H2529" s="299" t="b">
        <v>0</v>
      </c>
      <c r="J2529" s="113" t="str">
        <f t="shared" si="79"/>
        <v>948723886</v>
      </c>
      <c r="K2529" s="113" t="str">
        <f t="shared" si="80"/>
        <v>CG02614</v>
      </c>
    </row>
    <row r="2530" spans="1:11" x14ac:dyDescent="0.3">
      <c r="A2530" s="298" t="s">
        <v>8435</v>
      </c>
      <c r="B2530" s="298" t="s">
        <v>14684</v>
      </c>
      <c r="C2530" s="298" t="s">
        <v>495</v>
      </c>
      <c r="D2530" s="298" t="s">
        <v>256</v>
      </c>
      <c r="E2530" s="298"/>
      <c r="F2530" s="298" t="s">
        <v>8436</v>
      </c>
      <c r="G2530" s="299" t="b">
        <v>0</v>
      </c>
      <c r="H2530" s="299" t="b">
        <v>0</v>
      </c>
      <c r="J2530" s="113" t="str">
        <f t="shared" si="79"/>
        <v>917697678</v>
      </c>
      <c r="K2530" s="113" t="str">
        <f t="shared" si="80"/>
        <v>CG02615</v>
      </c>
    </row>
    <row r="2531" spans="1:11" x14ac:dyDescent="0.3">
      <c r="A2531" s="298" t="s">
        <v>8437</v>
      </c>
      <c r="B2531" s="298" t="s">
        <v>8438</v>
      </c>
      <c r="C2531" s="298" t="s">
        <v>993</v>
      </c>
      <c r="D2531" s="298" t="s">
        <v>256</v>
      </c>
      <c r="E2531" s="298"/>
      <c r="F2531" s="298" t="s">
        <v>8439</v>
      </c>
      <c r="G2531" s="299" t="b">
        <v>0</v>
      </c>
      <c r="H2531" s="299" t="b">
        <v>0</v>
      </c>
      <c r="J2531" s="113" t="str">
        <f t="shared" si="79"/>
        <v>977090783</v>
      </c>
      <c r="K2531" s="113" t="str">
        <f t="shared" si="80"/>
        <v>CG02616</v>
      </c>
    </row>
    <row r="2532" spans="1:11" x14ac:dyDescent="0.3">
      <c r="A2532" s="298" t="s">
        <v>8440</v>
      </c>
      <c r="B2532" s="298" t="s">
        <v>8441</v>
      </c>
      <c r="C2532" s="298" t="s">
        <v>231</v>
      </c>
      <c r="D2532" s="298" t="s">
        <v>256</v>
      </c>
      <c r="E2532" s="298"/>
      <c r="F2532" s="298" t="s">
        <v>8442</v>
      </c>
      <c r="G2532" s="299" t="b">
        <v>0</v>
      </c>
      <c r="H2532" s="299" t="b">
        <v>0</v>
      </c>
      <c r="J2532" s="113" t="str">
        <f t="shared" si="79"/>
        <v>981729852</v>
      </c>
      <c r="K2532" s="113" t="str">
        <f t="shared" si="80"/>
        <v>CG02617</v>
      </c>
    </row>
    <row r="2533" spans="1:11" x14ac:dyDescent="0.3">
      <c r="A2533" s="298" t="s">
        <v>8443</v>
      </c>
      <c r="B2533" s="298" t="s">
        <v>8444</v>
      </c>
      <c r="C2533" s="298" t="s">
        <v>355</v>
      </c>
      <c r="D2533" s="298" t="s">
        <v>256</v>
      </c>
      <c r="E2533" s="298"/>
      <c r="F2533" s="298" t="s">
        <v>8445</v>
      </c>
      <c r="G2533" s="299" t="b">
        <v>0</v>
      </c>
      <c r="H2533" s="299" t="b">
        <v>0</v>
      </c>
      <c r="J2533" s="113" t="str">
        <f t="shared" si="79"/>
        <v>987123946</v>
      </c>
      <c r="K2533" s="113" t="str">
        <f t="shared" si="80"/>
        <v>CG02618</v>
      </c>
    </row>
    <row r="2534" spans="1:11" x14ac:dyDescent="0.3">
      <c r="A2534" s="298" t="s">
        <v>8446</v>
      </c>
      <c r="B2534" s="298" t="s">
        <v>8447</v>
      </c>
      <c r="C2534" s="298" t="s">
        <v>230</v>
      </c>
      <c r="D2534" s="298" t="s">
        <v>256</v>
      </c>
      <c r="E2534" s="298"/>
      <c r="F2534" s="298" t="s">
        <v>8448</v>
      </c>
      <c r="G2534" s="299" t="b">
        <v>0</v>
      </c>
      <c r="H2534" s="299" t="b">
        <v>0</v>
      </c>
      <c r="J2534" s="113" t="str">
        <f t="shared" si="79"/>
        <v>912741862</v>
      </c>
      <c r="K2534" s="113" t="str">
        <f t="shared" si="80"/>
        <v>CG02619</v>
      </c>
    </row>
    <row r="2535" spans="1:11" x14ac:dyDescent="0.3">
      <c r="A2535" s="298" t="s">
        <v>8449</v>
      </c>
      <c r="B2535" s="298" t="s">
        <v>8450</v>
      </c>
      <c r="C2535" s="298" t="s">
        <v>1873</v>
      </c>
      <c r="D2535" s="298" t="s">
        <v>256</v>
      </c>
      <c r="E2535" s="298"/>
      <c r="F2535" s="298" t="s">
        <v>8451</v>
      </c>
      <c r="G2535" s="299" t="b">
        <v>0</v>
      </c>
      <c r="H2535" s="299" t="b">
        <v>0</v>
      </c>
      <c r="J2535" s="113" t="str">
        <f t="shared" si="79"/>
        <v>941734855</v>
      </c>
      <c r="K2535" s="113" t="str">
        <f t="shared" si="80"/>
        <v>CG02620</v>
      </c>
    </row>
    <row r="2536" spans="1:11" x14ac:dyDescent="0.3">
      <c r="A2536" s="298" t="s">
        <v>8452</v>
      </c>
      <c r="B2536" s="298" t="s">
        <v>8453</v>
      </c>
      <c r="C2536" s="298" t="s">
        <v>877</v>
      </c>
      <c r="D2536" s="298" t="s">
        <v>256</v>
      </c>
      <c r="E2536" s="298"/>
      <c r="F2536" s="298" t="s">
        <v>8454</v>
      </c>
      <c r="G2536" s="299" t="b">
        <v>0</v>
      </c>
      <c r="H2536" s="299" t="b">
        <v>0</v>
      </c>
      <c r="J2536" s="113" t="str">
        <f t="shared" si="79"/>
        <v>975366330</v>
      </c>
      <c r="K2536" s="113" t="str">
        <f t="shared" si="80"/>
        <v>CG02621</v>
      </c>
    </row>
    <row r="2537" spans="1:11" x14ac:dyDescent="0.3">
      <c r="A2537" s="298" t="s">
        <v>8455</v>
      </c>
      <c r="B2537" s="298" t="s">
        <v>8456</v>
      </c>
      <c r="C2537" s="298" t="s">
        <v>541</v>
      </c>
      <c r="D2537" s="298" t="s">
        <v>256</v>
      </c>
      <c r="E2537" s="298"/>
      <c r="F2537" s="298" t="s">
        <v>8457</v>
      </c>
      <c r="G2537" s="299" t="b">
        <v>0</v>
      </c>
      <c r="H2537" s="299" t="b">
        <v>0</v>
      </c>
      <c r="J2537" s="113" t="str">
        <f t="shared" si="79"/>
        <v>969627750</v>
      </c>
      <c r="K2537" s="113" t="str">
        <f t="shared" si="80"/>
        <v>CG02622</v>
      </c>
    </row>
    <row r="2538" spans="1:11" x14ac:dyDescent="0.3">
      <c r="A2538" s="298" t="s">
        <v>8458</v>
      </c>
      <c r="B2538" s="298" t="s">
        <v>8459</v>
      </c>
      <c r="C2538" s="298" t="s">
        <v>340</v>
      </c>
      <c r="D2538" s="298" t="s">
        <v>256</v>
      </c>
      <c r="E2538" s="298"/>
      <c r="F2538" s="298" t="s">
        <v>8460</v>
      </c>
      <c r="G2538" s="299" t="b">
        <v>0</v>
      </c>
      <c r="H2538" s="299" t="b">
        <v>0</v>
      </c>
      <c r="J2538" s="113" t="str">
        <f t="shared" si="79"/>
        <v>989841989</v>
      </c>
      <c r="K2538" s="113" t="str">
        <f t="shared" si="80"/>
        <v>CG02623</v>
      </c>
    </row>
    <row r="2539" spans="1:11" x14ac:dyDescent="0.3">
      <c r="A2539" s="298" t="s">
        <v>8461</v>
      </c>
      <c r="B2539" s="298" t="s">
        <v>8462</v>
      </c>
      <c r="C2539" s="298" t="s">
        <v>8463</v>
      </c>
      <c r="D2539" s="298" t="s">
        <v>256</v>
      </c>
      <c r="E2539" s="298"/>
      <c r="F2539" s="298" t="s">
        <v>8464</v>
      </c>
      <c r="G2539" s="299" t="b">
        <v>0</v>
      </c>
      <c r="H2539" s="299" t="b">
        <v>0</v>
      </c>
      <c r="J2539" s="113" t="str">
        <f t="shared" si="79"/>
        <v>973285331</v>
      </c>
      <c r="K2539" s="113" t="str">
        <f t="shared" si="80"/>
        <v>CG02624</v>
      </c>
    </row>
    <row r="2540" spans="1:11" x14ac:dyDescent="0.3">
      <c r="A2540" s="298" t="s">
        <v>8465</v>
      </c>
      <c r="B2540" s="298" t="s">
        <v>8466</v>
      </c>
      <c r="C2540" s="298" t="s">
        <v>4297</v>
      </c>
      <c r="D2540" s="298" t="s">
        <v>256</v>
      </c>
      <c r="E2540" s="298"/>
      <c r="F2540" s="298" t="s">
        <v>8467</v>
      </c>
      <c r="G2540" s="299" t="b">
        <v>0</v>
      </c>
      <c r="H2540" s="299" t="b">
        <v>0</v>
      </c>
      <c r="J2540" s="113" t="str">
        <f t="shared" si="79"/>
        <v>373205201</v>
      </c>
      <c r="K2540" s="113" t="str">
        <f t="shared" si="80"/>
        <v>CG02625</v>
      </c>
    </row>
    <row r="2541" spans="1:11" x14ac:dyDescent="0.3">
      <c r="A2541" s="298" t="s">
        <v>8468</v>
      </c>
      <c r="B2541" s="298" t="s">
        <v>8469</v>
      </c>
      <c r="C2541" s="298" t="s">
        <v>877</v>
      </c>
      <c r="D2541" s="298" t="s">
        <v>256</v>
      </c>
      <c r="E2541" s="298"/>
      <c r="F2541" s="298" t="s">
        <v>8470</v>
      </c>
      <c r="G2541" s="299" t="b">
        <v>0</v>
      </c>
      <c r="H2541" s="299" t="b">
        <v>0</v>
      </c>
      <c r="J2541" s="113" t="str">
        <f t="shared" si="79"/>
        <v>983776385</v>
      </c>
      <c r="K2541" s="113" t="str">
        <f t="shared" si="80"/>
        <v>CG02626</v>
      </c>
    </row>
    <row r="2542" spans="1:11" x14ac:dyDescent="0.3">
      <c r="A2542" s="298" t="s">
        <v>8471</v>
      </c>
      <c r="B2542" s="298" t="s">
        <v>8472</v>
      </c>
      <c r="C2542" s="298" t="s">
        <v>1890</v>
      </c>
      <c r="D2542" s="298" t="s">
        <v>256</v>
      </c>
      <c r="E2542" s="298"/>
      <c r="F2542" s="298" t="s">
        <v>8473</v>
      </c>
      <c r="G2542" s="299" t="b">
        <v>0</v>
      </c>
      <c r="H2542" s="299" t="b">
        <v>0</v>
      </c>
      <c r="J2542" s="113" t="str">
        <f t="shared" si="79"/>
        <v>982914444</v>
      </c>
      <c r="K2542" s="113" t="str">
        <f t="shared" si="80"/>
        <v>CG02627</v>
      </c>
    </row>
    <row r="2543" spans="1:11" x14ac:dyDescent="0.3">
      <c r="A2543" s="298" t="s">
        <v>8474</v>
      </c>
      <c r="B2543" s="298" t="s">
        <v>8475</v>
      </c>
      <c r="C2543" s="298" t="s">
        <v>8476</v>
      </c>
      <c r="D2543" s="298" t="s">
        <v>256</v>
      </c>
      <c r="E2543" s="298"/>
      <c r="F2543" s="298" t="s">
        <v>8477</v>
      </c>
      <c r="G2543" s="299" t="b">
        <v>0</v>
      </c>
      <c r="H2543" s="299" t="b">
        <v>0</v>
      </c>
      <c r="J2543" s="113" t="str">
        <f t="shared" si="79"/>
        <v>976677316</v>
      </c>
      <c r="K2543" s="113" t="str">
        <f t="shared" si="80"/>
        <v>CG02628</v>
      </c>
    </row>
    <row r="2544" spans="1:11" x14ac:dyDescent="0.3">
      <c r="A2544" s="298" t="s">
        <v>8478</v>
      </c>
      <c r="B2544" s="298" t="s">
        <v>8479</v>
      </c>
      <c r="C2544" s="298" t="s">
        <v>1247</v>
      </c>
      <c r="D2544" s="298" t="s">
        <v>256</v>
      </c>
      <c r="E2544" s="298"/>
      <c r="F2544" s="298" t="s">
        <v>8480</v>
      </c>
      <c r="G2544" s="299" t="b">
        <v>0</v>
      </c>
      <c r="H2544" s="299" t="b">
        <v>0</v>
      </c>
      <c r="J2544" s="113" t="str">
        <f t="shared" si="79"/>
        <v>983882762</v>
      </c>
      <c r="K2544" s="113" t="str">
        <f t="shared" si="80"/>
        <v>CG02629</v>
      </c>
    </row>
    <row r="2545" spans="1:11" x14ac:dyDescent="0.3">
      <c r="A2545" s="298" t="s">
        <v>8481</v>
      </c>
      <c r="B2545" s="298" t="s">
        <v>8482</v>
      </c>
      <c r="C2545" s="298" t="s">
        <v>8483</v>
      </c>
      <c r="D2545" s="298" t="s">
        <v>256</v>
      </c>
      <c r="E2545" s="298"/>
      <c r="F2545" s="298" t="s">
        <v>8484</v>
      </c>
      <c r="G2545" s="299" t="b">
        <v>0</v>
      </c>
      <c r="H2545" s="299" t="b">
        <v>0</v>
      </c>
      <c r="J2545" s="113" t="str">
        <f t="shared" si="79"/>
        <v>944929852</v>
      </c>
      <c r="K2545" s="113" t="str">
        <f t="shared" si="80"/>
        <v>CG02630</v>
      </c>
    </row>
    <row r="2546" spans="1:11" x14ac:dyDescent="0.3">
      <c r="A2546" s="298" t="s">
        <v>8485</v>
      </c>
      <c r="B2546" s="298" t="s">
        <v>8486</v>
      </c>
      <c r="C2546" s="298" t="s">
        <v>625</v>
      </c>
      <c r="D2546" s="298" t="s">
        <v>256</v>
      </c>
      <c r="E2546" s="298"/>
      <c r="F2546" s="298" t="s">
        <v>8487</v>
      </c>
      <c r="G2546" s="299" t="b">
        <v>0</v>
      </c>
      <c r="H2546" s="299" t="b">
        <v>0</v>
      </c>
      <c r="J2546" s="113" t="str">
        <f t="shared" si="79"/>
        <v>904913188</v>
      </c>
      <c r="K2546" s="113" t="str">
        <f t="shared" si="80"/>
        <v>CG02631</v>
      </c>
    </row>
    <row r="2547" spans="1:11" x14ac:dyDescent="0.3">
      <c r="A2547" s="298" t="s">
        <v>8488</v>
      </c>
      <c r="B2547" s="298" t="s">
        <v>8489</v>
      </c>
      <c r="C2547" s="298" t="s">
        <v>2412</v>
      </c>
      <c r="D2547" s="298" t="s">
        <v>256</v>
      </c>
      <c r="E2547" s="298"/>
      <c r="F2547" s="298" t="s">
        <v>8490</v>
      </c>
      <c r="G2547" s="299" t="b">
        <v>0</v>
      </c>
      <c r="H2547" s="299" t="b">
        <v>0</v>
      </c>
      <c r="J2547" s="113" t="str">
        <f t="shared" si="79"/>
        <v>905472136</v>
      </c>
      <c r="K2547" s="113" t="str">
        <f t="shared" si="80"/>
        <v>CG02632</v>
      </c>
    </row>
    <row r="2548" spans="1:11" x14ac:dyDescent="0.3">
      <c r="A2548" s="298" t="s">
        <v>8491</v>
      </c>
      <c r="B2548" s="298" t="s">
        <v>8492</v>
      </c>
      <c r="C2548" s="298" t="s">
        <v>8493</v>
      </c>
      <c r="D2548" s="298" t="s">
        <v>256</v>
      </c>
      <c r="E2548" s="298" t="s">
        <v>8494</v>
      </c>
      <c r="F2548" s="298" t="s">
        <v>8495</v>
      </c>
      <c r="G2548" s="299" t="b">
        <v>0</v>
      </c>
      <c r="H2548" s="299" t="b">
        <v>0</v>
      </c>
      <c r="J2548" s="113" t="str">
        <f t="shared" si="79"/>
        <v>973900329</v>
      </c>
      <c r="K2548" s="113" t="str">
        <f t="shared" si="80"/>
        <v>CG02633</v>
      </c>
    </row>
    <row r="2549" spans="1:11" x14ac:dyDescent="0.3">
      <c r="A2549" s="298" t="s">
        <v>8496</v>
      </c>
      <c r="B2549" s="298" t="s">
        <v>8497</v>
      </c>
      <c r="C2549" s="298" t="s">
        <v>8498</v>
      </c>
      <c r="D2549" s="298" t="s">
        <v>256</v>
      </c>
      <c r="E2549" s="298"/>
      <c r="F2549" s="298" t="s">
        <v>8499</v>
      </c>
      <c r="G2549" s="299" t="b">
        <v>0</v>
      </c>
      <c r="H2549" s="299" t="b">
        <v>0</v>
      </c>
      <c r="J2549" s="113" t="str">
        <f t="shared" si="79"/>
        <v>865094272</v>
      </c>
      <c r="K2549" s="113" t="str">
        <f t="shared" si="80"/>
        <v>CG02634</v>
      </c>
    </row>
    <row r="2550" spans="1:11" x14ac:dyDescent="0.3">
      <c r="A2550" s="298" t="s">
        <v>8500</v>
      </c>
      <c r="B2550" s="298" t="s">
        <v>8501</v>
      </c>
      <c r="C2550" s="298" t="s">
        <v>541</v>
      </c>
      <c r="D2550" s="298" t="s">
        <v>256</v>
      </c>
      <c r="E2550" s="298"/>
      <c r="F2550" s="298" t="s">
        <v>8502</v>
      </c>
      <c r="G2550" s="299" t="b">
        <v>0</v>
      </c>
      <c r="H2550" s="299" t="b">
        <v>0</v>
      </c>
      <c r="J2550" s="113" t="str">
        <f t="shared" si="79"/>
        <v>975337525</v>
      </c>
      <c r="K2550" s="113" t="str">
        <f t="shared" si="80"/>
        <v>CG02635</v>
      </c>
    </row>
    <row r="2551" spans="1:11" x14ac:dyDescent="0.3">
      <c r="A2551" s="298" t="s">
        <v>8503</v>
      </c>
      <c r="B2551" s="298" t="s">
        <v>8504</v>
      </c>
      <c r="C2551" s="298" t="s">
        <v>613</v>
      </c>
      <c r="D2551" s="298" t="s">
        <v>256</v>
      </c>
      <c r="E2551" s="298"/>
      <c r="F2551" s="298" t="s">
        <v>8505</v>
      </c>
      <c r="G2551" s="299" t="b">
        <v>0</v>
      </c>
      <c r="H2551" s="299" t="b">
        <v>0</v>
      </c>
      <c r="J2551" s="113" t="str">
        <f t="shared" si="79"/>
        <v>913245431</v>
      </c>
      <c r="K2551" s="113" t="str">
        <f t="shared" si="80"/>
        <v>CG02636</v>
      </c>
    </row>
    <row r="2552" spans="1:11" x14ac:dyDescent="0.3">
      <c r="A2552" s="298" t="s">
        <v>8506</v>
      </c>
      <c r="B2552" s="298" t="s">
        <v>8507</v>
      </c>
      <c r="C2552" s="298" t="s">
        <v>469</v>
      </c>
      <c r="D2552" s="298" t="s">
        <v>256</v>
      </c>
      <c r="E2552" s="298"/>
      <c r="F2552" s="298" t="s">
        <v>8508</v>
      </c>
      <c r="G2552" s="299" t="b">
        <v>0</v>
      </c>
      <c r="H2552" s="299" t="b">
        <v>0</v>
      </c>
      <c r="J2552" s="113" t="str">
        <f t="shared" si="79"/>
        <v>962874378</v>
      </c>
      <c r="K2552" s="113" t="str">
        <f t="shared" si="80"/>
        <v>CG02637</v>
      </c>
    </row>
    <row r="2553" spans="1:11" x14ac:dyDescent="0.3">
      <c r="A2553" s="298" t="s">
        <v>8509</v>
      </c>
      <c r="B2553" s="298" t="s">
        <v>8510</v>
      </c>
      <c r="C2553" s="298" t="s">
        <v>416</v>
      </c>
      <c r="D2553" s="298" t="s">
        <v>256</v>
      </c>
      <c r="E2553" s="298"/>
      <c r="F2553" s="298" t="s">
        <v>8511</v>
      </c>
      <c r="G2553" s="299" t="b">
        <v>0</v>
      </c>
      <c r="H2553" s="299" t="b">
        <v>0</v>
      </c>
      <c r="J2553" s="113" t="str">
        <f t="shared" si="79"/>
        <v>976288395</v>
      </c>
      <c r="K2553" s="113" t="str">
        <f t="shared" si="80"/>
        <v>CG02638</v>
      </c>
    </row>
    <row r="2554" spans="1:11" x14ac:dyDescent="0.3">
      <c r="A2554" s="298" t="s">
        <v>8512</v>
      </c>
      <c r="B2554" s="298" t="s">
        <v>8513</v>
      </c>
      <c r="C2554" s="298" t="s">
        <v>355</v>
      </c>
      <c r="D2554" s="298" t="s">
        <v>256</v>
      </c>
      <c r="E2554" s="298"/>
      <c r="F2554" s="298" t="s">
        <v>8514</v>
      </c>
      <c r="G2554" s="299" t="b">
        <v>0</v>
      </c>
      <c r="H2554" s="299" t="b">
        <v>0</v>
      </c>
      <c r="J2554" s="113" t="str">
        <f t="shared" si="79"/>
        <v>913305904</v>
      </c>
      <c r="K2554" s="113" t="str">
        <f t="shared" si="80"/>
        <v>CG02639</v>
      </c>
    </row>
    <row r="2555" spans="1:11" x14ac:dyDescent="0.3">
      <c r="A2555" s="298" t="s">
        <v>8515</v>
      </c>
      <c r="B2555" s="298" t="s">
        <v>8516</v>
      </c>
      <c r="C2555" s="298" t="s">
        <v>547</v>
      </c>
      <c r="D2555" s="298" t="s">
        <v>256</v>
      </c>
      <c r="E2555" s="298"/>
      <c r="F2555" s="298" t="s">
        <v>8517</v>
      </c>
      <c r="G2555" s="299" t="b">
        <v>0</v>
      </c>
      <c r="H2555" s="299" t="b">
        <v>0</v>
      </c>
      <c r="J2555" s="113" t="str">
        <f t="shared" si="79"/>
        <v>978503854</v>
      </c>
      <c r="K2555" s="113" t="str">
        <f t="shared" si="80"/>
        <v>CG02640</v>
      </c>
    </row>
    <row r="2556" spans="1:11" x14ac:dyDescent="0.3">
      <c r="A2556" s="298" t="s">
        <v>8518</v>
      </c>
      <c r="B2556" s="298" t="s">
        <v>8519</v>
      </c>
      <c r="C2556" s="298" t="s">
        <v>8520</v>
      </c>
      <c r="D2556" s="298" t="s">
        <v>256</v>
      </c>
      <c r="E2556" s="298" t="s">
        <v>8521</v>
      </c>
      <c r="F2556" s="298" t="s">
        <v>8522</v>
      </c>
      <c r="G2556" s="299" t="b">
        <v>0</v>
      </c>
      <c r="H2556" s="299" t="b">
        <v>0</v>
      </c>
      <c r="J2556" s="113" t="str">
        <f t="shared" si="79"/>
        <v>915301050</v>
      </c>
      <c r="K2556" s="113" t="str">
        <f t="shared" si="80"/>
        <v>CG02641</v>
      </c>
    </row>
    <row r="2557" spans="1:11" x14ac:dyDescent="0.3">
      <c r="A2557" s="298" t="s">
        <v>8523</v>
      </c>
      <c r="B2557" s="298" t="s">
        <v>8524</v>
      </c>
      <c r="C2557" s="298" t="s">
        <v>8525</v>
      </c>
      <c r="D2557" s="298" t="s">
        <v>256</v>
      </c>
      <c r="E2557" s="298"/>
      <c r="F2557" s="298" t="s">
        <v>8526</v>
      </c>
      <c r="G2557" s="299" t="b">
        <v>0</v>
      </c>
      <c r="H2557" s="299" t="b">
        <v>0</v>
      </c>
      <c r="J2557" s="113" t="str">
        <f t="shared" si="79"/>
        <v>916289911</v>
      </c>
      <c r="K2557" s="113" t="str">
        <f t="shared" si="80"/>
        <v>CG02642</v>
      </c>
    </row>
    <row r="2558" spans="1:11" x14ac:dyDescent="0.3">
      <c r="A2558" s="298" t="s">
        <v>8527</v>
      </c>
      <c r="B2558" s="298" t="s">
        <v>8528</v>
      </c>
      <c r="C2558" s="298" t="s">
        <v>8529</v>
      </c>
      <c r="D2558" s="298" t="s">
        <v>256</v>
      </c>
      <c r="E2558" s="298"/>
      <c r="F2558" s="298" t="s">
        <v>8530</v>
      </c>
      <c r="G2558" s="299" t="b">
        <v>0</v>
      </c>
      <c r="H2558" s="299" t="b">
        <v>0</v>
      </c>
      <c r="J2558" s="113" t="str">
        <f t="shared" si="79"/>
        <v>913780038</v>
      </c>
      <c r="K2558" s="113" t="str">
        <f t="shared" si="80"/>
        <v>CG02643</v>
      </c>
    </row>
    <row r="2559" spans="1:11" x14ac:dyDescent="0.3">
      <c r="A2559" s="298" t="s">
        <v>8531</v>
      </c>
      <c r="B2559" s="298" t="s">
        <v>8532</v>
      </c>
      <c r="C2559" s="298" t="s">
        <v>1451</v>
      </c>
      <c r="D2559" s="298" t="s">
        <v>256</v>
      </c>
      <c r="E2559" s="298"/>
      <c r="F2559" s="298" t="s">
        <v>8533</v>
      </c>
      <c r="G2559" s="299" t="b">
        <v>0</v>
      </c>
      <c r="H2559" s="299" t="b">
        <v>0</v>
      </c>
      <c r="J2559" s="113" t="str">
        <f t="shared" si="79"/>
        <v>982197928</v>
      </c>
      <c r="K2559" s="113" t="str">
        <f t="shared" si="80"/>
        <v>CG02644</v>
      </c>
    </row>
    <row r="2560" spans="1:11" x14ac:dyDescent="0.3">
      <c r="A2560" s="298" t="s">
        <v>8534</v>
      </c>
      <c r="B2560" s="298" t="s">
        <v>8535</v>
      </c>
      <c r="C2560" s="298" t="s">
        <v>4354</v>
      </c>
      <c r="D2560" s="298" t="s">
        <v>256</v>
      </c>
      <c r="E2560" s="298"/>
      <c r="F2560" s="298" t="s">
        <v>8536</v>
      </c>
      <c r="G2560" s="299" t="b">
        <v>0</v>
      </c>
      <c r="H2560" s="299" t="b">
        <v>0</v>
      </c>
      <c r="J2560" s="113" t="str">
        <f t="shared" si="79"/>
        <v>904016475</v>
      </c>
      <c r="K2560" s="113" t="str">
        <f t="shared" si="80"/>
        <v>CG02645</v>
      </c>
    </row>
    <row r="2561" spans="1:11" x14ac:dyDescent="0.3">
      <c r="A2561" s="298" t="s">
        <v>8537</v>
      </c>
      <c r="B2561" s="298" t="s">
        <v>8538</v>
      </c>
      <c r="C2561" s="298" t="s">
        <v>230</v>
      </c>
      <c r="D2561" s="298" t="s">
        <v>256</v>
      </c>
      <c r="E2561" s="298"/>
      <c r="F2561" s="298" t="s">
        <v>8539</v>
      </c>
      <c r="G2561" s="299" t="b">
        <v>0</v>
      </c>
      <c r="H2561" s="299" t="b">
        <v>0</v>
      </c>
      <c r="J2561" s="113" t="str">
        <f t="shared" si="79"/>
        <v>886262662</v>
      </c>
      <c r="K2561" s="113" t="str">
        <f t="shared" si="80"/>
        <v>CG02646</v>
      </c>
    </row>
    <row r="2562" spans="1:11" x14ac:dyDescent="0.3">
      <c r="A2562" s="298" t="s">
        <v>8540</v>
      </c>
      <c r="B2562" s="298" t="s">
        <v>8541</v>
      </c>
      <c r="C2562" s="298" t="s">
        <v>625</v>
      </c>
      <c r="D2562" s="298" t="s">
        <v>256</v>
      </c>
      <c r="E2562" s="298"/>
      <c r="F2562" s="298" t="s">
        <v>8542</v>
      </c>
      <c r="G2562" s="299" t="b">
        <v>0</v>
      </c>
      <c r="H2562" s="299" t="b">
        <v>0</v>
      </c>
      <c r="J2562" s="113" t="str">
        <f t="shared" si="79"/>
        <v>929029913</v>
      </c>
      <c r="K2562" s="113" t="str">
        <f t="shared" si="80"/>
        <v>CG02647</v>
      </c>
    </row>
    <row r="2563" spans="1:11" x14ac:dyDescent="0.3">
      <c r="A2563" s="298" t="s">
        <v>8543</v>
      </c>
      <c r="B2563" s="298" t="s">
        <v>8544</v>
      </c>
      <c r="C2563" s="298" t="s">
        <v>230</v>
      </c>
      <c r="D2563" s="298" t="s">
        <v>256</v>
      </c>
      <c r="E2563" s="298"/>
      <c r="F2563" s="298" t="s">
        <v>8545</v>
      </c>
      <c r="G2563" s="299" t="b">
        <v>0</v>
      </c>
      <c r="H2563" s="299" t="b">
        <v>0</v>
      </c>
      <c r="J2563" s="113" t="str">
        <f t="shared" si="79"/>
        <v>917741598</v>
      </c>
      <c r="K2563" s="113" t="str">
        <f t="shared" si="80"/>
        <v>CG02648</v>
      </c>
    </row>
    <row r="2564" spans="1:11" x14ac:dyDescent="0.3">
      <c r="A2564" s="298" t="s">
        <v>8546</v>
      </c>
      <c r="B2564" s="298" t="s">
        <v>8547</v>
      </c>
      <c r="C2564" s="298" t="s">
        <v>8548</v>
      </c>
      <c r="D2564" s="298" t="s">
        <v>256</v>
      </c>
      <c r="E2564" s="298"/>
      <c r="F2564" s="298" t="s">
        <v>8549</v>
      </c>
      <c r="G2564" s="299" t="b">
        <v>0</v>
      </c>
      <c r="H2564" s="299" t="b">
        <v>0</v>
      </c>
      <c r="J2564" s="113" t="str">
        <f t="shared" si="79"/>
        <v>973108568</v>
      </c>
      <c r="K2564" s="113" t="str">
        <f t="shared" si="80"/>
        <v>CG02649</v>
      </c>
    </row>
    <row r="2565" spans="1:11" x14ac:dyDescent="0.3">
      <c r="A2565" s="298" t="s">
        <v>8550</v>
      </c>
      <c r="B2565" s="298" t="s">
        <v>8551</v>
      </c>
      <c r="C2565" s="298" t="s">
        <v>613</v>
      </c>
      <c r="D2565" s="298" t="s">
        <v>256</v>
      </c>
      <c r="E2565" s="298"/>
      <c r="F2565" s="298" t="s">
        <v>8552</v>
      </c>
      <c r="G2565" s="299" t="b">
        <v>0</v>
      </c>
      <c r="H2565" s="299" t="b">
        <v>0</v>
      </c>
      <c r="J2565" s="113" t="str">
        <f t="shared" ref="J2565:J2628" si="81">RIGHT(B2565,9)</f>
        <v>971466686</v>
      </c>
      <c r="K2565" s="113" t="str">
        <f t="shared" ref="K2565:K2628" si="82">A2565</f>
        <v>CG02650</v>
      </c>
    </row>
    <row r="2566" spans="1:11" x14ac:dyDescent="0.3">
      <c r="A2566" s="298" t="s">
        <v>8553</v>
      </c>
      <c r="B2566" s="298" t="s">
        <v>8554</v>
      </c>
      <c r="C2566" s="298" t="s">
        <v>409</v>
      </c>
      <c r="D2566" s="298" t="s">
        <v>256</v>
      </c>
      <c r="E2566" s="298"/>
      <c r="F2566" s="298" t="s">
        <v>8555</v>
      </c>
      <c r="G2566" s="299" t="b">
        <v>0</v>
      </c>
      <c r="H2566" s="299" t="b">
        <v>0</v>
      </c>
      <c r="J2566" s="113" t="str">
        <f t="shared" si="81"/>
        <v>388381571</v>
      </c>
      <c r="K2566" s="113" t="str">
        <f t="shared" si="82"/>
        <v>CG02651</v>
      </c>
    </row>
    <row r="2567" spans="1:11" x14ac:dyDescent="0.3">
      <c r="A2567" s="298" t="s">
        <v>8556</v>
      </c>
      <c r="B2567" s="298" t="s">
        <v>8557</v>
      </c>
      <c r="C2567" s="298" t="s">
        <v>1873</v>
      </c>
      <c r="D2567" s="298" t="s">
        <v>256</v>
      </c>
      <c r="E2567" s="298"/>
      <c r="F2567" s="298" t="s">
        <v>8558</v>
      </c>
      <c r="G2567" s="299" t="b">
        <v>0</v>
      </c>
      <c r="H2567" s="299" t="b">
        <v>0</v>
      </c>
      <c r="J2567" s="113" t="str">
        <f t="shared" si="81"/>
        <v>987449618</v>
      </c>
      <c r="K2567" s="113" t="str">
        <f t="shared" si="82"/>
        <v>CG02652</v>
      </c>
    </row>
    <row r="2568" spans="1:11" x14ac:dyDescent="0.3">
      <c r="A2568" s="298" t="s">
        <v>8559</v>
      </c>
      <c r="B2568" s="298" t="s">
        <v>8560</v>
      </c>
      <c r="C2568" s="298" t="s">
        <v>1607</v>
      </c>
      <c r="D2568" s="298" t="s">
        <v>256</v>
      </c>
      <c r="E2568" s="298"/>
      <c r="F2568" s="298" t="s">
        <v>8561</v>
      </c>
      <c r="G2568" s="299" t="b">
        <v>0</v>
      </c>
      <c r="H2568" s="299" t="b">
        <v>0</v>
      </c>
      <c r="J2568" s="113" t="str">
        <f t="shared" si="81"/>
        <v>919819659</v>
      </c>
      <c r="K2568" s="113" t="str">
        <f t="shared" si="82"/>
        <v>CG02653</v>
      </c>
    </row>
    <row r="2569" spans="1:11" x14ac:dyDescent="0.3">
      <c r="A2569" s="298" t="s">
        <v>8562</v>
      </c>
      <c r="B2569" s="298" t="s">
        <v>8563</v>
      </c>
      <c r="C2569" s="298" t="s">
        <v>8564</v>
      </c>
      <c r="D2569" s="298" t="s">
        <v>256</v>
      </c>
      <c r="E2569" s="298"/>
      <c r="F2569" s="298" t="s">
        <v>8565</v>
      </c>
      <c r="G2569" s="299" t="b">
        <v>0</v>
      </c>
      <c r="H2569" s="299" t="b">
        <v>0</v>
      </c>
      <c r="J2569" s="113" t="str">
        <f t="shared" si="81"/>
        <v>326962933</v>
      </c>
      <c r="K2569" s="113" t="str">
        <f t="shared" si="82"/>
        <v>CG02654</v>
      </c>
    </row>
    <row r="2570" spans="1:11" x14ac:dyDescent="0.3">
      <c r="A2570" s="298" t="s">
        <v>8566</v>
      </c>
      <c r="B2570" s="298" t="s">
        <v>8567</v>
      </c>
      <c r="C2570" s="298" t="s">
        <v>5285</v>
      </c>
      <c r="D2570" s="298" t="s">
        <v>256</v>
      </c>
      <c r="E2570" s="298"/>
      <c r="F2570" s="298" t="s">
        <v>8568</v>
      </c>
      <c r="G2570" s="299" t="b">
        <v>0</v>
      </c>
      <c r="H2570" s="299" t="b">
        <v>0</v>
      </c>
      <c r="J2570" s="113" t="str">
        <f t="shared" si="81"/>
        <v>912882075</v>
      </c>
      <c r="K2570" s="113" t="str">
        <f t="shared" si="82"/>
        <v>CG02655</v>
      </c>
    </row>
    <row r="2571" spans="1:11" x14ac:dyDescent="0.3">
      <c r="A2571" s="298" t="s">
        <v>8569</v>
      </c>
      <c r="B2571" s="298" t="s">
        <v>8570</v>
      </c>
      <c r="C2571" s="298" t="s">
        <v>8571</v>
      </c>
      <c r="D2571" s="298" t="s">
        <v>256</v>
      </c>
      <c r="E2571" s="298"/>
      <c r="F2571" s="298" t="s">
        <v>8572</v>
      </c>
      <c r="G2571" s="299" t="b">
        <v>0</v>
      </c>
      <c r="H2571" s="299" t="b">
        <v>0</v>
      </c>
      <c r="J2571" s="113" t="str">
        <f t="shared" si="81"/>
        <v>986049450</v>
      </c>
      <c r="K2571" s="113" t="str">
        <f t="shared" si="82"/>
        <v>CG02656</v>
      </c>
    </row>
    <row r="2572" spans="1:11" x14ac:dyDescent="0.3">
      <c r="A2572" s="298" t="s">
        <v>8573</v>
      </c>
      <c r="B2572" s="298" t="s">
        <v>8574</v>
      </c>
      <c r="C2572" s="298" t="s">
        <v>993</v>
      </c>
      <c r="D2572" s="298" t="s">
        <v>256</v>
      </c>
      <c r="E2572" s="298"/>
      <c r="F2572" s="298" t="s">
        <v>8575</v>
      </c>
      <c r="G2572" s="299" t="b">
        <v>0</v>
      </c>
      <c r="H2572" s="299" t="b">
        <v>0</v>
      </c>
      <c r="J2572" s="113" t="str">
        <f t="shared" si="81"/>
        <v>986408266</v>
      </c>
      <c r="K2572" s="113" t="str">
        <f t="shared" si="82"/>
        <v>CG02657</v>
      </c>
    </row>
    <row r="2573" spans="1:11" x14ac:dyDescent="0.3">
      <c r="A2573" s="298" t="s">
        <v>8576</v>
      </c>
      <c r="B2573" s="298" t="s">
        <v>8577</v>
      </c>
      <c r="C2573" s="298" t="s">
        <v>1587</v>
      </c>
      <c r="D2573" s="298" t="s">
        <v>256</v>
      </c>
      <c r="E2573" s="298"/>
      <c r="F2573" s="298" t="s">
        <v>8578</v>
      </c>
      <c r="G2573" s="299" t="b">
        <v>0</v>
      </c>
      <c r="H2573" s="299" t="b">
        <v>0</v>
      </c>
      <c r="J2573" s="113" t="str">
        <f t="shared" si="81"/>
        <v>912826548</v>
      </c>
      <c r="K2573" s="113" t="str">
        <f t="shared" si="82"/>
        <v>CG02658</v>
      </c>
    </row>
    <row r="2574" spans="1:11" x14ac:dyDescent="0.3">
      <c r="A2574" s="298" t="s">
        <v>8579</v>
      </c>
      <c r="B2574" s="298" t="s">
        <v>8580</v>
      </c>
      <c r="C2574" s="298" t="s">
        <v>8581</v>
      </c>
      <c r="D2574" s="298" t="s">
        <v>256</v>
      </c>
      <c r="E2574" s="298"/>
      <c r="F2574" s="298" t="s">
        <v>8582</v>
      </c>
      <c r="G2574" s="299" t="b">
        <v>0</v>
      </c>
      <c r="H2574" s="299" t="b">
        <v>0</v>
      </c>
      <c r="J2574" s="113" t="str">
        <f t="shared" si="81"/>
        <v>972296566</v>
      </c>
      <c r="K2574" s="113" t="str">
        <f t="shared" si="82"/>
        <v>CG02659</v>
      </c>
    </row>
    <row r="2575" spans="1:11" x14ac:dyDescent="0.3">
      <c r="A2575" s="298" t="s">
        <v>8583</v>
      </c>
      <c r="B2575" s="298" t="s">
        <v>8584</v>
      </c>
      <c r="C2575" s="298" t="s">
        <v>230</v>
      </c>
      <c r="D2575" s="298" t="s">
        <v>256</v>
      </c>
      <c r="E2575" s="298"/>
      <c r="F2575" s="298" t="s">
        <v>8585</v>
      </c>
      <c r="G2575" s="299" t="b">
        <v>0</v>
      </c>
      <c r="H2575" s="299" t="b">
        <v>0</v>
      </c>
      <c r="J2575" s="113" t="str">
        <f t="shared" si="81"/>
        <v>973721919</v>
      </c>
      <c r="K2575" s="113" t="str">
        <f t="shared" si="82"/>
        <v>CG02660</v>
      </c>
    </row>
    <row r="2576" spans="1:11" x14ac:dyDescent="0.3">
      <c r="A2576" s="298" t="s">
        <v>8586</v>
      </c>
      <c r="B2576" s="298" t="s">
        <v>8587</v>
      </c>
      <c r="C2576" s="298" t="s">
        <v>1873</v>
      </c>
      <c r="D2576" s="298" t="s">
        <v>256</v>
      </c>
      <c r="E2576" s="298"/>
      <c r="F2576" s="298" t="s">
        <v>8588</v>
      </c>
      <c r="G2576" s="299" t="b">
        <v>0</v>
      </c>
      <c r="H2576" s="299" t="b">
        <v>0</v>
      </c>
      <c r="J2576" s="113" t="str">
        <f t="shared" si="81"/>
        <v>982330288</v>
      </c>
      <c r="K2576" s="113" t="str">
        <f t="shared" si="82"/>
        <v>CG02661</v>
      </c>
    </row>
    <row r="2577" spans="1:11" x14ac:dyDescent="0.3">
      <c r="A2577" s="298" t="s">
        <v>8589</v>
      </c>
      <c r="B2577" s="298" t="s">
        <v>8590</v>
      </c>
      <c r="C2577" s="298" t="s">
        <v>1903</v>
      </c>
      <c r="D2577" s="298" t="s">
        <v>256</v>
      </c>
      <c r="E2577" s="298"/>
      <c r="F2577" s="298" t="s">
        <v>8591</v>
      </c>
      <c r="G2577" s="299" t="b">
        <v>0</v>
      </c>
      <c r="H2577" s="299" t="b">
        <v>0</v>
      </c>
      <c r="J2577" s="113" t="str">
        <f t="shared" si="81"/>
        <v>961333333</v>
      </c>
      <c r="K2577" s="113" t="str">
        <f t="shared" si="82"/>
        <v>CG02662</v>
      </c>
    </row>
    <row r="2578" spans="1:11" x14ac:dyDescent="0.3">
      <c r="A2578" s="298" t="s">
        <v>8592</v>
      </c>
      <c r="B2578" s="298" t="s">
        <v>8593</v>
      </c>
      <c r="C2578" s="298" t="s">
        <v>693</v>
      </c>
      <c r="D2578" s="298" t="s">
        <v>256</v>
      </c>
      <c r="E2578" s="298"/>
      <c r="F2578" s="298" t="s">
        <v>8594</v>
      </c>
      <c r="G2578" s="299" t="b">
        <v>0</v>
      </c>
      <c r="H2578" s="299" t="b">
        <v>0</v>
      </c>
      <c r="J2578" s="113" t="str">
        <f t="shared" si="81"/>
        <v>367403999</v>
      </c>
      <c r="K2578" s="113" t="str">
        <f t="shared" si="82"/>
        <v>CG02663</v>
      </c>
    </row>
    <row r="2579" spans="1:11" x14ac:dyDescent="0.3">
      <c r="A2579" s="298" t="s">
        <v>8595</v>
      </c>
      <c r="B2579" s="298" t="s">
        <v>8596</v>
      </c>
      <c r="C2579" s="298" t="s">
        <v>2650</v>
      </c>
      <c r="D2579" s="298" t="s">
        <v>256</v>
      </c>
      <c r="E2579" s="298" t="s">
        <v>8597</v>
      </c>
      <c r="F2579" s="298" t="s">
        <v>8598</v>
      </c>
      <c r="G2579" s="299" t="b">
        <v>0</v>
      </c>
      <c r="H2579" s="299" t="b">
        <v>0</v>
      </c>
      <c r="J2579" s="113" t="str">
        <f t="shared" si="81"/>
        <v>904041405</v>
      </c>
      <c r="K2579" s="113" t="str">
        <f t="shared" si="82"/>
        <v>CG02664</v>
      </c>
    </row>
    <row r="2580" spans="1:11" x14ac:dyDescent="0.3">
      <c r="A2580" s="298" t="s">
        <v>8599</v>
      </c>
      <c r="B2580" s="298" t="s">
        <v>8600</v>
      </c>
      <c r="C2580" s="298" t="s">
        <v>4901</v>
      </c>
      <c r="D2580" s="298" t="s">
        <v>256</v>
      </c>
      <c r="E2580" s="298"/>
      <c r="F2580" s="298" t="s">
        <v>8601</v>
      </c>
      <c r="G2580" s="299" t="b">
        <v>0</v>
      </c>
      <c r="H2580" s="299" t="b">
        <v>0</v>
      </c>
      <c r="J2580" s="113" t="str">
        <f t="shared" si="81"/>
        <v>903456059</v>
      </c>
      <c r="K2580" s="113" t="str">
        <f t="shared" si="82"/>
        <v>CG02665</v>
      </c>
    </row>
    <row r="2581" spans="1:11" x14ac:dyDescent="0.3">
      <c r="A2581" s="298" t="s">
        <v>8602</v>
      </c>
      <c r="B2581" s="298" t="s">
        <v>8603</v>
      </c>
      <c r="C2581" s="298" t="s">
        <v>416</v>
      </c>
      <c r="D2581" s="298" t="s">
        <v>256</v>
      </c>
      <c r="E2581" s="298"/>
      <c r="F2581" s="298" t="s">
        <v>8604</v>
      </c>
      <c r="G2581" s="299" t="b">
        <v>0</v>
      </c>
      <c r="H2581" s="299" t="b">
        <v>0</v>
      </c>
      <c r="J2581" s="113" t="str">
        <f t="shared" si="81"/>
        <v>978589666</v>
      </c>
      <c r="K2581" s="113" t="str">
        <f t="shared" si="82"/>
        <v>CG02666</v>
      </c>
    </row>
    <row r="2582" spans="1:11" x14ac:dyDescent="0.3">
      <c r="A2582" s="298" t="s">
        <v>8605</v>
      </c>
      <c r="B2582" s="298" t="s">
        <v>8606</v>
      </c>
      <c r="C2582" s="298" t="s">
        <v>1776</v>
      </c>
      <c r="D2582" s="298" t="s">
        <v>256</v>
      </c>
      <c r="E2582" s="298"/>
      <c r="F2582" s="298" t="s">
        <v>8607</v>
      </c>
      <c r="G2582" s="299" t="b">
        <v>0</v>
      </c>
      <c r="H2582" s="299" t="b">
        <v>0</v>
      </c>
      <c r="J2582" s="113" t="str">
        <f t="shared" si="81"/>
        <v>906072114</v>
      </c>
      <c r="K2582" s="113" t="str">
        <f t="shared" si="82"/>
        <v>CG02667</v>
      </c>
    </row>
    <row r="2583" spans="1:11" x14ac:dyDescent="0.3">
      <c r="A2583" s="298" t="s">
        <v>8608</v>
      </c>
      <c r="B2583" s="298" t="s">
        <v>8609</v>
      </c>
      <c r="C2583" s="298" t="s">
        <v>231</v>
      </c>
      <c r="D2583" s="298" t="s">
        <v>256</v>
      </c>
      <c r="E2583" s="298"/>
      <c r="F2583" s="298" t="s">
        <v>8610</v>
      </c>
      <c r="G2583" s="299" t="b">
        <v>0</v>
      </c>
      <c r="H2583" s="299" t="b">
        <v>0</v>
      </c>
      <c r="J2583" s="113" t="str">
        <f t="shared" si="81"/>
        <v>394305790</v>
      </c>
      <c r="K2583" s="113" t="str">
        <f t="shared" si="82"/>
        <v>CG02668</v>
      </c>
    </row>
    <row r="2584" spans="1:11" x14ac:dyDescent="0.3">
      <c r="A2584" s="298" t="s">
        <v>8611</v>
      </c>
      <c r="B2584" s="298" t="s">
        <v>8612</v>
      </c>
      <c r="C2584" s="298" t="s">
        <v>1873</v>
      </c>
      <c r="D2584" s="298" t="s">
        <v>256</v>
      </c>
      <c r="E2584" s="298"/>
      <c r="F2584" s="298" t="s">
        <v>8613</v>
      </c>
      <c r="G2584" s="299" t="b">
        <v>0</v>
      </c>
      <c r="H2584" s="299" t="b">
        <v>0</v>
      </c>
      <c r="J2584" s="113" t="str">
        <f t="shared" si="81"/>
        <v>965083395</v>
      </c>
      <c r="K2584" s="113" t="str">
        <f t="shared" si="82"/>
        <v>CG02669</v>
      </c>
    </row>
    <row r="2585" spans="1:11" x14ac:dyDescent="0.3">
      <c r="A2585" s="298" t="s">
        <v>8614</v>
      </c>
      <c r="B2585" s="298" t="s">
        <v>8615</v>
      </c>
      <c r="C2585" s="298" t="s">
        <v>6181</v>
      </c>
      <c r="D2585" s="298" t="s">
        <v>256</v>
      </c>
      <c r="E2585" s="298" t="s">
        <v>8108</v>
      </c>
      <c r="F2585" s="298" t="s">
        <v>8616</v>
      </c>
      <c r="G2585" s="299" t="b">
        <v>0</v>
      </c>
      <c r="H2585" s="299" t="b">
        <v>0</v>
      </c>
      <c r="J2585" s="113" t="str">
        <f t="shared" si="81"/>
        <v>300307268</v>
      </c>
      <c r="K2585" s="113" t="str">
        <f t="shared" si="82"/>
        <v>CG02670</v>
      </c>
    </row>
    <row r="2586" spans="1:11" x14ac:dyDescent="0.3">
      <c r="A2586" s="298" t="s">
        <v>8617</v>
      </c>
      <c r="B2586" s="298" t="s">
        <v>8618</v>
      </c>
      <c r="C2586" s="298" t="s">
        <v>1257</v>
      </c>
      <c r="D2586" s="298" t="s">
        <v>256</v>
      </c>
      <c r="E2586" s="298"/>
      <c r="F2586" s="298" t="s">
        <v>8619</v>
      </c>
      <c r="G2586" s="299" t="b">
        <v>0</v>
      </c>
      <c r="H2586" s="299" t="b">
        <v>0</v>
      </c>
      <c r="J2586" s="113" t="str">
        <f t="shared" si="81"/>
        <v>966206668</v>
      </c>
      <c r="K2586" s="113" t="str">
        <f t="shared" si="82"/>
        <v>CG02671</v>
      </c>
    </row>
    <row r="2587" spans="1:11" x14ac:dyDescent="0.3">
      <c r="A2587" s="298" t="s">
        <v>8620</v>
      </c>
      <c r="B2587" s="298" t="s">
        <v>8621</v>
      </c>
      <c r="C2587" s="298" t="s">
        <v>1727</v>
      </c>
      <c r="D2587" s="298" t="s">
        <v>256</v>
      </c>
      <c r="E2587" s="298"/>
      <c r="F2587" s="298" t="s">
        <v>8622</v>
      </c>
      <c r="G2587" s="299" t="b">
        <v>0</v>
      </c>
      <c r="H2587" s="299" t="b">
        <v>0</v>
      </c>
      <c r="J2587" s="113" t="str">
        <f t="shared" si="81"/>
        <v>904186086</v>
      </c>
      <c r="K2587" s="113" t="str">
        <f t="shared" si="82"/>
        <v>CG02672</v>
      </c>
    </row>
    <row r="2588" spans="1:11" x14ac:dyDescent="0.3">
      <c r="A2588" s="298" t="s">
        <v>8623</v>
      </c>
      <c r="B2588" s="298" t="s">
        <v>8624</v>
      </c>
      <c r="C2588" s="298" t="s">
        <v>8625</v>
      </c>
      <c r="D2588" s="298" t="s">
        <v>256</v>
      </c>
      <c r="E2588" s="298" t="s">
        <v>8626</v>
      </c>
      <c r="F2588" s="298" t="s">
        <v>8627</v>
      </c>
      <c r="G2588" s="299" t="b">
        <v>0</v>
      </c>
      <c r="H2588" s="299" t="b">
        <v>0</v>
      </c>
      <c r="J2588" s="113" t="str">
        <f t="shared" si="81"/>
        <v>989803309</v>
      </c>
      <c r="K2588" s="113" t="str">
        <f t="shared" si="82"/>
        <v>CG02673</v>
      </c>
    </row>
    <row r="2589" spans="1:11" x14ac:dyDescent="0.3">
      <c r="A2589" s="298" t="s">
        <v>8628</v>
      </c>
      <c r="B2589" s="298" t="s">
        <v>8629</v>
      </c>
      <c r="C2589" s="298" t="s">
        <v>3037</v>
      </c>
      <c r="D2589" s="298" t="s">
        <v>256</v>
      </c>
      <c r="E2589" s="298"/>
      <c r="F2589" s="298" t="s">
        <v>8630</v>
      </c>
      <c r="G2589" s="299" t="b">
        <v>0</v>
      </c>
      <c r="H2589" s="299" t="b">
        <v>0</v>
      </c>
      <c r="J2589" s="113" t="str">
        <f t="shared" si="81"/>
        <v>389109206</v>
      </c>
      <c r="K2589" s="113" t="str">
        <f t="shared" si="82"/>
        <v>CG02674</v>
      </c>
    </row>
    <row r="2590" spans="1:11" x14ac:dyDescent="0.3">
      <c r="A2590" s="298" t="s">
        <v>8631</v>
      </c>
      <c r="B2590" s="298" t="s">
        <v>14685</v>
      </c>
      <c r="C2590" s="298" t="s">
        <v>1873</v>
      </c>
      <c r="D2590" s="298" t="s">
        <v>256</v>
      </c>
      <c r="E2590" s="298"/>
      <c r="F2590" s="298" t="s">
        <v>8632</v>
      </c>
      <c r="G2590" s="299" t="b">
        <v>0</v>
      </c>
      <c r="H2590" s="299" t="b">
        <v>0</v>
      </c>
      <c r="J2590" s="113" t="str">
        <f t="shared" si="81"/>
        <v>971235384</v>
      </c>
      <c r="K2590" s="113" t="str">
        <f t="shared" si="82"/>
        <v>CG02675</v>
      </c>
    </row>
    <row r="2591" spans="1:11" x14ac:dyDescent="0.3">
      <c r="A2591" s="298" t="s">
        <v>8633</v>
      </c>
      <c r="B2591" s="298" t="s">
        <v>8634</v>
      </c>
      <c r="C2591" s="298" t="s">
        <v>541</v>
      </c>
      <c r="D2591" s="298" t="s">
        <v>256</v>
      </c>
      <c r="E2591" s="298"/>
      <c r="F2591" s="298" t="s">
        <v>8635</v>
      </c>
      <c r="G2591" s="299" t="b">
        <v>0</v>
      </c>
      <c r="H2591" s="299" t="b">
        <v>0</v>
      </c>
      <c r="J2591" s="113" t="str">
        <f t="shared" si="81"/>
        <v>982993411</v>
      </c>
      <c r="K2591" s="113" t="str">
        <f t="shared" si="82"/>
        <v>CG02676</v>
      </c>
    </row>
    <row r="2592" spans="1:11" x14ac:dyDescent="0.3">
      <c r="A2592" s="298" t="s">
        <v>8636</v>
      </c>
      <c r="B2592" s="298" t="s">
        <v>8637</v>
      </c>
      <c r="C2592" s="298" t="s">
        <v>8638</v>
      </c>
      <c r="D2592" s="298" t="s">
        <v>256</v>
      </c>
      <c r="E2592" s="298" t="s">
        <v>8639</v>
      </c>
      <c r="F2592" s="298" t="s">
        <v>8640</v>
      </c>
      <c r="G2592" s="299" t="b">
        <v>0</v>
      </c>
      <c r="H2592" s="299" t="b">
        <v>0</v>
      </c>
      <c r="J2592" s="113" t="str">
        <f t="shared" si="81"/>
        <v>904001477</v>
      </c>
      <c r="K2592" s="113" t="str">
        <f t="shared" si="82"/>
        <v>CG02677</v>
      </c>
    </row>
    <row r="2593" spans="1:11" x14ac:dyDescent="0.3">
      <c r="A2593" s="298" t="s">
        <v>8641</v>
      </c>
      <c r="B2593" s="298" t="s">
        <v>8642</v>
      </c>
      <c r="C2593" s="298" t="s">
        <v>8643</v>
      </c>
      <c r="D2593" s="298" t="s">
        <v>256</v>
      </c>
      <c r="E2593" s="298"/>
      <c r="F2593" s="298" t="s">
        <v>8644</v>
      </c>
      <c r="G2593" s="299" t="b">
        <v>0</v>
      </c>
      <c r="H2593" s="299" t="b">
        <v>0</v>
      </c>
      <c r="J2593" s="113" t="str">
        <f t="shared" si="81"/>
        <v>376397874</v>
      </c>
      <c r="K2593" s="113" t="str">
        <f t="shared" si="82"/>
        <v>CG02678</v>
      </c>
    </row>
    <row r="2594" spans="1:11" x14ac:dyDescent="0.3">
      <c r="A2594" s="298" t="s">
        <v>8645</v>
      </c>
      <c r="B2594" s="298" t="s">
        <v>8646</v>
      </c>
      <c r="C2594" s="298" t="s">
        <v>8647</v>
      </c>
      <c r="D2594" s="298" t="s">
        <v>256</v>
      </c>
      <c r="E2594" s="298"/>
      <c r="F2594" s="298" t="s">
        <v>8648</v>
      </c>
      <c r="G2594" s="299" t="b">
        <v>0</v>
      </c>
      <c r="H2594" s="299" t="b">
        <v>0</v>
      </c>
      <c r="J2594" s="113" t="str">
        <f t="shared" si="81"/>
        <v>978453838</v>
      </c>
      <c r="K2594" s="113" t="str">
        <f t="shared" si="82"/>
        <v>CG02679</v>
      </c>
    </row>
    <row r="2595" spans="1:11" x14ac:dyDescent="0.3">
      <c r="A2595" s="298" t="s">
        <v>8649</v>
      </c>
      <c r="B2595" s="298" t="s">
        <v>8650</v>
      </c>
      <c r="C2595" s="298" t="s">
        <v>495</v>
      </c>
      <c r="D2595" s="298" t="s">
        <v>256</v>
      </c>
      <c r="E2595" s="298"/>
      <c r="F2595" s="298" t="s">
        <v>8651</v>
      </c>
      <c r="G2595" s="299" t="b">
        <v>0</v>
      </c>
      <c r="H2595" s="299" t="b">
        <v>0</v>
      </c>
      <c r="J2595" s="113" t="str">
        <f t="shared" si="81"/>
        <v>963624027</v>
      </c>
      <c r="K2595" s="113" t="str">
        <f t="shared" si="82"/>
        <v>CG02680</v>
      </c>
    </row>
    <row r="2596" spans="1:11" x14ac:dyDescent="0.3">
      <c r="A2596" s="298" t="s">
        <v>8652</v>
      </c>
      <c r="B2596" s="298" t="s">
        <v>8653</v>
      </c>
      <c r="C2596" s="298" t="s">
        <v>8654</v>
      </c>
      <c r="D2596" s="298" t="s">
        <v>256</v>
      </c>
      <c r="E2596" s="298"/>
      <c r="F2596" s="298" t="s">
        <v>8655</v>
      </c>
      <c r="G2596" s="299" t="b">
        <v>0</v>
      </c>
      <c r="H2596" s="299" t="b">
        <v>0</v>
      </c>
      <c r="J2596" s="113" t="str">
        <f t="shared" si="81"/>
        <v>975189023</v>
      </c>
      <c r="K2596" s="113" t="str">
        <f t="shared" si="82"/>
        <v>CG02681</v>
      </c>
    </row>
    <row r="2597" spans="1:11" x14ac:dyDescent="0.3">
      <c r="A2597" s="298" t="s">
        <v>8656</v>
      </c>
      <c r="B2597" s="298" t="s">
        <v>8657</v>
      </c>
      <c r="C2597" s="298" t="s">
        <v>3230</v>
      </c>
      <c r="D2597" s="298" t="s">
        <v>256</v>
      </c>
      <c r="E2597" s="298"/>
      <c r="F2597" s="298" t="s">
        <v>8658</v>
      </c>
      <c r="G2597" s="299" t="b">
        <v>0</v>
      </c>
      <c r="H2597" s="299" t="b">
        <v>0</v>
      </c>
      <c r="J2597" s="113" t="str">
        <f t="shared" si="81"/>
        <v>913368456</v>
      </c>
      <c r="K2597" s="113" t="str">
        <f t="shared" si="82"/>
        <v>CG02682</v>
      </c>
    </row>
    <row r="2598" spans="1:11" x14ac:dyDescent="0.3">
      <c r="A2598" s="298" t="s">
        <v>8659</v>
      </c>
      <c r="B2598" s="298" t="s">
        <v>8660</v>
      </c>
      <c r="C2598" s="298" t="s">
        <v>1237</v>
      </c>
      <c r="D2598" s="298" t="s">
        <v>256</v>
      </c>
      <c r="E2598" s="298"/>
      <c r="F2598" s="298" t="s">
        <v>8661</v>
      </c>
      <c r="G2598" s="299" t="b">
        <v>0</v>
      </c>
      <c r="H2598" s="299" t="b">
        <v>0</v>
      </c>
      <c r="J2598" s="113" t="str">
        <f t="shared" si="81"/>
        <v>981151499</v>
      </c>
      <c r="K2598" s="113" t="str">
        <f t="shared" si="82"/>
        <v>CG02683</v>
      </c>
    </row>
    <row r="2599" spans="1:11" x14ac:dyDescent="0.3">
      <c r="A2599" s="298" t="s">
        <v>8662</v>
      </c>
      <c r="B2599" s="298" t="s">
        <v>8663</v>
      </c>
      <c r="C2599" s="298" t="s">
        <v>609</v>
      </c>
      <c r="D2599" s="298" t="s">
        <v>256</v>
      </c>
      <c r="E2599" s="298"/>
      <c r="F2599" s="298" t="s">
        <v>8664</v>
      </c>
      <c r="G2599" s="299" t="b">
        <v>0</v>
      </c>
      <c r="H2599" s="299" t="b">
        <v>0</v>
      </c>
      <c r="J2599" s="113" t="str">
        <f t="shared" si="81"/>
        <v>977401402</v>
      </c>
      <c r="K2599" s="113" t="str">
        <f t="shared" si="82"/>
        <v>CG02684</v>
      </c>
    </row>
    <row r="2600" spans="1:11" x14ac:dyDescent="0.3">
      <c r="A2600" s="298" t="s">
        <v>8665</v>
      </c>
      <c r="B2600" s="298" t="s">
        <v>8666</v>
      </c>
      <c r="C2600" s="298" t="s">
        <v>8667</v>
      </c>
      <c r="D2600" s="298" t="s">
        <v>256</v>
      </c>
      <c r="E2600" s="298"/>
      <c r="F2600" s="298" t="s">
        <v>8668</v>
      </c>
      <c r="G2600" s="299" t="b">
        <v>0</v>
      </c>
      <c r="H2600" s="299" t="b">
        <v>0</v>
      </c>
      <c r="J2600" s="113" t="str">
        <f t="shared" si="81"/>
        <v>981959288</v>
      </c>
      <c r="K2600" s="113" t="str">
        <f t="shared" si="82"/>
        <v>CG02685</v>
      </c>
    </row>
    <row r="2601" spans="1:11" x14ac:dyDescent="0.3">
      <c r="A2601" s="298" t="s">
        <v>8669</v>
      </c>
      <c r="B2601" s="298" t="s">
        <v>8670</v>
      </c>
      <c r="C2601" s="298" t="s">
        <v>416</v>
      </c>
      <c r="D2601" s="298" t="s">
        <v>256</v>
      </c>
      <c r="E2601" s="298"/>
      <c r="F2601" s="298" t="s">
        <v>8671</v>
      </c>
      <c r="G2601" s="299" t="b">
        <v>0</v>
      </c>
      <c r="H2601" s="299" t="b">
        <v>0</v>
      </c>
      <c r="J2601" s="113" t="str">
        <f t="shared" si="81"/>
        <v>983379995</v>
      </c>
      <c r="K2601" s="113" t="str">
        <f t="shared" si="82"/>
        <v>CG02686</v>
      </c>
    </row>
    <row r="2602" spans="1:11" x14ac:dyDescent="0.3">
      <c r="A2602" s="298" t="s">
        <v>8672</v>
      </c>
      <c r="B2602" s="298" t="s">
        <v>8673</v>
      </c>
      <c r="C2602" s="298" t="s">
        <v>8674</v>
      </c>
      <c r="D2602" s="298" t="s">
        <v>256</v>
      </c>
      <c r="E2602" s="298"/>
      <c r="F2602" s="298" t="s">
        <v>8675</v>
      </c>
      <c r="G2602" s="299" t="b">
        <v>0</v>
      </c>
      <c r="H2602" s="299" t="b">
        <v>0</v>
      </c>
      <c r="J2602" s="113" t="str">
        <f t="shared" si="81"/>
        <v>435373699</v>
      </c>
      <c r="K2602" s="113" t="str">
        <f t="shared" si="82"/>
        <v>CG02687</v>
      </c>
    </row>
    <row r="2603" spans="1:11" x14ac:dyDescent="0.3">
      <c r="A2603" s="298" t="s">
        <v>8676</v>
      </c>
      <c r="B2603" s="298" t="s">
        <v>8677</v>
      </c>
      <c r="C2603" s="298" t="s">
        <v>6924</v>
      </c>
      <c r="D2603" s="298" t="s">
        <v>256</v>
      </c>
      <c r="E2603" s="298"/>
      <c r="F2603" s="298" t="s">
        <v>8678</v>
      </c>
      <c r="G2603" s="299" t="b">
        <v>0</v>
      </c>
      <c r="H2603" s="299" t="b">
        <v>0</v>
      </c>
      <c r="J2603" s="113" t="str">
        <f t="shared" si="81"/>
        <v>966072222</v>
      </c>
      <c r="K2603" s="113" t="str">
        <f t="shared" si="82"/>
        <v>CG02688</v>
      </c>
    </row>
    <row r="2604" spans="1:11" x14ac:dyDescent="0.3">
      <c r="A2604" s="298" t="s">
        <v>8679</v>
      </c>
      <c r="B2604" s="298" t="s">
        <v>8680</v>
      </c>
      <c r="C2604" s="298" t="s">
        <v>7400</v>
      </c>
      <c r="D2604" s="298" t="s">
        <v>256</v>
      </c>
      <c r="E2604" s="298"/>
      <c r="F2604" s="298" t="s">
        <v>8681</v>
      </c>
      <c r="G2604" s="299" t="b">
        <v>0</v>
      </c>
      <c r="H2604" s="299" t="b">
        <v>0</v>
      </c>
      <c r="J2604" s="113" t="str">
        <f t="shared" si="81"/>
        <v>964056133</v>
      </c>
      <c r="K2604" s="113" t="str">
        <f t="shared" si="82"/>
        <v>CG02689</v>
      </c>
    </row>
    <row r="2605" spans="1:11" x14ac:dyDescent="0.3">
      <c r="A2605" s="298" t="s">
        <v>8682</v>
      </c>
      <c r="B2605" s="298" t="s">
        <v>8683</v>
      </c>
      <c r="C2605" s="298" t="s">
        <v>1335</v>
      </c>
      <c r="D2605" s="298" t="s">
        <v>256</v>
      </c>
      <c r="E2605" s="298"/>
      <c r="F2605" s="298" t="s">
        <v>8684</v>
      </c>
      <c r="G2605" s="299" t="b">
        <v>0</v>
      </c>
      <c r="H2605" s="299" t="b">
        <v>0</v>
      </c>
      <c r="J2605" s="113" t="str">
        <f t="shared" si="81"/>
        <v>865412037</v>
      </c>
      <c r="K2605" s="113" t="str">
        <f t="shared" si="82"/>
        <v>CG02690</v>
      </c>
    </row>
    <row r="2606" spans="1:11" x14ac:dyDescent="0.3">
      <c r="A2606" s="298" t="s">
        <v>8685</v>
      </c>
      <c r="B2606" s="298" t="s">
        <v>8686</v>
      </c>
      <c r="C2606" s="298" t="s">
        <v>8647</v>
      </c>
      <c r="D2606" s="298" t="s">
        <v>256</v>
      </c>
      <c r="E2606" s="298" t="s">
        <v>8687</v>
      </c>
      <c r="F2606" s="298" t="s">
        <v>8688</v>
      </c>
      <c r="G2606" s="299" t="b">
        <v>0</v>
      </c>
      <c r="H2606" s="299" t="b">
        <v>0</v>
      </c>
      <c r="J2606" s="113" t="str">
        <f t="shared" si="81"/>
        <v>001070717</v>
      </c>
      <c r="K2606" s="113" t="str">
        <f t="shared" si="82"/>
        <v>CG02691</v>
      </c>
    </row>
    <row r="2607" spans="1:11" x14ac:dyDescent="0.3">
      <c r="A2607" s="298" t="s">
        <v>8689</v>
      </c>
      <c r="B2607" s="298" t="s">
        <v>8690</v>
      </c>
      <c r="C2607" s="298" t="s">
        <v>6164</v>
      </c>
      <c r="D2607" s="298" t="s">
        <v>256</v>
      </c>
      <c r="E2607" s="298"/>
      <c r="F2607" s="298" t="s">
        <v>8691</v>
      </c>
      <c r="G2607" s="299" t="b">
        <v>0</v>
      </c>
      <c r="H2607" s="299" t="b">
        <v>0</v>
      </c>
      <c r="J2607" s="113" t="str">
        <f t="shared" si="81"/>
        <v>985903229</v>
      </c>
      <c r="K2607" s="113" t="str">
        <f t="shared" si="82"/>
        <v>CG02692</v>
      </c>
    </row>
    <row r="2608" spans="1:11" x14ac:dyDescent="0.3">
      <c r="A2608" s="298" t="s">
        <v>8692</v>
      </c>
      <c r="B2608" s="298" t="s">
        <v>8693</v>
      </c>
      <c r="C2608" s="298" t="s">
        <v>8694</v>
      </c>
      <c r="D2608" s="298" t="s">
        <v>256</v>
      </c>
      <c r="E2608" s="298"/>
      <c r="F2608" s="298" t="s">
        <v>8695</v>
      </c>
      <c r="G2608" s="299" t="b">
        <v>0</v>
      </c>
      <c r="H2608" s="299" t="b">
        <v>0</v>
      </c>
      <c r="J2608" s="113" t="str">
        <f t="shared" si="81"/>
        <v>913324501</v>
      </c>
      <c r="K2608" s="113" t="str">
        <f t="shared" si="82"/>
        <v>CG02693</v>
      </c>
    </row>
    <row r="2609" spans="1:11" x14ac:dyDescent="0.3">
      <c r="A2609" s="298" t="s">
        <v>8696</v>
      </c>
      <c r="B2609" s="298" t="s">
        <v>8697</v>
      </c>
      <c r="C2609" s="298" t="s">
        <v>1196</v>
      </c>
      <c r="D2609" s="298" t="s">
        <v>256</v>
      </c>
      <c r="E2609" s="298"/>
      <c r="F2609" s="298"/>
      <c r="G2609" s="299" t="b">
        <v>0</v>
      </c>
      <c r="H2609" s="299" t="b">
        <v>0</v>
      </c>
      <c r="J2609" s="113" t="str">
        <f t="shared" si="81"/>
        <v>963909757</v>
      </c>
      <c r="K2609" s="113" t="str">
        <f t="shared" si="82"/>
        <v>CG02694</v>
      </c>
    </row>
    <row r="2610" spans="1:11" x14ac:dyDescent="0.3">
      <c r="A2610" s="298" t="s">
        <v>8698</v>
      </c>
      <c r="B2610" s="298" t="s">
        <v>8699</v>
      </c>
      <c r="C2610" s="298" t="s">
        <v>8700</v>
      </c>
      <c r="D2610" s="298" t="s">
        <v>256</v>
      </c>
      <c r="E2610" s="298"/>
      <c r="F2610" s="298"/>
      <c r="G2610" s="299" t="b">
        <v>0</v>
      </c>
      <c r="H2610" s="299" t="b">
        <v>0</v>
      </c>
      <c r="J2610" s="113" t="str">
        <f t="shared" si="81"/>
        <v>942769988</v>
      </c>
      <c r="K2610" s="113" t="str">
        <f t="shared" si="82"/>
        <v>CG02695</v>
      </c>
    </row>
    <row r="2611" spans="1:11" x14ac:dyDescent="0.3">
      <c r="A2611" s="298" t="s">
        <v>8701</v>
      </c>
      <c r="B2611" s="298" t="s">
        <v>8702</v>
      </c>
      <c r="C2611" s="298" t="s">
        <v>1776</v>
      </c>
      <c r="D2611" s="298" t="s">
        <v>256</v>
      </c>
      <c r="E2611" s="298"/>
      <c r="F2611" s="298"/>
      <c r="G2611" s="299" t="b">
        <v>0</v>
      </c>
      <c r="H2611" s="299" t="b">
        <v>0</v>
      </c>
      <c r="J2611" s="113" t="str">
        <f t="shared" si="81"/>
        <v>972346978</v>
      </c>
      <c r="K2611" s="113" t="str">
        <f t="shared" si="82"/>
        <v>CG02696</v>
      </c>
    </row>
    <row r="2612" spans="1:11" x14ac:dyDescent="0.3">
      <c r="A2612" s="298" t="s">
        <v>8703</v>
      </c>
      <c r="B2612" s="298" t="s">
        <v>8704</v>
      </c>
      <c r="C2612" s="298" t="s">
        <v>1508</v>
      </c>
      <c r="D2612" s="298" t="s">
        <v>256</v>
      </c>
      <c r="E2612" s="298"/>
      <c r="F2612" s="298"/>
      <c r="G2612" s="299" t="b">
        <v>0</v>
      </c>
      <c r="H2612" s="299" t="b">
        <v>0</v>
      </c>
      <c r="J2612" s="113" t="str">
        <f t="shared" si="81"/>
        <v>986903455</v>
      </c>
      <c r="K2612" s="113" t="str">
        <f t="shared" si="82"/>
        <v>CG02697</v>
      </c>
    </row>
    <row r="2613" spans="1:11" x14ac:dyDescent="0.3">
      <c r="A2613" s="298" t="s">
        <v>8705</v>
      </c>
      <c r="B2613" s="298" t="s">
        <v>8706</v>
      </c>
      <c r="C2613" s="298" t="s">
        <v>8403</v>
      </c>
      <c r="D2613" s="298" t="s">
        <v>256</v>
      </c>
      <c r="E2613" s="298"/>
      <c r="F2613" s="298" t="s">
        <v>8707</v>
      </c>
      <c r="G2613" s="299" t="b">
        <v>0</v>
      </c>
      <c r="H2613" s="299" t="b">
        <v>0</v>
      </c>
      <c r="J2613" s="113" t="str">
        <f t="shared" si="81"/>
        <v>981817579</v>
      </c>
      <c r="K2613" s="113" t="str">
        <f t="shared" si="82"/>
        <v>CG02698</v>
      </c>
    </row>
    <row r="2614" spans="1:11" x14ac:dyDescent="0.3">
      <c r="A2614" s="298" t="s">
        <v>8708</v>
      </c>
      <c r="B2614" s="298" t="s">
        <v>8709</v>
      </c>
      <c r="C2614" s="298" t="s">
        <v>506</v>
      </c>
      <c r="D2614" s="298" t="s">
        <v>256</v>
      </c>
      <c r="E2614" s="298"/>
      <c r="F2614" s="298" t="s">
        <v>8710</v>
      </c>
      <c r="G2614" s="299" t="b">
        <v>0</v>
      </c>
      <c r="H2614" s="299" t="b">
        <v>0</v>
      </c>
      <c r="J2614" s="113" t="str">
        <f t="shared" si="81"/>
        <v>946790791</v>
      </c>
      <c r="K2614" s="113" t="str">
        <f t="shared" si="82"/>
        <v>CG02699</v>
      </c>
    </row>
    <row r="2615" spans="1:11" x14ac:dyDescent="0.3">
      <c r="A2615" s="298" t="s">
        <v>8711</v>
      </c>
      <c r="B2615" s="298" t="s">
        <v>8712</v>
      </c>
      <c r="C2615" s="298" t="s">
        <v>289</v>
      </c>
      <c r="D2615" s="298" t="s">
        <v>256</v>
      </c>
      <c r="E2615" s="298"/>
      <c r="F2615" s="298"/>
      <c r="G2615" s="299" t="b">
        <v>0</v>
      </c>
      <c r="H2615" s="299" t="b">
        <v>0</v>
      </c>
      <c r="J2615" s="113" t="str">
        <f t="shared" si="81"/>
        <v>989446555</v>
      </c>
      <c r="K2615" s="113" t="str">
        <f t="shared" si="82"/>
        <v>CG02700</v>
      </c>
    </row>
    <row r="2616" spans="1:11" x14ac:dyDescent="0.3">
      <c r="A2616" s="298" t="s">
        <v>8713</v>
      </c>
      <c r="B2616" s="298" t="s">
        <v>8714</v>
      </c>
      <c r="C2616" s="298" t="s">
        <v>416</v>
      </c>
      <c r="D2616" s="298" t="s">
        <v>256</v>
      </c>
      <c r="E2616" s="298"/>
      <c r="F2616" s="298"/>
      <c r="G2616" s="299" t="b">
        <v>0</v>
      </c>
      <c r="H2616" s="299" t="b">
        <v>0</v>
      </c>
      <c r="J2616" s="113" t="str">
        <f t="shared" si="81"/>
        <v>973369839</v>
      </c>
      <c r="K2616" s="113" t="str">
        <f t="shared" si="82"/>
        <v>CG02701</v>
      </c>
    </row>
    <row r="2617" spans="1:11" x14ac:dyDescent="0.3">
      <c r="A2617" s="298" t="s">
        <v>8715</v>
      </c>
      <c r="B2617" s="298" t="s">
        <v>8716</v>
      </c>
      <c r="C2617" s="298" t="s">
        <v>1247</v>
      </c>
      <c r="D2617" s="298" t="s">
        <v>256</v>
      </c>
      <c r="E2617" s="298"/>
      <c r="F2617" s="298"/>
      <c r="G2617" s="299" t="b">
        <v>0</v>
      </c>
      <c r="H2617" s="299" t="b">
        <v>0</v>
      </c>
      <c r="J2617" s="113" t="str">
        <f t="shared" si="81"/>
        <v>973097851</v>
      </c>
      <c r="K2617" s="113" t="str">
        <f t="shared" si="82"/>
        <v>CG02702</v>
      </c>
    </row>
    <row r="2618" spans="1:11" x14ac:dyDescent="0.3">
      <c r="A2618" s="298" t="s">
        <v>8717</v>
      </c>
      <c r="B2618" s="298" t="s">
        <v>8718</v>
      </c>
      <c r="C2618" s="298" t="s">
        <v>274</v>
      </c>
      <c r="D2618" s="298" t="s">
        <v>256</v>
      </c>
      <c r="E2618" s="298"/>
      <c r="F2618" s="298" t="s">
        <v>8719</v>
      </c>
      <c r="G2618" s="299" t="b">
        <v>0</v>
      </c>
      <c r="H2618" s="299" t="b">
        <v>0</v>
      </c>
      <c r="J2618" s="113" t="str">
        <f t="shared" si="81"/>
        <v>916531345</v>
      </c>
      <c r="K2618" s="113" t="str">
        <f t="shared" si="82"/>
        <v>CG02703</v>
      </c>
    </row>
    <row r="2619" spans="1:11" x14ac:dyDescent="0.3">
      <c r="A2619" s="298" t="s">
        <v>8720</v>
      </c>
      <c r="B2619" s="298" t="s">
        <v>8721</v>
      </c>
      <c r="C2619" s="298" t="s">
        <v>2654</v>
      </c>
      <c r="D2619" s="298" t="s">
        <v>256</v>
      </c>
      <c r="E2619" s="298"/>
      <c r="F2619" s="298" t="s">
        <v>8722</v>
      </c>
      <c r="G2619" s="299" t="b">
        <v>0</v>
      </c>
      <c r="H2619" s="299" t="b">
        <v>0</v>
      </c>
      <c r="J2619" s="113" t="str">
        <f t="shared" si="81"/>
        <v>982336090</v>
      </c>
      <c r="K2619" s="113" t="str">
        <f t="shared" si="82"/>
        <v>CG02704</v>
      </c>
    </row>
    <row r="2620" spans="1:11" x14ac:dyDescent="0.3">
      <c r="A2620" s="298" t="s">
        <v>8723</v>
      </c>
      <c r="B2620" s="298" t="s">
        <v>8724</v>
      </c>
      <c r="C2620" s="298" t="s">
        <v>8725</v>
      </c>
      <c r="D2620" s="298" t="s">
        <v>256</v>
      </c>
      <c r="E2620" s="298" t="s">
        <v>8726</v>
      </c>
      <c r="F2620" s="298" t="s">
        <v>8727</v>
      </c>
      <c r="G2620" s="299" t="b">
        <v>0</v>
      </c>
      <c r="H2620" s="299" t="b">
        <v>0</v>
      </c>
      <c r="J2620" s="113" t="str">
        <f t="shared" si="81"/>
        <v>974994856</v>
      </c>
      <c r="K2620" s="113" t="str">
        <f t="shared" si="82"/>
        <v>CG02705</v>
      </c>
    </row>
    <row r="2621" spans="1:11" x14ac:dyDescent="0.3">
      <c r="A2621" s="298" t="s">
        <v>8728</v>
      </c>
      <c r="B2621" s="298" t="s">
        <v>8729</v>
      </c>
      <c r="C2621" s="298" t="s">
        <v>495</v>
      </c>
      <c r="D2621" s="298" t="s">
        <v>256</v>
      </c>
      <c r="E2621" s="298"/>
      <c r="F2621" s="298"/>
      <c r="G2621" s="299" t="b">
        <v>0</v>
      </c>
      <c r="H2621" s="299" t="b">
        <v>0</v>
      </c>
      <c r="J2621" s="113" t="str">
        <f t="shared" si="81"/>
        <v>987447036</v>
      </c>
      <c r="K2621" s="113" t="str">
        <f t="shared" si="82"/>
        <v>CG02706</v>
      </c>
    </row>
    <row r="2622" spans="1:11" x14ac:dyDescent="0.3">
      <c r="A2622" s="298" t="s">
        <v>8730</v>
      </c>
      <c r="B2622" s="298" t="s">
        <v>8731</v>
      </c>
      <c r="C2622" s="298" t="s">
        <v>231</v>
      </c>
      <c r="D2622" s="298" t="s">
        <v>256</v>
      </c>
      <c r="E2622" s="298"/>
      <c r="F2622" s="298"/>
      <c r="G2622" s="299" t="b">
        <v>0</v>
      </c>
      <c r="H2622" s="299" t="b">
        <v>0</v>
      </c>
      <c r="J2622" s="113" t="str">
        <f t="shared" si="81"/>
        <v>869203955</v>
      </c>
      <c r="K2622" s="113" t="str">
        <f t="shared" si="82"/>
        <v>CG02707</v>
      </c>
    </row>
    <row r="2623" spans="1:11" x14ac:dyDescent="0.3">
      <c r="A2623" s="298" t="s">
        <v>8732</v>
      </c>
      <c r="B2623" s="298" t="s">
        <v>8733</v>
      </c>
      <c r="C2623" s="298" t="s">
        <v>8734</v>
      </c>
      <c r="D2623" s="298" t="s">
        <v>256</v>
      </c>
      <c r="E2623" s="298"/>
      <c r="F2623" s="298"/>
      <c r="G2623" s="299" t="b">
        <v>0</v>
      </c>
      <c r="H2623" s="299" t="b">
        <v>0</v>
      </c>
      <c r="J2623" s="113" t="str">
        <f t="shared" si="81"/>
        <v>983393975</v>
      </c>
      <c r="K2623" s="113" t="str">
        <f t="shared" si="82"/>
        <v>CG02708</v>
      </c>
    </row>
    <row r="2624" spans="1:11" x14ac:dyDescent="0.3">
      <c r="A2624" s="298" t="s">
        <v>8735</v>
      </c>
      <c r="B2624" s="298" t="s">
        <v>8736</v>
      </c>
      <c r="C2624" s="298" t="s">
        <v>8737</v>
      </c>
      <c r="D2624" s="298" t="s">
        <v>256</v>
      </c>
      <c r="E2624" s="298"/>
      <c r="F2624" s="298"/>
      <c r="G2624" s="299" t="b">
        <v>0</v>
      </c>
      <c r="H2624" s="299" t="b">
        <v>0</v>
      </c>
      <c r="J2624" s="113" t="str">
        <f t="shared" si="81"/>
        <v>979304935</v>
      </c>
      <c r="K2624" s="113" t="str">
        <f t="shared" si="82"/>
        <v>CG02709</v>
      </c>
    </row>
    <row r="2625" spans="1:11" x14ac:dyDescent="0.3">
      <c r="A2625" s="298" t="s">
        <v>8738</v>
      </c>
      <c r="B2625" s="298" t="s">
        <v>8739</v>
      </c>
      <c r="C2625" s="298" t="s">
        <v>8700</v>
      </c>
      <c r="D2625" s="298" t="s">
        <v>256</v>
      </c>
      <c r="E2625" s="298"/>
      <c r="F2625" s="298"/>
      <c r="G2625" s="299" t="b">
        <v>0</v>
      </c>
      <c r="H2625" s="299" t="b">
        <v>0</v>
      </c>
      <c r="J2625" s="113" t="str">
        <f t="shared" si="81"/>
        <v>917356018</v>
      </c>
      <c r="K2625" s="113" t="str">
        <f t="shared" si="82"/>
        <v>CG02710</v>
      </c>
    </row>
    <row r="2626" spans="1:11" x14ac:dyDescent="0.3">
      <c r="A2626" s="298" t="s">
        <v>8740</v>
      </c>
      <c r="B2626" s="298" t="s">
        <v>8741</v>
      </c>
      <c r="C2626" s="298" t="s">
        <v>8742</v>
      </c>
      <c r="D2626" s="298" t="s">
        <v>256</v>
      </c>
      <c r="E2626" s="298"/>
      <c r="F2626" s="298" t="s">
        <v>8743</v>
      </c>
      <c r="G2626" s="299" t="b">
        <v>0</v>
      </c>
      <c r="H2626" s="299" t="b">
        <v>0</v>
      </c>
      <c r="J2626" s="113" t="str">
        <f t="shared" si="81"/>
        <v>982538655</v>
      </c>
      <c r="K2626" s="113" t="str">
        <f t="shared" si="82"/>
        <v>CG02711</v>
      </c>
    </row>
    <row r="2627" spans="1:11" x14ac:dyDescent="0.3">
      <c r="A2627" s="298" t="s">
        <v>8744</v>
      </c>
      <c r="B2627" s="298" t="s">
        <v>8745</v>
      </c>
      <c r="C2627" s="298" t="s">
        <v>8746</v>
      </c>
      <c r="D2627" s="298" t="s">
        <v>256</v>
      </c>
      <c r="E2627" s="298"/>
      <c r="F2627" s="298"/>
      <c r="G2627" s="299" t="b">
        <v>0</v>
      </c>
      <c r="H2627" s="299" t="b">
        <v>0</v>
      </c>
      <c r="J2627" s="113" t="str">
        <f t="shared" si="81"/>
        <v>975404555</v>
      </c>
      <c r="K2627" s="113" t="str">
        <f t="shared" si="82"/>
        <v>CG02712</v>
      </c>
    </row>
    <row r="2628" spans="1:11" x14ac:dyDescent="0.3">
      <c r="A2628" s="298" t="s">
        <v>8747</v>
      </c>
      <c r="B2628" s="298" t="s">
        <v>8748</v>
      </c>
      <c r="C2628" s="298" t="s">
        <v>8749</v>
      </c>
      <c r="D2628" s="298" t="s">
        <v>256</v>
      </c>
      <c r="E2628" s="298"/>
      <c r="F2628" s="298"/>
      <c r="G2628" s="299" t="b">
        <v>0</v>
      </c>
      <c r="H2628" s="299" t="b">
        <v>0</v>
      </c>
      <c r="J2628" s="113" t="str">
        <f t="shared" si="81"/>
        <v>915452667</v>
      </c>
      <c r="K2628" s="113" t="str">
        <f t="shared" si="82"/>
        <v>CG02713</v>
      </c>
    </row>
    <row r="2629" spans="1:11" x14ac:dyDescent="0.3">
      <c r="A2629" s="298" t="s">
        <v>8750</v>
      </c>
      <c r="B2629" s="298" t="s">
        <v>8751</v>
      </c>
      <c r="C2629" s="298" t="s">
        <v>8752</v>
      </c>
      <c r="D2629" s="298" t="s">
        <v>256</v>
      </c>
      <c r="E2629" s="298"/>
      <c r="F2629" s="298"/>
      <c r="G2629" s="299" t="b">
        <v>0</v>
      </c>
      <c r="H2629" s="299" t="b">
        <v>0</v>
      </c>
      <c r="J2629" s="113" t="str">
        <f t="shared" ref="J2629:J2692" si="83">RIGHT(B2629,9)</f>
        <v>912703220</v>
      </c>
      <c r="K2629" s="113" t="str">
        <f t="shared" ref="K2629:K2692" si="84">A2629</f>
        <v>CG02714</v>
      </c>
    </row>
    <row r="2630" spans="1:11" x14ac:dyDescent="0.3">
      <c r="A2630" s="298" t="s">
        <v>8753</v>
      </c>
      <c r="B2630" s="298" t="s">
        <v>8754</v>
      </c>
      <c r="C2630" s="298" t="s">
        <v>8755</v>
      </c>
      <c r="D2630" s="298" t="s">
        <v>256</v>
      </c>
      <c r="E2630" s="298"/>
      <c r="F2630" s="298" t="s">
        <v>8756</v>
      </c>
      <c r="G2630" s="299" t="b">
        <v>0</v>
      </c>
      <c r="H2630" s="299" t="b">
        <v>0</v>
      </c>
      <c r="J2630" s="113" t="str">
        <f t="shared" si="83"/>
        <v>968123537</v>
      </c>
      <c r="K2630" s="113" t="str">
        <f t="shared" si="84"/>
        <v>CG02715</v>
      </c>
    </row>
    <row r="2631" spans="1:11" x14ac:dyDescent="0.3">
      <c r="A2631" s="298" t="s">
        <v>8757</v>
      </c>
      <c r="B2631" s="298" t="s">
        <v>8758</v>
      </c>
      <c r="C2631" s="298" t="s">
        <v>1508</v>
      </c>
      <c r="D2631" s="298" t="s">
        <v>256</v>
      </c>
      <c r="E2631" s="298"/>
      <c r="F2631" s="298" t="s">
        <v>8759</v>
      </c>
      <c r="G2631" s="299" t="b">
        <v>0</v>
      </c>
      <c r="H2631" s="299" t="b">
        <v>0</v>
      </c>
      <c r="J2631" s="113" t="str">
        <f t="shared" si="83"/>
        <v>975885995</v>
      </c>
      <c r="K2631" s="113" t="str">
        <f t="shared" si="84"/>
        <v>CG02716</v>
      </c>
    </row>
    <row r="2632" spans="1:11" x14ac:dyDescent="0.3">
      <c r="A2632" s="298" t="s">
        <v>8760</v>
      </c>
      <c r="B2632" s="298" t="s">
        <v>8761</v>
      </c>
      <c r="C2632" s="298" t="s">
        <v>1335</v>
      </c>
      <c r="D2632" s="298" t="s">
        <v>256</v>
      </c>
      <c r="E2632" s="298"/>
      <c r="F2632" s="298"/>
      <c r="G2632" s="299" t="b">
        <v>0</v>
      </c>
      <c r="H2632" s="299" t="b">
        <v>0</v>
      </c>
      <c r="J2632" s="113" t="str">
        <f t="shared" si="83"/>
        <v>988992229</v>
      </c>
      <c r="K2632" s="113" t="str">
        <f t="shared" si="84"/>
        <v>CG02717</v>
      </c>
    </row>
    <row r="2633" spans="1:11" x14ac:dyDescent="0.3">
      <c r="A2633" s="298" t="s">
        <v>8762</v>
      </c>
      <c r="B2633" s="298" t="s">
        <v>8763</v>
      </c>
      <c r="C2633" s="298" t="s">
        <v>845</v>
      </c>
      <c r="D2633" s="298" t="s">
        <v>256</v>
      </c>
      <c r="E2633" s="298"/>
      <c r="F2633" s="298"/>
      <c r="G2633" s="299" t="b">
        <v>0</v>
      </c>
      <c r="H2633" s="299" t="b">
        <v>0</v>
      </c>
      <c r="J2633" s="113" t="str">
        <f t="shared" si="83"/>
        <v>386034444</v>
      </c>
      <c r="K2633" s="113" t="str">
        <f t="shared" si="84"/>
        <v>CG02718</v>
      </c>
    </row>
    <row r="2634" spans="1:11" x14ac:dyDescent="0.3">
      <c r="A2634" s="298" t="s">
        <v>8764</v>
      </c>
      <c r="B2634" s="298" t="s">
        <v>8765</v>
      </c>
      <c r="C2634" s="298" t="s">
        <v>230</v>
      </c>
      <c r="D2634" s="298" t="s">
        <v>256</v>
      </c>
      <c r="E2634" s="298"/>
      <c r="F2634" s="298"/>
      <c r="G2634" s="299" t="b">
        <v>0</v>
      </c>
      <c r="H2634" s="299" t="b">
        <v>0</v>
      </c>
      <c r="J2634" s="113" t="str">
        <f t="shared" si="83"/>
        <v>913294759</v>
      </c>
      <c r="K2634" s="113" t="str">
        <f t="shared" si="84"/>
        <v>CG02719</v>
      </c>
    </row>
    <row r="2635" spans="1:11" x14ac:dyDescent="0.3">
      <c r="A2635" s="298" t="s">
        <v>8766</v>
      </c>
      <c r="B2635" s="298" t="s">
        <v>8767</v>
      </c>
      <c r="C2635" s="298" t="s">
        <v>469</v>
      </c>
      <c r="D2635" s="298" t="s">
        <v>256</v>
      </c>
      <c r="E2635" s="298"/>
      <c r="F2635" s="298"/>
      <c r="G2635" s="299" t="b">
        <v>0</v>
      </c>
      <c r="H2635" s="299" t="b">
        <v>0</v>
      </c>
      <c r="J2635" s="113" t="str">
        <f t="shared" si="83"/>
        <v>388349480</v>
      </c>
      <c r="K2635" s="113" t="str">
        <f t="shared" si="84"/>
        <v>CG02720</v>
      </c>
    </row>
    <row r="2636" spans="1:11" x14ac:dyDescent="0.3">
      <c r="A2636" s="298" t="s">
        <v>8768</v>
      </c>
      <c r="B2636" s="298" t="s">
        <v>8769</v>
      </c>
      <c r="C2636" s="298" t="s">
        <v>2763</v>
      </c>
      <c r="D2636" s="298" t="s">
        <v>256</v>
      </c>
      <c r="E2636" s="298"/>
      <c r="F2636" s="298"/>
      <c r="G2636" s="299" t="b">
        <v>0</v>
      </c>
      <c r="H2636" s="299" t="b">
        <v>0</v>
      </c>
      <c r="J2636" s="113" t="str">
        <f t="shared" si="83"/>
        <v>349476707</v>
      </c>
      <c r="K2636" s="113" t="str">
        <f t="shared" si="84"/>
        <v>CG02721</v>
      </c>
    </row>
    <row r="2637" spans="1:11" x14ac:dyDescent="0.3">
      <c r="A2637" s="298" t="s">
        <v>8770</v>
      </c>
      <c r="B2637" s="298" t="s">
        <v>8771</v>
      </c>
      <c r="C2637" s="298" t="s">
        <v>1508</v>
      </c>
      <c r="D2637" s="298" t="s">
        <v>256</v>
      </c>
      <c r="E2637" s="298"/>
      <c r="F2637" s="298" t="s">
        <v>8772</v>
      </c>
      <c r="G2637" s="299" t="b">
        <v>0</v>
      </c>
      <c r="H2637" s="299" t="b">
        <v>0</v>
      </c>
      <c r="J2637" s="113" t="str">
        <f t="shared" si="83"/>
        <v>971511586</v>
      </c>
      <c r="K2637" s="113" t="str">
        <f t="shared" si="84"/>
        <v>CG02722</v>
      </c>
    </row>
    <row r="2638" spans="1:11" x14ac:dyDescent="0.3">
      <c r="A2638" s="298" t="s">
        <v>8773</v>
      </c>
      <c r="B2638" s="298" t="s">
        <v>8774</v>
      </c>
      <c r="C2638" s="298" t="s">
        <v>3001</v>
      </c>
      <c r="D2638" s="298" t="s">
        <v>256</v>
      </c>
      <c r="E2638" s="298"/>
      <c r="F2638" s="298"/>
      <c r="G2638" s="299" t="b">
        <v>0</v>
      </c>
      <c r="H2638" s="299" t="b">
        <v>0</v>
      </c>
      <c r="J2638" s="113" t="str">
        <f t="shared" si="83"/>
        <v>936692763</v>
      </c>
      <c r="K2638" s="113" t="str">
        <f t="shared" si="84"/>
        <v>CG02723</v>
      </c>
    </row>
    <row r="2639" spans="1:11" x14ac:dyDescent="0.3">
      <c r="A2639" s="298" t="s">
        <v>8775</v>
      </c>
      <c r="B2639" s="298" t="s">
        <v>8776</v>
      </c>
      <c r="C2639" s="298" t="s">
        <v>8777</v>
      </c>
      <c r="D2639" s="298" t="s">
        <v>256</v>
      </c>
      <c r="E2639" s="298"/>
      <c r="F2639" s="298" t="s">
        <v>8778</v>
      </c>
      <c r="G2639" s="299" t="b">
        <v>0</v>
      </c>
      <c r="H2639" s="299" t="b">
        <v>0</v>
      </c>
      <c r="J2639" s="113" t="str">
        <f t="shared" si="83"/>
        <v>915048652</v>
      </c>
      <c r="K2639" s="113" t="str">
        <f t="shared" si="84"/>
        <v>CG02724</v>
      </c>
    </row>
    <row r="2640" spans="1:11" x14ac:dyDescent="0.3">
      <c r="A2640" s="298" t="s">
        <v>8779</v>
      </c>
      <c r="B2640" s="298" t="s">
        <v>8780</v>
      </c>
      <c r="C2640" s="298" t="s">
        <v>2458</v>
      </c>
      <c r="D2640" s="298" t="s">
        <v>256</v>
      </c>
      <c r="E2640" s="298"/>
      <c r="F2640" s="298"/>
      <c r="G2640" s="299" t="b">
        <v>0</v>
      </c>
      <c r="H2640" s="299" t="b">
        <v>0</v>
      </c>
      <c r="J2640" s="113" t="str">
        <f t="shared" si="83"/>
        <v>975891199</v>
      </c>
      <c r="K2640" s="113" t="str">
        <f t="shared" si="84"/>
        <v>CG02725</v>
      </c>
    </row>
    <row r="2641" spans="1:11" x14ac:dyDescent="0.3">
      <c r="A2641" s="298" t="s">
        <v>8781</v>
      </c>
      <c r="B2641" s="298" t="s">
        <v>8782</v>
      </c>
      <c r="C2641" s="298" t="s">
        <v>495</v>
      </c>
      <c r="D2641" s="298" t="s">
        <v>256</v>
      </c>
      <c r="E2641" s="298"/>
      <c r="F2641" s="298"/>
      <c r="G2641" s="299" t="b">
        <v>0</v>
      </c>
      <c r="H2641" s="299" t="b">
        <v>0</v>
      </c>
      <c r="J2641" s="113" t="str">
        <f t="shared" si="83"/>
        <v>777463666</v>
      </c>
      <c r="K2641" s="113" t="str">
        <f t="shared" si="84"/>
        <v>CG02726</v>
      </c>
    </row>
    <row r="2642" spans="1:11" x14ac:dyDescent="0.3">
      <c r="A2642" s="298" t="s">
        <v>8783</v>
      </c>
      <c r="B2642" s="298" t="s">
        <v>8784</v>
      </c>
      <c r="C2642" s="298" t="s">
        <v>1776</v>
      </c>
      <c r="D2642" s="298" t="s">
        <v>256</v>
      </c>
      <c r="E2642" s="298"/>
      <c r="F2642" s="298"/>
      <c r="G2642" s="299" t="b">
        <v>0</v>
      </c>
      <c r="H2642" s="299" t="b">
        <v>0</v>
      </c>
      <c r="J2642" s="113" t="str">
        <f t="shared" si="83"/>
        <v>913521143</v>
      </c>
      <c r="K2642" s="113" t="str">
        <f t="shared" si="84"/>
        <v>CG02727</v>
      </c>
    </row>
    <row r="2643" spans="1:11" x14ac:dyDescent="0.3">
      <c r="A2643" s="298" t="s">
        <v>8785</v>
      </c>
      <c r="B2643" s="298" t="s">
        <v>8786</v>
      </c>
      <c r="C2643" s="298" t="s">
        <v>390</v>
      </c>
      <c r="D2643" s="298" t="s">
        <v>256</v>
      </c>
      <c r="E2643" s="298"/>
      <c r="F2643" s="298"/>
      <c r="G2643" s="299" t="b">
        <v>0</v>
      </c>
      <c r="H2643" s="299" t="b">
        <v>0</v>
      </c>
      <c r="J2643" s="113" t="str">
        <f t="shared" si="83"/>
        <v>912080899</v>
      </c>
      <c r="K2643" s="113" t="str">
        <f t="shared" si="84"/>
        <v>CG02728</v>
      </c>
    </row>
    <row r="2644" spans="1:11" x14ac:dyDescent="0.3">
      <c r="A2644" s="298" t="s">
        <v>8787</v>
      </c>
      <c r="B2644" s="298" t="s">
        <v>8788</v>
      </c>
      <c r="C2644" s="298" t="s">
        <v>8789</v>
      </c>
      <c r="D2644" s="298" t="s">
        <v>256</v>
      </c>
      <c r="E2644" s="298"/>
      <c r="F2644" s="298" t="s">
        <v>8790</v>
      </c>
      <c r="G2644" s="299" t="b">
        <v>0</v>
      </c>
      <c r="H2644" s="299" t="b">
        <v>0</v>
      </c>
      <c r="J2644" s="113" t="str">
        <f t="shared" si="83"/>
        <v>968045185</v>
      </c>
      <c r="K2644" s="113" t="str">
        <f t="shared" si="84"/>
        <v>CG02729</v>
      </c>
    </row>
    <row r="2645" spans="1:11" x14ac:dyDescent="0.3">
      <c r="A2645" s="298" t="s">
        <v>8791</v>
      </c>
      <c r="B2645" s="298" t="s">
        <v>8792</v>
      </c>
      <c r="C2645" s="298" t="s">
        <v>8793</v>
      </c>
      <c r="D2645" s="298" t="s">
        <v>256</v>
      </c>
      <c r="E2645" s="298"/>
      <c r="F2645" s="298" t="s">
        <v>8794</v>
      </c>
      <c r="G2645" s="299" t="b">
        <v>0</v>
      </c>
      <c r="H2645" s="299" t="b">
        <v>0</v>
      </c>
      <c r="J2645" s="113" t="str">
        <f t="shared" si="83"/>
        <v>948346289</v>
      </c>
      <c r="K2645" s="113" t="str">
        <f t="shared" si="84"/>
        <v>CG02730</v>
      </c>
    </row>
    <row r="2646" spans="1:11" x14ac:dyDescent="0.3">
      <c r="A2646" s="298" t="s">
        <v>8795</v>
      </c>
      <c r="B2646" s="298" t="s">
        <v>8796</v>
      </c>
      <c r="C2646" s="298" t="s">
        <v>416</v>
      </c>
      <c r="D2646" s="298" t="s">
        <v>256</v>
      </c>
      <c r="E2646" s="298"/>
      <c r="F2646" s="298"/>
      <c r="G2646" s="299" t="b">
        <v>0</v>
      </c>
      <c r="H2646" s="299" t="b">
        <v>0</v>
      </c>
      <c r="J2646" s="113" t="str">
        <f t="shared" si="83"/>
        <v>987738080</v>
      </c>
      <c r="K2646" s="113" t="str">
        <f t="shared" si="84"/>
        <v>CG02731</v>
      </c>
    </row>
    <row r="2647" spans="1:11" x14ac:dyDescent="0.3">
      <c r="A2647" s="298" t="s">
        <v>8797</v>
      </c>
      <c r="B2647" s="298" t="s">
        <v>8798</v>
      </c>
      <c r="C2647" s="298" t="s">
        <v>8799</v>
      </c>
      <c r="D2647" s="298" t="s">
        <v>256</v>
      </c>
      <c r="E2647" s="298"/>
      <c r="F2647" s="298" t="s">
        <v>8800</v>
      </c>
      <c r="G2647" s="299" t="b">
        <v>0</v>
      </c>
      <c r="H2647" s="299" t="b">
        <v>0</v>
      </c>
      <c r="J2647" s="113" t="str">
        <f t="shared" si="83"/>
        <v>856030433</v>
      </c>
      <c r="K2647" s="113" t="str">
        <f t="shared" si="84"/>
        <v>CG02732</v>
      </c>
    </row>
    <row r="2648" spans="1:11" x14ac:dyDescent="0.3">
      <c r="A2648" s="298" t="s">
        <v>8801</v>
      </c>
      <c r="B2648" s="298" t="s">
        <v>8802</v>
      </c>
      <c r="C2648" s="298" t="s">
        <v>289</v>
      </c>
      <c r="D2648" s="298" t="s">
        <v>256</v>
      </c>
      <c r="E2648" s="298"/>
      <c r="F2648" s="298"/>
      <c r="G2648" s="299" t="b">
        <v>0</v>
      </c>
      <c r="H2648" s="299" t="b">
        <v>0</v>
      </c>
      <c r="J2648" s="113" t="str">
        <f t="shared" si="83"/>
        <v>981208383</v>
      </c>
      <c r="K2648" s="113" t="str">
        <f t="shared" si="84"/>
        <v>CG02733</v>
      </c>
    </row>
    <row r="2649" spans="1:11" x14ac:dyDescent="0.3">
      <c r="A2649" s="298" t="s">
        <v>8803</v>
      </c>
      <c r="B2649" s="298" t="s">
        <v>8804</v>
      </c>
      <c r="C2649" s="298" t="s">
        <v>824</v>
      </c>
      <c r="D2649" s="298" t="s">
        <v>256</v>
      </c>
      <c r="E2649" s="298"/>
      <c r="F2649" s="298"/>
      <c r="G2649" s="299" t="b">
        <v>0</v>
      </c>
      <c r="H2649" s="299" t="b">
        <v>0</v>
      </c>
      <c r="J2649" s="113" t="str">
        <f t="shared" si="83"/>
        <v>912810271</v>
      </c>
      <c r="K2649" s="113" t="str">
        <f t="shared" si="84"/>
        <v>CG02734</v>
      </c>
    </row>
    <row r="2650" spans="1:11" x14ac:dyDescent="0.3">
      <c r="A2650" s="298" t="s">
        <v>8805</v>
      </c>
      <c r="B2650" s="298" t="s">
        <v>8806</v>
      </c>
      <c r="C2650" s="298" t="s">
        <v>432</v>
      </c>
      <c r="D2650" s="298" t="s">
        <v>256</v>
      </c>
      <c r="E2650" s="298"/>
      <c r="F2650" s="298"/>
      <c r="G2650" s="299" t="b">
        <v>0</v>
      </c>
      <c r="H2650" s="299" t="b">
        <v>0</v>
      </c>
      <c r="J2650" s="113" t="str">
        <f t="shared" si="83"/>
        <v>912227199</v>
      </c>
      <c r="K2650" s="113" t="str">
        <f t="shared" si="84"/>
        <v>CG02735</v>
      </c>
    </row>
    <row r="2651" spans="1:11" x14ac:dyDescent="0.3">
      <c r="A2651" s="298" t="s">
        <v>8807</v>
      </c>
      <c r="B2651" s="298" t="s">
        <v>8808</v>
      </c>
      <c r="C2651" s="298" t="s">
        <v>8809</v>
      </c>
      <c r="D2651" s="298" t="s">
        <v>256</v>
      </c>
      <c r="E2651" s="298"/>
      <c r="F2651" s="298" t="s">
        <v>8810</v>
      </c>
      <c r="G2651" s="299" t="b">
        <v>0</v>
      </c>
      <c r="H2651" s="299" t="b">
        <v>0</v>
      </c>
      <c r="J2651" s="113" t="str">
        <f t="shared" si="83"/>
        <v>912193800</v>
      </c>
      <c r="K2651" s="113" t="str">
        <f t="shared" si="84"/>
        <v>CG02736</v>
      </c>
    </row>
    <row r="2652" spans="1:11" x14ac:dyDescent="0.3">
      <c r="A2652" s="298" t="s">
        <v>8811</v>
      </c>
      <c r="B2652" s="298" t="s">
        <v>8812</v>
      </c>
      <c r="C2652" s="298" t="s">
        <v>274</v>
      </c>
      <c r="D2652" s="298" t="s">
        <v>256</v>
      </c>
      <c r="E2652" s="298"/>
      <c r="F2652" s="298"/>
      <c r="G2652" s="299" t="b">
        <v>0</v>
      </c>
      <c r="H2652" s="299" t="b">
        <v>0</v>
      </c>
      <c r="J2652" s="113" t="str">
        <f t="shared" si="83"/>
        <v>912822641</v>
      </c>
      <c r="K2652" s="113" t="str">
        <f t="shared" si="84"/>
        <v>CG02737</v>
      </c>
    </row>
    <row r="2653" spans="1:11" x14ac:dyDescent="0.3">
      <c r="A2653" s="298" t="s">
        <v>8813</v>
      </c>
      <c r="B2653" s="298" t="s">
        <v>8814</v>
      </c>
      <c r="C2653" s="298" t="s">
        <v>4297</v>
      </c>
      <c r="D2653" s="298" t="s">
        <v>256</v>
      </c>
      <c r="E2653" s="298"/>
      <c r="F2653" s="298"/>
      <c r="G2653" s="299" t="b">
        <v>0</v>
      </c>
      <c r="H2653" s="299" t="b">
        <v>0</v>
      </c>
      <c r="J2653" s="113" t="str">
        <f t="shared" si="83"/>
        <v>976187867</v>
      </c>
      <c r="K2653" s="113" t="str">
        <f t="shared" si="84"/>
        <v>CG02738</v>
      </c>
    </row>
    <row r="2654" spans="1:11" x14ac:dyDescent="0.3">
      <c r="A2654" s="298" t="s">
        <v>8815</v>
      </c>
      <c r="B2654" s="298" t="s">
        <v>8816</v>
      </c>
      <c r="C2654" s="298" t="s">
        <v>495</v>
      </c>
      <c r="D2654" s="298" t="s">
        <v>256</v>
      </c>
      <c r="E2654" s="298"/>
      <c r="F2654" s="298"/>
      <c r="G2654" s="299" t="b">
        <v>0</v>
      </c>
      <c r="H2654" s="299" t="b">
        <v>0</v>
      </c>
      <c r="J2654" s="113" t="str">
        <f t="shared" si="83"/>
        <v>987333606</v>
      </c>
      <c r="K2654" s="113" t="str">
        <f t="shared" si="84"/>
        <v>CG02739</v>
      </c>
    </row>
    <row r="2655" spans="1:11" x14ac:dyDescent="0.3">
      <c r="A2655" s="298" t="s">
        <v>8817</v>
      </c>
      <c r="B2655" s="298" t="s">
        <v>8818</v>
      </c>
      <c r="C2655" s="298" t="s">
        <v>2426</v>
      </c>
      <c r="D2655" s="298" t="s">
        <v>256</v>
      </c>
      <c r="E2655" s="298"/>
      <c r="F2655" s="298"/>
      <c r="G2655" s="299" t="b">
        <v>0</v>
      </c>
      <c r="H2655" s="299" t="b">
        <v>0</v>
      </c>
      <c r="J2655" s="113" t="str">
        <f t="shared" si="83"/>
        <v>965971999</v>
      </c>
      <c r="K2655" s="113" t="str">
        <f t="shared" si="84"/>
        <v>CG02740</v>
      </c>
    </row>
    <row r="2656" spans="1:11" x14ac:dyDescent="0.3">
      <c r="A2656" s="298" t="s">
        <v>8819</v>
      </c>
      <c r="B2656" s="298" t="s">
        <v>8820</v>
      </c>
      <c r="C2656" s="298" t="s">
        <v>8821</v>
      </c>
      <c r="D2656" s="298" t="s">
        <v>256</v>
      </c>
      <c r="E2656" s="298"/>
      <c r="F2656" s="298"/>
      <c r="G2656" s="299" t="b">
        <v>0</v>
      </c>
      <c r="H2656" s="299" t="b">
        <v>0</v>
      </c>
      <c r="J2656" s="113" t="str">
        <f t="shared" si="83"/>
        <v>913244442</v>
      </c>
      <c r="K2656" s="113" t="str">
        <f t="shared" si="84"/>
        <v>CG02741</v>
      </c>
    </row>
    <row r="2657" spans="1:11" x14ac:dyDescent="0.3">
      <c r="A2657" s="298" t="s">
        <v>8822</v>
      </c>
      <c r="B2657" s="298" t="s">
        <v>8823</v>
      </c>
      <c r="C2657" s="298" t="s">
        <v>487</v>
      </c>
      <c r="D2657" s="298" t="s">
        <v>256</v>
      </c>
      <c r="E2657" s="298"/>
      <c r="F2657" s="298"/>
      <c r="G2657" s="299" t="b">
        <v>0</v>
      </c>
      <c r="H2657" s="299" t="b">
        <v>0</v>
      </c>
      <c r="J2657" s="113" t="str">
        <f t="shared" si="83"/>
        <v>913080712</v>
      </c>
      <c r="K2657" s="113" t="str">
        <f t="shared" si="84"/>
        <v>CG02742</v>
      </c>
    </row>
    <row r="2658" spans="1:11" x14ac:dyDescent="0.3">
      <c r="A2658" s="298" t="s">
        <v>8824</v>
      </c>
      <c r="B2658" s="298" t="s">
        <v>8825</v>
      </c>
      <c r="C2658" s="298" t="s">
        <v>559</v>
      </c>
      <c r="D2658" s="298" t="s">
        <v>256</v>
      </c>
      <c r="E2658" s="298"/>
      <c r="F2658" s="298" t="s">
        <v>8826</v>
      </c>
      <c r="G2658" s="299" t="b">
        <v>0</v>
      </c>
      <c r="H2658" s="299" t="b">
        <v>0</v>
      </c>
      <c r="J2658" s="113" t="str">
        <f t="shared" si="83"/>
        <v>978514568</v>
      </c>
      <c r="K2658" s="113" t="str">
        <f t="shared" si="84"/>
        <v>CG02743</v>
      </c>
    </row>
    <row r="2659" spans="1:11" x14ac:dyDescent="0.3">
      <c r="A2659" s="298" t="s">
        <v>8827</v>
      </c>
      <c r="B2659" s="298" t="s">
        <v>8828</v>
      </c>
      <c r="C2659" s="298" t="s">
        <v>3230</v>
      </c>
      <c r="D2659" s="298" t="s">
        <v>256</v>
      </c>
      <c r="E2659" s="298"/>
      <c r="F2659" s="298"/>
      <c r="G2659" s="299" t="b">
        <v>0</v>
      </c>
      <c r="H2659" s="299" t="b">
        <v>0</v>
      </c>
      <c r="J2659" s="113" t="str">
        <f t="shared" si="83"/>
        <v>912071035</v>
      </c>
      <c r="K2659" s="113" t="str">
        <f t="shared" si="84"/>
        <v>CG02744</v>
      </c>
    </row>
    <row r="2660" spans="1:11" x14ac:dyDescent="0.3">
      <c r="A2660" s="298" t="s">
        <v>8829</v>
      </c>
      <c r="B2660" s="298" t="s">
        <v>8830</v>
      </c>
      <c r="C2660" s="298" t="s">
        <v>274</v>
      </c>
      <c r="D2660" s="298" t="s">
        <v>256</v>
      </c>
      <c r="E2660" s="298"/>
      <c r="F2660" s="298"/>
      <c r="G2660" s="299" t="b">
        <v>0</v>
      </c>
      <c r="H2660" s="299" t="b">
        <v>0</v>
      </c>
      <c r="J2660" s="113" t="str">
        <f t="shared" si="83"/>
        <v>988484180</v>
      </c>
      <c r="K2660" s="113" t="str">
        <f t="shared" si="84"/>
        <v>CG02745</v>
      </c>
    </row>
    <row r="2661" spans="1:11" x14ac:dyDescent="0.3">
      <c r="A2661" s="298" t="s">
        <v>8831</v>
      </c>
      <c r="B2661" s="298" t="s">
        <v>8832</v>
      </c>
      <c r="C2661" s="298" t="s">
        <v>8833</v>
      </c>
      <c r="D2661" s="298" t="s">
        <v>256</v>
      </c>
      <c r="E2661" s="298"/>
      <c r="F2661" s="298" t="s">
        <v>8834</v>
      </c>
      <c r="G2661" s="299" t="b">
        <v>0</v>
      </c>
      <c r="H2661" s="299" t="b">
        <v>0</v>
      </c>
      <c r="J2661" s="113" t="str">
        <f t="shared" si="83"/>
        <v>934612679</v>
      </c>
      <c r="K2661" s="113" t="str">
        <f t="shared" si="84"/>
        <v>CG02746</v>
      </c>
    </row>
    <row r="2662" spans="1:11" x14ac:dyDescent="0.3">
      <c r="A2662" s="298" t="s">
        <v>8835</v>
      </c>
      <c r="B2662" s="298" t="s">
        <v>8836</v>
      </c>
      <c r="C2662" s="298" t="s">
        <v>8837</v>
      </c>
      <c r="D2662" s="298" t="s">
        <v>256</v>
      </c>
      <c r="E2662" s="298"/>
      <c r="F2662" s="298" t="s">
        <v>8838</v>
      </c>
      <c r="G2662" s="299" t="b">
        <v>0</v>
      </c>
      <c r="H2662" s="299" t="b">
        <v>0</v>
      </c>
      <c r="J2662" s="113" t="str">
        <f t="shared" si="83"/>
        <v>989746171</v>
      </c>
      <c r="K2662" s="113" t="str">
        <f t="shared" si="84"/>
        <v>CG02747</v>
      </c>
    </row>
    <row r="2663" spans="1:11" x14ac:dyDescent="0.3">
      <c r="A2663" s="298" t="s">
        <v>8839</v>
      </c>
      <c r="B2663" s="298" t="s">
        <v>8840</v>
      </c>
      <c r="C2663" s="298" t="s">
        <v>4051</v>
      </c>
      <c r="D2663" s="298" t="s">
        <v>256</v>
      </c>
      <c r="E2663" s="298"/>
      <c r="F2663" s="298"/>
      <c r="G2663" s="299" t="b">
        <v>0</v>
      </c>
      <c r="H2663" s="299" t="b">
        <v>0</v>
      </c>
      <c r="J2663" s="113" t="str">
        <f t="shared" si="83"/>
        <v>364499880</v>
      </c>
      <c r="K2663" s="113" t="str">
        <f t="shared" si="84"/>
        <v>CG02748</v>
      </c>
    </row>
    <row r="2664" spans="1:11" x14ac:dyDescent="0.3">
      <c r="A2664" s="298" t="s">
        <v>8841</v>
      </c>
      <c r="B2664" s="298" t="s">
        <v>8842</v>
      </c>
      <c r="C2664" s="298" t="s">
        <v>8843</v>
      </c>
      <c r="D2664" s="298" t="s">
        <v>256</v>
      </c>
      <c r="E2664" s="298"/>
      <c r="F2664" s="298" t="s">
        <v>8844</v>
      </c>
      <c r="G2664" s="299" t="b">
        <v>0</v>
      </c>
      <c r="H2664" s="299" t="b">
        <v>0</v>
      </c>
      <c r="J2664" s="113" t="str">
        <f t="shared" si="83"/>
        <v>936521468</v>
      </c>
      <c r="K2664" s="113" t="str">
        <f t="shared" si="84"/>
        <v>CG02749</v>
      </c>
    </row>
    <row r="2665" spans="1:11" x14ac:dyDescent="0.3">
      <c r="A2665" s="298" t="s">
        <v>8845</v>
      </c>
      <c r="B2665" s="298" t="s">
        <v>8846</v>
      </c>
      <c r="C2665" s="298" t="s">
        <v>8847</v>
      </c>
      <c r="D2665" s="298" t="s">
        <v>256</v>
      </c>
      <c r="E2665" s="298"/>
      <c r="F2665" s="298" t="s">
        <v>8848</v>
      </c>
      <c r="G2665" s="299" t="b">
        <v>0</v>
      </c>
      <c r="H2665" s="299" t="b">
        <v>0</v>
      </c>
      <c r="J2665" s="113" t="str">
        <f t="shared" si="83"/>
        <v>964761288</v>
      </c>
      <c r="K2665" s="113" t="str">
        <f t="shared" si="84"/>
        <v>CG02750</v>
      </c>
    </row>
    <row r="2666" spans="1:11" x14ac:dyDescent="0.3">
      <c r="A2666" s="298" t="s">
        <v>8849</v>
      </c>
      <c r="B2666" s="298" t="s">
        <v>8850</v>
      </c>
      <c r="C2666" s="298" t="s">
        <v>4324</v>
      </c>
      <c r="D2666" s="298" t="s">
        <v>256</v>
      </c>
      <c r="E2666" s="298"/>
      <c r="F2666" s="298"/>
      <c r="G2666" s="299" t="b">
        <v>0</v>
      </c>
      <c r="H2666" s="299" t="b">
        <v>0</v>
      </c>
      <c r="J2666" s="113" t="str">
        <f t="shared" si="83"/>
        <v>969432279</v>
      </c>
      <c r="K2666" s="113" t="str">
        <f t="shared" si="84"/>
        <v>CG02751</v>
      </c>
    </row>
    <row r="2667" spans="1:11" x14ac:dyDescent="0.3">
      <c r="A2667" s="298" t="s">
        <v>8851</v>
      </c>
      <c r="B2667" s="298" t="s">
        <v>8852</v>
      </c>
      <c r="C2667" s="298" t="s">
        <v>8853</v>
      </c>
      <c r="D2667" s="298" t="s">
        <v>256</v>
      </c>
      <c r="E2667" s="298"/>
      <c r="F2667" s="298"/>
      <c r="G2667" s="299" t="b">
        <v>0</v>
      </c>
      <c r="H2667" s="299" t="b">
        <v>0</v>
      </c>
      <c r="J2667" s="113" t="str">
        <f t="shared" si="83"/>
        <v>976138352</v>
      </c>
      <c r="K2667" s="113" t="str">
        <f t="shared" si="84"/>
        <v>CG02752</v>
      </c>
    </row>
    <row r="2668" spans="1:11" x14ac:dyDescent="0.3">
      <c r="A2668" s="298" t="s">
        <v>8854</v>
      </c>
      <c r="B2668" s="298" t="s">
        <v>8855</v>
      </c>
      <c r="C2668" s="298" t="s">
        <v>8856</v>
      </c>
      <c r="D2668" s="298" t="s">
        <v>256</v>
      </c>
      <c r="E2668" s="298"/>
      <c r="F2668" s="298" t="s">
        <v>8857</v>
      </c>
      <c r="G2668" s="299" t="b">
        <v>0</v>
      </c>
      <c r="H2668" s="299" t="b">
        <v>0</v>
      </c>
      <c r="J2668" s="113" t="str">
        <f t="shared" si="83"/>
        <v>977594688</v>
      </c>
      <c r="K2668" s="113" t="str">
        <f t="shared" si="84"/>
        <v>CG02753</v>
      </c>
    </row>
    <row r="2669" spans="1:11" x14ac:dyDescent="0.3">
      <c r="A2669" s="298" t="s">
        <v>8858</v>
      </c>
      <c r="B2669" s="298" t="s">
        <v>8859</v>
      </c>
      <c r="C2669" s="298" t="s">
        <v>286</v>
      </c>
      <c r="D2669" s="298" t="s">
        <v>256</v>
      </c>
      <c r="E2669" s="298"/>
      <c r="F2669" s="298"/>
      <c r="G2669" s="299" t="b">
        <v>0</v>
      </c>
      <c r="H2669" s="299" t="b">
        <v>0</v>
      </c>
      <c r="J2669" s="113" t="str">
        <f t="shared" si="83"/>
        <v>976427968</v>
      </c>
      <c r="K2669" s="113" t="str">
        <f t="shared" si="84"/>
        <v>CG02754</v>
      </c>
    </row>
    <row r="2670" spans="1:11" x14ac:dyDescent="0.3">
      <c r="A2670" s="298" t="s">
        <v>8860</v>
      </c>
      <c r="B2670" s="298" t="s">
        <v>8861</v>
      </c>
      <c r="C2670" s="298" t="s">
        <v>416</v>
      </c>
      <c r="D2670" s="298" t="s">
        <v>256</v>
      </c>
      <c r="E2670" s="298"/>
      <c r="F2670" s="298"/>
      <c r="G2670" s="299" t="b">
        <v>0</v>
      </c>
      <c r="H2670" s="299" t="b">
        <v>0</v>
      </c>
      <c r="J2670" s="113" t="str">
        <f t="shared" si="83"/>
        <v>886111899</v>
      </c>
      <c r="K2670" s="113" t="str">
        <f t="shared" si="84"/>
        <v>CG02755</v>
      </c>
    </row>
    <row r="2671" spans="1:11" x14ac:dyDescent="0.3">
      <c r="A2671" s="298" t="s">
        <v>8862</v>
      </c>
      <c r="B2671" s="298" t="s">
        <v>8863</v>
      </c>
      <c r="C2671" s="298" t="s">
        <v>4519</v>
      </c>
      <c r="D2671" s="298" t="s">
        <v>256</v>
      </c>
      <c r="E2671" s="298"/>
      <c r="F2671" s="298"/>
      <c r="G2671" s="299" t="b">
        <v>0</v>
      </c>
      <c r="H2671" s="299" t="b">
        <v>0</v>
      </c>
      <c r="J2671" s="113" t="str">
        <f t="shared" si="83"/>
        <v>973127225</v>
      </c>
      <c r="K2671" s="113" t="str">
        <f t="shared" si="84"/>
        <v>CG02756</v>
      </c>
    </row>
    <row r="2672" spans="1:11" x14ac:dyDescent="0.3">
      <c r="A2672" s="298" t="s">
        <v>8864</v>
      </c>
      <c r="B2672" s="298" t="s">
        <v>8865</v>
      </c>
      <c r="C2672" s="298" t="s">
        <v>231</v>
      </c>
      <c r="D2672" s="298" t="s">
        <v>256</v>
      </c>
      <c r="E2672" s="298"/>
      <c r="F2672" s="298"/>
      <c r="G2672" s="299" t="b">
        <v>0</v>
      </c>
      <c r="H2672" s="299" t="b">
        <v>0</v>
      </c>
      <c r="J2672" s="113" t="str">
        <f t="shared" si="83"/>
        <v>915395071</v>
      </c>
      <c r="K2672" s="113" t="str">
        <f t="shared" si="84"/>
        <v>CG02757</v>
      </c>
    </row>
    <row r="2673" spans="1:11" x14ac:dyDescent="0.3">
      <c r="A2673" s="298" t="s">
        <v>8866</v>
      </c>
      <c r="B2673" s="298" t="s">
        <v>8867</v>
      </c>
      <c r="C2673" s="298" t="s">
        <v>230</v>
      </c>
      <c r="D2673" s="298" t="s">
        <v>256</v>
      </c>
      <c r="E2673" s="298"/>
      <c r="F2673" s="298"/>
      <c r="G2673" s="299" t="b">
        <v>0</v>
      </c>
      <c r="H2673" s="299" t="b">
        <v>0</v>
      </c>
      <c r="J2673" s="113" t="str">
        <f t="shared" si="83"/>
        <v>917679057</v>
      </c>
      <c r="K2673" s="113" t="str">
        <f t="shared" si="84"/>
        <v>CG02758</v>
      </c>
    </row>
    <row r="2674" spans="1:11" x14ac:dyDescent="0.3">
      <c r="A2674" s="298" t="s">
        <v>8868</v>
      </c>
      <c r="B2674" s="298" t="s">
        <v>8869</v>
      </c>
      <c r="C2674" s="298" t="s">
        <v>2713</v>
      </c>
      <c r="D2674" s="298" t="s">
        <v>256</v>
      </c>
      <c r="E2674" s="298"/>
      <c r="F2674" s="298"/>
      <c r="G2674" s="299" t="b">
        <v>0</v>
      </c>
      <c r="H2674" s="299" t="b">
        <v>0</v>
      </c>
      <c r="J2674" s="113" t="str">
        <f t="shared" si="83"/>
        <v>362588555</v>
      </c>
      <c r="K2674" s="113" t="str">
        <f t="shared" si="84"/>
        <v>CG02759</v>
      </c>
    </row>
    <row r="2675" spans="1:11" x14ac:dyDescent="0.3">
      <c r="A2675" s="298" t="s">
        <v>8870</v>
      </c>
      <c r="B2675" s="298" t="s">
        <v>8871</v>
      </c>
      <c r="C2675" s="298" t="s">
        <v>1873</v>
      </c>
      <c r="D2675" s="298" t="s">
        <v>256</v>
      </c>
      <c r="E2675" s="298"/>
      <c r="F2675" s="298" t="s">
        <v>8872</v>
      </c>
      <c r="G2675" s="299" t="b">
        <v>0</v>
      </c>
      <c r="H2675" s="299" t="b">
        <v>0</v>
      </c>
      <c r="J2675" s="113" t="str">
        <f t="shared" si="83"/>
        <v>941155569</v>
      </c>
      <c r="K2675" s="113" t="str">
        <f t="shared" si="84"/>
        <v>CG02760</v>
      </c>
    </row>
    <row r="2676" spans="1:11" x14ac:dyDescent="0.3">
      <c r="A2676" s="298" t="s">
        <v>8873</v>
      </c>
      <c r="B2676" s="298" t="s">
        <v>6216</v>
      </c>
      <c r="C2676" s="298" t="s">
        <v>231</v>
      </c>
      <c r="D2676" s="298" t="s">
        <v>256</v>
      </c>
      <c r="E2676" s="298"/>
      <c r="F2676" s="298"/>
      <c r="G2676" s="299" t="b">
        <v>0</v>
      </c>
      <c r="H2676" s="299" t="b">
        <v>0</v>
      </c>
      <c r="J2676" s="113" t="str">
        <f t="shared" si="83"/>
        <v>915701827</v>
      </c>
      <c r="K2676" s="113" t="str">
        <f t="shared" si="84"/>
        <v>CG02761</v>
      </c>
    </row>
    <row r="2677" spans="1:11" x14ac:dyDescent="0.3">
      <c r="A2677" s="298" t="s">
        <v>8874</v>
      </c>
      <c r="B2677" s="298" t="s">
        <v>8875</v>
      </c>
      <c r="C2677" s="298" t="s">
        <v>8876</v>
      </c>
      <c r="D2677" s="298" t="s">
        <v>256</v>
      </c>
      <c r="E2677" s="298"/>
      <c r="F2677" s="298"/>
      <c r="G2677" s="299" t="b">
        <v>0</v>
      </c>
      <c r="H2677" s="299" t="b">
        <v>0</v>
      </c>
      <c r="J2677" s="113" t="str">
        <f t="shared" si="83"/>
        <v>963478800</v>
      </c>
      <c r="K2677" s="113" t="str">
        <f t="shared" si="84"/>
        <v>CG02762</v>
      </c>
    </row>
    <row r="2678" spans="1:11" x14ac:dyDescent="0.3">
      <c r="A2678" s="298" t="s">
        <v>8877</v>
      </c>
      <c r="B2678" s="298" t="s">
        <v>8878</v>
      </c>
      <c r="C2678" s="298" t="s">
        <v>8694</v>
      </c>
      <c r="D2678" s="298" t="s">
        <v>256</v>
      </c>
      <c r="E2678" s="298"/>
      <c r="F2678" s="298"/>
      <c r="G2678" s="299" t="b">
        <v>0</v>
      </c>
      <c r="H2678" s="299" t="b">
        <v>0</v>
      </c>
      <c r="J2678" s="113" t="str">
        <f t="shared" si="83"/>
        <v>968180283</v>
      </c>
      <c r="K2678" s="113" t="str">
        <f t="shared" si="84"/>
        <v>CG02763</v>
      </c>
    </row>
    <row r="2679" spans="1:11" x14ac:dyDescent="0.3">
      <c r="A2679" s="298" t="s">
        <v>8879</v>
      </c>
      <c r="B2679" s="298" t="s">
        <v>8880</v>
      </c>
      <c r="C2679" s="298" t="s">
        <v>8700</v>
      </c>
      <c r="D2679" s="298" t="s">
        <v>256</v>
      </c>
      <c r="E2679" s="298"/>
      <c r="F2679" s="298"/>
      <c r="G2679" s="299" t="b">
        <v>0</v>
      </c>
      <c r="H2679" s="299" t="b">
        <v>0</v>
      </c>
      <c r="J2679" s="113" t="str">
        <f t="shared" si="83"/>
        <v>979521663</v>
      </c>
      <c r="K2679" s="113" t="str">
        <f t="shared" si="84"/>
        <v>CG02764</v>
      </c>
    </row>
    <row r="2680" spans="1:11" x14ac:dyDescent="0.3">
      <c r="A2680" s="298" t="s">
        <v>8881</v>
      </c>
      <c r="B2680" s="298" t="s">
        <v>8882</v>
      </c>
      <c r="C2680" s="298" t="s">
        <v>396</v>
      </c>
      <c r="D2680" s="298" t="s">
        <v>256</v>
      </c>
      <c r="E2680" s="298"/>
      <c r="F2680" s="298" t="s">
        <v>8883</v>
      </c>
      <c r="G2680" s="299" t="b">
        <v>0</v>
      </c>
      <c r="H2680" s="299" t="b">
        <v>0</v>
      </c>
      <c r="J2680" s="113" t="str">
        <f t="shared" si="83"/>
        <v>978459779</v>
      </c>
      <c r="K2680" s="113" t="str">
        <f t="shared" si="84"/>
        <v>CG02765</v>
      </c>
    </row>
    <row r="2681" spans="1:11" x14ac:dyDescent="0.3">
      <c r="A2681" s="298" t="s">
        <v>8884</v>
      </c>
      <c r="B2681" s="298" t="s">
        <v>8885</v>
      </c>
      <c r="C2681" s="298" t="s">
        <v>5236</v>
      </c>
      <c r="D2681" s="298" t="s">
        <v>256</v>
      </c>
      <c r="E2681" s="298"/>
      <c r="F2681" s="298" t="s">
        <v>8886</v>
      </c>
      <c r="G2681" s="299" t="b">
        <v>0</v>
      </c>
      <c r="H2681" s="299" t="b">
        <v>0</v>
      </c>
      <c r="J2681" s="113" t="str">
        <f t="shared" si="83"/>
        <v>968297731</v>
      </c>
      <c r="K2681" s="113" t="str">
        <f t="shared" si="84"/>
        <v>CG02766</v>
      </c>
    </row>
    <row r="2682" spans="1:11" x14ac:dyDescent="0.3">
      <c r="A2682" s="298" t="s">
        <v>8887</v>
      </c>
      <c r="B2682" s="298" t="s">
        <v>8888</v>
      </c>
      <c r="C2682" s="298" t="s">
        <v>8354</v>
      </c>
      <c r="D2682" s="298" t="s">
        <v>256</v>
      </c>
      <c r="E2682" s="298"/>
      <c r="F2682" s="298"/>
      <c r="G2682" s="299" t="b">
        <v>0</v>
      </c>
      <c r="H2682" s="299" t="b">
        <v>0</v>
      </c>
      <c r="J2682" s="113" t="str">
        <f t="shared" si="83"/>
        <v>383397777</v>
      </c>
      <c r="K2682" s="113" t="str">
        <f t="shared" si="84"/>
        <v>CG02767</v>
      </c>
    </row>
    <row r="2683" spans="1:11" x14ac:dyDescent="0.3">
      <c r="A2683" s="298" t="s">
        <v>8889</v>
      </c>
      <c r="B2683" s="298" t="s">
        <v>8890</v>
      </c>
      <c r="C2683" s="298" t="s">
        <v>2897</v>
      </c>
      <c r="D2683" s="298" t="s">
        <v>256</v>
      </c>
      <c r="E2683" s="298"/>
      <c r="F2683" s="298"/>
      <c r="G2683" s="299" t="b">
        <v>0</v>
      </c>
      <c r="H2683" s="299" t="b">
        <v>0</v>
      </c>
      <c r="J2683" s="113" t="str">
        <f t="shared" si="83"/>
        <v>901788768</v>
      </c>
      <c r="K2683" s="113" t="str">
        <f t="shared" si="84"/>
        <v>CG02768</v>
      </c>
    </row>
    <row r="2684" spans="1:11" x14ac:dyDescent="0.3">
      <c r="A2684" s="298" t="s">
        <v>8891</v>
      </c>
      <c r="B2684" s="298" t="s">
        <v>8892</v>
      </c>
      <c r="C2684" s="298" t="s">
        <v>487</v>
      </c>
      <c r="D2684" s="298" t="s">
        <v>256</v>
      </c>
      <c r="E2684" s="298"/>
      <c r="F2684" s="298"/>
      <c r="G2684" s="299" t="b">
        <v>0</v>
      </c>
      <c r="H2684" s="299" t="b">
        <v>0</v>
      </c>
      <c r="J2684" s="113" t="str">
        <f t="shared" si="83"/>
        <v>978488881</v>
      </c>
      <c r="K2684" s="113" t="str">
        <f t="shared" si="84"/>
        <v>CG02769</v>
      </c>
    </row>
    <row r="2685" spans="1:11" x14ac:dyDescent="0.3">
      <c r="A2685" s="298" t="s">
        <v>8893</v>
      </c>
      <c r="B2685" s="298" t="s">
        <v>8894</v>
      </c>
      <c r="C2685" s="298" t="s">
        <v>8895</v>
      </c>
      <c r="D2685" s="298" t="s">
        <v>256</v>
      </c>
      <c r="E2685" s="298"/>
      <c r="F2685" s="298" t="s">
        <v>8896</v>
      </c>
      <c r="G2685" s="299" t="b">
        <v>0</v>
      </c>
      <c r="H2685" s="299" t="b">
        <v>0</v>
      </c>
      <c r="J2685" s="113" t="str">
        <f t="shared" si="83"/>
        <v>913069973</v>
      </c>
      <c r="K2685" s="113" t="str">
        <f t="shared" si="84"/>
        <v>CG02770</v>
      </c>
    </row>
    <row r="2686" spans="1:11" x14ac:dyDescent="0.3">
      <c r="A2686" s="298" t="s">
        <v>8897</v>
      </c>
      <c r="B2686" s="298" t="s">
        <v>8898</v>
      </c>
      <c r="C2686" s="298" t="s">
        <v>328</v>
      </c>
      <c r="D2686" s="298" t="s">
        <v>256</v>
      </c>
      <c r="E2686" s="298"/>
      <c r="F2686" s="298" t="s">
        <v>8899</v>
      </c>
      <c r="G2686" s="299" t="b">
        <v>0</v>
      </c>
      <c r="H2686" s="299" t="b">
        <v>0</v>
      </c>
      <c r="J2686" s="113" t="str">
        <f t="shared" si="83"/>
        <v>904356636</v>
      </c>
      <c r="K2686" s="113" t="str">
        <f t="shared" si="84"/>
        <v>CG02771</v>
      </c>
    </row>
    <row r="2687" spans="1:11" x14ac:dyDescent="0.3">
      <c r="A2687" s="298" t="s">
        <v>8900</v>
      </c>
      <c r="B2687" s="298" t="s">
        <v>8901</v>
      </c>
      <c r="C2687" s="298" t="s">
        <v>231</v>
      </c>
      <c r="D2687" s="298" t="s">
        <v>256</v>
      </c>
      <c r="E2687" s="298"/>
      <c r="F2687" s="298"/>
      <c r="G2687" s="299" t="b">
        <v>0</v>
      </c>
      <c r="H2687" s="299" t="b">
        <v>0</v>
      </c>
      <c r="J2687" s="113" t="str">
        <f t="shared" si="83"/>
        <v>368579404</v>
      </c>
      <c r="K2687" s="113" t="str">
        <f t="shared" si="84"/>
        <v>CG02772</v>
      </c>
    </row>
    <row r="2688" spans="1:11" x14ac:dyDescent="0.3">
      <c r="A2688" s="298" t="s">
        <v>8902</v>
      </c>
      <c r="B2688" s="298" t="s">
        <v>8903</v>
      </c>
      <c r="C2688" s="298" t="s">
        <v>8904</v>
      </c>
      <c r="D2688" s="298" t="s">
        <v>256</v>
      </c>
      <c r="E2688" s="298"/>
      <c r="F2688" s="298"/>
      <c r="G2688" s="299" t="b">
        <v>0</v>
      </c>
      <c r="H2688" s="299" t="b">
        <v>0</v>
      </c>
      <c r="J2688" s="113" t="str">
        <f t="shared" si="83"/>
        <v>388461871</v>
      </c>
      <c r="K2688" s="113" t="str">
        <f t="shared" si="84"/>
        <v>CG02773</v>
      </c>
    </row>
    <row r="2689" spans="1:11" x14ac:dyDescent="0.3">
      <c r="A2689" s="298" t="s">
        <v>8905</v>
      </c>
      <c r="B2689" s="298" t="s">
        <v>8906</v>
      </c>
      <c r="C2689" s="298" t="s">
        <v>2897</v>
      </c>
      <c r="D2689" s="298" t="s">
        <v>256</v>
      </c>
      <c r="E2689" s="298"/>
      <c r="F2689" s="298"/>
      <c r="G2689" s="299" t="b">
        <v>0</v>
      </c>
      <c r="H2689" s="299" t="b">
        <v>0</v>
      </c>
      <c r="J2689" s="113" t="str">
        <f t="shared" si="83"/>
        <v>947667468</v>
      </c>
      <c r="K2689" s="113" t="str">
        <f t="shared" si="84"/>
        <v>CG02774</v>
      </c>
    </row>
    <row r="2690" spans="1:11" x14ac:dyDescent="0.3">
      <c r="A2690" s="298" t="s">
        <v>8907</v>
      </c>
      <c r="B2690" s="298" t="s">
        <v>8908</v>
      </c>
      <c r="C2690" s="298" t="s">
        <v>8909</v>
      </c>
      <c r="D2690" s="298" t="s">
        <v>256</v>
      </c>
      <c r="E2690" s="298" t="s">
        <v>8910</v>
      </c>
      <c r="F2690" s="298" t="s">
        <v>8911</v>
      </c>
      <c r="G2690" s="299" t="b">
        <v>0</v>
      </c>
      <c r="H2690" s="299" t="b">
        <v>0</v>
      </c>
      <c r="J2690" s="113" t="str">
        <f t="shared" si="83"/>
        <v>801530605</v>
      </c>
      <c r="K2690" s="113" t="str">
        <f t="shared" si="84"/>
        <v>CG02775</v>
      </c>
    </row>
    <row r="2691" spans="1:11" x14ac:dyDescent="0.3">
      <c r="A2691" s="298" t="s">
        <v>8912</v>
      </c>
      <c r="B2691" s="298" t="s">
        <v>8913</v>
      </c>
      <c r="C2691" s="298" t="s">
        <v>1237</v>
      </c>
      <c r="D2691" s="298" t="s">
        <v>256</v>
      </c>
      <c r="E2691" s="298"/>
      <c r="F2691" s="298"/>
      <c r="G2691" s="299" t="b">
        <v>0</v>
      </c>
      <c r="H2691" s="299" t="b">
        <v>0</v>
      </c>
      <c r="J2691" s="113" t="str">
        <f t="shared" si="83"/>
        <v>968639839</v>
      </c>
      <c r="K2691" s="113" t="str">
        <f t="shared" si="84"/>
        <v>CG02776</v>
      </c>
    </row>
    <row r="2692" spans="1:11" x14ac:dyDescent="0.3">
      <c r="A2692" s="298" t="s">
        <v>8914</v>
      </c>
      <c r="B2692" s="298" t="s">
        <v>8915</v>
      </c>
      <c r="C2692" s="298" t="s">
        <v>1890</v>
      </c>
      <c r="D2692" s="298" t="s">
        <v>256</v>
      </c>
      <c r="E2692" s="298"/>
      <c r="F2692" s="298"/>
      <c r="G2692" s="299" t="b">
        <v>0</v>
      </c>
      <c r="H2692" s="299" t="b">
        <v>0</v>
      </c>
      <c r="J2692" s="113" t="str">
        <f t="shared" si="83"/>
        <v>374722631</v>
      </c>
      <c r="K2692" s="113" t="str">
        <f t="shared" si="84"/>
        <v>CG02777</v>
      </c>
    </row>
    <row r="2693" spans="1:11" x14ac:dyDescent="0.3">
      <c r="A2693" s="298" t="s">
        <v>8916</v>
      </c>
      <c r="B2693" s="298" t="s">
        <v>8917</v>
      </c>
      <c r="C2693" s="298" t="s">
        <v>8483</v>
      </c>
      <c r="D2693" s="298" t="s">
        <v>256</v>
      </c>
      <c r="E2693" s="298"/>
      <c r="F2693" s="298"/>
      <c r="G2693" s="299" t="b">
        <v>0</v>
      </c>
      <c r="H2693" s="299" t="b">
        <v>0</v>
      </c>
      <c r="J2693" s="113" t="str">
        <f t="shared" ref="J2693:J2756" si="85">RIGHT(B2693,9)</f>
        <v>967641111</v>
      </c>
      <c r="K2693" s="113" t="str">
        <f t="shared" ref="K2693:K2756" si="86">A2693</f>
        <v>CG02778</v>
      </c>
    </row>
    <row r="2694" spans="1:11" x14ac:dyDescent="0.3">
      <c r="A2694" s="298" t="s">
        <v>8918</v>
      </c>
      <c r="B2694" s="298" t="s">
        <v>8919</v>
      </c>
      <c r="C2694" s="298" t="s">
        <v>8920</v>
      </c>
      <c r="D2694" s="298" t="s">
        <v>256</v>
      </c>
      <c r="E2694" s="298"/>
      <c r="F2694" s="298" t="s">
        <v>8921</v>
      </c>
      <c r="G2694" s="299" t="b">
        <v>0</v>
      </c>
      <c r="H2694" s="299" t="b">
        <v>0</v>
      </c>
      <c r="J2694" s="113" t="str">
        <f t="shared" si="85"/>
        <v>974074072</v>
      </c>
      <c r="K2694" s="113" t="str">
        <f t="shared" si="86"/>
        <v>CG02779</v>
      </c>
    </row>
    <row r="2695" spans="1:11" x14ac:dyDescent="0.3">
      <c r="A2695" s="298" t="s">
        <v>8922</v>
      </c>
      <c r="B2695" s="298" t="s">
        <v>8923</v>
      </c>
      <c r="C2695" s="298" t="s">
        <v>2629</v>
      </c>
      <c r="D2695" s="298" t="s">
        <v>256</v>
      </c>
      <c r="E2695" s="298"/>
      <c r="F2695" s="298"/>
      <c r="G2695" s="299" t="b">
        <v>0</v>
      </c>
      <c r="H2695" s="299" t="b">
        <v>0</v>
      </c>
      <c r="J2695" s="113" t="str">
        <f t="shared" si="85"/>
        <v>987667722</v>
      </c>
      <c r="K2695" s="113" t="str">
        <f t="shared" si="86"/>
        <v>CG02780</v>
      </c>
    </row>
    <row r="2696" spans="1:11" x14ac:dyDescent="0.3">
      <c r="A2696" s="298" t="s">
        <v>8924</v>
      </c>
      <c r="B2696" s="298" t="s">
        <v>8925</v>
      </c>
      <c r="C2696" s="298" t="s">
        <v>3142</v>
      </c>
      <c r="D2696" s="298" t="s">
        <v>256</v>
      </c>
      <c r="E2696" s="298"/>
      <c r="F2696" s="298" t="s">
        <v>8926</v>
      </c>
      <c r="G2696" s="299" t="b">
        <v>0</v>
      </c>
      <c r="H2696" s="299" t="b">
        <v>0</v>
      </c>
      <c r="J2696" s="113" t="str">
        <f t="shared" si="85"/>
        <v>977386601</v>
      </c>
      <c r="K2696" s="113" t="str">
        <f t="shared" si="86"/>
        <v>CG02781</v>
      </c>
    </row>
    <row r="2697" spans="1:11" x14ac:dyDescent="0.3">
      <c r="A2697" s="298" t="s">
        <v>8927</v>
      </c>
      <c r="B2697" s="298" t="s">
        <v>8928</v>
      </c>
      <c r="C2697" s="298" t="s">
        <v>5252</v>
      </c>
      <c r="D2697" s="298" t="s">
        <v>256</v>
      </c>
      <c r="E2697" s="298"/>
      <c r="F2697" s="298"/>
      <c r="G2697" s="299" t="b">
        <v>0</v>
      </c>
      <c r="H2697" s="299" t="b">
        <v>0</v>
      </c>
      <c r="J2697" s="113" t="str">
        <f t="shared" si="85"/>
        <v>904575565</v>
      </c>
      <c r="K2697" s="113" t="str">
        <f t="shared" si="86"/>
        <v>CG02782</v>
      </c>
    </row>
    <row r="2698" spans="1:11" x14ac:dyDescent="0.3">
      <c r="A2698" s="298" t="s">
        <v>8929</v>
      </c>
      <c r="B2698" s="298" t="s">
        <v>8930</v>
      </c>
      <c r="C2698" s="298" t="s">
        <v>2654</v>
      </c>
      <c r="D2698" s="298" t="s">
        <v>256</v>
      </c>
      <c r="E2698" s="298" t="s">
        <v>8931</v>
      </c>
      <c r="F2698" s="298" t="s">
        <v>8932</v>
      </c>
      <c r="G2698" s="299" t="b">
        <v>0</v>
      </c>
      <c r="H2698" s="299" t="b">
        <v>0</v>
      </c>
      <c r="J2698" s="113" t="str">
        <f t="shared" si="85"/>
        <v>977411463</v>
      </c>
      <c r="K2698" s="113" t="str">
        <f t="shared" si="86"/>
        <v>CG02783</v>
      </c>
    </row>
    <row r="2699" spans="1:11" x14ac:dyDescent="0.3">
      <c r="A2699" s="298" t="s">
        <v>8933</v>
      </c>
      <c r="B2699" s="298" t="s">
        <v>8934</v>
      </c>
      <c r="C2699" s="298" t="s">
        <v>1821</v>
      </c>
      <c r="D2699" s="298" t="s">
        <v>256</v>
      </c>
      <c r="E2699" s="298"/>
      <c r="F2699" s="298"/>
      <c r="G2699" s="299" t="b">
        <v>0</v>
      </c>
      <c r="H2699" s="299" t="b">
        <v>0</v>
      </c>
      <c r="J2699" s="113" t="str">
        <f t="shared" si="85"/>
        <v>987071376</v>
      </c>
      <c r="K2699" s="113" t="str">
        <f t="shared" si="86"/>
        <v>CG02784</v>
      </c>
    </row>
    <row r="2700" spans="1:11" x14ac:dyDescent="0.3">
      <c r="A2700" s="298" t="s">
        <v>8935</v>
      </c>
      <c r="B2700" s="298" t="s">
        <v>8936</v>
      </c>
      <c r="C2700" s="298" t="s">
        <v>8937</v>
      </c>
      <c r="D2700" s="298" t="s">
        <v>256</v>
      </c>
      <c r="E2700" s="298"/>
      <c r="F2700" s="298" t="s">
        <v>5539</v>
      </c>
      <c r="G2700" s="299" t="b">
        <v>0</v>
      </c>
      <c r="H2700" s="299" t="b">
        <v>0</v>
      </c>
      <c r="J2700" s="113" t="str">
        <f t="shared" si="85"/>
        <v>912206960</v>
      </c>
      <c r="K2700" s="113" t="str">
        <f t="shared" si="86"/>
        <v>CG02785</v>
      </c>
    </row>
    <row r="2701" spans="1:11" x14ac:dyDescent="0.3">
      <c r="A2701" s="298" t="s">
        <v>8938</v>
      </c>
      <c r="B2701" s="298" t="s">
        <v>8939</v>
      </c>
      <c r="C2701" s="298" t="s">
        <v>230</v>
      </c>
      <c r="D2701" s="298" t="s">
        <v>256</v>
      </c>
      <c r="E2701" s="298"/>
      <c r="F2701" s="298"/>
      <c r="G2701" s="299" t="b">
        <v>0</v>
      </c>
      <c r="H2701" s="299" t="b">
        <v>0</v>
      </c>
      <c r="J2701" s="113" t="str">
        <f t="shared" si="85"/>
        <v>912475487</v>
      </c>
      <c r="K2701" s="113" t="str">
        <f t="shared" si="86"/>
        <v>CG02786</v>
      </c>
    </row>
    <row r="2702" spans="1:11" x14ac:dyDescent="0.3">
      <c r="A2702" s="298" t="s">
        <v>8940</v>
      </c>
      <c r="B2702" s="298" t="s">
        <v>8941</v>
      </c>
      <c r="C2702" s="298" t="s">
        <v>6184</v>
      </c>
      <c r="D2702" s="298" t="s">
        <v>256</v>
      </c>
      <c r="E2702" s="298"/>
      <c r="F2702" s="298"/>
      <c r="G2702" s="299" t="b">
        <v>0</v>
      </c>
      <c r="H2702" s="299" t="b">
        <v>0</v>
      </c>
      <c r="J2702" s="113" t="str">
        <f t="shared" si="85"/>
        <v>963125774</v>
      </c>
      <c r="K2702" s="113" t="str">
        <f t="shared" si="86"/>
        <v>CG02787</v>
      </c>
    </row>
    <row r="2703" spans="1:11" x14ac:dyDescent="0.3">
      <c r="A2703" s="298" t="s">
        <v>8942</v>
      </c>
      <c r="B2703" s="298" t="s">
        <v>8943</v>
      </c>
      <c r="C2703" s="298" t="s">
        <v>1011</v>
      </c>
      <c r="D2703" s="298" t="s">
        <v>256</v>
      </c>
      <c r="E2703" s="298"/>
      <c r="F2703" s="298"/>
      <c r="G2703" s="299" t="b">
        <v>0</v>
      </c>
      <c r="H2703" s="299" t="b">
        <v>0</v>
      </c>
      <c r="J2703" s="113" t="str">
        <f t="shared" si="85"/>
        <v>362457855</v>
      </c>
      <c r="K2703" s="113" t="str">
        <f t="shared" si="86"/>
        <v>CG02788</v>
      </c>
    </row>
    <row r="2704" spans="1:11" x14ac:dyDescent="0.3">
      <c r="A2704" s="298" t="s">
        <v>8944</v>
      </c>
      <c r="B2704" s="298" t="s">
        <v>8945</v>
      </c>
      <c r="C2704" s="298" t="s">
        <v>289</v>
      </c>
      <c r="D2704" s="298" t="s">
        <v>256</v>
      </c>
      <c r="E2704" s="298"/>
      <c r="F2704" s="298"/>
      <c r="G2704" s="299" t="b">
        <v>0</v>
      </c>
      <c r="H2704" s="299" t="b">
        <v>0</v>
      </c>
      <c r="J2704" s="113" t="str">
        <f t="shared" si="85"/>
        <v>914522266</v>
      </c>
      <c r="K2704" s="113" t="str">
        <f t="shared" si="86"/>
        <v>CG02789</v>
      </c>
    </row>
    <row r="2705" spans="1:11" x14ac:dyDescent="0.3">
      <c r="A2705" s="298" t="s">
        <v>8946</v>
      </c>
      <c r="B2705" s="298" t="s">
        <v>8947</v>
      </c>
      <c r="C2705" s="298" t="s">
        <v>390</v>
      </c>
      <c r="D2705" s="298" t="s">
        <v>256</v>
      </c>
      <c r="E2705" s="298"/>
      <c r="F2705" s="298"/>
      <c r="G2705" s="299" t="b">
        <v>0</v>
      </c>
      <c r="H2705" s="299" t="b">
        <v>0</v>
      </c>
      <c r="J2705" s="113" t="str">
        <f t="shared" si="85"/>
        <v>946275767</v>
      </c>
      <c r="K2705" s="113" t="str">
        <f t="shared" si="86"/>
        <v>CG02790</v>
      </c>
    </row>
    <row r="2706" spans="1:11" x14ac:dyDescent="0.3">
      <c r="A2706" s="298" t="s">
        <v>8948</v>
      </c>
      <c r="B2706" s="298" t="s">
        <v>8949</v>
      </c>
      <c r="C2706" s="298" t="s">
        <v>1873</v>
      </c>
      <c r="D2706" s="298" t="s">
        <v>256</v>
      </c>
      <c r="E2706" s="298"/>
      <c r="F2706" s="298" t="s">
        <v>8950</v>
      </c>
      <c r="G2706" s="299" t="b">
        <v>0</v>
      </c>
      <c r="H2706" s="299" t="b">
        <v>0</v>
      </c>
      <c r="J2706" s="113" t="str">
        <f t="shared" si="85"/>
        <v>967066399</v>
      </c>
      <c r="K2706" s="113" t="str">
        <f t="shared" si="86"/>
        <v>CG02791</v>
      </c>
    </row>
    <row r="2707" spans="1:11" x14ac:dyDescent="0.3">
      <c r="A2707" s="298" t="s">
        <v>8951</v>
      </c>
      <c r="B2707" s="298" t="s">
        <v>8952</v>
      </c>
      <c r="C2707" s="298" t="s">
        <v>405</v>
      </c>
      <c r="D2707" s="298" t="s">
        <v>256</v>
      </c>
      <c r="E2707" s="298" t="s">
        <v>8953</v>
      </c>
      <c r="F2707" s="298" t="s">
        <v>8954</v>
      </c>
      <c r="G2707" s="299" t="b">
        <v>0</v>
      </c>
      <c r="H2707" s="299" t="b">
        <v>0</v>
      </c>
      <c r="J2707" s="113" t="str">
        <f t="shared" si="85"/>
        <v>914376157</v>
      </c>
      <c r="K2707" s="113" t="str">
        <f t="shared" si="86"/>
        <v>CG02792</v>
      </c>
    </row>
    <row r="2708" spans="1:11" x14ac:dyDescent="0.3">
      <c r="A2708" s="298" t="s">
        <v>8955</v>
      </c>
      <c r="B2708" s="298" t="s">
        <v>8956</v>
      </c>
      <c r="C2708" s="298" t="s">
        <v>1796</v>
      </c>
      <c r="D2708" s="298" t="s">
        <v>256</v>
      </c>
      <c r="E2708" s="298"/>
      <c r="F2708" s="298"/>
      <c r="G2708" s="299" t="b">
        <v>0</v>
      </c>
      <c r="H2708" s="299" t="b">
        <v>0</v>
      </c>
      <c r="J2708" s="113" t="str">
        <f t="shared" si="85"/>
        <v>977896376</v>
      </c>
      <c r="K2708" s="113" t="str">
        <f t="shared" si="86"/>
        <v>CG02793</v>
      </c>
    </row>
    <row r="2709" spans="1:11" x14ac:dyDescent="0.3">
      <c r="A2709" s="298" t="s">
        <v>8957</v>
      </c>
      <c r="B2709" s="298" t="s">
        <v>8958</v>
      </c>
      <c r="C2709" s="298" t="s">
        <v>231</v>
      </c>
      <c r="D2709" s="298" t="s">
        <v>256</v>
      </c>
      <c r="E2709" s="298"/>
      <c r="F2709" s="298"/>
      <c r="G2709" s="299" t="b">
        <v>0</v>
      </c>
      <c r="H2709" s="299" t="b">
        <v>0</v>
      </c>
      <c r="J2709" s="113" t="str">
        <f t="shared" si="85"/>
        <v>915069344</v>
      </c>
      <c r="K2709" s="113" t="str">
        <f t="shared" si="86"/>
        <v>CG02794</v>
      </c>
    </row>
    <row r="2710" spans="1:11" x14ac:dyDescent="0.3">
      <c r="A2710" s="298" t="s">
        <v>8959</v>
      </c>
      <c r="B2710" s="298" t="s">
        <v>8960</v>
      </c>
      <c r="C2710" s="298" t="s">
        <v>289</v>
      </c>
      <c r="D2710" s="298" t="s">
        <v>256</v>
      </c>
      <c r="E2710" s="298"/>
      <c r="F2710" s="298"/>
      <c r="G2710" s="299" t="b">
        <v>0</v>
      </c>
      <c r="H2710" s="299" t="b">
        <v>0</v>
      </c>
      <c r="J2710" s="113" t="str">
        <f t="shared" si="85"/>
        <v>904837999</v>
      </c>
      <c r="K2710" s="113" t="str">
        <f t="shared" si="86"/>
        <v>CG02795</v>
      </c>
    </row>
    <row r="2711" spans="1:11" x14ac:dyDescent="0.3">
      <c r="A2711" s="298" t="s">
        <v>8961</v>
      </c>
      <c r="B2711" s="298" t="s">
        <v>8962</v>
      </c>
      <c r="C2711" s="298" t="s">
        <v>8963</v>
      </c>
      <c r="D2711" s="298" t="s">
        <v>256</v>
      </c>
      <c r="E2711" s="298"/>
      <c r="F2711" s="298"/>
      <c r="G2711" s="299" t="b">
        <v>0</v>
      </c>
      <c r="H2711" s="299" t="b">
        <v>0</v>
      </c>
      <c r="J2711" s="113" t="str">
        <f t="shared" si="85"/>
        <v>989565362</v>
      </c>
      <c r="K2711" s="113" t="str">
        <f t="shared" si="86"/>
        <v>CG02796</v>
      </c>
    </row>
    <row r="2712" spans="1:11" x14ac:dyDescent="0.3">
      <c r="A2712" s="298" t="s">
        <v>8964</v>
      </c>
      <c r="B2712" s="298" t="s">
        <v>8965</v>
      </c>
      <c r="C2712" s="298" t="s">
        <v>1776</v>
      </c>
      <c r="D2712" s="298" t="s">
        <v>256</v>
      </c>
      <c r="E2712" s="298"/>
      <c r="F2712" s="298"/>
      <c r="G2712" s="299" t="b">
        <v>0</v>
      </c>
      <c r="H2712" s="299" t="b">
        <v>0</v>
      </c>
      <c r="J2712" s="113" t="str">
        <f t="shared" si="85"/>
        <v>368278206</v>
      </c>
      <c r="K2712" s="113" t="str">
        <f t="shared" si="86"/>
        <v>CG02797</v>
      </c>
    </row>
    <row r="2713" spans="1:11" x14ac:dyDescent="0.3">
      <c r="A2713" s="298" t="s">
        <v>8966</v>
      </c>
      <c r="B2713" s="298" t="s">
        <v>8967</v>
      </c>
      <c r="C2713" s="298" t="s">
        <v>3336</v>
      </c>
      <c r="D2713" s="298" t="s">
        <v>256</v>
      </c>
      <c r="E2713" s="298"/>
      <c r="F2713" s="298" t="s">
        <v>8968</v>
      </c>
      <c r="G2713" s="299" t="b">
        <v>0</v>
      </c>
      <c r="H2713" s="299" t="b">
        <v>0</v>
      </c>
      <c r="J2713" s="113" t="str">
        <f t="shared" si="85"/>
        <v>915031754</v>
      </c>
      <c r="K2713" s="113" t="str">
        <f t="shared" si="86"/>
        <v>CG02798</v>
      </c>
    </row>
    <row r="2714" spans="1:11" x14ac:dyDescent="0.3">
      <c r="A2714" s="298" t="s">
        <v>8969</v>
      </c>
      <c r="B2714" s="298" t="s">
        <v>8970</v>
      </c>
      <c r="C2714" s="298" t="s">
        <v>8971</v>
      </c>
      <c r="D2714" s="298" t="s">
        <v>256</v>
      </c>
      <c r="E2714" s="298"/>
      <c r="F2714" s="298"/>
      <c r="G2714" s="299" t="b">
        <v>0</v>
      </c>
      <c r="H2714" s="299" t="b">
        <v>0</v>
      </c>
      <c r="J2714" s="113" t="str">
        <f t="shared" si="85"/>
        <v>986625155</v>
      </c>
      <c r="K2714" s="113" t="str">
        <f t="shared" si="86"/>
        <v>CG02799</v>
      </c>
    </row>
    <row r="2715" spans="1:11" x14ac:dyDescent="0.3">
      <c r="A2715" s="298" t="s">
        <v>8972</v>
      </c>
      <c r="B2715" s="298" t="s">
        <v>8973</v>
      </c>
      <c r="C2715" s="298" t="s">
        <v>1796</v>
      </c>
      <c r="D2715" s="298" t="s">
        <v>256</v>
      </c>
      <c r="E2715" s="298"/>
      <c r="F2715" s="298"/>
      <c r="G2715" s="299" t="b">
        <v>0</v>
      </c>
      <c r="H2715" s="299" t="b">
        <v>0</v>
      </c>
      <c r="J2715" s="113" t="str">
        <f t="shared" si="85"/>
        <v>352307839</v>
      </c>
      <c r="K2715" s="113" t="str">
        <f t="shared" si="86"/>
        <v>CG02800</v>
      </c>
    </row>
    <row r="2716" spans="1:11" x14ac:dyDescent="0.3">
      <c r="A2716" s="298" t="s">
        <v>8974</v>
      </c>
      <c r="B2716" s="298" t="s">
        <v>8975</v>
      </c>
      <c r="C2716" s="298" t="s">
        <v>1135</v>
      </c>
      <c r="D2716" s="298" t="s">
        <v>256</v>
      </c>
      <c r="E2716" s="298"/>
      <c r="F2716" s="298"/>
      <c r="G2716" s="299" t="b">
        <v>0</v>
      </c>
      <c r="H2716" s="299" t="b">
        <v>0</v>
      </c>
      <c r="J2716" s="113" t="str">
        <f t="shared" si="85"/>
        <v>387497567</v>
      </c>
      <c r="K2716" s="113" t="str">
        <f t="shared" si="86"/>
        <v>CG02801</v>
      </c>
    </row>
    <row r="2717" spans="1:11" x14ac:dyDescent="0.3">
      <c r="A2717" s="298" t="s">
        <v>8976</v>
      </c>
      <c r="B2717" s="298" t="s">
        <v>8977</v>
      </c>
      <c r="C2717" s="298" t="s">
        <v>2763</v>
      </c>
      <c r="D2717" s="298" t="s">
        <v>256</v>
      </c>
      <c r="E2717" s="298"/>
      <c r="F2717" s="298"/>
      <c r="G2717" s="299" t="b">
        <v>0</v>
      </c>
      <c r="H2717" s="299" t="b">
        <v>0</v>
      </c>
      <c r="J2717" s="113" t="str">
        <f t="shared" si="85"/>
        <v>702272899</v>
      </c>
      <c r="K2717" s="113" t="str">
        <f t="shared" si="86"/>
        <v>CG02802</v>
      </c>
    </row>
    <row r="2718" spans="1:11" x14ac:dyDescent="0.3">
      <c r="A2718" s="298" t="s">
        <v>8978</v>
      </c>
      <c r="B2718" s="298" t="s">
        <v>8979</v>
      </c>
      <c r="C2718" s="298" t="s">
        <v>8980</v>
      </c>
      <c r="D2718" s="298" t="s">
        <v>256</v>
      </c>
      <c r="E2718" s="298"/>
      <c r="F2718" s="298" t="s">
        <v>8981</v>
      </c>
      <c r="G2718" s="299" t="b">
        <v>0</v>
      </c>
      <c r="H2718" s="299" t="b">
        <v>0</v>
      </c>
      <c r="J2718" s="113" t="str">
        <f t="shared" si="85"/>
        <v>376581586</v>
      </c>
      <c r="K2718" s="113" t="str">
        <f t="shared" si="86"/>
        <v>CG02803</v>
      </c>
    </row>
    <row r="2719" spans="1:11" x14ac:dyDescent="0.3">
      <c r="A2719" s="298" t="s">
        <v>8982</v>
      </c>
      <c r="B2719" s="298" t="s">
        <v>8983</v>
      </c>
      <c r="C2719" s="298" t="s">
        <v>355</v>
      </c>
      <c r="D2719" s="298" t="s">
        <v>256</v>
      </c>
      <c r="E2719" s="298"/>
      <c r="F2719" s="298"/>
      <c r="G2719" s="299" t="b">
        <v>0</v>
      </c>
      <c r="H2719" s="299" t="b">
        <v>0</v>
      </c>
      <c r="J2719" s="113" t="str">
        <f t="shared" si="85"/>
        <v>984865666</v>
      </c>
      <c r="K2719" s="113" t="str">
        <f t="shared" si="86"/>
        <v>CG02804</v>
      </c>
    </row>
    <row r="2720" spans="1:11" x14ac:dyDescent="0.3">
      <c r="A2720" s="298" t="s">
        <v>8984</v>
      </c>
      <c r="B2720" s="298" t="s">
        <v>8985</v>
      </c>
      <c r="C2720" s="298" t="s">
        <v>3493</v>
      </c>
      <c r="D2720" s="298" t="s">
        <v>256</v>
      </c>
      <c r="E2720" s="298"/>
      <c r="F2720" s="298"/>
      <c r="G2720" s="299" t="b">
        <v>0</v>
      </c>
      <c r="H2720" s="299" t="b">
        <v>0</v>
      </c>
      <c r="J2720" s="113" t="str">
        <f t="shared" si="85"/>
        <v>904532165</v>
      </c>
      <c r="K2720" s="113" t="str">
        <f t="shared" si="86"/>
        <v>CG02805</v>
      </c>
    </row>
    <row r="2721" spans="1:11" x14ac:dyDescent="0.3">
      <c r="A2721" s="298" t="s">
        <v>8986</v>
      </c>
      <c r="B2721" s="298" t="s">
        <v>8987</v>
      </c>
      <c r="C2721" s="298" t="s">
        <v>231</v>
      </c>
      <c r="D2721" s="298" t="s">
        <v>256</v>
      </c>
      <c r="E2721" s="298"/>
      <c r="F2721" s="298"/>
      <c r="G2721" s="299" t="b">
        <v>0</v>
      </c>
      <c r="H2721" s="299" t="b">
        <v>0</v>
      </c>
      <c r="J2721" s="113" t="str">
        <f t="shared" si="85"/>
        <v>976909405</v>
      </c>
      <c r="K2721" s="113" t="str">
        <f t="shared" si="86"/>
        <v>CG02806</v>
      </c>
    </row>
    <row r="2722" spans="1:11" x14ac:dyDescent="0.3">
      <c r="A2722" s="298" t="s">
        <v>8988</v>
      </c>
      <c r="B2722" s="298" t="s">
        <v>8989</v>
      </c>
      <c r="C2722" s="298" t="s">
        <v>8971</v>
      </c>
      <c r="D2722" s="298" t="s">
        <v>256</v>
      </c>
      <c r="E2722" s="298"/>
      <c r="F2722" s="298" t="s">
        <v>8990</v>
      </c>
      <c r="G2722" s="299" t="b">
        <v>0</v>
      </c>
      <c r="H2722" s="299" t="b">
        <v>0</v>
      </c>
      <c r="J2722" s="113" t="str">
        <f t="shared" si="85"/>
        <v>913344292</v>
      </c>
      <c r="K2722" s="113" t="str">
        <f t="shared" si="86"/>
        <v>CG02807</v>
      </c>
    </row>
    <row r="2723" spans="1:11" x14ac:dyDescent="0.3">
      <c r="A2723" s="298" t="s">
        <v>8991</v>
      </c>
      <c r="B2723" s="298" t="s">
        <v>8992</v>
      </c>
      <c r="C2723" s="298" t="s">
        <v>541</v>
      </c>
      <c r="D2723" s="298" t="s">
        <v>256</v>
      </c>
      <c r="E2723" s="298"/>
      <c r="F2723" s="298"/>
      <c r="G2723" s="299" t="b">
        <v>0</v>
      </c>
      <c r="H2723" s="299" t="b">
        <v>0</v>
      </c>
      <c r="J2723" s="113" t="str">
        <f t="shared" si="85"/>
        <v>989668939</v>
      </c>
      <c r="K2723" s="113" t="str">
        <f t="shared" si="86"/>
        <v>CG02808</v>
      </c>
    </row>
    <row r="2724" spans="1:11" x14ac:dyDescent="0.3">
      <c r="A2724" s="298" t="s">
        <v>8993</v>
      </c>
      <c r="B2724" s="298" t="s">
        <v>8994</v>
      </c>
      <c r="C2724" s="298" t="s">
        <v>8995</v>
      </c>
      <c r="D2724" s="298" t="s">
        <v>256</v>
      </c>
      <c r="E2724" s="298"/>
      <c r="F2724" s="298"/>
      <c r="G2724" s="299" t="b">
        <v>0</v>
      </c>
      <c r="H2724" s="299" t="b">
        <v>0</v>
      </c>
      <c r="J2724" s="113" t="str">
        <f t="shared" si="85"/>
        <v>934155666</v>
      </c>
      <c r="K2724" s="113" t="str">
        <f t="shared" si="86"/>
        <v>CG02809</v>
      </c>
    </row>
    <row r="2725" spans="1:11" x14ac:dyDescent="0.3">
      <c r="A2725" s="298" t="s">
        <v>8996</v>
      </c>
      <c r="B2725" s="298" t="s">
        <v>8997</v>
      </c>
      <c r="C2725" s="298" t="s">
        <v>8998</v>
      </c>
      <c r="D2725" s="298" t="s">
        <v>256</v>
      </c>
      <c r="E2725" s="298"/>
      <c r="F2725" s="298"/>
      <c r="G2725" s="299" t="b">
        <v>0</v>
      </c>
      <c r="H2725" s="299" t="b">
        <v>0</v>
      </c>
      <c r="J2725" s="113" t="str">
        <f t="shared" si="85"/>
        <v>823322125</v>
      </c>
      <c r="K2725" s="113" t="str">
        <f t="shared" si="86"/>
        <v>CG02810</v>
      </c>
    </row>
    <row r="2726" spans="1:11" x14ac:dyDescent="0.3">
      <c r="A2726" s="298" t="s">
        <v>8999</v>
      </c>
      <c r="B2726" s="298" t="s">
        <v>9000</v>
      </c>
      <c r="C2726" s="298" t="s">
        <v>9001</v>
      </c>
      <c r="D2726" s="298" t="s">
        <v>256</v>
      </c>
      <c r="E2726" s="298"/>
      <c r="F2726" s="298"/>
      <c r="G2726" s="299" t="b">
        <v>0</v>
      </c>
      <c r="H2726" s="299" t="b">
        <v>0</v>
      </c>
      <c r="J2726" s="113" t="str">
        <f t="shared" si="85"/>
        <v>969922679</v>
      </c>
      <c r="K2726" s="113" t="str">
        <f t="shared" si="86"/>
        <v>CG02811</v>
      </c>
    </row>
    <row r="2727" spans="1:11" x14ac:dyDescent="0.3">
      <c r="A2727" s="298" t="s">
        <v>9002</v>
      </c>
      <c r="B2727" s="298" t="s">
        <v>9003</v>
      </c>
      <c r="C2727" s="298" t="s">
        <v>7014</v>
      </c>
      <c r="D2727" s="298" t="s">
        <v>256</v>
      </c>
      <c r="E2727" s="298"/>
      <c r="F2727" s="298"/>
      <c r="G2727" s="299" t="b">
        <v>0</v>
      </c>
      <c r="H2727" s="299" t="b">
        <v>0</v>
      </c>
      <c r="J2727" s="113" t="str">
        <f t="shared" si="85"/>
        <v>989114523</v>
      </c>
      <c r="K2727" s="113" t="str">
        <f t="shared" si="86"/>
        <v>CG02812</v>
      </c>
    </row>
    <row r="2728" spans="1:11" x14ac:dyDescent="0.3">
      <c r="A2728" s="298" t="s">
        <v>9004</v>
      </c>
      <c r="B2728" s="298" t="s">
        <v>9005</v>
      </c>
      <c r="C2728" s="298" t="s">
        <v>1508</v>
      </c>
      <c r="D2728" s="298" t="s">
        <v>256</v>
      </c>
      <c r="E2728" s="298"/>
      <c r="F2728" s="298" t="s">
        <v>9006</v>
      </c>
      <c r="G2728" s="299" t="b">
        <v>0</v>
      </c>
      <c r="H2728" s="299" t="b">
        <v>0</v>
      </c>
      <c r="J2728" s="113" t="str">
        <f t="shared" si="85"/>
        <v>977264191</v>
      </c>
      <c r="K2728" s="113" t="str">
        <f t="shared" si="86"/>
        <v>CG02813</v>
      </c>
    </row>
    <row r="2729" spans="1:11" x14ac:dyDescent="0.3">
      <c r="A2729" s="298" t="s">
        <v>9007</v>
      </c>
      <c r="B2729" s="298" t="s">
        <v>9008</v>
      </c>
      <c r="C2729" s="298" t="s">
        <v>2763</v>
      </c>
      <c r="D2729" s="298" t="s">
        <v>256</v>
      </c>
      <c r="E2729" s="298"/>
      <c r="F2729" s="298"/>
      <c r="G2729" s="299" t="b">
        <v>0</v>
      </c>
      <c r="H2729" s="299" t="b">
        <v>0</v>
      </c>
      <c r="J2729" s="113" t="str">
        <f t="shared" si="85"/>
        <v>974347882</v>
      </c>
      <c r="K2729" s="113" t="str">
        <f t="shared" si="86"/>
        <v>CG02814</v>
      </c>
    </row>
    <row r="2730" spans="1:11" x14ac:dyDescent="0.3">
      <c r="A2730" s="298" t="s">
        <v>9009</v>
      </c>
      <c r="B2730" s="298" t="s">
        <v>9010</v>
      </c>
      <c r="C2730" s="298" t="s">
        <v>9011</v>
      </c>
      <c r="D2730" s="298" t="s">
        <v>256</v>
      </c>
      <c r="E2730" s="298"/>
      <c r="F2730" s="298" t="s">
        <v>9012</v>
      </c>
      <c r="G2730" s="299" t="b">
        <v>0</v>
      </c>
      <c r="H2730" s="299" t="b">
        <v>0</v>
      </c>
      <c r="J2730" s="113" t="str">
        <f t="shared" si="85"/>
        <v>382152529</v>
      </c>
      <c r="K2730" s="113" t="str">
        <f t="shared" si="86"/>
        <v>CG02815</v>
      </c>
    </row>
    <row r="2731" spans="1:11" x14ac:dyDescent="0.3">
      <c r="A2731" s="298" t="s">
        <v>9013</v>
      </c>
      <c r="B2731" s="298" t="s">
        <v>9014</v>
      </c>
      <c r="C2731" s="298" t="s">
        <v>1579</v>
      </c>
      <c r="D2731" s="298" t="s">
        <v>256</v>
      </c>
      <c r="E2731" s="298"/>
      <c r="F2731" s="298" t="s">
        <v>9015</v>
      </c>
      <c r="G2731" s="299" t="b">
        <v>0</v>
      </c>
      <c r="H2731" s="299" t="b">
        <v>0</v>
      </c>
      <c r="J2731" s="113" t="str">
        <f t="shared" si="85"/>
        <v>964215590</v>
      </c>
      <c r="K2731" s="113" t="str">
        <f t="shared" si="86"/>
        <v>CG02816</v>
      </c>
    </row>
    <row r="2732" spans="1:11" x14ac:dyDescent="0.3">
      <c r="A2732" s="298" t="s">
        <v>9016</v>
      </c>
      <c r="B2732" s="298" t="s">
        <v>9017</v>
      </c>
      <c r="C2732" s="298" t="s">
        <v>7138</v>
      </c>
      <c r="D2732" s="298" t="s">
        <v>256</v>
      </c>
      <c r="E2732" s="298"/>
      <c r="F2732" s="298" t="s">
        <v>9018</v>
      </c>
      <c r="G2732" s="299" t="b">
        <v>0</v>
      </c>
      <c r="H2732" s="299" t="b">
        <v>0</v>
      </c>
      <c r="J2732" s="113" t="str">
        <f t="shared" si="85"/>
        <v>989149541</v>
      </c>
      <c r="K2732" s="113" t="str">
        <f t="shared" si="86"/>
        <v>CG02817</v>
      </c>
    </row>
    <row r="2733" spans="1:11" x14ac:dyDescent="0.3">
      <c r="A2733" s="298" t="s">
        <v>9019</v>
      </c>
      <c r="B2733" s="298" t="s">
        <v>9020</v>
      </c>
      <c r="C2733" s="298" t="s">
        <v>9021</v>
      </c>
      <c r="D2733" s="298" t="s">
        <v>256</v>
      </c>
      <c r="E2733" s="298"/>
      <c r="F2733" s="298"/>
      <c r="G2733" s="299" t="b">
        <v>0</v>
      </c>
      <c r="H2733" s="299" t="b">
        <v>0</v>
      </c>
      <c r="J2733" s="113" t="str">
        <f t="shared" si="85"/>
        <v>964981570</v>
      </c>
      <c r="K2733" s="113" t="str">
        <f t="shared" si="86"/>
        <v>CG02818</v>
      </c>
    </row>
    <row r="2734" spans="1:11" x14ac:dyDescent="0.3">
      <c r="A2734" s="298" t="s">
        <v>9022</v>
      </c>
      <c r="B2734" s="298" t="s">
        <v>9023</v>
      </c>
      <c r="C2734" s="298" t="s">
        <v>2720</v>
      </c>
      <c r="D2734" s="298" t="s">
        <v>256</v>
      </c>
      <c r="E2734" s="298"/>
      <c r="F2734" s="298"/>
      <c r="G2734" s="299" t="b">
        <v>0</v>
      </c>
      <c r="H2734" s="299" t="b">
        <v>0</v>
      </c>
      <c r="J2734" s="113" t="str">
        <f t="shared" si="85"/>
        <v>974891781</v>
      </c>
      <c r="K2734" s="113" t="str">
        <f t="shared" si="86"/>
        <v>CG02819</v>
      </c>
    </row>
    <row r="2735" spans="1:11" x14ac:dyDescent="0.3">
      <c r="A2735" s="298" t="s">
        <v>9024</v>
      </c>
      <c r="B2735" s="298" t="s">
        <v>9025</v>
      </c>
      <c r="C2735" s="298" t="s">
        <v>416</v>
      </c>
      <c r="D2735" s="298" t="s">
        <v>256</v>
      </c>
      <c r="E2735" s="298"/>
      <c r="F2735" s="298"/>
      <c r="G2735" s="299" t="b">
        <v>0</v>
      </c>
      <c r="H2735" s="299" t="b">
        <v>0</v>
      </c>
      <c r="J2735" s="113" t="str">
        <f t="shared" si="85"/>
        <v>983911725</v>
      </c>
      <c r="K2735" s="113" t="str">
        <f t="shared" si="86"/>
        <v>CG02820</v>
      </c>
    </row>
    <row r="2736" spans="1:11" x14ac:dyDescent="0.3">
      <c r="A2736" s="298" t="s">
        <v>9026</v>
      </c>
      <c r="B2736" s="298" t="s">
        <v>9027</v>
      </c>
      <c r="C2736" s="298" t="s">
        <v>8752</v>
      </c>
      <c r="D2736" s="298" t="s">
        <v>256</v>
      </c>
      <c r="E2736" s="298"/>
      <c r="F2736" s="298"/>
      <c r="G2736" s="299" t="b">
        <v>0</v>
      </c>
      <c r="H2736" s="299" t="b">
        <v>0</v>
      </c>
      <c r="J2736" s="113" t="str">
        <f t="shared" si="85"/>
        <v>917784316</v>
      </c>
      <c r="K2736" s="113" t="str">
        <f t="shared" si="86"/>
        <v>CG02821</v>
      </c>
    </row>
    <row r="2737" spans="1:11" x14ac:dyDescent="0.3">
      <c r="A2737" s="298" t="s">
        <v>9028</v>
      </c>
      <c r="B2737" s="298" t="s">
        <v>9029</v>
      </c>
      <c r="C2737" s="298" t="s">
        <v>4297</v>
      </c>
      <c r="D2737" s="298" t="s">
        <v>256</v>
      </c>
      <c r="E2737" s="298"/>
      <c r="F2737" s="298"/>
      <c r="G2737" s="299" t="b">
        <v>0</v>
      </c>
      <c r="H2737" s="299" t="b">
        <v>0</v>
      </c>
      <c r="J2737" s="113" t="str">
        <f t="shared" si="85"/>
        <v>961677267</v>
      </c>
      <c r="K2737" s="113" t="str">
        <f t="shared" si="86"/>
        <v>CG02822</v>
      </c>
    </row>
    <row r="2738" spans="1:11" x14ac:dyDescent="0.3">
      <c r="A2738" s="298" t="s">
        <v>9030</v>
      </c>
      <c r="B2738" s="298" t="s">
        <v>9031</v>
      </c>
      <c r="C2738" s="298" t="s">
        <v>1873</v>
      </c>
      <c r="D2738" s="298" t="s">
        <v>256</v>
      </c>
      <c r="E2738" s="298"/>
      <c r="F2738" s="298"/>
      <c r="G2738" s="299" t="b">
        <v>0</v>
      </c>
      <c r="H2738" s="299" t="b">
        <v>0</v>
      </c>
      <c r="J2738" s="113" t="str">
        <f t="shared" si="85"/>
        <v>963677514</v>
      </c>
      <c r="K2738" s="113" t="str">
        <f t="shared" si="86"/>
        <v>CG02823</v>
      </c>
    </row>
    <row r="2739" spans="1:11" x14ac:dyDescent="0.3">
      <c r="A2739" s="298" t="s">
        <v>9032</v>
      </c>
      <c r="B2739" s="298" t="s">
        <v>9033</v>
      </c>
      <c r="C2739" s="298" t="s">
        <v>892</v>
      </c>
      <c r="D2739" s="298" t="s">
        <v>256</v>
      </c>
      <c r="E2739" s="298"/>
      <c r="F2739" s="298"/>
      <c r="G2739" s="299" t="b">
        <v>0</v>
      </c>
      <c r="H2739" s="299" t="b">
        <v>0</v>
      </c>
      <c r="J2739" s="113" t="str">
        <f t="shared" si="85"/>
        <v>944540405</v>
      </c>
      <c r="K2739" s="113" t="str">
        <f t="shared" si="86"/>
        <v>CG02824</v>
      </c>
    </row>
    <row r="2740" spans="1:11" x14ac:dyDescent="0.3">
      <c r="A2740" s="298" t="s">
        <v>9034</v>
      </c>
      <c r="B2740" s="298" t="s">
        <v>9035</v>
      </c>
      <c r="C2740" s="298" t="s">
        <v>7014</v>
      </c>
      <c r="D2740" s="298" t="s">
        <v>256</v>
      </c>
      <c r="E2740" s="298"/>
      <c r="F2740" s="298"/>
      <c r="G2740" s="299" t="b">
        <v>0</v>
      </c>
      <c r="H2740" s="299" t="b">
        <v>0</v>
      </c>
      <c r="J2740" s="113" t="str">
        <f t="shared" si="85"/>
        <v>977702092</v>
      </c>
      <c r="K2740" s="113" t="str">
        <f t="shared" si="86"/>
        <v>CG02825</v>
      </c>
    </row>
    <row r="2741" spans="1:11" x14ac:dyDescent="0.3">
      <c r="A2741" s="298" t="s">
        <v>9036</v>
      </c>
      <c r="B2741" s="298" t="s">
        <v>9037</v>
      </c>
      <c r="C2741" s="298" t="s">
        <v>3230</v>
      </c>
      <c r="D2741" s="298" t="s">
        <v>256</v>
      </c>
      <c r="E2741" s="298"/>
      <c r="F2741" s="298"/>
      <c r="G2741" s="299" t="b">
        <v>0</v>
      </c>
      <c r="H2741" s="299" t="b">
        <v>0</v>
      </c>
      <c r="J2741" s="113" t="str">
        <f t="shared" si="85"/>
        <v>915014367</v>
      </c>
      <c r="K2741" s="113" t="str">
        <f t="shared" si="86"/>
        <v>CG02826</v>
      </c>
    </row>
    <row r="2742" spans="1:11" x14ac:dyDescent="0.3">
      <c r="A2742" s="298" t="s">
        <v>9038</v>
      </c>
      <c r="B2742" s="298" t="s">
        <v>13318</v>
      </c>
      <c r="C2742" s="298" t="s">
        <v>231</v>
      </c>
      <c r="D2742" s="298" t="s">
        <v>256</v>
      </c>
      <c r="E2742" s="298"/>
      <c r="F2742" s="298"/>
      <c r="G2742" s="299" t="b">
        <v>0</v>
      </c>
      <c r="H2742" s="299" t="b">
        <v>0</v>
      </c>
      <c r="J2742" s="113" t="str">
        <f t="shared" si="85"/>
        <v>983267628</v>
      </c>
      <c r="K2742" s="113" t="str">
        <f t="shared" si="86"/>
        <v>CG02827</v>
      </c>
    </row>
    <row r="2743" spans="1:11" x14ac:dyDescent="0.3">
      <c r="A2743" s="298" t="s">
        <v>9039</v>
      </c>
      <c r="B2743" s="298" t="s">
        <v>9040</v>
      </c>
      <c r="C2743" s="298" t="s">
        <v>785</v>
      </c>
      <c r="D2743" s="298" t="s">
        <v>256</v>
      </c>
      <c r="E2743" s="298"/>
      <c r="F2743" s="298"/>
      <c r="G2743" s="299" t="b">
        <v>0</v>
      </c>
      <c r="H2743" s="299" t="b">
        <v>0</v>
      </c>
      <c r="J2743" s="113" t="str">
        <f t="shared" si="85"/>
        <v>835223328</v>
      </c>
      <c r="K2743" s="113" t="str">
        <f t="shared" si="86"/>
        <v>CG02828</v>
      </c>
    </row>
    <row r="2744" spans="1:11" x14ac:dyDescent="0.3">
      <c r="A2744" s="298" t="s">
        <v>9041</v>
      </c>
      <c r="B2744" s="298" t="s">
        <v>9042</v>
      </c>
      <c r="C2744" s="298" t="s">
        <v>9043</v>
      </c>
      <c r="D2744" s="298" t="s">
        <v>256</v>
      </c>
      <c r="E2744" s="298"/>
      <c r="F2744" s="298" t="s">
        <v>9044</v>
      </c>
      <c r="G2744" s="299" t="b">
        <v>0</v>
      </c>
      <c r="H2744" s="299" t="b">
        <v>0</v>
      </c>
      <c r="J2744" s="113" t="str">
        <f t="shared" si="85"/>
        <v>942355565</v>
      </c>
      <c r="K2744" s="113" t="str">
        <f t="shared" si="86"/>
        <v>CG02829</v>
      </c>
    </row>
    <row r="2745" spans="1:11" x14ac:dyDescent="0.3">
      <c r="A2745" s="298" t="s">
        <v>9045</v>
      </c>
      <c r="B2745" s="298" t="s">
        <v>9046</v>
      </c>
      <c r="C2745" s="298" t="s">
        <v>1444</v>
      </c>
      <c r="D2745" s="298" t="s">
        <v>256</v>
      </c>
      <c r="E2745" s="298"/>
      <c r="F2745" s="298"/>
      <c r="G2745" s="299" t="b">
        <v>0</v>
      </c>
      <c r="H2745" s="299" t="b">
        <v>0</v>
      </c>
      <c r="J2745" s="113" t="str">
        <f t="shared" si="85"/>
        <v>949741745</v>
      </c>
      <c r="K2745" s="113" t="str">
        <f t="shared" si="86"/>
        <v>CG02830</v>
      </c>
    </row>
    <row r="2746" spans="1:11" x14ac:dyDescent="0.3">
      <c r="A2746" s="298" t="s">
        <v>9047</v>
      </c>
      <c r="B2746" s="298" t="s">
        <v>9048</v>
      </c>
      <c r="C2746" s="298" t="s">
        <v>9049</v>
      </c>
      <c r="D2746" s="298" t="s">
        <v>256</v>
      </c>
      <c r="E2746" s="298"/>
      <c r="F2746" s="298" t="s">
        <v>9050</v>
      </c>
      <c r="G2746" s="299" t="b">
        <v>0</v>
      </c>
      <c r="H2746" s="299" t="b">
        <v>0</v>
      </c>
      <c r="J2746" s="113" t="str">
        <f t="shared" si="85"/>
        <v>986068044</v>
      </c>
      <c r="K2746" s="113" t="str">
        <f t="shared" si="86"/>
        <v>CG02831</v>
      </c>
    </row>
    <row r="2747" spans="1:11" x14ac:dyDescent="0.3">
      <c r="A2747" s="298" t="s">
        <v>9051</v>
      </c>
      <c r="B2747" s="298" t="s">
        <v>9052</v>
      </c>
      <c r="C2747" s="298" t="s">
        <v>9053</v>
      </c>
      <c r="D2747" s="298" t="s">
        <v>256</v>
      </c>
      <c r="E2747" s="298"/>
      <c r="F2747" s="298" t="s">
        <v>9054</v>
      </c>
      <c r="G2747" s="299" t="b">
        <v>0</v>
      </c>
      <c r="H2747" s="299" t="b">
        <v>0</v>
      </c>
      <c r="J2747" s="113" t="str">
        <f t="shared" si="85"/>
        <v>976402218</v>
      </c>
      <c r="K2747" s="113" t="str">
        <f t="shared" si="86"/>
        <v>CG02832</v>
      </c>
    </row>
    <row r="2748" spans="1:11" x14ac:dyDescent="0.3">
      <c r="A2748" s="298" t="s">
        <v>9055</v>
      </c>
      <c r="B2748" s="298" t="s">
        <v>9056</v>
      </c>
      <c r="C2748" s="298" t="s">
        <v>9057</v>
      </c>
      <c r="D2748" s="298" t="s">
        <v>256</v>
      </c>
      <c r="E2748" s="298"/>
      <c r="F2748" s="298"/>
      <c r="G2748" s="299" t="b">
        <v>0</v>
      </c>
      <c r="H2748" s="299" t="b">
        <v>0</v>
      </c>
      <c r="J2748" s="113" t="str">
        <f t="shared" si="85"/>
        <v>945731027</v>
      </c>
      <c r="K2748" s="113" t="str">
        <f t="shared" si="86"/>
        <v>CG02833</v>
      </c>
    </row>
    <row r="2749" spans="1:11" x14ac:dyDescent="0.3">
      <c r="A2749" s="298" t="s">
        <v>9058</v>
      </c>
      <c r="B2749" s="298" t="s">
        <v>9059</v>
      </c>
      <c r="C2749" s="298" t="s">
        <v>1335</v>
      </c>
      <c r="D2749" s="298" t="s">
        <v>256</v>
      </c>
      <c r="E2749" s="298"/>
      <c r="F2749" s="298"/>
      <c r="G2749" s="299" t="b">
        <v>0</v>
      </c>
      <c r="H2749" s="299" t="b">
        <v>0</v>
      </c>
      <c r="J2749" s="113" t="str">
        <f t="shared" si="85"/>
        <v>986324088</v>
      </c>
      <c r="K2749" s="113" t="str">
        <f t="shared" si="86"/>
        <v>CG02834</v>
      </c>
    </row>
    <row r="2750" spans="1:11" x14ac:dyDescent="0.3">
      <c r="A2750" s="298" t="s">
        <v>9060</v>
      </c>
      <c r="B2750" s="298" t="s">
        <v>9061</v>
      </c>
      <c r="C2750" s="298" t="s">
        <v>9062</v>
      </c>
      <c r="D2750" s="298" t="s">
        <v>256</v>
      </c>
      <c r="E2750" s="298"/>
      <c r="F2750" s="298"/>
      <c r="G2750" s="299" t="b">
        <v>0</v>
      </c>
      <c r="H2750" s="299" t="b">
        <v>0</v>
      </c>
      <c r="J2750" s="113" t="str">
        <f t="shared" si="85"/>
        <v>812892755</v>
      </c>
      <c r="K2750" s="113" t="str">
        <f t="shared" si="86"/>
        <v>CG02835</v>
      </c>
    </row>
    <row r="2751" spans="1:11" x14ac:dyDescent="0.3">
      <c r="A2751" s="298" t="s">
        <v>9063</v>
      </c>
      <c r="B2751" s="298" t="s">
        <v>9064</v>
      </c>
      <c r="C2751" s="298" t="s">
        <v>9065</v>
      </c>
      <c r="D2751" s="298" t="s">
        <v>256</v>
      </c>
      <c r="E2751" s="298"/>
      <c r="F2751" s="298" t="s">
        <v>9066</v>
      </c>
      <c r="G2751" s="299" t="b">
        <v>0</v>
      </c>
      <c r="H2751" s="299" t="b">
        <v>0</v>
      </c>
      <c r="J2751" s="113" t="str">
        <f t="shared" si="85"/>
        <v>945380199</v>
      </c>
      <c r="K2751" s="113" t="str">
        <f t="shared" si="86"/>
        <v>CG02836</v>
      </c>
    </row>
    <row r="2752" spans="1:11" x14ac:dyDescent="0.3">
      <c r="A2752" s="298" t="s">
        <v>9067</v>
      </c>
      <c r="B2752" s="298" t="s">
        <v>9068</v>
      </c>
      <c r="C2752" s="298" t="s">
        <v>9069</v>
      </c>
      <c r="D2752" s="298" t="s">
        <v>256</v>
      </c>
      <c r="E2752" s="298"/>
      <c r="F2752" s="298" t="s">
        <v>9070</v>
      </c>
      <c r="G2752" s="299" t="b">
        <v>0</v>
      </c>
      <c r="H2752" s="299" t="b">
        <v>0</v>
      </c>
      <c r="J2752" s="113" t="str">
        <f t="shared" si="85"/>
        <v>936182187</v>
      </c>
      <c r="K2752" s="113" t="str">
        <f t="shared" si="86"/>
        <v>CG02837</v>
      </c>
    </row>
    <row r="2753" spans="1:11" x14ac:dyDescent="0.3">
      <c r="A2753" s="298" t="s">
        <v>9071</v>
      </c>
      <c r="B2753" s="298" t="s">
        <v>9072</v>
      </c>
      <c r="C2753" s="298" t="s">
        <v>9073</v>
      </c>
      <c r="D2753" s="298" t="s">
        <v>256</v>
      </c>
      <c r="E2753" s="298"/>
      <c r="F2753" s="298"/>
      <c r="G2753" s="299" t="b">
        <v>0</v>
      </c>
      <c r="H2753" s="299" t="b">
        <v>0</v>
      </c>
      <c r="J2753" s="113" t="str">
        <f t="shared" si="85"/>
        <v>904609549</v>
      </c>
      <c r="K2753" s="113" t="str">
        <f t="shared" si="86"/>
        <v>CG02838</v>
      </c>
    </row>
    <row r="2754" spans="1:11" x14ac:dyDescent="0.3">
      <c r="A2754" s="298" t="s">
        <v>9074</v>
      </c>
      <c r="B2754" s="298" t="s">
        <v>9075</v>
      </c>
      <c r="C2754" s="298" t="s">
        <v>9076</v>
      </c>
      <c r="D2754" s="298" t="s">
        <v>256</v>
      </c>
      <c r="E2754" s="298"/>
      <c r="F2754" s="298"/>
      <c r="G2754" s="299" t="b">
        <v>0</v>
      </c>
      <c r="H2754" s="299" t="b">
        <v>0</v>
      </c>
      <c r="J2754" s="113" t="str">
        <f t="shared" si="85"/>
        <v>917840598</v>
      </c>
      <c r="K2754" s="113" t="str">
        <f t="shared" si="86"/>
        <v>CG02839</v>
      </c>
    </row>
    <row r="2755" spans="1:11" x14ac:dyDescent="0.3">
      <c r="A2755" s="298" t="s">
        <v>9077</v>
      </c>
      <c r="B2755" s="298" t="s">
        <v>9078</v>
      </c>
      <c r="C2755" s="298" t="s">
        <v>693</v>
      </c>
      <c r="D2755" s="298" t="s">
        <v>256</v>
      </c>
      <c r="E2755" s="298"/>
      <c r="F2755" s="298"/>
      <c r="G2755" s="299" t="b">
        <v>0</v>
      </c>
      <c r="H2755" s="299" t="b">
        <v>0</v>
      </c>
      <c r="J2755" s="113" t="str">
        <f t="shared" si="85"/>
        <v>772293000</v>
      </c>
      <c r="K2755" s="113" t="str">
        <f t="shared" si="86"/>
        <v>CG02840</v>
      </c>
    </row>
    <row r="2756" spans="1:11" x14ac:dyDescent="0.3">
      <c r="A2756" s="298" t="s">
        <v>9079</v>
      </c>
      <c r="B2756" s="298" t="s">
        <v>9080</v>
      </c>
      <c r="C2756" s="298" t="s">
        <v>9057</v>
      </c>
      <c r="D2756" s="298" t="s">
        <v>256</v>
      </c>
      <c r="E2756" s="298"/>
      <c r="F2756" s="298" t="s">
        <v>9081</v>
      </c>
      <c r="G2756" s="299" t="b">
        <v>0</v>
      </c>
      <c r="H2756" s="299" t="b">
        <v>0</v>
      </c>
      <c r="J2756" s="113" t="str">
        <f t="shared" si="85"/>
        <v>988499333</v>
      </c>
      <c r="K2756" s="113" t="str">
        <f t="shared" si="86"/>
        <v>CG02841</v>
      </c>
    </row>
    <row r="2757" spans="1:11" x14ac:dyDescent="0.3">
      <c r="A2757" s="298" t="s">
        <v>9082</v>
      </c>
      <c r="B2757" s="298" t="s">
        <v>9083</v>
      </c>
      <c r="C2757" s="298" t="s">
        <v>1321</v>
      </c>
      <c r="D2757" s="298" t="s">
        <v>256</v>
      </c>
      <c r="E2757" s="298"/>
      <c r="F2757" s="298" t="s">
        <v>9084</v>
      </c>
      <c r="G2757" s="299" t="b">
        <v>0</v>
      </c>
      <c r="H2757" s="299" t="b">
        <v>0</v>
      </c>
      <c r="J2757" s="113" t="str">
        <f t="shared" ref="J2757:J2820" si="87">RIGHT(B2757,9)</f>
        <v>983026079</v>
      </c>
      <c r="K2757" s="113" t="str">
        <f t="shared" ref="K2757:K2820" si="88">A2757</f>
        <v>CG02842</v>
      </c>
    </row>
    <row r="2758" spans="1:11" x14ac:dyDescent="0.3">
      <c r="A2758" s="298" t="s">
        <v>9085</v>
      </c>
      <c r="B2758" s="298" t="s">
        <v>9086</v>
      </c>
      <c r="C2758" s="298" t="s">
        <v>9087</v>
      </c>
      <c r="D2758" s="298" t="s">
        <v>256</v>
      </c>
      <c r="E2758" s="298"/>
      <c r="F2758" s="298" t="s">
        <v>9088</v>
      </c>
      <c r="G2758" s="299" t="b">
        <v>0</v>
      </c>
      <c r="H2758" s="299" t="b">
        <v>0</v>
      </c>
      <c r="J2758" s="113" t="str">
        <f t="shared" si="87"/>
        <v>976711496</v>
      </c>
      <c r="K2758" s="113" t="str">
        <f t="shared" si="88"/>
        <v>CG02843</v>
      </c>
    </row>
    <row r="2759" spans="1:11" x14ac:dyDescent="0.3">
      <c r="A2759" s="298" t="s">
        <v>9089</v>
      </c>
      <c r="B2759" s="298" t="s">
        <v>9090</v>
      </c>
      <c r="C2759" s="298" t="s">
        <v>396</v>
      </c>
      <c r="D2759" s="298" t="s">
        <v>256</v>
      </c>
      <c r="E2759" s="298"/>
      <c r="F2759" s="298" t="s">
        <v>9091</v>
      </c>
      <c r="G2759" s="299" t="b">
        <v>0</v>
      </c>
      <c r="H2759" s="299" t="b">
        <v>0</v>
      </c>
      <c r="J2759" s="113" t="str">
        <f t="shared" si="87"/>
        <v>983362030</v>
      </c>
      <c r="K2759" s="113" t="str">
        <f t="shared" si="88"/>
        <v>CG02844</v>
      </c>
    </row>
    <row r="2760" spans="1:11" x14ac:dyDescent="0.3">
      <c r="A2760" s="298" t="s">
        <v>9092</v>
      </c>
      <c r="B2760" s="298" t="s">
        <v>9093</v>
      </c>
      <c r="C2760" s="298" t="s">
        <v>9094</v>
      </c>
      <c r="D2760" s="298" t="s">
        <v>256</v>
      </c>
      <c r="E2760" s="298"/>
      <c r="F2760" s="298" t="s">
        <v>9095</v>
      </c>
      <c r="G2760" s="299" t="b">
        <v>0</v>
      </c>
      <c r="H2760" s="299" t="b">
        <v>0</v>
      </c>
      <c r="J2760" s="113" t="str">
        <f t="shared" si="87"/>
        <v>973405756</v>
      </c>
      <c r="K2760" s="113" t="str">
        <f t="shared" si="88"/>
        <v>CG02845</v>
      </c>
    </row>
    <row r="2761" spans="1:11" x14ac:dyDescent="0.3">
      <c r="A2761" s="298" t="s">
        <v>9096</v>
      </c>
      <c r="B2761" s="298" t="s">
        <v>9097</v>
      </c>
      <c r="C2761" s="298" t="s">
        <v>9098</v>
      </c>
      <c r="D2761" s="298" t="s">
        <v>256</v>
      </c>
      <c r="E2761" s="298"/>
      <c r="F2761" s="298" t="s">
        <v>9099</v>
      </c>
      <c r="G2761" s="299" t="b">
        <v>0</v>
      </c>
      <c r="H2761" s="299" t="b">
        <v>0</v>
      </c>
      <c r="J2761" s="113" t="str">
        <f t="shared" si="87"/>
        <v>978989819</v>
      </c>
      <c r="K2761" s="113" t="str">
        <f t="shared" si="88"/>
        <v>CG02846</v>
      </c>
    </row>
    <row r="2762" spans="1:11" x14ac:dyDescent="0.3">
      <c r="A2762" s="298" t="s">
        <v>9100</v>
      </c>
      <c r="B2762" s="298" t="s">
        <v>9101</v>
      </c>
      <c r="C2762" s="298" t="s">
        <v>693</v>
      </c>
      <c r="D2762" s="298" t="s">
        <v>256</v>
      </c>
      <c r="E2762" s="298"/>
      <c r="F2762" s="298" t="s">
        <v>9102</v>
      </c>
      <c r="G2762" s="299" t="b">
        <v>0</v>
      </c>
      <c r="H2762" s="299" t="b">
        <v>0</v>
      </c>
      <c r="J2762" s="113" t="str">
        <f t="shared" si="87"/>
        <v>936396119</v>
      </c>
      <c r="K2762" s="113" t="str">
        <f t="shared" si="88"/>
        <v>CG02847</v>
      </c>
    </row>
    <row r="2763" spans="1:11" x14ac:dyDescent="0.3">
      <c r="A2763" s="298" t="s">
        <v>9103</v>
      </c>
      <c r="B2763" s="298" t="s">
        <v>9104</v>
      </c>
      <c r="C2763" s="298" t="s">
        <v>9105</v>
      </c>
      <c r="D2763" s="298" t="s">
        <v>256</v>
      </c>
      <c r="E2763" s="298"/>
      <c r="F2763" s="298" t="s">
        <v>9106</v>
      </c>
      <c r="G2763" s="299" t="b">
        <v>0</v>
      </c>
      <c r="H2763" s="299" t="b">
        <v>0</v>
      </c>
      <c r="J2763" s="113" t="str">
        <f t="shared" si="87"/>
        <v>946674672</v>
      </c>
      <c r="K2763" s="113" t="str">
        <f t="shared" si="88"/>
        <v>CG02848</v>
      </c>
    </row>
    <row r="2764" spans="1:11" x14ac:dyDescent="0.3">
      <c r="A2764" s="298" t="s">
        <v>9107</v>
      </c>
      <c r="B2764" s="298" t="s">
        <v>9108</v>
      </c>
      <c r="C2764" s="298" t="s">
        <v>9109</v>
      </c>
      <c r="D2764" s="298" t="s">
        <v>256</v>
      </c>
      <c r="E2764" s="298"/>
      <c r="F2764" s="298" t="s">
        <v>9110</v>
      </c>
      <c r="G2764" s="299" t="b">
        <v>0</v>
      </c>
      <c r="H2764" s="299" t="b">
        <v>0</v>
      </c>
      <c r="J2764" s="113" t="str">
        <f t="shared" si="87"/>
        <v>977302145</v>
      </c>
      <c r="K2764" s="113" t="str">
        <f t="shared" si="88"/>
        <v>CG02849</v>
      </c>
    </row>
    <row r="2765" spans="1:11" x14ac:dyDescent="0.3">
      <c r="A2765" s="298" t="s">
        <v>9111</v>
      </c>
      <c r="B2765" s="298" t="s">
        <v>9112</v>
      </c>
      <c r="C2765" s="298" t="s">
        <v>9113</v>
      </c>
      <c r="D2765" s="298" t="s">
        <v>256</v>
      </c>
      <c r="E2765" s="298"/>
      <c r="F2765" s="298" t="s">
        <v>9114</v>
      </c>
      <c r="G2765" s="299" t="b">
        <v>0</v>
      </c>
      <c r="H2765" s="299" t="b">
        <v>0</v>
      </c>
      <c r="J2765" s="113" t="str">
        <f t="shared" si="87"/>
        <v>971970484</v>
      </c>
      <c r="K2765" s="113" t="str">
        <f t="shared" si="88"/>
        <v>CG02850</v>
      </c>
    </row>
    <row r="2766" spans="1:11" x14ac:dyDescent="0.3">
      <c r="A2766" s="298" t="s">
        <v>9115</v>
      </c>
      <c r="B2766" s="298" t="s">
        <v>9116</v>
      </c>
      <c r="C2766" s="298" t="s">
        <v>9117</v>
      </c>
      <c r="D2766" s="298" t="s">
        <v>256</v>
      </c>
      <c r="E2766" s="298"/>
      <c r="F2766" s="298" t="s">
        <v>9118</v>
      </c>
      <c r="G2766" s="299" t="b">
        <v>0</v>
      </c>
      <c r="H2766" s="299" t="b">
        <v>0</v>
      </c>
      <c r="J2766" s="113" t="str">
        <f t="shared" si="87"/>
        <v>915130302</v>
      </c>
      <c r="K2766" s="113" t="str">
        <f t="shared" si="88"/>
        <v>CG02851</v>
      </c>
    </row>
    <row r="2767" spans="1:11" x14ac:dyDescent="0.3">
      <c r="A2767" s="298" t="s">
        <v>9119</v>
      </c>
      <c r="B2767" s="298" t="s">
        <v>9120</v>
      </c>
      <c r="C2767" s="298" t="s">
        <v>555</v>
      </c>
      <c r="D2767" s="298" t="s">
        <v>256</v>
      </c>
      <c r="E2767" s="298"/>
      <c r="F2767" s="298" t="s">
        <v>9121</v>
      </c>
      <c r="G2767" s="299" t="b">
        <v>0</v>
      </c>
      <c r="H2767" s="299" t="b">
        <v>0</v>
      </c>
      <c r="J2767" s="113" t="str">
        <f t="shared" si="87"/>
        <v>944006298</v>
      </c>
      <c r="K2767" s="113" t="str">
        <f t="shared" si="88"/>
        <v>CG02852</v>
      </c>
    </row>
    <row r="2768" spans="1:11" x14ac:dyDescent="0.3">
      <c r="A2768" s="298" t="s">
        <v>9122</v>
      </c>
      <c r="B2768" s="298" t="s">
        <v>9123</v>
      </c>
      <c r="C2768" s="298" t="s">
        <v>926</v>
      </c>
      <c r="D2768" s="298" t="s">
        <v>256</v>
      </c>
      <c r="E2768" s="298"/>
      <c r="F2768" s="298" t="s">
        <v>9124</v>
      </c>
      <c r="G2768" s="299" t="b">
        <v>0</v>
      </c>
      <c r="H2768" s="299" t="b">
        <v>0</v>
      </c>
      <c r="J2768" s="113" t="str">
        <f t="shared" si="87"/>
        <v>963200012</v>
      </c>
      <c r="K2768" s="113" t="str">
        <f t="shared" si="88"/>
        <v>CG02853</v>
      </c>
    </row>
    <row r="2769" spans="1:11" x14ac:dyDescent="0.3">
      <c r="A2769" s="298" t="s">
        <v>9125</v>
      </c>
      <c r="B2769" s="298" t="s">
        <v>9126</v>
      </c>
      <c r="C2769" s="298" t="s">
        <v>9127</v>
      </c>
      <c r="D2769" s="298" t="s">
        <v>256</v>
      </c>
      <c r="E2769" s="298" t="s">
        <v>9128</v>
      </c>
      <c r="F2769" s="298" t="s">
        <v>9129</v>
      </c>
      <c r="G2769" s="299" t="b">
        <v>0</v>
      </c>
      <c r="H2769" s="299" t="b">
        <v>0</v>
      </c>
      <c r="J2769" s="113" t="str">
        <f t="shared" si="87"/>
        <v>813752019</v>
      </c>
      <c r="K2769" s="113" t="str">
        <f t="shared" si="88"/>
        <v>CG02854</v>
      </c>
    </row>
    <row r="2770" spans="1:11" x14ac:dyDescent="0.3">
      <c r="A2770" s="298" t="s">
        <v>9130</v>
      </c>
      <c r="B2770" s="298" t="s">
        <v>9131</v>
      </c>
      <c r="C2770" s="298" t="s">
        <v>9132</v>
      </c>
      <c r="D2770" s="298" t="s">
        <v>256</v>
      </c>
      <c r="E2770" s="298"/>
      <c r="F2770" s="298" t="s">
        <v>9133</v>
      </c>
      <c r="G2770" s="299" t="b">
        <v>0</v>
      </c>
      <c r="H2770" s="299" t="b">
        <v>0</v>
      </c>
      <c r="J2770" s="113" t="str">
        <f t="shared" si="87"/>
        <v>984505585</v>
      </c>
      <c r="K2770" s="113" t="str">
        <f t="shared" si="88"/>
        <v>CG02855</v>
      </c>
    </row>
    <row r="2771" spans="1:11" x14ac:dyDescent="0.3">
      <c r="A2771" s="298" t="s">
        <v>9134</v>
      </c>
      <c r="B2771" s="298" t="s">
        <v>9135</v>
      </c>
      <c r="C2771" s="298" t="s">
        <v>9136</v>
      </c>
      <c r="D2771" s="298" t="s">
        <v>256</v>
      </c>
      <c r="E2771" s="298"/>
      <c r="F2771" s="298" t="s">
        <v>9137</v>
      </c>
      <c r="G2771" s="299" t="b">
        <v>0</v>
      </c>
      <c r="H2771" s="299" t="b">
        <v>0</v>
      </c>
      <c r="J2771" s="113" t="str">
        <f t="shared" si="87"/>
        <v>364798386</v>
      </c>
      <c r="K2771" s="113" t="str">
        <f t="shared" si="88"/>
        <v>CG02856</v>
      </c>
    </row>
    <row r="2772" spans="1:11" x14ac:dyDescent="0.3">
      <c r="A2772" s="298" t="s">
        <v>9138</v>
      </c>
      <c r="B2772" s="298" t="s">
        <v>9139</v>
      </c>
      <c r="C2772" s="298" t="s">
        <v>9140</v>
      </c>
      <c r="D2772" s="298" t="s">
        <v>256</v>
      </c>
      <c r="E2772" s="298"/>
      <c r="F2772" s="298" t="s">
        <v>9141</v>
      </c>
      <c r="G2772" s="299" t="b">
        <v>0</v>
      </c>
      <c r="H2772" s="299" t="b">
        <v>0</v>
      </c>
      <c r="J2772" s="113" t="str">
        <f t="shared" si="87"/>
        <v>938359513</v>
      </c>
      <c r="K2772" s="113" t="str">
        <f t="shared" si="88"/>
        <v>CG02857</v>
      </c>
    </row>
    <row r="2773" spans="1:11" x14ac:dyDescent="0.3">
      <c r="A2773" s="298" t="s">
        <v>9142</v>
      </c>
      <c r="B2773" s="298" t="s">
        <v>9143</v>
      </c>
      <c r="C2773" s="298" t="s">
        <v>9144</v>
      </c>
      <c r="D2773" s="298" t="s">
        <v>256</v>
      </c>
      <c r="E2773" s="298"/>
      <c r="F2773" s="298" t="s">
        <v>9145</v>
      </c>
      <c r="G2773" s="299" t="b">
        <v>0</v>
      </c>
      <c r="H2773" s="299" t="b">
        <v>0</v>
      </c>
      <c r="J2773" s="113" t="str">
        <f t="shared" si="87"/>
        <v>977903407</v>
      </c>
      <c r="K2773" s="113" t="str">
        <f t="shared" si="88"/>
        <v>CG02858</v>
      </c>
    </row>
    <row r="2774" spans="1:11" x14ac:dyDescent="0.3">
      <c r="A2774" s="298" t="s">
        <v>9146</v>
      </c>
      <c r="B2774" s="298" t="s">
        <v>9147</v>
      </c>
      <c r="C2774" s="298" t="s">
        <v>274</v>
      </c>
      <c r="D2774" s="298" t="s">
        <v>256</v>
      </c>
      <c r="E2774" s="298"/>
      <c r="F2774" s="298" t="s">
        <v>9148</v>
      </c>
      <c r="G2774" s="299" t="b">
        <v>0</v>
      </c>
      <c r="H2774" s="299" t="b">
        <v>0</v>
      </c>
      <c r="J2774" s="113" t="str">
        <f t="shared" si="87"/>
        <v>983784546</v>
      </c>
      <c r="K2774" s="113" t="str">
        <f t="shared" si="88"/>
        <v>CG02859</v>
      </c>
    </row>
    <row r="2775" spans="1:11" x14ac:dyDescent="0.3">
      <c r="A2775" s="298" t="s">
        <v>9149</v>
      </c>
      <c r="B2775" s="298" t="s">
        <v>9150</v>
      </c>
      <c r="C2775" s="298" t="s">
        <v>9151</v>
      </c>
      <c r="D2775" s="298" t="s">
        <v>256</v>
      </c>
      <c r="E2775" s="298"/>
      <c r="F2775" s="298" t="s">
        <v>9152</v>
      </c>
      <c r="G2775" s="299" t="b">
        <v>0</v>
      </c>
      <c r="H2775" s="299" t="b">
        <v>0</v>
      </c>
      <c r="J2775" s="113" t="str">
        <f t="shared" si="87"/>
        <v>396245899</v>
      </c>
      <c r="K2775" s="113" t="str">
        <f t="shared" si="88"/>
        <v>CG02860</v>
      </c>
    </row>
    <row r="2776" spans="1:11" x14ac:dyDescent="0.3">
      <c r="A2776" s="298" t="s">
        <v>9153</v>
      </c>
      <c r="B2776" s="298" t="s">
        <v>9154</v>
      </c>
      <c r="C2776" s="298" t="s">
        <v>9155</v>
      </c>
      <c r="D2776" s="298" t="s">
        <v>256</v>
      </c>
      <c r="E2776" s="298"/>
      <c r="F2776" s="298" t="s">
        <v>9156</v>
      </c>
      <c r="G2776" s="299" t="b">
        <v>0</v>
      </c>
      <c r="H2776" s="299" t="b">
        <v>0</v>
      </c>
      <c r="J2776" s="113" t="str">
        <f t="shared" si="87"/>
        <v>988209847</v>
      </c>
      <c r="K2776" s="113" t="str">
        <f t="shared" si="88"/>
        <v>CG02861</v>
      </c>
    </row>
    <row r="2777" spans="1:11" x14ac:dyDescent="0.3">
      <c r="A2777" s="298" t="s">
        <v>9157</v>
      </c>
      <c r="B2777" s="298" t="s">
        <v>9158</v>
      </c>
      <c r="C2777" s="298" t="s">
        <v>1059</v>
      </c>
      <c r="D2777" s="298" t="s">
        <v>256</v>
      </c>
      <c r="E2777" s="298"/>
      <c r="F2777" s="298" t="s">
        <v>9159</v>
      </c>
      <c r="G2777" s="299" t="b">
        <v>0</v>
      </c>
      <c r="H2777" s="299" t="b">
        <v>0</v>
      </c>
      <c r="J2777" s="113" t="str">
        <f t="shared" si="87"/>
        <v>982046190</v>
      </c>
      <c r="K2777" s="113" t="str">
        <f t="shared" si="88"/>
        <v>CG02862</v>
      </c>
    </row>
    <row r="2778" spans="1:11" x14ac:dyDescent="0.3">
      <c r="A2778" s="298" t="s">
        <v>9160</v>
      </c>
      <c r="B2778" s="298" t="s">
        <v>9161</v>
      </c>
      <c r="C2778" s="298" t="s">
        <v>8895</v>
      </c>
      <c r="D2778" s="298" t="s">
        <v>256</v>
      </c>
      <c r="E2778" s="298"/>
      <c r="F2778" s="298" t="s">
        <v>7639</v>
      </c>
      <c r="G2778" s="299" t="b">
        <v>0</v>
      </c>
      <c r="H2778" s="299" t="b">
        <v>0</v>
      </c>
      <c r="J2778" s="113" t="str">
        <f t="shared" si="87"/>
        <v>905837540</v>
      </c>
      <c r="K2778" s="113" t="str">
        <f t="shared" si="88"/>
        <v>CG02863</v>
      </c>
    </row>
    <row r="2779" spans="1:11" x14ac:dyDescent="0.3">
      <c r="A2779" s="298" t="s">
        <v>9162</v>
      </c>
      <c r="B2779" s="298" t="s">
        <v>9163</v>
      </c>
      <c r="C2779" s="298" t="s">
        <v>9021</v>
      </c>
      <c r="D2779" s="298" t="s">
        <v>256</v>
      </c>
      <c r="E2779" s="298"/>
      <c r="F2779" s="298" t="s">
        <v>9164</v>
      </c>
      <c r="G2779" s="299" t="b">
        <v>0</v>
      </c>
      <c r="H2779" s="299" t="b">
        <v>0</v>
      </c>
      <c r="J2779" s="113" t="str">
        <f t="shared" si="87"/>
        <v>963454818</v>
      </c>
      <c r="K2779" s="113" t="str">
        <f t="shared" si="88"/>
        <v>CG02864</v>
      </c>
    </row>
    <row r="2780" spans="1:11" x14ac:dyDescent="0.3">
      <c r="A2780" s="298" t="s">
        <v>9165</v>
      </c>
      <c r="B2780" s="298" t="s">
        <v>9166</v>
      </c>
      <c r="C2780" s="298" t="s">
        <v>8980</v>
      </c>
      <c r="D2780" s="298" t="s">
        <v>256</v>
      </c>
      <c r="E2780" s="298" t="s">
        <v>9167</v>
      </c>
      <c r="F2780" s="298" t="s">
        <v>9168</v>
      </c>
      <c r="G2780" s="299" t="b">
        <v>0</v>
      </c>
      <c r="H2780" s="299" t="b">
        <v>0</v>
      </c>
      <c r="J2780" s="113" t="str">
        <f t="shared" si="87"/>
        <v>384999668</v>
      </c>
      <c r="K2780" s="113" t="str">
        <f t="shared" si="88"/>
        <v>CG02865</v>
      </c>
    </row>
    <row r="2781" spans="1:11" x14ac:dyDescent="0.3">
      <c r="A2781" s="298" t="s">
        <v>9169</v>
      </c>
      <c r="B2781" s="298" t="s">
        <v>9170</v>
      </c>
      <c r="C2781" s="298" t="s">
        <v>9171</v>
      </c>
      <c r="D2781" s="298" t="s">
        <v>256</v>
      </c>
      <c r="E2781" s="298"/>
      <c r="F2781" s="298" t="s">
        <v>9172</v>
      </c>
      <c r="G2781" s="299" t="b">
        <v>0</v>
      </c>
      <c r="H2781" s="299" t="b">
        <v>0</v>
      </c>
      <c r="J2781" s="113" t="str">
        <f t="shared" si="87"/>
        <v>904390508</v>
      </c>
      <c r="K2781" s="113" t="str">
        <f t="shared" si="88"/>
        <v>CG02866</v>
      </c>
    </row>
    <row r="2782" spans="1:11" x14ac:dyDescent="0.3">
      <c r="A2782" s="298" t="s">
        <v>9173</v>
      </c>
      <c r="B2782" s="298" t="s">
        <v>9174</v>
      </c>
      <c r="C2782" s="298" t="s">
        <v>9175</v>
      </c>
      <c r="D2782" s="298" t="s">
        <v>256</v>
      </c>
      <c r="E2782" s="298"/>
      <c r="F2782" s="298" t="s">
        <v>9176</v>
      </c>
      <c r="G2782" s="299" t="b">
        <v>0</v>
      </c>
      <c r="H2782" s="299" t="b">
        <v>0</v>
      </c>
      <c r="J2782" s="113" t="str">
        <f t="shared" si="87"/>
        <v>986577522</v>
      </c>
      <c r="K2782" s="113" t="str">
        <f t="shared" si="88"/>
        <v>CG02867</v>
      </c>
    </row>
    <row r="2783" spans="1:11" x14ac:dyDescent="0.3">
      <c r="A2783" s="298" t="s">
        <v>9177</v>
      </c>
      <c r="B2783" s="298" t="s">
        <v>9178</v>
      </c>
      <c r="C2783" s="298" t="s">
        <v>3512</v>
      </c>
      <c r="D2783" s="298" t="s">
        <v>256</v>
      </c>
      <c r="E2783" s="298"/>
      <c r="F2783" s="298" t="s">
        <v>9179</v>
      </c>
      <c r="G2783" s="299" t="b">
        <v>0</v>
      </c>
      <c r="H2783" s="299" t="b">
        <v>0</v>
      </c>
      <c r="J2783" s="113" t="str">
        <f t="shared" si="87"/>
        <v>394418896</v>
      </c>
      <c r="K2783" s="113" t="str">
        <f t="shared" si="88"/>
        <v>CG02868</v>
      </c>
    </row>
    <row r="2784" spans="1:11" x14ac:dyDescent="0.3">
      <c r="A2784" s="298" t="s">
        <v>9180</v>
      </c>
      <c r="B2784" s="298" t="s">
        <v>9181</v>
      </c>
      <c r="C2784" s="298" t="s">
        <v>1407</v>
      </c>
      <c r="D2784" s="298" t="s">
        <v>256</v>
      </c>
      <c r="E2784" s="298"/>
      <c r="F2784" s="298" t="s">
        <v>9182</v>
      </c>
      <c r="G2784" s="299" t="b">
        <v>0</v>
      </c>
      <c r="H2784" s="299" t="b">
        <v>0</v>
      </c>
      <c r="J2784" s="113" t="str">
        <f t="shared" si="87"/>
        <v>967023709</v>
      </c>
      <c r="K2784" s="113" t="str">
        <f t="shared" si="88"/>
        <v>CG02869</v>
      </c>
    </row>
    <row r="2785" spans="1:11" x14ac:dyDescent="0.3">
      <c r="A2785" s="298" t="s">
        <v>9183</v>
      </c>
      <c r="B2785" s="298" t="s">
        <v>9184</v>
      </c>
      <c r="C2785" s="298" t="s">
        <v>9185</v>
      </c>
      <c r="D2785" s="298" t="s">
        <v>256</v>
      </c>
      <c r="E2785" s="298"/>
      <c r="F2785" s="298" t="s">
        <v>9186</v>
      </c>
      <c r="G2785" s="299" t="b">
        <v>0</v>
      </c>
      <c r="H2785" s="299" t="b">
        <v>0</v>
      </c>
      <c r="J2785" s="113" t="str">
        <f t="shared" si="87"/>
        <v>387448843</v>
      </c>
      <c r="K2785" s="113" t="str">
        <f t="shared" si="88"/>
        <v>CG02870</v>
      </c>
    </row>
    <row r="2786" spans="1:11" x14ac:dyDescent="0.3">
      <c r="A2786" s="298" t="s">
        <v>9187</v>
      </c>
      <c r="B2786" s="298" t="s">
        <v>9188</v>
      </c>
      <c r="C2786" s="298" t="s">
        <v>9189</v>
      </c>
      <c r="D2786" s="298" t="s">
        <v>256</v>
      </c>
      <c r="E2786" s="298"/>
      <c r="F2786" s="298" t="s">
        <v>9190</v>
      </c>
      <c r="G2786" s="299" t="b">
        <v>0</v>
      </c>
      <c r="H2786" s="299" t="b">
        <v>0</v>
      </c>
      <c r="J2786" s="113" t="str">
        <f t="shared" si="87"/>
        <v>942970042</v>
      </c>
      <c r="K2786" s="113" t="str">
        <f t="shared" si="88"/>
        <v>CG02871</v>
      </c>
    </row>
    <row r="2787" spans="1:11" x14ac:dyDescent="0.3">
      <c r="A2787" s="298" t="s">
        <v>9191</v>
      </c>
      <c r="B2787" s="298" t="s">
        <v>9192</v>
      </c>
      <c r="C2787" s="298" t="s">
        <v>9193</v>
      </c>
      <c r="D2787" s="298" t="s">
        <v>256</v>
      </c>
      <c r="E2787" s="298"/>
      <c r="F2787" s="298" t="s">
        <v>9194</v>
      </c>
      <c r="G2787" s="299" t="b">
        <v>0</v>
      </c>
      <c r="H2787" s="299" t="b">
        <v>0</v>
      </c>
      <c r="J2787" s="113" t="str">
        <f t="shared" si="87"/>
        <v>395975952</v>
      </c>
      <c r="K2787" s="113" t="str">
        <f t="shared" si="88"/>
        <v>CG02872</v>
      </c>
    </row>
    <row r="2788" spans="1:11" x14ac:dyDescent="0.3">
      <c r="A2788" s="298" t="s">
        <v>9195</v>
      </c>
      <c r="B2788" s="298" t="s">
        <v>9196</v>
      </c>
      <c r="C2788" s="298" t="s">
        <v>1873</v>
      </c>
      <c r="D2788" s="298" t="s">
        <v>256</v>
      </c>
      <c r="E2788" s="298"/>
      <c r="F2788" s="298" t="s">
        <v>9197</v>
      </c>
      <c r="G2788" s="299" t="b">
        <v>0</v>
      </c>
      <c r="H2788" s="299" t="b">
        <v>0</v>
      </c>
      <c r="J2788" s="113" t="str">
        <f t="shared" si="87"/>
        <v>946468663</v>
      </c>
      <c r="K2788" s="113" t="str">
        <f t="shared" si="88"/>
        <v>CG02873</v>
      </c>
    </row>
    <row r="2789" spans="1:11" x14ac:dyDescent="0.3">
      <c r="A2789" s="298" t="s">
        <v>9198</v>
      </c>
      <c r="B2789" s="298" t="s">
        <v>9199</v>
      </c>
      <c r="C2789" s="298" t="s">
        <v>7776</v>
      </c>
      <c r="D2789" s="298" t="s">
        <v>256</v>
      </c>
      <c r="E2789" s="298"/>
      <c r="F2789" s="298" t="s">
        <v>9200</v>
      </c>
      <c r="G2789" s="299" t="b">
        <v>0</v>
      </c>
      <c r="H2789" s="299" t="b">
        <v>0</v>
      </c>
      <c r="J2789" s="113" t="str">
        <f t="shared" si="87"/>
        <v>904339707</v>
      </c>
      <c r="K2789" s="113" t="str">
        <f t="shared" si="88"/>
        <v>CG02874</v>
      </c>
    </row>
    <row r="2790" spans="1:11" x14ac:dyDescent="0.3">
      <c r="A2790" s="298" t="s">
        <v>9201</v>
      </c>
      <c r="B2790" s="298" t="s">
        <v>9202</v>
      </c>
      <c r="C2790" s="298" t="s">
        <v>1561</v>
      </c>
      <c r="D2790" s="298" t="s">
        <v>256</v>
      </c>
      <c r="E2790" s="298"/>
      <c r="F2790" s="298" t="s">
        <v>9203</v>
      </c>
      <c r="G2790" s="299" t="b">
        <v>0</v>
      </c>
      <c r="H2790" s="299" t="b">
        <v>0</v>
      </c>
      <c r="J2790" s="113" t="str">
        <f t="shared" si="87"/>
        <v>914846712</v>
      </c>
      <c r="K2790" s="113" t="str">
        <f t="shared" si="88"/>
        <v>CG02875</v>
      </c>
    </row>
    <row r="2791" spans="1:11" x14ac:dyDescent="0.3">
      <c r="A2791" s="298" t="s">
        <v>9204</v>
      </c>
      <c r="B2791" s="298" t="s">
        <v>9205</v>
      </c>
      <c r="C2791" s="298" t="s">
        <v>8403</v>
      </c>
      <c r="D2791" s="298" t="s">
        <v>256</v>
      </c>
      <c r="E2791" s="298"/>
      <c r="F2791" s="298" t="s">
        <v>9206</v>
      </c>
      <c r="G2791" s="299" t="b">
        <v>0</v>
      </c>
      <c r="H2791" s="299" t="b">
        <v>0</v>
      </c>
      <c r="J2791" s="113" t="str">
        <f t="shared" si="87"/>
        <v>918046828</v>
      </c>
      <c r="K2791" s="113" t="str">
        <f t="shared" si="88"/>
        <v>CG02876</v>
      </c>
    </row>
    <row r="2792" spans="1:11" x14ac:dyDescent="0.3">
      <c r="A2792" s="298" t="s">
        <v>9207</v>
      </c>
      <c r="B2792" s="298" t="s">
        <v>9208</v>
      </c>
      <c r="C2792" s="298" t="s">
        <v>378</v>
      </c>
      <c r="D2792" s="298" t="s">
        <v>256</v>
      </c>
      <c r="E2792" s="298"/>
      <c r="F2792" s="298" t="s">
        <v>9209</v>
      </c>
      <c r="G2792" s="299" t="b">
        <v>0</v>
      </c>
      <c r="H2792" s="299" t="b">
        <v>0</v>
      </c>
      <c r="J2792" s="113" t="str">
        <f t="shared" si="87"/>
        <v>387303046</v>
      </c>
      <c r="K2792" s="113" t="str">
        <f t="shared" si="88"/>
        <v>CG02877</v>
      </c>
    </row>
    <row r="2793" spans="1:11" x14ac:dyDescent="0.3">
      <c r="A2793" s="298" t="s">
        <v>9210</v>
      </c>
      <c r="B2793" s="298" t="s">
        <v>9211</v>
      </c>
      <c r="C2793" s="298" t="s">
        <v>9212</v>
      </c>
      <c r="D2793" s="298" t="s">
        <v>256</v>
      </c>
      <c r="E2793" s="298"/>
      <c r="F2793" s="298" t="s">
        <v>9213</v>
      </c>
      <c r="G2793" s="299" t="b">
        <v>0</v>
      </c>
      <c r="H2793" s="299" t="b">
        <v>0</v>
      </c>
      <c r="J2793" s="113" t="str">
        <f t="shared" si="87"/>
        <v>967743134</v>
      </c>
      <c r="K2793" s="113" t="str">
        <f t="shared" si="88"/>
        <v>CG02878</v>
      </c>
    </row>
    <row r="2794" spans="1:11" x14ac:dyDescent="0.3">
      <c r="A2794" s="298" t="s">
        <v>9214</v>
      </c>
      <c r="B2794" s="298" t="s">
        <v>9215</v>
      </c>
      <c r="C2794" s="298" t="s">
        <v>9216</v>
      </c>
      <c r="D2794" s="298" t="s">
        <v>256</v>
      </c>
      <c r="E2794" s="298"/>
      <c r="F2794" s="298" t="s">
        <v>9217</v>
      </c>
      <c r="G2794" s="299" t="b">
        <v>0</v>
      </c>
      <c r="H2794" s="299" t="b">
        <v>0</v>
      </c>
      <c r="J2794" s="113" t="str">
        <f t="shared" si="87"/>
        <v>915190306</v>
      </c>
      <c r="K2794" s="113" t="str">
        <f t="shared" si="88"/>
        <v>CG02879</v>
      </c>
    </row>
    <row r="2795" spans="1:11" x14ac:dyDescent="0.3">
      <c r="A2795" s="298" t="s">
        <v>9218</v>
      </c>
      <c r="B2795" s="298" t="s">
        <v>9219</v>
      </c>
      <c r="C2795" s="298" t="s">
        <v>9220</v>
      </c>
      <c r="D2795" s="298" t="s">
        <v>256</v>
      </c>
      <c r="E2795" s="298"/>
      <c r="F2795" s="298" t="s">
        <v>9221</v>
      </c>
      <c r="G2795" s="299" t="b">
        <v>0</v>
      </c>
      <c r="H2795" s="299" t="b">
        <v>0</v>
      </c>
      <c r="J2795" s="113" t="str">
        <f t="shared" si="87"/>
        <v>903488084</v>
      </c>
      <c r="K2795" s="113" t="str">
        <f t="shared" si="88"/>
        <v>CG02880</v>
      </c>
    </row>
    <row r="2796" spans="1:11" x14ac:dyDescent="0.3">
      <c r="A2796" s="298" t="s">
        <v>9222</v>
      </c>
      <c r="B2796" s="298" t="s">
        <v>9223</v>
      </c>
      <c r="C2796" s="298" t="s">
        <v>9224</v>
      </c>
      <c r="D2796" s="298" t="s">
        <v>256</v>
      </c>
      <c r="E2796" s="298"/>
      <c r="F2796" s="298" t="s">
        <v>9225</v>
      </c>
      <c r="G2796" s="299" t="b">
        <v>0</v>
      </c>
      <c r="H2796" s="299" t="b">
        <v>0</v>
      </c>
      <c r="J2796" s="113" t="str">
        <f t="shared" si="87"/>
        <v>963222979</v>
      </c>
      <c r="K2796" s="113" t="str">
        <f t="shared" si="88"/>
        <v>CG02881</v>
      </c>
    </row>
    <row r="2797" spans="1:11" x14ac:dyDescent="0.3">
      <c r="A2797" s="298" t="s">
        <v>9226</v>
      </c>
      <c r="B2797" s="298" t="s">
        <v>9227</v>
      </c>
      <c r="C2797" s="298" t="s">
        <v>9228</v>
      </c>
      <c r="D2797" s="298" t="s">
        <v>256</v>
      </c>
      <c r="E2797" s="298"/>
      <c r="F2797" s="298" t="s">
        <v>9229</v>
      </c>
      <c r="G2797" s="299" t="b">
        <v>0</v>
      </c>
      <c r="H2797" s="299" t="b">
        <v>0</v>
      </c>
      <c r="J2797" s="113" t="str">
        <f t="shared" si="87"/>
        <v>901740660</v>
      </c>
      <c r="K2797" s="113" t="str">
        <f t="shared" si="88"/>
        <v>CG02882</v>
      </c>
    </row>
    <row r="2798" spans="1:11" x14ac:dyDescent="0.3">
      <c r="A2798" s="298" t="s">
        <v>9230</v>
      </c>
      <c r="B2798" s="298" t="s">
        <v>9231</v>
      </c>
      <c r="C2798" s="298" t="s">
        <v>9232</v>
      </c>
      <c r="D2798" s="298" t="s">
        <v>256</v>
      </c>
      <c r="E2798" s="298"/>
      <c r="F2798" s="298" t="s">
        <v>3901</v>
      </c>
      <c r="G2798" s="299" t="b">
        <v>0</v>
      </c>
      <c r="H2798" s="299" t="b">
        <v>0</v>
      </c>
      <c r="J2798" s="113" t="str">
        <f t="shared" si="87"/>
        <v>368888880</v>
      </c>
      <c r="K2798" s="113" t="str">
        <f t="shared" si="88"/>
        <v>CG02883</v>
      </c>
    </row>
    <row r="2799" spans="1:11" x14ac:dyDescent="0.3">
      <c r="A2799" s="298" t="s">
        <v>9233</v>
      </c>
      <c r="B2799" s="298" t="s">
        <v>9234</v>
      </c>
      <c r="C2799" s="298" t="s">
        <v>9235</v>
      </c>
      <c r="D2799" s="298" t="s">
        <v>256</v>
      </c>
      <c r="E2799" s="298"/>
      <c r="F2799" s="298" t="s">
        <v>9236</v>
      </c>
      <c r="G2799" s="299" t="b">
        <v>0</v>
      </c>
      <c r="H2799" s="299" t="b">
        <v>0</v>
      </c>
      <c r="J2799" s="113" t="str">
        <f t="shared" si="87"/>
        <v>986727081</v>
      </c>
      <c r="K2799" s="113" t="str">
        <f t="shared" si="88"/>
        <v>CG02884</v>
      </c>
    </row>
    <row r="2800" spans="1:11" x14ac:dyDescent="0.3">
      <c r="A2800" s="298" t="s">
        <v>9237</v>
      </c>
      <c r="B2800" s="298" t="s">
        <v>9238</v>
      </c>
      <c r="C2800" s="298" t="s">
        <v>3037</v>
      </c>
      <c r="D2800" s="298" t="s">
        <v>256</v>
      </c>
      <c r="E2800" s="298" t="s">
        <v>9239</v>
      </c>
      <c r="F2800" s="298"/>
      <c r="G2800" s="299" t="b">
        <v>0</v>
      </c>
      <c r="H2800" s="299" t="b">
        <v>0</v>
      </c>
      <c r="J2800" s="113" t="str">
        <f t="shared" si="87"/>
        <v>912432388</v>
      </c>
      <c r="K2800" s="113" t="str">
        <f t="shared" si="88"/>
        <v>CG02885</v>
      </c>
    </row>
    <row r="2801" spans="1:11" x14ac:dyDescent="0.3">
      <c r="A2801" s="298" t="s">
        <v>9240</v>
      </c>
      <c r="B2801" s="298" t="s">
        <v>9241</v>
      </c>
      <c r="C2801" s="298" t="s">
        <v>9242</v>
      </c>
      <c r="D2801" s="298" t="s">
        <v>256</v>
      </c>
      <c r="E2801" s="298"/>
      <c r="F2801" s="298" t="s">
        <v>9243</v>
      </c>
      <c r="G2801" s="299" t="b">
        <v>0</v>
      </c>
      <c r="H2801" s="299" t="b">
        <v>0</v>
      </c>
      <c r="J2801" s="113" t="str">
        <f t="shared" si="87"/>
        <v>985550974</v>
      </c>
      <c r="K2801" s="113" t="str">
        <f t="shared" si="88"/>
        <v>CG02886</v>
      </c>
    </row>
    <row r="2802" spans="1:11" x14ac:dyDescent="0.3">
      <c r="A2802" s="298" t="s">
        <v>9244</v>
      </c>
      <c r="B2802" s="298" t="s">
        <v>9245</v>
      </c>
      <c r="C2802" s="298" t="s">
        <v>3858</v>
      </c>
      <c r="D2802" s="298" t="s">
        <v>256</v>
      </c>
      <c r="E2802" s="298"/>
      <c r="F2802" s="298" t="s">
        <v>9246</v>
      </c>
      <c r="G2802" s="299" t="b">
        <v>0</v>
      </c>
      <c r="H2802" s="299" t="b">
        <v>0</v>
      </c>
      <c r="J2802" s="113" t="str">
        <f t="shared" si="87"/>
        <v>963854372</v>
      </c>
      <c r="K2802" s="113" t="str">
        <f t="shared" si="88"/>
        <v>CG02887</v>
      </c>
    </row>
    <row r="2803" spans="1:11" x14ac:dyDescent="0.3">
      <c r="A2803" s="298" t="s">
        <v>9247</v>
      </c>
      <c r="B2803" s="298" t="s">
        <v>9248</v>
      </c>
      <c r="C2803" s="298" t="s">
        <v>9249</v>
      </c>
      <c r="D2803" s="298" t="s">
        <v>256</v>
      </c>
      <c r="E2803" s="298"/>
      <c r="F2803" s="298" t="s">
        <v>9250</v>
      </c>
      <c r="G2803" s="299" t="b">
        <v>0</v>
      </c>
      <c r="H2803" s="299" t="b">
        <v>0</v>
      </c>
      <c r="J2803" s="113" t="str">
        <f t="shared" si="87"/>
        <v>334283619</v>
      </c>
      <c r="K2803" s="113" t="str">
        <f t="shared" si="88"/>
        <v>CG02888</v>
      </c>
    </row>
    <row r="2804" spans="1:11" x14ac:dyDescent="0.3">
      <c r="A2804" s="298" t="s">
        <v>9251</v>
      </c>
      <c r="B2804" s="298" t="s">
        <v>9252</v>
      </c>
      <c r="C2804" s="298" t="s">
        <v>9253</v>
      </c>
      <c r="D2804" s="298" t="s">
        <v>256</v>
      </c>
      <c r="E2804" s="298"/>
      <c r="F2804" s="298" t="s">
        <v>9254</v>
      </c>
      <c r="G2804" s="299" t="b">
        <v>0</v>
      </c>
      <c r="H2804" s="299" t="b">
        <v>0</v>
      </c>
      <c r="J2804" s="113" t="str">
        <f t="shared" si="87"/>
        <v>979656730</v>
      </c>
      <c r="K2804" s="113" t="str">
        <f t="shared" si="88"/>
        <v>CG02889</v>
      </c>
    </row>
    <row r="2805" spans="1:11" x14ac:dyDescent="0.3">
      <c r="A2805" s="298" t="s">
        <v>9255</v>
      </c>
      <c r="B2805" s="298" t="s">
        <v>9256</v>
      </c>
      <c r="C2805" s="298" t="s">
        <v>9057</v>
      </c>
      <c r="D2805" s="298" t="s">
        <v>256</v>
      </c>
      <c r="E2805" s="298"/>
      <c r="F2805" s="298" t="s">
        <v>9257</v>
      </c>
      <c r="G2805" s="299" t="b">
        <v>0</v>
      </c>
      <c r="H2805" s="299" t="b">
        <v>0</v>
      </c>
      <c r="J2805" s="113" t="str">
        <f t="shared" si="87"/>
        <v>395224938</v>
      </c>
      <c r="K2805" s="113" t="str">
        <f t="shared" si="88"/>
        <v>CG02890</v>
      </c>
    </row>
    <row r="2806" spans="1:11" x14ac:dyDescent="0.3">
      <c r="A2806" s="298" t="s">
        <v>9258</v>
      </c>
      <c r="B2806" s="298" t="s">
        <v>9259</v>
      </c>
      <c r="C2806" s="298" t="s">
        <v>2654</v>
      </c>
      <c r="D2806" s="298" t="s">
        <v>256</v>
      </c>
      <c r="E2806" s="298" t="s">
        <v>8931</v>
      </c>
      <c r="F2806" s="298" t="s">
        <v>9260</v>
      </c>
      <c r="G2806" s="299" t="b">
        <v>0</v>
      </c>
      <c r="H2806" s="299" t="b">
        <v>0</v>
      </c>
      <c r="J2806" s="113" t="str">
        <f t="shared" si="87"/>
        <v>974358668</v>
      </c>
      <c r="K2806" s="113" t="str">
        <f t="shared" si="88"/>
        <v>CG02891</v>
      </c>
    </row>
    <row r="2807" spans="1:11" x14ac:dyDescent="0.3">
      <c r="A2807" s="298" t="s">
        <v>9261</v>
      </c>
      <c r="B2807" s="298" t="s">
        <v>9262</v>
      </c>
      <c r="C2807" s="298" t="s">
        <v>4464</v>
      </c>
      <c r="D2807" s="298" t="s">
        <v>256</v>
      </c>
      <c r="E2807" s="298"/>
      <c r="F2807" s="298" t="s">
        <v>9263</v>
      </c>
      <c r="G2807" s="299" t="b">
        <v>0</v>
      </c>
      <c r="H2807" s="299" t="b">
        <v>0</v>
      </c>
      <c r="J2807" s="113" t="str">
        <f t="shared" si="87"/>
        <v>914797867</v>
      </c>
      <c r="K2807" s="113" t="str">
        <f t="shared" si="88"/>
        <v>CG02892</v>
      </c>
    </row>
    <row r="2808" spans="1:11" x14ac:dyDescent="0.3">
      <c r="A2808" s="298" t="s">
        <v>9264</v>
      </c>
      <c r="B2808" s="298" t="s">
        <v>9265</v>
      </c>
      <c r="C2808" s="298" t="s">
        <v>584</v>
      </c>
      <c r="D2808" s="298" t="s">
        <v>256</v>
      </c>
      <c r="E2808" s="298"/>
      <c r="F2808" s="298" t="s">
        <v>9266</v>
      </c>
      <c r="G2808" s="299" t="b">
        <v>0</v>
      </c>
      <c r="H2808" s="299" t="b">
        <v>0</v>
      </c>
      <c r="J2808" s="113" t="str">
        <f t="shared" si="87"/>
        <v>947296452</v>
      </c>
      <c r="K2808" s="113" t="str">
        <f t="shared" si="88"/>
        <v>CG02893</v>
      </c>
    </row>
    <row r="2809" spans="1:11" x14ac:dyDescent="0.3">
      <c r="A2809" s="298" t="s">
        <v>9267</v>
      </c>
      <c r="B2809" s="298" t="s">
        <v>9268</v>
      </c>
      <c r="C2809" s="298" t="s">
        <v>9269</v>
      </c>
      <c r="D2809" s="298" t="s">
        <v>256</v>
      </c>
      <c r="E2809" s="298" t="s">
        <v>9270</v>
      </c>
      <c r="F2809" s="298" t="s">
        <v>9271</v>
      </c>
      <c r="G2809" s="299" t="b">
        <v>0</v>
      </c>
      <c r="H2809" s="299" t="b">
        <v>0</v>
      </c>
      <c r="J2809" s="113" t="str">
        <f t="shared" si="87"/>
        <v>912249664</v>
      </c>
      <c r="K2809" s="113" t="str">
        <f t="shared" si="88"/>
        <v>CG02894</v>
      </c>
    </row>
    <row r="2810" spans="1:11" x14ac:dyDescent="0.3">
      <c r="A2810" s="298" t="s">
        <v>9272</v>
      </c>
      <c r="B2810" s="298" t="s">
        <v>9273</v>
      </c>
      <c r="C2810" s="298" t="s">
        <v>9274</v>
      </c>
      <c r="D2810" s="298" t="s">
        <v>256</v>
      </c>
      <c r="E2810" s="298"/>
      <c r="F2810" s="298" t="s">
        <v>9275</v>
      </c>
      <c r="G2810" s="299" t="b">
        <v>0</v>
      </c>
      <c r="H2810" s="299" t="b">
        <v>0</v>
      </c>
      <c r="J2810" s="113" t="str">
        <f t="shared" si="87"/>
        <v>915989497</v>
      </c>
      <c r="K2810" s="113" t="str">
        <f t="shared" si="88"/>
        <v>CG02895</v>
      </c>
    </row>
    <row r="2811" spans="1:11" x14ac:dyDescent="0.3">
      <c r="A2811" s="298" t="s">
        <v>9276</v>
      </c>
      <c r="B2811" s="298" t="s">
        <v>9277</v>
      </c>
      <c r="C2811" s="298" t="s">
        <v>584</v>
      </c>
      <c r="D2811" s="298" t="s">
        <v>256</v>
      </c>
      <c r="E2811" s="298"/>
      <c r="F2811" s="298" t="s">
        <v>9278</v>
      </c>
      <c r="G2811" s="299" t="b">
        <v>0</v>
      </c>
      <c r="H2811" s="299" t="b">
        <v>0</v>
      </c>
      <c r="J2811" s="113" t="str">
        <f t="shared" si="87"/>
        <v>941407622</v>
      </c>
      <c r="K2811" s="113" t="str">
        <f t="shared" si="88"/>
        <v>CG02896</v>
      </c>
    </row>
    <row r="2812" spans="1:11" x14ac:dyDescent="0.3">
      <c r="A2812" s="298" t="s">
        <v>9279</v>
      </c>
      <c r="B2812" s="298" t="s">
        <v>9280</v>
      </c>
      <c r="C2812" s="298" t="s">
        <v>9281</v>
      </c>
      <c r="D2812" s="298" t="s">
        <v>256</v>
      </c>
      <c r="E2812" s="298"/>
      <c r="F2812" s="298" t="s">
        <v>9282</v>
      </c>
      <c r="G2812" s="299" t="b">
        <v>0</v>
      </c>
      <c r="H2812" s="299" t="b">
        <v>0</v>
      </c>
      <c r="J2812" s="113" t="str">
        <f t="shared" si="87"/>
        <v>978145298</v>
      </c>
      <c r="K2812" s="113" t="str">
        <f t="shared" si="88"/>
        <v>CG02897</v>
      </c>
    </row>
    <row r="2813" spans="1:11" x14ac:dyDescent="0.3">
      <c r="A2813" s="298" t="s">
        <v>9283</v>
      </c>
      <c r="B2813" s="298" t="s">
        <v>9284</v>
      </c>
      <c r="C2813" s="298" t="s">
        <v>3037</v>
      </c>
      <c r="D2813" s="298" t="s">
        <v>256</v>
      </c>
      <c r="E2813" s="298"/>
      <c r="F2813" s="298" t="s">
        <v>9285</v>
      </c>
      <c r="G2813" s="299" t="b">
        <v>0</v>
      </c>
      <c r="H2813" s="299" t="b">
        <v>0</v>
      </c>
      <c r="J2813" s="113" t="str">
        <f t="shared" si="87"/>
        <v>961968135</v>
      </c>
      <c r="K2813" s="113" t="str">
        <f t="shared" si="88"/>
        <v>CG02898</v>
      </c>
    </row>
    <row r="2814" spans="1:11" x14ac:dyDescent="0.3">
      <c r="A2814" s="298" t="s">
        <v>9286</v>
      </c>
      <c r="B2814" s="298" t="s">
        <v>9287</v>
      </c>
      <c r="C2814" s="298" t="s">
        <v>9288</v>
      </c>
      <c r="D2814" s="298" t="s">
        <v>256</v>
      </c>
      <c r="E2814" s="298"/>
      <c r="F2814" s="298" t="s">
        <v>9289</v>
      </c>
      <c r="G2814" s="299" t="b">
        <v>0</v>
      </c>
      <c r="H2814" s="299" t="b">
        <v>0</v>
      </c>
      <c r="J2814" s="113" t="str">
        <f t="shared" si="87"/>
        <v>982466408</v>
      </c>
      <c r="K2814" s="113" t="str">
        <f t="shared" si="88"/>
        <v>CG02899</v>
      </c>
    </row>
    <row r="2815" spans="1:11" x14ac:dyDescent="0.3">
      <c r="A2815" s="298" t="s">
        <v>9290</v>
      </c>
      <c r="B2815" s="298" t="s">
        <v>9291</v>
      </c>
      <c r="C2815" s="298" t="s">
        <v>9292</v>
      </c>
      <c r="D2815" s="298" t="s">
        <v>256</v>
      </c>
      <c r="E2815" s="298"/>
      <c r="F2815" s="298" t="s">
        <v>9293</v>
      </c>
      <c r="G2815" s="299" t="b">
        <v>0</v>
      </c>
      <c r="H2815" s="299" t="b">
        <v>0</v>
      </c>
      <c r="J2815" s="113" t="str">
        <f t="shared" si="87"/>
        <v>982253520</v>
      </c>
      <c r="K2815" s="113" t="str">
        <f t="shared" si="88"/>
        <v>CG02900</v>
      </c>
    </row>
    <row r="2816" spans="1:11" x14ac:dyDescent="0.3">
      <c r="A2816" s="298" t="s">
        <v>9294</v>
      </c>
      <c r="B2816" s="298" t="s">
        <v>9295</v>
      </c>
      <c r="C2816" s="298" t="s">
        <v>9296</v>
      </c>
      <c r="D2816" s="298" t="s">
        <v>256</v>
      </c>
      <c r="E2816" s="298"/>
      <c r="F2816" s="298" t="s">
        <v>9297</v>
      </c>
      <c r="G2816" s="299" t="b">
        <v>0</v>
      </c>
      <c r="H2816" s="299" t="b">
        <v>0</v>
      </c>
      <c r="J2816" s="113" t="str">
        <f t="shared" si="87"/>
        <v>916414430</v>
      </c>
      <c r="K2816" s="113" t="str">
        <f t="shared" si="88"/>
        <v>CG02901</v>
      </c>
    </row>
    <row r="2817" spans="1:11" x14ac:dyDescent="0.3">
      <c r="A2817" s="298" t="s">
        <v>9298</v>
      </c>
      <c r="B2817" s="298" t="s">
        <v>9299</v>
      </c>
      <c r="C2817" s="298" t="s">
        <v>9300</v>
      </c>
      <c r="D2817" s="298" t="s">
        <v>256</v>
      </c>
      <c r="E2817" s="298"/>
      <c r="F2817" s="298" t="s">
        <v>9301</v>
      </c>
      <c r="G2817" s="299" t="b">
        <v>0</v>
      </c>
      <c r="H2817" s="299" t="b">
        <v>0</v>
      </c>
      <c r="J2817" s="113" t="str">
        <f t="shared" si="87"/>
        <v>362656199</v>
      </c>
      <c r="K2817" s="113" t="str">
        <f t="shared" si="88"/>
        <v>CG02902</v>
      </c>
    </row>
    <row r="2818" spans="1:11" x14ac:dyDescent="0.3">
      <c r="A2818" s="298" t="s">
        <v>9302</v>
      </c>
      <c r="B2818" s="298" t="s">
        <v>9303</v>
      </c>
      <c r="C2818" s="298" t="s">
        <v>9304</v>
      </c>
      <c r="D2818" s="298" t="s">
        <v>256</v>
      </c>
      <c r="E2818" s="298" t="s">
        <v>9305</v>
      </c>
      <c r="F2818" s="298" t="s">
        <v>9306</v>
      </c>
      <c r="G2818" s="299" t="b">
        <v>0</v>
      </c>
      <c r="H2818" s="299" t="b">
        <v>0</v>
      </c>
      <c r="J2818" s="113" t="str">
        <f t="shared" si="87"/>
        <v>919731368</v>
      </c>
      <c r="K2818" s="113" t="str">
        <f t="shared" si="88"/>
        <v>CG02903</v>
      </c>
    </row>
    <row r="2819" spans="1:11" x14ac:dyDescent="0.3">
      <c r="A2819" s="298" t="s">
        <v>9307</v>
      </c>
      <c r="B2819" s="298" t="s">
        <v>9308</v>
      </c>
      <c r="C2819" s="298" t="s">
        <v>1427</v>
      </c>
      <c r="D2819" s="298" t="s">
        <v>256</v>
      </c>
      <c r="E2819" s="298"/>
      <c r="F2819" s="298" t="s">
        <v>9309</v>
      </c>
      <c r="G2819" s="299" t="b">
        <v>0</v>
      </c>
      <c r="H2819" s="299" t="b">
        <v>0</v>
      </c>
      <c r="J2819" s="113" t="str">
        <f t="shared" si="87"/>
        <v>981084458</v>
      </c>
      <c r="K2819" s="113" t="str">
        <f t="shared" si="88"/>
        <v>CG02904</v>
      </c>
    </row>
    <row r="2820" spans="1:11" x14ac:dyDescent="0.3">
      <c r="A2820" s="298" t="s">
        <v>9310</v>
      </c>
      <c r="B2820" s="298" t="s">
        <v>9311</v>
      </c>
      <c r="C2820" s="298" t="s">
        <v>9312</v>
      </c>
      <c r="D2820" s="298" t="s">
        <v>256</v>
      </c>
      <c r="E2820" s="298"/>
      <c r="F2820" s="298" t="s">
        <v>9313</v>
      </c>
      <c r="G2820" s="299" t="b">
        <v>0</v>
      </c>
      <c r="H2820" s="299" t="b">
        <v>0</v>
      </c>
      <c r="J2820" s="113" t="str">
        <f t="shared" si="87"/>
        <v>989151213</v>
      </c>
      <c r="K2820" s="113" t="str">
        <f t="shared" si="88"/>
        <v>CG02905</v>
      </c>
    </row>
    <row r="2821" spans="1:11" x14ac:dyDescent="0.3">
      <c r="A2821" s="298" t="s">
        <v>9314</v>
      </c>
      <c r="B2821" s="298" t="s">
        <v>9315</v>
      </c>
      <c r="C2821" s="298" t="s">
        <v>9316</v>
      </c>
      <c r="D2821" s="298" t="s">
        <v>256</v>
      </c>
      <c r="E2821" s="298"/>
      <c r="F2821" s="298" t="s">
        <v>9317</v>
      </c>
      <c r="G2821" s="299" t="b">
        <v>0</v>
      </c>
      <c r="H2821" s="299" t="b">
        <v>0</v>
      </c>
      <c r="J2821" s="113" t="str">
        <f t="shared" ref="J2821:J2884" si="89">RIGHT(B2821,9)</f>
        <v>913044923</v>
      </c>
      <c r="K2821" s="113" t="str">
        <f t="shared" ref="K2821:K2884" si="90">A2821</f>
        <v>CG02906</v>
      </c>
    </row>
    <row r="2822" spans="1:11" x14ac:dyDescent="0.3">
      <c r="A2822" s="298" t="s">
        <v>9318</v>
      </c>
      <c r="B2822" s="298" t="s">
        <v>9319</v>
      </c>
      <c r="C2822" s="298" t="s">
        <v>274</v>
      </c>
      <c r="D2822" s="298" t="s">
        <v>256</v>
      </c>
      <c r="E2822" s="298"/>
      <c r="F2822" s="298" t="s">
        <v>9320</v>
      </c>
      <c r="G2822" s="299" t="b">
        <v>0</v>
      </c>
      <c r="H2822" s="299" t="b">
        <v>0</v>
      </c>
      <c r="J2822" s="113" t="str">
        <f t="shared" si="89"/>
        <v>392249999</v>
      </c>
      <c r="K2822" s="113" t="str">
        <f t="shared" si="90"/>
        <v>CG02907</v>
      </c>
    </row>
    <row r="2823" spans="1:11" x14ac:dyDescent="0.3">
      <c r="A2823" s="298" t="s">
        <v>9321</v>
      </c>
      <c r="B2823" s="298" t="s">
        <v>9322</v>
      </c>
      <c r="C2823" s="298" t="s">
        <v>9323</v>
      </c>
      <c r="D2823" s="298" t="s">
        <v>256</v>
      </c>
      <c r="E2823" s="298"/>
      <c r="F2823" s="298" t="s">
        <v>9324</v>
      </c>
      <c r="G2823" s="299" t="b">
        <v>0</v>
      </c>
      <c r="H2823" s="299" t="b">
        <v>0</v>
      </c>
      <c r="J2823" s="113" t="str">
        <f t="shared" si="89"/>
        <v>977972691</v>
      </c>
      <c r="K2823" s="113" t="str">
        <f t="shared" si="90"/>
        <v>CG02908</v>
      </c>
    </row>
    <row r="2824" spans="1:11" x14ac:dyDescent="0.3">
      <c r="A2824" s="298" t="s">
        <v>9325</v>
      </c>
      <c r="B2824" s="298" t="s">
        <v>9326</v>
      </c>
      <c r="C2824" s="298" t="s">
        <v>9113</v>
      </c>
      <c r="D2824" s="298" t="s">
        <v>256</v>
      </c>
      <c r="E2824" s="298"/>
      <c r="F2824" s="298" t="s">
        <v>9327</v>
      </c>
      <c r="G2824" s="299" t="b">
        <v>0</v>
      </c>
      <c r="H2824" s="299" t="b">
        <v>0</v>
      </c>
      <c r="J2824" s="113" t="str">
        <f t="shared" si="89"/>
        <v>912065362</v>
      </c>
      <c r="K2824" s="113" t="str">
        <f t="shared" si="90"/>
        <v>CG02909</v>
      </c>
    </row>
    <row r="2825" spans="1:11" x14ac:dyDescent="0.3">
      <c r="A2825" s="298" t="s">
        <v>9328</v>
      </c>
      <c r="B2825" s="298" t="s">
        <v>9329</v>
      </c>
      <c r="C2825" s="298" t="s">
        <v>2897</v>
      </c>
      <c r="D2825" s="298" t="s">
        <v>256</v>
      </c>
      <c r="E2825" s="298"/>
      <c r="F2825" s="298" t="s">
        <v>9330</v>
      </c>
      <c r="G2825" s="299" t="b">
        <v>0</v>
      </c>
      <c r="H2825" s="299" t="b">
        <v>0</v>
      </c>
      <c r="J2825" s="113" t="str">
        <f t="shared" si="89"/>
        <v>855019595</v>
      </c>
      <c r="K2825" s="113" t="str">
        <f t="shared" si="90"/>
        <v>CG02910</v>
      </c>
    </row>
    <row r="2826" spans="1:11" x14ac:dyDescent="0.3">
      <c r="A2826" s="298" t="s">
        <v>9331</v>
      </c>
      <c r="B2826" s="298" t="s">
        <v>9332</v>
      </c>
      <c r="C2826" s="298" t="s">
        <v>9333</v>
      </c>
      <c r="D2826" s="298" t="s">
        <v>256</v>
      </c>
      <c r="E2826" s="298"/>
      <c r="F2826" s="298" t="s">
        <v>9334</v>
      </c>
      <c r="G2826" s="299" t="b">
        <v>0</v>
      </c>
      <c r="H2826" s="299" t="b">
        <v>0</v>
      </c>
      <c r="J2826" s="113" t="str">
        <f t="shared" si="89"/>
        <v>973057087</v>
      </c>
      <c r="K2826" s="113" t="str">
        <f t="shared" si="90"/>
        <v>CG02911</v>
      </c>
    </row>
    <row r="2827" spans="1:11" x14ac:dyDescent="0.3">
      <c r="A2827" s="298" t="s">
        <v>9335</v>
      </c>
      <c r="B2827" s="298" t="s">
        <v>9336</v>
      </c>
      <c r="C2827" s="298" t="s">
        <v>8937</v>
      </c>
      <c r="D2827" s="298" t="s">
        <v>256</v>
      </c>
      <c r="E2827" s="298"/>
      <c r="F2827" s="298" t="s">
        <v>9337</v>
      </c>
      <c r="G2827" s="299" t="b">
        <v>0</v>
      </c>
      <c r="H2827" s="299" t="b">
        <v>0</v>
      </c>
      <c r="J2827" s="113" t="str">
        <f t="shared" si="89"/>
        <v>976409028</v>
      </c>
      <c r="K2827" s="113" t="str">
        <f t="shared" si="90"/>
        <v>CG02912</v>
      </c>
    </row>
    <row r="2828" spans="1:11" x14ac:dyDescent="0.3">
      <c r="A2828" s="298" t="s">
        <v>9338</v>
      </c>
      <c r="B2828" s="298" t="s">
        <v>9339</v>
      </c>
      <c r="C2828" s="298" t="s">
        <v>2897</v>
      </c>
      <c r="D2828" s="298" t="s">
        <v>256</v>
      </c>
      <c r="E2828" s="298"/>
      <c r="F2828" s="298" t="s">
        <v>9340</v>
      </c>
      <c r="G2828" s="299" t="b">
        <v>0</v>
      </c>
      <c r="H2828" s="299" t="b">
        <v>0</v>
      </c>
      <c r="J2828" s="113" t="str">
        <f t="shared" si="89"/>
        <v>976324816</v>
      </c>
      <c r="K2828" s="113" t="str">
        <f t="shared" si="90"/>
        <v>CG02913</v>
      </c>
    </row>
    <row r="2829" spans="1:11" x14ac:dyDescent="0.3">
      <c r="A2829" s="298" t="s">
        <v>9341</v>
      </c>
      <c r="B2829" s="298" t="s">
        <v>9342</v>
      </c>
      <c r="C2829" s="298" t="s">
        <v>3001</v>
      </c>
      <c r="D2829" s="298" t="s">
        <v>256</v>
      </c>
      <c r="E2829" s="298"/>
      <c r="F2829" s="298" t="s">
        <v>9343</v>
      </c>
      <c r="G2829" s="299" t="b">
        <v>0</v>
      </c>
      <c r="H2829" s="299" t="b">
        <v>0</v>
      </c>
      <c r="J2829" s="113" t="str">
        <f t="shared" si="89"/>
        <v>379416666</v>
      </c>
      <c r="K2829" s="113" t="str">
        <f t="shared" si="90"/>
        <v>CG02914</v>
      </c>
    </row>
    <row r="2830" spans="1:11" x14ac:dyDescent="0.3">
      <c r="A2830" s="298" t="s">
        <v>9344</v>
      </c>
      <c r="B2830" s="298" t="s">
        <v>9345</v>
      </c>
      <c r="C2830" s="298" t="s">
        <v>4217</v>
      </c>
      <c r="D2830" s="298" t="s">
        <v>256</v>
      </c>
      <c r="E2830" s="298"/>
      <c r="F2830" s="298" t="s">
        <v>9346</v>
      </c>
      <c r="G2830" s="299" t="b">
        <v>0</v>
      </c>
      <c r="H2830" s="299" t="b">
        <v>0</v>
      </c>
      <c r="J2830" s="113" t="str">
        <f t="shared" si="89"/>
        <v>971334899</v>
      </c>
      <c r="K2830" s="113" t="str">
        <f t="shared" si="90"/>
        <v>CG02915</v>
      </c>
    </row>
    <row r="2831" spans="1:11" x14ac:dyDescent="0.3">
      <c r="A2831" s="298" t="s">
        <v>9347</v>
      </c>
      <c r="B2831" s="298" t="s">
        <v>9348</v>
      </c>
      <c r="C2831" s="298" t="s">
        <v>378</v>
      </c>
      <c r="D2831" s="298" t="s">
        <v>256</v>
      </c>
      <c r="E2831" s="298"/>
      <c r="F2831" s="298" t="s">
        <v>9349</v>
      </c>
      <c r="G2831" s="299" t="b">
        <v>0</v>
      </c>
      <c r="H2831" s="299" t="b">
        <v>0</v>
      </c>
      <c r="J2831" s="113" t="str">
        <f t="shared" si="89"/>
        <v>979101622</v>
      </c>
      <c r="K2831" s="113" t="str">
        <f t="shared" si="90"/>
        <v>CG02916</v>
      </c>
    </row>
    <row r="2832" spans="1:11" x14ac:dyDescent="0.3">
      <c r="A2832" s="298" t="s">
        <v>9350</v>
      </c>
      <c r="B2832" s="298" t="s">
        <v>9351</v>
      </c>
      <c r="C2832" s="298" t="s">
        <v>9352</v>
      </c>
      <c r="D2832" s="298" t="s">
        <v>256</v>
      </c>
      <c r="E2832" s="298"/>
      <c r="F2832" s="298" t="s">
        <v>9353</v>
      </c>
      <c r="G2832" s="299" t="b">
        <v>0</v>
      </c>
      <c r="H2832" s="299" t="b">
        <v>0</v>
      </c>
      <c r="J2832" s="113" t="str">
        <f t="shared" si="89"/>
        <v>972729223</v>
      </c>
      <c r="K2832" s="113" t="str">
        <f t="shared" si="90"/>
        <v>CG02917</v>
      </c>
    </row>
    <row r="2833" spans="1:11" x14ac:dyDescent="0.3">
      <c r="A2833" s="298" t="s">
        <v>9354</v>
      </c>
      <c r="B2833" s="298" t="s">
        <v>9355</v>
      </c>
      <c r="C2833" s="298" t="s">
        <v>9356</v>
      </c>
      <c r="D2833" s="298" t="s">
        <v>256</v>
      </c>
      <c r="E2833" s="298"/>
      <c r="F2833" s="298" t="s">
        <v>9357</v>
      </c>
      <c r="G2833" s="299" t="b">
        <v>0</v>
      </c>
      <c r="H2833" s="299" t="b">
        <v>0</v>
      </c>
      <c r="J2833" s="113" t="str">
        <f t="shared" si="89"/>
        <v>989983343</v>
      </c>
      <c r="K2833" s="113" t="str">
        <f t="shared" si="90"/>
        <v>CG02918</v>
      </c>
    </row>
    <row r="2834" spans="1:11" x14ac:dyDescent="0.3">
      <c r="A2834" s="298" t="s">
        <v>9358</v>
      </c>
      <c r="B2834" s="298" t="s">
        <v>9359</v>
      </c>
      <c r="C2834" s="298" t="s">
        <v>8476</v>
      </c>
      <c r="D2834" s="298" t="s">
        <v>256</v>
      </c>
      <c r="E2834" s="298"/>
      <c r="F2834" s="298" t="s">
        <v>5275</v>
      </c>
      <c r="G2834" s="299" t="b">
        <v>0</v>
      </c>
      <c r="H2834" s="299" t="b">
        <v>0</v>
      </c>
      <c r="J2834" s="113" t="str">
        <f t="shared" si="89"/>
        <v>948501233</v>
      </c>
      <c r="K2834" s="113" t="str">
        <f t="shared" si="90"/>
        <v>CG02919</v>
      </c>
    </row>
    <row r="2835" spans="1:11" x14ac:dyDescent="0.3">
      <c r="A2835" s="298" t="s">
        <v>9360</v>
      </c>
      <c r="B2835" s="298" t="s">
        <v>9361</v>
      </c>
      <c r="C2835" s="298" t="s">
        <v>9362</v>
      </c>
      <c r="D2835" s="298" t="s">
        <v>256</v>
      </c>
      <c r="E2835" s="298"/>
      <c r="F2835" s="298" t="s">
        <v>9363</v>
      </c>
      <c r="G2835" s="299" t="b">
        <v>0</v>
      </c>
      <c r="H2835" s="299" t="b">
        <v>0</v>
      </c>
      <c r="J2835" s="113" t="str">
        <f t="shared" si="89"/>
        <v>387103836</v>
      </c>
      <c r="K2835" s="113" t="str">
        <f t="shared" si="90"/>
        <v>CG02920</v>
      </c>
    </row>
    <row r="2836" spans="1:11" x14ac:dyDescent="0.3">
      <c r="A2836" s="298" t="s">
        <v>9364</v>
      </c>
      <c r="B2836" s="298" t="s">
        <v>9365</v>
      </c>
      <c r="C2836" s="298" t="s">
        <v>1321</v>
      </c>
      <c r="D2836" s="298" t="s">
        <v>256</v>
      </c>
      <c r="E2836" s="298"/>
      <c r="F2836" s="298" t="s">
        <v>9366</v>
      </c>
      <c r="G2836" s="299" t="b">
        <v>0</v>
      </c>
      <c r="H2836" s="299" t="b">
        <v>0</v>
      </c>
      <c r="J2836" s="113" t="str">
        <f t="shared" si="89"/>
        <v>984200291</v>
      </c>
      <c r="K2836" s="113" t="str">
        <f t="shared" si="90"/>
        <v>CG02921</v>
      </c>
    </row>
    <row r="2837" spans="1:11" x14ac:dyDescent="0.3">
      <c r="A2837" s="298" t="s">
        <v>9367</v>
      </c>
      <c r="B2837" s="298" t="s">
        <v>9368</v>
      </c>
      <c r="C2837" s="298" t="s">
        <v>9369</v>
      </c>
      <c r="D2837" s="298" t="s">
        <v>256</v>
      </c>
      <c r="E2837" s="298"/>
      <c r="F2837" s="298" t="s">
        <v>9370</v>
      </c>
      <c r="G2837" s="299" t="b">
        <v>0</v>
      </c>
      <c r="H2837" s="299" t="b">
        <v>0</v>
      </c>
      <c r="J2837" s="113" t="str">
        <f t="shared" si="89"/>
        <v>963112586</v>
      </c>
      <c r="K2837" s="113" t="str">
        <f t="shared" si="90"/>
        <v>CG02922</v>
      </c>
    </row>
    <row r="2838" spans="1:11" x14ac:dyDescent="0.3">
      <c r="A2838" s="298" t="s">
        <v>9371</v>
      </c>
      <c r="B2838" s="298" t="s">
        <v>9372</v>
      </c>
      <c r="C2838" s="298" t="s">
        <v>9373</v>
      </c>
      <c r="D2838" s="298" t="s">
        <v>256</v>
      </c>
      <c r="E2838" s="298"/>
      <c r="F2838" s="298" t="s">
        <v>9374</v>
      </c>
      <c r="G2838" s="299" t="b">
        <v>0</v>
      </c>
      <c r="H2838" s="299" t="b">
        <v>0</v>
      </c>
      <c r="J2838" s="113" t="str">
        <f t="shared" si="89"/>
        <v>976648191</v>
      </c>
      <c r="K2838" s="113" t="str">
        <f t="shared" si="90"/>
        <v>CG02923</v>
      </c>
    </row>
    <row r="2839" spans="1:11" x14ac:dyDescent="0.3">
      <c r="A2839" s="298" t="s">
        <v>9375</v>
      </c>
      <c r="B2839" s="298" t="s">
        <v>9376</v>
      </c>
      <c r="C2839" s="298" t="s">
        <v>1910</v>
      </c>
      <c r="D2839" s="298" t="s">
        <v>256</v>
      </c>
      <c r="E2839" s="298"/>
      <c r="F2839" s="298" t="s">
        <v>9377</v>
      </c>
      <c r="G2839" s="299" t="b">
        <v>0</v>
      </c>
      <c r="H2839" s="299" t="b">
        <v>0</v>
      </c>
      <c r="J2839" s="113" t="str">
        <f t="shared" si="89"/>
        <v>911475657</v>
      </c>
      <c r="K2839" s="113" t="str">
        <f t="shared" si="90"/>
        <v>CG02924</v>
      </c>
    </row>
    <row r="2840" spans="1:11" x14ac:dyDescent="0.3">
      <c r="A2840" s="298" t="s">
        <v>9378</v>
      </c>
      <c r="B2840" s="298" t="s">
        <v>9379</v>
      </c>
      <c r="C2840" s="298" t="s">
        <v>274</v>
      </c>
      <c r="D2840" s="298" t="s">
        <v>256</v>
      </c>
      <c r="E2840" s="298"/>
      <c r="F2840" s="298" t="s">
        <v>9380</v>
      </c>
      <c r="G2840" s="299" t="b">
        <v>0</v>
      </c>
      <c r="H2840" s="299" t="b">
        <v>0</v>
      </c>
      <c r="J2840" s="113" t="str">
        <f t="shared" si="89"/>
        <v>366149988</v>
      </c>
      <c r="K2840" s="113" t="str">
        <f t="shared" si="90"/>
        <v>CG02925</v>
      </c>
    </row>
    <row r="2841" spans="1:11" x14ac:dyDescent="0.3">
      <c r="A2841" s="298" t="s">
        <v>9381</v>
      </c>
      <c r="B2841" s="298" t="s">
        <v>9382</v>
      </c>
      <c r="C2841" s="298" t="s">
        <v>9383</v>
      </c>
      <c r="D2841" s="298" t="s">
        <v>256</v>
      </c>
      <c r="E2841" s="298"/>
      <c r="F2841" s="298" t="s">
        <v>9384</v>
      </c>
      <c r="G2841" s="299" t="b">
        <v>0</v>
      </c>
      <c r="H2841" s="299" t="b">
        <v>0</v>
      </c>
      <c r="J2841" s="113" t="str">
        <f t="shared" si="89"/>
        <v>973518999</v>
      </c>
      <c r="K2841" s="113" t="str">
        <f t="shared" si="90"/>
        <v>CG02926</v>
      </c>
    </row>
    <row r="2842" spans="1:11" x14ac:dyDescent="0.3">
      <c r="A2842" s="298" t="s">
        <v>9385</v>
      </c>
      <c r="B2842" s="298" t="s">
        <v>9386</v>
      </c>
      <c r="C2842" s="298" t="s">
        <v>419</v>
      </c>
      <c r="D2842" s="298" t="s">
        <v>256</v>
      </c>
      <c r="E2842" s="298"/>
      <c r="F2842" s="298" t="s">
        <v>9387</v>
      </c>
      <c r="G2842" s="299" t="b">
        <v>0</v>
      </c>
      <c r="H2842" s="299" t="b">
        <v>0</v>
      </c>
      <c r="J2842" s="113" t="str">
        <f t="shared" si="89"/>
        <v>914170868</v>
      </c>
      <c r="K2842" s="113" t="str">
        <f t="shared" si="90"/>
        <v>CG02927</v>
      </c>
    </row>
    <row r="2843" spans="1:11" x14ac:dyDescent="0.3">
      <c r="A2843" s="298" t="s">
        <v>9388</v>
      </c>
      <c r="B2843" s="298" t="s">
        <v>9389</v>
      </c>
      <c r="C2843" s="298" t="s">
        <v>9390</v>
      </c>
      <c r="D2843" s="298" t="s">
        <v>256</v>
      </c>
      <c r="E2843" s="298"/>
      <c r="F2843" s="298" t="s">
        <v>9391</v>
      </c>
      <c r="G2843" s="299" t="b">
        <v>0</v>
      </c>
      <c r="H2843" s="299" t="b">
        <v>0</v>
      </c>
      <c r="J2843" s="113" t="str">
        <f t="shared" si="89"/>
        <v>904259999</v>
      </c>
      <c r="K2843" s="113" t="str">
        <f t="shared" si="90"/>
        <v>CG02928</v>
      </c>
    </row>
    <row r="2844" spans="1:11" x14ac:dyDescent="0.3">
      <c r="A2844" s="298" t="s">
        <v>9392</v>
      </c>
      <c r="B2844" s="298" t="s">
        <v>9393</v>
      </c>
      <c r="C2844" s="298" t="s">
        <v>9394</v>
      </c>
      <c r="D2844" s="298" t="s">
        <v>256</v>
      </c>
      <c r="E2844" s="298"/>
      <c r="F2844" s="298" t="s">
        <v>9395</v>
      </c>
      <c r="G2844" s="299" t="b">
        <v>0</v>
      </c>
      <c r="H2844" s="299" t="b">
        <v>0</v>
      </c>
      <c r="J2844" s="113" t="str">
        <f t="shared" si="89"/>
        <v>945078885</v>
      </c>
      <c r="K2844" s="113" t="str">
        <f t="shared" si="90"/>
        <v>CG02929</v>
      </c>
    </row>
    <row r="2845" spans="1:11" x14ac:dyDescent="0.3">
      <c r="A2845" s="298" t="s">
        <v>9396</v>
      </c>
      <c r="B2845" s="298" t="s">
        <v>9397</v>
      </c>
      <c r="C2845" s="298" t="s">
        <v>7179</v>
      </c>
      <c r="D2845" s="298" t="s">
        <v>256</v>
      </c>
      <c r="E2845" s="298"/>
      <c r="F2845" s="298" t="s">
        <v>9398</v>
      </c>
      <c r="G2845" s="299" t="b">
        <v>0</v>
      </c>
      <c r="H2845" s="299" t="b">
        <v>0</v>
      </c>
      <c r="J2845" s="113" t="str">
        <f t="shared" si="89"/>
        <v>968054992</v>
      </c>
      <c r="K2845" s="113" t="str">
        <f t="shared" si="90"/>
        <v>CG02930</v>
      </c>
    </row>
    <row r="2846" spans="1:11" x14ac:dyDescent="0.3">
      <c r="A2846" s="298" t="s">
        <v>9399</v>
      </c>
      <c r="B2846" s="298" t="s">
        <v>9400</v>
      </c>
      <c r="C2846" s="298" t="s">
        <v>9401</v>
      </c>
      <c r="D2846" s="298" t="s">
        <v>256</v>
      </c>
      <c r="E2846" s="298"/>
      <c r="F2846" s="298" t="s">
        <v>9402</v>
      </c>
      <c r="G2846" s="299" t="b">
        <v>0</v>
      </c>
      <c r="H2846" s="299" t="b">
        <v>0</v>
      </c>
      <c r="J2846" s="113" t="str">
        <f t="shared" si="89"/>
        <v>813207999</v>
      </c>
      <c r="K2846" s="113" t="str">
        <f t="shared" si="90"/>
        <v>CG02931</v>
      </c>
    </row>
    <row r="2847" spans="1:11" x14ac:dyDescent="0.3">
      <c r="A2847" s="298" t="s">
        <v>9403</v>
      </c>
      <c r="B2847" s="298" t="s">
        <v>9404</v>
      </c>
      <c r="C2847" s="298" t="s">
        <v>9405</v>
      </c>
      <c r="D2847" s="298" t="s">
        <v>256</v>
      </c>
      <c r="E2847" s="298"/>
      <c r="F2847" s="298" t="s">
        <v>9406</v>
      </c>
      <c r="G2847" s="299" t="b">
        <v>0</v>
      </c>
      <c r="H2847" s="299" t="b">
        <v>0</v>
      </c>
      <c r="J2847" s="113" t="str">
        <f t="shared" si="89"/>
        <v>977060130</v>
      </c>
      <c r="K2847" s="113" t="str">
        <f t="shared" si="90"/>
        <v>CG02932</v>
      </c>
    </row>
    <row r="2848" spans="1:11" x14ac:dyDescent="0.3">
      <c r="A2848" s="298" t="s">
        <v>9407</v>
      </c>
      <c r="B2848" s="298" t="s">
        <v>9408</v>
      </c>
      <c r="C2848" s="298" t="s">
        <v>277</v>
      </c>
      <c r="D2848" s="298" t="s">
        <v>256</v>
      </c>
      <c r="E2848" s="298"/>
      <c r="F2848" s="298" t="s">
        <v>9409</v>
      </c>
      <c r="G2848" s="299" t="b">
        <v>0</v>
      </c>
      <c r="H2848" s="299" t="b">
        <v>0</v>
      </c>
      <c r="J2848" s="113" t="str">
        <f t="shared" si="89"/>
        <v>974051230</v>
      </c>
      <c r="K2848" s="113" t="str">
        <f t="shared" si="90"/>
        <v>CG02933</v>
      </c>
    </row>
    <row r="2849" spans="1:11" x14ac:dyDescent="0.3">
      <c r="A2849" s="298" t="s">
        <v>9410</v>
      </c>
      <c r="B2849" s="298" t="s">
        <v>9411</v>
      </c>
      <c r="C2849" s="298" t="s">
        <v>9412</v>
      </c>
      <c r="D2849" s="298" t="s">
        <v>256</v>
      </c>
      <c r="E2849" s="298"/>
      <c r="F2849" s="298" t="s">
        <v>9413</v>
      </c>
      <c r="G2849" s="299" t="b">
        <v>0</v>
      </c>
      <c r="H2849" s="299" t="b">
        <v>0</v>
      </c>
      <c r="J2849" s="113" t="str">
        <f t="shared" si="89"/>
        <v>982358618</v>
      </c>
      <c r="K2849" s="113" t="str">
        <f t="shared" si="90"/>
        <v>CG02934</v>
      </c>
    </row>
    <row r="2850" spans="1:11" x14ac:dyDescent="0.3">
      <c r="A2850" s="298" t="s">
        <v>9414</v>
      </c>
      <c r="B2850" s="298" t="s">
        <v>9415</v>
      </c>
      <c r="C2850" s="298" t="s">
        <v>405</v>
      </c>
      <c r="D2850" s="298" t="s">
        <v>256</v>
      </c>
      <c r="E2850" s="298"/>
      <c r="F2850" s="298" t="s">
        <v>9416</v>
      </c>
      <c r="G2850" s="299" t="b">
        <v>0</v>
      </c>
      <c r="H2850" s="299" t="b">
        <v>0</v>
      </c>
      <c r="J2850" s="113" t="str">
        <f t="shared" si="89"/>
        <v>346839745</v>
      </c>
      <c r="K2850" s="113" t="str">
        <f t="shared" si="90"/>
        <v>CG02935</v>
      </c>
    </row>
    <row r="2851" spans="1:11" x14ac:dyDescent="0.3">
      <c r="A2851" s="298" t="s">
        <v>9417</v>
      </c>
      <c r="B2851" s="298" t="s">
        <v>9418</v>
      </c>
      <c r="C2851" s="298" t="s">
        <v>9419</v>
      </c>
      <c r="D2851" s="298" t="s">
        <v>256</v>
      </c>
      <c r="E2851" s="298"/>
      <c r="F2851" s="298" t="s">
        <v>9420</v>
      </c>
      <c r="G2851" s="299" t="b">
        <v>0</v>
      </c>
      <c r="H2851" s="299" t="b">
        <v>0</v>
      </c>
      <c r="J2851" s="113" t="str">
        <f t="shared" si="89"/>
        <v>336789234</v>
      </c>
      <c r="K2851" s="113" t="str">
        <f t="shared" si="90"/>
        <v>CG02936</v>
      </c>
    </row>
    <row r="2852" spans="1:11" x14ac:dyDescent="0.3">
      <c r="A2852" s="298" t="s">
        <v>9421</v>
      </c>
      <c r="B2852" s="298" t="s">
        <v>9422</v>
      </c>
      <c r="C2852" s="298" t="s">
        <v>9423</v>
      </c>
      <c r="D2852" s="298" t="s">
        <v>256</v>
      </c>
      <c r="E2852" s="298"/>
      <c r="F2852" s="298" t="s">
        <v>9424</v>
      </c>
      <c r="G2852" s="299" t="b">
        <v>0</v>
      </c>
      <c r="H2852" s="299" t="b">
        <v>0</v>
      </c>
      <c r="J2852" s="113" t="str">
        <f t="shared" si="89"/>
        <v>912524244</v>
      </c>
      <c r="K2852" s="113" t="str">
        <f t="shared" si="90"/>
        <v>CG02937</v>
      </c>
    </row>
    <row r="2853" spans="1:11" x14ac:dyDescent="0.3">
      <c r="A2853" s="298" t="s">
        <v>9425</v>
      </c>
      <c r="B2853" s="298" t="s">
        <v>9426</v>
      </c>
      <c r="C2853" s="298" t="s">
        <v>9304</v>
      </c>
      <c r="D2853" s="298" t="s">
        <v>256</v>
      </c>
      <c r="E2853" s="298" t="s">
        <v>9427</v>
      </c>
      <c r="F2853" s="298" t="s">
        <v>9428</v>
      </c>
      <c r="G2853" s="299" t="b">
        <v>0</v>
      </c>
      <c r="H2853" s="299" t="b">
        <v>0</v>
      </c>
      <c r="J2853" s="113" t="str">
        <f t="shared" si="89"/>
        <v>979078487</v>
      </c>
      <c r="K2853" s="113" t="str">
        <f t="shared" si="90"/>
        <v>CG02938</v>
      </c>
    </row>
    <row r="2854" spans="1:11" x14ac:dyDescent="0.3">
      <c r="A2854" s="298" t="s">
        <v>9429</v>
      </c>
      <c r="B2854" s="298" t="s">
        <v>9430</v>
      </c>
      <c r="C2854" s="298" t="s">
        <v>3037</v>
      </c>
      <c r="D2854" s="298" t="s">
        <v>256</v>
      </c>
      <c r="E2854" s="298"/>
      <c r="F2854" s="298" t="s">
        <v>9431</v>
      </c>
      <c r="G2854" s="299" t="b">
        <v>0</v>
      </c>
      <c r="H2854" s="299" t="b">
        <v>0</v>
      </c>
      <c r="J2854" s="113" t="str">
        <f t="shared" si="89"/>
        <v>857018888</v>
      </c>
      <c r="K2854" s="113" t="str">
        <f t="shared" si="90"/>
        <v>CG02939</v>
      </c>
    </row>
    <row r="2855" spans="1:11" x14ac:dyDescent="0.3">
      <c r="A2855" s="298" t="s">
        <v>9432</v>
      </c>
      <c r="B2855" s="298" t="s">
        <v>14686</v>
      </c>
      <c r="C2855" s="298" t="s">
        <v>2654</v>
      </c>
      <c r="D2855" s="298" t="s">
        <v>256</v>
      </c>
      <c r="E2855" s="298"/>
      <c r="F2855" s="298" t="s">
        <v>9433</v>
      </c>
      <c r="G2855" s="299" t="b">
        <v>0</v>
      </c>
      <c r="H2855" s="299" t="b">
        <v>0</v>
      </c>
      <c r="J2855" s="113" t="str">
        <f t="shared" si="89"/>
        <v>963361125</v>
      </c>
      <c r="K2855" s="113" t="str">
        <f t="shared" si="90"/>
        <v>CG02940</v>
      </c>
    </row>
    <row r="2856" spans="1:11" x14ac:dyDescent="0.3">
      <c r="A2856" s="298" t="s">
        <v>9434</v>
      </c>
      <c r="B2856" s="298" t="s">
        <v>9435</v>
      </c>
      <c r="C2856" s="298" t="s">
        <v>9436</v>
      </c>
      <c r="D2856" s="298" t="s">
        <v>256</v>
      </c>
      <c r="E2856" s="298" t="s">
        <v>9437</v>
      </c>
      <c r="F2856" s="298" t="s">
        <v>9438</v>
      </c>
      <c r="G2856" s="299" t="b">
        <v>0</v>
      </c>
      <c r="H2856" s="299" t="b">
        <v>0</v>
      </c>
      <c r="J2856" s="113" t="str">
        <f t="shared" si="89"/>
        <v xml:space="preserve">87629988 </v>
      </c>
      <c r="K2856" s="113" t="str">
        <f t="shared" si="90"/>
        <v>CG02941</v>
      </c>
    </row>
    <row r="2857" spans="1:11" x14ac:dyDescent="0.3">
      <c r="A2857" s="298" t="s">
        <v>9439</v>
      </c>
      <c r="B2857" s="298" t="s">
        <v>9440</v>
      </c>
      <c r="C2857" s="298" t="s">
        <v>9441</v>
      </c>
      <c r="D2857" s="298" t="s">
        <v>256</v>
      </c>
      <c r="E2857" s="298"/>
      <c r="F2857" s="298" t="s">
        <v>9442</v>
      </c>
      <c r="G2857" s="299" t="b">
        <v>0</v>
      </c>
      <c r="H2857" s="299" t="b">
        <v>0</v>
      </c>
      <c r="J2857" s="113" t="str">
        <f t="shared" si="89"/>
        <v>869935888</v>
      </c>
      <c r="K2857" s="113" t="str">
        <f t="shared" si="90"/>
        <v>CG02942</v>
      </c>
    </row>
    <row r="2858" spans="1:11" x14ac:dyDescent="0.3">
      <c r="A2858" s="298" t="s">
        <v>9443</v>
      </c>
      <c r="B2858" s="298" t="s">
        <v>9444</v>
      </c>
      <c r="C2858" s="298" t="s">
        <v>9445</v>
      </c>
      <c r="D2858" s="298" t="s">
        <v>256</v>
      </c>
      <c r="E2858" s="298"/>
      <c r="F2858" s="298" t="s">
        <v>9446</v>
      </c>
      <c r="G2858" s="299" t="b">
        <v>0</v>
      </c>
      <c r="H2858" s="299" t="b">
        <v>0</v>
      </c>
      <c r="J2858" s="113" t="str">
        <f t="shared" si="89"/>
        <v>968119111</v>
      </c>
      <c r="K2858" s="113" t="str">
        <f t="shared" si="90"/>
        <v>CG02943</v>
      </c>
    </row>
    <row r="2859" spans="1:11" x14ac:dyDescent="0.3">
      <c r="A2859" s="298" t="s">
        <v>9447</v>
      </c>
      <c r="B2859" s="298" t="s">
        <v>9448</v>
      </c>
      <c r="C2859" s="298" t="s">
        <v>9449</v>
      </c>
      <c r="D2859" s="298" t="s">
        <v>256</v>
      </c>
      <c r="E2859" s="298"/>
      <c r="F2859" s="298" t="s">
        <v>9450</v>
      </c>
      <c r="G2859" s="299" t="b">
        <v>0</v>
      </c>
      <c r="H2859" s="299" t="b">
        <v>0</v>
      </c>
      <c r="J2859" s="113" t="str">
        <f t="shared" si="89"/>
        <v>912034595</v>
      </c>
      <c r="K2859" s="113" t="str">
        <f t="shared" si="90"/>
        <v>CG02944</v>
      </c>
    </row>
    <row r="2860" spans="1:11" x14ac:dyDescent="0.3">
      <c r="A2860" s="298" t="s">
        <v>9451</v>
      </c>
      <c r="B2860" s="298" t="s">
        <v>9452</v>
      </c>
      <c r="C2860" s="298" t="s">
        <v>9453</v>
      </c>
      <c r="D2860" s="298" t="s">
        <v>256</v>
      </c>
      <c r="E2860" s="298"/>
      <c r="F2860" s="298" t="s">
        <v>9454</v>
      </c>
      <c r="G2860" s="299" t="b">
        <v>0</v>
      </c>
      <c r="H2860" s="299" t="b">
        <v>0</v>
      </c>
      <c r="J2860" s="113" t="str">
        <f t="shared" si="89"/>
        <v>904719308</v>
      </c>
      <c r="K2860" s="113" t="str">
        <f t="shared" si="90"/>
        <v>CG02945</v>
      </c>
    </row>
    <row r="2861" spans="1:11" x14ac:dyDescent="0.3">
      <c r="A2861" s="298" t="s">
        <v>9455</v>
      </c>
      <c r="B2861" s="298" t="s">
        <v>9456</v>
      </c>
      <c r="C2861" s="298" t="s">
        <v>9457</v>
      </c>
      <c r="D2861" s="298" t="s">
        <v>256</v>
      </c>
      <c r="E2861" s="298"/>
      <c r="F2861" s="298" t="s">
        <v>9458</v>
      </c>
      <c r="G2861" s="299" t="b">
        <v>0</v>
      </c>
      <c r="H2861" s="299" t="b">
        <v>0</v>
      </c>
      <c r="J2861" s="113" t="str">
        <f t="shared" si="89"/>
        <v>835460173</v>
      </c>
      <c r="K2861" s="113" t="str">
        <f t="shared" si="90"/>
        <v>CG02946</v>
      </c>
    </row>
    <row r="2862" spans="1:11" x14ac:dyDescent="0.3">
      <c r="A2862" s="298" t="s">
        <v>9459</v>
      </c>
      <c r="B2862" s="298" t="s">
        <v>9460</v>
      </c>
      <c r="C2862" s="298" t="s">
        <v>405</v>
      </c>
      <c r="D2862" s="298" t="s">
        <v>256</v>
      </c>
      <c r="E2862" s="298"/>
      <c r="F2862" s="298" t="s">
        <v>9461</v>
      </c>
      <c r="G2862" s="299" t="b">
        <v>0</v>
      </c>
      <c r="H2862" s="299" t="b">
        <v>0</v>
      </c>
      <c r="J2862" s="113" t="str">
        <f t="shared" si="89"/>
        <v>947988568</v>
      </c>
      <c r="K2862" s="113" t="str">
        <f t="shared" si="90"/>
        <v>CG02947</v>
      </c>
    </row>
    <row r="2863" spans="1:11" x14ac:dyDescent="0.3">
      <c r="A2863" s="298" t="s">
        <v>9462</v>
      </c>
      <c r="B2863" s="298" t="s">
        <v>9463</v>
      </c>
      <c r="C2863" s="298" t="s">
        <v>277</v>
      </c>
      <c r="D2863" s="298" t="s">
        <v>256</v>
      </c>
      <c r="E2863" s="298"/>
      <c r="F2863" s="298" t="s">
        <v>9464</v>
      </c>
      <c r="G2863" s="299" t="b">
        <v>0</v>
      </c>
      <c r="H2863" s="299" t="b">
        <v>0</v>
      </c>
      <c r="J2863" s="113" t="str">
        <f t="shared" si="89"/>
        <v>968685319</v>
      </c>
      <c r="K2863" s="113" t="str">
        <f t="shared" si="90"/>
        <v>CG02948</v>
      </c>
    </row>
    <row r="2864" spans="1:11" x14ac:dyDescent="0.3">
      <c r="A2864" s="298" t="s">
        <v>9465</v>
      </c>
      <c r="B2864" s="298" t="s">
        <v>9466</v>
      </c>
      <c r="C2864" s="298" t="s">
        <v>9467</v>
      </c>
      <c r="D2864" s="298" t="s">
        <v>256</v>
      </c>
      <c r="E2864" s="298" t="s">
        <v>9468</v>
      </c>
      <c r="F2864" s="298" t="s">
        <v>9469</v>
      </c>
      <c r="G2864" s="299" t="b">
        <v>0</v>
      </c>
      <c r="H2864" s="299" t="b">
        <v>0</v>
      </c>
      <c r="J2864" s="113" t="str">
        <f t="shared" si="89"/>
        <v>948223234</v>
      </c>
      <c r="K2864" s="113" t="str">
        <f t="shared" si="90"/>
        <v>CG02949</v>
      </c>
    </row>
    <row r="2865" spans="1:11" x14ac:dyDescent="0.3">
      <c r="A2865" s="298" t="s">
        <v>9470</v>
      </c>
      <c r="B2865" s="298" t="s">
        <v>9471</v>
      </c>
      <c r="C2865" s="298" t="s">
        <v>9472</v>
      </c>
      <c r="D2865" s="298" t="s">
        <v>256</v>
      </c>
      <c r="E2865" s="298"/>
      <c r="F2865" s="298" t="s">
        <v>9473</v>
      </c>
      <c r="G2865" s="299" t="b">
        <v>0</v>
      </c>
      <c r="H2865" s="299" t="b">
        <v>0</v>
      </c>
      <c r="J2865" s="113" t="str">
        <f t="shared" si="89"/>
        <v>966567777</v>
      </c>
      <c r="K2865" s="113" t="str">
        <f t="shared" si="90"/>
        <v>CG02950</v>
      </c>
    </row>
    <row r="2866" spans="1:11" x14ac:dyDescent="0.3">
      <c r="A2866" s="298" t="s">
        <v>9474</v>
      </c>
      <c r="B2866" s="298" t="s">
        <v>9475</v>
      </c>
      <c r="C2866" s="298" t="s">
        <v>7646</v>
      </c>
      <c r="D2866" s="298" t="s">
        <v>256</v>
      </c>
      <c r="E2866" s="298"/>
      <c r="F2866" s="298" t="s">
        <v>9476</v>
      </c>
      <c r="G2866" s="299" t="b">
        <v>0</v>
      </c>
      <c r="H2866" s="299" t="b">
        <v>0</v>
      </c>
      <c r="J2866" s="113" t="str">
        <f t="shared" si="89"/>
        <v>972775203</v>
      </c>
      <c r="K2866" s="113" t="str">
        <f t="shared" si="90"/>
        <v>CG02951</v>
      </c>
    </row>
    <row r="2867" spans="1:11" x14ac:dyDescent="0.3">
      <c r="A2867" s="298" t="s">
        <v>9477</v>
      </c>
      <c r="B2867" s="298" t="s">
        <v>9478</v>
      </c>
      <c r="C2867" s="298" t="s">
        <v>3132</v>
      </c>
      <c r="D2867" s="298" t="s">
        <v>256</v>
      </c>
      <c r="E2867" s="298" t="s">
        <v>55</v>
      </c>
      <c r="F2867" s="298" t="s">
        <v>9479</v>
      </c>
      <c r="G2867" s="299" t="b">
        <v>0</v>
      </c>
      <c r="H2867" s="299" t="b">
        <v>0</v>
      </c>
      <c r="J2867" s="113" t="str">
        <f t="shared" si="89"/>
        <v>914309604</v>
      </c>
      <c r="K2867" s="113" t="str">
        <f t="shared" si="90"/>
        <v>CG02952</v>
      </c>
    </row>
    <row r="2868" spans="1:11" x14ac:dyDescent="0.3">
      <c r="A2868" s="298" t="s">
        <v>9480</v>
      </c>
      <c r="B2868" s="298" t="s">
        <v>9481</v>
      </c>
      <c r="C2868" s="298" t="s">
        <v>9482</v>
      </c>
      <c r="D2868" s="298" t="s">
        <v>256</v>
      </c>
      <c r="E2868" s="298" t="s">
        <v>9483</v>
      </c>
      <c r="F2868" s="298"/>
      <c r="G2868" s="299" t="b">
        <v>0</v>
      </c>
      <c r="H2868" s="299" t="b">
        <v>0</v>
      </c>
      <c r="J2868" s="113" t="str">
        <f t="shared" si="89"/>
        <v>941898699</v>
      </c>
      <c r="K2868" s="113" t="str">
        <f t="shared" si="90"/>
        <v>CG02953</v>
      </c>
    </row>
    <row r="2869" spans="1:11" x14ac:dyDescent="0.3">
      <c r="A2869" s="298" t="s">
        <v>9484</v>
      </c>
      <c r="B2869" s="298" t="s">
        <v>9485</v>
      </c>
      <c r="C2869" s="298" t="s">
        <v>1131</v>
      </c>
      <c r="D2869" s="298" t="s">
        <v>256</v>
      </c>
      <c r="E2869" s="298"/>
      <c r="F2869" s="298" t="s">
        <v>9486</v>
      </c>
      <c r="G2869" s="299" t="b">
        <v>0</v>
      </c>
      <c r="H2869" s="299" t="b">
        <v>0</v>
      </c>
      <c r="J2869" s="113" t="str">
        <f t="shared" si="89"/>
        <v>936393999</v>
      </c>
      <c r="K2869" s="113" t="str">
        <f t="shared" si="90"/>
        <v>CG02954</v>
      </c>
    </row>
    <row r="2870" spans="1:11" x14ac:dyDescent="0.3">
      <c r="A2870" s="298" t="s">
        <v>9487</v>
      </c>
      <c r="B2870" s="298" t="s">
        <v>9488</v>
      </c>
      <c r="C2870" s="298" t="s">
        <v>9489</v>
      </c>
      <c r="D2870" s="298" t="s">
        <v>256</v>
      </c>
      <c r="E2870" s="298" t="s">
        <v>9490</v>
      </c>
      <c r="F2870" s="298"/>
      <c r="G2870" s="299" t="b">
        <v>0</v>
      </c>
      <c r="H2870" s="299" t="b">
        <v>0</v>
      </c>
      <c r="J2870" s="113" t="str">
        <f t="shared" si="89"/>
        <v>972171279</v>
      </c>
      <c r="K2870" s="113" t="str">
        <f t="shared" si="90"/>
        <v>CG02955</v>
      </c>
    </row>
    <row r="2871" spans="1:11" x14ac:dyDescent="0.3">
      <c r="A2871" s="298" t="s">
        <v>9491</v>
      </c>
      <c r="B2871" s="298" t="s">
        <v>9492</v>
      </c>
      <c r="C2871" s="298" t="s">
        <v>9493</v>
      </c>
      <c r="D2871" s="298" t="s">
        <v>256</v>
      </c>
      <c r="E2871" s="298" t="s">
        <v>55</v>
      </c>
      <c r="F2871" s="298" t="s">
        <v>9494</v>
      </c>
      <c r="G2871" s="299" t="b">
        <v>0</v>
      </c>
      <c r="H2871" s="299" t="b">
        <v>0</v>
      </c>
      <c r="J2871" s="113" t="str">
        <f t="shared" si="89"/>
        <v>915315923</v>
      </c>
      <c r="K2871" s="113" t="str">
        <f t="shared" si="90"/>
        <v>CG02956</v>
      </c>
    </row>
    <row r="2872" spans="1:11" x14ac:dyDescent="0.3">
      <c r="A2872" s="298" t="s">
        <v>9495</v>
      </c>
      <c r="B2872" s="298" t="s">
        <v>9496</v>
      </c>
      <c r="C2872" s="298" t="s">
        <v>3985</v>
      </c>
      <c r="D2872" s="298" t="s">
        <v>256</v>
      </c>
      <c r="E2872" s="298"/>
      <c r="F2872" s="298" t="s">
        <v>9497</v>
      </c>
      <c r="G2872" s="299" t="b">
        <v>0</v>
      </c>
      <c r="H2872" s="299" t="b">
        <v>0</v>
      </c>
      <c r="J2872" s="113" t="str">
        <f t="shared" si="89"/>
        <v>386755078</v>
      </c>
      <c r="K2872" s="113" t="str">
        <f t="shared" si="90"/>
        <v>CG02957</v>
      </c>
    </row>
    <row r="2873" spans="1:11" x14ac:dyDescent="0.3">
      <c r="A2873" s="298" t="s">
        <v>9498</v>
      </c>
      <c r="B2873" s="298" t="s">
        <v>9499</v>
      </c>
      <c r="C2873" s="298" t="s">
        <v>9500</v>
      </c>
      <c r="D2873" s="298" t="s">
        <v>256</v>
      </c>
      <c r="E2873" s="298" t="s">
        <v>9501</v>
      </c>
      <c r="F2873" s="298" t="s">
        <v>9502</v>
      </c>
      <c r="G2873" s="299" t="b">
        <v>0</v>
      </c>
      <c r="H2873" s="299" t="b">
        <v>0</v>
      </c>
      <c r="J2873" s="113" t="str">
        <f t="shared" si="89"/>
        <v xml:space="preserve">28999686 </v>
      </c>
      <c r="K2873" s="113" t="str">
        <f t="shared" si="90"/>
        <v>CG02958</v>
      </c>
    </row>
    <row r="2874" spans="1:11" x14ac:dyDescent="0.3">
      <c r="A2874" s="298" t="s">
        <v>9503</v>
      </c>
      <c r="B2874" s="298" t="s">
        <v>9504</v>
      </c>
      <c r="C2874" s="298" t="s">
        <v>378</v>
      </c>
      <c r="D2874" s="298" t="s">
        <v>256</v>
      </c>
      <c r="E2874" s="298"/>
      <c r="F2874" s="298" t="s">
        <v>9505</v>
      </c>
      <c r="G2874" s="299" t="b">
        <v>0</v>
      </c>
      <c r="H2874" s="299" t="b">
        <v>0</v>
      </c>
      <c r="J2874" s="113" t="str">
        <f t="shared" si="89"/>
        <v>988608714</v>
      </c>
      <c r="K2874" s="113" t="str">
        <f t="shared" si="90"/>
        <v>CG02959</v>
      </c>
    </row>
    <row r="2875" spans="1:11" x14ac:dyDescent="0.3">
      <c r="A2875" s="298" t="s">
        <v>9506</v>
      </c>
      <c r="B2875" s="298" t="s">
        <v>9507</v>
      </c>
      <c r="C2875" s="298" t="s">
        <v>745</v>
      </c>
      <c r="D2875" s="298" t="s">
        <v>256</v>
      </c>
      <c r="E2875" s="298"/>
      <c r="F2875" s="298" t="s">
        <v>9508</v>
      </c>
      <c r="G2875" s="299" t="b">
        <v>0</v>
      </c>
      <c r="H2875" s="299" t="b">
        <v>0</v>
      </c>
      <c r="J2875" s="113" t="str">
        <f t="shared" si="89"/>
        <v>983968363</v>
      </c>
      <c r="K2875" s="113" t="str">
        <f t="shared" si="90"/>
        <v>CG02960</v>
      </c>
    </row>
    <row r="2876" spans="1:11" x14ac:dyDescent="0.3">
      <c r="A2876" s="298" t="s">
        <v>9509</v>
      </c>
      <c r="B2876" s="298" t="s">
        <v>9510</v>
      </c>
      <c r="C2876" s="298" t="s">
        <v>9511</v>
      </c>
      <c r="D2876" s="298" t="s">
        <v>256</v>
      </c>
      <c r="E2876" s="298"/>
      <c r="F2876" s="298" t="s">
        <v>9512</v>
      </c>
      <c r="G2876" s="299" t="b">
        <v>0</v>
      </c>
      <c r="H2876" s="299" t="b">
        <v>0</v>
      </c>
      <c r="J2876" s="113" t="str">
        <f t="shared" si="89"/>
        <v>974438561</v>
      </c>
      <c r="K2876" s="113" t="str">
        <f t="shared" si="90"/>
        <v>CG02961</v>
      </c>
    </row>
    <row r="2877" spans="1:11" x14ac:dyDescent="0.3">
      <c r="A2877" s="298" t="s">
        <v>9513</v>
      </c>
      <c r="B2877" s="298" t="s">
        <v>9514</v>
      </c>
      <c r="C2877" s="298" t="s">
        <v>609</v>
      </c>
      <c r="D2877" s="298" t="s">
        <v>256</v>
      </c>
      <c r="E2877" s="298"/>
      <c r="F2877" s="298" t="s">
        <v>9515</v>
      </c>
      <c r="G2877" s="299" t="b">
        <v>0</v>
      </c>
      <c r="H2877" s="299" t="b">
        <v>0</v>
      </c>
      <c r="J2877" s="113" t="str">
        <f t="shared" si="89"/>
        <v>977783868</v>
      </c>
      <c r="K2877" s="113" t="str">
        <f t="shared" si="90"/>
        <v>CG02962</v>
      </c>
    </row>
    <row r="2878" spans="1:11" x14ac:dyDescent="0.3">
      <c r="A2878" s="298" t="s">
        <v>9516</v>
      </c>
      <c r="B2878" s="298" t="s">
        <v>9517</v>
      </c>
      <c r="C2878" s="298" t="s">
        <v>3037</v>
      </c>
      <c r="D2878" s="298" t="s">
        <v>256</v>
      </c>
      <c r="E2878" s="298"/>
      <c r="F2878" s="298" t="s">
        <v>9518</v>
      </c>
      <c r="G2878" s="299" t="b">
        <v>0</v>
      </c>
      <c r="H2878" s="299" t="b">
        <v>0</v>
      </c>
      <c r="J2878" s="113" t="str">
        <f t="shared" si="89"/>
        <v>986709855</v>
      </c>
      <c r="K2878" s="113" t="str">
        <f t="shared" si="90"/>
        <v>CG02963</v>
      </c>
    </row>
    <row r="2879" spans="1:11" x14ac:dyDescent="0.3">
      <c r="A2879" s="298" t="s">
        <v>9519</v>
      </c>
      <c r="B2879" s="298" t="s">
        <v>9520</v>
      </c>
      <c r="C2879" s="298" t="s">
        <v>274</v>
      </c>
      <c r="D2879" s="298" t="s">
        <v>256</v>
      </c>
      <c r="E2879" s="298" t="s">
        <v>9521</v>
      </c>
      <c r="F2879" s="298" t="s">
        <v>9522</v>
      </c>
      <c r="G2879" s="299" t="b">
        <v>0</v>
      </c>
      <c r="H2879" s="299" t="b">
        <v>0</v>
      </c>
      <c r="J2879" s="113" t="str">
        <f t="shared" si="89"/>
        <v>984235896</v>
      </c>
      <c r="K2879" s="113" t="str">
        <f t="shared" si="90"/>
        <v>CG02964</v>
      </c>
    </row>
    <row r="2880" spans="1:11" x14ac:dyDescent="0.3">
      <c r="A2880" s="298" t="s">
        <v>9523</v>
      </c>
      <c r="B2880" s="298" t="s">
        <v>9524</v>
      </c>
      <c r="C2880" s="298" t="s">
        <v>9525</v>
      </c>
      <c r="D2880" s="298" t="s">
        <v>256</v>
      </c>
      <c r="E2880" s="298"/>
      <c r="F2880" s="298" t="s">
        <v>9526</v>
      </c>
      <c r="G2880" s="299" t="b">
        <v>0</v>
      </c>
      <c r="H2880" s="299" t="b">
        <v>0</v>
      </c>
      <c r="J2880" s="113" t="str">
        <f t="shared" si="89"/>
        <v>985850169</v>
      </c>
      <c r="K2880" s="113" t="str">
        <f t="shared" si="90"/>
        <v>CG02965</v>
      </c>
    </row>
    <row r="2881" spans="1:11" x14ac:dyDescent="0.3">
      <c r="A2881" s="298" t="s">
        <v>9527</v>
      </c>
      <c r="B2881" s="298" t="s">
        <v>9528</v>
      </c>
      <c r="C2881" s="298" t="s">
        <v>9529</v>
      </c>
      <c r="D2881" s="298" t="s">
        <v>256</v>
      </c>
      <c r="E2881" s="298"/>
      <c r="F2881" s="298" t="s">
        <v>9530</v>
      </c>
      <c r="G2881" s="299" t="b">
        <v>0</v>
      </c>
      <c r="H2881" s="299" t="b">
        <v>0</v>
      </c>
      <c r="J2881" s="113" t="str">
        <f t="shared" si="89"/>
        <v>914242424</v>
      </c>
      <c r="K2881" s="113" t="str">
        <f t="shared" si="90"/>
        <v>CG02966</v>
      </c>
    </row>
    <row r="2882" spans="1:11" x14ac:dyDescent="0.3">
      <c r="A2882" s="298" t="s">
        <v>9531</v>
      </c>
      <c r="B2882" s="298" t="s">
        <v>9532</v>
      </c>
      <c r="C2882" s="298" t="s">
        <v>9533</v>
      </c>
      <c r="D2882" s="298" t="s">
        <v>256</v>
      </c>
      <c r="E2882" s="298"/>
      <c r="F2882" s="298" t="s">
        <v>9534</v>
      </c>
      <c r="G2882" s="299" t="b">
        <v>0</v>
      </c>
      <c r="H2882" s="299" t="b">
        <v>0</v>
      </c>
      <c r="J2882" s="113" t="str">
        <f t="shared" si="89"/>
        <v>912032258</v>
      </c>
      <c r="K2882" s="113" t="str">
        <f t="shared" si="90"/>
        <v>CG02967</v>
      </c>
    </row>
    <row r="2883" spans="1:11" x14ac:dyDescent="0.3">
      <c r="A2883" s="298" t="s">
        <v>9535</v>
      </c>
      <c r="B2883" s="298" t="s">
        <v>9536</v>
      </c>
      <c r="C2883" s="298" t="s">
        <v>1508</v>
      </c>
      <c r="D2883" s="298" t="s">
        <v>256</v>
      </c>
      <c r="E2883" s="298"/>
      <c r="F2883" s="298" t="s">
        <v>9537</v>
      </c>
      <c r="G2883" s="299" t="b">
        <v>0</v>
      </c>
      <c r="H2883" s="299" t="b">
        <v>0</v>
      </c>
      <c r="J2883" s="113" t="str">
        <f t="shared" si="89"/>
        <v>966831229</v>
      </c>
      <c r="K2883" s="113" t="str">
        <f t="shared" si="90"/>
        <v>CG02968</v>
      </c>
    </row>
    <row r="2884" spans="1:11" x14ac:dyDescent="0.3">
      <c r="A2884" s="298" t="s">
        <v>9538</v>
      </c>
      <c r="B2884" s="298" t="s">
        <v>9539</v>
      </c>
      <c r="C2884" s="298" t="s">
        <v>9540</v>
      </c>
      <c r="D2884" s="298" t="s">
        <v>256</v>
      </c>
      <c r="E2884" s="298"/>
      <c r="F2884" s="298" t="s">
        <v>9541</v>
      </c>
      <c r="G2884" s="299" t="b">
        <v>0</v>
      </c>
      <c r="H2884" s="299" t="b">
        <v>0</v>
      </c>
      <c r="J2884" s="113" t="str">
        <f t="shared" si="89"/>
        <v>979147189</v>
      </c>
      <c r="K2884" s="113" t="str">
        <f t="shared" si="90"/>
        <v>CG02969</v>
      </c>
    </row>
    <row r="2885" spans="1:11" x14ac:dyDescent="0.3">
      <c r="A2885" s="298" t="s">
        <v>9542</v>
      </c>
      <c r="B2885" s="298" t="s">
        <v>9543</v>
      </c>
      <c r="C2885" s="298" t="s">
        <v>9544</v>
      </c>
      <c r="D2885" s="298" t="s">
        <v>256</v>
      </c>
      <c r="E2885" s="298"/>
      <c r="F2885" s="298" t="s">
        <v>9545</v>
      </c>
      <c r="G2885" s="299" t="b">
        <v>0</v>
      </c>
      <c r="H2885" s="299" t="b">
        <v>0</v>
      </c>
      <c r="J2885" s="113" t="str">
        <f t="shared" ref="J2885:J2948" si="91">RIGHT(B2885,9)</f>
        <v>934375788</v>
      </c>
      <c r="K2885" s="113" t="str">
        <f t="shared" ref="K2885:K2948" si="92">A2885</f>
        <v>CG02970</v>
      </c>
    </row>
    <row r="2886" spans="1:11" x14ac:dyDescent="0.3">
      <c r="A2886" s="298" t="s">
        <v>9546</v>
      </c>
      <c r="B2886" s="298" t="s">
        <v>9547</v>
      </c>
      <c r="C2886" s="298" t="s">
        <v>9548</v>
      </c>
      <c r="D2886" s="298" t="s">
        <v>256</v>
      </c>
      <c r="E2886" s="298"/>
      <c r="F2886" s="298" t="s">
        <v>9549</v>
      </c>
      <c r="G2886" s="299" t="b">
        <v>0</v>
      </c>
      <c r="H2886" s="299" t="b">
        <v>0</v>
      </c>
      <c r="J2886" s="113" t="str">
        <f t="shared" si="91"/>
        <v>913962601</v>
      </c>
      <c r="K2886" s="113" t="str">
        <f t="shared" si="92"/>
        <v>CG02971</v>
      </c>
    </row>
    <row r="2887" spans="1:11" x14ac:dyDescent="0.3">
      <c r="A2887" s="298" t="s">
        <v>9550</v>
      </c>
      <c r="B2887" s="298" t="s">
        <v>9551</v>
      </c>
      <c r="C2887" s="298" t="s">
        <v>9552</v>
      </c>
      <c r="D2887" s="298" t="s">
        <v>256</v>
      </c>
      <c r="E2887" s="298"/>
      <c r="F2887" s="298" t="s">
        <v>9553</v>
      </c>
      <c r="G2887" s="299" t="b">
        <v>0</v>
      </c>
      <c r="H2887" s="299" t="b">
        <v>0</v>
      </c>
      <c r="J2887" s="113" t="str">
        <f t="shared" si="91"/>
        <v>983944965</v>
      </c>
      <c r="K2887" s="113" t="str">
        <f t="shared" si="92"/>
        <v>CG02972</v>
      </c>
    </row>
    <row r="2888" spans="1:11" x14ac:dyDescent="0.3">
      <c r="A2888" s="298" t="s">
        <v>9554</v>
      </c>
      <c r="B2888" s="298" t="s">
        <v>9555</v>
      </c>
      <c r="C2888" s="298" t="s">
        <v>9556</v>
      </c>
      <c r="D2888" s="298" t="s">
        <v>256</v>
      </c>
      <c r="E2888" s="298"/>
      <c r="F2888" s="298" t="s">
        <v>9557</v>
      </c>
      <c r="G2888" s="299" t="b">
        <v>0</v>
      </c>
      <c r="H2888" s="299" t="b">
        <v>0</v>
      </c>
      <c r="J2888" s="113" t="str">
        <f t="shared" si="91"/>
        <v>979240558</v>
      </c>
      <c r="K2888" s="113" t="str">
        <f t="shared" si="92"/>
        <v>CG02973</v>
      </c>
    </row>
    <row r="2889" spans="1:11" x14ac:dyDescent="0.3">
      <c r="A2889" s="298" t="s">
        <v>9558</v>
      </c>
      <c r="B2889" s="298" t="s">
        <v>9559</v>
      </c>
      <c r="C2889" s="298" t="s">
        <v>6014</v>
      </c>
      <c r="D2889" s="298" t="s">
        <v>256</v>
      </c>
      <c r="E2889" s="298"/>
      <c r="F2889" s="298" t="s">
        <v>9560</v>
      </c>
      <c r="G2889" s="299" t="b">
        <v>0</v>
      </c>
      <c r="H2889" s="299" t="b">
        <v>0</v>
      </c>
      <c r="J2889" s="113" t="str">
        <f t="shared" si="91"/>
        <v>985028688</v>
      </c>
      <c r="K2889" s="113" t="str">
        <f t="shared" si="92"/>
        <v>CG02974</v>
      </c>
    </row>
    <row r="2890" spans="1:11" x14ac:dyDescent="0.3">
      <c r="A2890" s="298" t="s">
        <v>9561</v>
      </c>
      <c r="B2890" s="298" t="s">
        <v>9562</v>
      </c>
      <c r="C2890" s="298" t="s">
        <v>9563</v>
      </c>
      <c r="D2890" s="298" t="s">
        <v>256</v>
      </c>
      <c r="E2890" s="298"/>
      <c r="F2890" s="298" t="s">
        <v>9564</v>
      </c>
      <c r="G2890" s="299" t="b">
        <v>0</v>
      </c>
      <c r="H2890" s="299" t="b">
        <v>0</v>
      </c>
      <c r="J2890" s="113" t="str">
        <f t="shared" si="91"/>
        <v>857143750</v>
      </c>
      <c r="K2890" s="113" t="str">
        <f t="shared" si="92"/>
        <v>CG02975</v>
      </c>
    </row>
    <row r="2891" spans="1:11" x14ac:dyDescent="0.3">
      <c r="A2891" s="298" t="s">
        <v>9565</v>
      </c>
      <c r="B2891" s="298" t="s">
        <v>14687</v>
      </c>
      <c r="C2891" s="298" t="s">
        <v>9566</v>
      </c>
      <c r="D2891" s="298" t="s">
        <v>256</v>
      </c>
      <c r="E2891" s="298" t="s">
        <v>14688</v>
      </c>
      <c r="F2891" s="298" t="s">
        <v>3121</v>
      </c>
      <c r="G2891" s="299" t="b">
        <v>0</v>
      </c>
      <c r="H2891" s="299" t="b">
        <v>0</v>
      </c>
      <c r="J2891" s="113" t="str">
        <f t="shared" si="91"/>
        <v>961136049</v>
      </c>
      <c r="K2891" s="113" t="str">
        <f t="shared" si="92"/>
        <v>CG02976</v>
      </c>
    </row>
    <row r="2892" spans="1:11" x14ac:dyDescent="0.3">
      <c r="A2892" s="298" t="s">
        <v>9567</v>
      </c>
      <c r="B2892" s="298" t="s">
        <v>9568</v>
      </c>
      <c r="C2892" s="298" t="s">
        <v>274</v>
      </c>
      <c r="D2892" s="298" t="s">
        <v>256</v>
      </c>
      <c r="E2892" s="298"/>
      <c r="F2892" s="298" t="s">
        <v>9569</v>
      </c>
      <c r="G2892" s="299" t="b">
        <v>0</v>
      </c>
      <c r="H2892" s="299" t="b">
        <v>0</v>
      </c>
      <c r="J2892" s="113" t="str">
        <f t="shared" si="91"/>
        <v>961040666</v>
      </c>
      <c r="K2892" s="113" t="str">
        <f t="shared" si="92"/>
        <v>CG02977</v>
      </c>
    </row>
    <row r="2893" spans="1:11" x14ac:dyDescent="0.3">
      <c r="A2893" s="298" t="s">
        <v>9570</v>
      </c>
      <c r="B2893" s="298" t="s">
        <v>9571</v>
      </c>
      <c r="C2893" s="298" t="s">
        <v>9572</v>
      </c>
      <c r="D2893" s="298" t="s">
        <v>256</v>
      </c>
      <c r="E2893" s="298"/>
      <c r="F2893" s="298" t="s">
        <v>9573</v>
      </c>
      <c r="G2893" s="299" t="b">
        <v>0</v>
      </c>
      <c r="H2893" s="299" t="b">
        <v>0</v>
      </c>
      <c r="J2893" s="113" t="str">
        <f t="shared" si="91"/>
        <v>942572779</v>
      </c>
      <c r="K2893" s="113" t="str">
        <f t="shared" si="92"/>
        <v>CG02978</v>
      </c>
    </row>
    <row r="2894" spans="1:11" x14ac:dyDescent="0.3">
      <c r="A2894" s="298" t="s">
        <v>9574</v>
      </c>
      <c r="B2894" s="298" t="s">
        <v>9575</v>
      </c>
      <c r="C2894" s="298" t="s">
        <v>9576</v>
      </c>
      <c r="D2894" s="298" t="s">
        <v>256</v>
      </c>
      <c r="E2894" s="298"/>
      <c r="F2894" s="298" t="s">
        <v>9577</v>
      </c>
      <c r="G2894" s="299" t="b">
        <v>0</v>
      </c>
      <c r="H2894" s="299" t="b">
        <v>0</v>
      </c>
      <c r="J2894" s="113" t="str">
        <f t="shared" si="91"/>
        <v>968177236</v>
      </c>
      <c r="K2894" s="113" t="str">
        <f t="shared" si="92"/>
        <v>CG02979</v>
      </c>
    </row>
    <row r="2895" spans="1:11" x14ac:dyDescent="0.3">
      <c r="A2895" s="298" t="s">
        <v>9578</v>
      </c>
      <c r="B2895" s="298" t="s">
        <v>9579</v>
      </c>
      <c r="C2895" s="298" t="s">
        <v>9580</v>
      </c>
      <c r="D2895" s="298" t="s">
        <v>256</v>
      </c>
      <c r="E2895" s="298"/>
      <c r="F2895" s="298" t="s">
        <v>9581</v>
      </c>
      <c r="G2895" s="299" t="b">
        <v>0</v>
      </c>
      <c r="H2895" s="299" t="b">
        <v>0</v>
      </c>
      <c r="J2895" s="113" t="str">
        <f t="shared" si="91"/>
        <v>981078909</v>
      </c>
      <c r="K2895" s="113" t="str">
        <f t="shared" si="92"/>
        <v>CG02980</v>
      </c>
    </row>
    <row r="2896" spans="1:11" x14ac:dyDescent="0.3">
      <c r="A2896" s="298" t="s">
        <v>9582</v>
      </c>
      <c r="B2896" s="298" t="s">
        <v>9583</v>
      </c>
      <c r="C2896" s="298" t="s">
        <v>378</v>
      </c>
      <c r="D2896" s="298" t="s">
        <v>256</v>
      </c>
      <c r="E2896" s="298"/>
      <c r="F2896" s="298" t="s">
        <v>9584</v>
      </c>
      <c r="G2896" s="299" t="b">
        <v>0</v>
      </c>
      <c r="H2896" s="299" t="b">
        <v>0</v>
      </c>
      <c r="J2896" s="113" t="str">
        <f t="shared" si="91"/>
        <v>348485854</v>
      </c>
      <c r="K2896" s="113" t="str">
        <f t="shared" si="92"/>
        <v>CG02981</v>
      </c>
    </row>
    <row r="2897" spans="1:11" x14ac:dyDescent="0.3">
      <c r="A2897" s="298" t="s">
        <v>9585</v>
      </c>
      <c r="B2897" s="298" t="s">
        <v>9586</v>
      </c>
      <c r="C2897" s="298" t="s">
        <v>650</v>
      </c>
      <c r="D2897" s="298" t="s">
        <v>256</v>
      </c>
      <c r="E2897" s="298"/>
      <c r="F2897" s="298" t="s">
        <v>9587</v>
      </c>
      <c r="G2897" s="299" t="b">
        <v>0</v>
      </c>
      <c r="H2897" s="299" t="b">
        <v>0</v>
      </c>
      <c r="J2897" s="113" t="str">
        <f t="shared" si="91"/>
        <v>813333479</v>
      </c>
      <c r="K2897" s="113" t="str">
        <f t="shared" si="92"/>
        <v>CG02982</v>
      </c>
    </row>
    <row r="2898" spans="1:11" x14ac:dyDescent="0.3">
      <c r="A2898" s="298" t="s">
        <v>9588</v>
      </c>
      <c r="B2898" s="298" t="s">
        <v>9589</v>
      </c>
      <c r="C2898" s="298" t="s">
        <v>9590</v>
      </c>
      <c r="D2898" s="298" t="s">
        <v>256</v>
      </c>
      <c r="E2898" s="298"/>
      <c r="F2898" s="298" t="s">
        <v>9591</v>
      </c>
      <c r="G2898" s="299" t="b">
        <v>0</v>
      </c>
      <c r="H2898" s="299" t="b">
        <v>0</v>
      </c>
      <c r="J2898" s="113" t="str">
        <f t="shared" si="91"/>
        <v>981901999</v>
      </c>
      <c r="K2898" s="113" t="str">
        <f t="shared" si="92"/>
        <v>CG02983</v>
      </c>
    </row>
    <row r="2899" spans="1:11" x14ac:dyDescent="0.3">
      <c r="A2899" s="298" t="s">
        <v>9592</v>
      </c>
      <c r="B2899" s="298" t="s">
        <v>9593</v>
      </c>
      <c r="C2899" s="298" t="s">
        <v>3539</v>
      </c>
      <c r="D2899" s="298" t="s">
        <v>256</v>
      </c>
      <c r="E2899" s="298"/>
      <c r="F2899" s="298" t="s">
        <v>9594</v>
      </c>
      <c r="G2899" s="299" t="b">
        <v>0</v>
      </c>
      <c r="H2899" s="299" t="b">
        <v>0</v>
      </c>
      <c r="J2899" s="113" t="str">
        <f t="shared" si="91"/>
        <v>975830393</v>
      </c>
      <c r="K2899" s="113" t="str">
        <f t="shared" si="92"/>
        <v>CG02984</v>
      </c>
    </row>
    <row r="2900" spans="1:11" x14ac:dyDescent="0.3">
      <c r="A2900" s="298" t="s">
        <v>9595</v>
      </c>
      <c r="B2900" s="298" t="s">
        <v>9596</v>
      </c>
      <c r="C2900" s="298" t="s">
        <v>429</v>
      </c>
      <c r="D2900" s="298" t="s">
        <v>256</v>
      </c>
      <c r="E2900" s="298"/>
      <c r="F2900" s="298" t="s">
        <v>9597</v>
      </c>
      <c r="G2900" s="299" t="b">
        <v>0</v>
      </c>
      <c r="H2900" s="299" t="b">
        <v>0</v>
      </c>
      <c r="J2900" s="113" t="str">
        <f t="shared" si="91"/>
        <v>917316695</v>
      </c>
      <c r="K2900" s="113" t="str">
        <f t="shared" si="92"/>
        <v>CG02985</v>
      </c>
    </row>
    <row r="2901" spans="1:11" x14ac:dyDescent="0.3">
      <c r="A2901" s="298" t="s">
        <v>9598</v>
      </c>
      <c r="B2901" s="298" t="s">
        <v>9599</v>
      </c>
      <c r="C2901" s="298" t="s">
        <v>9600</v>
      </c>
      <c r="D2901" s="298" t="s">
        <v>256</v>
      </c>
      <c r="E2901" s="298"/>
      <c r="F2901" s="298" t="s">
        <v>9601</v>
      </c>
      <c r="G2901" s="299" t="b">
        <v>0</v>
      </c>
      <c r="H2901" s="299" t="b">
        <v>0</v>
      </c>
      <c r="J2901" s="113" t="str">
        <f t="shared" si="91"/>
        <v>941465125</v>
      </c>
      <c r="K2901" s="113" t="str">
        <f t="shared" si="92"/>
        <v>CG02986</v>
      </c>
    </row>
    <row r="2902" spans="1:11" x14ac:dyDescent="0.3">
      <c r="A2902" s="298" t="s">
        <v>9602</v>
      </c>
      <c r="B2902" s="298" t="s">
        <v>9603</v>
      </c>
      <c r="C2902" s="298" t="s">
        <v>4254</v>
      </c>
      <c r="D2902" s="298" t="s">
        <v>256</v>
      </c>
      <c r="E2902" s="298" t="s">
        <v>9604</v>
      </c>
      <c r="F2902" s="298" t="s">
        <v>9605</v>
      </c>
      <c r="G2902" s="299" t="b">
        <v>0</v>
      </c>
      <c r="H2902" s="299" t="b">
        <v>0</v>
      </c>
      <c r="J2902" s="113" t="str">
        <f t="shared" si="91"/>
        <v>944736999</v>
      </c>
      <c r="K2902" s="113" t="str">
        <f t="shared" si="92"/>
        <v>CG02987</v>
      </c>
    </row>
    <row r="2903" spans="1:11" x14ac:dyDescent="0.3">
      <c r="A2903" s="298" t="s">
        <v>9606</v>
      </c>
      <c r="B2903" s="298" t="s">
        <v>9607</v>
      </c>
      <c r="C2903" s="298" t="s">
        <v>9608</v>
      </c>
      <c r="D2903" s="298" t="s">
        <v>256</v>
      </c>
      <c r="E2903" s="298"/>
      <c r="F2903" s="298" t="s">
        <v>9609</v>
      </c>
      <c r="G2903" s="299" t="b">
        <v>0</v>
      </c>
      <c r="H2903" s="299" t="b">
        <v>0</v>
      </c>
      <c r="J2903" s="113" t="str">
        <f t="shared" si="91"/>
        <v>974231279</v>
      </c>
      <c r="K2903" s="113" t="str">
        <f t="shared" si="92"/>
        <v>CG02988</v>
      </c>
    </row>
    <row r="2904" spans="1:11" x14ac:dyDescent="0.3">
      <c r="A2904" s="298" t="s">
        <v>9610</v>
      </c>
      <c r="B2904" s="298" t="s">
        <v>9611</v>
      </c>
      <c r="C2904" s="298" t="s">
        <v>396</v>
      </c>
      <c r="D2904" s="298" t="s">
        <v>256</v>
      </c>
      <c r="E2904" s="298"/>
      <c r="F2904" s="298" t="s">
        <v>9612</v>
      </c>
      <c r="G2904" s="299" t="b">
        <v>0</v>
      </c>
      <c r="H2904" s="299" t="b">
        <v>0</v>
      </c>
      <c r="J2904" s="113" t="str">
        <f t="shared" si="91"/>
        <v>975377235</v>
      </c>
      <c r="K2904" s="113" t="str">
        <f t="shared" si="92"/>
        <v>CG02989</v>
      </c>
    </row>
    <row r="2905" spans="1:11" x14ac:dyDescent="0.3">
      <c r="A2905" s="298" t="s">
        <v>9613</v>
      </c>
      <c r="B2905" s="298" t="s">
        <v>9614</v>
      </c>
      <c r="C2905" s="298" t="s">
        <v>9615</v>
      </c>
      <c r="D2905" s="298" t="s">
        <v>256</v>
      </c>
      <c r="E2905" s="298"/>
      <c r="F2905" s="298" t="s">
        <v>9616</v>
      </c>
      <c r="G2905" s="299" t="b">
        <v>0</v>
      </c>
      <c r="H2905" s="299" t="b">
        <v>0</v>
      </c>
      <c r="J2905" s="113" t="str">
        <f t="shared" si="91"/>
        <v>912344479</v>
      </c>
      <c r="K2905" s="113" t="str">
        <f t="shared" si="92"/>
        <v>CG02990</v>
      </c>
    </row>
    <row r="2906" spans="1:11" x14ac:dyDescent="0.3">
      <c r="A2906" s="298" t="s">
        <v>9617</v>
      </c>
      <c r="B2906" s="298" t="s">
        <v>9618</v>
      </c>
      <c r="C2906" s="298" t="s">
        <v>9619</v>
      </c>
      <c r="D2906" s="298" t="s">
        <v>256</v>
      </c>
      <c r="E2906" s="298"/>
      <c r="F2906" s="298" t="s">
        <v>9620</v>
      </c>
      <c r="G2906" s="299" t="b">
        <v>0</v>
      </c>
      <c r="H2906" s="299" t="b">
        <v>0</v>
      </c>
      <c r="J2906" s="113" t="str">
        <f t="shared" si="91"/>
        <v>913696233</v>
      </c>
      <c r="K2906" s="113" t="str">
        <f t="shared" si="92"/>
        <v>CG02991</v>
      </c>
    </row>
    <row r="2907" spans="1:11" x14ac:dyDescent="0.3">
      <c r="A2907" s="298" t="s">
        <v>9621</v>
      </c>
      <c r="B2907" s="298" t="s">
        <v>9622</v>
      </c>
      <c r="C2907" s="298" t="s">
        <v>312</v>
      </c>
      <c r="D2907" s="298" t="s">
        <v>256</v>
      </c>
      <c r="E2907" s="298"/>
      <c r="F2907" s="298" t="s">
        <v>9623</v>
      </c>
      <c r="G2907" s="299" t="b">
        <v>0</v>
      </c>
      <c r="H2907" s="299" t="b">
        <v>0</v>
      </c>
      <c r="J2907" s="113" t="str">
        <f t="shared" si="91"/>
        <v>978357685</v>
      </c>
      <c r="K2907" s="113" t="str">
        <f t="shared" si="92"/>
        <v>CG02992</v>
      </c>
    </row>
    <row r="2908" spans="1:11" x14ac:dyDescent="0.3">
      <c r="A2908" s="298" t="s">
        <v>9624</v>
      </c>
      <c r="B2908" s="298" t="s">
        <v>9625</v>
      </c>
      <c r="C2908" s="298" t="s">
        <v>9626</v>
      </c>
      <c r="D2908" s="298" t="s">
        <v>256</v>
      </c>
      <c r="E2908" s="298"/>
      <c r="F2908" s="298" t="s">
        <v>9627</v>
      </c>
      <c r="G2908" s="299" t="b">
        <v>0</v>
      </c>
      <c r="H2908" s="299" t="b">
        <v>0</v>
      </c>
      <c r="J2908" s="113" t="str">
        <f t="shared" si="91"/>
        <v>936158383</v>
      </c>
      <c r="K2908" s="113" t="str">
        <f t="shared" si="92"/>
        <v>CG02993</v>
      </c>
    </row>
    <row r="2909" spans="1:11" x14ac:dyDescent="0.3">
      <c r="A2909" s="298" t="s">
        <v>9628</v>
      </c>
      <c r="B2909" s="298" t="s">
        <v>9629</v>
      </c>
      <c r="C2909" s="298" t="s">
        <v>9630</v>
      </c>
      <c r="D2909" s="298" t="s">
        <v>256</v>
      </c>
      <c r="E2909" s="298"/>
      <c r="F2909" s="298" t="s">
        <v>9631</v>
      </c>
      <c r="G2909" s="299" t="b">
        <v>0</v>
      </c>
      <c r="H2909" s="299" t="b">
        <v>0</v>
      </c>
      <c r="J2909" s="113" t="str">
        <f t="shared" si="91"/>
        <v>946287575</v>
      </c>
      <c r="K2909" s="113" t="str">
        <f t="shared" si="92"/>
        <v>CG02994</v>
      </c>
    </row>
    <row r="2910" spans="1:11" x14ac:dyDescent="0.3">
      <c r="A2910" s="298" t="s">
        <v>9632</v>
      </c>
      <c r="B2910" s="298" t="s">
        <v>9633</v>
      </c>
      <c r="C2910" s="298" t="s">
        <v>9634</v>
      </c>
      <c r="D2910" s="298" t="s">
        <v>256</v>
      </c>
      <c r="E2910" s="298" t="s">
        <v>9635</v>
      </c>
      <c r="F2910" s="298" t="s">
        <v>9636</v>
      </c>
      <c r="G2910" s="299" t="b">
        <v>0</v>
      </c>
      <c r="H2910" s="299" t="b">
        <v>0</v>
      </c>
      <c r="J2910" s="113" t="str">
        <f t="shared" si="91"/>
        <v>912283298</v>
      </c>
      <c r="K2910" s="113" t="str">
        <f t="shared" si="92"/>
        <v>CG02995</v>
      </c>
    </row>
    <row r="2911" spans="1:11" x14ac:dyDescent="0.3">
      <c r="A2911" s="298" t="s">
        <v>9637</v>
      </c>
      <c r="B2911" s="298" t="s">
        <v>9638</v>
      </c>
      <c r="C2911" s="298" t="s">
        <v>9639</v>
      </c>
      <c r="D2911" s="298" t="s">
        <v>256</v>
      </c>
      <c r="E2911" s="298"/>
      <c r="F2911" s="298" t="s">
        <v>9640</v>
      </c>
      <c r="G2911" s="299" t="b">
        <v>0</v>
      </c>
      <c r="H2911" s="299" t="b">
        <v>0</v>
      </c>
      <c r="J2911" s="113" t="str">
        <f t="shared" si="91"/>
        <v>919486766</v>
      </c>
      <c r="K2911" s="113" t="str">
        <f t="shared" si="92"/>
        <v>CG02996</v>
      </c>
    </row>
    <row r="2912" spans="1:11" x14ac:dyDescent="0.3">
      <c r="A2912" s="298" t="s">
        <v>9641</v>
      </c>
      <c r="B2912" s="298" t="s">
        <v>9642</v>
      </c>
      <c r="C2912" s="298" t="s">
        <v>9643</v>
      </c>
      <c r="D2912" s="298" t="s">
        <v>256</v>
      </c>
      <c r="E2912" s="298"/>
      <c r="F2912" s="298" t="s">
        <v>9644</v>
      </c>
      <c r="G2912" s="299" t="b">
        <v>0</v>
      </c>
      <c r="H2912" s="299" t="b">
        <v>0</v>
      </c>
      <c r="J2912" s="113" t="str">
        <f t="shared" si="91"/>
        <v>961025678</v>
      </c>
      <c r="K2912" s="113" t="str">
        <f t="shared" si="92"/>
        <v>CG02997</v>
      </c>
    </row>
    <row r="2913" spans="1:11" x14ac:dyDescent="0.3">
      <c r="A2913" s="298" t="s">
        <v>9645</v>
      </c>
      <c r="B2913" s="298" t="s">
        <v>9646</v>
      </c>
      <c r="C2913" s="298" t="s">
        <v>9647</v>
      </c>
      <c r="D2913" s="298" t="s">
        <v>256</v>
      </c>
      <c r="E2913" s="298"/>
      <c r="F2913" s="298" t="s">
        <v>9648</v>
      </c>
      <c r="G2913" s="299" t="b">
        <v>0</v>
      </c>
      <c r="H2913" s="299" t="b">
        <v>0</v>
      </c>
      <c r="J2913" s="113" t="str">
        <f t="shared" si="91"/>
        <v>186046736</v>
      </c>
      <c r="K2913" s="113" t="str">
        <f t="shared" si="92"/>
        <v>CG02998</v>
      </c>
    </row>
    <row r="2914" spans="1:11" x14ac:dyDescent="0.3">
      <c r="A2914" s="298" t="s">
        <v>9649</v>
      </c>
      <c r="B2914" s="298" t="s">
        <v>9650</v>
      </c>
      <c r="C2914" s="298" t="s">
        <v>9651</v>
      </c>
      <c r="D2914" s="298" t="s">
        <v>256</v>
      </c>
      <c r="E2914" s="298"/>
      <c r="F2914" s="298" t="s">
        <v>9652</v>
      </c>
      <c r="G2914" s="299" t="b">
        <v>0</v>
      </c>
      <c r="H2914" s="299" t="b">
        <v>0</v>
      </c>
      <c r="J2914" s="113" t="str">
        <f t="shared" si="91"/>
        <v>889731073</v>
      </c>
      <c r="K2914" s="113" t="str">
        <f t="shared" si="92"/>
        <v>CG02999</v>
      </c>
    </row>
    <row r="2915" spans="1:11" x14ac:dyDescent="0.3">
      <c r="A2915" s="298" t="s">
        <v>9653</v>
      </c>
      <c r="B2915" s="298" t="s">
        <v>9654</v>
      </c>
      <c r="C2915" s="298" t="s">
        <v>9232</v>
      </c>
      <c r="D2915" s="298" t="s">
        <v>256</v>
      </c>
      <c r="E2915" s="298"/>
      <c r="F2915" s="298" t="s">
        <v>9655</v>
      </c>
      <c r="G2915" s="299" t="b">
        <v>0</v>
      </c>
      <c r="H2915" s="299" t="b">
        <v>0</v>
      </c>
      <c r="J2915" s="113" t="str">
        <f t="shared" si="91"/>
        <v>338099998</v>
      </c>
      <c r="K2915" s="113" t="str">
        <f t="shared" si="92"/>
        <v>CG03000</v>
      </c>
    </row>
    <row r="2916" spans="1:11" x14ac:dyDescent="0.3">
      <c r="A2916" s="298" t="s">
        <v>9656</v>
      </c>
      <c r="B2916" s="298" t="s">
        <v>9657</v>
      </c>
      <c r="C2916" s="298" t="s">
        <v>506</v>
      </c>
      <c r="D2916" s="298" t="s">
        <v>256</v>
      </c>
      <c r="E2916" s="298"/>
      <c r="F2916" s="298" t="s">
        <v>9658</v>
      </c>
      <c r="G2916" s="299" t="b">
        <v>0</v>
      </c>
      <c r="H2916" s="299" t="b">
        <v>0</v>
      </c>
      <c r="J2916" s="113" t="str">
        <f t="shared" si="91"/>
        <v>989364133</v>
      </c>
      <c r="K2916" s="113" t="str">
        <f t="shared" si="92"/>
        <v>CG03001</v>
      </c>
    </row>
    <row r="2917" spans="1:11" x14ac:dyDescent="0.3">
      <c r="A2917" s="298" t="s">
        <v>9659</v>
      </c>
      <c r="B2917" s="298" t="s">
        <v>9660</v>
      </c>
      <c r="C2917" s="298" t="s">
        <v>9661</v>
      </c>
      <c r="D2917" s="298" t="s">
        <v>256</v>
      </c>
      <c r="E2917" s="298"/>
      <c r="F2917" s="298" t="s">
        <v>9662</v>
      </c>
      <c r="G2917" s="299" t="b">
        <v>0</v>
      </c>
      <c r="H2917" s="299" t="b">
        <v>0</v>
      </c>
      <c r="J2917" s="113" t="str">
        <f t="shared" si="91"/>
        <v>989748870</v>
      </c>
      <c r="K2917" s="113" t="str">
        <f t="shared" si="92"/>
        <v>CG03002</v>
      </c>
    </row>
    <row r="2918" spans="1:11" x14ac:dyDescent="0.3">
      <c r="A2918" s="298" t="s">
        <v>9663</v>
      </c>
      <c r="B2918" s="298" t="s">
        <v>9664</v>
      </c>
      <c r="C2918" s="298" t="s">
        <v>274</v>
      </c>
      <c r="D2918" s="298" t="s">
        <v>256</v>
      </c>
      <c r="E2918" s="298"/>
      <c r="F2918" s="298" t="s">
        <v>9665</v>
      </c>
      <c r="G2918" s="299" t="b">
        <v>0</v>
      </c>
      <c r="H2918" s="299" t="b">
        <v>0</v>
      </c>
      <c r="J2918" s="113" t="str">
        <f t="shared" si="91"/>
        <v>974752570</v>
      </c>
      <c r="K2918" s="113" t="str">
        <f t="shared" si="92"/>
        <v>CG03003</v>
      </c>
    </row>
    <row r="2919" spans="1:11" x14ac:dyDescent="0.3">
      <c r="A2919" s="298" t="s">
        <v>9666</v>
      </c>
      <c r="B2919" s="298" t="s">
        <v>9667</v>
      </c>
      <c r="C2919" s="298" t="s">
        <v>9668</v>
      </c>
      <c r="D2919" s="298" t="s">
        <v>256</v>
      </c>
      <c r="E2919" s="298"/>
      <c r="F2919" s="298" t="s">
        <v>9669</v>
      </c>
      <c r="G2919" s="299" t="b">
        <v>0</v>
      </c>
      <c r="H2919" s="299" t="b">
        <v>0</v>
      </c>
      <c r="J2919" s="113" t="str">
        <f t="shared" si="91"/>
        <v>987381582</v>
      </c>
      <c r="K2919" s="113" t="str">
        <f t="shared" si="92"/>
        <v>CG03004</v>
      </c>
    </row>
    <row r="2920" spans="1:11" x14ac:dyDescent="0.3">
      <c r="A2920" s="298" t="s">
        <v>9670</v>
      </c>
      <c r="B2920" s="298" t="s">
        <v>9671</v>
      </c>
      <c r="C2920" s="298" t="s">
        <v>9672</v>
      </c>
      <c r="D2920" s="298" t="s">
        <v>256</v>
      </c>
      <c r="E2920" s="298"/>
      <c r="F2920" s="298" t="s">
        <v>9673</v>
      </c>
      <c r="G2920" s="299" t="b">
        <v>0</v>
      </c>
      <c r="H2920" s="299" t="b">
        <v>0</v>
      </c>
      <c r="J2920" s="113" t="str">
        <f t="shared" si="91"/>
        <v>965687888</v>
      </c>
      <c r="K2920" s="113" t="str">
        <f t="shared" si="92"/>
        <v>CG03005</v>
      </c>
    </row>
    <row r="2921" spans="1:11" x14ac:dyDescent="0.3">
      <c r="A2921" s="298" t="s">
        <v>9674</v>
      </c>
      <c r="B2921" s="298" t="s">
        <v>9675</v>
      </c>
      <c r="C2921" s="298" t="s">
        <v>9676</v>
      </c>
      <c r="D2921" s="298" t="s">
        <v>256</v>
      </c>
      <c r="E2921" s="298"/>
      <c r="F2921" s="298" t="s">
        <v>9677</v>
      </c>
      <c r="G2921" s="299" t="b">
        <v>0</v>
      </c>
      <c r="H2921" s="299" t="b">
        <v>0</v>
      </c>
      <c r="J2921" s="113" t="str">
        <f t="shared" si="91"/>
        <v>968548096</v>
      </c>
      <c r="K2921" s="113" t="str">
        <f t="shared" si="92"/>
        <v>CG03006</v>
      </c>
    </row>
    <row r="2922" spans="1:11" x14ac:dyDescent="0.3">
      <c r="A2922" s="298" t="s">
        <v>9678</v>
      </c>
      <c r="B2922" s="298" t="s">
        <v>9679</v>
      </c>
      <c r="C2922" s="298" t="s">
        <v>9680</v>
      </c>
      <c r="D2922" s="298" t="s">
        <v>256</v>
      </c>
      <c r="E2922" s="298"/>
      <c r="F2922" s="298" t="s">
        <v>9681</v>
      </c>
      <c r="G2922" s="299" t="b">
        <v>0</v>
      </c>
      <c r="H2922" s="299" t="b">
        <v>0</v>
      </c>
      <c r="J2922" s="113" t="str">
        <f t="shared" si="91"/>
        <v>913096849</v>
      </c>
      <c r="K2922" s="113" t="str">
        <f t="shared" si="92"/>
        <v>CG03007</v>
      </c>
    </row>
    <row r="2923" spans="1:11" x14ac:dyDescent="0.3">
      <c r="A2923" s="298" t="s">
        <v>9682</v>
      </c>
      <c r="B2923" s="298" t="s">
        <v>9683</v>
      </c>
      <c r="C2923" s="298" t="s">
        <v>9684</v>
      </c>
      <c r="D2923" s="298" t="s">
        <v>256</v>
      </c>
      <c r="E2923" s="298"/>
      <c r="F2923" s="298" t="s">
        <v>9685</v>
      </c>
      <c r="G2923" s="299" t="b">
        <v>0</v>
      </c>
      <c r="H2923" s="299" t="b">
        <v>0</v>
      </c>
      <c r="J2923" s="113" t="str">
        <f t="shared" si="91"/>
        <v>985794146</v>
      </c>
      <c r="K2923" s="113" t="str">
        <f t="shared" si="92"/>
        <v>CG03008</v>
      </c>
    </row>
    <row r="2924" spans="1:11" x14ac:dyDescent="0.3">
      <c r="A2924" s="298" t="s">
        <v>9686</v>
      </c>
      <c r="B2924" s="298" t="s">
        <v>9687</v>
      </c>
      <c r="C2924" s="298" t="s">
        <v>9688</v>
      </c>
      <c r="D2924" s="298" t="s">
        <v>256</v>
      </c>
      <c r="E2924" s="298"/>
      <c r="F2924" s="298" t="s">
        <v>9689</v>
      </c>
      <c r="G2924" s="299" t="b">
        <v>0</v>
      </c>
      <c r="H2924" s="299" t="b">
        <v>0</v>
      </c>
      <c r="J2924" s="113" t="str">
        <f t="shared" si="91"/>
        <v>978558984</v>
      </c>
      <c r="K2924" s="113" t="str">
        <f t="shared" si="92"/>
        <v>CG03009</v>
      </c>
    </row>
    <row r="2925" spans="1:11" x14ac:dyDescent="0.3">
      <c r="A2925" s="298" t="s">
        <v>9690</v>
      </c>
      <c r="B2925" s="298" t="s">
        <v>9691</v>
      </c>
      <c r="C2925" s="298" t="s">
        <v>9692</v>
      </c>
      <c r="D2925" s="298" t="s">
        <v>256</v>
      </c>
      <c r="E2925" s="298"/>
      <c r="F2925" s="298" t="s">
        <v>9693</v>
      </c>
      <c r="G2925" s="299" t="b">
        <v>0</v>
      </c>
      <c r="H2925" s="299" t="b">
        <v>0</v>
      </c>
      <c r="J2925" s="113" t="str">
        <f t="shared" si="91"/>
        <v>915174269</v>
      </c>
      <c r="K2925" s="113" t="str">
        <f t="shared" si="92"/>
        <v>CG03010</v>
      </c>
    </row>
    <row r="2926" spans="1:11" x14ac:dyDescent="0.3">
      <c r="A2926" s="298" t="s">
        <v>9694</v>
      </c>
      <c r="B2926" s="298" t="s">
        <v>9695</v>
      </c>
      <c r="C2926" s="298" t="s">
        <v>5790</v>
      </c>
      <c r="D2926" s="298" t="s">
        <v>256</v>
      </c>
      <c r="E2926" s="298"/>
      <c r="F2926" s="298" t="s">
        <v>9696</v>
      </c>
      <c r="G2926" s="299" t="b">
        <v>0</v>
      </c>
      <c r="H2926" s="299" t="b">
        <v>0</v>
      </c>
      <c r="J2926" s="113" t="str">
        <f t="shared" si="91"/>
        <v>947101229</v>
      </c>
      <c r="K2926" s="113" t="str">
        <f t="shared" si="92"/>
        <v>CG03011</v>
      </c>
    </row>
    <row r="2927" spans="1:11" x14ac:dyDescent="0.3">
      <c r="A2927" s="298" t="s">
        <v>9697</v>
      </c>
      <c r="B2927" s="298" t="s">
        <v>9698</v>
      </c>
      <c r="C2927" s="298" t="s">
        <v>9699</v>
      </c>
      <c r="D2927" s="298" t="s">
        <v>256</v>
      </c>
      <c r="E2927" s="298"/>
      <c r="F2927" s="298" t="s">
        <v>2892</v>
      </c>
      <c r="G2927" s="299" t="b">
        <v>0</v>
      </c>
      <c r="H2927" s="299" t="b">
        <v>0</v>
      </c>
      <c r="J2927" s="113" t="str">
        <f t="shared" si="91"/>
        <v>985172456</v>
      </c>
      <c r="K2927" s="113" t="str">
        <f t="shared" si="92"/>
        <v>CG03012</v>
      </c>
    </row>
    <row r="2928" spans="1:11" x14ac:dyDescent="0.3">
      <c r="A2928" s="298" t="s">
        <v>9700</v>
      </c>
      <c r="B2928" s="298" t="s">
        <v>9701</v>
      </c>
      <c r="C2928" s="298" t="s">
        <v>9702</v>
      </c>
      <c r="D2928" s="298" t="s">
        <v>256</v>
      </c>
      <c r="E2928" s="298"/>
      <c r="F2928" s="298" t="s">
        <v>9703</v>
      </c>
      <c r="G2928" s="299" t="b">
        <v>0</v>
      </c>
      <c r="H2928" s="299" t="b">
        <v>0</v>
      </c>
      <c r="J2928" s="113" t="str">
        <f t="shared" si="91"/>
        <v>901790595</v>
      </c>
      <c r="K2928" s="113" t="str">
        <f t="shared" si="92"/>
        <v>CG03013</v>
      </c>
    </row>
    <row r="2929" spans="1:11" x14ac:dyDescent="0.3">
      <c r="A2929" s="298" t="s">
        <v>9704</v>
      </c>
      <c r="B2929" s="298" t="s">
        <v>9705</v>
      </c>
      <c r="C2929" s="298" t="s">
        <v>9706</v>
      </c>
      <c r="D2929" s="298" t="s">
        <v>256</v>
      </c>
      <c r="E2929" s="298"/>
      <c r="F2929" s="298" t="s">
        <v>9707</v>
      </c>
      <c r="G2929" s="299" t="b">
        <v>0</v>
      </c>
      <c r="H2929" s="299" t="b">
        <v>0</v>
      </c>
      <c r="J2929" s="113" t="str">
        <f t="shared" si="91"/>
        <v>986274972</v>
      </c>
      <c r="K2929" s="113" t="str">
        <f t="shared" si="92"/>
        <v>CG03014</v>
      </c>
    </row>
    <row r="2930" spans="1:11" x14ac:dyDescent="0.3">
      <c r="A2930" s="298" t="s">
        <v>9708</v>
      </c>
      <c r="B2930" s="298" t="s">
        <v>9709</v>
      </c>
      <c r="C2930" s="298" t="s">
        <v>9710</v>
      </c>
      <c r="D2930" s="298" t="s">
        <v>256</v>
      </c>
      <c r="E2930" s="298"/>
      <c r="F2930" s="298" t="s">
        <v>9711</v>
      </c>
      <c r="G2930" s="299" t="b">
        <v>0</v>
      </c>
      <c r="H2930" s="299" t="b">
        <v>0</v>
      </c>
      <c r="J2930" s="113" t="str">
        <f t="shared" si="91"/>
        <v>981921056</v>
      </c>
      <c r="K2930" s="113" t="str">
        <f t="shared" si="92"/>
        <v>CG03015</v>
      </c>
    </row>
    <row r="2931" spans="1:11" x14ac:dyDescent="0.3">
      <c r="A2931" s="298" t="s">
        <v>9712</v>
      </c>
      <c r="B2931" s="298" t="s">
        <v>9713</v>
      </c>
      <c r="C2931" s="298" t="s">
        <v>328</v>
      </c>
      <c r="D2931" s="298" t="s">
        <v>256</v>
      </c>
      <c r="E2931" s="298"/>
      <c r="F2931" s="298" t="s">
        <v>9714</v>
      </c>
      <c r="G2931" s="299" t="b">
        <v>0</v>
      </c>
      <c r="H2931" s="299" t="b">
        <v>0</v>
      </c>
      <c r="J2931" s="113" t="str">
        <f t="shared" si="91"/>
        <v>913255855</v>
      </c>
      <c r="K2931" s="113" t="str">
        <f t="shared" si="92"/>
        <v>CG03016</v>
      </c>
    </row>
    <row r="2932" spans="1:11" x14ac:dyDescent="0.3">
      <c r="A2932" s="298" t="s">
        <v>9715</v>
      </c>
      <c r="B2932" s="298" t="s">
        <v>9716</v>
      </c>
      <c r="C2932" s="298" t="s">
        <v>9717</v>
      </c>
      <c r="D2932" s="298" t="s">
        <v>256</v>
      </c>
      <c r="E2932" s="298"/>
      <c r="F2932" s="298" t="s">
        <v>9718</v>
      </c>
      <c r="G2932" s="299" t="b">
        <v>0</v>
      </c>
      <c r="H2932" s="299" t="b">
        <v>0</v>
      </c>
      <c r="J2932" s="113" t="str">
        <f t="shared" si="91"/>
        <v>912112098</v>
      </c>
      <c r="K2932" s="113" t="str">
        <f t="shared" si="92"/>
        <v>CG03017</v>
      </c>
    </row>
    <row r="2933" spans="1:11" x14ac:dyDescent="0.3">
      <c r="A2933" s="298" t="s">
        <v>9719</v>
      </c>
      <c r="B2933" s="298" t="s">
        <v>9720</v>
      </c>
      <c r="C2933" s="298" t="s">
        <v>9721</v>
      </c>
      <c r="D2933" s="298" t="s">
        <v>256</v>
      </c>
      <c r="E2933" s="298"/>
      <c r="F2933" s="298" t="s">
        <v>9722</v>
      </c>
      <c r="G2933" s="299" t="b">
        <v>0</v>
      </c>
      <c r="H2933" s="299" t="b">
        <v>0</v>
      </c>
      <c r="J2933" s="113" t="str">
        <f t="shared" si="91"/>
        <v>866105158</v>
      </c>
      <c r="K2933" s="113" t="str">
        <f t="shared" si="92"/>
        <v>CG03018</v>
      </c>
    </row>
    <row r="2934" spans="1:11" x14ac:dyDescent="0.3">
      <c r="A2934" s="298" t="s">
        <v>9723</v>
      </c>
      <c r="B2934" s="298" t="s">
        <v>9724</v>
      </c>
      <c r="C2934" s="298" t="s">
        <v>9725</v>
      </c>
      <c r="D2934" s="298" t="s">
        <v>256</v>
      </c>
      <c r="E2934" s="298"/>
      <c r="F2934" s="298" t="s">
        <v>9726</v>
      </c>
      <c r="G2934" s="299" t="b">
        <v>0</v>
      </c>
      <c r="H2934" s="299" t="b">
        <v>0</v>
      </c>
      <c r="J2934" s="113" t="str">
        <f t="shared" si="91"/>
        <v>837750978</v>
      </c>
      <c r="K2934" s="113" t="str">
        <f t="shared" si="92"/>
        <v>CG03019</v>
      </c>
    </row>
    <row r="2935" spans="1:11" x14ac:dyDescent="0.3">
      <c r="A2935" s="298" t="s">
        <v>9727</v>
      </c>
      <c r="B2935" s="298" t="s">
        <v>9728</v>
      </c>
      <c r="C2935" s="298" t="s">
        <v>9729</v>
      </c>
      <c r="D2935" s="298" t="s">
        <v>256</v>
      </c>
      <c r="E2935" s="298"/>
      <c r="F2935" s="298" t="s">
        <v>9730</v>
      </c>
      <c r="G2935" s="299" t="b">
        <v>0</v>
      </c>
      <c r="H2935" s="299" t="b">
        <v>0</v>
      </c>
      <c r="J2935" s="113" t="str">
        <f t="shared" si="91"/>
        <v>913674886</v>
      </c>
      <c r="K2935" s="113" t="str">
        <f t="shared" si="92"/>
        <v>CG03020</v>
      </c>
    </row>
    <row r="2936" spans="1:11" x14ac:dyDescent="0.3">
      <c r="A2936" s="298" t="s">
        <v>9731</v>
      </c>
      <c r="B2936" s="298" t="s">
        <v>9732</v>
      </c>
      <c r="C2936" s="298" t="s">
        <v>9733</v>
      </c>
      <c r="D2936" s="298" t="s">
        <v>256</v>
      </c>
      <c r="E2936" s="298"/>
      <c r="F2936" s="298" t="s">
        <v>9734</v>
      </c>
      <c r="G2936" s="299" t="b">
        <v>0</v>
      </c>
      <c r="H2936" s="299" t="b">
        <v>0</v>
      </c>
      <c r="J2936" s="113" t="str">
        <f t="shared" si="91"/>
        <v>936329628</v>
      </c>
      <c r="K2936" s="113" t="str">
        <f t="shared" si="92"/>
        <v>CG03021</v>
      </c>
    </row>
    <row r="2937" spans="1:11" x14ac:dyDescent="0.3">
      <c r="A2937" s="298" t="s">
        <v>9735</v>
      </c>
      <c r="B2937" s="298" t="s">
        <v>9736</v>
      </c>
      <c r="C2937" s="298" t="s">
        <v>9737</v>
      </c>
      <c r="D2937" s="298" t="s">
        <v>256</v>
      </c>
      <c r="E2937" s="298"/>
      <c r="F2937" s="298" t="s">
        <v>9738</v>
      </c>
      <c r="G2937" s="299" t="b">
        <v>0</v>
      </c>
      <c r="H2937" s="299" t="b">
        <v>0</v>
      </c>
      <c r="J2937" s="113" t="str">
        <f t="shared" si="91"/>
        <v>968066789</v>
      </c>
      <c r="K2937" s="113" t="str">
        <f t="shared" si="92"/>
        <v>CG03022</v>
      </c>
    </row>
    <row r="2938" spans="1:11" x14ac:dyDescent="0.3">
      <c r="A2938" s="298" t="s">
        <v>9739</v>
      </c>
      <c r="B2938" s="298" t="s">
        <v>9740</v>
      </c>
      <c r="C2938" s="298" t="s">
        <v>9741</v>
      </c>
      <c r="D2938" s="298" t="s">
        <v>256</v>
      </c>
      <c r="E2938" s="298"/>
      <c r="F2938" s="298" t="s">
        <v>9742</v>
      </c>
      <c r="G2938" s="299" t="b">
        <v>0</v>
      </c>
      <c r="H2938" s="299" t="b">
        <v>0</v>
      </c>
      <c r="J2938" s="113" t="str">
        <f t="shared" si="91"/>
        <v>977863636</v>
      </c>
      <c r="K2938" s="113" t="str">
        <f t="shared" si="92"/>
        <v>CG03023</v>
      </c>
    </row>
    <row r="2939" spans="1:11" x14ac:dyDescent="0.3">
      <c r="A2939" s="298" t="s">
        <v>9743</v>
      </c>
      <c r="B2939" s="298" t="s">
        <v>9744</v>
      </c>
      <c r="C2939" s="298" t="s">
        <v>9745</v>
      </c>
      <c r="D2939" s="298" t="s">
        <v>256</v>
      </c>
      <c r="E2939" s="298"/>
      <c r="F2939" s="298" t="s">
        <v>9746</v>
      </c>
      <c r="G2939" s="299" t="b">
        <v>0</v>
      </c>
      <c r="H2939" s="299" t="b">
        <v>0</v>
      </c>
      <c r="J2939" s="113" t="str">
        <f t="shared" si="91"/>
        <v>912098828</v>
      </c>
      <c r="K2939" s="113" t="str">
        <f t="shared" si="92"/>
        <v>CG03024</v>
      </c>
    </row>
    <row r="2940" spans="1:11" x14ac:dyDescent="0.3">
      <c r="A2940" s="298" t="s">
        <v>9747</v>
      </c>
      <c r="B2940" s="298" t="s">
        <v>9748</v>
      </c>
      <c r="C2940" s="298" t="s">
        <v>378</v>
      </c>
      <c r="D2940" s="298" t="s">
        <v>256</v>
      </c>
      <c r="E2940" s="298"/>
      <c r="F2940" s="298" t="s">
        <v>9749</v>
      </c>
      <c r="G2940" s="299" t="b">
        <v>0</v>
      </c>
      <c r="H2940" s="299" t="b">
        <v>0</v>
      </c>
      <c r="J2940" s="113" t="str">
        <f t="shared" si="91"/>
        <v>943884998</v>
      </c>
      <c r="K2940" s="113" t="str">
        <f t="shared" si="92"/>
        <v>CG03025</v>
      </c>
    </row>
    <row r="2941" spans="1:11" x14ac:dyDescent="0.3">
      <c r="A2941" s="298" t="s">
        <v>9750</v>
      </c>
      <c r="B2941" s="298" t="s">
        <v>9751</v>
      </c>
      <c r="C2941" s="298" t="s">
        <v>1873</v>
      </c>
      <c r="D2941" s="298" t="s">
        <v>256</v>
      </c>
      <c r="E2941" s="298"/>
      <c r="F2941" s="298" t="s">
        <v>9752</v>
      </c>
      <c r="G2941" s="299" t="b">
        <v>0</v>
      </c>
      <c r="H2941" s="299" t="b">
        <v>0</v>
      </c>
      <c r="J2941" s="113" t="str">
        <f t="shared" si="91"/>
        <v>982779473</v>
      </c>
      <c r="K2941" s="113" t="str">
        <f t="shared" si="92"/>
        <v>CG03026</v>
      </c>
    </row>
    <row r="2942" spans="1:11" x14ac:dyDescent="0.3">
      <c r="A2942" s="298" t="s">
        <v>9753</v>
      </c>
      <c r="B2942" s="298" t="s">
        <v>9754</v>
      </c>
      <c r="C2942" s="298" t="s">
        <v>1873</v>
      </c>
      <c r="D2942" s="298" t="s">
        <v>256</v>
      </c>
      <c r="E2942" s="298"/>
      <c r="F2942" s="298"/>
      <c r="G2942" s="299" t="b">
        <v>0</v>
      </c>
      <c r="H2942" s="299" t="b">
        <v>0</v>
      </c>
      <c r="J2942" s="113" t="str">
        <f t="shared" si="91"/>
        <v>968024165</v>
      </c>
      <c r="K2942" s="113" t="str">
        <f t="shared" si="92"/>
        <v>CG03027</v>
      </c>
    </row>
    <row r="2943" spans="1:11" x14ac:dyDescent="0.3">
      <c r="A2943" s="298" t="s">
        <v>9755</v>
      </c>
      <c r="B2943" s="298" t="s">
        <v>9756</v>
      </c>
      <c r="C2943" s="298" t="s">
        <v>9757</v>
      </c>
      <c r="D2943" s="298" t="s">
        <v>256</v>
      </c>
      <c r="E2943" s="298"/>
      <c r="F2943" s="298"/>
      <c r="G2943" s="299" t="b">
        <v>0</v>
      </c>
      <c r="H2943" s="299" t="b">
        <v>0</v>
      </c>
      <c r="J2943" s="113" t="str">
        <f t="shared" si="91"/>
        <v>913935659</v>
      </c>
      <c r="K2943" s="113" t="str">
        <f t="shared" si="92"/>
        <v>CG03028</v>
      </c>
    </row>
    <row r="2944" spans="1:11" x14ac:dyDescent="0.3">
      <c r="A2944" s="298" t="s">
        <v>9758</v>
      </c>
      <c r="B2944" s="298" t="s">
        <v>9759</v>
      </c>
      <c r="C2944" s="298" t="s">
        <v>1873</v>
      </c>
      <c r="D2944" s="298" t="s">
        <v>256</v>
      </c>
      <c r="E2944" s="298"/>
      <c r="F2944" s="298"/>
      <c r="G2944" s="299" t="b">
        <v>0</v>
      </c>
      <c r="H2944" s="299" t="b">
        <v>0</v>
      </c>
      <c r="J2944" s="113" t="str">
        <f t="shared" si="91"/>
        <v>839950884</v>
      </c>
      <c r="K2944" s="113" t="str">
        <f t="shared" si="92"/>
        <v>CG03029</v>
      </c>
    </row>
    <row r="2945" spans="1:11" x14ac:dyDescent="0.3">
      <c r="A2945" s="298" t="s">
        <v>9760</v>
      </c>
      <c r="B2945" s="298" t="s">
        <v>9761</v>
      </c>
      <c r="C2945" s="298" t="s">
        <v>277</v>
      </c>
      <c r="D2945" s="298" t="s">
        <v>256</v>
      </c>
      <c r="E2945" s="298" t="s">
        <v>9762</v>
      </c>
      <c r="F2945" s="298" t="s">
        <v>9763</v>
      </c>
      <c r="G2945" s="299" t="b">
        <v>0</v>
      </c>
      <c r="H2945" s="299" t="b">
        <v>0</v>
      </c>
      <c r="J2945" s="113" t="str">
        <f t="shared" si="91"/>
        <v>338398338</v>
      </c>
      <c r="K2945" s="113" t="str">
        <f t="shared" si="92"/>
        <v>CG03030</v>
      </c>
    </row>
    <row r="2946" spans="1:11" x14ac:dyDescent="0.3">
      <c r="A2946" s="298" t="s">
        <v>9764</v>
      </c>
      <c r="B2946" s="298" t="s">
        <v>9765</v>
      </c>
      <c r="C2946" s="298" t="s">
        <v>693</v>
      </c>
      <c r="D2946" s="298" t="s">
        <v>256</v>
      </c>
      <c r="E2946" s="298"/>
      <c r="F2946" s="298" t="s">
        <v>9766</v>
      </c>
      <c r="G2946" s="299" t="b">
        <v>0</v>
      </c>
      <c r="H2946" s="299" t="b">
        <v>0</v>
      </c>
      <c r="J2946" s="113" t="str">
        <f t="shared" si="91"/>
        <v>399972216</v>
      </c>
      <c r="K2946" s="113" t="str">
        <f t="shared" si="92"/>
        <v>CG03031</v>
      </c>
    </row>
    <row r="2947" spans="1:11" x14ac:dyDescent="0.3">
      <c r="A2947" s="298" t="s">
        <v>9767</v>
      </c>
      <c r="B2947" s="298" t="s">
        <v>9768</v>
      </c>
      <c r="C2947" s="298" t="s">
        <v>1265</v>
      </c>
      <c r="D2947" s="298" t="s">
        <v>256</v>
      </c>
      <c r="E2947" s="298"/>
      <c r="F2947" s="298" t="s">
        <v>9769</v>
      </c>
      <c r="G2947" s="299" t="b">
        <v>0</v>
      </c>
      <c r="H2947" s="299" t="b">
        <v>0</v>
      </c>
      <c r="J2947" s="113" t="str">
        <f t="shared" si="91"/>
        <v>374684534</v>
      </c>
      <c r="K2947" s="113" t="str">
        <f t="shared" si="92"/>
        <v>CG03032</v>
      </c>
    </row>
    <row r="2948" spans="1:11" x14ac:dyDescent="0.3">
      <c r="A2948" s="298" t="s">
        <v>9770</v>
      </c>
      <c r="B2948" s="298" t="s">
        <v>9771</v>
      </c>
      <c r="C2948" s="298" t="s">
        <v>2654</v>
      </c>
      <c r="D2948" s="298" t="s">
        <v>256</v>
      </c>
      <c r="E2948" s="298"/>
      <c r="F2948" s="298" t="s">
        <v>9772</v>
      </c>
      <c r="G2948" s="299" t="b">
        <v>0</v>
      </c>
      <c r="H2948" s="299" t="b">
        <v>0</v>
      </c>
      <c r="J2948" s="113" t="str">
        <f t="shared" si="91"/>
        <v>982327779</v>
      </c>
      <c r="K2948" s="113" t="str">
        <f t="shared" si="92"/>
        <v>CG03033</v>
      </c>
    </row>
    <row r="2949" spans="1:11" x14ac:dyDescent="0.3">
      <c r="A2949" s="298" t="s">
        <v>9773</v>
      </c>
      <c r="B2949" s="298" t="s">
        <v>9774</v>
      </c>
      <c r="C2949" s="298" t="s">
        <v>9775</v>
      </c>
      <c r="D2949" s="298" t="s">
        <v>256</v>
      </c>
      <c r="E2949" s="298"/>
      <c r="F2949" s="298" t="s">
        <v>9776</v>
      </c>
      <c r="G2949" s="299" t="b">
        <v>0</v>
      </c>
      <c r="H2949" s="299" t="b">
        <v>0</v>
      </c>
      <c r="J2949" s="113" t="str">
        <f t="shared" ref="J2949:J3012" si="93">RIGHT(B2949,9)</f>
        <v>915018286</v>
      </c>
      <c r="K2949" s="113" t="str">
        <f t="shared" ref="K2949:K3012" si="94">A2949</f>
        <v>CG03034</v>
      </c>
    </row>
    <row r="2950" spans="1:11" x14ac:dyDescent="0.3">
      <c r="A2950" s="298" t="s">
        <v>9777</v>
      </c>
      <c r="B2950" s="298" t="s">
        <v>9778</v>
      </c>
      <c r="C2950" s="298" t="s">
        <v>274</v>
      </c>
      <c r="D2950" s="298" t="s">
        <v>256</v>
      </c>
      <c r="E2950" s="298"/>
      <c r="F2950" s="298" t="s">
        <v>9779</v>
      </c>
      <c r="G2950" s="299" t="b">
        <v>0</v>
      </c>
      <c r="H2950" s="299" t="b">
        <v>0</v>
      </c>
      <c r="J2950" s="113" t="str">
        <f t="shared" si="93"/>
        <v>989110985</v>
      </c>
      <c r="K2950" s="113" t="str">
        <f t="shared" si="94"/>
        <v>CG03035</v>
      </c>
    </row>
    <row r="2951" spans="1:11" x14ac:dyDescent="0.3">
      <c r="A2951" s="298" t="s">
        <v>9780</v>
      </c>
      <c r="B2951" s="298" t="s">
        <v>9781</v>
      </c>
      <c r="C2951" s="298" t="s">
        <v>9782</v>
      </c>
      <c r="D2951" s="298" t="s">
        <v>256</v>
      </c>
      <c r="E2951" s="298"/>
      <c r="F2951" s="298" t="s">
        <v>9783</v>
      </c>
      <c r="G2951" s="299" t="b">
        <v>0</v>
      </c>
      <c r="H2951" s="299" t="b">
        <v>0</v>
      </c>
      <c r="J2951" s="113" t="str">
        <f t="shared" si="93"/>
        <v>915248890</v>
      </c>
      <c r="K2951" s="113" t="str">
        <f t="shared" si="94"/>
        <v>CG03036</v>
      </c>
    </row>
    <row r="2952" spans="1:11" x14ac:dyDescent="0.3">
      <c r="A2952" s="298" t="s">
        <v>9784</v>
      </c>
      <c r="B2952" s="298" t="s">
        <v>9785</v>
      </c>
      <c r="C2952" s="298" t="s">
        <v>274</v>
      </c>
      <c r="D2952" s="298" t="s">
        <v>256</v>
      </c>
      <c r="E2952" s="298"/>
      <c r="F2952" s="298" t="s">
        <v>9772</v>
      </c>
      <c r="G2952" s="299" t="b">
        <v>0</v>
      </c>
      <c r="H2952" s="299" t="b">
        <v>0</v>
      </c>
      <c r="J2952" s="113" t="str">
        <f t="shared" si="93"/>
        <v>982327779</v>
      </c>
      <c r="K2952" s="113" t="str">
        <f t="shared" si="94"/>
        <v>CG03037</v>
      </c>
    </row>
    <row r="2953" spans="1:11" x14ac:dyDescent="0.3">
      <c r="A2953" s="298" t="s">
        <v>9786</v>
      </c>
      <c r="B2953" s="298" t="s">
        <v>9787</v>
      </c>
      <c r="C2953" s="298" t="s">
        <v>9788</v>
      </c>
      <c r="D2953" s="298" t="s">
        <v>256</v>
      </c>
      <c r="E2953" s="298" t="s">
        <v>9789</v>
      </c>
      <c r="F2953" s="298" t="s">
        <v>9790</v>
      </c>
      <c r="G2953" s="299" t="b">
        <v>0</v>
      </c>
      <c r="H2953" s="299" t="b">
        <v>0</v>
      </c>
      <c r="J2953" s="113" t="str">
        <f t="shared" si="93"/>
        <v>915430173</v>
      </c>
      <c r="K2953" s="113" t="str">
        <f t="shared" si="94"/>
        <v>CG03038</v>
      </c>
    </row>
    <row r="2954" spans="1:11" x14ac:dyDescent="0.3">
      <c r="A2954" s="298" t="s">
        <v>9791</v>
      </c>
      <c r="B2954" s="298" t="s">
        <v>9792</v>
      </c>
      <c r="C2954" s="298" t="s">
        <v>5989</v>
      </c>
      <c r="D2954" s="298" t="s">
        <v>256</v>
      </c>
      <c r="E2954" s="298"/>
      <c r="F2954" s="298" t="s">
        <v>9793</v>
      </c>
      <c r="G2954" s="299" t="b">
        <v>0</v>
      </c>
      <c r="H2954" s="299" t="b">
        <v>0</v>
      </c>
      <c r="J2954" s="113" t="str">
        <f t="shared" si="93"/>
        <v>915951590</v>
      </c>
      <c r="K2954" s="113" t="str">
        <f t="shared" si="94"/>
        <v>CG03039</v>
      </c>
    </row>
    <row r="2955" spans="1:11" x14ac:dyDescent="0.3">
      <c r="A2955" s="298" t="s">
        <v>9794</v>
      </c>
      <c r="B2955" s="298" t="s">
        <v>9795</v>
      </c>
      <c r="C2955" s="298" t="s">
        <v>9316</v>
      </c>
      <c r="D2955" s="298" t="s">
        <v>256</v>
      </c>
      <c r="E2955" s="298"/>
      <c r="F2955" s="298" t="s">
        <v>9796</v>
      </c>
      <c r="G2955" s="299" t="b">
        <v>0</v>
      </c>
      <c r="H2955" s="299" t="b">
        <v>0</v>
      </c>
      <c r="J2955" s="113" t="str">
        <f t="shared" si="93"/>
        <v>834706011</v>
      </c>
      <c r="K2955" s="113" t="str">
        <f t="shared" si="94"/>
        <v>CG03040</v>
      </c>
    </row>
    <row r="2956" spans="1:11" x14ac:dyDescent="0.3">
      <c r="A2956" s="298" t="s">
        <v>9797</v>
      </c>
      <c r="B2956" s="298" t="s">
        <v>9798</v>
      </c>
      <c r="C2956" s="298" t="s">
        <v>9799</v>
      </c>
      <c r="D2956" s="298" t="s">
        <v>256</v>
      </c>
      <c r="E2956" s="298"/>
      <c r="F2956" s="298" t="s">
        <v>9800</v>
      </c>
      <c r="G2956" s="299" t="b">
        <v>0</v>
      </c>
      <c r="H2956" s="299" t="b">
        <v>0</v>
      </c>
      <c r="J2956" s="113" t="str">
        <f t="shared" si="93"/>
        <v>378278789</v>
      </c>
      <c r="K2956" s="113" t="str">
        <f t="shared" si="94"/>
        <v>CG03041</v>
      </c>
    </row>
    <row r="2957" spans="1:11" x14ac:dyDescent="0.3">
      <c r="A2957" s="298" t="s">
        <v>9801</v>
      </c>
      <c r="B2957" s="298" t="s">
        <v>9802</v>
      </c>
      <c r="C2957" s="298" t="s">
        <v>5305</v>
      </c>
      <c r="D2957" s="298" t="s">
        <v>256</v>
      </c>
      <c r="E2957" s="298"/>
      <c r="F2957" s="298" t="s">
        <v>9803</v>
      </c>
      <c r="G2957" s="299" t="b">
        <v>0</v>
      </c>
      <c r="H2957" s="299" t="b">
        <v>0</v>
      </c>
      <c r="J2957" s="113" t="str">
        <f t="shared" si="93"/>
        <v>943845408</v>
      </c>
      <c r="K2957" s="113" t="str">
        <f t="shared" si="94"/>
        <v>CG03042</v>
      </c>
    </row>
    <row r="2958" spans="1:11" x14ac:dyDescent="0.3">
      <c r="A2958" s="298" t="s">
        <v>9804</v>
      </c>
      <c r="B2958" s="298" t="s">
        <v>9805</v>
      </c>
      <c r="C2958" s="298" t="s">
        <v>322</v>
      </c>
      <c r="D2958" s="298" t="s">
        <v>256</v>
      </c>
      <c r="E2958" s="298"/>
      <c r="F2958" s="298" t="s">
        <v>9806</v>
      </c>
      <c r="G2958" s="299" t="b">
        <v>0</v>
      </c>
      <c r="H2958" s="299" t="b">
        <v>0</v>
      </c>
      <c r="J2958" s="113" t="str">
        <f t="shared" si="93"/>
        <v>913785989</v>
      </c>
      <c r="K2958" s="113" t="str">
        <f t="shared" si="94"/>
        <v>CG03043</v>
      </c>
    </row>
    <row r="2959" spans="1:11" x14ac:dyDescent="0.3">
      <c r="A2959" s="298" t="s">
        <v>9807</v>
      </c>
      <c r="B2959" s="298" t="s">
        <v>9808</v>
      </c>
      <c r="C2959" s="298" t="s">
        <v>1348</v>
      </c>
      <c r="D2959" s="298" t="s">
        <v>256</v>
      </c>
      <c r="E2959" s="298"/>
      <c r="F2959" s="298" t="s">
        <v>9809</v>
      </c>
      <c r="G2959" s="299" t="b">
        <v>0</v>
      </c>
      <c r="H2959" s="299" t="b">
        <v>0</v>
      </c>
      <c r="J2959" s="113" t="str">
        <f t="shared" si="93"/>
        <v>904285435</v>
      </c>
      <c r="K2959" s="113" t="str">
        <f t="shared" si="94"/>
        <v>CG03044</v>
      </c>
    </row>
    <row r="2960" spans="1:11" x14ac:dyDescent="0.3">
      <c r="A2960" s="298" t="s">
        <v>9810</v>
      </c>
      <c r="B2960" s="298" t="s">
        <v>9811</v>
      </c>
      <c r="C2960" s="298" t="s">
        <v>3037</v>
      </c>
      <c r="D2960" s="298" t="s">
        <v>256</v>
      </c>
      <c r="E2960" s="298"/>
      <c r="F2960" s="298" t="s">
        <v>9812</v>
      </c>
      <c r="G2960" s="299" t="b">
        <v>0</v>
      </c>
      <c r="H2960" s="299" t="b">
        <v>0</v>
      </c>
      <c r="J2960" s="113" t="str">
        <f t="shared" si="93"/>
        <v>949838258</v>
      </c>
      <c r="K2960" s="113" t="str">
        <f t="shared" si="94"/>
        <v>CG03045</v>
      </c>
    </row>
    <row r="2961" spans="1:11" x14ac:dyDescent="0.3">
      <c r="A2961" s="298" t="s">
        <v>9813</v>
      </c>
      <c r="B2961" s="298" t="s">
        <v>9814</v>
      </c>
      <c r="C2961" s="298" t="s">
        <v>2979</v>
      </c>
      <c r="D2961" s="298" t="s">
        <v>256</v>
      </c>
      <c r="E2961" s="298" t="s">
        <v>9815</v>
      </c>
      <c r="F2961" s="298" t="s">
        <v>9816</v>
      </c>
      <c r="G2961" s="299" t="b">
        <v>0</v>
      </c>
      <c r="H2961" s="299" t="b">
        <v>0</v>
      </c>
      <c r="J2961" s="113" t="str">
        <f t="shared" si="93"/>
        <v>982315606</v>
      </c>
      <c r="K2961" s="113" t="str">
        <f t="shared" si="94"/>
        <v>CG03046</v>
      </c>
    </row>
    <row r="2962" spans="1:11" x14ac:dyDescent="0.3">
      <c r="A2962" s="298" t="s">
        <v>9817</v>
      </c>
      <c r="B2962" s="298" t="s">
        <v>9818</v>
      </c>
      <c r="C2962" s="298" t="s">
        <v>9819</v>
      </c>
      <c r="D2962" s="298" t="s">
        <v>256</v>
      </c>
      <c r="E2962" s="298" t="s">
        <v>9820</v>
      </c>
      <c r="F2962" s="298" t="s">
        <v>1804</v>
      </c>
      <c r="G2962" s="299" t="b">
        <v>0</v>
      </c>
      <c r="H2962" s="299" t="b">
        <v>0</v>
      </c>
      <c r="J2962" s="113" t="str">
        <f t="shared" si="93"/>
        <v>914888390</v>
      </c>
      <c r="K2962" s="113" t="str">
        <f t="shared" si="94"/>
        <v>CG03047</v>
      </c>
    </row>
    <row r="2963" spans="1:11" x14ac:dyDescent="0.3">
      <c r="A2963" s="298" t="s">
        <v>9821</v>
      </c>
      <c r="B2963" s="298" t="s">
        <v>9822</v>
      </c>
      <c r="C2963" s="298" t="s">
        <v>9823</v>
      </c>
      <c r="D2963" s="298" t="s">
        <v>256</v>
      </c>
      <c r="E2963" s="298" t="s">
        <v>9824</v>
      </c>
      <c r="F2963" s="298" t="s">
        <v>9825</v>
      </c>
      <c r="G2963" s="299" t="b">
        <v>0</v>
      </c>
      <c r="H2963" s="299" t="b">
        <v>0</v>
      </c>
      <c r="J2963" s="113" t="str">
        <f t="shared" si="93"/>
        <v>985562333</v>
      </c>
      <c r="K2963" s="113" t="str">
        <f t="shared" si="94"/>
        <v>CG03048</v>
      </c>
    </row>
    <row r="2964" spans="1:11" x14ac:dyDescent="0.3">
      <c r="A2964" s="298" t="s">
        <v>9826</v>
      </c>
      <c r="B2964" s="298" t="s">
        <v>9827</v>
      </c>
      <c r="C2964" s="298" t="s">
        <v>274</v>
      </c>
      <c r="D2964" s="298" t="s">
        <v>256</v>
      </c>
      <c r="E2964" s="298"/>
      <c r="F2964" s="298" t="s">
        <v>9828</v>
      </c>
      <c r="G2964" s="299" t="b">
        <v>0</v>
      </c>
      <c r="H2964" s="299" t="b">
        <v>0</v>
      </c>
      <c r="J2964" s="113" t="str">
        <f t="shared" si="93"/>
        <v>912612123</v>
      </c>
      <c r="K2964" s="113" t="str">
        <f t="shared" si="94"/>
        <v>CG03049</v>
      </c>
    </row>
    <row r="2965" spans="1:11" x14ac:dyDescent="0.3">
      <c r="A2965" s="298" t="s">
        <v>9829</v>
      </c>
      <c r="B2965" s="298" t="s">
        <v>9830</v>
      </c>
      <c r="C2965" s="298" t="s">
        <v>7480</v>
      </c>
      <c r="D2965" s="298" t="s">
        <v>256</v>
      </c>
      <c r="E2965" s="298"/>
      <c r="F2965" s="298" t="s">
        <v>9831</v>
      </c>
      <c r="G2965" s="299" t="b">
        <v>0</v>
      </c>
      <c r="H2965" s="299" t="b">
        <v>0</v>
      </c>
      <c r="J2965" s="113" t="str">
        <f t="shared" si="93"/>
        <v>948547875</v>
      </c>
      <c r="K2965" s="113" t="str">
        <f t="shared" si="94"/>
        <v>CG03050</v>
      </c>
    </row>
    <row r="2966" spans="1:11" x14ac:dyDescent="0.3">
      <c r="A2966" s="298" t="s">
        <v>222</v>
      </c>
      <c r="B2966" s="298" t="s">
        <v>223</v>
      </c>
      <c r="C2966" s="298" t="s">
        <v>3071</v>
      </c>
      <c r="D2966" s="298" t="s">
        <v>256</v>
      </c>
      <c r="E2966" s="298"/>
      <c r="F2966" s="298" t="s">
        <v>9832</v>
      </c>
      <c r="G2966" s="299" t="b">
        <v>0</v>
      </c>
      <c r="H2966" s="299" t="b">
        <v>0</v>
      </c>
      <c r="J2966" s="113" t="str">
        <f t="shared" si="93"/>
        <v>968344599</v>
      </c>
      <c r="K2966" s="113" t="str">
        <f t="shared" si="94"/>
        <v>CG03051</v>
      </c>
    </row>
    <row r="2967" spans="1:11" x14ac:dyDescent="0.3">
      <c r="A2967" s="298" t="s">
        <v>9833</v>
      </c>
      <c r="B2967" s="298" t="s">
        <v>9834</v>
      </c>
      <c r="C2967" s="298" t="s">
        <v>7179</v>
      </c>
      <c r="D2967" s="298" t="s">
        <v>256</v>
      </c>
      <c r="E2967" s="298"/>
      <c r="F2967" s="298" t="s">
        <v>9835</v>
      </c>
      <c r="G2967" s="299" t="b">
        <v>0</v>
      </c>
      <c r="H2967" s="299" t="b">
        <v>0</v>
      </c>
      <c r="J2967" s="113" t="str">
        <f t="shared" si="93"/>
        <v>977787202</v>
      </c>
      <c r="K2967" s="113" t="str">
        <f t="shared" si="94"/>
        <v>CG03052</v>
      </c>
    </row>
    <row r="2968" spans="1:11" x14ac:dyDescent="0.3">
      <c r="A2968" s="298" t="s">
        <v>9836</v>
      </c>
      <c r="B2968" s="298" t="s">
        <v>9837</v>
      </c>
      <c r="C2968" s="298" t="s">
        <v>9838</v>
      </c>
      <c r="D2968" s="298" t="s">
        <v>256</v>
      </c>
      <c r="E2968" s="298"/>
      <c r="F2968" s="298" t="s">
        <v>9839</v>
      </c>
      <c r="G2968" s="299" t="b">
        <v>0</v>
      </c>
      <c r="H2968" s="299" t="b">
        <v>0</v>
      </c>
      <c r="J2968" s="113" t="str">
        <f t="shared" si="93"/>
        <v>912272327</v>
      </c>
      <c r="K2968" s="113" t="str">
        <f t="shared" si="94"/>
        <v>CG03053</v>
      </c>
    </row>
    <row r="2969" spans="1:11" x14ac:dyDescent="0.3">
      <c r="A2969" s="298" t="s">
        <v>9840</v>
      </c>
      <c r="B2969" s="298" t="s">
        <v>9841</v>
      </c>
      <c r="C2969" s="298" t="s">
        <v>9647</v>
      </c>
      <c r="D2969" s="298" t="s">
        <v>256</v>
      </c>
      <c r="E2969" s="298"/>
      <c r="F2969" s="298" t="s">
        <v>9842</v>
      </c>
      <c r="G2969" s="299" t="b">
        <v>0</v>
      </c>
      <c r="H2969" s="299" t="b">
        <v>0</v>
      </c>
      <c r="J2969" s="113" t="str">
        <f t="shared" si="93"/>
        <v>975213909</v>
      </c>
      <c r="K2969" s="113" t="str">
        <f t="shared" si="94"/>
        <v>CG03054</v>
      </c>
    </row>
    <row r="2970" spans="1:11" x14ac:dyDescent="0.3">
      <c r="A2970" s="298" t="s">
        <v>9843</v>
      </c>
      <c r="B2970" s="298" t="s">
        <v>9844</v>
      </c>
      <c r="C2970" s="298" t="s">
        <v>9845</v>
      </c>
      <c r="D2970" s="298" t="s">
        <v>256</v>
      </c>
      <c r="E2970" s="298"/>
      <c r="F2970" s="298" t="s">
        <v>9846</v>
      </c>
      <c r="G2970" s="299" t="b">
        <v>0</v>
      </c>
      <c r="H2970" s="299" t="b">
        <v>0</v>
      </c>
      <c r="J2970" s="113" t="str">
        <f t="shared" si="93"/>
        <v>975777819</v>
      </c>
      <c r="K2970" s="113" t="str">
        <f t="shared" si="94"/>
        <v>CG03055</v>
      </c>
    </row>
    <row r="2971" spans="1:11" x14ac:dyDescent="0.3">
      <c r="A2971" s="298" t="s">
        <v>9847</v>
      </c>
      <c r="B2971" s="298" t="s">
        <v>9848</v>
      </c>
      <c r="C2971" s="298" t="s">
        <v>9849</v>
      </c>
      <c r="D2971" s="298" t="s">
        <v>256</v>
      </c>
      <c r="E2971" s="298"/>
      <c r="F2971" s="298" t="s">
        <v>9850</v>
      </c>
      <c r="G2971" s="299" t="b">
        <v>0</v>
      </c>
      <c r="H2971" s="299" t="b">
        <v>0</v>
      </c>
      <c r="J2971" s="113" t="str">
        <f t="shared" si="93"/>
        <v>971400078</v>
      </c>
      <c r="K2971" s="113" t="str">
        <f t="shared" si="94"/>
        <v>CG03056</v>
      </c>
    </row>
    <row r="2972" spans="1:11" x14ac:dyDescent="0.3">
      <c r="A2972" s="298" t="s">
        <v>9851</v>
      </c>
      <c r="B2972" s="298" t="s">
        <v>9852</v>
      </c>
      <c r="C2972" s="298" t="s">
        <v>274</v>
      </c>
      <c r="D2972" s="298" t="s">
        <v>256</v>
      </c>
      <c r="E2972" s="298"/>
      <c r="F2972" s="298" t="s">
        <v>9853</v>
      </c>
      <c r="G2972" s="299" t="b">
        <v>0</v>
      </c>
      <c r="H2972" s="299" t="b">
        <v>0</v>
      </c>
      <c r="J2972" s="113" t="str">
        <f t="shared" si="93"/>
        <v>377885279</v>
      </c>
      <c r="K2972" s="113" t="str">
        <f t="shared" si="94"/>
        <v>CG03057</v>
      </c>
    </row>
    <row r="2973" spans="1:11" x14ac:dyDescent="0.3">
      <c r="A2973" s="298" t="s">
        <v>9854</v>
      </c>
      <c r="B2973" s="298" t="s">
        <v>9855</v>
      </c>
      <c r="C2973" s="298" t="s">
        <v>9856</v>
      </c>
      <c r="D2973" s="298" t="s">
        <v>256</v>
      </c>
      <c r="E2973" s="298"/>
      <c r="F2973" s="298" t="s">
        <v>9857</v>
      </c>
      <c r="G2973" s="299" t="b">
        <v>0</v>
      </c>
      <c r="H2973" s="299" t="b">
        <v>0</v>
      </c>
      <c r="J2973" s="113" t="str">
        <f t="shared" si="93"/>
        <v>905866049</v>
      </c>
      <c r="K2973" s="113" t="str">
        <f t="shared" si="94"/>
        <v>CG03058</v>
      </c>
    </row>
    <row r="2974" spans="1:11" x14ac:dyDescent="0.3">
      <c r="A2974" s="298" t="s">
        <v>9858</v>
      </c>
      <c r="B2974" s="298" t="s">
        <v>9859</v>
      </c>
      <c r="C2974" s="298" t="s">
        <v>9860</v>
      </c>
      <c r="D2974" s="298" t="s">
        <v>256</v>
      </c>
      <c r="E2974" s="298"/>
      <c r="F2974" s="298" t="s">
        <v>9861</v>
      </c>
      <c r="G2974" s="299" t="b">
        <v>0</v>
      </c>
      <c r="H2974" s="299" t="b">
        <v>0</v>
      </c>
      <c r="J2974" s="113" t="str">
        <f t="shared" si="93"/>
        <v>772236663</v>
      </c>
      <c r="K2974" s="113" t="str">
        <f t="shared" si="94"/>
        <v>CG03059</v>
      </c>
    </row>
    <row r="2975" spans="1:11" x14ac:dyDescent="0.3">
      <c r="A2975" s="298" t="s">
        <v>9862</v>
      </c>
      <c r="B2975" s="298" t="s">
        <v>9863</v>
      </c>
      <c r="C2975" s="298" t="s">
        <v>2897</v>
      </c>
      <c r="D2975" s="298" t="s">
        <v>256</v>
      </c>
      <c r="E2975" s="298"/>
      <c r="F2975" s="298" t="s">
        <v>9864</v>
      </c>
      <c r="G2975" s="299" t="b">
        <v>0</v>
      </c>
      <c r="H2975" s="299" t="b">
        <v>0</v>
      </c>
      <c r="J2975" s="113" t="str">
        <f t="shared" si="93"/>
        <v>911664996</v>
      </c>
      <c r="K2975" s="113" t="str">
        <f t="shared" si="94"/>
        <v>CG03060</v>
      </c>
    </row>
    <row r="2976" spans="1:11" x14ac:dyDescent="0.3">
      <c r="A2976" s="298" t="s">
        <v>9865</v>
      </c>
      <c r="B2976" s="298" t="s">
        <v>9866</v>
      </c>
      <c r="C2976" s="298" t="s">
        <v>3037</v>
      </c>
      <c r="D2976" s="298" t="s">
        <v>256</v>
      </c>
      <c r="E2976" s="298"/>
      <c r="F2976" s="298" t="s">
        <v>9867</v>
      </c>
      <c r="G2976" s="299" t="b">
        <v>0</v>
      </c>
      <c r="H2976" s="299" t="b">
        <v>0</v>
      </c>
      <c r="J2976" s="113" t="str">
        <f t="shared" si="93"/>
        <v>915948572</v>
      </c>
      <c r="K2976" s="113" t="str">
        <f t="shared" si="94"/>
        <v>CG03061</v>
      </c>
    </row>
    <row r="2977" spans="1:11" x14ac:dyDescent="0.3">
      <c r="A2977" s="298" t="s">
        <v>9868</v>
      </c>
      <c r="B2977" s="298" t="s">
        <v>9869</v>
      </c>
      <c r="C2977" s="298" t="s">
        <v>1265</v>
      </c>
      <c r="D2977" s="298" t="s">
        <v>256</v>
      </c>
      <c r="E2977" s="298"/>
      <c r="F2977" s="298" t="s">
        <v>9870</v>
      </c>
      <c r="G2977" s="299" t="b">
        <v>0</v>
      </c>
      <c r="H2977" s="299" t="b">
        <v>0</v>
      </c>
      <c r="J2977" s="113" t="str">
        <f t="shared" si="93"/>
        <v>965813522</v>
      </c>
      <c r="K2977" s="113" t="str">
        <f t="shared" si="94"/>
        <v>CG03062</v>
      </c>
    </row>
    <row r="2978" spans="1:11" x14ac:dyDescent="0.3">
      <c r="A2978" s="298" t="s">
        <v>9871</v>
      </c>
      <c r="B2978" s="298" t="s">
        <v>9872</v>
      </c>
      <c r="C2978" s="298" t="s">
        <v>9873</v>
      </c>
      <c r="D2978" s="298" t="s">
        <v>256</v>
      </c>
      <c r="E2978" s="298"/>
      <c r="F2978" s="298" t="s">
        <v>9874</v>
      </c>
      <c r="G2978" s="299" t="b">
        <v>0</v>
      </c>
      <c r="H2978" s="299" t="b">
        <v>0</v>
      </c>
      <c r="J2978" s="113" t="str">
        <f t="shared" si="93"/>
        <v>985108120</v>
      </c>
      <c r="K2978" s="113" t="str">
        <f t="shared" si="94"/>
        <v>CG03063</v>
      </c>
    </row>
    <row r="2979" spans="1:11" x14ac:dyDescent="0.3">
      <c r="A2979" s="298" t="s">
        <v>9875</v>
      </c>
      <c r="B2979" s="298" t="s">
        <v>9876</v>
      </c>
      <c r="C2979" s="298" t="s">
        <v>1711</v>
      </c>
      <c r="D2979" s="298" t="s">
        <v>256</v>
      </c>
      <c r="E2979" s="298"/>
      <c r="F2979" s="298" t="s">
        <v>9877</v>
      </c>
      <c r="G2979" s="299" t="b">
        <v>0</v>
      </c>
      <c r="H2979" s="299" t="b">
        <v>0</v>
      </c>
      <c r="J2979" s="113" t="str">
        <f t="shared" si="93"/>
        <v>983588235</v>
      </c>
      <c r="K2979" s="113" t="str">
        <f t="shared" si="94"/>
        <v>CG03064</v>
      </c>
    </row>
    <row r="2980" spans="1:11" x14ac:dyDescent="0.3">
      <c r="A2980" s="298" t="s">
        <v>9878</v>
      </c>
      <c r="B2980" s="298" t="s">
        <v>9879</v>
      </c>
      <c r="C2980" s="298" t="s">
        <v>9880</v>
      </c>
      <c r="D2980" s="298" t="s">
        <v>256</v>
      </c>
      <c r="E2980" s="298"/>
      <c r="F2980" s="298" t="s">
        <v>9881</v>
      </c>
      <c r="G2980" s="299" t="b">
        <v>0</v>
      </c>
      <c r="H2980" s="299" t="b">
        <v>0</v>
      </c>
      <c r="J2980" s="113" t="str">
        <f t="shared" si="93"/>
        <v>917949867</v>
      </c>
      <c r="K2980" s="113" t="str">
        <f t="shared" si="94"/>
        <v>CG03065</v>
      </c>
    </row>
    <row r="2981" spans="1:11" x14ac:dyDescent="0.3">
      <c r="A2981" s="298" t="s">
        <v>9882</v>
      </c>
      <c r="B2981" s="298" t="s">
        <v>9883</v>
      </c>
      <c r="C2981" s="298" t="s">
        <v>3037</v>
      </c>
      <c r="D2981" s="298" t="s">
        <v>256</v>
      </c>
      <c r="E2981" s="298"/>
      <c r="F2981" s="298" t="s">
        <v>9884</v>
      </c>
      <c r="G2981" s="299" t="b">
        <v>0</v>
      </c>
      <c r="H2981" s="299" t="b">
        <v>0</v>
      </c>
      <c r="J2981" s="113" t="str">
        <f t="shared" si="93"/>
        <v>963334999</v>
      </c>
      <c r="K2981" s="113" t="str">
        <f t="shared" si="94"/>
        <v>CG03066</v>
      </c>
    </row>
    <row r="2982" spans="1:11" x14ac:dyDescent="0.3">
      <c r="A2982" s="298" t="s">
        <v>9885</v>
      </c>
      <c r="B2982" s="298" t="s">
        <v>9886</v>
      </c>
      <c r="C2982" s="298" t="s">
        <v>2339</v>
      </c>
      <c r="D2982" s="298" t="s">
        <v>256</v>
      </c>
      <c r="E2982" s="298"/>
      <c r="F2982" s="298" t="s">
        <v>9887</v>
      </c>
      <c r="G2982" s="299" t="b">
        <v>0</v>
      </c>
      <c r="H2982" s="299" t="b">
        <v>0</v>
      </c>
      <c r="J2982" s="113" t="str">
        <f t="shared" si="93"/>
        <v>946117551</v>
      </c>
      <c r="K2982" s="113" t="str">
        <f t="shared" si="94"/>
        <v>CG03067</v>
      </c>
    </row>
    <row r="2983" spans="1:11" x14ac:dyDescent="0.3">
      <c r="A2983" s="298" t="s">
        <v>9888</v>
      </c>
      <c r="B2983" s="298" t="s">
        <v>9889</v>
      </c>
      <c r="C2983" s="298" t="s">
        <v>1222</v>
      </c>
      <c r="D2983" s="298" t="s">
        <v>256</v>
      </c>
      <c r="E2983" s="298"/>
      <c r="F2983" s="298" t="s">
        <v>9890</v>
      </c>
      <c r="G2983" s="299" t="b">
        <v>0</v>
      </c>
      <c r="H2983" s="299" t="b">
        <v>0</v>
      </c>
      <c r="J2983" s="113" t="str">
        <f t="shared" si="93"/>
        <v>973405182</v>
      </c>
      <c r="K2983" s="113" t="str">
        <f t="shared" si="94"/>
        <v>CG03068</v>
      </c>
    </row>
    <row r="2984" spans="1:11" x14ac:dyDescent="0.3">
      <c r="A2984" s="298" t="s">
        <v>9891</v>
      </c>
      <c r="B2984" s="298" t="s">
        <v>9892</v>
      </c>
      <c r="C2984" s="298" t="s">
        <v>9893</v>
      </c>
      <c r="D2984" s="298" t="s">
        <v>256</v>
      </c>
      <c r="E2984" s="298"/>
      <c r="F2984" s="298" t="s">
        <v>9894</v>
      </c>
      <c r="G2984" s="299" t="b">
        <v>0</v>
      </c>
      <c r="H2984" s="299" t="b">
        <v>0</v>
      </c>
      <c r="J2984" s="113" t="str">
        <f t="shared" si="93"/>
        <v>768221082</v>
      </c>
      <c r="K2984" s="113" t="str">
        <f t="shared" si="94"/>
        <v>CG03069</v>
      </c>
    </row>
    <row r="2985" spans="1:11" x14ac:dyDescent="0.3">
      <c r="A2985" s="298" t="s">
        <v>9895</v>
      </c>
      <c r="B2985" s="298" t="s">
        <v>9896</v>
      </c>
      <c r="C2985" s="298" t="s">
        <v>9897</v>
      </c>
      <c r="D2985" s="298" t="s">
        <v>256</v>
      </c>
      <c r="E2985" s="298"/>
      <c r="F2985" s="298" t="s">
        <v>9898</v>
      </c>
      <c r="G2985" s="299" t="b">
        <v>0</v>
      </c>
      <c r="H2985" s="299" t="b">
        <v>0</v>
      </c>
      <c r="J2985" s="113" t="str">
        <f t="shared" si="93"/>
        <v>342218131</v>
      </c>
      <c r="K2985" s="113" t="str">
        <f t="shared" si="94"/>
        <v>CG03070</v>
      </c>
    </row>
    <row r="2986" spans="1:11" x14ac:dyDescent="0.3">
      <c r="A2986" s="298" t="s">
        <v>9899</v>
      </c>
      <c r="B2986" s="298" t="s">
        <v>9900</v>
      </c>
      <c r="C2986" s="298" t="s">
        <v>9901</v>
      </c>
      <c r="D2986" s="298" t="s">
        <v>256</v>
      </c>
      <c r="E2986" s="298"/>
      <c r="F2986" s="298" t="s">
        <v>9902</v>
      </c>
      <c r="G2986" s="299" t="b">
        <v>0</v>
      </c>
      <c r="H2986" s="299" t="b">
        <v>0</v>
      </c>
      <c r="J2986" s="113" t="str">
        <f t="shared" si="93"/>
        <v>376350890</v>
      </c>
      <c r="K2986" s="113" t="str">
        <f t="shared" si="94"/>
        <v>CG03071</v>
      </c>
    </row>
    <row r="2987" spans="1:11" x14ac:dyDescent="0.3">
      <c r="A2987" s="298" t="s">
        <v>9903</v>
      </c>
      <c r="B2987" s="298" t="s">
        <v>9904</v>
      </c>
      <c r="C2987" s="298" t="s">
        <v>9905</v>
      </c>
      <c r="D2987" s="298" t="s">
        <v>256</v>
      </c>
      <c r="E2987" s="298" t="s">
        <v>9906</v>
      </c>
      <c r="F2987" s="298" t="s">
        <v>9907</v>
      </c>
      <c r="G2987" s="299" t="b">
        <v>0</v>
      </c>
      <c r="H2987" s="299" t="b">
        <v>0</v>
      </c>
      <c r="J2987" s="113" t="str">
        <f t="shared" si="93"/>
        <v>108780690</v>
      </c>
      <c r="K2987" s="113" t="str">
        <f t="shared" si="94"/>
        <v>CG03072</v>
      </c>
    </row>
    <row r="2988" spans="1:11" x14ac:dyDescent="0.3">
      <c r="A2988" s="298" t="s">
        <v>9908</v>
      </c>
      <c r="B2988" s="298" t="s">
        <v>9909</v>
      </c>
      <c r="C2988" s="298" t="s">
        <v>2897</v>
      </c>
      <c r="D2988" s="298" t="s">
        <v>256</v>
      </c>
      <c r="E2988" s="298" t="s">
        <v>55</v>
      </c>
      <c r="F2988" s="298" t="s">
        <v>9910</v>
      </c>
      <c r="G2988" s="299" t="b">
        <v>0</v>
      </c>
      <c r="H2988" s="299" t="b">
        <v>0</v>
      </c>
      <c r="J2988" s="113" t="str">
        <f t="shared" si="93"/>
        <v>397067344</v>
      </c>
      <c r="K2988" s="113" t="str">
        <f t="shared" si="94"/>
        <v>CG03073</v>
      </c>
    </row>
    <row r="2989" spans="1:11" x14ac:dyDescent="0.3">
      <c r="A2989" s="298" t="s">
        <v>9911</v>
      </c>
      <c r="B2989" s="298" t="s">
        <v>9912</v>
      </c>
      <c r="C2989" s="298" t="s">
        <v>1257</v>
      </c>
      <c r="D2989" s="298" t="s">
        <v>256</v>
      </c>
      <c r="E2989" s="298"/>
      <c r="F2989" s="298" t="s">
        <v>9913</v>
      </c>
      <c r="G2989" s="299" t="b">
        <v>0</v>
      </c>
      <c r="H2989" s="299" t="b">
        <v>0</v>
      </c>
      <c r="J2989" s="113" t="str">
        <f t="shared" si="93"/>
        <v>982085263</v>
      </c>
      <c r="K2989" s="113" t="str">
        <f t="shared" si="94"/>
        <v>CG03074</v>
      </c>
    </row>
    <row r="2990" spans="1:11" x14ac:dyDescent="0.3">
      <c r="A2990" s="298" t="s">
        <v>9914</v>
      </c>
      <c r="B2990" s="298" t="s">
        <v>9915</v>
      </c>
      <c r="C2990" s="298" t="s">
        <v>9916</v>
      </c>
      <c r="D2990" s="298" t="s">
        <v>256</v>
      </c>
      <c r="E2990" s="298"/>
      <c r="F2990" s="298" t="s">
        <v>9917</v>
      </c>
      <c r="G2990" s="299" t="b">
        <v>0</v>
      </c>
      <c r="H2990" s="299" t="b">
        <v>0</v>
      </c>
      <c r="J2990" s="113" t="str">
        <f t="shared" si="93"/>
        <v>966185886</v>
      </c>
      <c r="K2990" s="113" t="str">
        <f t="shared" si="94"/>
        <v>CG03075</v>
      </c>
    </row>
    <row r="2991" spans="1:11" x14ac:dyDescent="0.3">
      <c r="A2991" s="298" t="s">
        <v>9918</v>
      </c>
      <c r="B2991" s="298" t="s">
        <v>9919</v>
      </c>
      <c r="C2991" s="298" t="s">
        <v>2170</v>
      </c>
      <c r="D2991" s="298" t="s">
        <v>256</v>
      </c>
      <c r="E2991" s="298"/>
      <c r="F2991" s="298" t="s">
        <v>9920</v>
      </c>
      <c r="G2991" s="299" t="b">
        <v>0</v>
      </c>
      <c r="H2991" s="299" t="b">
        <v>0</v>
      </c>
      <c r="J2991" s="113" t="str">
        <f t="shared" si="93"/>
        <v>912165968</v>
      </c>
      <c r="K2991" s="113" t="str">
        <f t="shared" si="94"/>
        <v>CG03076</v>
      </c>
    </row>
    <row r="2992" spans="1:11" x14ac:dyDescent="0.3">
      <c r="A2992" s="298" t="s">
        <v>9921</v>
      </c>
      <c r="B2992" s="298" t="s">
        <v>9922</v>
      </c>
      <c r="C2992" s="298" t="s">
        <v>9923</v>
      </c>
      <c r="D2992" s="298" t="s">
        <v>256</v>
      </c>
      <c r="E2992" s="298"/>
      <c r="F2992" s="298" t="s">
        <v>9924</v>
      </c>
      <c r="G2992" s="299" t="b">
        <v>0</v>
      </c>
      <c r="H2992" s="299" t="b">
        <v>0</v>
      </c>
      <c r="J2992" s="113" t="str">
        <f t="shared" si="93"/>
        <v>904485737</v>
      </c>
      <c r="K2992" s="113" t="str">
        <f t="shared" si="94"/>
        <v>CG03077</v>
      </c>
    </row>
    <row r="2993" spans="1:11" x14ac:dyDescent="0.3">
      <c r="A2993" s="298" t="s">
        <v>9925</v>
      </c>
      <c r="B2993" s="298" t="s">
        <v>9926</v>
      </c>
      <c r="C2993" s="298" t="s">
        <v>9927</v>
      </c>
      <c r="D2993" s="298" t="s">
        <v>256</v>
      </c>
      <c r="E2993" s="298" t="s">
        <v>9928</v>
      </c>
      <c r="F2993" s="298" t="s">
        <v>9929</v>
      </c>
      <c r="G2993" s="299" t="b">
        <v>0</v>
      </c>
      <c r="H2993" s="299" t="b">
        <v>0</v>
      </c>
      <c r="J2993" s="113" t="str">
        <f t="shared" si="93"/>
        <v>916574818</v>
      </c>
      <c r="K2993" s="113" t="str">
        <f t="shared" si="94"/>
        <v>CG03078</v>
      </c>
    </row>
    <row r="2994" spans="1:11" x14ac:dyDescent="0.3">
      <c r="A2994" s="298" t="s">
        <v>9930</v>
      </c>
      <c r="B2994" s="298" t="s">
        <v>9931</v>
      </c>
      <c r="C2994" s="298" t="s">
        <v>439</v>
      </c>
      <c r="D2994" s="298" t="s">
        <v>256</v>
      </c>
      <c r="E2994" s="298"/>
      <c r="F2994" s="298" t="s">
        <v>9932</v>
      </c>
      <c r="G2994" s="299" t="b">
        <v>0</v>
      </c>
      <c r="H2994" s="299" t="b">
        <v>0</v>
      </c>
      <c r="J2994" s="113" t="str">
        <f t="shared" si="93"/>
        <v>972165525</v>
      </c>
      <c r="K2994" s="113" t="str">
        <f t="shared" si="94"/>
        <v>CG03079</v>
      </c>
    </row>
    <row r="2995" spans="1:11" x14ac:dyDescent="0.3">
      <c r="A2995" s="298" t="s">
        <v>9933</v>
      </c>
      <c r="B2995" s="298" t="s">
        <v>9934</v>
      </c>
      <c r="C2995" s="298" t="s">
        <v>903</v>
      </c>
      <c r="D2995" s="298" t="s">
        <v>256</v>
      </c>
      <c r="E2995" s="298"/>
      <c r="F2995" s="298" t="s">
        <v>9935</v>
      </c>
      <c r="G2995" s="299" t="b">
        <v>0</v>
      </c>
      <c r="H2995" s="299" t="b">
        <v>0</v>
      </c>
      <c r="J2995" s="113" t="str">
        <f t="shared" si="93"/>
        <v>396058085</v>
      </c>
      <c r="K2995" s="113" t="str">
        <f t="shared" si="94"/>
        <v>CG03080</v>
      </c>
    </row>
    <row r="2996" spans="1:11" x14ac:dyDescent="0.3">
      <c r="A2996" s="298" t="s">
        <v>9936</v>
      </c>
      <c r="B2996" s="298" t="s">
        <v>9937</v>
      </c>
      <c r="C2996" s="298" t="s">
        <v>9938</v>
      </c>
      <c r="D2996" s="298" t="s">
        <v>256</v>
      </c>
      <c r="E2996" s="298"/>
      <c r="F2996" s="298" t="s">
        <v>9939</v>
      </c>
      <c r="G2996" s="299" t="b">
        <v>0</v>
      </c>
      <c r="H2996" s="299" t="b">
        <v>0</v>
      </c>
      <c r="J2996" s="113" t="str">
        <f t="shared" si="93"/>
        <v xml:space="preserve">35144777 </v>
      </c>
      <c r="K2996" s="113" t="str">
        <f t="shared" si="94"/>
        <v>CG03081</v>
      </c>
    </row>
    <row r="2997" spans="1:11" x14ac:dyDescent="0.3">
      <c r="A2997" s="298" t="s">
        <v>9940</v>
      </c>
      <c r="B2997" s="298" t="s">
        <v>9941</v>
      </c>
      <c r="C2997" s="298" t="s">
        <v>1265</v>
      </c>
      <c r="D2997" s="298" t="s">
        <v>256</v>
      </c>
      <c r="E2997" s="298"/>
      <c r="F2997" s="298" t="s">
        <v>9942</v>
      </c>
      <c r="G2997" s="299" t="b">
        <v>0</v>
      </c>
      <c r="H2997" s="299" t="b">
        <v>0</v>
      </c>
      <c r="J2997" s="113" t="str">
        <f t="shared" si="93"/>
        <v>971167682</v>
      </c>
      <c r="K2997" s="113" t="str">
        <f t="shared" si="94"/>
        <v>CG03082</v>
      </c>
    </row>
    <row r="2998" spans="1:11" x14ac:dyDescent="0.3">
      <c r="A2998" s="298" t="s">
        <v>9943</v>
      </c>
      <c r="B2998" s="298" t="s">
        <v>9944</v>
      </c>
      <c r="C2998" s="298" t="s">
        <v>9945</v>
      </c>
      <c r="D2998" s="298" t="s">
        <v>256</v>
      </c>
      <c r="E2998" s="298"/>
      <c r="F2998" s="298" t="s">
        <v>9946</v>
      </c>
      <c r="G2998" s="299" t="b">
        <v>0</v>
      </c>
      <c r="H2998" s="299" t="b">
        <v>0</v>
      </c>
      <c r="J2998" s="113" t="str">
        <f t="shared" si="93"/>
        <v>354945246</v>
      </c>
      <c r="K2998" s="113" t="str">
        <f t="shared" si="94"/>
        <v>CG03083</v>
      </c>
    </row>
    <row r="2999" spans="1:11" x14ac:dyDescent="0.3">
      <c r="A2999" s="298" t="s">
        <v>9947</v>
      </c>
      <c r="B2999" s="298" t="s">
        <v>14689</v>
      </c>
      <c r="C2999" s="298" t="s">
        <v>8752</v>
      </c>
      <c r="D2999" s="298" t="s">
        <v>256</v>
      </c>
      <c r="E2999" s="298"/>
      <c r="F2999" s="298" t="s">
        <v>9948</v>
      </c>
      <c r="G2999" s="299" t="b">
        <v>0</v>
      </c>
      <c r="H2999" s="299" t="b">
        <v>0</v>
      </c>
      <c r="J2999" s="113" t="str">
        <f t="shared" si="93"/>
        <v>962292222</v>
      </c>
      <c r="K2999" s="113" t="str">
        <f t="shared" si="94"/>
        <v>CG03084</v>
      </c>
    </row>
    <row r="3000" spans="1:11" x14ac:dyDescent="0.3">
      <c r="A3000" s="298" t="s">
        <v>9949</v>
      </c>
      <c r="B3000" s="298" t="s">
        <v>9950</v>
      </c>
      <c r="C3000" s="298" t="s">
        <v>289</v>
      </c>
      <c r="D3000" s="298" t="s">
        <v>256</v>
      </c>
      <c r="E3000" s="298"/>
      <c r="F3000" s="298" t="s">
        <v>9951</v>
      </c>
      <c r="G3000" s="299" t="b">
        <v>0</v>
      </c>
      <c r="H3000" s="299" t="b">
        <v>0</v>
      </c>
      <c r="J3000" s="113" t="str">
        <f t="shared" si="93"/>
        <v>989663632</v>
      </c>
      <c r="K3000" s="113" t="str">
        <f t="shared" si="94"/>
        <v>CG03085</v>
      </c>
    </row>
    <row r="3001" spans="1:11" x14ac:dyDescent="0.3">
      <c r="A3001" s="298" t="s">
        <v>9952</v>
      </c>
      <c r="B3001" s="298" t="s">
        <v>9953</v>
      </c>
      <c r="C3001" s="298" t="s">
        <v>274</v>
      </c>
      <c r="D3001" s="298" t="s">
        <v>256</v>
      </c>
      <c r="E3001" s="298"/>
      <c r="F3001" s="298" t="s">
        <v>9954</v>
      </c>
      <c r="G3001" s="299" t="b">
        <v>0</v>
      </c>
      <c r="H3001" s="299" t="b">
        <v>0</v>
      </c>
      <c r="J3001" s="113" t="str">
        <f t="shared" si="93"/>
        <v>355824824</v>
      </c>
      <c r="K3001" s="113" t="str">
        <f t="shared" si="94"/>
        <v>CG03086</v>
      </c>
    </row>
    <row r="3002" spans="1:11" x14ac:dyDescent="0.3">
      <c r="A3002" s="298" t="s">
        <v>9955</v>
      </c>
      <c r="B3002" s="298" t="s">
        <v>9956</v>
      </c>
      <c r="C3002" s="298" t="s">
        <v>9957</v>
      </c>
      <c r="D3002" s="298" t="s">
        <v>256</v>
      </c>
      <c r="E3002" s="298" t="s">
        <v>9958</v>
      </c>
      <c r="F3002" s="298" t="s">
        <v>9959</v>
      </c>
      <c r="G3002" s="299" t="b">
        <v>0</v>
      </c>
      <c r="H3002" s="299" t="b">
        <v>0</v>
      </c>
      <c r="J3002" s="113" t="str">
        <f t="shared" si="93"/>
        <v>700825916</v>
      </c>
      <c r="K3002" s="113" t="str">
        <f t="shared" si="94"/>
        <v>CG03087</v>
      </c>
    </row>
    <row r="3003" spans="1:11" x14ac:dyDescent="0.3">
      <c r="A3003" s="298" t="s">
        <v>9960</v>
      </c>
      <c r="B3003" s="298" t="s">
        <v>9961</v>
      </c>
      <c r="C3003" s="298" t="s">
        <v>9962</v>
      </c>
      <c r="D3003" s="298" t="s">
        <v>256</v>
      </c>
      <c r="E3003" s="298"/>
      <c r="F3003" s="298" t="s">
        <v>9963</v>
      </c>
      <c r="G3003" s="299" t="b">
        <v>0</v>
      </c>
      <c r="H3003" s="299" t="b">
        <v>0</v>
      </c>
      <c r="J3003" s="113" t="str">
        <f t="shared" si="93"/>
        <v>396734214</v>
      </c>
      <c r="K3003" s="113" t="str">
        <f t="shared" si="94"/>
        <v>CG03088</v>
      </c>
    </row>
    <row r="3004" spans="1:11" x14ac:dyDescent="0.3">
      <c r="A3004" s="298" t="s">
        <v>9964</v>
      </c>
      <c r="B3004" s="298" t="s">
        <v>9965</v>
      </c>
      <c r="C3004" s="298" t="s">
        <v>274</v>
      </c>
      <c r="D3004" s="298" t="s">
        <v>256</v>
      </c>
      <c r="E3004" s="298"/>
      <c r="F3004" s="298" t="s">
        <v>9966</v>
      </c>
      <c r="G3004" s="299" t="b">
        <v>0</v>
      </c>
      <c r="H3004" s="299" t="b">
        <v>0</v>
      </c>
      <c r="J3004" s="113" t="str">
        <f t="shared" si="93"/>
        <v>982435409</v>
      </c>
      <c r="K3004" s="113" t="str">
        <f t="shared" si="94"/>
        <v>CG03089</v>
      </c>
    </row>
    <row r="3005" spans="1:11" x14ac:dyDescent="0.3">
      <c r="A3005" s="298" t="s">
        <v>9967</v>
      </c>
      <c r="B3005" s="298" t="s">
        <v>9968</v>
      </c>
      <c r="C3005" s="298" t="s">
        <v>9969</v>
      </c>
      <c r="D3005" s="298" t="s">
        <v>256</v>
      </c>
      <c r="E3005" s="298"/>
      <c r="F3005" s="298" t="s">
        <v>9970</v>
      </c>
      <c r="G3005" s="299" t="b">
        <v>0</v>
      </c>
      <c r="H3005" s="299" t="b">
        <v>0</v>
      </c>
      <c r="J3005" s="113" t="str">
        <f t="shared" si="93"/>
        <v>976808719</v>
      </c>
      <c r="K3005" s="113" t="str">
        <f t="shared" si="94"/>
        <v>CG03090</v>
      </c>
    </row>
    <row r="3006" spans="1:11" x14ac:dyDescent="0.3">
      <c r="A3006" s="298" t="s">
        <v>9971</v>
      </c>
      <c r="B3006" s="298" t="s">
        <v>9972</v>
      </c>
      <c r="C3006" s="298" t="s">
        <v>416</v>
      </c>
      <c r="D3006" s="298" t="s">
        <v>256</v>
      </c>
      <c r="E3006" s="298"/>
      <c r="F3006" s="298" t="s">
        <v>9973</v>
      </c>
      <c r="G3006" s="299" t="b">
        <v>0</v>
      </c>
      <c r="H3006" s="299" t="b">
        <v>0</v>
      </c>
      <c r="J3006" s="113" t="str">
        <f t="shared" si="93"/>
        <v>838438888</v>
      </c>
      <c r="K3006" s="113" t="str">
        <f t="shared" si="94"/>
        <v>CG03091</v>
      </c>
    </row>
    <row r="3007" spans="1:11" x14ac:dyDescent="0.3">
      <c r="A3007" s="298" t="s">
        <v>9974</v>
      </c>
      <c r="B3007" s="298" t="s">
        <v>9975</v>
      </c>
      <c r="C3007" s="298" t="s">
        <v>9976</v>
      </c>
      <c r="D3007" s="298" t="s">
        <v>256</v>
      </c>
      <c r="E3007" s="298"/>
      <c r="F3007" s="298" t="s">
        <v>9977</v>
      </c>
      <c r="G3007" s="299" t="b">
        <v>0</v>
      </c>
      <c r="H3007" s="299" t="b">
        <v>0</v>
      </c>
      <c r="J3007" s="113" t="str">
        <f t="shared" si="93"/>
        <v>904751772</v>
      </c>
      <c r="K3007" s="113" t="str">
        <f t="shared" si="94"/>
        <v>CG03092</v>
      </c>
    </row>
    <row r="3008" spans="1:11" x14ac:dyDescent="0.3">
      <c r="A3008" s="298" t="s">
        <v>9978</v>
      </c>
      <c r="B3008" s="298" t="s">
        <v>9979</v>
      </c>
      <c r="C3008" s="298" t="s">
        <v>1265</v>
      </c>
      <c r="D3008" s="298" t="s">
        <v>256</v>
      </c>
      <c r="E3008" s="298"/>
      <c r="F3008" s="298" t="s">
        <v>9980</v>
      </c>
      <c r="G3008" s="299" t="b">
        <v>0</v>
      </c>
      <c r="H3008" s="299" t="b">
        <v>0</v>
      </c>
      <c r="J3008" s="113" t="str">
        <f t="shared" si="93"/>
        <v>978070999</v>
      </c>
      <c r="K3008" s="113" t="str">
        <f t="shared" si="94"/>
        <v>CG03093</v>
      </c>
    </row>
    <row r="3009" spans="1:11" x14ac:dyDescent="0.3">
      <c r="A3009" s="298" t="s">
        <v>9981</v>
      </c>
      <c r="B3009" s="298" t="s">
        <v>9982</v>
      </c>
      <c r="C3009" s="298" t="s">
        <v>6226</v>
      </c>
      <c r="D3009" s="298" t="s">
        <v>256</v>
      </c>
      <c r="E3009" s="298"/>
      <c r="F3009" s="298" t="s">
        <v>9983</v>
      </c>
      <c r="G3009" s="299" t="b">
        <v>0</v>
      </c>
      <c r="H3009" s="299" t="b">
        <v>0</v>
      </c>
      <c r="J3009" s="113" t="str">
        <f t="shared" si="93"/>
        <v>982507735</v>
      </c>
      <c r="K3009" s="113" t="str">
        <f t="shared" si="94"/>
        <v>CG03094</v>
      </c>
    </row>
    <row r="3010" spans="1:11" x14ac:dyDescent="0.3">
      <c r="A3010" s="298" t="s">
        <v>9984</v>
      </c>
      <c r="B3010" s="298" t="s">
        <v>9985</v>
      </c>
      <c r="C3010" s="298" t="s">
        <v>9986</v>
      </c>
      <c r="D3010" s="298" t="s">
        <v>256</v>
      </c>
      <c r="E3010" s="298"/>
      <c r="F3010" s="298" t="s">
        <v>9987</v>
      </c>
      <c r="G3010" s="299" t="b">
        <v>0</v>
      </c>
      <c r="H3010" s="299" t="b">
        <v>0</v>
      </c>
      <c r="J3010" s="113" t="str">
        <f t="shared" si="93"/>
        <v>981567188</v>
      </c>
      <c r="K3010" s="113" t="str">
        <f t="shared" si="94"/>
        <v>CG03095</v>
      </c>
    </row>
    <row r="3011" spans="1:11" x14ac:dyDescent="0.3">
      <c r="A3011" s="298" t="s">
        <v>9988</v>
      </c>
      <c r="B3011" s="298" t="s">
        <v>9989</v>
      </c>
      <c r="C3011" s="298" t="s">
        <v>9990</v>
      </c>
      <c r="D3011" s="298" t="s">
        <v>256</v>
      </c>
      <c r="E3011" s="298" t="s">
        <v>9991</v>
      </c>
      <c r="F3011" s="298" t="s">
        <v>9992</v>
      </c>
      <c r="G3011" s="299" t="b">
        <v>0</v>
      </c>
      <c r="H3011" s="299" t="b">
        <v>0</v>
      </c>
      <c r="J3011" s="113" t="str">
        <f t="shared" si="93"/>
        <v xml:space="preserve">01792650 </v>
      </c>
      <c r="K3011" s="113" t="str">
        <f t="shared" si="94"/>
        <v>CG03096</v>
      </c>
    </row>
    <row r="3012" spans="1:11" x14ac:dyDescent="0.3">
      <c r="A3012" s="298" t="s">
        <v>9993</v>
      </c>
      <c r="B3012" s="298" t="s">
        <v>9994</v>
      </c>
      <c r="C3012" s="298" t="s">
        <v>277</v>
      </c>
      <c r="D3012" s="298" t="s">
        <v>256</v>
      </c>
      <c r="E3012" s="298"/>
      <c r="F3012" s="298" t="s">
        <v>9995</v>
      </c>
      <c r="G3012" s="299" t="b">
        <v>0</v>
      </c>
      <c r="H3012" s="299" t="b">
        <v>0</v>
      </c>
      <c r="J3012" s="113" t="str">
        <f t="shared" si="93"/>
        <v>987194784</v>
      </c>
      <c r="K3012" s="113" t="str">
        <f t="shared" si="94"/>
        <v>CG03097</v>
      </c>
    </row>
    <row r="3013" spans="1:11" x14ac:dyDescent="0.3">
      <c r="A3013" s="298" t="s">
        <v>9996</v>
      </c>
      <c r="B3013" s="298" t="s">
        <v>9997</v>
      </c>
      <c r="C3013" s="298" t="s">
        <v>9998</v>
      </c>
      <c r="D3013" s="298" t="s">
        <v>256</v>
      </c>
      <c r="E3013" s="298"/>
      <c r="F3013" s="298"/>
      <c r="G3013" s="299" t="b">
        <v>0</v>
      </c>
      <c r="H3013" s="299" t="b">
        <v>0</v>
      </c>
      <c r="J3013" s="113" t="str">
        <f t="shared" ref="J3013:J3076" si="95">RIGHT(B3013,9)</f>
        <v>988700908</v>
      </c>
      <c r="K3013" s="113" t="str">
        <f t="shared" ref="K3013:K3076" si="96">A3013</f>
        <v>CG03098</v>
      </c>
    </row>
    <row r="3014" spans="1:11" x14ac:dyDescent="0.3">
      <c r="A3014" s="298" t="s">
        <v>9999</v>
      </c>
      <c r="B3014" s="298" t="s">
        <v>10000</v>
      </c>
      <c r="C3014" s="298" t="s">
        <v>10001</v>
      </c>
      <c r="D3014" s="298" t="s">
        <v>256</v>
      </c>
      <c r="E3014" s="298" t="s">
        <v>10002</v>
      </c>
      <c r="F3014" s="298" t="s">
        <v>10003</v>
      </c>
      <c r="G3014" s="299" t="b">
        <v>0</v>
      </c>
      <c r="H3014" s="299" t="b">
        <v>0</v>
      </c>
      <c r="J3014" s="113" t="str">
        <f t="shared" si="95"/>
        <v>977999000</v>
      </c>
      <c r="K3014" s="113" t="str">
        <f t="shared" si="96"/>
        <v>CG03099</v>
      </c>
    </row>
    <row r="3015" spans="1:11" x14ac:dyDescent="0.3">
      <c r="A3015" s="298" t="s">
        <v>10004</v>
      </c>
      <c r="B3015" s="298" t="s">
        <v>10005</v>
      </c>
      <c r="C3015" s="298" t="s">
        <v>10006</v>
      </c>
      <c r="D3015" s="298" t="s">
        <v>256</v>
      </c>
      <c r="E3015" s="298"/>
      <c r="F3015" s="298" t="s">
        <v>10007</v>
      </c>
      <c r="G3015" s="299" t="b">
        <v>0</v>
      </c>
      <c r="H3015" s="299" t="b">
        <v>0</v>
      </c>
      <c r="J3015" s="113" t="str">
        <f t="shared" si="95"/>
        <v>987768344</v>
      </c>
      <c r="K3015" s="113" t="str">
        <f t="shared" si="96"/>
        <v>CG03100</v>
      </c>
    </row>
    <row r="3016" spans="1:11" x14ac:dyDescent="0.3">
      <c r="A3016" s="298" t="s">
        <v>10008</v>
      </c>
      <c r="B3016" s="298" t="s">
        <v>10009</v>
      </c>
      <c r="C3016" s="298" t="s">
        <v>10010</v>
      </c>
      <c r="D3016" s="298" t="s">
        <v>256</v>
      </c>
      <c r="E3016" s="298"/>
      <c r="F3016" s="298" t="s">
        <v>10011</v>
      </c>
      <c r="G3016" s="299" t="b">
        <v>0</v>
      </c>
      <c r="H3016" s="299" t="b">
        <v>0</v>
      </c>
      <c r="J3016" s="113" t="str">
        <f t="shared" si="95"/>
        <v>916344250</v>
      </c>
      <c r="K3016" s="113" t="str">
        <f t="shared" si="96"/>
        <v>CG03101</v>
      </c>
    </row>
    <row r="3017" spans="1:11" x14ac:dyDescent="0.3">
      <c r="A3017" s="298" t="s">
        <v>10012</v>
      </c>
      <c r="B3017" s="298" t="s">
        <v>10013</v>
      </c>
      <c r="C3017" s="298" t="s">
        <v>10014</v>
      </c>
      <c r="D3017" s="298" t="s">
        <v>256</v>
      </c>
      <c r="E3017" s="298"/>
      <c r="F3017" s="298" t="s">
        <v>10015</v>
      </c>
      <c r="G3017" s="299" t="b">
        <v>0</v>
      </c>
      <c r="H3017" s="299" t="b">
        <v>0</v>
      </c>
      <c r="J3017" s="113" t="str">
        <f t="shared" si="95"/>
        <v>979650367</v>
      </c>
      <c r="K3017" s="113" t="str">
        <f t="shared" si="96"/>
        <v>CG03102</v>
      </c>
    </row>
    <row r="3018" spans="1:11" x14ac:dyDescent="0.3">
      <c r="A3018" s="298" t="s">
        <v>10016</v>
      </c>
      <c r="B3018" s="298" t="s">
        <v>10017</v>
      </c>
      <c r="C3018" s="298" t="s">
        <v>10018</v>
      </c>
      <c r="D3018" s="298" t="s">
        <v>256</v>
      </c>
      <c r="E3018" s="298"/>
      <c r="F3018" s="298" t="s">
        <v>10019</v>
      </c>
      <c r="G3018" s="299" t="b">
        <v>0</v>
      </c>
      <c r="H3018" s="299" t="b">
        <v>0</v>
      </c>
      <c r="J3018" s="113" t="str">
        <f t="shared" si="95"/>
        <v>354901674</v>
      </c>
      <c r="K3018" s="113" t="str">
        <f t="shared" si="96"/>
        <v>CG03103</v>
      </c>
    </row>
    <row r="3019" spans="1:11" x14ac:dyDescent="0.3">
      <c r="A3019" s="298" t="s">
        <v>10020</v>
      </c>
      <c r="B3019" s="298" t="s">
        <v>10021</v>
      </c>
      <c r="C3019" s="298" t="s">
        <v>506</v>
      </c>
      <c r="D3019" s="298" t="s">
        <v>256</v>
      </c>
      <c r="E3019" s="298"/>
      <c r="F3019" s="298" t="s">
        <v>10022</v>
      </c>
      <c r="G3019" s="299" t="b">
        <v>0</v>
      </c>
      <c r="H3019" s="299" t="b">
        <v>0</v>
      </c>
      <c r="J3019" s="113" t="str">
        <f t="shared" si="95"/>
        <v>912263363</v>
      </c>
      <c r="K3019" s="113" t="str">
        <f t="shared" si="96"/>
        <v>CG03104</v>
      </c>
    </row>
    <row r="3020" spans="1:11" x14ac:dyDescent="0.3">
      <c r="A3020" s="298" t="s">
        <v>10023</v>
      </c>
      <c r="B3020" s="298" t="s">
        <v>10024</v>
      </c>
      <c r="C3020" s="298" t="s">
        <v>1265</v>
      </c>
      <c r="D3020" s="298" t="s">
        <v>256</v>
      </c>
      <c r="E3020" s="298"/>
      <c r="F3020" s="298" t="s">
        <v>10025</v>
      </c>
      <c r="G3020" s="299" t="b">
        <v>0</v>
      </c>
      <c r="H3020" s="299" t="b">
        <v>0</v>
      </c>
      <c r="J3020" s="113" t="str">
        <f t="shared" si="95"/>
        <v>988774603</v>
      </c>
      <c r="K3020" s="113" t="str">
        <f t="shared" si="96"/>
        <v>CG03105</v>
      </c>
    </row>
    <row r="3021" spans="1:11" x14ac:dyDescent="0.3">
      <c r="A3021" s="298" t="s">
        <v>10026</v>
      </c>
      <c r="B3021" s="298" t="s">
        <v>10027</v>
      </c>
      <c r="C3021" s="298" t="s">
        <v>10028</v>
      </c>
      <c r="D3021" s="298" t="s">
        <v>256</v>
      </c>
      <c r="E3021" s="298"/>
      <c r="F3021" s="298" t="s">
        <v>10029</v>
      </c>
      <c r="G3021" s="299" t="b">
        <v>0</v>
      </c>
      <c r="H3021" s="299" t="b">
        <v>0</v>
      </c>
      <c r="J3021" s="113" t="str">
        <f t="shared" si="95"/>
        <v>976670289</v>
      </c>
      <c r="K3021" s="113" t="str">
        <f t="shared" si="96"/>
        <v>CG03106</v>
      </c>
    </row>
    <row r="3022" spans="1:11" x14ac:dyDescent="0.3">
      <c r="A3022" s="298" t="s">
        <v>10030</v>
      </c>
      <c r="B3022" s="298" t="s">
        <v>10031</v>
      </c>
      <c r="C3022" s="298" t="s">
        <v>1265</v>
      </c>
      <c r="D3022" s="298" t="s">
        <v>256</v>
      </c>
      <c r="E3022" s="298"/>
      <c r="F3022" s="298" t="s">
        <v>10032</v>
      </c>
      <c r="G3022" s="299" t="b">
        <v>0</v>
      </c>
      <c r="H3022" s="299" t="b">
        <v>0</v>
      </c>
      <c r="J3022" s="113" t="str">
        <f t="shared" si="95"/>
        <v>985170866</v>
      </c>
      <c r="K3022" s="113" t="str">
        <f t="shared" si="96"/>
        <v>CG03107</v>
      </c>
    </row>
    <row r="3023" spans="1:11" x14ac:dyDescent="0.3">
      <c r="A3023" s="298" t="s">
        <v>10033</v>
      </c>
      <c r="B3023" s="298" t="s">
        <v>10034</v>
      </c>
      <c r="C3023" s="298" t="s">
        <v>4078</v>
      </c>
      <c r="D3023" s="298" t="s">
        <v>256</v>
      </c>
      <c r="E3023" s="298"/>
      <c r="F3023" s="298" t="s">
        <v>10035</v>
      </c>
      <c r="G3023" s="299" t="b">
        <v>0</v>
      </c>
      <c r="H3023" s="299" t="b">
        <v>0</v>
      </c>
      <c r="J3023" s="113" t="str">
        <f t="shared" si="95"/>
        <v>985322424</v>
      </c>
      <c r="K3023" s="113" t="str">
        <f t="shared" si="96"/>
        <v>CG03108</v>
      </c>
    </row>
    <row r="3024" spans="1:11" x14ac:dyDescent="0.3">
      <c r="A3024" s="298" t="s">
        <v>10036</v>
      </c>
      <c r="B3024" s="298" t="s">
        <v>10037</v>
      </c>
      <c r="C3024" s="298" t="s">
        <v>10038</v>
      </c>
      <c r="D3024" s="298" t="s">
        <v>256</v>
      </c>
      <c r="E3024" s="298"/>
      <c r="F3024" s="298" t="s">
        <v>10039</v>
      </c>
      <c r="G3024" s="299" t="b">
        <v>0</v>
      </c>
      <c r="H3024" s="299" t="b">
        <v>0</v>
      </c>
      <c r="J3024" s="113" t="str">
        <f t="shared" si="95"/>
        <v>968080059</v>
      </c>
      <c r="K3024" s="113" t="str">
        <f t="shared" si="96"/>
        <v>CG03109</v>
      </c>
    </row>
    <row r="3025" spans="1:11" x14ac:dyDescent="0.3">
      <c r="A3025" s="298" t="s">
        <v>10040</v>
      </c>
      <c r="B3025" s="298" t="s">
        <v>10041</v>
      </c>
      <c r="C3025" s="298" t="s">
        <v>10042</v>
      </c>
      <c r="D3025" s="298" t="s">
        <v>256</v>
      </c>
      <c r="E3025" s="298"/>
      <c r="F3025" s="298" t="s">
        <v>10043</v>
      </c>
      <c r="G3025" s="299" t="b">
        <v>0</v>
      </c>
      <c r="H3025" s="299" t="b">
        <v>0</v>
      </c>
      <c r="J3025" s="113" t="str">
        <f t="shared" si="95"/>
        <v>934582368</v>
      </c>
      <c r="K3025" s="113" t="str">
        <f t="shared" si="96"/>
        <v>CG03110</v>
      </c>
    </row>
    <row r="3026" spans="1:11" x14ac:dyDescent="0.3">
      <c r="A3026" s="298" t="s">
        <v>10044</v>
      </c>
      <c r="B3026" s="298" t="s">
        <v>10045</v>
      </c>
      <c r="C3026" s="298" t="s">
        <v>10046</v>
      </c>
      <c r="D3026" s="298" t="s">
        <v>256</v>
      </c>
      <c r="E3026" s="298"/>
      <c r="F3026" s="298" t="s">
        <v>10047</v>
      </c>
      <c r="G3026" s="299" t="b">
        <v>0</v>
      </c>
      <c r="H3026" s="299" t="b">
        <v>0</v>
      </c>
      <c r="J3026" s="113" t="str">
        <f t="shared" si="95"/>
        <v>977864268</v>
      </c>
      <c r="K3026" s="113" t="str">
        <f t="shared" si="96"/>
        <v>CG03111</v>
      </c>
    </row>
    <row r="3027" spans="1:11" x14ac:dyDescent="0.3">
      <c r="A3027" s="298" t="s">
        <v>10048</v>
      </c>
      <c r="B3027" s="298" t="s">
        <v>10049</v>
      </c>
      <c r="C3027" s="298" t="s">
        <v>10050</v>
      </c>
      <c r="D3027" s="298" t="s">
        <v>256</v>
      </c>
      <c r="E3027" s="298"/>
      <c r="F3027" s="298" t="s">
        <v>10051</v>
      </c>
      <c r="G3027" s="299" t="b">
        <v>0</v>
      </c>
      <c r="H3027" s="299" t="b">
        <v>0</v>
      </c>
      <c r="J3027" s="113" t="str">
        <f t="shared" si="95"/>
        <v>912596358</v>
      </c>
      <c r="K3027" s="113" t="str">
        <f t="shared" si="96"/>
        <v>CG03112</v>
      </c>
    </row>
    <row r="3028" spans="1:11" x14ac:dyDescent="0.3">
      <c r="A3028" s="298" t="s">
        <v>10052</v>
      </c>
      <c r="B3028" s="298" t="s">
        <v>10053</v>
      </c>
      <c r="C3028" s="298" t="s">
        <v>10054</v>
      </c>
      <c r="D3028" s="298" t="s">
        <v>256</v>
      </c>
      <c r="E3028" s="298" t="s">
        <v>10055</v>
      </c>
      <c r="F3028" s="298" t="s">
        <v>10056</v>
      </c>
      <c r="G3028" s="299" t="b">
        <v>0</v>
      </c>
      <c r="H3028" s="299" t="b">
        <v>0</v>
      </c>
      <c r="J3028" s="113" t="str">
        <f t="shared" si="95"/>
        <v>601568757</v>
      </c>
      <c r="K3028" s="113" t="str">
        <f t="shared" si="96"/>
        <v>CG03113</v>
      </c>
    </row>
    <row r="3029" spans="1:11" x14ac:dyDescent="0.3">
      <c r="A3029" s="298" t="s">
        <v>10057</v>
      </c>
      <c r="B3029" s="298" t="s">
        <v>10058</v>
      </c>
      <c r="C3029" s="298" t="s">
        <v>506</v>
      </c>
      <c r="D3029" s="298" t="s">
        <v>256</v>
      </c>
      <c r="E3029" s="298" t="s">
        <v>10059</v>
      </c>
      <c r="F3029" s="298" t="s">
        <v>10060</v>
      </c>
      <c r="G3029" s="299" t="b">
        <v>0</v>
      </c>
      <c r="H3029" s="299" t="b">
        <v>0</v>
      </c>
      <c r="J3029" s="113" t="str">
        <f t="shared" si="95"/>
        <v>600252242</v>
      </c>
      <c r="K3029" s="113" t="str">
        <f t="shared" si="96"/>
        <v>CG03114</v>
      </c>
    </row>
    <row r="3030" spans="1:11" x14ac:dyDescent="0.3">
      <c r="A3030" s="298" t="s">
        <v>10061</v>
      </c>
      <c r="B3030" s="298" t="s">
        <v>10062</v>
      </c>
      <c r="C3030" s="298" t="s">
        <v>693</v>
      </c>
      <c r="D3030" s="298" t="s">
        <v>256</v>
      </c>
      <c r="E3030" s="298" t="s">
        <v>10063</v>
      </c>
      <c r="F3030" s="298" t="s">
        <v>10064</v>
      </c>
      <c r="G3030" s="299" t="b">
        <v>0</v>
      </c>
      <c r="H3030" s="299" t="b">
        <v>0</v>
      </c>
      <c r="J3030" s="113" t="str">
        <f t="shared" si="95"/>
        <v>109241571</v>
      </c>
      <c r="K3030" s="113" t="str">
        <f t="shared" si="96"/>
        <v>CG03115</v>
      </c>
    </row>
    <row r="3031" spans="1:11" x14ac:dyDescent="0.3">
      <c r="A3031" s="298" t="s">
        <v>10065</v>
      </c>
      <c r="B3031" s="298" t="s">
        <v>10066</v>
      </c>
      <c r="C3031" s="298" t="s">
        <v>10067</v>
      </c>
      <c r="D3031" s="298" t="s">
        <v>256</v>
      </c>
      <c r="E3031" s="298" t="s">
        <v>10068</v>
      </c>
      <c r="F3031" s="298" t="s">
        <v>10069</v>
      </c>
      <c r="G3031" s="299" t="b">
        <v>0</v>
      </c>
      <c r="H3031" s="299" t="b">
        <v>0</v>
      </c>
      <c r="J3031" s="113" t="str">
        <f t="shared" si="95"/>
        <v>101013177</v>
      </c>
      <c r="K3031" s="113" t="str">
        <f t="shared" si="96"/>
        <v>CG03116</v>
      </c>
    </row>
    <row r="3032" spans="1:11" x14ac:dyDescent="0.3">
      <c r="A3032" s="298" t="s">
        <v>10070</v>
      </c>
      <c r="B3032" s="298" t="s">
        <v>10071</v>
      </c>
      <c r="C3032" s="298" t="s">
        <v>4347</v>
      </c>
      <c r="D3032" s="298" t="s">
        <v>256</v>
      </c>
      <c r="E3032" s="298" t="s">
        <v>4348</v>
      </c>
      <c r="F3032" s="298" t="s">
        <v>10072</v>
      </c>
      <c r="G3032" s="299" t="b">
        <v>0</v>
      </c>
      <c r="H3032" s="299" t="b">
        <v>0</v>
      </c>
      <c r="J3032" s="113" t="str">
        <f t="shared" si="95"/>
        <v>600200635</v>
      </c>
      <c r="K3032" s="113" t="str">
        <f t="shared" si="96"/>
        <v>CG03117</v>
      </c>
    </row>
    <row r="3033" spans="1:11" x14ac:dyDescent="0.3">
      <c r="A3033" s="298" t="s">
        <v>10073</v>
      </c>
      <c r="B3033" s="298" t="s">
        <v>10074</v>
      </c>
      <c r="C3033" s="298" t="s">
        <v>10075</v>
      </c>
      <c r="D3033" s="298" t="s">
        <v>256</v>
      </c>
      <c r="E3033" s="298"/>
      <c r="F3033" s="298" t="s">
        <v>10076</v>
      </c>
      <c r="G3033" s="299" t="b">
        <v>0</v>
      </c>
      <c r="H3033" s="299" t="b">
        <v>0</v>
      </c>
      <c r="J3033" s="113" t="str">
        <f t="shared" si="95"/>
        <v>971182252</v>
      </c>
      <c r="K3033" s="113" t="str">
        <f t="shared" si="96"/>
        <v>CG03118</v>
      </c>
    </row>
    <row r="3034" spans="1:11" x14ac:dyDescent="0.3">
      <c r="A3034" s="298" t="s">
        <v>10077</v>
      </c>
      <c r="B3034" s="298" t="s">
        <v>10078</v>
      </c>
      <c r="C3034" s="298" t="s">
        <v>9249</v>
      </c>
      <c r="D3034" s="298" t="s">
        <v>256</v>
      </c>
      <c r="E3034" s="298"/>
      <c r="F3034" s="298" t="s">
        <v>10079</v>
      </c>
      <c r="G3034" s="299" t="b">
        <v>0</v>
      </c>
      <c r="H3034" s="299" t="b">
        <v>0</v>
      </c>
      <c r="J3034" s="113" t="str">
        <f t="shared" si="95"/>
        <v>353516488</v>
      </c>
      <c r="K3034" s="113" t="str">
        <f t="shared" si="96"/>
        <v>CG03119</v>
      </c>
    </row>
    <row r="3035" spans="1:11" x14ac:dyDescent="0.3">
      <c r="A3035" s="298" t="s">
        <v>10080</v>
      </c>
      <c r="B3035" s="298" t="s">
        <v>10081</v>
      </c>
      <c r="C3035" s="298" t="s">
        <v>10082</v>
      </c>
      <c r="D3035" s="298" t="s">
        <v>256</v>
      </c>
      <c r="E3035" s="298" t="s">
        <v>10083</v>
      </c>
      <c r="F3035" s="298" t="s">
        <v>10084</v>
      </c>
      <c r="G3035" s="299" t="b">
        <v>0</v>
      </c>
      <c r="H3035" s="299" t="b">
        <v>0</v>
      </c>
      <c r="J3035" s="113" t="str">
        <f t="shared" si="95"/>
        <v xml:space="preserve">02623718 </v>
      </c>
      <c r="K3035" s="113" t="str">
        <f t="shared" si="96"/>
        <v>CG03120</v>
      </c>
    </row>
    <row r="3036" spans="1:11" x14ac:dyDescent="0.3">
      <c r="A3036" s="298" t="s">
        <v>10085</v>
      </c>
      <c r="B3036" s="298" t="s">
        <v>10086</v>
      </c>
      <c r="C3036" s="298" t="s">
        <v>10087</v>
      </c>
      <c r="D3036" s="298" t="s">
        <v>256</v>
      </c>
      <c r="E3036" s="298"/>
      <c r="F3036" s="298" t="s">
        <v>10088</v>
      </c>
      <c r="G3036" s="299" t="b">
        <v>0</v>
      </c>
      <c r="H3036" s="299" t="b">
        <v>0</v>
      </c>
      <c r="J3036" s="113" t="str">
        <f t="shared" si="95"/>
        <v>969870527</v>
      </c>
      <c r="K3036" s="113" t="str">
        <f t="shared" si="96"/>
        <v>CG03121</v>
      </c>
    </row>
    <row r="3037" spans="1:11" x14ac:dyDescent="0.3">
      <c r="A3037" s="298" t="s">
        <v>10089</v>
      </c>
      <c r="B3037" s="298" t="s">
        <v>10090</v>
      </c>
      <c r="C3037" s="298" t="s">
        <v>10091</v>
      </c>
      <c r="D3037" s="298" t="s">
        <v>256</v>
      </c>
      <c r="E3037" s="298"/>
      <c r="F3037" s="298" t="s">
        <v>10092</v>
      </c>
      <c r="G3037" s="299" t="b">
        <v>0</v>
      </c>
      <c r="H3037" s="299" t="b">
        <v>0</v>
      </c>
      <c r="J3037" s="113" t="str">
        <f t="shared" si="95"/>
        <v>985187865</v>
      </c>
      <c r="K3037" s="113" t="str">
        <f t="shared" si="96"/>
        <v>CG03122</v>
      </c>
    </row>
    <row r="3038" spans="1:11" x14ac:dyDescent="0.3">
      <c r="A3038" s="298" t="s">
        <v>10093</v>
      </c>
      <c r="B3038" s="298" t="s">
        <v>10094</v>
      </c>
      <c r="C3038" s="298" t="s">
        <v>584</v>
      </c>
      <c r="D3038" s="298" t="s">
        <v>256</v>
      </c>
      <c r="E3038" s="298"/>
      <c r="F3038" s="298" t="s">
        <v>10095</v>
      </c>
      <c r="G3038" s="299" t="b">
        <v>0</v>
      </c>
      <c r="H3038" s="299" t="b">
        <v>0</v>
      </c>
      <c r="J3038" s="113" t="str">
        <f t="shared" si="95"/>
        <v>931420888</v>
      </c>
      <c r="K3038" s="113" t="str">
        <f t="shared" si="96"/>
        <v>CG03123</v>
      </c>
    </row>
    <row r="3039" spans="1:11" x14ac:dyDescent="0.3">
      <c r="A3039" s="298" t="s">
        <v>10096</v>
      </c>
      <c r="B3039" s="298" t="s">
        <v>10097</v>
      </c>
      <c r="C3039" s="298" t="s">
        <v>8377</v>
      </c>
      <c r="D3039" s="298" t="s">
        <v>256</v>
      </c>
      <c r="E3039" s="298"/>
      <c r="F3039" s="298" t="s">
        <v>10098</v>
      </c>
      <c r="G3039" s="299" t="b">
        <v>0</v>
      </c>
      <c r="H3039" s="299" t="b">
        <v>0</v>
      </c>
      <c r="J3039" s="113" t="str">
        <f t="shared" si="95"/>
        <v>914960823</v>
      </c>
      <c r="K3039" s="113" t="str">
        <f t="shared" si="96"/>
        <v>CG03124</v>
      </c>
    </row>
    <row r="3040" spans="1:11" x14ac:dyDescent="0.3">
      <c r="A3040" s="298" t="s">
        <v>10099</v>
      </c>
      <c r="B3040" s="298" t="s">
        <v>10100</v>
      </c>
      <c r="C3040" s="298" t="s">
        <v>2897</v>
      </c>
      <c r="D3040" s="298" t="s">
        <v>256</v>
      </c>
      <c r="E3040" s="298"/>
      <c r="F3040" s="298" t="s">
        <v>10101</v>
      </c>
      <c r="G3040" s="299" t="b">
        <v>0</v>
      </c>
      <c r="H3040" s="299" t="b">
        <v>0</v>
      </c>
      <c r="J3040" s="113" t="str">
        <f t="shared" si="95"/>
        <v>865378669</v>
      </c>
      <c r="K3040" s="113" t="str">
        <f t="shared" si="96"/>
        <v>CG03125</v>
      </c>
    </row>
    <row r="3041" spans="1:11" x14ac:dyDescent="0.3">
      <c r="A3041" s="298" t="s">
        <v>10102</v>
      </c>
      <c r="B3041" s="298" t="s">
        <v>10103</v>
      </c>
      <c r="C3041" s="298" t="s">
        <v>10104</v>
      </c>
      <c r="D3041" s="298" t="s">
        <v>256</v>
      </c>
      <c r="E3041" s="298" t="s">
        <v>10105</v>
      </c>
      <c r="F3041" s="298" t="s">
        <v>10106</v>
      </c>
      <c r="G3041" s="299" t="b">
        <v>0</v>
      </c>
      <c r="H3041" s="299" t="b">
        <v>0</v>
      </c>
      <c r="J3041" s="113" t="str">
        <f t="shared" si="95"/>
        <v>100297864</v>
      </c>
      <c r="K3041" s="113" t="str">
        <f t="shared" si="96"/>
        <v>CG03126</v>
      </c>
    </row>
    <row r="3042" spans="1:11" x14ac:dyDescent="0.3">
      <c r="A3042" s="298" t="s">
        <v>10107</v>
      </c>
      <c r="B3042" s="298" t="s">
        <v>10108</v>
      </c>
      <c r="C3042" s="298" t="s">
        <v>274</v>
      </c>
      <c r="D3042" s="298" t="s">
        <v>256</v>
      </c>
      <c r="E3042" s="298"/>
      <c r="F3042" s="298" t="s">
        <v>10109</v>
      </c>
      <c r="G3042" s="299" t="b">
        <v>0</v>
      </c>
      <c r="H3042" s="299" t="b">
        <v>0</v>
      </c>
      <c r="J3042" s="113" t="str">
        <f t="shared" si="95"/>
        <v>912502100</v>
      </c>
      <c r="K3042" s="113" t="str">
        <f t="shared" si="96"/>
        <v>CG03127</v>
      </c>
    </row>
    <row r="3043" spans="1:11" x14ac:dyDescent="0.3">
      <c r="A3043" s="298" t="s">
        <v>10110</v>
      </c>
      <c r="B3043" s="298" t="s">
        <v>10111</v>
      </c>
      <c r="C3043" s="298" t="s">
        <v>10112</v>
      </c>
      <c r="D3043" s="298" t="s">
        <v>256</v>
      </c>
      <c r="E3043" s="298"/>
      <c r="F3043" s="298" t="s">
        <v>10113</v>
      </c>
      <c r="G3043" s="299" t="b">
        <v>0</v>
      </c>
      <c r="H3043" s="299" t="b">
        <v>0</v>
      </c>
      <c r="J3043" s="113" t="str">
        <f t="shared" si="95"/>
        <v>912695585</v>
      </c>
      <c r="K3043" s="113" t="str">
        <f t="shared" si="96"/>
        <v>CG03128</v>
      </c>
    </row>
    <row r="3044" spans="1:11" x14ac:dyDescent="0.3">
      <c r="A3044" s="298" t="s">
        <v>10114</v>
      </c>
      <c r="B3044" s="298" t="s">
        <v>10115</v>
      </c>
      <c r="C3044" s="298" t="s">
        <v>10116</v>
      </c>
      <c r="D3044" s="298" t="s">
        <v>256</v>
      </c>
      <c r="E3044" s="298"/>
      <c r="F3044" s="298" t="s">
        <v>10117</v>
      </c>
      <c r="G3044" s="299" t="b">
        <v>0</v>
      </c>
      <c r="H3044" s="299" t="b">
        <v>0</v>
      </c>
      <c r="J3044" s="113" t="str">
        <f t="shared" si="95"/>
        <v>979962028</v>
      </c>
      <c r="K3044" s="113" t="str">
        <f t="shared" si="96"/>
        <v>CG03129</v>
      </c>
    </row>
    <row r="3045" spans="1:11" x14ac:dyDescent="0.3">
      <c r="A3045" s="298" t="s">
        <v>10118</v>
      </c>
      <c r="B3045" s="298" t="s">
        <v>10119</v>
      </c>
      <c r="C3045" s="298" t="s">
        <v>10120</v>
      </c>
      <c r="D3045" s="298" t="s">
        <v>256</v>
      </c>
      <c r="E3045" s="298" t="s">
        <v>10121</v>
      </c>
      <c r="F3045" s="298" t="s">
        <v>10122</v>
      </c>
      <c r="G3045" s="299" t="b">
        <v>0</v>
      </c>
      <c r="H3045" s="299" t="b">
        <v>0</v>
      </c>
      <c r="J3045" s="113" t="str">
        <f t="shared" si="95"/>
        <v xml:space="preserve">02027646 </v>
      </c>
      <c r="K3045" s="113" t="str">
        <f t="shared" si="96"/>
        <v>CG03130</v>
      </c>
    </row>
    <row r="3046" spans="1:11" x14ac:dyDescent="0.3">
      <c r="A3046" s="298" t="s">
        <v>10123</v>
      </c>
      <c r="B3046" s="298" t="s">
        <v>10124</v>
      </c>
      <c r="C3046" s="298" t="s">
        <v>10125</v>
      </c>
      <c r="D3046" s="298" t="s">
        <v>256</v>
      </c>
      <c r="E3046" s="298"/>
      <c r="F3046" s="298" t="s">
        <v>10126</v>
      </c>
      <c r="G3046" s="299" t="b">
        <v>0</v>
      </c>
      <c r="H3046" s="299" t="b">
        <v>0</v>
      </c>
      <c r="J3046" s="113" t="str">
        <f t="shared" si="95"/>
        <v>907406998</v>
      </c>
      <c r="K3046" s="113" t="str">
        <f t="shared" si="96"/>
        <v>CG03131</v>
      </c>
    </row>
    <row r="3047" spans="1:11" x14ac:dyDescent="0.3">
      <c r="A3047" s="298" t="s">
        <v>10127</v>
      </c>
      <c r="B3047" s="298" t="s">
        <v>10128</v>
      </c>
      <c r="C3047" s="298" t="s">
        <v>4519</v>
      </c>
      <c r="D3047" s="298" t="s">
        <v>256</v>
      </c>
      <c r="E3047" s="298"/>
      <c r="F3047" s="298" t="s">
        <v>10129</v>
      </c>
      <c r="G3047" s="299" t="b">
        <v>0</v>
      </c>
      <c r="H3047" s="299" t="b">
        <v>0</v>
      </c>
      <c r="J3047" s="113" t="str">
        <f t="shared" si="95"/>
        <v>973327259</v>
      </c>
      <c r="K3047" s="113" t="str">
        <f t="shared" si="96"/>
        <v>CG03132</v>
      </c>
    </row>
    <row r="3048" spans="1:11" x14ac:dyDescent="0.3">
      <c r="A3048" s="298" t="s">
        <v>10130</v>
      </c>
      <c r="B3048" s="298" t="s">
        <v>10131</v>
      </c>
      <c r="C3048" s="298" t="s">
        <v>396</v>
      </c>
      <c r="D3048" s="298" t="s">
        <v>256</v>
      </c>
      <c r="E3048" s="298"/>
      <c r="F3048" s="298" t="s">
        <v>10132</v>
      </c>
      <c r="G3048" s="299" t="b">
        <v>0</v>
      </c>
      <c r="H3048" s="299" t="b">
        <v>0</v>
      </c>
      <c r="J3048" s="113" t="str">
        <f t="shared" si="95"/>
        <v>988015790</v>
      </c>
      <c r="K3048" s="113" t="str">
        <f t="shared" si="96"/>
        <v>CG03133</v>
      </c>
    </row>
    <row r="3049" spans="1:11" x14ac:dyDescent="0.3">
      <c r="A3049" s="298" t="s">
        <v>10133</v>
      </c>
      <c r="B3049" s="298" t="s">
        <v>10134</v>
      </c>
      <c r="C3049" s="298" t="s">
        <v>541</v>
      </c>
      <c r="D3049" s="298" t="s">
        <v>256</v>
      </c>
      <c r="E3049" s="298"/>
      <c r="F3049" s="298"/>
      <c r="G3049" s="299" t="b">
        <v>0</v>
      </c>
      <c r="H3049" s="299" t="b">
        <v>0</v>
      </c>
      <c r="J3049" s="113" t="str">
        <f t="shared" si="95"/>
        <v>916517356</v>
      </c>
      <c r="K3049" s="113" t="str">
        <f t="shared" si="96"/>
        <v>CG03134</v>
      </c>
    </row>
    <row r="3050" spans="1:11" x14ac:dyDescent="0.3">
      <c r="A3050" s="298" t="s">
        <v>10135</v>
      </c>
      <c r="B3050" s="298" t="s">
        <v>10136</v>
      </c>
      <c r="C3050" s="298" t="s">
        <v>10137</v>
      </c>
      <c r="D3050" s="298" t="s">
        <v>256</v>
      </c>
      <c r="E3050" s="298" t="s">
        <v>10138</v>
      </c>
      <c r="F3050" s="298" t="s">
        <v>10139</v>
      </c>
      <c r="G3050" s="299" t="b">
        <v>0</v>
      </c>
      <c r="H3050" s="299" t="b">
        <v>0</v>
      </c>
      <c r="J3050" s="113" t="str">
        <f t="shared" si="95"/>
        <v>382293886</v>
      </c>
      <c r="K3050" s="113" t="str">
        <f t="shared" si="96"/>
        <v>CG03135</v>
      </c>
    </row>
    <row r="3051" spans="1:11" x14ac:dyDescent="0.3">
      <c r="A3051" s="298" t="s">
        <v>10140</v>
      </c>
      <c r="B3051" s="298" t="s">
        <v>10141</v>
      </c>
      <c r="C3051" s="298" t="s">
        <v>10142</v>
      </c>
      <c r="D3051" s="298" t="s">
        <v>256</v>
      </c>
      <c r="E3051" s="298" t="s">
        <v>10143</v>
      </c>
      <c r="F3051" s="298" t="s">
        <v>10144</v>
      </c>
      <c r="G3051" s="299" t="b">
        <v>0</v>
      </c>
      <c r="H3051" s="299" t="b">
        <v>0</v>
      </c>
      <c r="J3051" s="113" t="str">
        <f t="shared" si="95"/>
        <v>972345343</v>
      </c>
      <c r="K3051" s="113" t="str">
        <f t="shared" si="96"/>
        <v>CG03136</v>
      </c>
    </row>
    <row r="3052" spans="1:11" x14ac:dyDescent="0.3">
      <c r="A3052" s="298" t="s">
        <v>10145</v>
      </c>
      <c r="B3052" s="298" t="s">
        <v>10146</v>
      </c>
      <c r="C3052" s="298" t="s">
        <v>277</v>
      </c>
      <c r="D3052" s="298" t="s">
        <v>256</v>
      </c>
      <c r="E3052" s="298"/>
      <c r="F3052" s="298" t="s">
        <v>10147</v>
      </c>
      <c r="G3052" s="299" t="b">
        <v>0</v>
      </c>
      <c r="H3052" s="299" t="b">
        <v>0</v>
      </c>
      <c r="J3052" s="113" t="str">
        <f t="shared" si="95"/>
        <v>983375716</v>
      </c>
      <c r="K3052" s="113" t="str">
        <f t="shared" si="96"/>
        <v>CG03137</v>
      </c>
    </row>
    <row r="3053" spans="1:11" x14ac:dyDescent="0.3">
      <c r="A3053" s="298" t="s">
        <v>10148</v>
      </c>
      <c r="B3053" s="298" t="s">
        <v>10149</v>
      </c>
      <c r="C3053" s="298" t="s">
        <v>10150</v>
      </c>
      <c r="D3053" s="298" t="s">
        <v>256</v>
      </c>
      <c r="E3053" s="298"/>
      <c r="F3053" s="298" t="s">
        <v>10151</v>
      </c>
      <c r="G3053" s="299" t="b">
        <v>0</v>
      </c>
      <c r="H3053" s="299" t="b">
        <v>0</v>
      </c>
      <c r="J3053" s="113" t="str">
        <f t="shared" si="95"/>
        <v>977576881</v>
      </c>
      <c r="K3053" s="113" t="str">
        <f t="shared" si="96"/>
        <v>CG03138</v>
      </c>
    </row>
    <row r="3054" spans="1:11" x14ac:dyDescent="0.3">
      <c r="A3054" s="298" t="s">
        <v>10152</v>
      </c>
      <c r="B3054" s="298" t="s">
        <v>10153</v>
      </c>
      <c r="C3054" s="298" t="s">
        <v>10154</v>
      </c>
      <c r="D3054" s="298" t="s">
        <v>256</v>
      </c>
      <c r="E3054" s="298"/>
      <c r="F3054" s="298" t="s">
        <v>10155</v>
      </c>
      <c r="G3054" s="299" t="b">
        <v>0</v>
      </c>
      <c r="H3054" s="299" t="b">
        <v>0</v>
      </c>
      <c r="J3054" s="113" t="str">
        <f t="shared" si="95"/>
        <v>917334222</v>
      </c>
      <c r="K3054" s="113" t="str">
        <f t="shared" si="96"/>
        <v>CG03139</v>
      </c>
    </row>
    <row r="3055" spans="1:11" x14ac:dyDescent="0.3">
      <c r="A3055" s="298" t="s">
        <v>10156</v>
      </c>
      <c r="B3055" s="298" t="s">
        <v>10157</v>
      </c>
      <c r="C3055" s="298" t="s">
        <v>3557</v>
      </c>
      <c r="D3055" s="298" t="s">
        <v>256</v>
      </c>
      <c r="E3055" s="298"/>
      <c r="F3055" s="298" t="s">
        <v>10158</v>
      </c>
      <c r="G3055" s="299" t="b">
        <v>0</v>
      </c>
      <c r="H3055" s="299" t="b">
        <v>0</v>
      </c>
      <c r="J3055" s="113" t="str">
        <f t="shared" si="95"/>
        <v>336247399</v>
      </c>
      <c r="K3055" s="113" t="str">
        <f t="shared" si="96"/>
        <v>CG03140</v>
      </c>
    </row>
    <row r="3056" spans="1:11" x14ac:dyDescent="0.3">
      <c r="A3056" s="298" t="s">
        <v>10159</v>
      </c>
      <c r="B3056" s="298" t="s">
        <v>10160</v>
      </c>
      <c r="C3056" s="298" t="s">
        <v>7603</v>
      </c>
      <c r="D3056" s="298" t="s">
        <v>256</v>
      </c>
      <c r="E3056" s="298"/>
      <c r="F3056" s="298" t="s">
        <v>10161</v>
      </c>
      <c r="G3056" s="299" t="b">
        <v>0</v>
      </c>
      <c r="H3056" s="299" t="b">
        <v>0</v>
      </c>
      <c r="J3056" s="113" t="str">
        <f t="shared" si="95"/>
        <v>838543627</v>
      </c>
      <c r="K3056" s="113" t="str">
        <f t="shared" si="96"/>
        <v>CG03141</v>
      </c>
    </row>
    <row r="3057" spans="1:11" x14ac:dyDescent="0.3">
      <c r="A3057" s="298" t="s">
        <v>10162</v>
      </c>
      <c r="B3057" s="298" t="s">
        <v>10163</v>
      </c>
      <c r="C3057" s="298" t="s">
        <v>10164</v>
      </c>
      <c r="D3057" s="298" t="s">
        <v>256</v>
      </c>
      <c r="E3057" s="298"/>
      <c r="F3057" s="298" t="s">
        <v>10165</v>
      </c>
      <c r="G3057" s="299" t="b">
        <v>0</v>
      </c>
      <c r="H3057" s="299" t="b">
        <v>0</v>
      </c>
      <c r="J3057" s="113" t="str">
        <f t="shared" si="95"/>
        <v>917908429</v>
      </c>
      <c r="K3057" s="113" t="str">
        <f t="shared" si="96"/>
        <v>CG03142</v>
      </c>
    </row>
    <row r="3058" spans="1:11" x14ac:dyDescent="0.3">
      <c r="A3058" s="298" t="s">
        <v>10166</v>
      </c>
      <c r="B3058" s="298" t="s">
        <v>10167</v>
      </c>
      <c r="C3058" s="298" t="s">
        <v>10168</v>
      </c>
      <c r="D3058" s="298" t="s">
        <v>256</v>
      </c>
      <c r="E3058" s="298"/>
      <c r="F3058" s="298" t="s">
        <v>10169</v>
      </c>
      <c r="G3058" s="299" t="b">
        <v>0</v>
      </c>
      <c r="H3058" s="299" t="b">
        <v>0</v>
      </c>
      <c r="J3058" s="113" t="str">
        <f t="shared" si="95"/>
        <v>947459299</v>
      </c>
      <c r="K3058" s="113" t="str">
        <f t="shared" si="96"/>
        <v>CG03143</v>
      </c>
    </row>
    <row r="3059" spans="1:11" x14ac:dyDescent="0.3">
      <c r="A3059" s="298" t="s">
        <v>10170</v>
      </c>
      <c r="B3059" s="298" t="s">
        <v>10171</v>
      </c>
      <c r="C3059" s="298" t="s">
        <v>10172</v>
      </c>
      <c r="D3059" s="298" t="s">
        <v>256</v>
      </c>
      <c r="E3059" s="298"/>
      <c r="F3059" s="298" t="s">
        <v>10173</v>
      </c>
      <c r="G3059" s="299" t="b">
        <v>0</v>
      </c>
      <c r="H3059" s="299" t="b">
        <v>0</v>
      </c>
      <c r="J3059" s="113" t="str">
        <f t="shared" si="95"/>
        <v>916342533</v>
      </c>
      <c r="K3059" s="113" t="str">
        <f t="shared" si="96"/>
        <v>CG03144</v>
      </c>
    </row>
    <row r="3060" spans="1:11" x14ac:dyDescent="0.3">
      <c r="A3060" s="298" t="s">
        <v>10174</v>
      </c>
      <c r="B3060" s="298" t="s">
        <v>10175</v>
      </c>
      <c r="C3060" s="298" t="s">
        <v>5989</v>
      </c>
      <c r="D3060" s="298" t="s">
        <v>256</v>
      </c>
      <c r="E3060" s="298"/>
      <c r="F3060" s="298" t="s">
        <v>10176</v>
      </c>
      <c r="G3060" s="299" t="b">
        <v>0</v>
      </c>
      <c r="H3060" s="299" t="b">
        <v>0</v>
      </c>
      <c r="J3060" s="113" t="str">
        <f t="shared" si="95"/>
        <v>912543428</v>
      </c>
      <c r="K3060" s="113" t="str">
        <f t="shared" si="96"/>
        <v>CG03145</v>
      </c>
    </row>
    <row r="3061" spans="1:11" x14ac:dyDescent="0.3">
      <c r="A3061" s="298" t="s">
        <v>10177</v>
      </c>
      <c r="B3061" s="298" t="s">
        <v>10178</v>
      </c>
      <c r="C3061" s="298" t="s">
        <v>10179</v>
      </c>
      <c r="D3061" s="298" t="s">
        <v>256</v>
      </c>
      <c r="E3061" s="298"/>
      <c r="F3061" s="298" t="s">
        <v>10180</v>
      </c>
      <c r="G3061" s="299" t="b">
        <v>0</v>
      </c>
      <c r="H3061" s="299" t="b">
        <v>0</v>
      </c>
      <c r="J3061" s="113" t="str">
        <f t="shared" si="95"/>
        <v>982728558</v>
      </c>
      <c r="K3061" s="113" t="str">
        <f t="shared" si="96"/>
        <v>CG03146</v>
      </c>
    </row>
    <row r="3062" spans="1:11" x14ac:dyDescent="0.3">
      <c r="A3062" s="298" t="s">
        <v>10181</v>
      </c>
      <c r="B3062" s="298" t="s">
        <v>10182</v>
      </c>
      <c r="C3062" s="298" t="s">
        <v>9643</v>
      </c>
      <c r="D3062" s="298" t="s">
        <v>256</v>
      </c>
      <c r="E3062" s="298"/>
      <c r="F3062" s="298" t="s">
        <v>10183</v>
      </c>
      <c r="G3062" s="299" t="b">
        <v>0</v>
      </c>
      <c r="H3062" s="299" t="b">
        <v>0</v>
      </c>
      <c r="J3062" s="113" t="str">
        <f t="shared" si="95"/>
        <v>904312525</v>
      </c>
      <c r="K3062" s="113" t="str">
        <f t="shared" si="96"/>
        <v>CG03147</v>
      </c>
    </row>
    <row r="3063" spans="1:11" x14ac:dyDescent="0.3">
      <c r="A3063" s="298" t="s">
        <v>10184</v>
      </c>
      <c r="B3063" s="298" t="s">
        <v>10185</v>
      </c>
      <c r="C3063" s="298" t="s">
        <v>10186</v>
      </c>
      <c r="D3063" s="298" t="s">
        <v>256</v>
      </c>
      <c r="E3063" s="298"/>
      <c r="F3063" s="298" t="s">
        <v>10187</v>
      </c>
      <c r="G3063" s="299" t="b">
        <v>0</v>
      </c>
      <c r="H3063" s="299" t="b">
        <v>0</v>
      </c>
      <c r="J3063" s="113" t="str">
        <f t="shared" si="95"/>
        <v>904176126</v>
      </c>
      <c r="K3063" s="113" t="str">
        <f t="shared" si="96"/>
        <v>CG03148</v>
      </c>
    </row>
    <row r="3064" spans="1:11" x14ac:dyDescent="0.3">
      <c r="A3064" s="298" t="s">
        <v>10188</v>
      </c>
      <c r="B3064" s="298" t="s">
        <v>10189</v>
      </c>
      <c r="C3064" s="298" t="s">
        <v>274</v>
      </c>
      <c r="D3064" s="298" t="s">
        <v>256</v>
      </c>
      <c r="E3064" s="298"/>
      <c r="F3064" s="298" t="s">
        <v>10190</v>
      </c>
      <c r="G3064" s="299" t="b">
        <v>0</v>
      </c>
      <c r="H3064" s="299" t="b">
        <v>0</v>
      </c>
      <c r="J3064" s="113" t="str">
        <f t="shared" si="95"/>
        <v>916078714</v>
      </c>
      <c r="K3064" s="113" t="str">
        <f t="shared" si="96"/>
        <v>CG03149</v>
      </c>
    </row>
    <row r="3065" spans="1:11" x14ac:dyDescent="0.3">
      <c r="A3065" s="298" t="s">
        <v>10191</v>
      </c>
      <c r="B3065" s="298" t="s">
        <v>10192</v>
      </c>
      <c r="C3065" s="298" t="s">
        <v>10193</v>
      </c>
      <c r="D3065" s="298" t="s">
        <v>256</v>
      </c>
      <c r="E3065" s="298"/>
      <c r="F3065" s="298" t="s">
        <v>10194</v>
      </c>
      <c r="G3065" s="299" t="b">
        <v>0</v>
      </c>
      <c r="H3065" s="299" t="b">
        <v>0</v>
      </c>
      <c r="J3065" s="113" t="str">
        <f t="shared" si="95"/>
        <v>914591887</v>
      </c>
      <c r="K3065" s="113" t="str">
        <f t="shared" si="96"/>
        <v>CG03150</v>
      </c>
    </row>
    <row r="3066" spans="1:11" x14ac:dyDescent="0.3">
      <c r="A3066" s="298" t="s">
        <v>10195</v>
      </c>
      <c r="B3066" s="298" t="s">
        <v>10196</v>
      </c>
      <c r="C3066" s="298" t="s">
        <v>10197</v>
      </c>
      <c r="D3066" s="298" t="s">
        <v>256</v>
      </c>
      <c r="E3066" s="298"/>
      <c r="F3066" s="298" t="s">
        <v>10198</v>
      </c>
      <c r="G3066" s="299" t="b">
        <v>0</v>
      </c>
      <c r="H3066" s="299" t="b">
        <v>0</v>
      </c>
      <c r="J3066" s="113" t="str">
        <f t="shared" si="95"/>
        <v>973493087</v>
      </c>
      <c r="K3066" s="113" t="str">
        <f t="shared" si="96"/>
        <v>CG03151</v>
      </c>
    </row>
    <row r="3067" spans="1:11" x14ac:dyDescent="0.3">
      <c r="A3067" s="298" t="s">
        <v>10199</v>
      </c>
      <c r="B3067" s="298" t="s">
        <v>10200</v>
      </c>
      <c r="C3067" s="298" t="s">
        <v>10201</v>
      </c>
      <c r="D3067" s="298" t="s">
        <v>256</v>
      </c>
      <c r="E3067" s="298"/>
      <c r="F3067" s="298" t="s">
        <v>10202</v>
      </c>
      <c r="G3067" s="299" t="b">
        <v>0</v>
      </c>
      <c r="H3067" s="299" t="b">
        <v>0</v>
      </c>
      <c r="J3067" s="113" t="str">
        <f t="shared" si="95"/>
        <v>986559507</v>
      </c>
      <c r="K3067" s="113" t="str">
        <f t="shared" si="96"/>
        <v>CG03152</v>
      </c>
    </row>
    <row r="3068" spans="1:11" x14ac:dyDescent="0.3">
      <c r="A3068" s="298" t="s">
        <v>10203</v>
      </c>
      <c r="B3068" s="298" t="s">
        <v>10204</v>
      </c>
      <c r="C3068" s="298" t="s">
        <v>10205</v>
      </c>
      <c r="D3068" s="298" t="s">
        <v>256</v>
      </c>
      <c r="E3068" s="298"/>
      <c r="F3068" s="298" t="s">
        <v>10206</v>
      </c>
      <c r="G3068" s="299" t="b">
        <v>0</v>
      </c>
      <c r="H3068" s="299" t="b">
        <v>0</v>
      </c>
      <c r="J3068" s="113" t="str">
        <f t="shared" si="95"/>
        <v>966975456</v>
      </c>
      <c r="K3068" s="113" t="str">
        <f t="shared" si="96"/>
        <v>CG03153</v>
      </c>
    </row>
    <row r="3069" spans="1:11" x14ac:dyDescent="0.3">
      <c r="A3069" s="298" t="s">
        <v>10207</v>
      </c>
      <c r="B3069" s="298" t="s">
        <v>10208</v>
      </c>
      <c r="C3069" s="298" t="s">
        <v>10209</v>
      </c>
      <c r="D3069" s="298" t="s">
        <v>256</v>
      </c>
      <c r="E3069" s="298" t="s">
        <v>10210</v>
      </c>
      <c r="F3069" s="298" t="s">
        <v>10211</v>
      </c>
      <c r="G3069" s="299" t="b">
        <v>0</v>
      </c>
      <c r="H3069" s="299" t="b">
        <v>0</v>
      </c>
      <c r="J3069" s="113" t="str">
        <f t="shared" si="95"/>
        <v>600975643</v>
      </c>
      <c r="K3069" s="113" t="str">
        <f t="shared" si="96"/>
        <v>CG03154</v>
      </c>
    </row>
    <row r="3070" spans="1:11" x14ac:dyDescent="0.3">
      <c r="A3070" s="298" t="s">
        <v>10212</v>
      </c>
      <c r="B3070" s="298" t="s">
        <v>10213</v>
      </c>
      <c r="C3070" s="298" t="s">
        <v>6181</v>
      </c>
      <c r="D3070" s="298" t="s">
        <v>256</v>
      </c>
      <c r="E3070" s="298"/>
      <c r="F3070" s="298" t="s">
        <v>10214</v>
      </c>
      <c r="G3070" s="299" t="b">
        <v>0</v>
      </c>
      <c r="H3070" s="299" t="b">
        <v>0</v>
      </c>
      <c r="J3070" s="113" t="str">
        <f t="shared" si="95"/>
        <v>988099883</v>
      </c>
      <c r="K3070" s="113" t="str">
        <f t="shared" si="96"/>
        <v>CG03155</v>
      </c>
    </row>
    <row r="3071" spans="1:11" x14ac:dyDescent="0.3">
      <c r="A3071" s="298" t="s">
        <v>10215</v>
      </c>
      <c r="B3071" s="298" t="s">
        <v>10216</v>
      </c>
      <c r="C3071" s="298" t="s">
        <v>7285</v>
      </c>
      <c r="D3071" s="298" t="s">
        <v>256</v>
      </c>
      <c r="E3071" s="298"/>
      <c r="F3071" s="298" t="s">
        <v>10217</v>
      </c>
      <c r="G3071" s="299" t="b">
        <v>0</v>
      </c>
      <c r="H3071" s="299" t="b">
        <v>0</v>
      </c>
      <c r="J3071" s="113" t="str">
        <f t="shared" si="95"/>
        <v>949128020</v>
      </c>
      <c r="K3071" s="113" t="str">
        <f t="shared" si="96"/>
        <v>CG03156</v>
      </c>
    </row>
    <row r="3072" spans="1:11" x14ac:dyDescent="0.3">
      <c r="A3072" s="298" t="s">
        <v>10218</v>
      </c>
      <c r="B3072" s="298" t="s">
        <v>10219</v>
      </c>
      <c r="C3072" s="298" t="s">
        <v>9224</v>
      </c>
      <c r="D3072" s="298" t="s">
        <v>256</v>
      </c>
      <c r="E3072" s="298"/>
      <c r="F3072" s="298" t="s">
        <v>10220</v>
      </c>
      <c r="G3072" s="299" t="b">
        <v>0</v>
      </c>
      <c r="H3072" s="299" t="b">
        <v>0</v>
      </c>
      <c r="J3072" s="113" t="str">
        <f t="shared" si="95"/>
        <v>393238283</v>
      </c>
      <c r="K3072" s="113" t="str">
        <f t="shared" si="96"/>
        <v>CG03157</v>
      </c>
    </row>
    <row r="3073" spans="1:11" x14ac:dyDescent="0.3">
      <c r="A3073" s="298" t="s">
        <v>10221</v>
      </c>
      <c r="B3073" s="298" t="s">
        <v>10222</v>
      </c>
      <c r="C3073" s="298" t="s">
        <v>10223</v>
      </c>
      <c r="D3073" s="298" t="s">
        <v>256</v>
      </c>
      <c r="E3073" s="298" t="s">
        <v>10224</v>
      </c>
      <c r="F3073" s="298" t="s">
        <v>10225</v>
      </c>
      <c r="G3073" s="299" t="b">
        <v>0</v>
      </c>
      <c r="H3073" s="299" t="b">
        <v>0</v>
      </c>
      <c r="J3073" s="113" t="str">
        <f t="shared" si="95"/>
        <v>200585444</v>
      </c>
      <c r="K3073" s="113" t="str">
        <f t="shared" si="96"/>
        <v>CG03158</v>
      </c>
    </row>
    <row r="3074" spans="1:11" x14ac:dyDescent="0.3">
      <c r="A3074" s="298" t="s">
        <v>10226</v>
      </c>
      <c r="B3074" s="298" t="s">
        <v>10227</v>
      </c>
      <c r="C3074" s="298" t="s">
        <v>1643</v>
      </c>
      <c r="D3074" s="298" t="s">
        <v>256</v>
      </c>
      <c r="E3074" s="298"/>
      <c r="F3074" s="298" t="s">
        <v>10228</v>
      </c>
      <c r="G3074" s="299" t="b">
        <v>0</v>
      </c>
      <c r="H3074" s="299" t="b">
        <v>0</v>
      </c>
      <c r="J3074" s="113" t="str">
        <f t="shared" si="95"/>
        <v>942929359</v>
      </c>
      <c r="K3074" s="113" t="str">
        <f t="shared" si="96"/>
        <v>CG03159</v>
      </c>
    </row>
    <row r="3075" spans="1:11" x14ac:dyDescent="0.3">
      <c r="A3075" s="298" t="s">
        <v>10229</v>
      </c>
      <c r="B3075" s="298" t="s">
        <v>10230</v>
      </c>
      <c r="C3075" s="298" t="s">
        <v>5380</v>
      </c>
      <c r="D3075" s="298" t="s">
        <v>256</v>
      </c>
      <c r="E3075" s="298"/>
      <c r="F3075" s="298" t="s">
        <v>10231</v>
      </c>
      <c r="G3075" s="299" t="b">
        <v>0</v>
      </c>
      <c r="H3075" s="299" t="b">
        <v>0</v>
      </c>
      <c r="J3075" s="113" t="str">
        <f t="shared" si="95"/>
        <v>912505802</v>
      </c>
      <c r="K3075" s="113" t="str">
        <f t="shared" si="96"/>
        <v>CG03160</v>
      </c>
    </row>
    <row r="3076" spans="1:11" x14ac:dyDescent="0.3">
      <c r="A3076" s="298" t="s">
        <v>10232</v>
      </c>
      <c r="B3076" s="298" t="s">
        <v>10233</v>
      </c>
      <c r="C3076" s="298" t="s">
        <v>5989</v>
      </c>
      <c r="D3076" s="298" t="s">
        <v>256</v>
      </c>
      <c r="E3076" s="298"/>
      <c r="F3076" s="298" t="s">
        <v>10234</v>
      </c>
      <c r="G3076" s="299" t="b">
        <v>0</v>
      </c>
      <c r="H3076" s="299" t="b">
        <v>0</v>
      </c>
      <c r="J3076" s="113" t="str">
        <f t="shared" si="95"/>
        <v>912005821</v>
      </c>
      <c r="K3076" s="113" t="str">
        <f t="shared" si="96"/>
        <v>CG03161</v>
      </c>
    </row>
    <row r="3077" spans="1:11" x14ac:dyDescent="0.3">
      <c r="A3077" s="298" t="s">
        <v>10235</v>
      </c>
      <c r="B3077" s="298" t="s">
        <v>13319</v>
      </c>
      <c r="C3077" s="298" t="s">
        <v>10236</v>
      </c>
      <c r="D3077" s="298" t="s">
        <v>256</v>
      </c>
      <c r="E3077" s="298" t="s">
        <v>10237</v>
      </c>
      <c r="F3077" s="298" t="s">
        <v>10238</v>
      </c>
      <c r="G3077" s="299" t="b">
        <v>0</v>
      </c>
      <c r="H3077" s="299" t="b">
        <v>0</v>
      </c>
      <c r="J3077" s="113" t="str">
        <f t="shared" ref="J3077:J3140" si="97">RIGHT(B3077,9)</f>
        <v>978265397</v>
      </c>
      <c r="K3077" s="113" t="str">
        <f t="shared" ref="K3077:K3140" si="98">A3077</f>
        <v>CG03162</v>
      </c>
    </row>
    <row r="3078" spans="1:11" x14ac:dyDescent="0.3">
      <c r="A3078" s="298" t="s">
        <v>10239</v>
      </c>
      <c r="B3078" s="298" t="s">
        <v>10240</v>
      </c>
      <c r="C3078" s="298" t="s">
        <v>2354</v>
      </c>
      <c r="D3078" s="298" t="s">
        <v>256</v>
      </c>
      <c r="E3078" s="298" t="s">
        <v>55</v>
      </c>
      <c r="F3078" s="298" t="s">
        <v>10241</v>
      </c>
      <c r="G3078" s="299" t="b">
        <v>0</v>
      </c>
      <c r="H3078" s="299" t="b">
        <v>0</v>
      </c>
      <c r="J3078" s="113" t="str">
        <f t="shared" si="97"/>
        <v>974183419</v>
      </c>
      <c r="K3078" s="113" t="str">
        <f t="shared" si="98"/>
        <v>CG03163</v>
      </c>
    </row>
    <row r="3079" spans="1:11" x14ac:dyDescent="0.3">
      <c r="A3079" s="298" t="s">
        <v>10242</v>
      </c>
      <c r="B3079" s="298" t="s">
        <v>10243</v>
      </c>
      <c r="C3079" s="298" t="s">
        <v>604</v>
      </c>
      <c r="D3079" s="298" t="s">
        <v>256</v>
      </c>
      <c r="E3079" s="298"/>
      <c r="F3079" s="298" t="s">
        <v>10244</v>
      </c>
      <c r="G3079" s="299" t="b">
        <v>0</v>
      </c>
      <c r="H3079" s="299" t="b">
        <v>0</v>
      </c>
      <c r="J3079" s="113" t="str">
        <f t="shared" si="97"/>
        <v>812277889</v>
      </c>
      <c r="K3079" s="113" t="str">
        <f t="shared" si="98"/>
        <v>CG03164</v>
      </c>
    </row>
    <row r="3080" spans="1:11" x14ac:dyDescent="0.3">
      <c r="A3080" s="298" t="s">
        <v>10245</v>
      </c>
      <c r="B3080" s="298" t="s">
        <v>10246</v>
      </c>
      <c r="C3080" s="298" t="s">
        <v>2066</v>
      </c>
      <c r="D3080" s="298" t="s">
        <v>256</v>
      </c>
      <c r="E3080" s="298"/>
      <c r="F3080" s="298" t="s">
        <v>10247</v>
      </c>
      <c r="G3080" s="299" t="b">
        <v>0</v>
      </c>
      <c r="H3080" s="299" t="b">
        <v>0</v>
      </c>
      <c r="J3080" s="113" t="str">
        <f t="shared" si="97"/>
        <v>965118218</v>
      </c>
      <c r="K3080" s="113" t="str">
        <f t="shared" si="98"/>
        <v>CG03165</v>
      </c>
    </row>
    <row r="3081" spans="1:11" x14ac:dyDescent="0.3">
      <c r="A3081" s="298" t="s">
        <v>10248</v>
      </c>
      <c r="B3081" s="298" t="s">
        <v>10249</v>
      </c>
      <c r="C3081" s="298" t="s">
        <v>3557</v>
      </c>
      <c r="D3081" s="298" t="s">
        <v>256</v>
      </c>
      <c r="E3081" s="298"/>
      <c r="F3081" s="298" t="s">
        <v>10250</v>
      </c>
      <c r="G3081" s="299" t="b">
        <v>0</v>
      </c>
      <c r="H3081" s="299" t="b">
        <v>0</v>
      </c>
      <c r="J3081" s="113" t="str">
        <f t="shared" si="97"/>
        <v>399140368</v>
      </c>
      <c r="K3081" s="113" t="str">
        <f t="shared" si="98"/>
        <v>CG03166</v>
      </c>
    </row>
    <row r="3082" spans="1:11" x14ac:dyDescent="0.3">
      <c r="A3082" s="298" t="s">
        <v>10251</v>
      </c>
      <c r="B3082" s="298" t="s">
        <v>10252</v>
      </c>
      <c r="C3082" s="298" t="s">
        <v>6226</v>
      </c>
      <c r="D3082" s="298" t="s">
        <v>256</v>
      </c>
      <c r="E3082" s="298"/>
      <c r="F3082" s="298" t="s">
        <v>10253</v>
      </c>
      <c r="G3082" s="299" t="b">
        <v>0</v>
      </c>
      <c r="H3082" s="299" t="b">
        <v>0</v>
      </c>
      <c r="J3082" s="113" t="str">
        <f t="shared" si="97"/>
        <v>387326789</v>
      </c>
      <c r="K3082" s="113" t="str">
        <f t="shared" si="98"/>
        <v>CG03167</v>
      </c>
    </row>
    <row r="3083" spans="1:11" x14ac:dyDescent="0.3">
      <c r="A3083" s="298" t="s">
        <v>10254</v>
      </c>
      <c r="B3083" s="298" t="s">
        <v>10255</v>
      </c>
      <c r="C3083" s="298" t="s">
        <v>10256</v>
      </c>
      <c r="D3083" s="298" t="s">
        <v>256</v>
      </c>
      <c r="E3083" s="298"/>
      <c r="F3083" s="298" t="s">
        <v>10257</v>
      </c>
      <c r="G3083" s="299" t="b">
        <v>0</v>
      </c>
      <c r="H3083" s="299" t="b">
        <v>0</v>
      </c>
      <c r="J3083" s="113" t="str">
        <f t="shared" si="97"/>
        <v>986183012</v>
      </c>
      <c r="K3083" s="113" t="str">
        <f t="shared" si="98"/>
        <v>CG03168</v>
      </c>
    </row>
    <row r="3084" spans="1:11" x14ac:dyDescent="0.3">
      <c r="A3084" s="298" t="s">
        <v>10258</v>
      </c>
      <c r="B3084" s="298" t="s">
        <v>10259</v>
      </c>
      <c r="C3084" s="298" t="s">
        <v>10260</v>
      </c>
      <c r="D3084" s="298" t="s">
        <v>256</v>
      </c>
      <c r="E3084" s="298"/>
      <c r="F3084" s="298" t="s">
        <v>10261</v>
      </c>
      <c r="G3084" s="299" t="b">
        <v>0</v>
      </c>
      <c r="H3084" s="299" t="b">
        <v>0</v>
      </c>
      <c r="J3084" s="113" t="str">
        <f t="shared" si="97"/>
        <v>984971989</v>
      </c>
      <c r="K3084" s="113" t="str">
        <f t="shared" si="98"/>
        <v>CG03169</v>
      </c>
    </row>
    <row r="3085" spans="1:11" x14ac:dyDescent="0.3">
      <c r="A3085" s="298" t="s">
        <v>10262</v>
      </c>
      <c r="B3085" s="298" t="s">
        <v>10263</v>
      </c>
      <c r="C3085" s="298" t="s">
        <v>6181</v>
      </c>
      <c r="D3085" s="298" t="s">
        <v>256</v>
      </c>
      <c r="E3085" s="298"/>
      <c r="F3085" s="298" t="s">
        <v>10264</v>
      </c>
      <c r="G3085" s="299" t="b">
        <v>0</v>
      </c>
      <c r="H3085" s="299" t="b">
        <v>0</v>
      </c>
      <c r="J3085" s="113" t="str">
        <f t="shared" si="97"/>
        <v>986234837</v>
      </c>
      <c r="K3085" s="113" t="str">
        <f t="shared" si="98"/>
        <v>CG03170</v>
      </c>
    </row>
    <row r="3086" spans="1:11" x14ac:dyDescent="0.3">
      <c r="A3086" s="298" t="s">
        <v>10265</v>
      </c>
      <c r="B3086" s="298" t="s">
        <v>10266</v>
      </c>
      <c r="C3086" s="298" t="s">
        <v>609</v>
      </c>
      <c r="D3086" s="298" t="s">
        <v>256</v>
      </c>
      <c r="E3086" s="298"/>
      <c r="F3086" s="298" t="s">
        <v>10267</v>
      </c>
      <c r="G3086" s="299" t="b">
        <v>0</v>
      </c>
      <c r="H3086" s="299" t="b">
        <v>0</v>
      </c>
      <c r="J3086" s="113" t="str">
        <f t="shared" si="97"/>
        <v>961988122</v>
      </c>
      <c r="K3086" s="113" t="str">
        <f t="shared" si="98"/>
        <v>CG03171</v>
      </c>
    </row>
    <row r="3087" spans="1:11" x14ac:dyDescent="0.3">
      <c r="A3087" s="298" t="s">
        <v>10268</v>
      </c>
      <c r="B3087" s="298" t="s">
        <v>10269</v>
      </c>
      <c r="C3087" s="298" t="s">
        <v>10270</v>
      </c>
      <c r="D3087" s="298" t="s">
        <v>256</v>
      </c>
      <c r="E3087" s="298"/>
      <c r="F3087" s="298" t="s">
        <v>10271</v>
      </c>
      <c r="G3087" s="299" t="b">
        <v>0</v>
      </c>
      <c r="H3087" s="299" t="b">
        <v>0</v>
      </c>
      <c r="J3087" s="113" t="str">
        <f t="shared" si="97"/>
        <v>984088085</v>
      </c>
      <c r="K3087" s="113" t="str">
        <f t="shared" si="98"/>
        <v>CG03172</v>
      </c>
    </row>
    <row r="3088" spans="1:11" x14ac:dyDescent="0.3">
      <c r="A3088" s="298" t="s">
        <v>10272</v>
      </c>
      <c r="B3088" s="298" t="s">
        <v>10273</v>
      </c>
      <c r="C3088" s="298" t="s">
        <v>10274</v>
      </c>
      <c r="D3088" s="298" t="s">
        <v>256</v>
      </c>
      <c r="E3088" s="298" t="s">
        <v>10275</v>
      </c>
      <c r="F3088" s="298" t="s">
        <v>10276</v>
      </c>
      <c r="G3088" s="299" t="b">
        <v>0</v>
      </c>
      <c r="H3088" s="299" t="b">
        <v>0</v>
      </c>
      <c r="J3088" s="113" t="str">
        <f t="shared" si="97"/>
        <v>705664779</v>
      </c>
      <c r="K3088" s="113" t="str">
        <f t="shared" si="98"/>
        <v>CG03173</v>
      </c>
    </row>
    <row r="3089" spans="1:11" x14ac:dyDescent="0.3">
      <c r="A3089" s="298" t="s">
        <v>10277</v>
      </c>
      <c r="B3089" s="298" t="s">
        <v>10278</v>
      </c>
      <c r="C3089" s="298" t="s">
        <v>10279</v>
      </c>
      <c r="D3089" s="298" t="s">
        <v>256</v>
      </c>
      <c r="E3089" s="298"/>
      <c r="F3089" s="298" t="s">
        <v>10280</v>
      </c>
      <c r="G3089" s="299" t="b">
        <v>0</v>
      </c>
      <c r="H3089" s="299" t="b">
        <v>0</v>
      </c>
      <c r="J3089" s="113" t="str">
        <f t="shared" si="97"/>
        <v>985320282</v>
      </c>
      <c r="K3089" s="113" t="str">
        <f t="shared" si="98"/>
        <v>CG03174</v>
      </c>
    </row>
    <row r="3090" spans="1:11" x14ac:dyDescent="0.3">
      <c r="A3090" s="298" t="s">
        <v>10281</v>
      </c>
      <c r="B3090" s="298" t="s">
        <v>10282</v>
      </c>
      <c r="C3090" s="298" t="s">
        <v>892</v>
      </c>
      <c r="D3090" s="298" t="s">
        <v>256</v>
      </c>
      <c r="E3090" s="298"/>
      <c r="F3090" s="298" t="s">
        <v>10283</v>
      </c>
      <c r="G3090" s="299" t="b">
        <v>0</v>
      </c>
      <c r="H3090" s="299" t="b">
        <v>0</v>
      </c>
      <c r="J3090" s="113" t="str">
        <f t="shared" si="97"/>
        <v>904002773</v>
      </c>
      <c r="K3090" s="113" t="str">
        <f t="shared" si="98"/>
        <v>CG03175</v>
      </c>
    </row>
    <row r="3091" spans="1:11" x14ac:dyDescent="0.3">
      <c r="A3091" s="298" t="s">
        <v>10284</v>
      </c>
      <c r="B3091" s="298" t="s">
        <v>10285</v>
      </c>
      <c r="C3091" s="298" t="s">
        <v>9362</v>
      </c>
      <c r="D3091" s="298" t="s">
        <v>256</v>
      </c>
      <c r="E3091" s="298"/>
      <c r="F3091" s="298" t="s">
        <v>10286</v>
      </c>
      <c r="G3091" s="299" t="b">
        <v>0</v>
      </c>
      <c r="H3091" s="299" t="b">
        <v>0</v>
      </c>
      <c r="J3091" s="113" t="str">
        <f t="shared" si="97"/>
        <v>902294970</v>
      </c>
      <c r="K3091" s="113" t="str">
        <f t="shared" si="98"/>
        <v>CG03176</v>
      </c>
    </row>
    <row r="3092" spans="1:11" x14ac:dyDescent="0.3">
      <c r="A3092" s="298" t="s">
        <v>10287</v>
      </c>
      <c r="B3092" s="298" t="s">
        <v>10288</v>
      </c>
      <c r="C3092" s="298" t="s">
        <v>10289</v>
      </c>
      <c r="D3092" s="298" t="s">
        <v>256</v>
      </c>
      <c r="E3092" s="298"/>
      <c r="F3092" s="298" t="s">
        <v>10290</v>
      </c>
      <c r="G3092" s="299" t="b">
        <v>0</v>
      </c>
      <c r="H3092" s="299" t="b">
        <v>0</v>
      </c>
      <c r="J3092" s="113" t="str">
        <f t="shared" si="97"/>
        <v>983800412</v>
      </c>
      <c r="K3092" s="113" t="str">
        <f t="shared" si="98"/>
        <v>CG03177</v>
      </c>
    </row>
    <row r="3093" spans="1:11" x14ac:dyDescent="0.3">
      <c r="A3093" s="298" t="s">
        <v>10291</v>
      </c>
      <c r="B3093" s="298" t="s">
        <v>10292</v>
      </c>
      <c r="C3093" s="298" t="s">
        <v>10293</v>
      </c>
      <c r="D3093" s="298" t="s">
        <v>256</v>
      </c>
      <c r="E3093" s="298"/>
      <c r="F3093" s="298" t="s">
        <v>10294</v>
      </c>
      <c r="G3093" s="299" t="b">
        <v>0</v>
      </c>
      <c r="H3093" s="299" t="b">
        <v>0</v>
      </c>
      <c r="J3093" s="113" t="str">
        <f t="shared" si="97"/>
        <v>ài Nguyên</v>
      </c>
      <c r="K3093" s="113" t="str">
        <f t="shared" si="98"/>
        <v>CG03178</v>
      </c>
    </row>
    <row r="3094" spans="1:11" x14ac:dyDescent="0.3">
      <c r="A3094" s="298" t="s">
        <v>10295</v>
      </c>
      <c r="B3094" s="298" t="s">
        <v>10296</v>
      </c>
      <c r="C3094" s="298" t="s">
        <v>10297</v>
      </c>
      <c r="D3094" s="298" t="s">
        <v>256</v>
      </c>
      <c r="E3094" s="298"/>
      <c r="F3094" s="298" t="s">
        <v>10298</v>
      </c>
      <c r="G3094" s="299" t="b">
        <v>0</v>
      </c>
      <c r="H3094" s="299" t="b">
        <v>0</v>
      </c>
      <c r="J3094" s="113" t="str">
        <f t="shared" si="97"/>
        <v>988630107</v>
      </c>
      <c r="K3094" s="113" t="str">
        <f t="shared" si="98"/>
        <v>CG03179</v>
      </c>
    </row>
    <row r="3095" spans="1:11" x14ac:dyDescent="0.3">
      <c r="A3095" s="298" t="s">
        <v>10299</v>
      </c>
      <c r="B3095" s="298" t="s">
        <v>10300</v>
      </c>
      <c r="C3095" s="298" t="s">
        <v>9269</v>
      </c>
      <c r="D3095" s="298" t="s">
        <v>256</v>
      </c>
      <c r="E3095" s="298"/>
      <c r="F3095" s="298" t="s">
        <v>10301</v>
      </c>
      <c r="G3095" s="299" t="b">
        <v>0</v>
      </c>
      <c r="H3095" s="299" t="b">
        <v>0</v>
      </c>
      <c r="J3095" s="113" t="str">
        <f t="shared" si="97"/>
        <v>982510087</v>
      </c>
      <c r="K3095" s="113" t="str">
        <f t="shared" si="98"/>
        <v>CG03180</v>
      </c>
    </row>
    <row r="3096" spans="1:11" x14ac:dyDescent="0.3">
      <c r="A3096" s="298" t="s">
        <v>10302</v>
      </c>
      <c r="B3096" s="298" t="s">
        <v>10303</v>
      </c>
      <c r="C3096" s="298" t="s">
        <v>506</v>
      </c>
      <c r="D3096" s="298" t="s">
        <v>256</v>
      </c>
      <c r="E3096" s="298"/>
      <c r="F3096" s="298" t="s">
        <v>10304</v>
      </c>
      <c r="G3096" s="299" t="b">
        <v>0</v>
      </c>
      <c r="H3096" s="299" t="b">
        <v>0</v>
      </c>
      <c r="J3096" s="113" t="str">
        <f t="shared" si="97"/>
        <v>984747196</v>
      </c>
      <c r="K3096" s="113" t="str">
        <f t="shared" si="98"/>
        <v>CG03181</v>
      </c>
    </row>
    <row r="3097" spans="1:11" x14ac:dyDescent="0.3">
      <c r="A3097" s="298" t="s">
        <v>10305</v>
      </c>
      <c r="B3097" s="298" t="s">
        <v>10306</v>
      </c>
      <c r="C3097" s="298" t="s">
        <v>3926</v>
      </c>
      <c r="D3097" s="298" t="s">
        <v>256</v>
      </c>
      <c r="E3097" s="298"/>
      <c r="F3097" s="298" t="s">
        <v>10307</v>
      </c>
      <c r="G3097" s="299" t="b">
        <v>0</v>
      </c>
      <c r="H3097" s="299" t="b">
        <v>0</v>
      </c>
      <c r="J3097" s="113" t="str">
        <f t="shared" si="97"/>
        <v>326743200</v>
      </c>
      <c r="K3097" s="113" t="str">
        <f t="shared" si="98"/>
        <v>CG03182</v>
      </c>
    </row>
    <row r="3098" spans="1:11" x14ac:dyDescent="0.3">
      <c r="A3098" s="298" t="s">
        <v>10308</v>
      </c>
      <c r="B3098" s="298" t="s">
        <v>10309</v>
      </c>
      <c r="C3098" s="298" t="s">
        <v>10310</v>
      </c>
      <c r="D3098" s="298" t="s">
        <v>256</v>
      </c>
      <c r="E3098" s="298" t="s">
        <v>13168</v>
      </c>
      <c r="F3098" s="298" t="s">
        <v>55</v>
      </c>
      <c r="G3098" s="299" t="b">
        <v>0</v>
      </c>
      <c r="H3098" s="299" t="b">
        <v>0</v>
      </c>
      <c r="J3098" s="113" t="str">
        <f t="shared" si="97"/>
        <v>985638009</v>
      </c>
      <c r="K3098" s="113" t="str">
        <f t="shared" si="98"/>
        <v>CG03183</v>
      </c>
    </row>
    <row r="3099" spans="1:11" x14ac:dyDescent="0.3">
      <c r="A3099" s="298" t="s">
        <v>10311</v>
      </c>
      <c r="B3099" s="298" t="s">
        <v>10312</v>
      </c>
      <c r="C3099" s="298" t="s">
        <v>10313</v>
      </c>
      <c r="D3099" s="298" t="s">
        <v>256</v>
      </c>
      <c r="E3099" s="298"/>
      <c r="F3099" s="298" t="s">
        <v>55</v>
      </c>
      <c r="G3099" s="299" t="b">
        <v>0</v>
      </c>
      <c r="H3099" s="299" t="b">
        <v>0</v>
      </c>
      <c r="J3099" s="113" t="str">
        <f t="shared" si="97"/>
        <v>914592465</v>
      </c>
      <c r="K3099" s="113" t="str">
        <f t="shared" si="98"/>
        <v>CG03184</v>
      </c>
    </row>
    <row r="3100" spans="1:11" x14ac:dyDescent="0.3">
      <c r="A3100" s="298" t="s">
        <v>10314</v>
      </c>
      <c r="B3100" s="298" t="s">
        <v>10315</v>
      </c>
      <c r="C3100" s="298" t="s">
        <v>1508</v>
      </c>
      <c r="D3100" s="298" t="s">
        <v>256</v>
      </c>
      <c r="E3100" s="298"/>
      <c r="F3100" s="298" t="s">
        <v>55</v>
      </c>
      <c r="G3100" s="299" t="b">
        <v>0</v>
      </c>
      <c r="H3100" s="299" t="b">
        <v>0</v>
      </c>
      <c r="J3100" s="113" t="str">
        <f t="shared" si="97"/>
        <v>975786693</v>
      </c>
      <c r="K3100" s="113" t="str">
        <f t="shared" si="98"/>
        <v>CG03185</v>
      </c>
    </row>
    <row r="3101" spans="1:11" x14ac:dyDescent="0.3">
      <c r="A3101" s="298" t="s">
        <v>13013</v>
      </c>
      <c r="B3101" s="298" t="s">
        <v>13320</v>
      </c>
      <c r="C3101" s="298" t="s">
        <v>416</v>
      </c>
      <c r="D3101" s="298" t="s">
        <v>256</v>
      </c>
      <c r="E3101" s="298"/>
      <c r="F3101" s="298" t="s">
        <v>55</v>
      </c>
      <c r="G3101" s="299" t="b">
        <v>0</v>
      </c>
      <c r="H3101" s="299" t="b">
        <v>0</v>
      </c>
      <c r="J3101" s="113" t="str">
        <f t="shared" si="97"/>
        <v>976758595</v>
      </c>
      <c r="K3101" s="113" t="str">
        <f t="shared" si="98"/>
        <v>CG03186</v>
      </c>
    </row>
    <row r="3102" spans="1:11" x14ac:dyDescent="0.3">
      <c r="A3102" s="298" t="s">
        <v>13321</v>
      </c>
      <c r="B3102" s="298" t="s">
        <v>13322</v>
      </c>
      <c r="C3102" s="298" t="s">
        <v>13323</v>
      </c>
      <c r="D3102" s="298" t="s">
        <v>256</v>
      </c>
      <c r="E3102" s="298"/>
      <c r="F3102" s="298" t="s">
        <v>55</v>
      </c>
      <c r="G3102" s="299" t="b">
        <v>0</v>
      </c>
      <c r="H3102" s="299" t="b">
        <v>0</v>
      </c>
      <c r="J3102" s="113" t="str">
        <f t="shared" si="97"/>
        <v>984996257</v>
      </c>
      <c r="K3102" s="113" t="str">
        <f t="shared" si="98"/>
        <v>CG03187</v>
      </c>
    </row>
    <row r="3103" spans="1:11" x14ac:dyDescent="0.3">
      <c r="A3103" s="298" t="s">
        <v>13324</v>
      </c>
      <c r="B3103" s="298" t="s">
        <v>13325</v>
      </c>
      <c r="C3103" s="298" t="s">
        <v>13326</v>
      </c>
      <c r="D3103" s="298" t="s">
        <v>256</v>
      </c>
      <c r="E3103" s="298" t="s">
        <v>13327</v>
      </c>
      <c r="F3103" s="298" t="s">
        <v>55</v>
      </c>
      <c r="G3103" s="299" t="b">
        <v>0</v>
      </c>
      <c r="H3103" s="299" t="b">
        <v>0</v>
      </c>
      <c r="J3103" s="113" t="str">
        <f t="shared" si="97"/>
        <v>843445678</v>
      </c>
      <c r="K3103" s="113" t="str">
        <f t="shared" si="98"/>
        <v>CG03188</v>
      </c>
    </row>
    <row r="3104" spans="1:11" x14ac:dyDescent="0.3">
      <c r="A3104" s="298" t="s">
        <v>13328</v>
      </c>
      <c r="B3104" s="298" t="s">
        <v>13329</v>
      </c>
      <c r="C3104" s="298" t="s">
        <v>13330</v>
      </c>
      <c r="D3104" s="298" t="s">
        <v>256</v>
      </c>
      <c r="E3104" s="298" t="s">
        <v>55</v>
      </c>
      <c r="F3104" s="298" t="s">
        <v>55</v>
      </c>
      <c r="G3104" s="299" t="b">
        <v>0</v>
      </c>
      <c r="H3104" s="299" t="b">
        <v>0</v>
      </c>
      <c r="J3104" s="113" t="str">
        <f t="shared" si="97"/>
        <v>984629811</v>
      </c>
      <c r="K3104" s="113" t="str">
        <f t="shared" si="98"/>
        <v>CG03189</v>
      </c>
    </row>
    <row r="3105" spans="1:11" x14ac:dyDescent="0.3">
      <c r="A3105" s="298" t="s">
        <v>13331</v>
      </c>
      <c r="B3105" s="298" t="s">
        <v>13332</v>
      </c>
      <c r="C3105" s="298" t="s">
        <v>416</v>
      </c>
      <c r="D3105" s="298" t="s">
        <v>256</v>
      </c>
      <c r="E3105" s="298"/>
      <c r="F3105" s="298" t="s">
        <v>13333</v>
      </c>
      <c r="G3105" s="299" t="b">
        <v>0</v>
      </c>
      <c r="H3105" s="299" t="b">
        <v>0</v>
      </c>
      <c r="J3105" s="113" t="str">
        <f t="shared" si="97"/>
        <v>979430075</v>
      </c>
      <c r="K3105" s="113" t="str">
        <f t="shared" si="98"/>
        <v>CG03190</v>
      </c>
    </row>
    <row r="3106" spans="1:11" x14ac:dyDescent="0.3">
      <c r="A3106" s="298" t="s">
        <v>13334</v>
      </c>
      <c r="B3106" s="298" t="s">
        <v>13335</v>
      </c>
      <c r="C3106" s="298" t="s">
        <v>1508</v>
      </c>
      <c r="D3106" s="298" t="s">
        <v>256</v>
      </c>
      <c r="E3106" s="298"/>
      <c r="F3106" s="298" t="s">
        <v>13336</v>
      </c>
      <c r="G3106" s="299" t="b">
        <v>0</v>
      </c>
      <c r="H3106" s="299" t="b">
        <v>0</v>
      </c>
      <c r="J3106" s="113" t="str">
        <f t="shared" si="97"/>
        <v>911361386</v>
      </c>
      <c r="K3106" s="113" t="str">
        <f t="shared" si="98"/>
        <v>CG03191</v>
      </c>
    </row>
    <row r="3107" spans="1:11" x14ac:dyDescent="0.3">
      <c r="A3107" s="298" t="s">
        <v>13337</v>
      </c>
      <c r="B3107" s="298" t="s">
        <v>13338</v>
      </c>
      <c r="C3107" s="298" t="s">
        <v>1508</v>
      </c>
      <c r="D3107" s="298" t="s">
        <v>256</v>
      </c>
      <c r="E3107" s="298"/>
      <c r="F3107" s="298" t="s">
        <v>13339</v>
      </c>
      <c r="G3107" s="299" t="b">
        <v>0</v>
      </c>
      <c r="H3107" s="299" t="b">
        <v>0</v>
      </c>
      <c r="J3107" s="113" t="str">
        <f t="shared" si="97"/>
        <v>989161681</v>
      </c>
      <c r="K3107" s="113" t="str">
        <f t="shared" si="98"/>
        <v>CG03192</v>
      </c>
    </row>
    <row r="3108" spans="1:11" x14ac:dyDescent="0.3">
      <c r="A3108" s="298" t="s">
        <v>13340</v>
      </c>
      <c r="B3108" s="298" t="s">
        <v>13341</v>
      </c>
      <c r="C3108" s="298" t="s">
        <v>13342</v>
      </c>
      <c r="D3108" s="298" t="s">
        <v>256</v>
      </c>
      <c r="E3108" s="298"/>
      <c r="F3108" s="298" t="s">
        <v>13343</v>
      </c>
      <c r="G3108" s="299" t="b">
        <v>0</v>
      </c>
      <c r="H3108" s="299" t="b">
        <v>0</v>
      </c>
      <c r="J3108" s="113" t="str">
        <f t="shared" si="97"/>
        <v>963031987</v>
      </c>
      <c r="K3108" s="113" t="str">
        <f t="shared" si="98"/>
        <v>CG03193</v>
      </c>
    </row>
    <row r="3109" spans="1:11" x14ac:dyDescent="0.3">
      <c r="A3109" s="298" t="s">
        <v>13344</v>
      </c>
      <c r="B3109" s="298" t="s">
        <v>13345</v>
      </c>
      <c r="C3109" s="298" t="s">
        <v>5790</v>
      </c>
      <c r="D3109" s="298" t="s">
        <v>256</v>
      </c>
      <c r="E3109" s="298"/>
      <c r="F3109" s="298" t="s">
        <v>13346</v>
      </c>
      <c r="G3109" s="299" t="b">
        <v>0</v>
      </c>
      <c r="H3109" s="299" t="b">
        <v>0</v>
      </c>
      <c r="J3109" s="113" t="str">
        <f t="shared" si="97"/>
        <v>976543886</v>
      </c>
      <c r="K3109" s="113" t="str">
        <f t="shared" si="98"/>
        <v>CG03194</v>
      </c>
    </row>
    <row r="3110" spans="1:11" x14ac:dyDescent="0.3">
      <c r="A3110" s="298" t="s">
        <v>13347</v>
      </c>
      <c r="B3110" s="298" t="s">
        <v>13348</v>
      </c>
      <c r="C3110" s="298" t="s">
        <v>13349</v>
      </c>
      <c r="D3110" s="298" t="s">
        <v>256</v>
      </c>
      <c r="E3110" s="298"/>
      <c r="F3110" s="298" t="s">
        <v>13350</v>
      </c>
      <c r="G3110" s="299" t="b">
        <v>0</v>
      </c>
      <c r="H3110" s="299" t="b">
        <v>0</v>
      </c>
      <c r="J3110" s="113" t="str">
        <f t="shared" si="97"/>
        <v>985163818</v>
      </c>
      <c r="K3110" s="113" t="str">
        <f t="shared" si="98"/>
        <v>CG03195</v>
      </c>
    </row>
    <row r="3111" spans="1:11" x14ac:dyDescent="0.3">
      <c r="A3111" s="298" t="s">
        <v>13351</v>
      </c>
      <c r="B3111" s="298" t="s">
        <v>13352</v>
      </c>
      <c r="C3111" s="298" t="s">
        <v>13353</v>
      </c>
      <c r="D3111" s="298" t="s">
        <v>256</v>
      </c>
      <c r="E3111" s="298"/>
      <c r="F3111" s="298" t="s">
        <v>13354</v>
      </c>
      <c r="G3111" s="299" t="b">
        <v>0</v>
      </c>
      <c r="H3111" s="299" t="b">
        <v>0</v>
      </c>
      <c r="J3111" s="113" t="str">
        <f t="shared" si="97"/>
        <v>775876999</v>
      </c>
      <c r="K3111" s="113" t="str">
        <f t="shared" si="98"/>
        <v>CG03196</v>
      </c>
    </row>
    <row r="3112" spans="1:11" x14ac:dyDescent="0.3">
      <c r="A3112" s="298" t="s">
        <v>13004</v>
      </c>
      <c r="B3112" s="298" t="s">
        <v>13005</v>
      </c>
      <c r="C3112" s="298" t="s">
        <v>1407</v>
      </c>
      <c r="D3112" s="298" t="s">
        <v>256</v>
      </c>
      <c r="E3112" s="298"/>
      <c r="F3112" s="298" t="s">
        <v>13355</v>
      </c>
      <c r="G3112" s="299" t="b">
        <v>0</v>
      </c>
      <c r="H3112" s="299" t="b">
        <v>0</v>
      </c>
      <c r="J3112" s="113" t="str">
        <f t="shared" si="97"/>
        <v>912291626</v>
      </c>
      <c r="K3112" s="113" t="str">
        <f t="shared" si="98"/>
        <v>CG03197</v>
      </c>
    </row>
    <row r="3113" spans="1:11" x14ac:dyDescent="0.3">
      <c r="A3113" s="298" t="s">
        <v>13356</v>
      </c>
      <c r="B3113" s="298" t="s">
        <v>13357</v>
      </c>
      <c r="C3113" s="298" t="s">
        <v>13358</v>
      </c>
      <c r="D3113" s="298" t="s">
        <v>256</v>
      </c>
      <c r="E3113" s="298"/>
      <c r="F3113" s="298" t="s">
        <v>13359</v>
      </c>
      <c r="G3113" s="299" t="b">
        <v>0</v>
      </c>
      <c r="H3113" s="299" t="b">
        <v>0</v>
      </c>
      <c r="J3113" s="113" t="str">
        <f t="shared" si="97"/>
        <v>968761986</v>
      </c>
      <c r="K3113" s="113" t="str">
        <f t="shared" si="98"/>
        <v>CG03198</v>
      </c>
    </row>
    <row r="3114" spans="1:11" x14ac:dyDescent="0.3">
      <c r="A3114" s="298" t="s">
        <v>13360</v>
      </c>
      <c r="B3114" s="298" t="s">
        <v>13361</v>
      </c>
      <c r="C3114" s="298" t="s">
        <v>13362</v>
      </c>
      <c r="D3114" s="298" t="s">
        <v>256</v>
      </c>
      <c r="E3114" s="298" t="s">
        <v>55</v>
      </c>
      <c r="F3114" s="298" t="s">
        <v>13363</v>
      </c>
      <c r="G3114" s="299" t="b">
        <v>0</v>
      </c>
      <c r="H3114" s="299" t="b">
        <v>0</v>
      </c>
      <c r="J3114" s="113" t="str">
        <f t="shared" si="97"/>
        <v>984839665</v>
      </c>
      <c r="K3114" s="113" t="str">
        <f t="shared" si="98"/>
        <v>CG03199</v>
      </c>
    </row>
    <row r="3115" spans="1:11" x14ac:dyDescent="0.3">
      <c r="A3115" s="298" t="s">
        <v>13364</v>
      </c>
      <c r="B3115" s="298" t="s">
        <v>13365</v>
      </c>
      <c r="C3115" s="298" t="s">
        <v>13366</v>
      </c>
      <c r="D3115" s="298" t="s">
        <v>256</v>
      </c>
      <c r="E3115" s="298" t="s">
        <v>13367</v>
      </c>
      <c r="F3115" s="298" t="s">
        <v>13368</v>
      </c>
      <c r="G3115" s="299" t="b">
        <v>0</v>
      </c>
      <c r="H3115" s="299" t="b">
        <v>0</v>
      </c>
      <c r="J3115" s="113" t="str">
        <f t="shared" si="97"/>
        <v>982704918</v>
      </c>
      <c r="K3115" s="113" t="str">
        <f t="shared" si="98"/>
        <v>CG03200</v>
      </c>
    </row>
    <row r="3116" spans="1:11" x14ac:dyDescent="0.3">
      <c r="A3116" s="298" t="s">
        <v>13369</v>
      </c>
      <c r="B3116" s="298" t="s">
        <v>13370</v>
      </c>
      <c r="C3116" s="298" t="s">
        <v>13371</v>
      </c>
      <c r="D3116" s="298" t="s">
        <v>256</v>
      </c>
      <c r="E3116" s="298" t="s">
        <v>55</v>
      </c>
      <c r="F3116" s="298" t="s">
        <v>13372</v>
      </c>
      <c r="G3116" s="299" t="b">
        <v>0</v>
      </c>
      <c r="H3116" s="299" t="b">
        <v>0</v>
      </c>
      <c r="J3116" s="113" t="str">
        <f t="shared" si="97"/>
        <v>815449484</v>
      </c>
      <c r="K3116" s="113" t="str">
        <f t="shared" si="98"/>
        <v>CG03201</v>
      </c>
    </row>
    <row r="3117" spans="1:11" x14ac:dyDescent="0.3">
      <c r="A3117" s="298" t="s">
        <v>13373</v>
      </c>
      <c r="B3117" s="298" t="s">
        <v>13374</v>
      </c>
      <c r="C3117" s="298" t="s">
        <v>13375</v>
      </c>
      <c r="D3117" s="298" t="s">
        <v>256</v>
      </c>
      <c r="E3117" s="298" t="s">
        <v>55</v>
      </c>
      <c r="F3117" s="298" t="s">
        <v>13376</v>
      </c>
      <c r="G3117" s="299" t="b">
        <v>0</v>
      </c>
      <c r="H3117" s="299" t="b">
        <v>0</v>
      </c>
      <c r="J3117" s="113" t="str">
        <f t="shared" si="97"/>
        <v xml:space="preserve">84279480 </v>
      </c>
      <c r="K3117" s="113" t="str">
        <f t="shared" si="98"/>
        <v>CG03202</v>
      </c>
    </row>
    <row r="3118" spans="1:11" x14ac:dyDescent="0.3">
      <c r="A3118" s="298" t="s">
        <v>13377</v>
      </c>
      <c r="B3118" s="298" t="s">
        <v>13378</v>
      </c>
      <c r="C3118" s="298" t="s">
        <v>1237</v>
      </c>
      <c r="D3118" s="298" t="s">
        <v>256</v>
      </c>
      <c r="E3118" s="298" t="s">
        <v>55</v>
      </c>
      <c r="F3118" s="298" t="s">
        <v>13379</v>
      </c>
      <c r="G3118" s="299" t="b">
        <v>0</v>
      </c>
      <c r="H3118" s="299" t="b">
        <v>0</v>
      </c>
      <c r="J3118" s="113" t="str">
        <f t="shared" si="97"/>
        <v>961330250</v>
      </c>
      <c r="K3118" s="113" t="str">
        <f t="shared" si="98"/>
        <v>CG03203</v>
      </c>
    </row>
    <row r="3119" spans="1:11" x14ac:dyDescent="0.3">
      <c r="A3119" s="298" t="s">
        <v>13380</v>
      </c>
      <c r="B3119" s="298" t="s">
        <v>13381</v>
      </c>
      <c r="C3119" s="298" t="s">
        <v>13382</v>
      </c>
      <c r="D3119" s="298" t="s">
        <v>256</v>
      </c>
      <c r="E3119" s="298" t="s">
        <v>55</v>
      </c>
      <c r="F3119" s="298" t="s">
        <v>13383</v>
      </c>
      <c r="G3119" s="299" t="b">
        <v>0</v>
      </c>
      <c r="H3119" s="299" t="b">
        <v>0</v>
      </c>
      <c r="J3119" s="113" t="str">
        <f t="shared" si="97"/>
        <v>912503674</v>
      </c>
      <c r="K3119" s="113" t="str">
        <f t="shared" si="98"/>
        <v>CG03204</v>
      </c>
    </row>
    <row r="3120" spans="1:11" x14ac:dyDescent="0.3">
      <c r="A3120" s="298" t="s">
        <v>13384</v>
      </c>
      <c r="B3120" s="298" t="s">
        <v>13385</v>
      </c>
      <c r="C3120" s="298" t="s">
        <v>13386</v>
      </c>
      <c r="D3120" s="298" t="s">
        <v>256</v>
      </c>
      <c r="E3120" s="298" t="s">
        <v>55</v>
      </c>
      <c r="F3120" s="298" t="s">
        <v>13387</v>
      </c>
      <c r="G3120" s="299" t="b">
        <v>0</v>
      </c>
      <c r="H3120" s="299" t="b">
        <v>0</v>
      </c>
      <c r="J3120" s="113" t="str">
        <f t="shared" si="97"/>
        <v>912877232</v>
      </c>
      <c r="K3120" s="113" t="str">
        <f t="shared" si="98"/>
        <v>CG03205</v>
      </c>
    </row>
    <row r="3121" spans="1:11" x14ac:dyDescent="0.3">
      <c r="A3121" s="298" t="s">
        <v>13388</v>
      </c>
      <c r="B3121" s="298" t="s">
        <v>13389</v>
      </c>
      <c r="C3121" s="298" t="s">
        <v>13390</v>
      </c>
      <c r="D3121" s="298" t="s">
        <v>256</v>
      </c>
      <c r="E3121" s="298" t="s">
        <v>55</v>
      </c>
      <c r="F3121" s="298" t="s">
        <v>13391</v>
      </c>
      <c r="G3121" s="299" t="b">
        <v>0</v>
      </c>
      <c r="H3121" s="299" t="b">
        <v>0</v>
      </c>
      <c r="J3121" s="113" t="str">
        <f t="shared" si="97"/>
        <v xml:space="preserve">04114160 </v>
      </c>
      <c r="K3121" s="113" t="str">
        <f t="shared" si="98"/>
        <v>CG03206</v>
      </c>
    </row>
    <row r="3122" spans="1:11" x14ac:dyDescent="0.3">
      <c r="A3122" s="298" t="s">
        <v>13392</v>
      </c>
      <c r="B3122" s="298" t="s">
        <v>13393</v>
      </c>
      <c r="C3122" s="298" t="s">
        <v>4254</v>
      </c>
      <c r="D3122" s="298" t="s">
        <v>256</v>
      </c>
      <c r="E3122" s="298" t="s">
        <v>55</v>
      </c>
      <c r="F3122" s="298" t="s">
        <v>13394</v>
      </c>
      <c r="G3122" s="299" t="b">
        <v>0</v>
      </c>
      <c r="H3122" s="299" t="b">
        <v>0</v>
      </c>
      <c r="J3122" s="113" t="str">
        <f t="shared" si="97"/>
        <v xml:space="preserve">02763999 </v>
      </c>
      <c r="K3122" s="113" t="str">
        <f t="shared" si="98"/>
        <v>CG03207</v>
      </c>
    </row>
    <row r="3123" spans="1:11" x14ac:dyDescent="0.3">
      <c r="A3123" s="298" t="s">
        <v>13395</v>
      </c>
      <c r="B3123" s="298" t="s">
        <v>13396</v>
      </c>
      <c r="C3123" s="298" t="s">
        <v>13397</v>
      </c>
      <c r="D3123" s="298" t="s">
        <v>256</v>
      </c>
      <c r="E3123" s="298" t="s">
        <v>55</v>
      </c>
      <c r="F3123" s="298" t="s">
        <v>13398</v>
      </c>
      <c r="G3123" s="299" t="b">
        <v>0</v>
      </c>
      <c r="H3123" s="299" t="b">
        <v>0</v>
      </c>
      <c r="J3123" s="113" t="str">
        <f t="shared" si="97"/>
        <v>865830095</v>
      </c>
      <c r="K3123" s="113" t="str">
        <f t="shared" si="98"/>
        <v>CG03208</v>
      </c>
    </row>
    <row r="3124" spans="1:11" x14ac:dyDescent="0.3">
      <c r="A3124" s="298" t="s">
        <v>13399</v>
      </c>
      <c r="B3124" s="298" t="s">
        <v>13400</v>
      </c>
      <c r="C3124" s="298" t="s">
        <v>13401</v>
      </c>
      <c r="D3124" s="298" t="s">
        <v>256</v>
      </c>
      <c r="E3124" s="298" t="s">
        <v>55</v>
      </c>
      <c r="F3124" s="298" t="s">
        <v>13402</v>
      </c>
      <c r="G3124" s="299" t="b">
        <v>0</v>
      </c>
      <c r="H3124" s="299" t="b">
        <v>0</v>
      </c>
      <c r="J3124" s="113" t="str">
        <f t="shared" si="97"/>
        <v>964902878</v>
      </c>
      <c r="K3124" s="113" t="str">
        <f t="shared" si="98"/>
        <v>CG03209</v>
      </c>
    </row>
    <row r="3125" spans="1:11" x14ac:dyDescent="0.3">
      <c r="A3125" s="298" t="s">
        <v>13403</v>
      </c>
      <c r="B3125" s="298" t="s">
        <v>13404</v>
      </c>
      <c r="C3125" s="298" t="s">
        <v>1335</v>
      </c>
      <c r="D3125" s="298" t="s">
        <v>256</v>
      </c>
      <c r="E3125" s="298" t="s">
        <v>55</v>
      </c>
      <c r="F3125" s="298" t="s">
        <v>13405</v>
      </c>
      <c r="G3125" s="299" t="b">
        <v>0</v>
      </c>
      <c r="H3125" s="299" t="b">
        <v>0</v>
      </c>
      <c r="J3125" s="113" t="str">
        <f t="shared" si="97"/>
        <v>947703133</v>
      </c>
      <c r="K3125" s="113" t="str">
        <f t="shared" si="98"/>
        <v>CG03210</v>
      </c>
    </row>
    <row r="3126" spans="1:11" x14ac:dyDescent="0.3">
      <c r="A3126" s="298" t="s">
        <v>13406</v>
      </c>
      <c r="B3126" s="298" t="s">
        <v>13407</v>
      </c>
      <c r="C3126" s="298" t="s">
        <v>1335</v>
      </c>
      <c r="D3126" s="298" t="s">
        <v>256</v>
      </c>
      <c r="E3126" s="298" t="s">
        <v>55</v>
      </c>
      <c r="F3126" s="298" t="s">
        <v>13408</v>
      </c>
      <c r="G3126" s="299" t="b">
        <v>0</v>
      </c>
      <c r="H3126" s="299" t="b">
        <v>0</v>
      </c>
      <c r="J3126" s="113" t="str">
        <f t="shared" si="97"/>
        <v>968172444</v>
      </c>
      <c r="K3126" s="113" t="str">
        <f t="shared" si="98"/>
        <v>CG03211</v>
      </c>
    </row>
    <row r="3127" spans="1:11" x14ac:dyDescent="0.3">
      <c r="A3127" s="298" t="s">
        <v>13409</v>
      </c>
      <c r="B3127" s="298" t="s">
        <v>13410</v>
      </c>
      <c r="C3127" s="298" t="s">
        <v>13411</v>
      </c>
      <c r="D3127" s="298" t="s">
        <v>256</v>
      </c>
      <c r="E3127" s="298" t="s">
        <v>55</v>
      </c>
      <c r="F3127" s="298" t="s">
        <v>13412</v>
      </c>
      <c r="G3127" s="299" t="b">
        <v>0</v>
      </c>
      <c r="H3127" s="299" t="b">
        <v>0</v>
      </c>
      <c r="J3127" s="113" t="str">
        <f t="shared" si="97"/>
        <v xml:space="preserve">67185456 </v>
      </c>
      <c r="K3127" s="113" t="str">
        <f t="shared" si="98"/>
        <v>CG03212</v>
      </c>
    </row>
    <row r="3128" spans="1:11" x14ac:dyDescent="0.3">
      <c r="A3128" s="298" t="s">
        <v>13413</v>
      </c>
      <c r="B3128" s="298" t="s">
        <v>13414</v>
      </c>
      <c r="C3128" s="298" t="s">
        <v>541</v>
      </c>
      <c r="D3128" s="298" t="s">
        <v>256</v>
      </c>
      <c r="E3128" s="298" t="s">
        <v>55</v>
      </c>
      <c r="F3128" s="298" t="s">
        <v>13415</v>
      </c>
      <c r="G3128" s="299" t="b">
        <v>0</v>
      </c>
      <c r="H3128" s="299" t="b">
        <v>0</v>
      </c>
      <c r="J3128" s="113" t="str">
        <f t="shared" si="97"/>
        <v xml:space="preserve">66609179 </v>
      </c>
      <c r="K3128" s="113" t="str">
        <f t="shared" si="98"/>
        <v>CG03213</v>
      </c>
    </row>
    <row r="3129" spans="1:11" x14ac:dyDescent="0.3">
      <c r="A3129" s="298" t="s">
        <v>13416</v>
      </c>
      <c r="B3129" s="298" t="s">
        <v>13417</v>
      </c>
      <c r="C3129" s="298" t="s">
        <v>1257</v>
      </c>
      <c r="D3129" s="298" t="s">
        <v>256</v>
      </c>
      <c r="E3129" s="298" t="s">
        <v>55</v>
      </c>
      <c r="F3129" s="298" t="s">
        <v>13418</v>
      </c>
      <c r="G3129" s="299" t="b">
        <v>0</v>
      </c>
      <c r="H3129" s="299" t="b">
        <v>0</v>
      </c>
      <c r="J3129" s="113" t="str">
        <f t="shared" si="97"/>
        <v>914752261</v>
      </c>
      <c r="K3129" s="113" t="str">
        <f t="shared" si="98"/>
        <v>CG03214</v>
      </c>
    </row>
    <row r="3130" spans="1:11" x14ac:dyDescent="0.3">
      <c r="A3130" s="298" t="s">
        <v>13419</v>
      </c>
      <c r="B3130" s="298" t="s">
        <v>13420</v>
      </c>
      <c r="C3130" s="298" t="s">
        <v>845</v>
      </c>
      <c r="D3130" s="298" t="s">
        <v>256</v>
      </c>
      <c r="E3130" s="298" t="s">
        <v>55</v>
      </c>
      <c r="F3130" s="298" t="s">
        <v>13421</v>
      </c>
      <c r="G3130" s="299" t="b">
        <v>0</v>
      </c>
      <c r="H3130" s="299" t="b">
        <v>0</v>
      </c>
      <c r="J3130" s="113" t="str">
        <f t="shared" si="97"/>
        <v>932296868</v>
      </c>
      <c r="K3130" s="113" t="str">
        <f t="shared" si="98"/>
        <v>CG03215</v>
      </c>
    </row>
    <row r="3131" spans="1:11" x14ac:dyDescent="0.3">
      <c r="A3131" s="298" t="s">
        <v>13422</v>
      </c>
      <c r="B3131" s="298" t="s">
        <v>13423</v>
      </c>
      <c r="C3131" s="298" t="s">
        <v>286</v>
      </c>
      <c r="D3131" s="298" t="s">
        <v>256</v>
      </c>
      <c r="E3131" s="298" t="s">
        <v>55</v>
      </c>
      <c r="F3131" s="298" t="s">
        <v>13424</v>
      </c>
      <c r="G3131" s="299" t="b">
        <v>0</v>
      </c>
      <c r="H3131" s="299" t="b">
        <v>0</v>
      </c>
      <c r="J3131" s="113" t="str">
        <f t="shared" si="97"/>
        <v>902084484</v>
      </c>
      <c r="K3131" s="113" t="str">
        <f t="shared" si="98"/>
        <v>CG03216</v>
      </c>
    </row>
    <row r="3132" spans="1:11" x14ac:dyDescent="0.3">
      <c r="A3132" s="298" t="s">
        <v>13425</v>
      </c>
      <c r="B3132" s="298" t="s">
        <v>14690</v>
      </c>
      <c r="C3132" s="298" t="s">
        <v>230</v>
      </c>
      <c r="D3132" s="298" t="s">
        <v>256</v>
      </c>
      <c r="E3132" s="298" t="s">
        <v>55</v>
      </c>
      <c r="F3132" s="298" t="s">
        <v>13426</v>
      </c>
      <c r="G3132" s="299" t="b">
        <v>0</v>
      </c>
      <c r="H3132" s="299" t="b">
        <v>0</v>
      </c>
      <c r="J3132" s="113" t="str">
        <f t="shared" si="97"/>
        <v>971016175</v>
      </c>
      <c r="K3132" s="113" t="str">
        <f t="shared" si="98"/>
        <v>CG03217</v>
      </c>
    </row>
    <row r="3133" spans="1:11" x14ac:dyDescent="0.3">
      <c r="A3133" s="298" t="s">
        <v>13427</v>
      </c>
      <c r="B3133" s="298" t="s">
        <v>13428</v>
      </c>
      <c r="C3133" s="298" t="s">
        <v>2051</v>
      </c>
      <c r="D3133" s="298" t="s">
        <v>256</v>
      </c>
      <c r="E3133" s="298" t="s">
        <v>55</v>
      </c>
      <c r="F3133" s="298" t="s">
        <v>13429</v>
      </c>
      <c r="G3133" s="299" t="b">
        <v>0</v>
      </c>
      <c r="H3133" s="299" t="b">
        <v>0</v>
      </c>
      <c r="J3133" s="113" t="str">
        <f t="shared" si="97"/>
        <v>979549588</v>
      </c>
      <c r="K3133" s="113" t="str">
        <f t="shared" si="98"/>
        <v>CG03218</v>
      </c>
    </row>
    <row r="3134" spans="1:11" x14ac:dyDescent="0.3">
      <c r="A3134" s="298" t="s">
        <v>13430</v>
      </c>
      <c r="B3134" s="298" t="s">
        <v>13431</v>
      </c>
      <c r="C3134" s="298" t="s">
        <v>938</v>
      </c>
      <c r="D3134" s="298" t="s">
        <v>256</v>
      </c>
      <c r="E3134" s="298" t="s">
        <v>55</v>
      </c>
      <c r="F3134" s="298" t="s">
        <v>13432</v>
      </c>
      <c r="G3134" s="299" t="b">
        <v>0</v>
      </c>
      <c r="H3134" s="299" t="b">
        <v>0</v>
      </c>
      <c r="J3134" s="113" t="str">
        <f t="shared" si="97"/>
        <v>912265388</v>
      </c>
      <c r="K3134" s="113" t="str">
        <f t="shared" si="98"/>
        <v>CG03219</v>
      </c>
    </row>
    <row r="3135" spans="1:11" x14ac:dyDescent="0.3">
      <c r="A3135" s="298" t="s">
        <v>13433</v>
      </c>
      <c r="B3135" s="298" t="s">
        <v>13434</v>
      </c>
      <c r="C3135" s="298" t="s">
        <v>13435</v>
      </c>
      <c r="D3135" s="298" t="s">
        <v>256</v>
      </c>
      <c r="E3135" s="298" t="s">
        <v>55</v>
      </c>
      <c r="F3135" s="298" t="s">
        <v>13436</v>
      </c>
      <c r="G3135" s="299" t="b">
        <v>0</v>
      </c>
      <c r="H3135" s="299" t="b">
        <v>0</v>
      </c>
      <c r="J3135" s="113" t="str">
        <f t="shared" si="97"/>
        <v>355006011</v>
      </c>
      <c r="K3135" s="113" t="str">
        <f t="shared" si="98"/>
        <v>CG03220</v>
      </c>
    </row>
    <row r="3136" spans="1:11" x14ac:dyDescent="0.3">
      <c r="A3136" s="298" t="s">
        <v>13437</v>
      </c>
      <c r="B3136" s="298" t="s">
        <v>13438</v>
      </c>
      <c r="C3136" s="298" t="s">
        <v>13439</v>
      </c>
      <c r="D3136" s="298" t="s">
        <v>256</v>
      </c>
      <c r="E3136" s="298" t="s">
        <v>55</v>
      </c>
      <c r="F3136" s="298" t="s">
        <v>13440</v>
      </c>
      <c r="G3136" s="299" t="b">
        <v>0</v>
      </c>
      <c r="H3136" s="299" t="b">
        <v>0</v>
      </c>
      <c r="J3136" s="113" t="str">
        <f t="shared" si="97"/>
        <v>336532527</v>
      </c>
      <c r="K3136" s="113" t="str">
        <f t="shared" si="98"/>
        <v>CG03221</v>
      </c>
    </row>
    <row r="3137" spans="1:11" x14ac:dyDescent="0.3">
      <c r="A3137" s="298" t="s">
        <v>13441</v>
      </c>
      <c r="B3137" s="298" t="s">
        <v>13442</v>
      </c>
      <c r="C3137" s="298" t="s">
        <v>7014</v>
      </c>
      <c r="D3137" s="298" t="s">
        <v>256</v>
      </c>
      <c r="E3137" s="298" t="s">
        <v>55</v>
      </c>
      <c r="F3137" s="298" t="s">
        <v>13443</v>
      </c>
      <c r="G3137" s="299" t="b">
        <v>0</v>
      </c>
      <c r="H3137" s="299" t="b">
        <v>0</v>
      </c>
      <c r="J3137" s="113" t="str">
        <f t="shared" si="97"/>
        <v>912116476</v>
      </c>
      <c r="K3137" s="113" t="str">
        <f t="shared" si="98"/>
        <v>CG03222</v>
      </c>
    </row>
    <row r="3138" spans="1:11" x14ac:dyDescent="0.3">
      <c r="A3138" s="298" t="s">
        <v>13444</v>
      </c>
      <c r="B3138" s="298" t="s">
        <v>13445</v>
      </c>
      <c r="C3138" s="298" t="s">
        <v>416</v>
      </c>
      <c r="D3138" s="298" t="s">
        <v>256</v>
      </c>
      <c r="E3138" s="298" t="s">
        <v>55</v>
      </c>
      <c r="F3138" s="298" t="s">
        <v>13446</v>
      </c>
      <c r="G3138" s="299" t="b">
        <v>0</v>
      </c>
      <c r="H3138" s="299" t="b">
        <v>0</v>
      </c>
      <c r="J3138" s="113" t="str">
        <f t="shared" si="97"/>
        <v>912106306</v>
      </c>
      <c r="K3138" s="113" t="str">
        <f t="shared" si="98"/>
        <v>CG03223</v>
      </c>
    </row>
    <row r="3139" spans="1:11" x14ac:dyDescent="0.3">
      <c r="A3139" s="298" t="s">
        <v>13447</v>
      </c>
      <c r="B3139" s="298" t="s">
        <v>13448</v>
      </c>
      <c r="C3139" s="298" t="s">
        <v>13449</v>
      </c>
      <c r="D3139" s="298" t="s">
        <v>256</v>
      </c>
      <c r="E3139" s="298" t="s">
        <v>55</v>
      </c>
      <c r="F3139" s="298" t="s">
        <v>13450</v>
      </c>
      <c r="G3139" s="299" t="b">
        <v>0</v>
      </c>
      <c r="H3139" s="299" t="b">
        <v>0</v>
      </c>
      <c r="J3139" s="113" t="str">
        <f t="shared" si="97"/>
        <v>982805489</v>
      </c>
      <c r="K3139" s="113" t="str">
        <f t="shared" si="98"/>
        <v>CG03224</v>
      </c>
    </row>
    <row r="3140" spans="1:11" x14ac:dyDescent="0.3">
      <c r="A3140" s="298" t="s">
        <v>13451</v>
      </c>
      <c r="B3140" s="298" t="s">
        <v>13452</v>
      </c>
      <c r="C3140" s="298" t="s">
        <v>1237</v>
      </c>
      <c r="D3140" s="298" t="s">
        <v>256</v>
      </c>
      <c r="E3140" s="298" t="s">
        <v>55</v>
      </c>
      <c r="F3140" s="298" t="s">
        <v>13453</v>
      </c>
      <c r="G3140" s="299" t="b">
        <v>0</v>
      </c>
      <c r="H3140" s="299" t="b">
        <v>0</v>
      </c>
      <c r="J3140" s="113" t="str">
        <f t="shared" si="97"/>
        <v>912184289</v>
      </c>
      <c r="K3140" s="113" t="str">
        <f t="shared" si="98"/>
        <v>CG03225</v>
      </c>
    </row>
    <row r="3141" spans="1:11" x14ac:dyDescent="0.3">
      <c r="A3141" s="298" t="s">
        <v>13281</v>
      </c>
      <c r="B3141" s="298" t="s">
        <v>13282</v>
      </c>
      <c r="C3141" s="298" t="s">
        <v>13283</v>
      </c>
      <c r="D3141" s="298" t="s">
        <v>256</v>
      </c>
      <c r="E3141" s="298" t="s">
        <v>13284</v>
      </c>
      <c r="F3141" s="298" t="s">
        <v>13454</v>
      </c>
      <c r="G3141" s="299" t="b">
        <v>0</v>
      </c>
      <c r="H3141" s="299" t="b">
        <v>0</v>
      </c>
      <c r="J3141" s="113" t="str">
        <f t="shared" ref="J3141:J3204" si="99">RIGHT(B3141,9)</f>
        <v>gọc Thắng</v>
      </c>
      <c r="K3141" s="113" t="str">
        <f t="shared" ref="K3141:K3204" si="100">A3141</f>
        <v>CG03226</v>
      </c>
    </row>
    <row r="3142" spans="1:11" x14ac:dyDescent="0.3">
      <c r="A3142" s="298" t="s">
        <v>13455</v>
      </c>
      <c r="B3142" s="298" t="s">
        <v>13456</v>
      </c>
      <c r="C3142" s="298" t="s">
        <v>718</v>
      </c>
      <c r="D3142" s="298" t="s">
        <v>256</v>
      </c>
      <c r="E3142" s="298" t="s">
        <v>55</v>
      </c>
      <c r="F3142" s="298" t="s">
        <v>13457</v>
      </c>
      <c r="G3142" s="299" t="b">
        <v>0</v>
      </c>
      <c r="H3142" s="299" t="b">
        <v>0</v>
      </c>
      <c r="J3142" s="113" t="str">
        <f t="shared" si="99"/>
        <v>904613009</v>
      </c>
      <c r="K3142" s="113" t="str">
        <f t="shared" si="100"/>
        <v>CG03227</v>
      </c>
    </row>
    <row r="3143" spans="1:11" x14ac:dyDescent="0.3">
      <c r="A3143" s="298" t="s">
        <v>13458</v>
      </c>
      <c r="B3143" s="298" t="s">
        <v>13459</v>
      </c>
      <c r="C3143" s="298" t="s">
        <v>13460</v>
      </c>
      <c r="D3143" s="298" t="s">
        <v>256</v>
      </c>
      <c r="E3143" s="298" t="s">
        <v>55</v>
      </c>
      <c r="F3143" s="298" t="s">
        <v>13461</v>
      </c>
      <c r="G3143" s="299" t="b">
        <v>0</v>
      </c>
      <c r="H3143" s="299" t="b">
        <v>0</v>
      </c>
      <c r="J3143" s="113" t="str">
        <f t="shared" si="99"/>
        <v>915936112</v>
      </c>
      <c r="K3143" s="113" t="str">
        <f t="shared" si="100"/>
        <v>CG03228</v>
      </c>
    </row>
    <row r="3144" spans="1:11" x14ac:dyDescent="0.3">
      <c r="A3144" s="298" t="s">
        <v>13462</v>
      </c>
      <c r="B3144" s="298" t="s">
        <v>13463</v>
      </c>
      <c r="C3144" s="298" t="s">
        <v>13464</v>
      </c>
      <c r="D3144" s="298" t="s">
        <v>256</v>
      </c>
      <c r="E3144" s="298" t="s">
        <v>55</v>
      </c>
      <c r="F3144" s="298" t="s">
        <v>13465</v>
      </c>
      <c r="G3144" s="299" t="b">
        <v>0</v>
      </c>
      <c r="H3144" s="299" t="b">
        <v>0</v>
      </c>
      <c r="J3144" s="113" t="str">
        <f t="shared" si="99"/>
        <v>971775559</v>
      </c>
      <c r="K3144" s="113" t="str">
        <f t="shared" si="100"/>
        <v>CG03229</v>
      </c>
    </row>
    <row r="3145" spans="1:11" x14ac:dyDescent="0.3">
      <c r="A3145" s="298" t="s">
        <v>13466</v>
      </c>
      <c r="B3145" s="298" t="s">
        <v>13467</v>
      </c>
      <c r="C3145" s="298" t="s">
        <v>2877</v>
      </c>
      <c r="D3145" s="298" t="s">
        <v>256</v>
      </c>
      <c r="E3145" s="298" t="s">
        <v>55</v>
      </c>
      <c r="F3145" s="298" t="s">
        <v>13468</v>
      </c>
      <c r="G3145" s="299" t="b">
        <v>0</v>
      </c>
      <c r="H3145" s="299" t="b">
        <v>0</v>
      </c>
      <c r="J3145" s="113" t="str">
        <f t="shared" si="99"/>
        <v>981339555</v>
      </c>
      <c r="K3145" s="113" t="str">
        <f t="shared" si="100"/>
        <v>CG03230</v>
      </c>
    </row>
    <row r="3146" spans="1:11" x14ac:dyDescent="0.3">
      <c r="A3146" s="298" t="s">
        <v>13469</v>
      </c>
      <c r="B3146" s="298" t="s">
        <v>13470</v>
      </c>
      <c r="C3146" s="298" t="s">
        <v>1444</v>
      </c>
      <c r="D3146" s="298" t="s">
        <v>256</v>
      </c>
      <c r="E3146" s="298" t="s">
        <v>55</v>
      </c>
      <c r="F3146" s="298" t="s">
        <v>13471</v>
      </c>
      <c r="G3146" s="299" t="b">
        <v>0</v>
      </c>
      <c r="H3146" s="299" t="b">
        <v>0</v>
      </c>
      <c r="J3146" s="113" t="str">
        <f t="shared" si="99"/>
        <v>913581952</v>
      </c>
      <c r="K3146" s="113" t="str">
        <f t="shared" si="100"/>
        <v>CG03231</v>
      </c>
    </row>
    <row r="3147" spans="1:11" x14ac:dyDescent="0.3">
      <c r="A3147" s="298" t="s">
        <v>13472</v>
      </c>
      <c r="B3147" s="298" t="s">
        <v>13473</v>
      </c>
      <c r="C3147" s="298" t="s">
        <v>340</v>
      </c>
      <c r="D3147" s="298" t="s">
        <v>256</v>
      </c>
      <c r="E3147" s="298" t="s">
        <v>55</v>
      </c>
      <c r="F3147" s="298" t="s">
        <v>13474</v>
      </c>
      <c r="G3147" s="299" t="b">
        <v>0</v>
      </c>
      <c r="H3147" s="299" t="b">
        <v>0</v>
      </c>
      <c r="J3147" s="113" t="str">
        <f t="shared" si="99"/>
        <v>368381903</v>
      </c>
      <c r="K3147" s="113" t="str">
        <f t="shared" si="100"/>
        <v>CG03232</v>
      </c>
    </row>
    <row r="3148" spans="1:11" x14ac:dyDescent="0.3">
      <c r="A3148" s="298" t="s">
        <v>14691</v>
      </c>
      <c r="B3148" s="298" t="s">
        <v>14692</v>
      </c>
      <c r="C3148" s="298" t="s">
        <v>14693</v>
      </c>
      <c r="D3148" s="298" t="s">
        <v>256</v>
      </c>
      <c r="E3148" s="298" t="s">
        <v>14694</v>
      </c>
      <c r="F3148" s="298" t="s">
        <v>14695</v>
      </c>
      <c r="G3148" s="299" t="b">
        <v>0</v>
      </c>
      <c r="H3148" s="299" t="b">
        <v>0</v>
      </c>
      <c r="J3148" s="113" t="str">
        <f t="shared" si="99"/>
        <v>913284564</v>
      </c>
      <c r="K3148" s="113" t="str">
        <f t="shared" si="100"/>
        <v>CG03233</v>
      </c>
    </row>
    <row r="3149" spans="1:11" x14ac:dyDescent="0.3">
      <c r="A3149" s="298" t="s">
        <v>14696</v>
      </c>
      <c r="B3149" s="298" t="s">
        <v>14697</v>
      </c>
      <c r="C3149" s="298" t="s">
        <v>355</v>
      </c>
      <c r="D3149" s="298" t="s">
        <v>256</v>
      </c>
      <c r="E3149" s="298" t="s">
        <v>55</v>
      </c>
      <c r="F3149" s="298" t="s">
        <v>14698</v>
      </c>
      <c r="G3149" s="299" t="b">
        <v>0</v>
      </c>
      <c r="H3149" s="299" t="b">
        <v>0</v>
      </c>
      <c r="J3149" s="113" t="str">
        <f t="shared" si="99"/>
        <v>982668657</v>
      </c>
      <c r="K3149" s="113" t="str">
        <f t="shared" si="100"/>
        <v>CG03234</v>
      </c>
    </row>
    <row r="3150" spans="1:11" x14ac:dyDescent="0.3">
      <c r="A3150" s="298" t="s">
        <v>14699</v>
      </c>
      <c r="B3150" s="298" t="s">
        <v>14700</v>
      </c>
      <c r="C3150" s="298" t="s">
        <v>3253</v>
      </c>
      <c r="D3150" s="298" t="s">
        <v>256</v>
      </c>
      <c r="E3150" s="298" t="s">
        <v>55</v>
      </c>
      <c r="F3150" s="298" t="s">
        <v>14701</v>
      </c>
      <c r="G3150" s="299" t="b">
        <v>0</v>
      </c>
      <c r="H3150" s="299" t="b">
        <v>0</v>
      </c>
      <c r="J3150" s="113" t="str">
        <f t="shared" si="99"/>
        <v>965115568</v>
      </c>
      <c r="K3150" s="113" t="str">
        <f t="shared" si="100"/>
        <v>CG03235</v>
      </c>
    </row>
    <row r="3151" spans="1:11" x14ac:dyDescent="0.3">
      <c r="A3151" s="298" t="s">
        <v>14702</v>
      </c>
      <c r="B3151" s="298" t="s">
        <v>14703</v>
      </c>
      <c r="C3151" s="298" t="s">
        <v>231</v>
      </c>
      <c r="D3151" s="298" t="s">
        <v>256</v>
      </c>
      <c r="E3151" s="298" t="s">
        <v>55</v>
      </c>
      <c r="F3151" s="298" t="s">
        <v>14704</v>
      </c>
      <c r="G3151" s="299" t="b">
        <v>0</v>
      </c>
      <c r="H3151" s="299" t="b">
        <v>0</v>
      </c>
      <c r="J3151" s="113" t="str">
        <f t="shared" si="99"/>
        <v>984282118</v>
      </c>
      <c r="K3151" s="113" t="str">
        <f t="shared" si="100"/>
        <v>CG03236</v>
      </c>
    </row>
    <row r="3152" spans="1:11" x14ac:dyDescent="0.3">
      <c r="A3152" s="298" t="s">
        <v>14705</v>
      </c>
      <c r="B3152" s="298" t="s">
        <v>14706</v>
      </c>
      <c r="C3152" s="298" t="s">
        <v>332</v>
      </c>
      <c r="D3152" s="298" t="s">
        <v>256</v>
      </c>
      <c r="E3152" s="298" t="s">
        <v>55</v>
      </c>
      <c r="F3152" s="298" t="s">
        <v>14707</v>
      </c>
      <c r="G3152" s="299" t="b">
        <v>0</v>
      </c>
      <c r="H3152" s="299" t="b">
        <v>0</v>
      </c>
      <c r="J3152" s="113" t="str">
        <f t="shared" si="99"/>
        <v>904051952</v>
      </c>
      <c r="K3152" s="113" t="str">
        <f t="shared" si="100"/>
        <v>CG03237</v>
      </c>
    </row>
    <row r="3153" spans="1:11" x14ac:dyDescent="0.3">
      <c r="A3153" s="298" t="s">
        <v>14708</v>
      </c>
      <c r="B3153" s="298" t="s">
        <v>14709</v>
      </c>
      <c r="C3153" s="298" t="s">
        <v>14710</v>
      </c>
      <c r="D3153" s="298" t="s">
        <v>256</v>
      </c>
      <c r="E3153" s="298" t="s">
        <v>55</v>
      </c>
      <c r="F3153" s="298" t="s">
        <v>14711</v>
      </c>
      <c r="G3153" s="299" t="b">
        <v>0</v>
      </c>
      <c r="H3153" s="299" t="b">
        <v>0</v>
      </c>
      <c r="J3153" s="113" t="str">
        <f t="shared" si="99"/>
        <v>868579799</v>
      </c>
      <c r="K3153" s="113" t="str">
        <f t="shared" si="100"/>
        <v>CG03238</v>
      </c>
    </row>
    <row r="3154" spans="1:11" x14ac:dyDescent="0.3">
      <c r="A3154" s="298" t="s">
        <v>14712</v>
      </c>
      <c r="B3154" s="298" t="s">
        <v>14713</v>
      </c>
      <c r="C3154" s="298" t="s">
        <v>416</v>
      </c>
      <c r="D3154" s="298" t="s">
        <v>256</v>
      </c>
      <c r="E3154" s="298" t="s">
        <v>55</v>
      </c>
      <c r="F3154" s="298" t="s">
        <v>14714</v>
      </c>
      <c r="G3154" s="299" t="b">
        <v>0</v>
      </c>
      <c r="H3154" s="299" t="b">
        <v>0</v>
      </c>
      <c r="J3154" s="113" t="str">
        <f t="shared" si="99"/>
        <v>969618689</v>
      </c>
      <c r="K3154" s="113" t="str">
        <f t="shared" si="100"/>
        <v>CG03239</v>
      </c>
    </row>
    <row r="3155" spans="1:11" x14ac:dyDescent="0.3">
      <c r="A3155" s="298" t="s">
        <v>14715</v>
      </c>
      <c r="B3155" s="298" t="s">
        <v>14716</v>
      </c>
      <c r="C3155" s="298" t="s">
        <v>8294</v>
      </c>
      <c r="D3155" s="298" t="s">
        <v>256</v>
      </c>
      <c r="E3155" s="298" t="s">
        <v>55</v>
      </c>
      <c r="F3155" s="298" t="s">
        <v>14717</v>
      </c>
      <c r="G3155" s="299" t="b">
        <v>0</v>
      </c>
      <c r="H3155" s="299" t="b">
        <v>0</v>
      </c>
      <c r="J3155" s="113" t="str">
        <f t="shared" si="99"/>
        <v>984614456</v>
      </c>
      <c r="K3155" s="113" t="str">
        <f t="shared" si="100"/>
        <v>CG03240</v>
      </c>
    </row>
    <row r="3156" spans="1:11" x14ac:dyDescent="0.3">
      <c r="A3156" s="298" t="s">
        <v>14718</v>
      </c>
      <c r="B3156" s="298" t="s">
        <v>14719</v>
      </c>
      <c r="C3156" s="298" t="s">
        <v>1508</v>
      </c>
      <c r="D3156" s="298" t="s">
        <v>256</v>
      </c>
      <c r="E3156" s="298" t="s">
        <v>55</v>
      </c>
      <c r="F3156" s="298" t="s">
        <v>13771</v>
      </c>
      <c r="G3156" s="299" t="b">
        <v>0</v>
      </c>
      <c r="H3156" s="299" t="b">
        <v>0</v>
      </c>
      <c r="J3156" s="113" t="str">
        <f t="shared" si="99"/>
        <v>984545999</v>
      </c>
      <c r="K3156" s="113" t="str">
        <f t="shared" si="100"/>
        <v>CG03241</v>
      </c>
    </row>
    <row r="3157" spans="1:11" x14ac:dyDescent="0.3">
      <c r="A3157" s="298" t="s">
        <v>14720</v>
      </c>
      <c r="B3157" s="298" t="s">
        <v>14721</v>
      </c>
      <c r="C3157" s="298" t="s">
        <v>14722</v>
      </c>
      <c r="D3157" s="298" t="s">
        <v>256</v>
      </c>
      <c r="E3157" s="298" t="s">
        <v>55</v>
      </c>
      <c r="F3157" s="298" t="s">
        <v>14723</v>
      </c>
      <c r="G3157" s="299" t="b">
        <v>0</v>
      </c>
      <c r="H3157" s="299" t="b">
        <v>0</v>
      </c>
      <c r="J3157" s="113" t="str">
        <f t="shared" si="99"/>
        <v>981270206</v>
      </c>
      <c r="K3157" s="113" t="str">
        <f t="shared" si="100"/>
        <v>CG03242</v>
      </c>
    </row>
    <row r="3158" spans="1:11" x14ac:dyDescent="0.3">
      <c r="A3158" s="298" t="s">
        <v>14724</v>
      </c>
      <c r="B3158" s="298" t="s">
        <v>14725</v>
      </c>
      <c r="C3158" s="298" t="s">
        <v>3253</v>
      </c>
      <c r="D3158" s="298" t="s">
        <v>256</v>
      </c>
      <c r="E3158" s="298" t="s">
        <v>55</v>
      </c>
      <c r="F3158" s="298" t="s">
        <v>14726</v>
      </c>
      <c r="G3158" s="299" t="b">
        <v>0</v>
      </c>
      <c r="H3158" s="299" t="b">
        <v>0</v>
      </c>
      <c r="J3158" s="113" t="str">
        <f t="shared" si="99"/>
        <v>975342343</v>
      </c>
      <c r="K3158" s="113" t="str">
        <f t="shared" si="100"/>
        <v>CG03243</v>
      </c>
    </row>
    <row r="3159" spans="1:11" x14ac:dyDescent="0.3">
      <c r="A3159" s="298" t="s">
        <v>14727</v>
      </c>
      <c r="B3159" s="298" t="s">
        <v>14728</v>
      </c>
      <c r="C3159" s="298" t="s">
        <v>286</v>
      </c>
      <c r="D3159" s="298" t="s">
        <v>256</v>
      </c>
      <c r="E3159" s="298" t="s">
        <v>55</v>
      </c>
      <c r="F3159" s="298" t="s">
        <v>14729</v>
      </c>
      <c r="G3159" s="299" t="b">
        <v>0</v>
      </c>
      <c r="H3159" s="299" t="b">
        <v>0</v>
      </c>
      <c r="J3159" s="113" t="str">
        <f t="shared" si="99"/>
        <v>912190191</v>
      </c>
      <c r="K3159" s="113" t="str">
        <f t="shared" si="100"/>
        <v>CG03244</v>
      </c>
    </row>
    <row r="3160" spans="1:11" x14ac:dyDescent="0.3">
      <c r="A3160" s="298" t="s">
        <v>14730</v>
      </c>
      <c r="B3160" s="298" t="s">
        <v>14731</v>
      </c>
      <c r="C3160" s="298" t="s">
        <v>3253</v>
      </c>
      <c r="D3160" s="298" t="s">
        <v>256</v>
      </c>
      <c r="E3160" s="298" t="s">
        <v>55</v>
      </c>
      <c r="F3160" s="298" t="s">
        <v>14732</v>
      </c>
      <c r="G3160" s="299" t="b">
        <v>0</v>
      </c>
      <c r="H3160" s="299" t="b">
        <v>0</v>
      </c>
      <c r="J3160" s="113" t="str">
        <f t="shared" si="99"/>
        <v>983671811</v>
      </c>
      <c r="K3160" s="113" t="str">
        <f t="shared" si="100"/>
        <v>CG03245</v>
      </c>
    </row>
    <row r="3161" spans="1:11" x14ac:dyDescent="0.3">
      <c r="A3161" s="298" t="s">
        <v>14733</v>
      </c>
      <c r="B3161" s="298" t="s">
        <v>14734</v>
      </c>
      <c r="C3161" s="298" t="s">
        <v>7014</v>
      </c>
      <c r="D3161" s="298" t="s">
        <v>256</v>
      </c>
      <c r="E3161" s="298" t="s">
        <v>55</v>
      </c>
      <c r="F3161" s="298" t="s">
        <v>14735</v>
      </c>
      <c r="G3161" s="299" t="b">
        <v>0</v>
      </c>
      <c r="H3161" s="299" t="b">
        <v>0</v>
      </c>
      <c r="J3161" s="113" t="str">
        <f t="shared" si="99"/>
        <v>934313131</v>
      </c>
      <c r="K3161" s="113" t="str">
        <f t="shared" si="100"/>
        <v>CG03246</v>
      </c>
    </row>
    <row r="3162" spans="1:11" x14ac:dyDescent="0.3">
      <c r="A3162" s="298" t="s">
        <v>14736</v>
      </c>
      <c r="B3162" s="298" t="s">
        <v>14737</v>
      </c>
      <c r="C3162" s="298" t="s">
        <v>13449</v>
      </c>
      <c r="D3162" s="298" t="s">
        <v>256</v>
      </c>
      <c r="E3162" s="298" t="s">
        <v>55</v>
      </c>
      <c r="F3162" s="298" t="s">
        <v>14738</v>
      </c>
      <c r="G3162" s="299" t="b">
        <v>0</v>
      </c>
      <c r="H3162" s="299" t="b">
        <v>0</v>
      </c>
      <c r="J3162" s="113" t="str">
        <f t="shared" si="99"/>
        <v>368672079</v>
      </c>
      <c r="K3162" s="113" t="str">
        <f t="shared" si="100"/>
        <v>CG03247</v>
      </c>
    </row>
    <row r="3163" spans="1:11" x14ac:dyDescent="0.3">
      <c r="A3163" s="298" t="s">
        <v>14739</v>
      </c>
      <c r="B3163" s="298" t="s">
        <v>14740</v>
      </c>
      <c r="C3163" s="298" t="s">
        <v>4162</v>
      </c>
      <c r="D3163" s="298" t="s">
        <v>256</v>
      </c>
      <c r="E3163" s="298" t="s">
        <v>55</v>
      </c>
      <c r="F3163" s="298" t="s">
        <v>14741</v>
      </c>
      <c r="G3163" s="299" t="b">
        <v>0</v>
      </c>
      <c r="H3163" s="299" t="b">
        <v>0</v>
      </c>
      <c r="J3163" s="113" t="str">
        <f t="shared" si="99"/>
        <v>362245422</v>
      </c>
      <c r="K3163" s="113" t="str">
        <f t="shared" si="100"/>
        <v>CG03248</v>
      </c>
    </row>
    <row r="3164" spans="1:11" x14ac:dyDescent="0.3">
      <c r="A3164" s="298" t="s">
        <v>14742</v>
      </c>
      <c r="B3164" s="298" t="s">
        <v>14743</v>
      </c>
      <c r="C3164" s="298" t="s">
        <v>8483</v>
      </c>
      <c r="D3164" s="298" t="s">
        <v>256</v>
      </c>
      <c r="E3164" s="298" t="s">
        <v>55</v>
      </c>
      <c r="F3164" s="298" t="s">
        <v>14744</v>
      </c>
      <c r="G3164" s="299" t="b">
        <v>0</v>
      </c>
      <c r="H3164" s="299" t="b">
        <v>0</v>
      </c>
      <c r="J3164" s="113" t="str">
        <f t="shared" si="99"/>
        <v>362976889</v>
      </c>
      <c r="K3164" s="113" t="str">
        <f t="shared" si="100"/>
        <v>CG03249</v>
      </c>
    </row>
    <row r="3165" spans="1:11" x14ac:dyDescent="0.3">
      <c r="A3165" s="298" t="s">
        <v>14745</v>
      </c>
      <c r="B3165" s="298" t="s">
        <v>14746</v>
      </c>
      <c r="C3165" s="298" t="s">
        <v>7769</v>
      </c>
      <c r="D3165" s="298" t="s">
        <v>256</v>
      </c>
      <c r="E3165" s="298" t="s">
        <v>55</v>
      </c>
      <c r="F3165" s="298" t="s">
        <v>14747</v>
      </c>
      <c r="G3165" s="299" t="b">
        <v>0</v>
      </c>
      <c r="H3165" s="299" t="b">
        <v>0</v>
      </c>
      <c r="J3165" s="113" t="str">
        <f t="shared" si="99"/>
        <v>945031752</v>
      </c>
      <c r="K3165" s="113" t="str">
        <f t="shared" si="100"/>
        <v>CG03250</v>
      </c>
    </row>
    <row r="3166" spans="1:11" x14ac:dyDescent="0.3">
      <c r="A3166" s="298" t="s">
        <v>14748</v>
      </c>
      <c r="B3166" s="298" t="s">
        <v>14749</v>
      </c>
      <c r="C3166" s="298" t="s">
        <v>4297</v>
      </c>
      <c r="D3166" s="298" t="s">
        <v>256</v>
      </c>
      <c r="E3166" s="298" t="s">
        <v>55</v>
      </c>
      <c r="F3166" s="298" t="s">
        <v>14750</v>
      </c>
      <c r="G3166" s="299" t="b">
        <v>0</v>
      </c>
      <c r="H3166" s="299" t="b">
        <v>0</v>
      </c>
      <c r="J3166" s="113" t="str">
        <f t="shared" si="99"/>
        <v>334166607</v>
      </c>
      <c r="K3166" s="113" t="str">
        <f t="shared" si="100"/>
        <v>CG03251</v>
      </c>
    </row>
    <row r="3167" spans="1:11" x14ac:dyDescent="0.3">
      <c r="A3167" s="298" t="s">
        <v>14751</v>
      </c>
      <c r="B3167" s="298" t="s">
        <v>14752</v>
      </c>
      <c r="C3167" s="298" t="s">
        <v>14753</v>
      </c>
      <c r="D3167" s="298" t="s">
        <v>256</v>
      </c>
      <c r="E3167" s="298" t="s">
        <v>55</v>
      </c>
      <c r="F3167" s="298" t="s">
        <v>14754</v>
      </c>
      <c r="G3167" s="299" t="b">
        <v>0</v>
      </c>
      <c r="H3167" s="299" t="b">
        <v>0</v>
      </c>
      <c r="J3167" s="113" t="str">
        <f t="shared" si="99"/>
        <v>914206224</v>
      </c>
      <c r="K3167" s="113" t="str">
        <f t="shared" si="100"/>
        <v>CG03252</v>
      </c>
    </row>
    <row r="3168" spans="1:11" x14ac:dyDescent="0.3">
      <c r="A3168" s="298" t="s">
        <v>14755</v>
      </c>
      <c r="B3168" s="298" t="s">
        <v>14756</v>
      </c>
      <c r="C3168" s="298" t="s">
        <v>495</v>
      </c>
      <c r="D3168" s="298" t="s">
        <v>256</v>
      </c>
      <c r="E3168" s="298" t="s">
        <v>55</v>
      </c>
      <c r="F3168" s="298" t="s">
        <v>14757</v>
      </c>
      <c r="G3168" s="299" t="b">
        <v>0</v>
      </c>
      <c r="H3168" s="299" t="b">
        <v>0</v>
      </c>
      <c r="J3168" s="113" t="str">
        <f t="shared" si="99"/>
        <v>965284988</v>
      </c>
      <c r="K3168" s="113" t="str">
        <f t="shared" si="100"/>
        <v>CG03253</v>
      </c>
    </row>
    <row r="3169" spans="1:11" x14ac:dyDescent="0.3">
      <c r="A3169" s="298" t="s">
        <v>14758</v>
      </c>
      <c r="B3169" s="298" t="s">
        <v>14759</v>
      </c>
      <c r="C3169" s="298" t="s">
        <v>14760</v>
      </c>
      <c r="D3169" s="298" t="s">
        <v>256</v>
      </c>
      <c r="E3169" s="298" t="s">
        <v>55</v>
      </c>
      <c r="F3169" s="298" t="s">
        <v>14761</v>
      </c>
      <c r="G3169" s="299" t="b">
        <v>0</v>
      </c>
      <c r="H3169" s="299" t="b">
        <v>0</v>
      </c>
      <c r="J3169" s="113" t="str">
        <f t="shared" si="99"/>
        <v>974555386</v>
      </c>
      <c r="K3169" s="113" t="str">
        <f t="shared" si="100"/>
        <v>CG03254</v>
      </c>
    </row>
    <row r="3170" spans="1:11" x14ac:dyDescent="0.3">
      <c r="A3170" s="298" t="s">
        <v>14762</v>
      </c>
      <c r="B3170" s="298" t="s">
        <v>14763</v>
      </c>
      <c r="C3170" s="298" t="s">
        <v>355</v>
      </c>
      <c r="D3170" s="298" t="s">
        <v>256</v>
      </c>
      <c r="E3170" s="298" t="s">
        <v>55</v>
      </c>
      <c r="F3170" s="298" t="s">
        <v>14764</v>
      </c>
      <c r="G3170" s="299" t="b">
        <v>0</v>
      </c>
      <c r="H3170" s="299" t="b">
        <v>0</v>
      </c>
      <c r="J3170" s="113" t="str">
        <f t="shared" si="99"/>
        <v>911365168</v>
      </c>
      <c r="K3170" s="113" t="str">
        <f t="shared" si="100"/>
        <v>CG03255</v>
      </c>
    </row>
    <row r="3171" spans="1:11" x14ac:dyDescent="0.3">
      <c r="A3171" s="298" t="s">
        <v>14765</v>
      </c>
      <c r="B3171" s="298" t="s">
        <v>14766</v>
      </c>
      <c r="C3171" s="298" t="s">
        <v>286</v>
      </c>
      <c r="D3171" s="298" t="s">
        <v>256</v>
      </c>
      <c r="E3171" s="298" t="s">
        <v>55</v>
      </c>
      <c r="F3171" s="298" t="s">
        <v>14767</v>
      </c>
      <c r="G3171" s="299" t="b">
        <v>0</v>
      </c>
      <c r="H3171" s="299" t="b">
        <v>0</v>
      </c>
      <c r="J3171" s="113" t="str">
        <f t="shared" si="99"/>
        <v>908940033</v>
      </c>
      <c r="K3171" s="113" t="str">
        <f t="shared" si="100"/>
        <v>CG03256</v>
      </c>
    </row>
    <row r="3172" spans="1:11" x14ac:dyDescent="0.3">
      <c r="A3172" s="298" t="s">
        <v>14768</v>
      </c>
      <c r="B3172" s="298" t="s">
        <v>14769</v>
      </c>
      <c r="C3172" s="298" t="s">
        <v>892</v>
      </c>
      <c r="D3172" s="298" t="s">
        <v>256</v>
      </c>
      <c r="E3172" s="298" t="s">
        <v>55</v>
      </c>
      <c r="F3172" s="298" t="s">
        <v>13803</v>
      </c>
      <c r="G3172" s="299" t="b">
        <v>0</v>
      </c>
      <c r="H3172" s="299" t="b">
        <v>0</v>
      </c>
      <c r="J3172" s="113" t="str">
        <f t="shared" si="99"/>
        <v>942919362</v>
      </c>
      <c r="K3172" s="113" t="str">
        <f t="shared" si="100"/>
        <v>CG03257</v>
      </c>
    </row>
    <row r="3173" spans="1:11" x14ac:dyDescent="0.3">
      <c r="A3173" s="298" t="s">
        <v>14770</v>
      </c>
      <c r="B3173" s="298" t="s">
        <v>14771</v>
      </c>
      <c r="C3173" s="298" t="s">
        <v>355</v>
      </c>
      <c r="D3173" s="298" t="s">
        <v>256</v>
      </c>
      <c r="E3173" s="298" t="s">
        <v>55</v>
      </c>
      <c r="F3173" s="298" t="s">
        <v>14772</v>
      </c>
      <c r="G3173" s="299" t="b">
        <v>0</v>
      </c>
      <c r="H3173" s="299" t="b">
        <v>0</v>
      </c>
      <c r="J3173" s="113" t="str">
        <f t="shared" si="99"/>
        <v>931437888</v>
      </c>
      <c r="K3173" s="113" t="str">
        <f t="shared" si="100"/>
        <v>CG03258</v>
      </c>
    </row>
    <row r="3174" spans="1:11" x14ac:dyDescent="0.3">
      <c r="A3174" s="298" t="s">
        <v>14773</v>
      </c>
      <c r="B3174" s="298" t="s">
        <v>14774</v>
      </c>
      <c r="C3174" s="298" t="s">
        <v>230</v>
      </c>
      <c r="D3174" s="298" t="s">
        <v>256</v>
      </c>
      <c r="E3174" s="298" t="s">
        <v>55</v>
      </c>
      <c r="F3174" s="298" t="s">
        <v>14775</v>
      </c>
      <c r="G3174" s="299" t="b">
        <v>0</v>
      </c>
      <c r="H3174" s="299" t="b">
        <v>0</v>
      </c>
      <c r="J3174" s="113" t="str">
        <f t="shared" si="99"/>
        <v>981858158</v>
      </c>
      <c r="K3174" s="113" t="str">
        <f t="shared" si="100"/>
        <v>CG03259</v>
      </c>
    </row>
    <row r="3175" spans="1:11" x14ac:dyDescent="0.3">
      <c r="A3175" s="298" t="s">
        <v>14776</v>
      </c>
      <c r="B3175" s="298" t="s">
        <v>14777</v>
      </c>
      <c r="C3175" s="298" t="s">
        <v>13401</v>
      </c>
      <c r="D3175" s="298" t="s">
        <v>256</v>
      </c>
      <c r="E3175" s="298" t="s">
        <v>55</v>
      </c>
      <c r="F3175" s="298" t="s">
        <v>14778</v>
      </c>
      <c r="G3175" s="299" t="b">
        <v>0</v>
      </c>
      <c r="H3175" s="299" t="b">
        <v>0</v>
      </c>
      <c r="J3175" s="113" t="str">
        <f t="shared" si="99"/>
        <v>818593833</v>
      </c>
      <c r="K3175" s="113" t="str">
        <f t="shared" si="100"/>
        <v>CG03260</v>
      </c>
    </row>
    <row r="3176" spans="1:11" x14ac:dyDescent="0.3">
      <c r="A3176" s="298" t="s">
        <v>13475</v>
      </c>
      <c r="B3176" s="298" t="s">
        <v>13476</v>
      </c>
      <c r="C3176" s="298" t="s">
        <v>609</v>
      </c>
      <c r="D3176" s="298" t="s">
        <v>256</v>
      </c>
      <c r="E3176" s="298" t="s">
        <v>55</v>
      </c>
      <c r="F3176" s="298" t="s">
        <v>13477</v>
      </c>
      <c r="G3176" s="299" t="b">
        <v>0</v>
      </c>
      <c r="H3176" s="299" t="b">
        <v>0</v>
      </c>
      <c r="J3176" s="113" t="str">
        <f t="shared" si="99"/>
        <v>988951996</v>
      </c>
      <c r="K3176" s="113" t="str">
        <f t="shared" si="100"/>
        <v>CG03263</v>
      </c>
    </row>
    <row r="3177" spans="1:11" x14ac:dyDescent="0.3">
      <c r="A3177" s="298" t="s">
        <v>13478</v>
      </c>
      <c r="B3177" s="298" t="s">
        <v>13479</v>
      </c>
      <c r="C3177" s="298" t="s">
        <v>7783</v>
      </c>
      <c r="D3177" s="298" t="s">
        <v>256</v>
      </c>
      <c r="E3177" s="298" t="s">
        <v>55</v>
      </c>
      <c r="F3177" s="298" t="s">
        <v>13480</v>
      </c>
      <c r="G3177" s="299" t="b">
        <v>0</v>
      </c>
      <c r="H3177" s="299" t="b">
        <v>0</v>
      </c>
      <c r="J3177" s="113" t="str">
        <f t="shared" si="99"/>
        <v>983652545</v>
      </c>
      <c r="K3177" s="113" t="str">
        <f t="shared" si="100"/>
        <v>CG03265</v>
      </c>
    </row>
    <row r="3178" spans="1:11" x14ac:dyDescent="0.3">
      <c r="A3178" s="298" t="s">
        <v>13481</v>
      </c>
      <c r="B3178" s="298" t="s">
        <v>13482</v>
      </c>
      <c r="C3178" s="298" t="s">
        <v>13483</v>
      </c>
      <c r="D3178" s="298" t="s">
        <v>256</v>
      </c>
      <c r="E3178" s="298" t="s">
        <v>55</v>
      </c>
      <c r="F3178" s="298" t="s">
        <v>13484</v>
      </c>
      <c r="G3178" s="299" t="b">
        <v>0</v>
      </c>
      <c r="H3178" s="299" t="b">
        <v>0</v>
      </c>
      <c r="J3178" s="113" t="str">
        <f t="shared" si="99"/>
        <v>969779510</v>
      </c>
      <c r="K3178" s="113" t="str">
        <f t="shared" si="100"/>
        <v>CG03266</v>
      </c>
    </row>
    <row r="3179" spans="1:11" x14ac:dyDescent="0.3">
      <c r="A3179" s="298" t="s">
        <v>13254</v>
      </c>
      <c r="B3179" s="298" t="s">
        <v>13255</v>
      </c>
      <c r="C3179" s="298" t="s">
        <v>13256</v>
      </c>
      <c r="D3179" s="298" t="s">
        <v>256</v>
      </c>
      <c r="E3179" s="298" t="s">
        <v>13257</v>
      </c>
      <c r="F3179" s="298" t="s">
        <v>13485</v>
      </c>
      <c r="G3179" s="299" t="b">
        <v>0</v>
      </c>
      <c r="H3179" s="299" t="b">
        <v>0</v>
      </c>
      <c r="J3179" s="113" t="str">
        <f t="shared" si="99"/>
        <v>t Đại Hữu</v>
      </c>
      <c r="K3179" s="113" t="str">
        <f t="shared" si="100"/>
        <v>CG03267</v>
      </c>
    </row>
    <row r="3180" spans="1:11" x14ac:dyDescent="0.3">
      <c r="A3180" s="298" t="s">
        <v>13258</v>
      </c>
      <c r="B3180" s="298" t="s">
        <v>13259</v>
      </c>
      <c r="C3180" s="298" t="s">
        <v>13260</v>
      </c>
      <c r="D3180" s="298" t="s">
        <v>256</v>
      </c>
      <c r="E3180" s="298" t="s">
        <v>13261</v>
      </c>
      <c r="F3180" s="298" t="s">
        <v>13485</v>
      </c>
      <c r="G3180" s="299" t="b">
        <v>0</v>
      </c>
      <c r="H3180" s="299" t="b">
        <v>0</v>
      </c>
      <c r="J3180" s="113" t="str">
        <f t="shared" si="99"/>
        <v>t Việt Mỹ</v>
      </c>
      <c r="K3180" s="113" t="str">
        <f t="shared" si="100"/>
        <v>CG03268</v>
      </c>
    </row>
    <row r="3181" spans="1:11" x14ac:dyDescent="0.3">
      <c r="A3181" s="298" t="s">
        <v>13486</v>
      </c>
      <c r="B3181" s="298" t="s">
        <v>13487</v>
      </c>
      <c r="C3181" s="298" t="s">
        <v>13488</v>
      </c>
      <c r="D3181" s="298" t="s">
        <v>256</v>
      </c>
      <c r="E3181" s="298" t="s">
        <v>13489</v>
      </c>
      <c r="F3181" s="298" t="s">
        <v>13490</v>
      </c>
      <c r="G3181" s="299" t="b">
        <v>0</v>
      </c>
      <c r="H3181" s="299" t="b">
        <v>0</v>
      </c>
      <c r="J3181" s="113" t="str">
        <f t="shared" si="99"/>
        <v>và DV TST</v>
      </c>
      <c r="K3181" s="113" t="str">
        <f t="shared" si="100"/>
        <v>CG03269</v>
      </c>
    </row>
    <row r="3182" spans="1:11" x14ac:dyDescent="0.3">
      <c r="A3182" s="298" t="s">
        <v>13587</v>
      </c>
      <c r="B3182" s="298" t="s">
        <v>13588</v>
      </c>
      <c r="C3182" s="298" t="s">
        <v>13589</v>
      </c>
      <c r="D3182" s="298" t="s">
        <v>256</v>
      </c>
      <c r="E3182" s="298" t="s">
        <v>13590</v>
      </c>
      <c r="F3182" s="298" t="s">
        <v>13485</v>
      </c>
      <c r="G3182" s="299" t="b">
        <v>0</v>
      </c>
      <c r="H3182" s="299" t="b">
        <v>0</v>
      </c>
      <c r="J3182" s="113" t="str">
        <f t="shared" si="99"/>
        <v>Thủy Quân</v>
      </c>
      <c r="K3182" s="113" t="str">
        <f t="shared" si="100"/>
        <v>CG03270</v>
      </c>
    </row>
    <row r="3183" spans="1:11" x14ac:dyDescent="0.3">
      <c r="A3183" s="298" t="s">
        <v>13577</v>
      </c>
      <c r="B3183" s="298" t="s">
        <v>13591</v>
      </c>
      <c r="C3183" s="298" t="s">
        <v>13592</v>
      </c>
      <c r="D3183" s="298" t="s">
        <v>256</v>
      </c>
      <c r="E3183" s="298" t="s">
        <v>13578</v>
      </c>
      <c r="F3183" s="298" t="s">
        <v>13593</v>
      </c>
      <c r="G3183" s="299" t="b">
        <v>0</v>
      </c>
      <c r="H3183" s="299" t="b">
        <v>0</v>
      </c>
      <c r="J3183" s="113" t="str">
        <f t="shared" si="99"/>
        <v>Hương Trà</v>
      </c>
      <c r="K3183" s="113" t="str">
        <f t="shared" si="100"/>
        <v>CG03271</v>
      </c>
    </row>
    <row r="3184" spans="1:11" x14ac:dyDescent="0.3">
      <c r="A3184" s="298" t="s">
        <v>13594</v>
      </c>
      <c r="B3184" s="298" t="s">
        <v>13595</v>
      </c>
      <c r="C3184" s="298" t="s">
        <v>13596</v>
      </c>
      <c r="D3184" s="298" t="s">
        <v>256</v>
      </c>
      <c r="E3184" s="298" t="s">
        <v>55</v>
      </c>
      <c r="F3184" s="298" t="s">
        <v>13597</v>
      </c>
      <c r="G3184" s="299" t="b">
        <v>0</v>
      </c>
      <c r="H3184" s="299" t="b">
        <v>0</v>
      </c>
      <c r="J3184" s="113" t="str">
        <f t="shared" si="99"/>
        <v>912290991</v>
      </c>
      <c r="K3184" s="113" t="str">
        <f t="shared" si="100"/>
        <v>CG03272</v>
      </c>
    </row>
    <row r="3185" spans="1:11" x14ac:dyDescent="0.3">
      <c r="A3185" s="298" t="s">
        <v>13582</v>
      </c>
      <c r="B3185" s="298" t="s">
        <v>13583</v>
      </c>
      <c r="C3185" s="298" t="s">
        <v>13584</v>
      </c>
      <c r="D3185" s="298" t="s">
        <v>256</v>
      </c>
      <c r="E3185" s="298" t="s">
        <v>13585</v>
      </c>
      <c r="F3185" s="298" t="s">
        <v>13586</v>
      </c>
      <c r="G3185" s="299" t="b">
        <v>0</v>
      </c>
      <c r="H3185" s="299" t="b">
        <v>0</v>
      </c>
      <c r="J3185" s="113" t="str">
        <f t="shared" si="99"/>
        <v>Trọng Anh</v>
      </c>
      <c r="K3185" s="113" t="str">
        <f t="shared" si="100"/>
        <v>CG03273</v>
      </c>
    </row>
    <row r="3186" spans="1:11" x14ac:dyDescent="0.3">
      <c r="A3186" s="298" t="s">
        <v>13730</v>
      </c>
      <c r="B3186" s="298" t="s">
        <v>13731</v>
      </c>
      <c r="C3186" s="298" t="s">
        <v>477</v>
      </c>
      <c r="D3186" s="298" t="s">
        <v>256</v>
      </c>
      <c r="E3186" s="298" t="s">
        <v>55</v>
      </c>
      <c r="F3186" s="298" t="s">
        <v>13732</v>
      </c>
      <c r="G3186" s="299" t="b">
        <v>0</v>
      </c>
      <c r="H3186" s="299" t="b">
        <v>0</v>
      </c>
      <c r="J3186" s="113" t="str">
        <f t="shared" si="99"/>
        <v>981862729</v>
      </c>
      <c r="K3186" s="113" t="str">
        <f t="shared" si="100"/>
        <v>CG03274</v>
      </c>
    </row>
    <row r="3187" spans="1:11" x14ac:dyDescent="0.3">
      <c r="A3187" s="298" t="s">
        <v>13733</v>
      </c>
      <c r="B3187" s="298" t="s">
        <v>13734</v>
      </c>
      <c r="C3187" s="298" t="s">
        <v>613</v>
      </c>
      <c r="D3187" s="298" t="s">
        <v>256</v>
      </c>
      <c r="E3187" s="298" t="s">
        <v>55</v>
      </c>
      <c r="F3187" s="298" t="s">
        <v>13735</v>
      </c>
      <c r="G3187" s="299" t="b">
        <v>0</v>
      </c>
      <c r="H3187" s="299" t="b">
        <v>0</v>
      </c>
      <c r="J3187" s="113" t="str">
        <f t="shared" si="99"/>
        <v>942492222</v>
      </c>
      <c r="K3187" s="113" t="str">
        <f t="shared" si="100"/>
        <v>CG03275</v>
      </c>
    </row>
    <row r="3188" spans="1:11" x14ac:dyDescent="0.3">
      <c r="A3188" s="298" t="s">
        <v>13736</v>
      </c>
      <c r="B3188" s="298" t="s">
        <v>13737</v>
      </c>
      <c r="C3188" s="298" t="s">
        <v>2877</v>
      </c>
      <c r="D3188" s="298" t="s">
        <v>256</v>
      </c>
      <c r="E3188" s="298" t="s">
        <v>55</v>
      </c>
      <c r="F3188" s="298" t="s">
        <v>13738</v>
      </c>
      <c r="G3188" s="299" t="b">
        <v>0</v>
      </c>
      <c r="H3188" s="299" t="b">
        <v>0</v>
      </c>
      <c r="J3188" s="113" t="str">
        <f t="shared" si="99"/>
        <v>913272153</v>
      </c>
      <c r="K3188" s="113" t="str">
        <f t="shared" si="100"/>
        <v>CG03276</v>
      </c>
    </row>
    <row r="3189" spans="1:11" x14ac:dyDescent="0.3">
      <c r="A3189" s="298" t="s">
        <v>13739</v>
      </c>
      <c r="B3189" s="298" t="s">
        <v>13740</v>
      </c>
      <c r="C3189" s="298" t="s">
        <v>13741</v>
      </c>
      <c r="D3189" s="298" t="s">
        <v>256</v>
      </c>
      <c r="E3189" s="298" t="s">
        <v>55</v>
      </c>
      <c r="F3189" s="298" t="s">
        <v>13742</v>
      </c>
      <c r="G3189" s="299" t="b">
        <v>0</v>
      </c>
      <c r="H3189" s="299" t="b">
        <v>0</v>
      </c>
      <c r="J3189" s="113" t="str">
        <f t="shared" si="99"/>
        <v>ượng Phát</v>
      </c>
      <c r="K3189" s="113" t="str">
        <f t="shared" si="100"/>
        <v>CG03277</v>
      </c>
    </row>
    <row r="3190" spans="1:11" x14ac:dyDescent="0.3">
      <c r="A3190" s="298" t="s">
        <v>13743</v>
      </c>
      <c r="B3190" s="298" t="s">
        <v>13744</v>
      </c>
      <c r="C3190" s="298" t="s">
        <v>231</v>
      </c>
      <c r="D3190" s="298" t="s">
        <v>256</v>
      </c>
      <c r="E3190" s="298" t="s">
        <v>55</v>
      </c>
      <c r="F3190" s="298" t="s">
        <v>13745</v>
      </c>
      <c r="G3190" s="299" t="b">
        <v>0</v>
      </c>
      <c r="H3190" s="299" t="b">
        <v>0</v>
      </c>
      <c r="J3190" s="113" t="str">
        <f t="shared" si="99"/>
        <v>984973222</v>
      </c>
      <c r="K3190" s="113" t="str">
        <f t="shared" si="100"/>
        <v>CG03278</v>
      </c>
    </row>
    <row r="3191" spans="1:11" x14ac:dyDescent="0.3">
      <c r="A3191" s="298" t="s">
        <v>13746</v>
      </c>
      <c r="B3191" s="298" t="s">
        <v>13747</v>
      </c>
      <c r="C3191" s="298" t="s">
        <v>13748</v>
      </c>
      <c r="D3191" s="298" t="s">
        <v>256</v>
      </c>
      <c r="E3191" s="298" t="s">
        <v>13749</v>
      </c>
      <c r="F3191" s="298" t="s">
        <v>13750</v>
      </c>
      <c r="G3191" s="299" t="b">
        <v>0</v>
      </c>
      <c r="H3191" s="299" t="b">
        <v>0</v>
      </c>
      <c r="J3191" s="113" t="str">
        <f t="shared" si="99"/>
        <v>977065551</v>
      </c>
      <c r="K3191" s="113" t="str">
        <f t="shared" si="100"/>
        <v>CG03279</v>
      </c>
    </row>
    <row r="3192" spans="1:11" x14ac:dyDescent="0.3">
      <c r="A3192" s="298" t="s">
        <v>13751</v>
      </c>
      <c r="B3192" s="298" t="s">
        <v>13752</v>
      </c>
      <c r="C3192" s="298" t="s">
        <v>711</v>
      </c>
      <c r="D3192" s="298" t="s">
        <v>256</v>
      </c>
      <c r="E3192" s="298" t="s">
        <v>55</v>
      </c>
      <c r="F3192" s="298" t="s">
        <v>13753</v>
      </c>
      <c r="G3192" s="299" t="b">
        <v>0</v>
      </c>
      <c r="H3192" s="299" t="b">
        <v>0</v>
      </c>
      <c r="J3192" s="113" t="str">
        <f t="shared" si="99"/>
        <v>982286655</v>
      </c>
      <c r="K3192" s="113" t="str">
        <f t="shared" si="100"/>
        <v>CG03280</v>
      </c>
    </row>
    <row r="3193" spans="1:11" x14ac:dyDescent="0.3">
      <c r="A3193" s="298" t="s">
        <v>13754</v>
      </c>
      <c r="B3193" s="298" t="s">
        <v>13755</v>
      </c>
      <c r="C3193" s="298" t="s">
        <v>2659</v>
      </c>
      <c r="D3193" s="298" t="s">
        <v>256</v>
      </c>
      <c r="E3193" s="298" t="s">
        <v>55</v>
      </c>
      <c r="F3193" s="298" t="s">
        <v>13756</v>
      </c>
      <c r="G3193" s="299" t="b">
        <v>0</v>
      </c>
      <c r="H3193" s="299" t="b">
        <v>0</v>
      </c>
      <c r="J3193" s="113" t="str">
        <f t="shared" si="99"/>
        <v>962368620</v>
      </c>
      <c r="K3193" s="113" t="str">
        <f t="shared" si="100"/>
        <v>CG03281</v>
      </c>
    </row>
    <row r="3194" spans="1:11" x14ac:dyDescent="0.3">
      <c r="A3194" s="298" t="s">
        <v>13757</v>
      </c>
      <c r="B3194" s="298" t="s">
        <v>13758</v>
      </c>
      <c r="C3194" s="298" t="s">
        <v>3257</v>
      </c>
      <c r="D3194" s="298" t="s">
        <v>256</v>
      </c>
      <c r="E3194" s="298" t="s">
        <v>55</v>
      </c>
      <c r="F3194" s="298" t="s">
        <v>13759</v>
      </c>
      <c r="G3194" s="299" t="b">
        <v>0</v>
      </c>
      <c r="H3194" s="299" t="b">
        <v>0</v>
      </c>
      <c r="J3194" s="113" t="str">
        <f t="shared" si="99"/>
        <v>915393086</v>
      </c>
      <c r="K3194" s="113" t="str">
        <f t="shared" si="100"/>
        <v>CG03282</v>
      </c>
    </row>
    <row r="3195" spans="1:11" x14ac:dyDescent="0.3">
      <c r="A3195" s="298" t="s">
        <v>13760</v>
      </c>
      <c r="B3195" s="298" t="s">
        <v>13761</v>
      </c>
      <c r="C3195" s="298" t="s">
        <v>3214</v>
      </c>
      <c r="D3195" s="298" t="s">
        <v>256</v>
      </c>
      <c r="E3195" s="298" t="s">
        <v>55</v>
      </c>
      <c r="F3195" s="298" t="s">
        <v>13762</v>
      </c>
      <c r="G3195" s="299" t="b">
        <v>0</v>
      </c>
      <c r="H3195" s="299" t="b">
        <v>0</v>
      </c>
      <c r="J3195" s="113" t="str">
        <f t="shared" si="99"/>
        <v>369284505</v>
      </c>
      <c r="K3195" s="113" t="str">
        <f t="shared" si="100"/>
        <v>CG03283</v>
      </c>
    </row>
    <row r="3196" spans="1:11" x14ac:dyDescent="0.3">
      <c r="A3196" s="298" t="s">
        <v>13763</v>
      </c>
      <c r="B3196" s="298" t="s">
        <v>13764</v>
      </c>
      <c r="C3196" s="298" t="s">
        <v>711</v>
      </c>
      <c r="D3196" s="298" t="s">
        <v>256</v>
      </c>
      <c r="E3196" s="298" t="s">
        <v>55</v>
      </c>
      <c r="F3196" s="298" t="s">
        <v>13765</v>
      </c>
      <c r="G3196" s="299" t="b">
        <v>0</v>
      </c>
      <c r="H3196" s="299" t="b">
        <v>0</v>
      </c>
      <c r="J3196" s="113" t="str">
        <f t="shared" si="99"/>
        <v>932398398</v>
      </c>
      <c r="K3196" s="113" t="str">
        <f t="shared" si="100"/>
        <v>CG03284</v>
      </c>
    </row>
    <row r="3197" spans="1:11" x14ac:dyDescent="0.3">
      <c r="A3197" s="298" t="s">
        <v>13766</v>
      </c>
      <c r="B3197" s="298" t="s">
        <v>13767</v>
      </c>
      <c r="C3197" s="298" t="s">
        <v>4324</v>
      </c>
      <c r="D3197" s="298" t="s">
        <v>256</v>
      </c>
      <c r="E3197" s="298" t="s">
        <v>55</v>
      </c>
      <c r="F3197" s="298" t="s">
        <v>13768</v>
      </c>
      <c r="G3197" s="299" t="b">
        <v>0</v>
      </c>
      <c r="H3197" s="299" t="b">
        <v>0</v>
      </c>
      <c r="J3197" s="113" t="str">
        <f t="shared" si="99"/>
        <v>969211899</v>
      </c>
      <c r="K3197" s="113" t="str">
        <f t="shared" si="100"/>
        <v>CG03285</v>
      </c>
    </row>
    <row r="3198" spans="1:11" x14ac:dyDescent="0.3">
      <c r="A3198" s="298" t="s">
        <v>13769</v>
      </c>
      <c r="B3198" s="298" t="s">
        <v>13770</v>
      </c>
      <c r="C3198" s="298" t="s">
        <v>1508</v>
      </c>
      <c r="D3198" s="298" t="s">
        <v>256</v>
      </c>
      <c r="E3198" s="298" t="s">
        <v>55</v>
      </c>
      <c r="F3198" s="298" t="s">
        <v>13771</v>
      </c>
      <c r="G3198" s="299" t="b">
        <v>0</v>
      </c>
      <c r="H3198" s="299" t="b">
        <v>0</v>
      </c>
      <c r="J3198" s="113" t="str">
        <f t="shared" si="99"/>
        <v>ơn (MDHP)</v>
      </c>
      <c r="K3198" s="113" t="str">
        <f t="shared" si="100"/>
        <v>CG03286</v>
      </c>
    </row>
    <row r="3199" spans="1:11" x14ac:dyDescent="0.3">
      <c r="A3199" s="298" t="s">
        <v>13772</v>
      </c>
      <c r="B3199" s="298" t="s">
        <v>13773</v>
      </c>
      <c r="C3199" s="298" t="s">
        <v>13401</v>
      </c>
      <c r="D3199" s="298" t="s">
        <v>256</v>
      </c>
      <c r="E3199" s="298" t="s">
        <v>55</v>
      </c>
      <c r="F3199" s="298" t="s">
        <v>13774</v>
      </c>
      <c r="G3199" s="299" t="b">
        <v>0</v>
      </c>
      <c r="H3199" s="299" t="b">
        <v>0</v>
      </c>
      <c r="J3199" s="113" t="str">
        <f t="shared" si="99"/>
        <v>983283661</v>
      </c>
      <c r="K3199" s="113" t="str">
        <f t="shared" si="100"/>
        <v>CG03287</v>
      </c>
    </row>
    <row r="3200" spans="1:11" x14ac:dyDescent="0.3">
      <c r="A3200" s="298" t="s">
        <v>13775</v>
      </c>
      <c r="B3200" s="298" t="s">
        <v>13776</v>
      </c>
      <c r="C3200" s="298" t="s">
        <v>541</v>
      </c>
      <c r="D3200" s="298" t="s">
        <v>256</v>
      </c>
      <c r="E3200" s="298" t="s">
        <v>55</v>
      </c>
      <c r="F3200" s="298" t="s">
        <v>13777</v>
      </c>
      <c r="G3200" s="299" t="b">
        <v>0</v>
      </c>
      <c r="H3200" s="299" t="b">
        <v>0</v>
      </c>
      <c r="J3200" s="113" t="str">
        <f t="shared" si="99"/>
        <v>987701199</v>
      </c>
      <c r="K3200" s="113" t="str">
        <f t="shared" si="100"/>
        <v>CG03288</v>
      </c>
    </row>
    <row r="3201" spans="1:11" x14ac:dyDescent="0.3">
      <c r="A3201" s="298" t="s">
        <v>13778</v>
      </c>
      <c r="B3201" s="298" t="s">
        <v>13779</v>
      </c>
      <c r="C3201" s="298" t="s">
        <v>452</v>
      </c>
      <c r="D3201" s="298" t="s">
        <v>256</v>
      </c>
      <c r="E3201" s="298" t="s">
        <v>55</v>
      </c>
      <c r="F3201" s="298" t="s">
        <v>13780</v>
      </c>
      <c r="G3201" s="299" t="b">
        <v>0</v>
      </c>
      <c r="H3201" s="299" t="b">
        <v>0</v>
      </c>
      <c r="J3201" s="113" t="str">
        <f t="shared" si="99"/>
        <v>912157046</v>
      </c>
      <c r="K3201" s="113" t="str">
        <f t="shared" si="100"/>
        <v>CG03289</v>
      </c>
    </row>
    <row r="3202" spans="1:11" x14ac:dyDescent="0.3">
      <c r="A3202" s="298" t="s">
        <v>13781</v>
      </c>
      <c r="B3202" s="298" t="s">
        <v>13782</v>
      </c>
      <c r="C3202" s="298" t="s">
        <v>3257</v>
      </c>
      <c r="D3202" s="298" t="s">
        <v>256</v>
      </c>
      <c r="E3202" s="298" t="s">
        <v>55</v>
      </c>
      <c r="F3202" s="298" t="s">
        <v>13783</v>
      </c>
      <c r="G3202" s="299" t="b">
        <v>0</v>
      </c>
      <c r="H3202" s="299" t="b">
        <v>0</v>
      </c>
      <c r="J3202" s="113" t="str">
        <f t="shared" si="99"/>
        <v>918376986</v>
      </c>
      <c r="K3202" s="113" t="str">
        <f t="shared" si="100"/>
        <v>CG03290</v>
      </c>
    </row>
    <row r="3203" spans="1:11" x14ac:dyDescent="0.3">
      <c r="A3203" s="298" t="s">
        <v>13784</v>
      </c>
      <c r="B3203" s="298" t="s">
        <v>13785</v>
      </c>
      <c r="C3203" s="298" t="s">
        <v>13786</v>
      </c>
      <c r="D3203" s="298" t="s">
        <v>256</v>
      </c>
      <c r="E3203" s="298" t="s">
        <v>13787</v>
      </c>
      <c r="F3203" s="298" t="s">
        <v>55</v>
      </c>
      <c r="G3203" s="299" t="b">
        <v>0</v>
      </c>
      <c r="H3203" s="299" t="b">
        <v>0</v>
      </c>
      <c r="J3203" s="113" t="str">
        <f t="shared" si="99"/>
        <v>Triệu Cao</v>
      </c>
      <c r="K3203" s="113" t="str">
        <f t="shared" si="100"/>
        <v>CG03291</v>
      </c>
    </row>
    <row r="3204" spans="1:11" x14ac:dyDescent="0.3">
      <c r="A3204" s="298" t="s">
        <v>13788</v>
      </c>
      <c r="B3204" s="298" t="s">
        <v>13789</v>
      </c>
      <c r="C3204" s="298" t="s">
        <v>1444</v>
      </c>
      <c r="D3204" s="298" t="s">
        <v>256</v>
      </c>
      <c r="E3204" s="298" t="s">
        <v>55</v>
      </c>
      <c r="F3204" s="298" t="s">
        <v>13790</v>
      </c>
      <c r="G3204" s="299" t="b">
        <v>0</v>
      </c>
      <c r="H3204" s="299" t="b">
        <v>0</v>
      </c>
      <c r="J3204" s="113" t="str">
        <f t="shared" si="99"/>
        <v>986070000</v>
      </c>
      <c r="K3204" s="113" t="str">
        <f t="shared" si="100"/>
        <v>CG03292</v>
      </c>
    </row>
    <row r="3205" spans="1:11" x14ac:dyDescent="0.3">
      <c r="A3205" s="298" t="s">
        <v>13791</v>
      </c>
      <c r="B3205" s="298" t="s">
        <v>13792</v>
      </c>
      <c r="C3205" s="298" t="s">
        <v>718</v>
      </c>
      <c r="D3205" s="298" t="s">
        <v>256</v>
      </c>
      <c r="E3205" s="298" t="s">
        <v>55</v>
      </c>
      <c r="F3205" s="298" t="s">
        <v>13793</v>
      </c>
      <c r="G3205" s="299" t="b">
        <v>0</v>
      </c>
      <c r="H3205" s="299" t="b">
        <v>0</v>
      </c>
      <c r="J3205" s="113" t="str">
        <f t="shared" ref="J3205:J3268" si="101">RIGHT(B3205,9)</f>
        <v>912046323</v>
      </c>
      <c r="K3205" s="113" t="str">
        <f t="shared" ref="K3205:K3268" si="102">A3205</f>
        <v>CG03293</v>
      </c>
    </row>
    <row r="3206" spans="1:11" x14ac:dyDescent="0.3">
      <c r="A3206" s="298" t="s">
        <v>13794</v>
      </c>
      <c r="B3206" s="298" t="s">
        <v>13795</v>
      </c>
      <c r="C3206" s="298" t="s">
        <v>13796</v>
      </c>
      <c r="D3206" s="298" t="s">
        <v>256</v>
      </c>
      <c r="E3206" s="298" t="s">
        <v>55</v>
      </c>
      <c r="F3206" s="298" t="s">
        <v>13797</v>
      </c>
      <c r="G3206" s="299" t="b">
        <v>0</v>
      </c>
      <c r="H3206" s="299" t="b">
        <v>0</v>
      </c>
      <c r="J3206" s="113" t="str">
        <f t="shared" si="101"/>
        <v>962116789</v>
      </c>
      <c r="K3206" s="113" t="str">
        <f t="shared" si="102"/>
        <v>CG03294</v>
      </c>
    </row>
    <row r="3207" spans="1:11" x14ac:dyDescent="0.3">
      <c r="A3207" s="298" t="s">
        <v>13798</v>
      </c>
      <c r="B3207" s="298" t="s">
        <v>13799</v>
      </c>
      <c r="C3207" s="298" t="s">
        <v>231</v>
      </c>
      <c r="D3207" s="298" t="s">
        <v>256</v>
      </c>
      <c r="E3207" s="298" t="s">
        <v>55</v>
      </c>
      <c r="F3207" s="298" t="s">
        <v>13800</v>
      </c>
      <c r="G3207" s="299" t="b">
        <v>0</v>
      </c>
      <c r="H3207" s="299" t="b">
        <v>0</v>
      </c>
      <c r="J3207" s="113" t="str">
        <f t="shared" si="101"/>
        <v>912673776</v>
      </c>
      <c r="K3207" s="113" t="str">
        <f t="shared" si="102"/>
        <v>CG03295</v>
      </c>
    </row>
    <row r="3208" spans="1:11" x14ac:dyDescent="0.3">
      <c r="A3208" s="298" t="s">
        <v>13801</v>
      </c>
      <c r="B3208" s="298" t="s">
        <v>13802</v>
      </c>
      <c r="C3208" s="298" t="s">
        <v>892</v>
      </c>
      <c r="D3208" s="298" t="s">
        <v>256</v>
      </c>
      <c r="E3208" s="298" t="s">
        <v>55</v>
      </c>
      <c r="F3208" s="298" t="s">
        <v>13803</v>
      </c>
      <c r="G3208" s="299" t="b">
        <v>0</v>
      </c>
      <c r="H3208" s="299" t="b">
        <v>0</v>
      </c>
      <c r="J3208" s="113" t="str">
        <f t="shared" si="101"/>
        <v>942919362</v>
      </c>
      <c r="K3208" s="113" t="str">
        <f t="shared" si="102"/>
        <v>CG03296</v>
      </c>
    </row>
    <row r="3209" spans="1:11" x14ac:dyDescent="0.3">
      <c r="A3209" s="298" t="s">
        <v>13804</v>
      </c>
      <c r="B3209" s="298" t="s">
        <v>13805</v>
      </c>
      <c r="C3209" s="298" t="s">
        <v>997</v>
      </c>
      <c r="D3209" s="298" t="s">
        <v>256</v>
      </c>
      <c r="E3209" s="298" t="s">
        <v>55</v>
      </c>
      <c r="F3209" s="298" t="s">
        <v>13586</v>
      </c>
      <c r="G3209" s="299" t="b">
        <v>0</v>
      </c>
      <c r="H3209" s="299" t="b">
        <v>0</v>
      </c>
      <c r="J3209" s="113" t="str">
        <f t="shared" si="101"/>
        <v>979110666</v>
      </c>
      <c r="K3209" s="113" t="str">
        <f t="shared" si="102"/>
        <v>CG03297</v>
      </c>
    </row>
    <row r="3210" spans="1:11" x14ac:dyDescent="0.3">
      <c r="A3210" s="298" t="s">
        <v>13806</v>
      </c>
      <c r="B3210" s="298" t="s">
        <v>13807</v>
      </c>
      <c r="C3210" s="298" t="s">
        <v>1207</v>
      </c>
      <c r="D3210" s="298" t="s">
        <v>256</v>
      </c>
      <c r="E3210" s="298" t="s">
        <v>55</v>
      </c>
      <c r="F3210" s="298" t="s">
        <v>13808</v>
      </c>
      <c r="G3210" s="299" t="b">
        <v>0</v>
      </c>
      <c r="H3210" s="299" t="b">
        <v>0</v>
      </c>
      <c r="J3210" s="113" t="str">
        <f t="shared" si="101"/>
        <v>948669594</v>
      </c>
      <c r="K3210" s="113" t="str">
        <f t="shared" si="102"/>
        <v>CG03299</v>
      </c>
    </row>
    <row r="3211" spans="1:11" x14ac:dyDescent="0.3">
      <c r="A3211" s="298" t="s">
        <v>13809</v>
      </c>
      <c r="B3211" s="298" t="s">
        <v>13810</v>
      </c>
      <c r="C3211" s="298" t="s">
        <v>13811</v>
      </c>
      <c r="D3211" s="298" t="s">
        <v>256</v>
      </c>
      <c r="E3211" s="298" t="s">
        <v>13812</v>
      </c>
      <c r="F3211" s="298" t="s">
        <v>13485</v>
      </c>
      <c r="G3211" s="299" t="b">
        <v>0</v>
      </c>
      <c r="H3211" s="299" t="b">
        <v>0</v>
      </c>
      <c r="J3211" s="113" t="str">
        <f t="shared" si="101"/>
        <v>ưng Thịnh</v>
      </c>
      <c r="K3211" s="113" t="str">
        <f t="shared" si="102"/>
        <v>CG03300</v>
      </c>
    </row>
    <row r="3212" spans="1:11" x14ac:dyDescent="0.3">
      <c r="A3212" s="298" t="s">
        <v>13813</v>
      </c>
      <c r="B3212" s="298" t="s">
        <v>13814</v>
      </c>
      <c r="C3212" s="298" t="s">
        <v>13815</v>
      </c>
      <c r="D3212" s="298" t="s">
        <v>256</v>
      </c>
      <c r="E3212" s="298" t="s">
        <v>13816</v>
      </c>
      <c r="F3212" s="298" t="s">
        <v>55</v>
      </c>
      <c r="G3212" s="299" t="b">
        <v>0</v>
      </c>
      <c r="H3212" s="299" t="b">
        <v>0</v>
      </c>
      <c r="J3212" s="113" t="str">
        <f t="shared" si="101"/>
        <v xml:space="preserve"> Minh Thu</v>
      </c>
      <c r="K3212" s="113" t="str">
        <f t="shared" si="102"/>
        <v>CG03301</v>
      </c>
    </row>
    <row r="3213" spans="1:11" x14ac:dyDescent="0.3">
      <c r="A3213" s="298" t="s">
        <v>13817</v>
      </c>
      <c r="B3213" s="298" t="s">
        <v>13818</v>
      </c>
      <c r="C3213" s="298" t="s">
        <v>13819</v>
      </c>
      <c r="D3213" s="298" t="s">
        <v>256</v>
      </c>
      <c r="E3213" s="298" t="s">
        <v>13820</v>
      </c>
      <c r="F3213" s="298" t="s">
        <v>13821</v>
      </c>
      <c r="G3213" s="299" t="b">
        <v>0</v>
      </c>
      <c r="H3213" s="299" t="b">
        <v>0</v>
      </c>
      <c r="J3213" s="113" t="str">
        <f t="shared" si="101"/>
        <v>HL Hà Nội</v>
      </c>
      <c r="K3213" s="113" t="str">
        <f t="shared" si="102"/>
        <v>CG03302</v>
      </c>
    </row>
    <row r="3214" spans="1:11" x14ac:dyDescent="0.3">
      <c r="A3214" s="298" t="s">
        <v>13822</v>
      </c>
      <c r="B3214" s="298" t="s">
        <v>13823</v>
      </c>
      <c r="C3214" s="298" t="s">
        <v>13824</v>
      </c>
      <c r="D3214" s="298" t="s">
        <v>256</v>
      </c>
      <c r="E3214" s="298" t="s">
        <v>13825</v>
      </c>
      <c r="F3214" s="298" t="s">
        <v>55</v>
      </c>
      <c r="G3214" s="299" t="b">
        <v>0</v>
      </c>
      <c r="H3214" s="299" t="b">
        <v>0</v>
      </c>
      <c r="J3214" s="113" t="str">
        <f t="shared" si="101"/>
        <v>Khai Thái</v>
      </c>
      <c r="K3214" s="113" t="str">
        <f t="shared" si="102"/>
        <v>CG03303</v>
      </c>
    </row>
    <row r="3215" spans="1:11" x14ac:dyDescent="0.3">
      <c r="A3215" s="298" t="s">
        <v>13826</v>
      </c>
      <c r="B3215" s="298" t="s">
        <v>13827</v>
      </c>
      <c r="C3215" s="298" t="s">
        <v>13829</v>
      </c>
      <c r="D3215" s="298" t="s">
        <v>256</v>
      </c>
      <c r="E3215" s="298" t="s">
        <v>13828</v>
      </c>
      <c r="F3215" s="298" t="s">
        <v>55</v>
      </c>
      <c r="G3215" s="299" t="b">
        <v>0</v>
      </c>
      <c r="H3215" s="299" t="b">
        <v>0</v>
      </c>
      <c r="J3215" s="113" t="str">
        <f t="shared" si="101"/>
        <v>Phúc Minh</v>
      </c>
      <c r="K3215" s="113" t="str">
        <f t="shared" si="102"/>
        <v>CG03304</v>
      </c>
    </row>
    <row r="3216" spans="1:11" x14ac:dyDescent="0.3">
      <c r="A3216" s="298" t="s">
        <v>13840</v>
      </c>
      <c r="B3216" s="298" t="s">
        <v>13841</v>
      </c>
      <c r="C3216" s="298" t="s">
        <v>13842</v>
      </c>
      <c r="D3216" s="298" t="s">
        <v>256</v>
      </c>
      <c r="E3216" s="298" t="s">
        <v>13843</v>
      </c>
      <c r="F3216" s="298" t="s">
        <v>55</v>
      </c>
      <c r="G3216" s="299" t="b">
        <v>0</v>
      </c>
      <c r="H3216" s="299" t="b">
        <v>0</v>
      </c>
      <c r="J3216" s="113" t="str">
        <f t="shared" si="101"/>
        <v>hú Hữu Dư</v>
      </c>
      <c r="K3216" s="113" t="str">
        <f t="shared" si="102"/>
        <v>CG03305</v>
      </c>
    </row>
    <row r="3217" spans="1:11" x14ac:dyDescent="0.3">
      <c r="A3217" s="298" t="s">
        <v>14592</v>
      </c>
      <c r="B3217" s="298" t="s">
        <v>14593</v>
      </c>
      <c r="C3217" s="298" t="s">
        <v>289</v>
      </c>
      <c r="D3217" s="298" t="s">
        <v>256</v>
      </c>
      <c r="E3217" s="298" t="s">
        <v>55</v>
      </c>
      <c r="F3217" s="298" t="s">
        <v>55</v>
      </c>
      <c r="G3217" s="299" t="b">
        <v>0</v>
      </c>
      <c r="H3217" s="299" t="b">
        <v>0</v>
      </c>
      <c r="J3217" s="113" t="str">
        <f t="shared" si="101"/>
        <v>971400078</v>
      </c>
      <c r="K3217" s="113" t="str">
        <f t="shared" si="102"/>
        <v>CG03306</v>
      </c>
    </row>
    <row r="3218" spans="1:11" x14ac:dyDescent="0.3">
      <c r="A3218" s="298" t="s">
        <v>14594</v>
      </c>
      <c r="B3218" s="298" t="s">
        <v>14595</v>
      </c>
      <c r="C3218" s="298" t="s">
        <v>286</v>
      </c>
      <c r="D3218" s="298" t="s">
        <v>256</v>
      </c>
      <c r="E3218" s="298" t="s">
        <v>55</v>
      </c>
      <c r="F3218" s="298" t="s">
        <v>55</v>
      </c>
      <c r="G3218" s="299" t="b">
        <v>0</v>
      </c>
      <c r="H3218" s="299" t="b">
        <v>0</v>
      </c>
      <c r="J3218" s="113" t="str">
        <f t="shared" si="101"/>
        <v>962169196</v>
      </c>
      <c r="K3218" s="113" t="str">
        <f t="shared" si="102"/>
        <v>CG03307</v>
      </c>
    </row>
    <row r="3219" spans="1:11" x14ac:dyDescent="0.3">
      <c r="A3219" s="298" t="s">
        <v>13837</v>
      </c>
      <c r="B3219" s="298" t="s">
        <v>13838</v>
      </c>
      <c r="C3219" s="298" t="s">
        <v>13839</v>
      </c>
      <c r="D3219" s="298" t="s">
        <v>256</v>
      </c>
      <c r="E3219" s="298" t="s">
        <v>2655</v>
      </c>
      <c r="F3219" s="298" t="s">
        <v>55</v>
      </c>
      <c r="G3219" s="299" t="b">
        <v>0</v>
      </c>
      <c r="H3219" s="299" t="b">
        <v>0</v>
      </c>
      <c r="J3219" s="113" t="str">
        <f t="shared" si="101"/>
        <v>Tuấn Ngọc</v>
      </c>
      <c r="K3219" s="113" t="str">
        <f t="shared" si="102"/>
        <v>CG03308</v>
      </c>
    </row>
    <row r="3220" spans="1:11" x14ac:dyDescent="0.3">
      <c r="A3220" s="298" t="s">
        <v>14596</v>
      </c>
      <c r="B3220" s="298" t="s">
        <v>14597</v>
      </c>
      <c r="C3220" s="298" t="s">
        <v>1821</v>
      </c>
      <c r="D3220" s="298" t="s">
        <v>256</v>
      </c>
      <c r="E3220" s="298" t="s">
        <v>55</v>
      </c>
      <c r="F3220" s="298" t="s">
        <v>55</v>
      </c>
      <c r="G3220" s="299" t="b">
        <v>0</v>
      </c>
      <c r="H3220" s="299" t="b">
        <v>0</v>
      </c>
      <c r="J3220" s="113" t="str">
        <f t="shared" si="101"/>
        <v>388717116</v>
      </c>
      <c r="K3220" s="113" t="str">
        <f t="shared" si="102"/>
        <v>CG03309</v>
      </c>
    </row>
    <row r="3221" spans="1:11" x14ac:dyDescent="0.3">
      <c r="A3221" s="298" t="s">
        <v>14598</v>
      </c>
      <c r="B3221" s="298" t="s">
        <v>14599</v>
      </c>
      <c r="C3221" s="298" t="s">
        <v>14600</v>
      </c>
      <c r="D3221" s="298" t="s">
        <v>256</v>
      </c>
      <c r="E3221" s="298" t="s">
        <v>55</v>
      </c>
      <c r="F3221" s="298" t="s">
        <v>55</v>
      </c>
      <c r="G3221" s="299" t="b">
        <v>0</v>
      </c>
      <c r="H3221" s="299" t="b">
        <v>0</v>
      </c>
      <c r="J3221" s="113" t="str">
        <f t="shared" si="101"/>
        <v>948012709</v>
      </c>
      <c r="K3221" s="113" t="str">
        <f t="shared" si="102"/>
        <v>CG03310</v>
      </c>
    </row>
    <row r="3222" spans="1:11" x14ac:dyDescent="0.3">
      <c r="A3222" s="298" t="s">
        <v>14601</v>
      </c>
      <c r="B3222" s="298" t="s">
        <v>14602</v>
      </c>
      <c r="C3222" s="298" t="s">
        <v>409</v>
      </c>
      <c r="D3222" s="298" t="s">
        <v>256</v>
      </c>
      <c r="E3222" s="298" t="s">
        <v>55</v>
      </c>
      <c r="F3222" s="298" t="s">
        <v>55</v>
      </c>
      <c r="G3222" s="299" t="b">
        <v>0</v>
      </c>
      <c r="H3222" s="299" t="b">
        <v>0</v>
      </c>
      <c r="J3222" s="113" t="str">
        <f t="shared" si="101"/>
        <v>981168858</v>
      </c>
      <c r="K3222" s="113" t="str">
        <f t="shared" si="102"/>
        <v>CG03311</v>
      </c>
    </row>
    <row r="3223" spans="1:11" x14ac:dyDescent="0.3">
      <c r="A3223" s="298" t="s">
        <v>14603</v>
      </c>
      <c r="B3223" s="298" t="s">
        <v>14604</v>
      </c>
      <c r="C3223" s="298" t="s">
        <v>4499</v>
      </c>
      <c r="D3223" s="298" t="s">
        <v>256</v>
      </c>
      <c r="E3223" s="298" t="s">
        <v>55</v>
      </c>
      <c r="F3223" s="298" t="s">
        <v>55</v>
      </c>
      <c r="G3223" s="299" t="b">
        <v>0</v>
      </c>
      <c r="H3223" s="299" t="b">
        <v>0</v>
      </c>
      <c r="J3223" s="113" t="str">
        <f t="shared" si="101"/>
        <v>384123096</v>
      </c>
      <c r="K3223" s="113" t="str">
        <f t="shared" si="102"/>
        <v>CG03312</v>
      </c>
    </row>
    <row r="3224" spans="1:11" x14ac:dyDescent="0.3">
      <c r="A3224" s="298" t="s">
        <v>14605</v>
      </c>
      <c r="B3224" s="298" t="s">
        <v>14606</v>
      </c>
      <c r="C3224" s="298" t="s">
        <v>625</v>
      </c>
      <c r="D3224" s="298" t="s">
        <v>256</v>
      </c>
      <c r="E3224" s="298" t="s">
        <v>55</v>
      </c>
      <c r="F3224" s="298" t="s">
        <v>55</v>
      </c>
      <c r="G3224" s="299" t="b">
        <v>0</v>
      </c>
      <c r="H3224" s="299" t="b">
        <v>0</v>
      </c>
      <c r="J3224" s="113" t="str">
        <f t="shared" si="101"/>
        <v>978446554</v>
      </c>
      <c r="K3224" s="113" t="str">
        <f t="shared" si="102"/>
        <v>CG03313</v>
      </c>
    </row>
    <row r="3225" spans="1:11" x14ac:dyDescent="0.3">
      <c r="A3225" s="298" t="s">
        <v>14607</v>
      </c>
      <c r="B3225" s="298" t="s">
        <v>14608</v>
      </c>
      <c r="C3225" s="298" t="s">
        <v>1727</v>
      </c>
      <c r="D3225" s="298" t="s">
        <v>256</v>
      </c>
      <c r="E3225" s="298" t="s">
        <v>55</v>
      </c>
      <c r="F3225" s="298" t="s">
        <v>55</v>
      </c>
      <c r="G3225" s="299" t="b">
        <v>0</v>
      </c>
      <c r="H3225" s="299" t="b">
        <v>0</v>
      </c>
      <c r="J3225" s="113" t="str">
        <f t="shared" si="101"/>
        <v>383345899</v>
      </c>
      <c r="K3225" s="113" t="str">
        <f t="shared" si="102"/>
        <v>CG03314</v>
      </c>
    </row>
    <row r="3226" spans="1:11" x14ac:dyDescent="0.3">
      <c r="A3226" s="298" t="s">
        <v>14609</v>
      </c>
      <c r="B3226" s="298" t="s">
        <v>14610</v>
      </c>
      <c r="C3226" s="298" t="s">
        <v>7769</v>
      </c>
      <c r="D3226" s="298" t="s">
        <v>256</v>
      </c>
      <c r="E3226" s="298" t="s">
        <v>55</v>
      </c>
      <c r="F3226" s="298" t="s">
        <v>55</v>
      </c>
      <c r="G3226" s="299" t="b">
        <v>0</v>
      </c>
      <c r="H3226" s="299" t="b">
        <v>0</v>
      </c>
      <c r="J3226" s="113" t="str">
        <f t="shared" si="101"/>
        <v>945031752</v>
      </c>
      <c r="K3226" s="113" t="str">
        <f t="shared" si="102"/>
        <v>CG03315</v>
      </c>
    </row>
    <row r="3227" spans="1:11" x14ac:dyDescent="0.3">
      <c r="A3227" s="298" t="s">
        <v>14611</v>
      </c>
      <c r="B3227" s="298" t="s">
        <v>14612</v>
      </c>
      <c r="C3227" s="298" t="s">
        <v>289</v>
      </c>
      <c r="D3227" s="298" t="s">
        <v>256</v>
      </c>
      <c r="E3227" s="298" t="s">
        <v>55</v>
      </c>
      <c r="F3227" s="298" t="s">
        <v>55</v>
      </c>
      <c r="G3227" s="299" t="b">
        <v>0</v>
      </c>
      <c r="H3227" s="299" t="b">
        <v>0</v>
      </c>
      <c r="J3227" s="113" t="str">
        <f t="shared" si="101"/>
        <v>776323995</v>
      </c>
      <c r="K3227" s="113" t="str">
        <f t="shared" si="102"/>
        <v>CG03316</v>
      </c>
    </row>
    <row r="3228" spans="1:11" x14ac:dyDescent="0.3">
      <c r="A3228" s="298" t="s">
        <v>14613</v>
      </c>
      <c r="B3228" s="298" t="s">
        <v>14614</v>
      </c>
      <c r="C3228" s="298" t="s">
        <v>672</v>
      </c>
      <c r="D3228" s="298" t="s">
        <v>256</v>
      </c>
      <c r="E3228" s="298" t="s">
        <v>55</v>
      </c>
      <c r="F3228" s="298" t="s">
        <v>14615</v>
      </c>
      <c r="G3228" s="299" t="b">
        <v>0</v>
      </c>
      <c r="H3228" s="299" t="b">
        <v>0</v>
      </c>
      <c r="J3228" s="113" t="str">
        <f t="shared" si="101"/>
        <v>976199369</v>
      </c>
      <c r="K3228" s="113" t="str">
        <f t="shared" si="102"/>
        <v>CG03317</v>
      </c>
    </row>
    <row r="3229" spans="1:11" x14ac:dyDescent="0.3">
      <c r="A3229" s="298" t="s">
        <v>14616</v>
      </c>
      <c r="B3229" s="298" t="s">
        <v>14617</v>
      </c>
      <c r="C3229" s="298" t="s">
        <v>2713</v>
      </c>
      <c r="D3229" s="298" t="s">
        <v>256</v>
      </c>
      <c r="E3229" s="298" t="s">
        <v>55</v>
      </c>
      <c r="F3229" s="298" t="s">
        <v>14618</v>
      </c>
      <c r="G3229" s="299" t="b">
        <v>0</v>
      </c>
      <c r="H3229" s="299" t="b">
        <v>0</v>
      </c>
      <c r="J3229" s="113" t="str">
        <f t="shared" si="101"/>
        <v>356224697</v>
      </c>
      <c r="K3229" s="113" t="str">
        <f t="shared" si="102"/>
        <v>CG03318</v>
      </c>
    </row>
    <row r="3230" spans="1:11" x14ac:dyDescent="0.3">
      <c r="A3230" s="298" t="s">
        <v>14619</v>
      </c>
      <c r="B3230" s="298" t="s">
        <v>14620</v>
      </c>
      <c r="C3230" s="298" t="s">
        <v>672</v>
      </c>
      <c r="D3230" s="298" t="s">
        <v>256</v>
      </c>
      <c r="E3230" s="298" t="s">
        <v>55</v>
      </c>
      <c r="F3230" s="298" t="s">
        <v>14621</v>
      </c>
      <c r="G3230" s="299" t="b">
        <v>0</v>
      </c>
      <c r="H3230" s="299" t="b">
        <v>0</v>
      </c>
      <c r="J3230" s="113" t="str">
        <f t="shared" si="101"/>
        <v>979324805</v>
      </c>
      <c r="K3230" s="113" t="str">
        <f t="shared" si="102"/>
        <v>CG03319</v>
      </c>
    </row>
    <row r="3231" spans="1:11" x14ac:dyDescent="0.3">
      <c r="A3231" s="298" t="s">
        <v>14622</v>
      </c>
      <c r="B3231" s="298" t="s">
        <v>14623</v>
      </c>
      <c r="C3231" s="298" t="s">
        <v>14624</v>
      </c>
      <c r="D3231" s="298" t="s">
        <v>256</v>
      </c>
      <c r="E3231" s="298" t="s">
        <v>55</v>
      </c>
      <c r="F3231" s="298" t="s">
        <v>14625</v>
      </c>
      <c r="G3231" s="299" t="b">
        <v>0</v>
      </c>
      <c r="H3231" s="299" t="b">
        <v>0</v>
      </c>
      <c r="J3231" s="113" t="str">
        <f t="shared" si="101"/>
        <v>854444555</v>
      </c>
      <c r="K3231" s="113" t="str">
        <f t="shared" si="102"/>
        <v>CG03320</v>
      </c>
    </row>
    <row r="3232" spans="1:11" x14ac:dyDescent="0.3">
      <c r="A3232" s="298" t="s">
        <v>14626</v>
      </c>
      <c r="B3232" s="298" t="s">
        <v>14627</v>
      </c>
      <c r="C3232" s="298" t="s">
        <v>7521</v>
      </c>
      <c r="D3232" s="298" t="s">
        <v>256</v>
      </c>
      <c r="E3232" s="298" t="s">
        <v>55</v>
      </c>
      <c r="F3232" s="298" t="s">
        <v>14628</v>
      </c>
      <c r="G3232" s="299" t="b">
        <v>0</v>
      </c>
      <c r="H3232" s="299" t="b">
        <v>0</v>
      </c>
      <c r="J3232" s="113" t="str">
        <f t="shared" si="101"/>
        <v>859671199</v>
      </c>
      <c r="K3232" s="113" t="str">
        <f t="shared" si="102"/>
        <v>CG03321</v>
      </c>
    </row>
    <row r="3233" spans="1:11" x14ac:dyDescent="0.3">
      <c r="A3233" s="298" t="s">
        <v>14629</v>
      </c>
      <c r="B3233" s="298" t="s">
        <v>14630</v>
      </c>
      <c r="C3233" s="298" t="s">
        <v>1004</v>
      </c>
      <c r="D3233" s="298" t="s">
        <v>256</v>
      </c>
      <c r="E3233" s="298" t="s">
        <v>55</v>
      </c>
      <c r="F3233" s="298" t="s">
        <v>14631</v>
      </c>
      <c r="G3233" s="299" t="b">
        <v>0</v>
      </c>
      <c r="H3233" s="299" t="b">
        <v>0</v>
      </c>
      <c r="J3233" s="113" t="str">
        <f t="shared" si="101"/>
        <v>969256678</v>
      </c>
      <c r="K3233" s="113" t="str">
        <f t="shared" si="102"/>
        <v>CG03322</v>
      </c>
    </row>
    <row r="3234" spans="1:11" x14ac:dyDescent="0.3">
      <c r="A3234" s="298" t="s">
        <v>14632</v>
      </c>
      <c r="B3234" s="298" t="s">
        <v>14633</v>
      </c>
      <c r="C3234" s="298" t="s">
        <v>1335</v>
      </c>
      <c r="D3234" s="298" t="s">
        <v>256</v>
      </c>
      <c r="E3234" s="298" t="s">
        <v>55</v>
      </c>
      <c r="F3234" s="298" t="s">
        <v>14634</v>
      </c>
      <c r="G3234" s="299" t="b">
        <v>0</v>
      </c>
      <c r="H3234" s="299" t="b">
        <v>0</v>
      </c>
      <c r="J3234" s="113" t="str">
        <f t="shared" si="101"/>
        <v>969129666</v>
      </c>
      <c r="K3234" s="113" t="str">
        <f t="shared" si="102"/>
        <v>CG03323</v>
      </c>
    </row>
    <row r="3235" spans="1:11" x14ac:dyDescent="0.3">
      <c r="A3235" s="298" t="s">
        <v>14635</v>
      </c>
      <c r="B3235" s="298" t="s">
        <v>14636</v>
      </c>
      <c r="C3235" s="298" t="s">
        <v>4741</v>
      </c>
      <c r="D3235" s="298" t="s">
        <v>256</v>
      </c>
      <c r="E3235" s="298" t="s">
        <v>55</v>
      </c>
      <c r="F3235" s="298" t="s">
        <v>14637</v>
      </c>
      <c r="G3235" s="299" t="b">
        <v>0</v>
      </c>
      <c r="H3235" s="299" t="b">
        <v>0</v>
      </c>
      <c r="J3235" s="113" t="str">
        <f t="shared" si="101"/>
        <v>356800067</v>
      </c>
      <c r="K3235" s="113" t="str">
        <f t="shared" si="102"/>
        <v>CG03324</v>
      </c>
    </row>
    <row r="3236" spans="1:11" x14ac:dyDescent="0.3">
      <c r="A3236" s="298" t="s">
        <v>14638</v>
      </c>
      <c r="B3236" s="298" t="s">
        <v>14639</v>
      </c>
      <c r="C3236" s="298" t="s">
        <v>416</v>
      </c>
      <c r="D3236" s="298" t="s">
        <v>256</v>
      </c>
      <c r="E3236" s="298" t="s">
        <v>55</v>
      </c>
      <c r="F3236" s="298" t="s">
        <v>14640</v>
      </c>
      <c r="G3236" s="299" t="b">
        <v>0</v>
      </c>
      <c r="H3236" s="299" t="b">
        <v>0</v>
      </c>
      <c r="J3236" s="113" t="str">
        <f t="shared" si="101"/>
        <v>977737783</v>
      </c>
      <c r="K3236" s="113" t="str">
        <f t="shared" si="102"/>
        <v>CG03325</v>
      </c>
    </row>
    <row r="3237" spans="1:11" x14ac:dyDescent="0.3">
      <c r="A3237" s="298" t="s">
        <v>14641</v>
      </c>
      <c r="B3237" s="298" t="s">
        <v>14642</v>
      </c>
      <c r="C3237" s="298" t="s">
        <v>231</v>
      </c>
      <c r="D3237" s="298" t="s">
        <v>256</v>
      </c>
      <c r="E3237" s="298" t="s">
        <v>55</v>
      </c>
      <c r="F3237" s="298" t="s">
        <v>14643</v>
      </c>
      <c r="G3237" s="299" t="b">
        <v>0</v>
      </c>
      <c r="H3237" s="299" t="b">
        <v>0</v>
      </c>
      <c r="J3237" s="113" t="str">
        <f t="shared" si="101"/>
        <v>903225289</v>
      </c>
      <c r="K3237" s="113" t="str">
        <f t="shared" si="102"/>
        <v>CG03326</v>
      </c>
    </row>
    <row r="3238" spans="1:11" x14ac:dyDescent="0.3">
      <c r="A3238" s="298" t="s">
        <v>14644</v>
      </c>
      <c r="B3238" s="298" t="s">
        <v>14647</v>
      </c>
      <c r="C3238" s="298" t="s">
        <v>14645</v>
      </c>
      <c r="D3238" s="298" t="s">
        <v>256</v>
      </c>
      <c r="E3238" s="298" t="s">
        <v>14646</v>
      </c>
      <c r="F3238" s="298" t="s">
        <v>1509</v>
      </c>
      <c r="G3238" s="299" t="b">
        <v>0</v>
      </c>
      <c r="H3238" s="299" t="b">
        <v>0</v>
      </c>
      <c r="J3238" s="113" t="str">
        <f t="shared" si="101"/>
        <v>rường Thọ</v>
      </c>
      <c r="K3238" s="113" t="str">
        <f t="shared" si="102"/>
        <v>CG03328</v>
      </c>
    </row>
    <row r="3239" spans="1:11" x14ac:dyDescent="0.3">
      <c r="A3239" s="298" t="s">
        <v>14779</v>
      </c>
      <c r="B3239" s="298" t="s">
        <v>14780</v>
      </c>
      <c r="C3239" s="298" t="s">
        <v>547</v>
      </c>
      <c r="D3239" s="298" t="s">
        <v>256</v>
      </c>
      <c r="E3239" s="298" t="s">
        <v>55</v>
      </c>
      <c r="F3239" s="298" t="s">
        <v>14781</v>
      </c>
      <c r="G3239" s="299" t="b">
        <v>0</v>
      </c>
      <c r="H3239" s="299" t="b">
        <v>0</v>
      </c>
      <c r="J3239" s="113" t="str">
        <f t="shared" si="101"/>
        <v>972211518</v>
      </c>
      <c r="K3239" s="113" t="str">
        <f t="shared" si="102"/>
        <v>CG03329</v>
      </c>
    </row>
    <row r="3240" spans="1:11" x14ac:dyDescent="0.3">
      <c r="A3240" s="298" t="s">
        <v>14782</v>
      </c>
      <c r="B3240" s="298" t="s">
        <v>14783</v>
      </c>
      <c r="C3240" s="298" t="s">
        <v>13449</v>
      </c>
      <c r="D3240" s="298" t="s">
        <v>256</v>
      </c>
      <c r="E3240" s="298" t="s">
        <v>55</v>
      </c>
      <c r="F3240" s="298" t="s">
        <v>14784</v>
      </c>
      <c r="G3240" s="299" t="b">
        <v>0</v>
      </c>
      <c r="H3240" s="299" t="b">
        <v>0</v>
      </c>
      <c r="J3240" s="113" t="str">
        <f t="shared" si="101"/>
        <v>918262555</v>
      </c>
      <c r="K3240" s="113" t="str">
        <f t="shared" si="102"/>
        <v>CG03330</v>
      </c>
    </row>
    <row r="3241" spans="1:11" x14ac:dyDescent="0.3">
      <c r="A3241" s="298" t="s">
        <v>14785</v>
      </c>
      <c r="B3241" s="298" t="s">
        <v>14786</v>
      </c>
      <c r="C3241" s="298" t="s">
        <v>13449</v>
      </c>
      <c r="D3241" s="298" t="s">
        <v>256</v>
      </c>
      <c r="E3241" s="298" t="s">
        <v>55</v>
      </c>
      <c r="F3241" s="298" t="s">
        <v>14787</v>
      </c>
      <c r="G3241" s="299" t="b">
        <v>0</v>
      </c>
      <c r="H3241" s="299" t="b">
        <v>0</v>
      </c>
      <c r="J3241" s="113" t="str">
        <f t="shared" si="101"/>
        <v>912944988</v>
      </c>
      <c r="K3241" s="113" t="str">
        <f t="shared" si="102"/>
        <v>CG03331</v>
      </c>
    </row>
    <row r="3242" spans="1:11" x14ac:dyDescent="0.3">
      <c r="A3242" s="298" t="s">
        <v>14788</v>
      </c>
      <c r="B3242" s="298" t="s">
        <v>14789</v>
      </c>
      <c r="C3242" s="298" t="s">
        <v>14790</v>
      </c>
      <c r="D3242" s="298" t="s">
        <v>256</v>
      </c>
      <c r="E3242" s="298" t="s">
        <v>55</v>
      </c>
      <c r="F3242" s="298" t="s">
        <v>14791</v>
      </c>
      <c r="G3242" s="299" t="b">
        <v>0</v>
      </c>
      <c r="H3242" s="299" t="b">
        <v>0</v>
      </c>
      <c r="J3242" s="113" t="str">
        <f t="shared" si="101"/>
        <v>985330449</v>
      </c>
      <c r="K3242" s="113" t="str">
        <f t="shared" si="102"/>
        <v>CG03332</v>
      </c>
    </row>
    <row r="3243" spans="1:11" x14ac:dyDescent="0.3">
      <c r="A3243" s="298" t="s">
        <v>14792</v>
      </c>
      <c r="B3243" s="298" t="s">
        <v>14793</v>
      </c>
      <c r="C3243" s="298" t="s">
        <v>14794</v>
      </c>
      <c r="D3243" s="298" t="s">
        <v>256</v>
      </c>
      <c r="E3243" s="298" t="s">
        <v>55</v>
      </c>
      <c r="F3243" s="298" t="s">
        <v>55</v>
      </c>
      <c r="G3243" s="299" t="b">
        <v>0</v>
      </c>
      <c r="H3243" s="299" t="b">
        <v>0</v>
      </c>
      <c r="J3243" s="113" t="str">
        <f t="shared" si="101"/>
        <v xml:space="preserve"> Mike Zhu</v>
      </c>
      <c r="K3243" s="113" t="str">
        <f t="shared" si="102"/>
        <v>CG03333</v>
      </c>
    </row>
    <row r="3244" spans="1:11" x14ac:dyDescent="0.3">
      <c r="A3244" s="298" t="s">
        <v>14795</v>
      </c>
      <c r="B3244" s="298" t="s">
        <v>14796</v>
      </c>
      <c r="C3244" s="298" t="s">
        <v>286</v>
      </c>
      <c r="D3244" s="298" t="s">
        <v>256</v>
      </c>
      <c r="E3244" s="298" t="s">
        <v>55</v>
      </c>
      <c r="F3244" s="298" t="s">
        <v>14797</v>
      </c>
      <c r="G3244" s="299" t="b">
        <v>0</v>
      </c>
      <c r="H3244" s="299" t="b">
        <v>0</v>
      </c>
      <c r="J3244" s="113" t="str">
        <f t="shared" si="101"/>
        <v>968235688</v>
      </c>
      <c r="K3244" s="113" t="str">
        <f t="shared" si="102"/>
        <v>CG03334</v>
      </c>
    </row>
    <row r="3245" spans="1:11" x14ac:dyDescent="0.3">
      <c r="A3245" s="298" t="s">
        <v>14798</v>
      </c>
      <c r="B3245" s="298" t="s">
        <v>14799</v>
      </c>
      <c r="C3245" s="298" t="s">
        <v>1734</v>
      </c>
      <c r="D3245" s="298" t="s">
        <v>256</v>
      </c>
      <c r="E3245" s="298" t="s">
        <v>55</v>
      </c>
      <c r="F3245" s="298" t="s">
        <v>14800</v>
      </c>
      <c r="G3245" s="299" t="b">
        <v>0</v>
      </c>
      <c r="H3245" s="299" t="b">
        <v>0</v>
      </c>
      <c r="J3245" s="113" t="str">
        <f t="shared" si="101"/>
        <v>978129550</v>
      </c>
      <c r="K3245" s="113" t="str">
        <f t="shared" si="102"/>
        <v>CG03335</v>
      </c>
    </row>
    <row r="3246" spans="1:11" x14ac:dyDescent="0.3">
      <c r="A3246" s="298" t="s">
        <v>14801</v>
      </c>
      <c r="B3246" s="298" t="s">
        <v>14802</v>
      </c>
      <c r="C3246" s="298" t="s">
        <v>14803</v>
      </c>
      <c r="D3246" s="298" t="s">
        <v>256</v>
      </c>
      <c r="E3246" s="298" t="s">
        <v>55</v>
      </c>
      <c r="F3246" s="298" t="s">
        <v>14804</v>
      </c>
      <c r="G3246" s="299" t="b">
        <v>0</v>
      </c>
      <c r="H3246" s="299" t="b">
        <v>0</v>
      </c>
      <c r="J3246" s="113" t="str">
        <f t="shared" si="101"/>
        <v>967138199</v>
      </c>
      <c r="K3246" s="113" t="str">
        <f t="shared" si="102"/>
        <v>CG03336</v>
      </c>
    </row>
    <row r="3247" spans="1:11" x14ac:dyDescent="0.3">
      <c r="A3247" s="298" t="s">
        <v>14805</v>
      </c>
      <c r="B3247" s="298" t="s">
        <v>14806</v>
      </c>
      <c r="C3247" s="298" t="s">
        <v>487</v>
      </c>
      <c r="D3247" s="298" t="s">
        <v>256</v>
      </c>
      <c r="E3247" s="298" t="s">
        <v>55</v>
      </c>
      <c r="F3247" s="298" t="s">
        <v>14807</v>
      </c>
      <c r="G3247" s="299" t="b">
        <v>0</v>
      </c>
      <c r="H3247" s="299" t="b">
        <v>0</v>
      </c>
      <c r="J3247" s="113" t="str">
        <f t="shared" si="101"/>
        <v>945116989</v>
      </c>
      <c r="K3247" s="113" t="str">
        <f t="shared" si="102"/>
        <v>CG03337</v>
      </c>
    </row>
    <row r="3248" spans="1:11" x14ac:dyDescent="0.3">
      <c r="A3248" s="298" t="s">
        <v>14808</v>
      </c>
      <c r="B3248" s="298" t="s">
        <v>14809</v>
      </c>
      <c r="C3248" s="298" t="s">
        <v>13596</v>
      </c>
      <c r="D3248" s="298" t="s">
        <v>256</v>
      </c>
      <c r="E3248" s="298" t="s">
        <v>55</v>
      </c>
      <c r="F3248" s="298" t="s">
        <v>14810</v>
      </c>
      <c r="G3248" s="299" t="b">
        <v>0</v>
      </c>
      <c r="H3248" s="299" t="b">
        <v>0</v>
      </c>
      <c r="J3248" s="113" t="str">
        <f t="shared" si="101"/>
        <v>977575533</v>
      </c>
      <c r="K3248" s="113" t="str">
        <f t="shared" si="102"/>
        <v>CG03338</v>
      </c>
    </row>
    <row r="3249" spans="1:11" x14ac:dyDescent="0.3">
      <c r="A3249" s="298" t="s">
        <v>14811</v>
      </c>
      <c r="B3249" s="298" t="s">
        <v>14812</v>
      </c>
      <c r="C3249" s="298" t="s">
        <v>14813</v>
      </c>
      <c r="D3249" s="298" t="s">
        <v>256</v>
      </c>
      <c r="E3249" s="298" t="s">
        <v>55</v>
      </c>
      <c r="F3249" s="298" t="s">
        <v>14814</v>
      </c>
      <c r="G3249" s="299" t="b">
        <v>0</v>
      </c>
      <c r="H3249" s="299" t="b">
        <v>0</v>
      </c>
      <c r="J3249" s="113" t="str">
        <f t="shared" si="101"/>
        <v>912617718</v>
      </c>
      <c r="K3249" s="113" t="str">
        <f t="shared" si="102"/>
        <v>CG03339</v>
      </c>
    </row>
    <row r="3250" spans="1:11" x14ac:dyDescent="0.3">
      <c r="A3250" s="298" t="s">
        <v>14815</v>
      </c>
      <c r="B3250" s="298" t="s">
        <v>14816</v>
      </c>
      <c r="C3250" s="298" t="s">
        <v>230</v>
      </c>
      <c r="D3250" s="298" t="s">
        <v>256</v>
      </c>
      <c r="E3250" s="298" t="s">
        <v>55</v>
      </c>
      <c r="F3250" s="298" t="s">
        <v>14817</v>
      </c>
      <c r="G3250" s="299" t="b">
        <v>0</v>
      </c>
      <c r="H3250" s="299" t="b">
        <v>0</v>
      </c>
      <c r="J3250" s="113" t="str">
        <f t="shared" si="101"/>
        <v>915013638</v>
      </c>
      <c r="K3250" s="113" t="str">
        <f t="shared" si="102"/>
        <v>CG03340</v>
      </c>
    </row>
    <row r="3251" spans="1:11" x14ac:dyDescent="0.3">
      <c r="A3251" s="298" t="s">
        <v>14818</v>
      </c>
      <c r="B3251" s="298" t="s">
        <v>14819</v>
      </c>
      <c r="C3251" s="298" t="s">
        <v>14820</v>
      </c>
      <c r="D3251" s="298" t="s">
        <v>256</v>
      </c>
      <c r="E3251" s="298" t="s">
        <v>55</v>
      </c>
      <c r="F3251" s="298" t="s">
        <v>14821</v>
      </c>
      <c r="G3251" s="299" t="b">
        <v>0</v>
      </c>
      <c r="H3251" s="299" t="b">
        <v>0</v>
      </c>
      <c r="J3251" s="113" t="str">
        <f t="shared" si="101"/>
        <v>988729569</v>
      </c>
      <c r="K3251" s="113" t="str">
        <f t="shared" si="102"/>
        <v>CG03341</v>
      </c>
    </row>
    <row r="3252" spans="1:11" x14ac:dyDescent="0.3">
      <c r="A3252" s="298" t="s">
        <v>14822</v>
      </c>
      <c r="B3252" s="298" t="s">
        <v>14823</v>
      </c>
      <c r="C3252" s="298" t="s">
        <v>1247</v>
      </c>
      <c r="D3252" s="298" t="s">
        <v>256</v>
      </c>
      <c r="E3252" s="298" t="s">
        <v>55</v>
      </c>
      <c r="F3252" s="298" t="s">
        <v>14824</v>
      </c>
      <c r="G3252" s="299" t="b">
        <v>0</v>
      </c>
      <c r="H3252" s="299" t="b">
        <v>0</v>
      </c>
      <c r="J3252" s="113" t="str">
        <f t="shared" si="101"/>
        <v>376944493</v>
      </c>
      <c r="K3252" s="113" t="str">
        <f t="shared" si="102"/>
        <v>CG03342</v>
      </c>
    </row>
    <row r="3253" spans="1:11" x14ac:dyDescent="0.3">
      <c r="A3253" s="298" t="s">
        <v>14825</v>
      </c>
      <c r="B3253" s="298" t="s">
        <v>14826</v>
      </c>
      <c r="C3253" s="298" t="s">
        <v>1196</v>
      </c>
      <c r="D3253" s="298" t="s">
        <v>256</v>
      </c>
      <c r="E3253" s="298" t="s">
        <v>55</v>
      </c>
      <c r="F3253" s="298" t="s">
        <v>14827</v>
      </c>
      <c r="G3253" s="299" t="b">
        <v>0</v>
      </c>
      <c r="H3253" s="299" t="b">
        <v>0</v>
      </c>
      <c r="J3253" s="113" t="str">
        <f t="shared" si="101"/>
        <v>972379988</v>
      </c>
      <c r="K3253" s="113" t="str">
        <f t="shared" si="102"/>
        <v>CG03343</v>
      </c>
    </row>
    <row r="3254" spans="1:11" x14ac:dyDescent="0.3">
      <c r="A3254" s="298" t="s">
        <v>14828</v>
      </c>
      <c r="B3254" s="298" t="s">
        <v>14829</v>
      </c>
      <c r="C3254" s="298" t="s">
        <v>5738</v>
      </c>
      <c r="D3254" s="298" t="s">
        <v>256</v>
      </c>
      <c r="E3254" s="298" t="s">
        <v>55</v>
      </c>
      <c r="F3254" s="298" t="s">
        <v>14830</v>
      </c>
      <c r="G3254" s="299" t="b">
        <v>0</v>
      </c>
      <c r="H3254" s="299" t="b">
        <v>0</v>
      </c>
      <c r="J3254" s="113" t="str">
        <f t="shared" si="101"/>
        <v>367019704</v>
      </c>
      <c r="K3254" s="113" t="str">
        <f t="shared" si="102"/>
        <v>CG03344</v>
      </c>
    </row>
    <row r="3255" spans="1:11" x14ac:dyDescent="0.3">
      <c r="A3255" s="298" t="s">
        <v>14831</v>
      </c>
      <c r="B3255" s="298" t="s">
        <v>14832</v>
      </c>
      <c r="C3255" s="298" t="s">
        <v>547</v>
      </c>
      <c r="D3255" s="298" t="s">
        <v>256</v>
      </c>
      <c r="E3255" s="298" t="s">
        <v>55</v>
      </c>
      <c r="F3255" s="298" t="s">
        <v>14833</v>
      </c>
      <c r="G3255" s="299" t="b">
        <v>0</v>
      </c>
      <c r="H3255" s="299" t="b">
        <v>0</v>
      </c>
      <c r="J3255" s="113" t="str">
        <f t="shared" si="101"/>
        <v>979206402</v>
      </c>
      <c r="K3255" s="113" t="str">
        <f t="shared" si="102"/>
        <v>CG03345</v>
      </c>
    </row>
    <row r="3256" spans="1:11" x14ac:dyDescent="0.3">
      <c r="A3256" s="298" t="s">
        <v>14834</v>
      </c>
      <c r="B3256" s="298" t="s">
        <v>14835</v>
      </c>
      <c r="C3256" s="298" t="s">
        <v>14836</v>
      </c>
      <c r="D3256" s="298" t="s">
        <v>256</v>
      </c>
      <c r="E3256" s="298" t="s">
        <v>55</v>
      </c>
      <c r="F3256" s="298" t="s">
        <v>14837</v>
      </c>
      <c r="G3256" s="299" t="b">
        <v>0</v>
      </c>
      <c r="H3256" s="299" t="b">
        <v>0</v>
      </c>
      <c r="J3256" s="113" t="str">
        <f t="shared" si="101"/>
        <v>963948946</v>
      </c>
      <c r="K3256" s="113" t="str">
        <f t="shared" si="102"/>
        <v>CG03346</v>
      </c>
    </row>
    <row r="3257" spans="1:11" x14ac:dyDescent="0.3">
      <c r="A3257" s="298" t="s">
        <v>14838</v>
      </c>
      <c r="B3257" s="298" t="s">
        <v>14839</v>
      </c>
      <c r="C3257" s="298" t="s">
        <v>332</v>
      </c>
      <c r="D3257" s="298" t="s">
        <v>256</v>
      </c>
      <c r="E3257" s="298" t="s">
        <v>55</v>
      </c>
      <c r="F3257" s="298" t="s">
        <v>14840</v>
      </c>
      <c r="G3257" s="299" t="b">
        <v>0</v>
      </c>
      <c r="H3257" s="299" t="b">
        <v>0</v>
      </c>
      <c r="J3257" s="113" t="str">
        <f t="shared" si="101"/>
        <v>914667899</v>
      </c>
      <c r="K3257" s="113" t="str">
        <f t="shared" si="102"/>
        <v>CG03347</v>
      </c>
    </row>
    <row r="3258" spans="1:11" x14ac:dyDescent="0.3">
      <c r="A3258" s="298" t="s">
        <v>14841</v>
      </c>
      <c r="B3258" s="298" t="s">
        <v>14842</v>
      </c>
      <c r="C3258" s="298" t="s">
        <v>14843</v>
      </c>
      <c r="D3258" s="298" t="s">
        <v>256</v>
      </c>
      <c r="E3258" s="298" t="s">
        <v>55</v>
      </c>
      <c r="F3258" s="298" t="s">
        <v>14844</v>
      </c>
      <c r="G3258" s="299" t="b">
        <v>0</v>
      </c>
      <c r="H3258" s="299" t="b">
        <v>0</v>
      </c>
      <c r="J3258" s="113" t="str">
        <f t="shared" si="101"/>
        <v>967179078</v>
      </c>
      <c r="K3258" s="113" t="str">
        <f t="shared" si="102"/>
        <v>CG03348</v>
      </c>
    </row>
    <row r="3259" spans="1:11" x14ac:dyDescent="0.3">
      <c r="A3259" s="298" t="s">
        <v>14845</v>
      </c>
      <c r="B3259" s="298" t="s">
        <v>14846</v>
      </c>
      <c r="C3259" s="298" t="s">
        <v>332</v>
      </c>
      <c r="D3259" s="298" t="s">
        <v>256</v>
      </c>
      <c r="E3259" s="298" t="s">
        <v>55</v>
      </c>
      <c r="F3259" s="298" t="s">
        <v>14847</v>
      </c>
      <c r="G3259" s="299" t="b">
        <v>0</v>
      </c>
      <c r="H3259" s="299" t="b">
        <v>0</v>
      </c>
      <c r="J3259" s="113" t="str">
        <f t="shared" si="101"/>
        <v>378767525</v>
      </c>
      <c r="K3259" s="113" t="str">
        <f t="shared" si="102"/>
        <v>CG03349</v>
      </c>
    </row>
    <row r="3260" spans="1:11" x14ac:dyDescent="0.3">
      <c r="A3260" s="298" t="s">
        <v>14848</v>
      </c>
      <c r="B3260" s="298" t="s">
        <v>14849</v>
      </c>
      <c r="C3260" s="298" t="s">
        <v>231</v>
      </c>
      <c r="D3260" s="298" t="s">
        <v>256</v>
      </c>
      <c r="E3260" s="298" t="s">
        <v>55</v>
      </c>
      <c r="F3260" s="298" t="s">
        <v>14850</v>
      </c>
      <c r="G3260" s="299" t="b">
        <v>0</v>
      </c>
      <c r="H3260" s="299" t="b">
        <v>0</v>
      </c>
      <c r="J3260" s="113" t="str">
        <f t="shared" si="101"/>
        <v>914658395</v>
      </c>
      <c r="K3260" s="113" t="str">
        <f t="shared" si="102"/>
        <v>CG03350</v>
      </c>
    </row>
    <row r="3261" spans="1:11" x14ac:dyDescent="0.3">
      <c r="A3261" s="298" t="s">
        <v>14851</v>
      </c>
      <c r="B3261" s="298" t="s">
        <v>14852</v>
      </c>
      <c r="C3261" s="298" t="s">
        <v>14853</v>
      </c>
      <c r="D3261" s="298" t="s">
        <v>256</v>
      </c>
      <c r="E3261" s="298" t="s">
        <v>55</v>
      </c>
      <c r="F3261" s="298" t="s">
        <v>14854</v>
      </c>
      <c r="G3261" s="299" t="b">
        <v>0</v>
      </c>
      <c r="H3261" s="299" t="b">
        <v>0</v>
      </c>
      <c r="J3261" s="113" t="str">
        <f t="shared" si="101"/>
        <v>979000706</v>
      </c>
      <c r="K3261" s="113" t="str">
        <f t="shared" si="102"/>
        <v>CG03351</v>
      </c>
    </row>
    <row r="3262" spans="1:11" x14ac:dyDescent="0.3">
      <c r="A3262" s="298" t="s">
        <v>14855</v>
      </c>
      <c r="B3262" s="298" t="s">
        <v>14856</v>
      </c>
      <c r="C3262" s="298" t="s">
        <v>2877</v>
      </c>
      <c r="D3262" s="298" t="s">
        <v>256</v>
      </c>
      <c r="E3262" s="298" t="s">
        <v>55</v>
      </c>
      <c r="F3262" s="298" t="s">
        <v>14857</v>
      </c>
      <c r="G3262" s="299" t="b">
        <v>0</v>
      </c>
      <c r="H3262" s="299" t="b">
        <v>0</v>
      </c>
      <c r="J3262" s="113" t="str">
        <f t="shared" si="101"/>
        <v>972595212</v>
      </c>
      <c r="K3262" s="113" t="str">
        <f t="shared" si="102"/>
        <v>CG03352</v>
      </c>
    </row>
    <row r="3263" spans="1:11" x14ac:dyDescent="0.3">
      <c r="A3263" s="298" t="s">
        <v>14858</v>
      </c>
      <c r="B3263" s="298" t="s">
        <v>14859</v>
      </c>
      <c r="C3263" s="298" t="s">
        <v>416</v>
      </c>
      <c r="D3263" s="298" t="s">
        <v>256</v>
      </c>
      <c r="E3263" s="298" t="s">
        <v>55</v>
      </c>
      <c r="F3263" s="298" t="s">
        <v>14860</v>
      </c>
      <c r="G3263" s="299" t="b">
        <v>0</v>
      </c>
      <c r="H3263" s="299" t="b">
        <v>0</v>
      </c>
      <c r="J3263" s="113" t="str">
        <f t="shared" si="101"/>
        <v>946365986</v>
      </c>
      <c r="K3263" s="113" t="str">
        <f t="shared" si="102"/>
        <v>CG03353</v>
      </c>
    </row>
    <row r="3264" spans="1:11" x14ac:dyDescent="0.3">
      <c r="A3264" s="298" t="s">
        <v>14861</v>
      </c>
      <c r="B3264" s="298" t="s">
        <v>14862</v>
      </c>
      <c r="C3264" s="298" t="s">
        <v>231</v>
      </c>
      <c r="D3264" s="298" t="s">
        <v>256</v>
      </c>
      <c r="E3264" s="298" t="s">
        <v>55</v>
      </c>
      <c r="F3264" s="298" t="s">
        <v>14863</v>
      </c>
      <c r="G3264" s="299" t="b">
        <v>0</v>
      </c>
      <c r="H3264" s="299" t="b">
        <v>0</v>
      </c>
      <c r="J3264" s="113" t="str">
        <f t="shared" si="101"/>
        <v>912334107</v>
      </c>
      <c r="K3264" s="113" t="str">
        <f t="shared" si="102"/>
        <v>CG03354</v>
      </c>
    </row>
    <row r="3265" spans="1:11" x14ac:dyDescent="0.3">
      <c r="A3265" s="298" t="s">
        <v>14864</v>
      </c>
      <c r="B3265" s="298" t="s">
        <v>14865</v>
      </c>
      <c r="C3265" s="298" t="s">
        <v>892</v>
      </c>
      <c r="D3265" s="298" t="s">
        <v>256</v>
      </c>
      <c r="E3265" s="298" t="s">
        <v>55</v>
      </c>
      <c r="F3265" s="298" t="s">
        <v>14866</v>
      </c>
      <c r="G3265" s="299" t="b">
        <v>0</v>
      </c>
      <c r="H3265" s="299" t="b">
        <v>0</v>
      </c>
      <c r="J3265" s="113" t="str">
        <f t="shared" si="101"/>
        <v>988722256</v>
      </c>
      <c r="K3265" s="113" t="str">
        <f t="shared" si="102"/>
        <v>CG03355</v>
      </c>
    </row>
    <row r="3266" spans="1:11" x14ac:dyDescent="0.3">
      <c r="A3266" s="298" t="s">
        <v>14867</v>
      </c>
      <c r="B3266" s="298" t="s">
        <v>14868</v>
      </c>
      <c r="C3266" s="298" t="s">
        <v>3573</v>
      </c>
      <c r="D3266" s="298" t="s">
        <v>256</v>
      </c>
      <c r="E3266" s="298" t="s">
        <v>55</v>
      </c>
      <c r="F3266" s="298" t="s">
        <v>14869</v>
      </c>
      <c r="G3266" s="299" t="b">
        <v>0</v>
      </c>
      <c r="H3266" s="299" t="b">
        <v>0</v>
      </c>
      <c r="J3266" s="113" t="str">
        <f t="shared" si="101"/>
        <v>915733629</v>
      </c>
      <c r="K3266" s="113" t="str">
        <f t="shared" si="102"/>
        <v>CG03356</v>
      </c>
    </row>
    <row r="3267" spans="1:11" x14ac:dyDescent="0.3">
      <c r="A3267" s="298" t="s">
        <v>14870</v>
      </c>
      <c r="B3267" s="298" t="s">
        <v>14871</v>
      </c>
      <c r="C3267" s="298" t="s">
        <v>231</v>
      </c>
      <c r="D3267" s="298" t="s">
        <v>256</v>
      </c>
      <c r="E3267" s="298" t="s">
        <v>55</v>
      </c>
      <c r="F3267" s="298" t="s">
        <v>14872</v>
      </c>
      <c r="G3267" s="299" t="b">
        <v>0</v>
      </c>
      <c r="H3267" s="299" t="b">
        <v>0</v>
      </c>
      <c r="J3267" s="113" t="str">
        <f t="shared" si="101"/>
        <v>912527643</v>
      </c>
      <c r="K3267" s="113" t="str">
        <f t="shared" si="102"/>
        <v>CG03357</v>
      </c>
    </row>
    <row r="3268" spans="1:11" x14ac:dyDescent="0.3">
      <c r="A3268" s="298" t="s">
        <v>14873</v>
      </c>
      <c r="B3268" s="298" t="s">
        <v>14874</v>
      </c>
      <c r="C3268" s="298" t="s">
        <v>6234</v>
      </c>
      <c r="D3268" s="298" t="s">
        <v>256</v>
      </c>
      <c r="E3268" s="298" t="s">
        <v>55</v>
      </c>
      <c r="F3268" s="298" t="s">
        <v>14875</v>
      </c>
      <c r="G3268" s="299" t="b">
        <v>0</v>
      </c>
      <c r="H3268" s="299" t="b">
        <v>0</v>
      </c>
      <c r="J3268" s="113" t="str">
        <f t="shared" si="101"/>
        <v>967810999</v>
      </c>
      <c r="K3268" s="113" t="str">
        <f t="shared" si="102"/>
        <v>CG03358</v>
      </c>
    </row>
    <row r="3269" spans="1:11" x14ac:dyDescent="0.3">
      <c r="A3269" s="298" t="s">
        <v>14876</v>
      </c>
      <c r="B3269" s="298" t="s">
        <v>14877</v>
      </c>
      <c r="C3269" s="298" t="s">
        <v>355</v>
      </c>
      <c r="D3269" s="298" t="s">
        <v>256</v>
      </c>
      <c r="E3269" s="298" t="s">
        <v>55</v>
      </c>
      <c r="F3269" s="298" t="s">
        <v>14878</v>
      </c>
      <c r="G3269" s="299" t="b">
        <v>0</v>
      </c>
      <c r="H3269" s="299" t="b">
        <v>0</v>
      </c>
      <c r="J3269" s="113" t="str">
        <f t="shared" ref="J3269:J3332" si="103">RIGHT(B3269,9)</f>
        <v>971120586</v>
      </c>
      <c r="K3269" s="113" t="str">
        <f t="shared" ref="K3269:K3332" si="104">A3269</f>
        <v>CG03359</v>
      </c>
    </row>
    <row r="3270" spans="1:11" x14ac:dyDescent="0.3">
      <c r="A3270" s="298" t="s">
        <v>14879</v>
      </c>
      <c r="B3270" s="298" t="s">
        <v>14880</v>
      </c>
      <c r="C3270" s="298" t="s">
        <v>2877</v>
      </c>
      <c r="D3270" s="298" t="s">
        <v>256</v>
      </c>
      <c r="E3270" s="298" t="s">
        <v>55</v>
      </c>
      <c r="F3270" s="298" t="s">
        <v>14881</v>
      </c>
      <c r="G3270" s="299" t="b">
        <v>0</v>
      </c>
      <c r="H3270" s="299" t="b">
        <v>0</v>
      </c>
      <c r="J3270" s="113" t="str">
        <f t="shared" si="103"/>
        <v>972820962</v>
      </c>
      <c r="K3270" s="113" t="str">
        <f t="shared" si="104"/>
        <v>CG03360</v>
      </c>
    </row>
    <row r="3271" spans="1:11" x14ac:dyDescent="0.3">
      <c r="A3271" s="298" t="s">
        <v>14882</v>
      </c>
      <c r="B3271" s="298" t="s">
        <v>14883</v>
      </c>
      <c r="C3271" s="298" t="s">
        <v>231</v>
      </c>
      <c r="D3271" s="298" t="s">
        <v>256</v>
      </c>
      <c r="E3271" s="298" t="s">
        <v>55</v>
      </c>
      <c r="F3271" s="298" t="s">
        <v>14884</v>
      </c>
      <c r="G3271" s="299" t="b">
        <v>0</v>
      </c>
      <c r="H3271" s="299" t="b">
        <v>0</v>
      </c>
      <c r="J3271" s="113" t="str">
        <f t="shared" si="103"/>
        <v>915407490</v>
      </c>
      <c r="K3271" s="113" t="str">
        <f t="shared" si="104"/>
        <v>CG03361</v>
      </c>
    </row>
    <row r="3272" spans="1:11" x14ac:dyDescent="0.3">
      <c r="A3272" s="298" t="s">
        <v>14885</v>
      </c>
      <c r="B3272" s="298" t="s">
        <v>14886</v>
      </c>
      <c r="C3272" s="298" t="s">
        <v>231</v>
      </c>
      <c r="D3272" s="298" t="s">
        <v>256</v>
      </c>
      <c r="E3272" s="298" t="s">
        <v>55</v>
      </c>
      <c r="F3272" s="298" t="s">
        <v>14887</v>
      </c>
      <c r="G3272" s="299" t="b">
        <v>0</v>
      </c>
      <c r="H3272" s="299" t="b">
        <v>0</v>
      </c>
      <c r="J3272" s="113" t="str">
        <f t="shared" si="103"/>
        <v>983130895</v>
      </c>
      <c r="K3272" s="113" t="str">
        <f t="shared" si="104"/>
        <v>CG03362</v>
      </c>
    </row>
    <row r="3273" spans="1:11" x14ac:dyDescent="0.3">
      <c r="A3273" s="298" t="s">
        <v>14888</v>
      </c>
      <c r="B3273" s="298" t="s">
        <v>14889</v>
      </c>
      <c r="C3273" s="298" t="s">
        <v>1444</v>
      </c>
      <c r="D3273" s="298" t="s">
        <v>256</v>
      </c>
      <c r="E3273" s="298" t="s">
        <v>55</v>
      </c>
      <c r="F3273" s="298" t="s">
        <v>14890</v>
      </c>
      <c r="G3273" s="299" t="b">
        <v>0</v>
      </c>
      <c r="H3273" s="299" t="b">
        <v>0</v>
      </c>
      <c r="J3273" s="113" t="str">
        <f t="shared" si="103"/>
        <v>945702886</v>
      </c>
      <c r="K3273" s="113" t="str">
        <f t="shared" si="104"/>
        <v>CG03363</v>
      </c>
    </row>
    <row r="3274" spans="1:11" x14ac:dyDescent="0.3">
      <c r="A3274" s="298" t="s">
        <v>14891</v>
      </c>
      <c r="B3274" s="298" t="s">
        <v>14892</v>
      </c>
      <c r="C3274" s="298" t="s">
        <v>1152</v>
      </c>
      <c r="D3274" s="298" t="s">
        <v>256</v>
      </c>
      <c r="E3274" s="298" t="s">
        <v>55</v>
      </c>
      <c r="F3274" s="298" t="s">
        <v>14893</v>
      </c>
      <c r="G3274" s="299" t="b">
        <v>0</v>
      </c>
      <c r="H3274" s="299" t="b">
        <v>0</v>
      </c>
      <c r="J3274" s="113" t="str">
        <f t="shared" si="103"/>
        <v>982596622</v>
      </c>
      <c r="K3274" s="113" t="str">
        <f t="shared" si="104"/>
        <v>CG03364</v>
      </c>
    </row>
    <row r="3275" spans="1:11" x14ac:dyDescent="0.3">
      <c r="A3275" s="298" t="s">
        <v>14894</v>
      </c>
      <c r="B3275" s="298" t="s">
        <v>14895</v>
      </c>
      <c r="C3275" s="298" t="s">
        <v>309</v>
      </c>
      <c r="D3275" s="298" t="s">
        <v>256</v>
      </c>
      <c r="E3275" s="298" t="s">
        <v>55</v>
      </c>
      <c r="F3275" s="298" t="s">
        <v>14896</v>
      </c>
      <c r="G3275" s="299" t="b">
        <v>0</v>
      </c>
      <c r="H3275" s="299" t="b">
        <v>0</v>
      </c>
      <c r="J3275" s="113" t="str">
        <f t="shared" si="103"/>
        <v>976552730</v>
      </c>
      <c r="K3275" s="113" t="str">
        <f t="shared" si="104"/>
        <v>CG03365</v>
      </c>
    </row>
    <row r="3276" spans="1:11" x14ac:dyDescent="0.3">
      <c r="A3276" s="298" t="s">
        <v>14897</v>
      </c>
      <c r="B3276" s="298" t="s">
        <v>14898</v>
      </c>
      <c r="C3276" s="298" t="s">
        <v>7595</v>
      </c>
      <c r="D3276" s="298" t="s">
        <v>256</v>
      </c>
      <c r="E3276" s="298" t="s">
        <v>55</v>
      </c>
      <c r="F3276" s="298" t="s">
        <v>14899</v>
      </c>
      <c r="G3276" s="299" t="b">
        <v>0</v>
      </c>
      <c r="H3276" s="299" t="b">
        <v>0</v>
      </c>
      <c r="J3276" s="113" t="str">
        <f t="shared" si="103"/>
        <v>975669888</v>
      </c>
      <c r="K3276" s="113" t="str">
        <f t="shared" si="104"/>
        <v>CG03366</v>
      </c>
    </row>
    <row r="3277" spans="1:11" x14ac:dyDescent="0.3">
      <c r="A3277" s="298" t="s">
        <v>14900</v>
      </c>
      <c r="B3277" s="298" t="s">
        <v>14901</v>
      </c>
      <c r="C3277" s="298" t="s">
        <v>286</v>
      </c>
      <c r="D3277" s="298" t="s">
        <v>256</v>
      </c>
      <c r="E3277" s="298" t="s">
        <v>14902</v>
      </c>
      <c r="F3277" s="298" t="s">
        <v>14903</v>
      </c>
      <c r="G3277" s="299" t="b">
        <v>0</v>
      </c>
      <c r="H3277" s="299" t="b">
        <v>0</v>
      </c>
      <c r="J3277" s="113" t="str">
        <f t="shared" si="103"/>
        <v>982546398</v>
      </c>
      <c r="K3277" s="113" t="str">
        <f t="shared" si="104"/>
        <v>CG03369</v>
      </c>
    </row>
    <row r="3278" spans="1:11" x14ac:dyDescent="0.3">
      <c r="A3278" s="298" t="s">
        <v>14904</v>
      </c>
      <c r="B3278" s="298" t="s">
        <v>14905</v>
      </c>
      <c r="C3278" s="298" t="s">
        <v>14905</v>
      </c>
      <c r="D3278" s="298" t="s">
        <v>256</v>
      </c>
      <c r="E3278" s="298" t="s">
        <v>55</v>
      </c>
      <c r="F3278" s="298" t="s">
        <v>14906</v>
      </c>
      <c r="G3278" s="299" t="b">
        <v>0</v>
      </c>
      <c r="H3278" s="299" t="b">
        <v>0</v>
      </c>
      <c r="J3278" s="113" t="str">
        <f t="shared" si="103"/>
        <v>948001679</v>
      </c>
      <c r="K3278" s="113" t="str">
        <f t="shared" si="104"/>
        <v>CG03370</v>
      </c>
    </row>
    <row r="3279" spans="1:11" x14ac:dyDescent="0.3">
      <c r="A3279" s="298" t="s">
        <v>14907</v>
      </c>
      <c r="B3279" s="298" t="s">
        <v>14908</v>
      </c>
      <c r="C3279" s="298" t="s">
        <v>14909</v>
      </c>
      <c r="D3279" s="298" t="s">
        <v>256</v>
      </c>
      <c r="E3279" s="298" t="s">
        <v>55</v>
      </c>
      <c r="F3279" s="298" t="s">
        <v>14910</v>
      </c>
      <c r="G3279" s="299" t="b">
        <v>0</v>
      </c>
      <c r="H3279" s="299" t="b">
        <v>0</v>
      </c>
      <c r="J3279" s="113" t="str">
        <f t="shared" si="103"/>
        <v>989520555</v>
      </c>
      <c r="K3279" s="113" t="str">
        <f t="shared" si="104"/>
        <v>CG03371</v>
      </c>
    </row>
    <row r="3280" spans="1:11" x14ac:dyDescent="0.3">
      <c r="A3280" s="298" t="s">
        <v>10321</v>
      </c>
      <c r="B3280" s="298" t="s">
        <v>10322</v>
      </c>
      <c r="C3280" s="298" t="s">
        <v>10323</v>
      </c>
      <c r="D3280" s="298" t="s">
        <v>10316</v>
      </c>
      <c r="E3280" s="298" t="s">
        <v>10324</v>
      </c>
      <c r="F3280" s="298" t="s">
        <v>55</v>
      </c>
      <c r="G3280" s="299" t="b">
        <v>0</v>
      </c>
      <c r="H3280" s="299" t="b">
        <v>0</v>
      </c>
      <c r="J3280" s="113" t="str">
        <f t="shared" si="103"/>
        <v xml:space="preserve">h (VLHY) </v>
      </c>
      <c r="K3280" s="113" t="str">
        <f t="shared" si="104"/>
        <v>CS00127</v>
      </c>
    </row>
    <row r="3281" spans="1:11" x14ac:dyDescent="0.3">
      <c r="A3281" s="298" t="s">
        <v>13491</v>
      </c>
      <c r="B3281" s="298" t="s">
        <v>13492</v>
      </c>
      <c r="C3281" s="298"/>
      <c r="D3281" s="298"/>
      <c r="E3281" s="298"/>
      <c r="F3281" s="298"/>
      <c r="G3281" s="299" t="b">
        <v>0</v>
      </c>
      <c r="H3281" s="299" t="b">
        <v>0</v>
      </c>
      <c r="J3281" s="113" t="str">
        <f t="shared" si="103"/>
        <v>34687090)</v>
      </c>
      <c r="K3281" s="113" t="str">
        <f t="shared" si="104"/>
        <v>CS00128</v>
      </c>
    </row>
    <row r="3282" spans="1:11" x14ac:dyDescent="0.3">
      <c r="A3282" s="298" t="s">
        <v>13493</v>
      </c>
      <c r="B3282" s="298" t="s">
        <v>13494</v>
      </c>
      <c r="C3282" s="298"/>
      <c r="D3282" s="298"/>
      <c r="E3282" s="298"/>
      <c r="F3282" s="298"/>
      <c r="G3282" s="299" t="b">
        <v>0</v>
      </c>
      <c r="H3282" s="299" t="b">
        <v>0</v>
      </c>
      <c r="J3282" s="113" t="str">
        <f t="shared" si="103"/>
        <v>985360496</v>
      </c>
      <c r="K3282" s="113" t="str">
        <f t="shared" si="104"/>
        <v>CS00129</v>
      </c>
    </row>
    <row r="3283" spans="1:11" x14ac:dyDescent="0.3">
      <c r="A3283" s="298" t="s">
        <v>13495</v>
      </c>
      <c r="B3283" s="298" t="s">
        <v>13496</v>
      </c>
      <c r="C3283" s="298" t="s">
        <v>3001</v>
      </c>
      <c r="D3283" s="298"/>
      <c r="E3283" s="298"/>
      <c r="F3283" s="298"/>
      <c r="G3283" s="299" t="b">
        <v>0</v>
      </c>
      <c r="H3283" s="299" t="b">
        <v>0</v>
      </c>
      <c r="J3283" s="113" t="str">
        <f t="shared" si="103"/>
        <v>902033898</v>
      </c>
      <c r="K3283" s="113" t="str">
        <f t="shared" si="104"/>
        <v>CS00130</v>
      </c>
    </row>
    <row r="3284" spans="1:11" x14ac:dyDescent="0.3">
      <c r="A3284" s="298" t="s">
        <v>13497</v>
      </c>
      <c r="B3284" s="298" t="s">
        <v>13498</v>
      </c>
      <c r="C3284" s="298" t="s">
        <v>3001</v>
      </c>
      <c r="D3284" s="298"/>
      <c r="E3284" s="298"/>
      <c r="F3284" s="298"/>
      <c r="G3284" s="299" t="b">
        <v>0</v>
      </c>
      <c r="H3284" s="299" t="b">
        <v>0</v>
      </c>
      <c r="J3284" s="113" t="str">
        <f t="shared" si="103"/>
        <v>Vinfast</v>
      </c>
      <c r="K3284" s="113" t="str">
        <f t="shared" si="104"/>
        <v>CS00131</v>
      </c>
    </row>
    <row r="3285" spans="1:11" x14ac:dyDescent="0.3">
      <c r="A3285" s="298" t="s">
        <v>13499</v>
      </c>
      <c r="B3285" s="298" t="s">
        <v>13500</v>
      </c>
      <c r="C3285" s="298" t="s">
        <v>13501</v>
      </c>
      <c r="D3285" s="298"/>
      <c r="E3285" s="298"/>
      <c r="F3285" s="298"/>
      <c r="G3285" s="299" t="b">
        <v>0</v>
      </c>
      <c r="H3285" s="299" t="b">
        <v>0</v>
      </c>
      <c r="J3285" s="113" t="str">
        <f t="shared" si="103"/>
        <v>Vượng Đạt</v>
      </c>
      <c r="K3285" s="113" t="str">
        <f t="shared" si="104"/>
        <v>CS00132</v>
      </c>
    </row>
    <row r="3286" spans="1:11" x14ac:dyDescent="0.3">
      <c r="A3286" s="298" t="s">
        <v>13502</v>
      </c>
      <c r="B3286" s="298" t="s">
        <v>13503</v>
      </c>
      <c r="C3286" s="298" t="s">
        <v>55</v>
      </c>
      <c r="D3286" s="298"/>
      <c r="E3286" s="298"/>
      <c r="F3286" s="298"/>
      <c r="G3286" s="299" t="b">
        <v>0</v>
      </c>
      <c r="H3286" s="299" t="b">
        <v>0</v>
      </c>
      <c r="J3286" s="113" t="str">
        <f t="shared" si="103"/>
        <v>913075136</v>
      </c>
      <c r="K3286" s="113" t="str">
        <f t="shared" si="104"/>
        <v>CS00133</v>
      </c>
    </row>
    <row r="3287" spans="1:11" x14ac:dyDescent="0.3">
      <c r="A3287" s="298" t="s">
        <v>13504</v>
      </c>
      <c r="B3287" s="298" t="s">
        <v>13505</v>
      </c>
      <c r="C3287" s="298" t="s">
        <v>55</v>
      </c>
      <c r="D3287" s="298"/>
      <c r="E3287" s="298"/>
      <c r="F3287" s="298"/>
      <c r="G3287" s="299" t="b">
        <v>0</v>
      </c>
      <c r="H3287" s="299" t="b">
        <v>0</v>
      </c>
      <c r="J3287" s="113" t="str">
        <f t="shared" si="103"/>
        <v>Đạt Phát</v>
      </c>
      <c r="K3287" s="113" t="str">
        <f t="shared" si="104"/>
        <v>CS00134</v>
      </c>
    </row>
    <row r="3288" spans="1:11" x14ac:dyDescent="0.3">
      <c r="A3288" s="298" t="s">
        <v>13506</v>
      </c>
      <c r="B3288" s="298" t="s">
        <v>13507</v>
      </c>
      <c r="C3288" s="298" t="s">
        <v>55</v>
      </c>
      <c r="D3288" s="298"/>
      <c r="E3288" s="298"/>
      <c r="F3288" s="298"/>
      <c r="G3288" s="299" t="b">
        <v>0</v>
      </c>
      <c r="H3288" s="299" t="b">
        <v>0</v>
      </c>
      <c r="J3288" s="113" t="str">
        <f t="shared" si="103"/>
        <v>ình Dương</v>
      </c>
      <c r="K3288" s="113" t="str">
        <f t="shared" si="104"/>
        <v>CS00135</v>
      </c>
    </row>
    <row r="3289" spans="1:11" x14ac:dyDescent="0.3">
      <c r="A3289" s="298" t="s">
        <v>10325</v>
      </c>
      <c r="B3289" s="298" t="s">
        <v>232</v>
      </c>
      <c r="C3289" s="298"/>
      <c r="D3289" s="298" t="s">
        <v>10319</v>
      </c>
      <c r="E3289" s="298"/>
      <c r="F3289" s="298"/>
      <c r="G3289" s="299" t="b">
        <v>0</v>
      </c>
      <c r="H3289" s="299" t="b">
        <v>0</v>
      </c>
      <c r="J3289" s="113" t="str">
        <f t="shared" si="103"/>
        <v>Hoàng Sơn</v>
      </c>
      <c r="K3289" s="113" t="str">
        <f t="shared" si="104"/>
        <v>CX001</v>
      </c>
    </row>
    <row r="3290" spans="1:11" x14ac:dyDescent="0.3">
      <c r="A3290" s="298" t="s">
        <v>10326</v>
      </c>
      <c r="B3290" s="298" t="s">
        <v>10327</v>
      </c>
      <c r="C3290" s="298"/>
      <c r="D3290" s="298" t="s">
        <v>10319</v>
      </c>
      <c r="E3290" s="298"/>
      <c r="F3290" s="298"/>
      <c r="G3290" s="299" t="b">
        <v>0</v>
      </c>
      <c r="H3290" s="299" t="b">
        <v>0</v>
      </c>
      <c r="J3290" s="113" t="str">
        <f t="shared" si="103"/>
        <v>15C-03470</v>
      </c>
      <c r="K3290" s="113" t="str">
        <f t="shared" si="104"/>
        <v>CX002</v>
      </c>
    </row>
    <row r="3291" spans="1:11" x14ac:dyDescent="0.3">
      <c r="A3291" s="298" t="s">
        <v>10328</v>
      </c>
      <c r="B3291" s="298" t="s">
        <v>10329</v>
      </c>
      <c r="C3291" s="298"/>
      <c r="D3291" s="298" t="s">
        <v>10319</v>
      </c>
      <c r="E3291" s="298"/>
      <c r="F3291" s="298"/>
      <c r="G3291" s="299" t="b">
        <v>0</v>
      </c>
      <c r="H3291" s="299" t="b">
        <v>0</v>
      </c>
      <c r="J3291" s="113" t="str">
        <f t="shared" si="103"/>
        <v>15C-10645</v>
      </c>
      <c r="K3291" s="113" t="str">
        <f t="shared" si="104"/>
        <v>CX003</v>
      </c>
    </row>
    <row r="3292" spans="1:11" x14ac:dyDescent="0.3">
      <c r="A3292" s="298" t="s">
        <v>10330</v>
      </c>
      <c r="B3292" s="298" t="s">
        <v>10331</v>
      </c>
      <c r="C3292" s="298"/>
      <c r="D3292" s="298" t="s">
        <v>10319</v>
      </c>
      <c r="E3292" s="298"/>
      <c r="F3292" s="298"/>
      <c r="G3292" s="299" t="b">
        <v>0</v>
      </c>
      <c r="H3292" s="299" t="b">
        <v>0</v>
      </c>
      <c r="J3292" s="113" t="str">
        <f t="shared" si="103"/>
        <v>5C-01889)</v>
      </c>
      <c r="K3292" s="113" t="str">
        <f t="shared" si="104"/>
        <v>CX004</v>
      </c>
    </row>
    <row r="3293" spans="1:11" x14ac:dyDescent="0.3">
      <c r="A3293" s="298" t="s">
        <v>10332</v>
      </c>
      <c r="B3293" s="298" t="s">
        <v>10333</v>
      </c>
      <c r="C3293" s="298"/>
      <c r="D3293" s="298" t="s">
        <v>10319</v>
      </c>
      <c r="E3293" s="298"/>
      <c r="F3293" s="298"/>
      <c r="G3293" s="299" t="b">
        <v>0</v>
      </c>
      <c r="H3293" s="299" t="b">
        <v>0</v>
      </c>
      <c r="J3293" s="113" t="str">
        <f t="shared" si="103"/>
        <v>5C-11479)</v>
      </c>
      <c r="K3293" s="113" t="str">
        <f t="shared" si="104"/>
        <v>CX005</v>
      </c>
    </row>
    <row r="3294" spans="1:11" x14ac:dyDescent="0.3">
      <c r="A3294" s="298" t="s">
        <v>10334</v>
      </c>
      <c r="B3294" s="298" t="s">
        <v>10335</v>
      </c>
      <c r="C3294" s="298"/>
      <c r="D3294" s="298" t="s">
        <v>10319</v>
      </c>
      <c r="E3294" s="298"/>
      <c r="F3294" s="298"/>
      <c r="G3294" s="299" t="b">
        <v>0</v>
      </c>
      <c r="H3294" s="299" t="b">
        <v>0</v>
      </c>
      <c r="J3294" s="113" t="str">
        <f t="shared" si="103"/>
        <v>5C-13036)</v>
      </c>
      <c r="K3294" s="113" t="str">
        <f t="shared" si="104"/>
        <v>CX006</v>
      </c>
    </row>
    <row r="3295" spans="1:11" x14ac:dyDescent="0.3">
      <c r="A3295" s="298" t="s">
        <v>10336</v>
      </c>
      <c r="B3295" s="298" t="s">
        <v>10337</v>
      </c>
      <c r="C3295" s="298"/>
      <c r="D3295" s="298" t="s">
        <v>10316</v>
      </c>
      <c r="E3295" s="298"/>
      <c r="F3295" s="298"/>
      <c r="G3295" s="299" t="b">
        <v>0</v>
      </c>
      <c r="H3295" s="299" t="b">
        <v>0</v>
      </c>
      <c r="J3295" s="113" t="str">
        <f t="shared" si="103"/>
        <v>oàng Hiệp</v>
      </c>
      <c r="K3295" s="113" t="str">
        <f t="shared" si="104"/>
        <v>CX007</v>
      </c>
    </row>
    <row r="3296" spans="1:11" x14ac:dyDescent="0.3">
      <c r="A3296" s="298" t="s">
        <v>10338</v>
      </c>
      <c r="B3296" s="298" t="s">
        <v>10339</v>
      </c>
      <c r="C3296" s="298"/>
      <c r="D3296" s="298" t="s">
        <v>10319</v>
      </c>
      <c r="E3296" s="298"/>
      <c r="F3296" s="298"/>
      <c r="G3296" s="299" t="b">
        <v>0</v>
      </c>
      <c r="H3296" s="299" t="b">
        <v>0</v>
      </c>
      <c r="J3296" s="113" t="str">
        <f t="shared" si="103"/>
        <v>(Hùng Hà)</v>
      </c>
      <c r="K3296" s="113" t="str">
        <f t="shared" si="104"/>
        <v>CX014</v>
      </c>
    </row>
    <row r="3297" spans="1:11" x14ac:dyDescent="0.3">
      <c r="A3297" s="298" t="s">
        <v>10340</v>
      </c>
      <c r="B3297" s="298" t="s">
        <v>10341</v>
      </c>
      <c r="C3297" s="298" t="s">
        <v>10342</v>
      </c>
      <c r="D3297" s="298" t="s">
        <v>10316</v>
      </c>
      <c r="E3297" s="298"/>
      <c r="F3297" s="298"/>
      <c r="G3297" s="299" t="b">
        <v>0</v>
      </c>
      <c r="H3297" s="299" t="b">
        <v>0</v>
      </c>
      <c r="J3297" s="113" t="str">
        <f t="shared" si="103"/>
        <v>ễn Thắng)</v>
      </c>
      <c r="K3297" s="113" t="str">
        <f t="shared" si="104"/>
        <v>CX016</v>
      </c>
    </row>
    <row r="3298" spans="1:11" x14ac:dyDescent="0.3">
      <c r="A3298" s="298" t="s">
        <v>10343</v>
      </c>
      <c r="B3298" s="298" t="s">
        <v>10344</v>
      </c>
      <c r="C3298" s="298"/>
      <c r="D3298" s="298" t="s">
        <v>10319</v>
      </c>
      <c r="E3298" s="298"/>
      <c r="F3298" s="298"/>
      <c r="G3298" s="299" t="b">
        <v>0</v>
      </c>
      <c r="H3298" s="299" t="b">
        <v>0</v>
      </c>
      <c r="J3298" s="113" t="str">
        <f t="shared" si="103"/>
        <v>Kim Khánh</v>
      </c>
      <c r="K3298" s="113" t="str">
        <f t="shared" si="104"/>
        <v>CX017</v>
      </c>
    </row>
    <row r="3299" spans="1:11" x14ac:dyDescent="0.3">
      <c r="A3299" s="298" t="s">
        <v>10345</v>
      </c>
      <c r="B3299" s="298" t="s">
        <v>10346</v>
      </c>
      <c r="C3299" s="298" t="s">
        <v>10347</v>
      </c>
      <c r="D3299" s="298" t="s">
        <v>10316</v>
      </c>
      <c r="E3299" s="298"/>
      <c r="F3299" s="298"/>
      <c r="G3299" s="299" t="b">
        <v>0</v>
      </c>
      <c r="H3299" s="299" t="b">
        <v>0</v>
      </c>
      <c r="J3299" s="113" t="str">
        <f t="shared" si="103"/>
        <v>TNG</v>
      </c>
      <c r="K3299" s="113" t="str">
        <f t="shared" si="104"/>
        <v>CX020</v>
      </c>
    </row>
    <row r="3300" spans="1:11" x14ac:dyDescent="0.3">
      <c r="A3300" s="298" t="s">
        <v>10348</v>
      </c>
      <c r="B3300" s="298" t="s">
        <v>10349</v>
      </c>
      <c r="C3300" s="298"/>
      <c r="D3300" s="298" t="s">
        <v>10316</v>
      </c>
      <c r="E3300" s="298"/>
      <c r="F3300" s="298"/>
      <c r="G3300" s="299" t="b">
        <v>0</v>
      </c>
      <c r="H3300" s="299" t="b">
        <v>0</v>
      </c>
      <c r="J3300" s="113" t="str">
        <f t="shared" si="103"/>
        <v>đường dài</v>
      </c>
      <c r="K3300" s="113" t="str">
        <f t="shared" si="104"/>
        <v>CX028</v>
      </c>
    </row>
    <row r="3301" spans="1:11" x14ac:dyDescent="0.3">
      <c r="A3301" s="298" t="s">
        <v>10350</v>
      </c>
      <c r="B3301" s="298" t="s">
        <v>10351</v>
      </c>
      <c r="C3301" s="298" t="s">
        <v>10352</v>
      </c>
      <c r="D3301" s="298" t="s">
        <v>10319</v>
      </c>
      <c r="E3301" s="298"/>
      <c r="F3301" s="298"/>
      <c r="G3301" s="299" t="b">
        <v>0</v>
      </c>
      <c r="H3301" s="299" t="b">
        <v>0</v>
      </c>
      <c r="J3301" s="113" t="str">
        <f t="shared" si="103"/>
        <v>Luân Hòa)</v>
      </c>
      <c r="K3301" s="113" t="str">
        <f t="shared" si="104"/>
        <v>CX031</v>
      </c>
    </row>
    <row r="3302" spans="1:11" x14ac:dyDescent="0.3">
      <c r="A3302" s="298" t="s">
        <v>10353</v>
      </c>
      <c r="B3302" s="298" t="s">
        <v>10354</v>
      </c>
      <c r="C3302" s="298"/>
      <c r="D3302" s="298" t="s">
        <v>10319</v>
      </c>
      <c r="E3302" s="298"/>
      <c r="F3302" s="298"/>
      <c r="G3302" s="299" t="b">
        <v>0</v>
      </c>
      <c r="H3302" s="299" t="b">
        <v>0</v>
      </c>
      <c r="J3302" s="113" t="str">
        <f t="shared" si="103"/>
        <v>Điệp</v>
      </c>
      <c r="K3302" s="113" t="str">
        <f t="shared" si="104"/>
        <v>CX039</v>
      </c>
    </row>
    <row r="3303" spans="1:11" x14ac:dyDescent="0.3">
      <c r="A3303" s="298" t="s">
        <v>10355</v>
      </c>
      <c r="B3303" s="298" t="s">
        <v>10356</v>
      </c>
      <c r="C3303" s="298"/>
      <c r="D3303" s="298" t="s">
        <v>10319</v>
      </c>
      <c r="E3303" s="298"/>
      <c r="F3303" s="298"/>
      <c r="G3303" s="299" t="b">
        <v>0</v>
      </c>
      <c r="H3303" s="299" t="b">
        <v>0</v>
      </c>
      <c r="J3303" s="113" t="str">
        <f t="shared" si="103"/>
        <v>5C-25029)</v>
      </c>
      <c r="K3303" s="113" t="str">
        <f t="shared" si="104"/>
        <v>CX040</v>
      </c>
    </row>
    <row r="3304" spans="1:11" x14ac:dyDescent="0.3">
      <c r="A3304" s="298" t="s">
        <v>10357</v>
      </c>
      <c r="B3304" s="298" t="s">
        <v>219</v>
      </c>
      <c r="C3304" s="298" t="s">
        <v>10358</v>
      </c>
      <c r="D3304" s="298" t="s">
        <v>10316</v>
      </c>
      <c r="E3304" s="298"/>
      <c r="F3304" s="298" t="s">
        <v>10359</v>
      </c>
      <c r="G3304" s="299" t="b">
        <v>0</v>
      </c>
      <c r="H3304" s="299" t="b">
        <v>0</v>
      </c>
      <c r="J3304" s="113" t="str">
        <f t="shared" si="103"/>
        <v>Quý Cương</v>
      </c>
      <c r="K3304" s="113" t="str">
        <f t="shared" si="104"/>
        <v>CX049</v>
      </c>
    </row>
    <row r="3305" spans="1:11" x14ac:dyDescent="0.3">
      <c r="A3305" s="298" t="s">
        <v>10360</v>
      </c>
      <c r="B3305" s="298" t="s">
        <v>10361</v>
      </c>
      <c r="C3305" s="298"/>
      <c r="D3305" s="298" t="s">
        <v>10319</v>
      </c>
      <c r="E3305" s="298"/>
      <c r="F3305" s="298"/>
      <c r="G3305" s="299" t="b">
        <v>0</v>
      </c>
      <c r="H3305" s="299" t="b">
        <v>0</v>
      </c>
      <c r="J3305" s="113" t="str">
        <f t="shared" si="103"/>
        <v>15C-03426</v>
      </c>
      <c r="K3305" s="113" t="str">
        <f t="shared" si="104"/>
        <v>CX055</v>
      </c>
    </row>
    <row r="3306" spans="1:11" x14ac:dyDescent="0.3">
      <c r="A3306" s="298" t="s">
        <v>10362</v>
      </c>
      <c r="B3306" s="298" t="s">
        <v>10363</v>
      </c>
      <c r="C3306" s="298"/>
      <c r="D3306" s="298" t="s">
        <v>10319</v>
      </c>
      <c r="E3306" s="298"/>
      <c r="F3306" s="298"/>
      <c r="G3306" s="299" t="b">
        <v>0</v>
      </c>
      <c r="H3306" s="299" t="b">
        <v>0</v>
      </c>
      <c r="J3306" s="113" t="str">
        <f t="shared" si="103"/>
        <v>5C-25418)</v>
      </c>
      <c r="K3306" s="113" t="str">
        <f t="shared" si="104"/>
        <v>CX056</v>
      </c>
    </row>
    <row r="3307" spans="1:11" x14ac:dyDescent="0.3">
      <c r="A3307" s="298" t="s">
        <v>10364</v>
      </c>
      <c r="B3307" s="298" t="s">
        <v>10365</v>
      </c>
      <c r="C3307" s="298"/>
      <c r="D3307" s="298" t="s">
        <v>10319</v>
      </c>
      <c r="E3307" s="298"/>
      <c r="F3307" s="298"/>
      <c r="G3307" s="299" t="b">
        <v>0</v>
      </c>
      <c r="H3307" s="299" t="b">
        <v>0</v>
      </c>
      <c r="J3307" s="113" t="str">
        <f t="shared" si="103"/>
        <v>5C-01584)</v>
      </c>
      <c r="K3307" s="113" t="str">
        <f t="shared" si="104"/>
        <v>CX057</v>
      </c>
    </row>
    <row r="3308" spans="1:11" x14ac:dyDescent="0.3">
      <c r="A3308" s="298" t="s">
        <v>10366</v>
      </c>
      <c r="B3308" s="298" t="s">
        <v>10367</v>
      </c>
      <c r="C3308" s="298"/>
      <c r="D3308" s="298" t="s">
        <v>10319</v>
      </c>
      <c r="E3308" s="298"/>
      <c r="F3308" s="298"/>
      <c r="G3308" s="299" t="b">
        <v>0</v>
      </c>
      <c r="H3308" s="299" t="b">
        <v>0</v>
      </c>
      <c r="J3308" s="113" t="str">
        <f t="shared" si="103"/>
        <v>ờng Giang</v>
      </c>
      <c r="K3308" s="113" t="str">
        <f t="shared" si="104"/>
        <v>CX059</v>
      </c>
    </row>
    <row r="3309" spans="1:11" x14ac:dyDescent="0.3">
      <c r="A3309" s="298" t="s">
        <v>10368</v>
      </c>
      <c r="B3309" s="298" t="s">
        <v>10369</v>
      </c>
      <c r="C3309" s="298"/>
      <c r="D3309" s="298" t="s">
        <v>10319</v>
      </c>
      <c r="E3309" s="298"/>
      <c r="F3309" s="298"/>
      <c r="G3309" s="299" t="b">
        <v>0</v>
      </c>
      <c r="H3309" s="299" t="b">
        <v>0</v>
      </c>
      <c r="J3309" s="113" t="str">
        <f t="shared" si="103"/>
        <v>GA V</v>
      </c>
      <c r="K3309" s="113" t="str">
        <f t="shared" si="104"/>
        <v>CX067</v>
      </c>
    </row>
    <row r="3310" spans="1:11" x14ac:dyDescent="0.3">
      <c r="A3310" s="298" t="s">
        <v>10370</v>
      </c>
      <c r="B3310" s="298" t="s">
        <v>10371</v>
      </c>
      <c r="C3310" s="298" t="s">
        <v>3001</v>
      </c>
      <c r="D3310" s="298" t="s">
        <v>10319</v>
      </c>
      <c r="E3310" s="298"/>
      <c r="F3310" s="298"/>
      <c r="G3310" s="299" t="b">
        <v>0</v>
      </c>
      <c r="H3310" s="299" t="b">
        <v>0</v>
      </c>
      <c r="J3310" s="113" t="str">
        <f t="shared" si="103"/>
        <v>946429686</v>
      </c>
      <c r="K3310" s="113" t="str">
        <f t="shared" si="104"/>
        <v>CX069</v>
      </c>
    </row>
    <row r="3311" spans="1:11" x14ac:dyDescent="0.3">
      <c r="A3311" s="298" t="s">
        <v>10372</v>
      </c>
      <c r="B3311" s="298" t="s">
        <v>10373</v>
      </c>
      <c r="C3311" s="298" t="s">
        <v>3001</v>
      </c>
      <c r="D3311" s="298" t="s">
        <v>10319</v>
      </c>
      <c r="E3311" s="298"/>
      <c r="F3311" s="298"/>
      <c r="G3311" s="299" t="b">
        <v>0</v>
      </c>
      <c r="H3311" s="299" t="b">
        <v>0</v>
      </c>
      <c r="J3311" s="113" t="str">
        <f t="shared" si="103"/>
        <v>982985115</v>
      </c>
      <c r="K3311" s="113" t="str">
        <f t="shared" si="104"/>
        <v>CX070</v>
      </c>
    </row>
    <row r="3312" spans="1:11" x14ac:dyDescent="0.3">
      <c r="A3312" s="298" t="s">
        <v>10374</v>
      </c>
      <c r="B3312" s="298" t="s">
        <v>10375</v>
      </c>
      <c r="C3312" s="298" t="s">
        <v>3001</v>
      </c>
      <c r="D3312" s="298" t="s">
        <v>10319</v>
      </c>
      <c r="E3312" s="298"/>
      <c r="F3312" s="298"/>
      <c r="G3312" s="299" t="b">
        <v>0</v>
      </c>
      <c r="H3312" s="299" t="b">
        <v>0</v>
      </c>
      <c r="J3312" s="113" t="str">
        <f t="shared" si="103"/>
        <v>904342005</v>
      </c>
      <c r="K3312" s="113" t="str">
        <f t="shared" si="104"/>
        <v>CX071</v>
      </c>
    </row>
    <row r="3313" spans="1:11" x14ac:dyDescent="0.3">
      <c r="A3313" s="298" t="s">
        <v>10376</v>
      </c>
      <c r="B3313" s="298" t="s">
        <v>10377</v>
      </c>
      <c r="C3313" s="298" t="s">
        <v>3001</v>
      </c>
      <c r="D3313" s="298" t="s">
        <v>10319</v>
      </c>
      <c r="E3313" s="298"/>
      <c r="F3313" s="298" t="s">
        <v>10378</v>
      </c>
      <c r="G3313" s="299" t="b">
        <v>0</v>
      </c>
      <c r="H3313" s="299" t="b">
        <v>0</v>
      </c>
      <c r="J3313" s="113" t="str">
        <f t="shared" si="103"/>
        <v>913354652</v>
      </c>
      <c r="K3313" s="113" t="str">
        <f t="shared" si="104"/>
        <v>CX072</v>
      </c>
    </row>
    <row r="3314" spans="1:11" x14ac:dyDescent="0.3">
      <c r="A3314" s="298" t="s">
        <v>10379</v>
      </c>
      <c r="B3314" s="298" t="s">
        <v>10380</v>
      </c>
      <c r="C3314" s="298" t="s">
        <v>3001</v>
      </c>
      <c r="D3314" s="298" t="s">
        <v>10319</v>
      </c>
      <c r="E3314" s="298"/>
      <c r="F3314" s="298" t="s">
        <v>55</v>
      </c>
      <c r="G3314" s="299" t="b">
        <v>0</v>
      </c>
      <c r="H3314" s="299" t="b">
        <v>0</v>
      </c>
      <c r="J3314" s="113" t="str">
        <f t="shared" si="103"/>
        <v>ông Thành</v>
      </c>
      <c r="K3314" s="113" t="str">
        <f t="shared" si="104"/>
        <v>CX073</v>
      </c>
    </row>
    <row r="3315" spans="1:11" x14ac:dyDescent="0.3">
      <c r="A3315" s="298" t="s">
        <v>10381</v>
      </c>
      <c r="B3315" s="298" t="s">
        <v>10382</v>
      </c>
      <c r="C3315" s="298" t="s">
        <v>3001</v>
      </c>
      <c r="D3315" s="298" t="s">
        <v>10319</v>
      </c>
      <c r="E3315" s="298"/>
      <c r="F3315" s="298" t="s">
        <v>55</v>
      </c>
      <c r="G3315" s="299" t="b">
        <v>0</v>
      </c>
      <c r="H3315" s="299" t="b">
        <v>0</v>
      </c>
      <c r="J3315" s="113" t="str">
        <f t="shared" si="103"/>
        <v>936765639</v>
      </c>
      <c r="K3315" s="113" t="str">
        <f t="shared" si="104"/>
        <v>CX074</v>
      </c>
    </row>
    <row r="3316" spans="1:11" x14ac:dyDescent="0.3">
      <c r="A3316" s="298" t="s">
        <v>10383</v>
      </c>
      <c r="B3316" s="298" t="s">
        <v>10384</v>
      </c>
      <c r="C3316" s="298" t="s">
        <v>3001</v>
      </c>
      <c r="D3316" s="298" t="s">
        <v>10319</v>
      </c>
      <c r="E3316" s="298"/>
      <c r="F3316" s="298" t="s">
        <v>55</v>
      </c>
      <c r="G3316" s="299" t="b">
        <v>0</v>
      </c>
      <c r="H3316" s="299" t="b">
        <v>0</v>
      </c>
      <c r="J3316" s="113" t="str">
        <f t="shared" si="103"/>
        <v>989122340</v>
      </c>
      <c r="K3316" s="113" t="str">
        <f t="shared" si="104"/>
        <v>CX076</v>
      </c>
    </row>
    <row r="3317" spans="1:11" x14ac:dyDescent="0.3">
      <c r="A3317" s="298" t="s">
        <v>13508</v>
      </c>
      <c r="B3317" s="298" t="s">
        <v>13509</v>
      </c>
      <c r="C3317" s="298" t="s">
        <v>3001</v>
      </c>
      <c r="D3317" s="298"/>
      <c r="E3317" s="298"/>
      <c r="F3317" s="298" t="s">
        <v>13510</v>
      </c>
      <c r="G3317" s="299" t="b">
        <v>0</v>
      </c>
      <c r="H3317" s="299" t="b">
        <v>0</v>
      </c>
      <c r="J3317" s="113" t="str">
        <f t="shared" si="103"/>
        <v>379802604</v>
      </c>
      <c r="K3317" s="113" t="str">
        <f t="shared" si="104"/>
        <v>CX078</v>
      </c>
    </row>
    <row r="3318" spans="1:11" x14ac:dyDescent="0.3">
      <c r="A3318" s="298" t="s">
        <v>13511</v>
      </c>
      <c r="B3318" s="298" t="s">
        <v>13512</v>
      </c>
      <c r="C3318" s="298" t="s">
        <v>13513</v>
      </c>
      <c r="D3318" s="298"/>
      <c r="E3318" s="298"/>
      <c r="F3318" s="298" t="s">
        <v>55</v>
      </c>
      <c r="G3318" s="299" t="b">
        <v>0</v>
      </c>
      <c r="H3318" s="299" t="b">
        <v>0</v>
      </c>
      <c r="J3318" s="113" t="str">
        <f t="shared" si="103"/>
        <v>772244682</v>
      </c>
      <c r="K3318" s="113" t="str">
        <f t="shared" si="104"/>
        <v>CX079</v>
      </c>
    </row>
    <row r="3319" spans="1:11" x14ac:dyDescent="0.3">
      <c r="A3319" s="298" t="s">
        <v>13514</v>
      </c>
      <c r="B3319" s="298" t="s">
        <v>13515</v>
      </c>
      <c r="C3319" s="298" t="s">
        <v>55</v>
      </c>
      <c r="D3319" s="298"/>
      <c r="E3319" s="298"/>
      <c r="F3319" s="298" t="s">
        <v>55</v>
      </c>
      <c r="G3319" s="299" t="b">
        <v>0</v>
      </c>
      <c r="H3319" s="299" t="b">
        <v>0</v>
      </c>
      <c r="J3319" s="113" t="str">
        <f t="shared" si="103"/>
        <v>902033362</v>
      </c>
      <c r="K3319" s="113" t="str">
        <f t="shared" si="104"/>
        <v>CX080</v>
      </c>
    </row>
    <row r="3320" spans="1:11" x14ac:dyDescent="0.3">
      <c r="A3320" s="298" t="s">
        <v>13516</v>
      </c>
      <c r="B3320" s="298" t="s">
        <v>13517</v>
      </c>
      <c r="C3320" s="298" t="s">
        <v>55</v>
      </c>
      <c r="D3320" s="298"/>
      <c r="E3320" s="298"/>
      <c r="F3320" s="298" t="s">
        <v>55</v>
      </c>
      <c r="G3320" s="299" t="b">
        <v>0</v>
      </c>
      <c r="H3320" s="299" t="b">
        <v>0</v>
      </c>
      <c r="J3320" s="113" t="str">
        <f t="shared" si="103"/>
        <v>Hòa Sự</v>
      </c>
      <c r="K3320" s="113" t="str">
        <f t="shared" si="104"/>
        <v>CX081</v>
      </c>
    </row>
    <row r="3321" spans="1:11" x14ac:dyDescent="0.3">
      <c r="A3321" s="298" t="s">
        <v>10385</v>
      </c>
      <c r="B3321" s="298" t="s">
        <v>10386</v>
      </c>
      <c r="C3321" s="298" t="s">
        <v>10387</v>
      </c>
      <c r="D3321" s="298"/>
      <c r="E3321" s="298"/>
      <c r="F3321" s="298"/>
      <c r="G3321" s="299" t="b">
        <v>0</v>
      </c>
      <c r="H3321" s="299" t="b">
        <v>0</v>
      </c>
      <c r="J3321" s="113" t="str">
        <f t="shared" si="103"/>
        <v xml:space="preserve"> Thị Tình</v>
      </c>
      <c r="K3321" s="113" t="str">
        <f t="shared" si="104"/>
        <v>KH00001</v>
      </c>
    </row>
    <row r="3322" spans="1:11" x14ac:dyDescent="0.3">
      <c r="A3322" s="298" t="s">
        <v>10388</v>
      </c>
      <c r="B3322" s="298" t="s">
        <v>10389</v>
      </c>
      <c r="C3322" s="298" t="s">
        <v>10390</v>
      </c>
      <c r="D3322" s="298" t="s">
        <v>10391</v>
      </c>
      <c r="E3322" s="298" t="s">
        <v>10392</v>
      </c>
      <c r="F3322" s="298"/>
      <c r="G3322" s="299" t="b">
        <v>0</v>
      </c>
      <c r="H3322" s="299" t="b">
        <v>0</v>
      </c>
      <c r="J3322" s="113" t="str">
        <f t="shared" si="103"/>
        <v>Hải Phòng</v>
      </c>
      <c r="K3322" s="113" t="str">
        <f t="shared" si="104"/>
        <v>KH00002</v>
      </c>
    </row>
    <row r="3323" spans="1:11" x14ac:dyDescent="0.3">
      <c r="A3323" s="298" t="s">
        <v>10393</v>
      </c>
      <c r="B3323" s="298" t="s">
        <v>10394</v>
      </c>
      <c r="C3323" s="298" t="s">
        <v>10395</v>
      </c>
      <c r="D3323" s="298"/>
      <c r="E3323" s="298" t="s">
        <v>10396</v>
      </c>
      <c r="F3323" s="298"/>
      <c r="G3323" s="299" t="b">
        <v>0</v>
      </c>
      <c r="H3323" s="299" t="b">
        <v>0</v>
      </c>
      <c r="J3323" s="113" t="str">
        <f t="shared" si="103"/>
        <v>ầu tư A&amp;M</v>
      </c>
      <c r="K3323" s="113" t="str">
        <f t="shared" si="104"/>
        <v>KH00003</v>
      </c>
    </row>
    <row r="3324" spans="1:11" x14ac:dyDescent="0.3">
      <c r="A3324" s="298" t="s">
        <v>10397</v>
      </c>
      <c r="B3324" s="298" t="s">
        <v>10398</v>
      </c>
      <c r="C3324" s="298" t="s">
        <v>10399</v>
      </c>
      <c r="D3324" s="298"/>
      <c r="E3324" s="298" t="s">
        <v>10400</v>
      </c>
      <c r="F3324" s="298"/>
      <c r="G3324" s="299" t="b">
        <v>0</v>
      </c>
      <c r="H3324" s="299" t="b">
        <v>0</v>
      </c>
      <c r="J3324" s="113" t="str">
        <f t="shared" si="103"/>
        <v>oàng Phát</v>
      </c>
      <c r="K3324" s="113" t="str">
        <f t="shared" si="104"/>
        <v>KH00004</v>
      </c>
    </row>
    <row r="3325" spans="1:11" x14ac:dyDescent="0.3">
      <c r="A3325" s="298" t="s">
        <v>10401</v>
      </c>
      <c r="B3325" s="298" t="s">
        <v>10402</v>
      </c>
      <c r="C3325" s="298"/>
      <c r="D3325" s="298"/>
      <c r="E3325" s="298"/>
      <c r="F3325" s="298"/>
      <c r="G3325" s="299" t="b">
        <v>0</v>
      </c>
      <c r="H3325" s="299" t="b">
        <v>0</v>
      </c>
      <c r="J3325" s="113" t="str">
        <f t="shared" si="103"/>
        <v>ty Mỹ Anh</v>
      </c>
      <c r="K3325" s="113" t="str">
        <f t="shared" si="104"/>
        <v>KH00005</v>
      </c>
    </row>
    <row r="3326" spans="1:11" x14ac:dyDescent="0.3">
      <c r="A3326" s="298" t="s">
        <v>10403</v>
      </c>
      <c r="B3326" s="298" t="s">
        <v>10404</v>
      </c>
      <c r="C3326" s="298"/>
      <c r="D3326" s="298"/>
      <c r="E3326" s="298"/>
      <c r="F3326" s="298"/>
      <c r="G3326" s="299" t="b">
        <v>0</v>
      </c>
      <c r="H3326" s="299" t="b">
        <v>0</v>
      </c>
      <c r="J3326" s="113" t="str">
        <f t="shared" si="103"/>
        <v>uấn Vương</v>
      </c>
      <c r="K3326" s="113" t="str">
        <f t="shared" si="104"/>
        <v>KH00006</v>
      </c>
    </row>
    <row r="3327" spans="1:11" x14ac:dyDescent="0.3">
      <c r="A3327" s="298" t="s">
        <v>10405</v>
      </c>
      <c r="B3327" s="298" t="s">
        <v>10406</v>
      </c>
      <c r="C3327" s="298" t="s">
        <v>10407</v>
      </c>
      <c r="D3327" s="298"/>
      <c r="E3327" s="298" t="s">
        <v>10408</v>
      </c>
      <c r="F3327" s="298"/>
      <c r="G3327" s="299" t="b">
        <v>0</v>
      </c>
      <c r="H3327" s="299" t="b">
        <v>0</v>
      </c>
      <c r="J3327" s="113" t="str">
        <f t="shared" si="103"/>
        <v>Hiếu Tuấn</v>
      </c>
      <c r="K3327" s="113" t="str">
        <f t="shared" si="104"/>
        <v>KH00007</v>
      </c>
    </row>
    <row r="3328" spans="1:11" x14ac:dyDescent="0.3">
      <c r="A3328" s="298" t="s">
        <v>10409</v>
      </c>
      <c r="B3328" s="298" t="s">
        <v>10410</v>
      </c>
      <c r="C3328" s="298"/>
      <c r="D3328" s="298"/>
      <c r="E3328" s="298"/>
      <c r="F3328" s="298"/>
      <c r="G3328" s="299" t="b">
        <v>0</v>
      </c>
      <c r="H3328" s="299" t="b">
        <v>0</v>
      </c>
      <c r="J3328" s="113" t="str">
        <f t="shared" si="103"/>
        <v>p Bắc Nam</v>
      </c>
      <c r="K3328" s="113" t="str">
        <f t="shared" si="104"/>
        <v>KH00008</v>
      </c>
    </row>
    <row r="3329" spans="1:11" x14ac:dyDescent="0.3">
      <c r="A3329" s="298" t="s">
        <v>10411</v>
      </c>
      <c r="B3329" s="298" t="s">
        <v>10412</v>
      </c>
      <c r="C3329" s="298" t="s">
        <v>10413</v>
      </c>
      <c r="D3329" s="298"/>
      <c r="E3329" s="298"/>
      <c r="F3329" s="298"/>
      <c r="G3329" s="299" t="b">
        <v>0</v>
      </c>
      <c r="H3329" s="299" t="b">
        <v>0</v>
      </c>
      <c r="J3329" s="113" t="str">
        <f t="shared" si="103"/>
        <v xml:space="preserve"> Bá Hưởng</v>
      </c>
      <c r="K3329" s="113" t="str">
        <f t="shared" si="104"/>
        <v>KH00009</v>
      </c>
    </row>
    <row r="3330" spans="1:11" x14ac:dyDescent="0.3">
      <c r="A3330" s="298" t="s">
        <v>10414</v>
      </c>
      <c r="B3330" s="298" t="s">
        <v>10415</v>
      </c>
      <c r="C3330" s="298"/>
      <c r="D3330" s="298"/>
      <c r="E3330" s="298"/>
      <c r="F3330" s="298"/>
      <c r="G3330" s="299" t="b">
        <v>0</v>
      </c>
      <c r="H3330" s="299" t="b">
        <v>0</v>
      </c>
      <c r="J3330" s="113" t="str">
        <f t="shared" si="103"/>
        <v>uyễn Phát</v>
      </c>
      <c r="K3330" s="113" t="str">
        <f t="shared" si="104"/>
        <v>KH00010</v>
      </c>
    </row>
    <row r="3331" spans="1:11" x14ac:dyDescent="0.3">
      <c r="A3331" s="298" t="s">
        <v>10416</v>
      </c>
      <c r="B3331" s="298" t="s">
        <v>13518</v>
      </c>
      <c r="C3331" s="298" t="s">
        <v>13519</v>
      </c>
      <c r="D3331" s="298" t="s">
        <v>256</v>
      </c>
      <c r="E3331" s="298" t="s">
        <v>13520</v>
      </c>
      <c r="F3331" s="298" t="s">
        <v>13521</v>
      </c>
      <c r="G3331" s="299" t="b">
        <v>0</v>
      </c>
      <c r="H3331" s="299" t="b">
        <v>0</v>
      </c>
      <c r="J3331" s="113" t="str">
        <f t="shared" si="103"/>
        <v>ics An Vũ</v>
      </c>
      <c r="K3331" s="113" t="str">
        <f t="shared" si="104"/>
        <v>KH00011</v>
      </c>
    </row>
    <row r="3332" spans="1:11" x14ac:dyDescent="0.3">
      <c r="A3332" s="298" t="s">
        <v>10417</v>
      </c>
      <c r="B3332" s="298" t="s">
        <v>10418</v>
      </c>
      <c r="C3332" s="298"/>
      <c r="D3332" s="298"/>
      <c r="E3332" s="298"/>
      <c r="F3332" s="298"/>
      <c r="G3332" s="299" t="b">
        <v>0</v>
      </c>
      <c r="H3332" s="299" t="b">
        <v>0</v>
      </c>
      <c r="J3332" s="113" t="str">
        <f t="shared" si="103"/>
        <v>oàng Ngân</v>
      </c>
      <c r="K3332" s="113" t="str">
        <f t="shared" si="104"/>
        <v>KH00012</v>
      </c>
    </row>
    <row r="3333" spans="1:11" x14ac:dyDescent="0.3">
      <c r="A3333" s="298" t="s">
        <v>10419</v>
      </c>
      <c r="B3333" s="298" t="s">
        <v>10420</v>
      </c>
      <c r="C3333" s="298"/>
      <c r="D3333" s="298"/>
      <c r="E3333" s="298"/>
      <c r="F3333" s="298"/>
      <c r="G3333" s="299" t="b">
        <v>0</v>
      </c>
      <c r="H3333" s="299" t="b">
        <v>0</v>
      </c>
      <c r="J3333" s="113" t="str">
        <f t="shared" ref="J3333:J3396" si="105">RIGHT(B3333,9)</f>
        <v>(dọn nhà)</v>
      </c>
      <c r="K3333" s="113" t="str">
        <f t="shared" ref="K3333:K3396" si="106">A3333</f>
        <v>KH00013</v>
      </c>
    </row>
    <row r="3334" spans="1:11" x14ac:dyDescent="0.3">
      <c r="A3334" s="298" t="s">
        <v>10421</v>
      </c>
      <c r="B3334" s="298" t="s">
        <v>10422</v>
      </c>
      <c r="C3334" s="298" t="s">
        <v>10423</v>
      </c>
      <c r="D3334" s="298"/>
      <c r="E3334" s="298"/>
      <c r="F3334" s="298" t="s">
        <v>10424</v>
      </c>
      <c r="G3334" s="299" t="b">
        <v>0</v>
      </c>
      <c r="H3334" s="299" t="b">
        <v>0</v>
      </c>
      <c r="J3334" s="113" t="str">
        <f t="shared" si="105"/>
        <v>rung Kiên</v>
      </c>
      <c r="K3334" s="113" t="str">
        <f t="shared" si="106"/>
        <v>KH00014</v>
      </c>
    </row>
    <row r="3335" spans="1:11" x14ac:dyDescent="0.3">
      <c r="A3335" s="298" t="s">
        <v>10425</v>
      </c>
      <c r="B3335" s="298" t="s">
        <v>10426</v>
      </c>
      <c r="C3335" s="298"/>
      <c r="D3335" s="298"/>
      <c r="E3335" s="298"/>
      <c r="F3335" s="298" t="s">
        <v>10378</v>
      </c>
      <c r="G3335" s="299" t="b">
        <v>0</v>
      </c>
      <c r="H3335" s="299" t="b">
        <v>0</v>
      </c>
      <c r="J3335" s="113" t="str">
        <f t="shared" si="105"/>
        <v>A Trường)</v>
      </c>
      <c r="K3335" s="113" t="str">
        <f t="shared" si="106"/>
        <v>KH00015</v>
      </c>
    </row>
    <row r="3336" spans="1:11" x14ac:dyDescent="0.3">
      <c r="A3336" s="298" t="s">
        <v>10427</v>
      </c>
      <c r="B3336" s="298" t="s">
        <v>10428</v>
      </c>
      <c r="C3336" s="298"/>
      <c r="D3336" s="298"/>
      <c r="E3336" s="298"/>
      <c r="F3336" s="298"/>
      <c r="G3336" s="299" t="b">
        <v>0</v>
      </c>
      <c r="H3336" s="299" t="b">
        <v>0</v>
      </c>
      <c r="J3336" s="113" t="str">
        <f t="shared" si="105"/>
        <v xml:space="preserve"> mỹ phẩm)</v>
      </c>
      <c r="K3336" s="113" t="str">
        <f t="shared" si="106"/>
        <v>KH00016</v>
      </c>
    </row>
    <row r="3337" spans="1:11" x14ac:dyDescent="0.3">
      <c r="A3337" s="298" t="s">
        <v>10429</v>
      </c>
      <c r="B3337" s="298" t="s">
        <v>10430</v>
      </c>
      <c r="C3337" s="298"/>
      <c r="D3337" s="298"/>
      <c r="E3337" s="298"/>
      <c r="F3337" s="298" t="s">
        <v>10431</v>
      </c>
      <c r="G3337" s="299" t="b">
        <v>0</v>
      </c>
      <c r="H3337" s="299" t="b">
        <v>0</v>
      </c>
      <c r="J3337" s="113" t="str">
        <f t="shared" si="105"/>
        <v xml:space="preserve"> làm điện</v>
      </c>
      <c r="K3337" s="113" t="str">
        <f t="shared" si="106"/>
        <v>KH00017</v>
      </c>
    </row>
    <row r="3338" spans="1:11" x14ac:dyDescent="0.3">
      <c r="A3338" s="298" t="s">
        <v>10432</v>
      </c>
      <c r="B3338" s="298" t="s">
        <v>10433</v>
      </c>
      <c r="C3338" s="298"/>
      <c r="D3338" s="298"/>
      <c r="E3338" s="298"/>
      <c r="F3338" s="298"/>
      <c r="G3338" s="299" t="b">
        <v>0</v>
      </c>
      <c r="H3338" s="299" t="b">
        <v>0</v>
      </c>
      <c r="J3338" s="113" t="str">
        <f t="shared" si="105"/>
        <v>n Văn Bảo</v>
      </c>
      <c r="K3338" s="113" t="str">
        <f t="shared" si="106"/>
        <v>KH00018</v>
      </c>
    </row>
    <row r="3339" spans="1:11" x14ac:dyDescent="0.3">
      <c r="A3339" s="298" t="s">
        <v>10434</v>
      </c>
      <c r="B3339" s="298" t="s">
        <v>10435</v>
      </c>
      <c r="C3339" s="298" t="s">
        <v>10436</v>
      </c>
      <c r="D3339" s="298"/>
      <c r="E3339" s="298"/>
      <c r="F3339" s="298"/>
      <c r="G3339" s="299" t="b">
        <v>0</v>
      </c>
      <c r="H3339" s="299" t="b">
        <v>0</v>
      </c>
      <c r="J3339" s="113" t="str">
        <f t="shared" si="105"/>
        <v>ị Ngọc Tú</v>
      </c>
      <c r="K3339" s="113" t="str">
        <f t="shared" si="106"/>
        <v>KH00019</v>
      </c>
    </row>
    <row r="3340" spans="1:11" x14ac:dyDescent="0.3">
      <c r="A3340" s="298" t="s">
        <v>10437</v>
      </c>
      <c r="B3340" s="298" t="s">
        <v>10438</v>
      </c>
      <c r="C3340" s="298" t="s">
        <v>10439</v>
      </c>
      <c r="D3340" s="298"/>
      <c r="E3340" s="298"/>
      <c r="F3340" s="298" t="s">
        <v>10440</v>
      </c>
      <c r="G3340" s="299" t="b">
        <v>0</v>
      </c>
      <c r="H3340" s="299" t="b">
        <v>0</v>
      </c>
      <c r="J3340" s="113" t="str">
        <f t="shared" si="105"/>
        <v>m non bộ)</v>
      </c>
      <c r="K3340" s="113" t="str">
        <f t="shared" si="106"/>
        <v>KH00020</v>
      </c>
    </row>
    <row r="3341" spans="1:11" x14ac:dyDescent="0.3">
      <c r="A3341" s="298" t="s">
        <v>10441</v>
      </c>
      <c r="B3341" s="298" t="s">
        <v>10442</v>
      </c>
      <c r="C3341" s="298"/>
      <c r="D3341" s="298"/>
      <c r="E3341" s="298"/>
      <c r="F3341" s="298"/>
      <c r="G3341" s="299" t="b">
        <v>0</v>
      </c>
      <c r="H3341" s="299" t="b">
        <v>0</v>
      </c>
      <c r="J3341" s="113" t="str">
        <f t="shared" si="105"/>
        <v>Cường Mai</v>
      </c>
      <c r="K3341" s="113" t="str">
        <f t="shared" si="106"/>
        <v>KH000200</v>
      </c>
    </row>
    <row r="3342" spans="1:11" x14ac:dyDescent="0.3">
      <c r="A3342" s="298" t="s">
        <v>10443</v>
      </c>
      <c r="B3342" s="298" t="s">
        <v>10444</v>
      </c>
      <c r="C3342" s="298" t="s">
        <v>8809</v>
      </c>
      <c r="D3342" s="298"/>
      <c r="E3342" s="298"/>
      <c r="F3342" s="298" t="s">
        <v>10445</v>
      </c>
      <c r="G3342" s="299" t="b">
        <v>0</v>
      </c>
      <c r="H3342" s="299" t="b">
        <v>0</v>
      </c>
      <c r="J3342" s="113" t="str">
        <f t="shared" si="105"/>
        <v xml:space="preserve"> Văn Điệp</v>
      </c>
      <c r="K3342" s="113" t="str">
        <f t="shared" si="106"/>
        <v>KH00021</v>
      </c>
    </row>
    <row r="3343" spans="1:11" x14ac:dyDescent="0.3">
      <c r="A3343" s="298" t="s">
        <v>10446</v>
      </c>
      <c r="B3343" s="298" t="s">
        <v>10447</v>
      </c>
      <c r="C3343" s="298"/>
      <c r="D3343" s="298" t="s">
        <v>10448</v>
      </c>
      <c r="E3343" s="298"/>
      <c r="F3343" s="298"/>
      <c r="G3343" s="299" t="b">
        <v>0</v>
      </c>
      <c r="H3343" s="299" t="b">
        <v>0</v>
      </c>
      <c r="J3343" s="113" t="str">
        <f t="shared" si="105"/>
        <v xml:space="preserve"> (Phượng)</v>
      </c>
      <c r="K3343" s="113" t="str">
        <f t="shared" si="106"/>
        <v>KH00022</v>
      </c>
    </row>
    <row r="3344" spans="1:11" x14ac:dyDescent="0.3">
      <c r="A3344" s="298" t="s">
        <v>10449</v>
      </c>
      <c r="B3344" s="298" t="s">
        <v>10450</v>
      </c>
      <c r="C3344" s="298"/>
      <c r="D3344" s="298" t="s">
        <v>10448</v>
      </c>
      <c r="E3344" s="298"/>
      <c r="F3344" s="298"/>
      <c r="G3344" s="299" t="b">
        <v>0</v>
      </c>
      <c r="H3344" s="299" t="b">
        <v>0</v>
      </c>
      <c r="J3344" s="113" t="str">
        <f t="shared" si="105"/>
        <v>hú (Luân)</v>
      </c>
      <c r="K3344" s="113" t="str">
        <f t="shared" si="106"/>
        <v>KH00023</v>
      </c>
    </row>
    <row r="3345" spans="1:11" x14ac:dyDescent="0.3">
      <c r="A3345" s="298" t="s">
        <v>10451</v>
      </c>
      <c r="B3345" s="298" t="s">
        <v>10452</v>
      </c>
      <c r="C3345" s="298" t="s">
        <v>1776</v>
      </c>
      <c r="D3345" s="298" t="s">
        <v>10448</v>
      </c>
      <c r="E3345" s="298"/>
      <c r="F3345" s="298" t="s">
        <v>10453</v>
      </c>
      <c r="G3345" s="299" t="b">
        <v>0</v>
      </c>
      <c r="H3345" s="299" t="b">
        <v>0</v>
      </c>
      <c r="J3345" s="113" t="str">
        <f t="shared" si="105"/>
        <v xml:space="preserve"> (Phương)</v>
      </c>
      <c r="K3345" s="113" t="str">
        <f t="shared" si="106"/>
        <v>KH00024</v>
      </c>
    </row>
    <row r="3346" spans="1:11" x14ac:dyDescent="0.3">
      <c r="A3346" s="298" t="s">
        <v>10454</v>
      </c>
      <c r="B3346" s="298" t="s">
        <v>10455</v>
      </c>
      <c r="C3346" s="298"/>
      <c r="D3346" s="298"/>
      <c r="E3346" s="298"/>
      <c r="F3346" s="298" t="s">
        <v>10456</v>
      </c>
      <c r="G3346" s="299" t="b">
        <v>0</v>
      </c>
      <c r="H3346" s="299" t="b">
        <v>0</v>
      </c>
      <c r="J3346" s="113" t="str">
        <f t="shared" si="105"/>
        <v>m (Cường)</v>
      </c>
      <c r="K3346" s="113" t="str">
        <f t="shared" si="106"/>
        <v>KH00025</v>
      </c>
    </row>
    <row r="3347" spans="1:11" x14ac:dyDescent="0.3">
      <c r="A3347" s="298" t="s">
        <v>10457</v>
      </c>
      <c r="B3347" s="298" t="s">
        <v>10458</v>
      </c>
      <c r="C3347" s="298"/>
      <c r="D3347" s="298"/>
      <c r="E3347" s="298"/>
      <c r="F3347" s="298"/>
      <c r="G3347" s="299" t="b">
        <v>0</v>
      </c>
      <c r="H3347" s="299" t="b">
        <v>0</v>
      </c>
      <c r="J3347" s="113" t="str">
        <f t="shared" si="105"/>
        <v xml:space="preserve"> Linh Anh</v>
      </c>
      <c r="K3347" s="113" t="str">
        <f t="shared" si="106"/>
        <v>KH00026</v>
      </c>
    </row>
    <row r="3348" spans="1:11" x14ac:dyDescent="0.3">
      <c r="A3348" s="298" t="s">
        <v>10459</v>
      </c>
      <c r="B3348" s="298" t="s">
        <v>10460</v>
      </c>
      <c r="C3348" s="298" t="s">
        <v>10461</v>
      </c>
      <c r="D3348" s="298"/>
      <c r="E3348" s="298"/>
      <c r="F3348" s="298" t="s">
        <v>10462</v>
      </c>
      <c r="G3348" s="299" t="b">
        <v>0</v>
      </c>
      <c r="H3348" s="299" t="b">
        <v>0</v>
      </c>
      <c r="J3348" s="113" t="str">
        <f t="shared" si="105"/>
        <v>(cọc tre)</v>
      </c>
      <c r="K3348" s="113" t="str">
        <f t="shared" si="106"/>
        <v>KH00027</v>
      </c>
    </row>
    <row r="3349" spans="1:11" x14ac:dyDescent="0.3">
      <c r="A3349" s="298" t="s">
        <v>10463</v>
      </c>
      <c r="B3349" s="298" t="s">
        <v>10464</v>
      </c>
      <c r="C3349" s="298"/>
      <c r="D3349" s="298" t="s">
        <v>10448</v>
      </c>
      <c r="E3349" s="298"/>
      <c r="F3349" s="298"/>
      <c r="G3349" s="299" t="b">
        <v>0</v>
      </c>
      <c r="H3349" s="299" t="b">
        <v>0</v>
      </c>
      <c r="J3349" s="113" t="str">
        <f t="shared" si="105"/>
        <v>Trần Phú)</v>
      </c>
      <c r="K3349" s="113" t="str">
        <f t="shared" si="106"/>
        <v>KH00028</v>
      </c>
    </row>
    <row r="3350" spans="1:11" x14ac:dyDescent="0.3">
      <c r="A3350" s="298" t="s">
        <v>10465</v>
      </c>
      <c r="B3350" s="298" t="s">
        <v>10466</v>
      </c>
      <c r="C3350" s="298" t="s">
        <v>10467</v>
      </c>
      <c r="D3350" s="298"/>
      <c r="E3350" s="298"/>
      <c r="F3350" s="298"/>
      <c r="G3350" s="299" t="b">
        <v>0</v>
      </c>
      <c r="H3350" s="299" t="b">
        <v>0</v>
      </c>
      <c r="J3350" s="113" t="str">
        <f t="shared" si="105"/>
        <v xml:space="preserve"> Đồng Gia</v>
      </c>
      <c r="K3350" s="113" t="str">
        <f t="shared" si="106"/>
        <v>KH00029</v>
      </c>
    </row>
    <row r="3351" spans="1:11" x14ac:dyDescent="0.3">
      <c r="A3351" s="298" t="s">
        <v>10468</v>
      </c>
      <c r="B3351" s="298" t="s">
        <v>10469</v>
      </c>
      <c r="C3351" s="298"/>
      <c r="D3351" s="298"/>
      <c r="E3351" s="298"/>
      <c r="F3351" s="298"/>
      <c r="G3351" s="299" t="b">
        <v>0</v>
      </c>
      <c r="H3351" s="299" t="b">
        <v>0</v>
      </c>
      <c r="J3351" s="113" t="str">
        <f t="shared" si="105"/>
        <v>Gạch lát)</v>
      </c>
      <c r="K3351" s="113" t="str">
        <f t="shared" si="106"/>
        <v>KH00030</v>
      </c>
    </row>
    <row r="3352" spans="1:11" x14ac:dyDescent="0.3">
      <c r="A3352" s="298" t="s">
        <v>10470</v>
      </c>
      <c r="B3352" s="298" t="s">
        <v>10471</v>
      </c>
      <c r="C3352" s="298"/>
      <c r="D3352" s="298"/>
      <c r="E3352" s="298"/>
      <c r="F3352" s="298"/>
      <c r="G3352" s="299" t="b">
        <v>0</v>
      </c>
      <c r="H3352" s="299" t="b">
        <v>0</v>
      </c>
      <c r="J3352" s="113" t="str">
        <f t="shared" si="105"/>
        <v>Gạch men)</v>
      </c>
      <c r="K3352" s="113" t="str">
        <f t="shared" si="106"/>
        <v>KH00031</v>
      </c>
    </row>
    <row r="3353" spans="1:11" x14ac:dyDescent="0.3">
      <c r="A3353" s="298" t="s">
        <v>10472</v>
      </c>
      <c r="B3353" s="298" t="s">
        <v>10473</v>
      </c>
      <c r="C3353" s="298" t="s">
        <v>352</v>
      </c>
      <c r="D3353" s="298"/>
      <c r="E3353" s="298"/>
      <c r="F3353" s="298" t="s">
        <v>10474</v>
      </c>
      <c r="G3353" s="299" t="b">
        <v>0</v>
      </c>
      <c r="H3353" s="299" t="b">
        <v>0</v>
      </c>
      <c r="J3353" s="113" t="str">
        <f t="shared" si="105"/>
        <v>Thị Nhung</v>
      </c>
      <c r="K3353" s="113" t="str">
        <f t="shared" si="106"/>
        <v>KH00032</v>
      </c>
    </row>
    <row r="3354" spans="1:11" x14ac:dyDescent="0.3">
      <c r="A3354" s="298" t="s">
        <v>10475</v>
      </c>
      <c r="B3354" s="298" t="s">
        <v>10476</v>
      </c>
      <c r="C3354" s="298"/>
      <c r="D3354" s="298" t="s">
        <v>10448</v>
      </c>
      <c r="E3354" s="298"/>
      <c r="F3354" s="298"/>
      <c r="G3354" s="299" t="b">
        <v>0</v>
      </c>
      <c r="H3354" s="299" t="b">
        <v>0</v>
      </c>
      <c r="J3354" s="113" t="str">
        <f t="shared" si="105"/>
        <v>m, PVBank</v>
      </c>
      <c r="K3354" s="113" t="str">
        <f t="shared" si="106"/>
        <v>KH00033</v>
      </c>
    </row>
    <row r="3355" spans="1:11" x14ac:dyDescent="0.3">
      <c r="A3355" s="298" t="s">
        <v>10477</v>
      </c>
      <c r="B3355" s="298" t="s">
        <v>10478</v>
      </c>
      <c r="C3355" s="298"/>
      <c r="D3355" s="298" t="s">
        <v>10448</v>
      </c>
      <c r="E3355" s="298"/>
      <c r="F3355" s="298"/>
      <c r="G3355" s="299" t="b">
        <v>0</v>
      </c>
      <c r="H3355" s="299" t="b">
        <v>0</v>
      </c>
      <c r="J3355" s="113" t="str">
        <f t="shared" si="105"/>
        <v>V, BigSun</v>
      </c>
      <c r="K3355" s="113" t="str">
        <f t="shared" si="106"/>
        <v>KH00034</v>
      </c>
    </row>
    <row r="3356" spans="1:11" x14ac:dyDescent="0.3">
      <c r="A3356" s="298" t="s">
        <v>10479</v>
      </c>
      <c r="B3356" s="298" t="s">
        <v>10480</v>
      </c>
      <c r="C3356" s="298"/>
      <c r="D3356" s="298"/>
      <c r="E3356" s="298"/>
      <c r="F3356" s="298"/>
      <c r="G3356" s="299" t="b">
        <v>0</v>
      </c>
      <c r="H3356" s="299" t="b">
        <v>0</v>
      </c>
      <c r="J3356" s="113" t="str">
        <f t="shared" si="105"/>
        <v>6 cầu Rào</v>
      </c>
      <c r="K3356" s="113" t="str">
        <f t="shared" si="106"/>
        <v>KH00035</v>
      </c>
    </row>
    <row r="3357" spans="1:11" x14ac:dyDescent="0.3">
      <c r="A3357" s="298" t="s">
        <v>10481</v>
      </c>
      <c r="B3357" s="298" t="s">
        <v>10482</v>
      </c>
      <c r="C3357" s="298"/>
      <c r="D3357" s="298"/>
      <c r="E3357" s="298"/>
      <c r="F3357" s="298"/>
      <c r="G3357" s="299" t="b">
        <v>0</v>
      </c>
      <c r="H3357" s="299" t="b">
        <v>0</v>
      </c>
      <c r="J3357" s="113" t="str">
        <f t="shared" si="105"/>
        <v xml:space="preserve"> ban thờ)</v>
      </c>
      <c r="K3357" s="113" t="str">
        <f t="shared" si="106"/>
        <v>KH00048</v>
      </c>
    </row>
    <row r="3358" spans="1:11" x14ac:dyDescent="0.3">
      <c r="A3358" s="298" t="s">
        <v>10483</v>
      </c>
      <c r="B3358" s="298" t="s">
        <v>10484</v>
      </c>
      <c r="C3358" s="298"/>
      <c r="D3358" s="298"/>
      <c r="E3358" s="298"/>
      <c r="F3358" s="298"/>
      <c r="G3358" s="299" t="b">
        <v>0</v>
      </c>
      <c r="H3358" s="299" t="b">
        <v>0</v>
      </c>
      <c r="J3358" s="113" t="str">
        <f t="shared" si="105"/>
        <v>Cty UNION</v>
      </c>
      <c r="K3358" s="113" t="str">
        <f t="shared" si="106"/>
        <v>KH00049</v>
      </c>
    </row>
    <row r="3359" spans="1:11" x14ac:dyDescent="0.3">
      <c r="A3359" s="298" t="s">
        <v>10485</v>
      </c>
      <c r="B3359" s="298" t="s">
        <v>10486</v>
      </c>
      <c r="C3359" s="298"/>
      <c r="D3359" s="298"/>
      <c r="E3359" s="298"/>
      <c r="F3359" s="298"/>
      <c r="G3359" s="299" t="b">
        <v>0</v>
      </c>
      <c r="H3359" s="299" t="b">
        <v>0</v>
      </c>
      <c r="J3359" s="113" t="str">
        <f t="shared" si="105"/>
        <v>ống thấm)</v>
      </c>
      <c r="K3359" s="113" t="str">
        <f t="shared" si="106"/>
        <v>KH00050</v>
      </c>
    </row>
    <row r="3360" spans="1:11" x14ac:dyDescent="0.3">
      <c r="A3360" s="298" t="s">
        <v>10487</v>
      </c>
      <c r="B3360" s="298" t="s">
        <v>10488</v>
      </c>
      <c r="C3360" s="298"/>
      <c r="D3360" s="298"/>
      <c r="E3360" s="298"/>
      <c r="F3360" s="298"/>
      <c r="G3360" s="299" t="b">
        <v>0</v>
      </c>
      <c r="H3360" s="299" t="b">
        <v>0</v>
      </c>
      <c r="J3360" s="113" t="str">
        <f t="shared" si="105"/>
        <v>ảo Nguyên</v>
      </c>
      <c r="K3360" s="113" t="str">
        <f t="shared" si="106"/>
        <v>KH00052</v>
      </c>
    </row>
    <row r="3361" spans="1:11" x14ac:dyDescent="0.3">
      <c r="A3361" s="298" t="s">
        <v>10489</v>
      </c>
      <c r="B3361" s="298" t="s">
        <v>10490</v>
      </c>
      <c r="C3361" s="298"/>
      <c r="D3361" s="298"/>
      <c r="E3361" s="298"/>
      <c r="F3361" s="298"/>
      <c r="G3361" s="299" t="b">
        <v>0</v>
      </c>
      <c r="H3361" s="299" t="b">
        <v>0</v>
      </c>
      <c r="J3361" s="113" t="str">
        <f t="shared" si="105"/>
        <v xml:space="preserve"> ANh Linh</v>
      </c>
      <c r="K3361" s="113" t="str">
        <f t="shared" si="106"/>
        <v>KH00060</v>
      </c>
    </row>
    <row r="3362" spans="1:11" x14ac:dyDescent="0.3">
      <c r="A3362" s="298" t="s">
        <v>10491</v>
      </c>
      <c r="B3362" s="298" t="s">
        <v>10492</v>
      </c>
      <c r="C3362" s="298" t="s">
        <v>10493</v>
      </c>
      <c r="D3362" s="298"/>
      <c r="E3362" s="298"/>
      <c r="F3362" s="298"/>
      <c r="G3362" s="299" t="b">
        <v>0</v>
      </c>
      <c r="H3362" s="299" t="b">
        <v>0</v>
      </c>
      <c r="J3362" s="113" t="str">
        <f t="shared" si="105"/>
        <v>ng Hà Nội</v>
      </c>
      <c r="K3362" s="113" t="str">
        <f t="shared" si="106"/>
        <v>KH00061</v>
      </c>
    </row>
    <row r="3363" spans="1:11" x14ac:dyDescent="0.3">
      <c r="A3363" s="298" t="s">
        <v>10494</v>
      </c>
      <c r="B3363" s="298" t="s">
        <v>10495</v>
      </c>
      <c r="C3363" s="298"/>
      <c r="D3363" s="298"/>
      <c r="E3363" s="298"/>
      <c r="F3363" s="298"/>
      <c r="G3363" s="299" t="b">
        <v>0</v>
      </c>
      <c r="H3363" s="299" t="b">
        <v>0</v>
      </c>
      <c r="J3363" s="113" t="str">
        <f t="shared" si="105"/>
        <v>Hồng Ngân</v>
      </c>
      <c r="K3363" s="113" t="str">
        <f t="shared" si="106"/>
        <v>KH00062</v>
      </c>
    </row>
    <row r="3364" spans="1:11" x14ac:dyDescent="0.3">
      <c r="A3364" s="298" t="s">
        <v>10496</v>
      </c>
      <c r="B3364" s="298" t="s">
        <v>10497</v>
      </c>
      <c r="C3364" s="298"/>
      <c r="D3364" s="298"/>
      <c r="E3364" s="298"/>
      <c r="F3364" s="298"/>
      <c r="G3364" s="299" t="b">
        <v>0</v>
      </c>
      <c r="H3364" s="299" t="b">
        <v>0</v>
      </c>
      <c r="J3364" s="113" t="str">
        <f t="shared" si="105"/>
        <v>Nam Cường</v>
      </c>
      <c r="K3364" s="113" t="str">
        <f t="shared" si="106"/>
        <v>KH00063</v>
      </c>
    </row>
    <row r="3365" spans="1:11" x14ac:dyDescent="0.3">
      <c r="A3365" s="298" t="s">
        <v>10498</v>
      </c>
      <c r="B3365" s="298" t="s">
        <v>10499</v>
      </c>
      <c r="C3365" s="298"/>
      <c r="D3365" s="298"/>
      <c r="E3365" s="298"/>
      <c r="F3365" s="298"/>
      <c r="G3365" s="299" t="b">
        <v>0</v>
      </c>
      <c r="H3365" s="299" t="b">
        <v>0</v>
      </c>
      <c r="J3365" s="113" t="str">
        <f t="shared" si="105"/>
        <v xml:space="preserve"> Khắc Huy</v>
      </c>
      <c r="K3365" s="113" t="str">
        <f t="shared" si="106"/>
        <v>KH047</v>
      </c>
    </row>
    <row r="3366" spans="1:11" x14ac:dyDescent="0.3">
      <c r="A3366" s="298" t="s">
        <v>10500</v>
      </c>
      <c r="B3366" s="298" t="s">
        <v>10501</v>
      </c>
      <c r="C3366" s="298"/>
      <c r="D3366" s="298"/>
      <c r="E3366" s="298"/>
      <c r="F3366" s="298"/>
      <c r="G3366" s="299" t="b">
        <v>0</v>
      </c>
      <c r="H3366" s="299" t="b">
        <v>0</v>
      </c>
      <c r="J3366" s="113" t="str">
        <f t="shared" si="105"/>
        <v>iến Thụy)</v>
      </c>
      <c r="K3366" s="113" t="str">
        <f t="shared" si="106"/>
        <v>KH049</v>
      </c>
    </row>
    <row r="3367" spans="1:11" x14ac:dyDescent="0.3">
      <c r="A3367" s="298" t="s">
        <v>10502</v>
      </c>
      <c r="B3367" s="298" t="s">
        <v>10503</v>
      </c>
      <c r="C3367" s="298"/>
      <c r="D3367" s="298"/>
      <c r="E3367" s="298"/>
      <c r="F3367" s="298"/>
      <c r="G3367" s="299" t="b">
        <v>0</v>
      </c>
      <c r="H3367" s="299" t="b">
        <v>0</v>
      </c>
      <c r="J3367" s="113" t="str">
        <f t="shared" si="105"/>
        <v>của Tiến)</v>
      </c>
      <c r="K3367" s="113" t="str">
        <f t="shared" si="106"/>
        <v>KH46</v>
      </c>
    </row>
    <row r="3368" spans="1:11" x14ac:dyDescent="0.3">
      <c r="A3368" s="298" t="s">
        <v>10504</v>
      </c>
      <c r="B3368" s="298" t="s">
        <v>10505</v>
      </c>
      <c r="C3368" s="298" t="s">
        <v>10506</v>
      </c>
      <c r="D3368" s="298"/>
      <c r="E3368" s="298"/>
      <c r="F3368" s="298"/>
      <c r="G3368" s="299" t="b">
        <v>0</v>
      </c>
      <c r="H3368" s="299" t="b">
        <v>0</v>
      </c>
      <c r="J3368" s="113" t="str">
        <f t="shared" si="105"/>
        <v>ị Kim Chi</v>
      </c>
      <c r="K3368" s="113" t="str">
        <f t="shared" si="106"/>
        <v>KHBH01</v>
      </c>
    </row>
    <row r="3369" spans="1:11" x14ac:dyDescent="0.3">
      <c r="A3369" s="298" t="s">
        <v>10507</v>
      </c>
      <c r="B3369" s="298" t="s">
        <v>10508</v>
      </c>
      <c r="C3369" s="298" t="s">
        <v>10509</v>
      </c>
      <c r="D3369" s="298"/>
      <c r="E3369" s="298"/>
      <c r="F3369" s="298"/>
      <c r="G3369" s="299" t="b">
        <v>0</v>
      </c>
      <c r="H3369" s="299" t="b">
        <v>0</v>
      </c>
      <c r="J3369" s="113" t="str">
        <f t="shared" si="105"/>
        <v xml:space="preserve"> Thị Nhật</v>
      </c>
      <c r="K3369" s="113" t="str">
        <f t="shared" si="106"/>
        <v>KHBH02</v>
      </c>
    </row>
    <row r="3370" spans="1:11" x14ac:dyDescent="0.3">
      <c r="A3370" s="298" t="s">
        <v>10510</v>
      </c>
      <c r="B3370" s="298" t="s">
        <v>10511</v>
      </c>
      <c r="C3370" s="298" t="s">
        <v>10509</v>
      </c>
      <c r="D3370" s="298"/>
      <c r="E3370" s="298"/>
      <c r="F3370" s="298"/>
      <c r="G3370" s="299" t="b">
        <v>0</v>
      </c>
      <c r="H3370" s="299" t="b">
        <v>0</v>
      </c>
      <c r="J3370" s="113" t="str">
        <f t="shared" si="105"/>
        <v>Hồng Thúy</v>
      </c>
      <c r="K3370" s="113" t="str">
        <f t="shared" si="106"/>
        <v>KHBH03</v>
      </c>
    </row>
    <row r="3371" spans="1:11" x14ac:dyDescent="0.3">
      <c r="A3371" s="298" t="s">
        <v>10512</v>
      </c>
      <c r="B3371" s="298" t="s">
        <v>10513</v>
      </c>
      <c r="C3371" s="298" t="s">
        <v>10509</v>
      </c>
      <c r="D3371" s="298"/>
      <c r="E3371" s="298"/>
      <c r="F3371" s="298"/>
      <c r="G3371" s="299" t="b">
        <v>0</v>
      </c>
      <c r="H3371" s="299" t="b">
        <v>0</v>
      </c>
      <c r="J3371" s="113" t="str">
        <f t="shared" si="105"/>
        <v>iên Huyền</v>
      </c>
      <c r="K3371" s="113" t="str">
        <f t="shared" si="106"/>
        <v>KHBH04</v>
      </c>
    </row>
    <row r="3372" spans="1:11" x14ac:dyDescent="0.3">
      <c r="A3372" s="298" t="s">
        <v>13522</v>
      </c>
      <c r="B3372" s="298" t="s">
        <v>13523</v>
      </c>
      <c r="C3372" s="298" t="s">
        <v>10509</v>
      </c>
      <c r="D3372" s="298"/>
      <c r="E3372" s="298"/>
      <c r="F3372" s="298"/>
      <c r="G3372" s="299" t="b">
        <v>0</v>
      </c>
      <c r="H3372" s="299" t="b">
        <v>0</v>
      </c>
      <c r="J3372" s="113" t="str">
        <f t="shared" si="105"/>
        <v>n Thị Lan</v>
      </c>
      <c r="K3372" s="113" t="str">
        <f t="shared" si="106"/>
        <v>KHBH05</v>
      </c>
    </row>
    <row r="3373" spans="1:11" x14ac:dyDescent="0.3">
      <c r="A3373" s="298" t="s">
        <v>10514</v>
      </c>
      <c r="B3373" s="298" t="s">
        <v>10515</v>
      </c>
      <c r="C3373" s="298"/>
      <c r="D3373" s="298" t="s">
        <v>10516</v>
      </c>
      <c r="E3373" s="298"/>
      <c r="F3373" s="298"/>
      <c r="G3373" s="299" t="b">
        <v>0</v>
      </c>
      <c r="H3373" s="299" t="b">
        <v>0</v>
      </c>
      <c r="J3373" s="113" t="str">
        <f t="shared" si="105"/>
        <v>Kiến Thụy</v>
      </c>
      <c r="K3373" s="113" t="str">
        <f t="shared" si="106"/>
        <v>KT00003</v>
      </c>
    </row>
    <row r="3374" spans="1:11" x14ac:dyDescent="0.3">
      <c r="A3374" s="298" t="s">
        <v>10517</v>
      </c>
      <c r="B3374" s="298" t="s">
        <v>10518</v>
      </c>
      <c r="C3374" s="298"/>
      <c r="D3374" s="298" t="s">
        <v>10516</v>
      </c>
      <c r="E3374" s="298"/>
      <c r="F3374" s="298"/>
      <c r="G3374" s="299" t="b">
        <v>0</v>
      </c>
      <c r="H3374" s="299" t="b">
        <v>0</v>
      </c>
      <c r="J3374" s="113" t="str">
        <f t="shared" si="105"/>
        <v xml:space="preserve"> Nam Định</v>
      </c>
      <c r="K3374" s="113" t="str">
        <f t="shared" si="106"/>
        <v>KT000034</v>
      </c>
    </row>
    <row r="3375" spans="1:11" x14ac:dyDescent="0.3">
      <c r="A3375" s="298" t="s">
        <v>10519</v>
      </c>
      <c r="B3375" s="298" t="s">
        <v>10520</v>
      </c>
      <c r="C3375" s="298"/>
      <c r="D3375" s="298" t="s">
        <v>10516</v>
      </c>
      <c r="E3375" s="298"/>
      <c r="F3375" s="298"/>
      <c r="G3375" s="299" t="b">
        <v>0</v>
      </c>
      <c r="H3375" s="299" t="b">
        <v>0</v>
      </c>
      <c r="J3375" s="113" t="str">
        <f t="shared" si="105"/>
        <v>395578822</v>
      </c>
      <c r="K3375" s="113" t="str">
        <f t="shared" si="106"/>
        <v>KT00018</v>
      </c>
    </row>
    <row r="3376" spans="1:11" x14ac:dyDescent="0.3">
      <c r="A3376" s="298" t="s">
        <v>10521</v>
      </c>
      <c r="B3376" s="298" t="s">
        <v>10522</v>
      </c>
      <c r="C3376" s="298"/>
      <c r="D3376" s="298" t="s">
        <v>10516</v>
      </c>
      <c r="E3376" s="298"/>
      <c r="F3376" s="298"/>
      <c r="G3376" s="299" t="b">
        <v>0</v>
      </c>
      <c r="H3376" s="299" t="b">
        <v>0</v>
      </c>
      <c r="J3376" s="113" t="str">
        <f t="shared" si="105"/>
        <v xml:space="preserve"> điều hòa</v>
      </c>
      <c r="K3376" s="113" t="str">
        <f t="shared" si="106"/>
        <v>KT00024</v>
      </c>
    </row>
    <row r="3377" spans="1:11" x14ac:dyDescent="0.3">
      <c r="A3377" s="298" t="s">
        <v>10523</v>
      </c>
      <c r="B3377" s="298" t="s">
        <v>10524</v>
      </c>
      <c r="C3377" s="298"/>
      <c r="D3377" s="298" t="s">
        <v>10516</v>
      </c>
      <c r="E3377" s="298"/>
      <c r="F3377" s="298"/>
      <c r="G3377" s="299" t="b">
        <v>0</v>
      </c>
      <c r="H3377" s="299" t="b">
        <v>0</v>
      </c>
      <c r="J3377" s="113" t="str">
        <f t="shared" si="105"/>
        <v>ông Dương</v>
      </c>
      <c r="K3377" s="113" t="str">
        <f t="shared" si="106"/>
        <v>KT00026</v>
      </c>
    </row>
    <row r="3378" spans="1:11" x14ac:dyDescent="0.3">
      <c r="A3378" s="298" t="s">
        <v>10525</v>
      </c>
      <c r="B3378" s="298" t="s">
        <v>10526</v>
      </c>
      <c r="C3378" s="298"/>
      <c r="D3378" s="298" t="s">
        <v>10516</v>
      </c>
      <c r="E3378" s="298"/>
      <c r="F3378" s="298"/>
      <c r="G3378" s="299" t="b">
        <v>0</v>
      </c>
      <c r="H3378" s="299" t="b">
        <v>0</v>
      </c>
      <c r="J3378" s="113" t="str">
        <f t="shared" si="105"/>
        <v>y xúc đào</v>
      </c>
      <c r="K3378" s="113" t="str">
        <f t="shared" si="106"/>
        <v>KT00028</v>
      </c>
    </row>
    <row r="3379" spans="1:11" x14ac:dyDescent="0.3">
      <c r="A3379" s="298" t="s">
        <v>10527</v>
      </c>
      <c r="B3379" s="298" t="s">
        <v>10528</v>
      </c>
      <c r="C3379" s="298"/>
      <c r="D3379" s="298"/>
      <c r="E3379" s="298"/>
      <c r="F3379" s="298"/>
      <c r="G3379" s="299" t="b">
        <v>0</v>
      </c>
      <c r="H3379" s="299" t="b">
        <v>0</v>
      </c>
      <c r="J3379" s="113" t="str">
        <f t="shared" si="105"/>
        <v>917684686</v>
      </c>
      <c r="K3379" s="113" t="str">
        <f t="shared" si="106"/>
        <v>KT00047</v>
      </c>
    </row>
    <row r="3380" spans="1:11" x14ac:dyDescent="0.3">
      <c r="A3380" s="298" t="s">
        <v>10529</v>
      </c>
      <c r="B3380" s="298" t="s">
        <v>10530</v>
      </c>
      <c r="C3380" s="298"/>
      <c r="D3380" s="298"/>
      <c r="E3380" s="298"/>
      <c r="F3380" s="298"/>
      <c r="G3380" s="299" t="b">
        <v>0</v>
      </c>
      <c r="H3380" s="299" t="b">
        <v>0</v>
      </c>
      <c r="J3380" s="113" t="str">
        <f t="shared" si="105"/>
        <v>ng có tên</v>
      </c>
      <c r="K3380" s="113" t="str">
        <f t="shared" si="106"/>
        <v>KT00066</v>
      </c>
    </row>
    <row r="3381" spans="1:11" x14ac:dyDescent="0.3">
      <c r="A3381" s="298" t="s">
        <v>10531</v>
      </c>
      <c r="B3381" s="298" t="s">
        <v>10532</v>
      </c>
      <c r="C3381" s="298"/>
      <c r="D3381" s="298"/>
      <c r="E3381" s="298"/>
      <c r="F3381" s="298"/>
      <c r="G3381" s="299" t="b">
        <v>0</v>
      </c>
      <c r="H3381" s="299" t="b">
        <v>0</v>
      </c>
      <c r="J3381" s="113" t="str">
        <f t="shared" si="105"/>
        <v>Kiến Thụy</v>
      </c>
      <c r="K3381" s="113" t="str">
        <f t="shared" si="106"/>
        <v>KT00067</v>
      </c>
    </row>
    <row r="3382" spans="1:11" x14ac:dyDescent="0.3">
      <c r="A3382" s="298" t="s">
        <v>10533</v>
      </c>
      <c r="B3382" s="298" t="s">
        <v>10534</v>
      </c>
      <c r="C3382" s="298"/>
      <c r="D3382" s="298"/>
      <c r="E3382" s="298"/>
      <c r="F3382" s="298"/>
      <c r="G3382" s="299" t="b">
        <v>0</v>
      </c>
      <c r="H3382" s="299" t="b">
        <v>0</v>
      </c>
      <c r="J3382" s="113" t="str">
        <f t="shared" si="105"/>
        <v>ận máy ủi</v>
      </c>
      <c r="K3382" s="113" t="str">
        <f t="shared" si="106"/>
        <v>KT0038</v>
      </c>
    </row>
    <row r="3383" spans="1:11" x14ac:dyDescent="0.3">
      <c r="A3383" s="298" t="s">
        <v>10535</v>
      </c>
      <c r="B3383" s="298" t="s">
        <v>10536</v>
      </c>
      <c r="C3383" s="298"/>
      <c r="D3383" s="298"/>
      <c r="E3383" s="298"/>
      <c r="F3383" s="298"/>
      <c r="G3383" s="299" t="b">
        <v>0</v>
      </c>
      <c r="H3383" s="299" t="b">
        <v>0</v>
      </c>
      <c r="J3383" s="113" t="str">
        <f t="shared" si="105"/>
        <v>34337290)</v>
      </c>
      <c r="K3383" s="113" t="str">
        <f t="shared" si="106"/>
        <v>KT0039</v>
      </c>
    </row>
    <row r="3384" spans="1:11" x14ac:dyDescent="0.3">
      <c r="A3384" s="298" t="s">
        <v>10537</v>
      </c>
      <c r="B3384" s="298" t="s">
        <v>10538</v>
      </c>
      <c r="C3384" s="298" t="s">
        <v>10539</v>
      </c>
      <c r="D3384" s="298" t="s">
        <v>10516</v>
      </c>
      <c r="E3384" s="298"/>
      <c r="F3384" s="298"/>
      <c r="G3384" s="299" t="b">
        <v>0</v>
      </c>
      <c r="H3384" s="299" t="b">
        <v>0</v>
      </c>
      <c r="J3384" s="113" t="str">
        <f t="shared" si="105"/>
        <v>Kim Long)</v>
      </c>
      <c r="K3384" s="113" t="str">
        <f t="shared" si="106"/>
        <v>KT0041</v>
      </c>
    </row>
    <row r="3385" spans="1:11" x14ac:dyDescent="0.3">
      <c r="A3385" s="298" t="s">
        <v>10540</v>
      </c>
      <c r="B3385" s="298" t="s">
        <v>10541</v>
      </c>
      <c r="C3385" s="298"/>
      <c r="D3385" s="298"/>
      <c r="E3385" s="298"/>
      <c r="F3385" s="298"/>
      <c r="G3385" s="299" t="b">
        <v>0</v>
      </c>
      <c r="H3385" s="299" t="b">
        <v>0</v>
      </c>
      <c r="J3385" s="113" t="str">
        <f t="shared" si="105"/>
        <v>(cắt cây)</v>
      </c>
      <c r="K3385" s="113" t="str">
        <f t="shared" si="106"/>
        <v>KT0043</v>
      </c>
    </row>
    <row r="3386" spans="1:11" x14ac:dyDescent="0.3">
      <c r="A3386" s="298" t="s">
        <v>10542</v>
      </c>
      <c r="B3386" s="298" t="s">
        <v>10543</v>
      </c>
      <c r="C3386" s="298"/>
      <c r="D3386" s="298"/>
      <c r="E3386" s="298"/>
      <c r="F3386" s="298"/>
      <c r="G3386" s="299" t="b">
        <v>0</v>
      </c>
      <c r="H3386" s="299" t="b">
        <v>0</v>
      </c>
      <c r="J3386" s="113" t="str">
        <f t="shared" si="105"/>
        <v>29961648)</v>
      </c>
      <c r="K3386" s="113" t="str">
        <f t="shared" si="106"/>
        <v>KT0044</v>
      </c>
    </row>
    <row r="3387" spans="1:11" x14ac:dyDescent="0.3">
      <c r="A3387" s="298" t="s">
        <v>10544</v>
      </c>
      <c r="B3387" s="298" t="s">
        <v>10545</v>
      </c>
      <c r="C3387" s="298"/>
      <c r="D3387" s="298"/>
      <c r="E3387" s="298"/>
      <c r="F3387" s="298"/>
      <c r="G3387" s="299" t="b">
        <v>0</v>
      </c>
      <c r="H3387" s="299" t="b">
        <v>0</v>
      </c>
      <c r="J3387" s="113" t="str">
        <f t="shared" si="105"/>
        <v xml:space="preserve"> làm nhà)</v>
      </c>
      <c r="K3387" s="113" t="str">
        <f t="shared" si="106"/>
        <v>KT0045</v>
      </c>
    </row>
    <row r="3388" spans="1:11" x14ac:dyDescent="0.3">
      <c r="A3388" s="298" t="s">
        <v>10546</v>
      </c>
      <c r="B3388" s="298" t="s">
        <v>10547</v>
      </c>
      <c r="C3388" s="298"/>
      <c r="D3388" s="298"/>
      <c r="E3388" s="298"/>
      <c r="F3388" s="298"/>
      <c r="G3388" s="299" t="b">
        <v>0</v>
      </c>
      <c r="H3388" s="299" t="b">
        <v>0</v>
      </c>
      <c r="J3388" s="113" t="str">
        <f t="shared" si="105"/>
        <v xml:space="preserve"> 817 598)</v>
      </c>
      <c r="K3388" s="113" t="str">
        <f t="shared" si="106"/>
        <v>KT0046</v>
      </c>
    </row>
    <row r="3389" spans="1:11" x14ac:dyDescent="0.3">
      <c r="A3389" s="298" t="s">
        <v>10548</v>
      </c>
      <c r="B3389" s="298" t="s">
        <v>10549</v>
      </c>
      <c r="C3389" s="298"/>
      <c r="D3389" s="298"/>
      <c r="E3389" s="298"/>
      <c r="F3389" s="298"/>
      <c r="G3389" s="299" t="b">
        <v>0</v>
      </c>
      <c r="H3389" s="299" t="b">
        <v>0</v>
      </c>
      <c r="J3389" s="113" t="str">
        <f t="shared" si="105"/>
        <v xml:space="preserve"> 342 005)</v>
      </c>
      <c r="K3389" s="113" t="str">
        <f t="shared" si="106"/>
        <v>KT0047</v>
      </c>
    </row>
    <row r="3390" spans="1:11" x14ac:dyDescent="0.3">
      <c r="A3390" s="298" t="s">
        <v>10550</v>
      </c>
      <c r="B3390" s="298" t="s">
        <v>10551</v>
      </c>
      <c r="C3390" s="298"/>
      <c r="D3390" s="298"/>
      <c r="E3390" s="298"/>
      <c r="F3390" s="298"/>
      <c r="G3390" s="299" t="b">
        <v>0</v>
      </c>
      <c r="H3390" s="299" t="b">
        <v>0</v>
      </c>
      <c r="J3390" s="113" t="str">
        <f t="shared" si="105"/>
        <v>hành Lùn)</v>
      </c>
      <c r="K3390" s="113" t="str">
        <f t="shared" si="106"/>
        <v>KT0048</v>
      </c>
    </row>
    <row r="3391" spans="1:11" x14ac:dyDescent="0.3">
      <c r="A3391" s="298" t="s">
        <v>10552</v>
      </c>
      <c r="B3391" s="298" t="s">
        <v>10553</v>
      </c>
      <c r="C3391" s="298"/>
      <c r="D3391" s="298"/>
      <c r="E3391" s="298"/>
      <c r="F3391" s="298"/>
      <c r="G3391" s="299" t="b">
        <v>0</v>
      </c>
      <c r="H3391" s="299" t="b">
        <v>0</v>
      </c>
      <c r="J3391" s="113" t="str">
        <f t="shared" si="105"/>
        <v>à sàn gỗ)</v>
      </c>
      <c r="K3391" s="113" t="str">
        <f t="shared" si="106"/>
        <v>KT0049</v>
      </c>
    </row>
    <row r="3392" spans="1:11" x14ac:dyDescent="0.3">
      <c r="A3392" s="298" t="s">
        <v>10554</v>
      </c>
      <c r="B3392" s="298" t="s">
        <v>10555</v>
      </c>
      <c r="C3392" s="298"/>
      <c r="D3392" s="298"/>
      <c r="E3392" s="298"/>
      <c r="F3392" s="298"/>
      <c r="G3392" s="299" t="b">
        <v>0</v>
      </c>
      <c r="H3392" s="299" t="b">
        <v>0</v>
      </c>
      <c r="J3392" s="113" t="str">
        <f t="shared" si="105"/>
        <v>át bể bơi</v>
      </c>
      <c r="K3392" s="113" t="str">
        <f t="shared" si="106"/>
        <v>KT0050</v>
      </c>
    </row>
    <row r="3393" spans="1:11" x14ac:dyDescent="0.3">
      <c r="A3393" s="298" t="s">
        <v>10556</v>
      </c>
      <c r="B3393" s="298" t="s">
        <v>10557</v>
      </c>
      <c r="C3393" s="298"/>
      <c r="D3393" s="298"/>
      <c r="E3393" s="298"/>
      <c r="F3393" s="298"/>
      <c r="G3393" s="299" t="b">
        <v>0</v>
      </c>
      <c r="H3393" s="299" t="b">
        <v>0</v>
      </c>
      <c r="J3393" s="113" t="str">
        <f t="shared" si="105"/>
        <v>(làm bếp)</v>
      </c>
      <c r="K3393" s="113" t="str">
        <f t="shared" si="106"/>
        <v>KT0051</v>
      </c>
    </row>
    <row r="3394" spans="1:11" x14ac:dyDescent="0.3">
      <c r="A3394" s="298" t="s">
        <v>10558</v>
      </c>
      <c r="B3394" s="298" t="s">
        <v>10559</v>
      </c>
      <c r="C3394" s="298"/>
      <c r="D3394" s="298"/>
      <c r="E3394" s="298"/>
      <c r="F3394" s="298"/>
      <c r="G3394" s="299" t="b">
        <v>0</v>
      </c>
      <c r="H3394" s="299" t="b">
        <v>0</v>
      </c>
      <c r="J3394" s="113" t="str">
        <f t="shared" si="105"/>
        <v>m nhà gỗ)</v>
      </c>
      <c r="K3394" s="113" t="str">
        <f t="shared" si="106"/>
        <v>KT0052</v>
      </c>
    </row>
    <row r="3395" spans="1:11" x14ac:dyDescent="0.3">
      <c r="A3395" s="298" t="s">
        <v>10560</v>
      </c>
      <c r="B3395" s="298" t="s">
        <v>10561</v>
      </c>
      <c r="C3395" s="298"/>
      <c r="D3395" s="298"/>
      <c r="E3395" s="298"/>
      <c r="F3395" s="298"/>
      <c r="G3395" s="299" t="b">
        <v>0</v>
      </c>
      <c r="H3395" s="299" t="b">
        <v>0</v>
      </c>
      <c r="J3395" s="113" t="str">
        <f t="shared" si="105"/>
        <v xml:space="preserve"> 560 332)</v>
      </c>
      <c r="K3395" s="113" t="str">
        <f t="shared" si="106"/>
        <v>KT052</v>
      </c>
    </row>
    <row r="3396" spans="1:11" x14ac:dyDescent="0.3">
      <c r="A3396" s="298" t="s">
        <v>10562</v>
      </c>
      <c r="B3396" s="298" t="s">
        <v>10563</v>
      </c>
      <c r="C3396" s="298"/>
      <c r="D3396" s="298"/>
      <c r="E3396" s="298"/>
      <c r="F3396" s="298"/>
      <c r="G3396" s="299" t="b">
        <v>0</v>
      </c>
      <c r="H3396" s="299" t="b">
        <v>0</v>
      </c>
      <c r="J3396" s="113" t="str">
        <f t="shared" si="105"/>
        <v>iền Trung</v>
      </c>
      <c r="K3396" s="113" t="str">
        <f t="shared" si="106"/>
        <v>MIENTRUNG</v>
      </c>
    </row>
    <row r="3397" spans="1:11" x14ac:dyDescent="0.3">
      <c r="A3397" s="298" t="s">
        <v>10564</v>
      </c>
      <c r="B3397" s="298" t="s">
        <v>10565</v>
      </c>
      <c r="C3397" s="298" t="s">
        <v>10566</v>
      </c>
      <c r="D3397" s="298" t="s">
        <v>10567</v>
      </c>
      <c r="E3397" s="298" t="s">
        <v>10568</v>
      </c>
      <c r="F3397" s="298" t="s">
        <v>10569</v>
      </c>
      <c r="G3397" s="299" t="b">
        <v>0</v>
      </c>
      <c r="H3397" s="299" t="b">
        <v>0</v>
      </c>
      <c r="J3397" s="113" t="str">
        <f t="shared" ref="J3397:J3460" si="107">RIGHT(B3397,9)</f>
        <v xml:space="preserve"> Hải Diệp</v>
      </c>
      <c r="K3397" s="113" t="str">
        <f t="shared" ref="K3397:K3460" si="108">A3397</f>
        <v>MUAXE00001</v>
      </c>
    </row>
    <row r="3398" spans="1:11" x14ac:dyDescent="0.3">
      <c r="A3398" s="298" t="s">
        <v>10570</v>
      </c>
      <c r="B3398" s="298" t="s">
        <v>10571</v>
      </c>
      <c r="C3398" s="298" t="s">
        <v>10572</v>
      </c>
      <c r="D3398" s="298" t="s">
        <v>10573</v>
      </c>
      <c r="E3398" s="298" t="s">
        <v>10574</v>
      </c>
      <c r="F3398" s="298" t="s">
        <v>10575</v>
      </c>
      <c r="G3398" s="299" t="b">
        <v>0</v>
      </c>
      <c r="H3398" s="299" t="b">
        <v>0</v>
      </c>
      <c r="J3398" s="113" t="str">
        <f t="shared" si="107"/>
        <v>Hải Phong</v>
      </c>
      <c r="K3398" s="113" t="str">
        <f t="shared" si="108"/>
        <v>NCC00001</v>
      </c>
    </row>
    <row r="3399" spans="1:11" x14ac:dyDescent="0.3">
      <c r="A3399" s="298" t="s">
        <v>10576</v>
      </c>
      <c r="B3399" s="298" t="s">
        <v>10577</v>
      </c>
      <c r="C3399" s="298"/>
      <c r="D3399" s="298" t="s">
        <v>10578</v>
      </c>
      <c r="E3399" s="298"/>
      <c r="F3399" s="298"/>
      <c r="G3399" s="299" t="b">
        <v>0</v>
      </c>
      <c r="H3399" s="299" t="b">
        <v>0</v>
      </c>
      <c r="J3399" s="113" t="str">
        <f t="shared" si="107"/>
        <v>Đại Thành</v>
      </c>
      <c r="K3399" s="113" t="str">
        <f t="shared" si="108"/>
        <v>NCC00011</v>
      </c>
    </row>
    <row r="3400" spans="1:11" x14ac:dyDescent="0.3">
      <c r="A3400" s="298" t="s">
        <v>10579</v>
      </c>
      <c r="B3400" s="298" t="s">
        <v>10580</v>
      </c>
      <c r="C3400" s="298" t="s">
        <v>10581</v>
      </c>
      <c r="D3400" s="298"/>
      <c r="E3400" s="298"/>
      <c r="F3400" s="298" t="s">
        <v>10582</v>
      </c>
      <c r="G3400" s="299" t="b">
        <v>0</v>
      </c>
      <c r="H3400" s="299" t="b">
        <v>0</v>
      </c>
      <c r="J3400" s="113" t="str">
        <f t="shared" si="107"/>
        <v xml:space="preserve"> VIỆT NAM</v>
      </c>
      <c r="K3400" s="113" t="str">
        <f t="shared" si="108"/>
        <v>NCC000201</v>
      </c>
    </row>
    <row r="3401" spans="1:11" x14ac:dyDescent="0.3">
      <c r="A3401" s="298" t="s">
        <v>10583</v>
      </c>
      <c r="B3401" s="298" t="s">
        <v>10584</v>
      </c>
      <c r="C3401" s="298" t="s">
        <v>10585</v>
      </c>
      <c r="D3401" s="298"/>
      <c r="E3401" s="298"/>
      <c r="F3401" s="298" t="s">
        <v>10586</v>
      </c>
      <c r="G3401" s="299" t="b">
        <v>0</v>
      </c>
      <c r="H3401" s="299" t="b">
        <v>0</v>
      </c>
      <c r="J3401" s="113" t="str">
        <f t="shared" si="107"/>
        <v xml:space="preserve"> PHAN GIA</v>
      </c>
      <c r="K3401" s="113" t="str">
        <f t="shared" si="108"/>
        <v>NCC000202</v>
      </c>
    </row>
    <row r="3402" spans="1:11" x14ac:dyDescent="0.3">
      <c r="A3402" s="298" t="s">
        <v>10587</v>
      </c>
      <c r="B3402" s="298" t="s">
        <v>10588</v>
      </c>
      <c r="C3402" s="298" t="s">
        <v>10589</v>
      </c>
      <c r="D3402" s="298"/>
      <c r="E3402" s="298"/>
      <c r="F3402" s="298"/>
      <c r="G3402" s="299" t="b">
        <v>0</v>
      </c>
      <c r="H3402" s="299" t="b">
        <v>0</v>
      </c>
      <c r="J3402" s="113" t="str">
        <f t="shared" si="107"/>
        <v>4.349.105</v>
      </c>
      <c r="K3402" s="113" t="str">
        <f t="shared" si="108"/>
        <v>NCC000203</v>
      </c>
    </row>
    <row r="3403" spans="1:11" x14ac:dyDescent="0.3">
      <c r="A3403" s="298" t="s">
        <v>13524</v>
      </c>
      <c r="B3403" s="298" t="s">
        <v>13525</v>
      </c>
      <c r="C3403" s="298" t="s">
        <v>13526</v>
      </c>
      <c r="D3403" s="298"/>
      <c r="E3403" s="298"/>
      <c r="F3403" s="298"/>
      <c r="G3403" s="299" t="b">
        <v>0</v>
      </c>
      <c r="H3403" s="299" t="b">
        <v>0</v>
      </c>
      <c r="J3403" s="113" t="str">
        <f t="shared" si="107"/>
        <v>4.349.105</v>
      </c>
      <c r="K3403" s="113" t="str">
        <f t="shared" si="108"/>
        <v>NCC000204</v>
      </c>
    </row>
    <row r="3404" spans="1:11" x14ac:dyDescent="0.3">
      <c r="A3404" s="298" t="s">
        <v>13527</v>
      </c>
      <c r="B3404" s="298" t="s">
        <v>13528</v>
      </c>
      <c r="C3404" s="298" t="s">
        <v>13529</v>
      </c>
      <c r="D3404" s="298"/>
      <c r="E3404" s="298"/>
      <c r="F3404" s="298" t="s">
        <v>13530</v>
      </c>
      <c r="G3404" s="299" t="b">
        <v>0</v>
      </c>
      <c r="H3404" s="299" t="b">
        <v>0</v>
      </c>
      <c r="J3404" s="113" t="str">
        <f t="shared" si="107"/>
        <v>ường Phát</v>
      </c>
      <c r="K3404" s="113" t="str">
        <f t="shared" si="108"/>
        <v>NCC000205</v>
      </c>
    </row>
    <row r="3405" spans="1:11" x14ac:dyDescent="0.3">
      <c r="A3405" s="298" t="s">
        <v>13531</v>
      </c>
      <c r="B3405" s="298" t="s">
        <v>13532</v>
      </c>
      <c r="C3405" s="298" t="s">
        <v>13533</v>
      </c>
      <c r="D3405" s="298"/>
      <c r="E3405" s="298"/>
      <c r="F3405" s="298"/>
      <c r="G3405" s="299" t="b">
        <v>0</v>
      </c>
      <c r="H3405" s="299" t="b">
        <v>0</v>
      </c>
      <c r="J3405" s="113" t="str">
        <f t="shared" si="107"/>
        <v xml:space="preserve"> 70 94 84</v>
      </c>
      <c r="K3405" s="113" t="str">
        <f t="shared" si="108"/>
        <v>NCC000206</v>
      </c>
    </row>
    <row r="3406" spans="1:11" x14ac:dyDescent="0.3">
      <c r="A3406" s="298" t="s">
        <v>13534</v>
      </c>
      <c r="B3406" s="298" t="s">
        <v>13535</v>
      </c>
      <c r="C3406" s="298" t="s">
        <v>13536</v>
      </c>
      <c r="D3406" s="298"/>
      <c r="E3406" s="298"/>
      <c r="F3406" s="298"/>
      <c r="G3406" s="299" t="b">
        <v>0</v>
      </c>
      <c r="H3406" s="299" t="b">
        <v>0</v>
      </c>
      <c r="J3406" s="113" t="str">
        <f t="shared" si="107"/>
        <v xml:space="preserve"> Thuật HT</v>
      </c>
      <c r="K3406" s="113" t="str">
        <f t="shared" si="108"/>
        <v>NCC000209</v>
      </c>
    </row>
    <row r="3407" spans="1:11" x14ac:dyDescent="0.3">
      <c r="A3407" s="298" t="s">
        <v>13537</v>
      </c>
      <c r="B3407" s="298" t="s">
        <v>13538</v>
      </c>
      <c r="C3407" s="298" t="s">
        <v>13539</v>
      </c>
      <c r="D3407" s="298"/>
      <c r="E3407" s="298"/>
      <c r="F3407" s="298"/>
      <c r="G3407" s="299" t="b">
        <v>0</v>
      </c>
      <c r="H3407" s="299" t="b">
        <v>0</v>
      </c>
      <c r="J3407" s="113" t="str">
        <f t="shared" si="107"/>
        <v>987343588</v>
      </c>
      <c r="K3407" s="113" t="str">
        <f t="shared" si="108"/>
        <v>NCC000210</v>
      </c>
    </row>
    <row r="3408" spans="1:11" x14ac:dyDescent="0.3">
      <c r="A3408" s="298" t="s">
        <v>13540</v>
      </c>
      <c r="B3408" s="298" t="s">
        <v>13541</v>
      </c>
      <c r="C3408" s="298" t="s">
        <v>13542</v>
      </c>
      <c r="D3408" s="298"/>
      <c r="E3408" s="298"/>
      <c r="F3408" s="298" t="s">
        <v>13543</v>
      </c>
      <c r="G3408" s="299" t="b">
        <v>0</v>
      </c>
      <c r="H3408" s="299" t="b">
        <v>0</v>
      </c>
      <c r="J3408" s="113" t="str">
        <f t="shared" si="107"/>
        <v>và NT LDV</v>
      </c>
      <c r="K3408" s="113" t="str">
        <f t="shared" si="108"/>
        <v>NCC000211</v>
      </c>
    </row>
    <row r="3409" spans="1:11" x14ac:dyDescent="0.3">
      <c r="A3409" s="298" t="s">
        <v>13544</v>
      </c>
      <c r="B3409" s="298" t="s">
        <v>13545</v>
      </c>
      <c r="C3409" s="298" t="s">
        <v>13546</v>
      </c>
      <c r="D3409" s="298"/>
      <c r="E3409" s="298"/>
      <c r="F3409" s="298" t="s">
        <v>13547</v>
      </c>
      <c r="G3409" s="299" t="b">
        <v>0</v>
      </c>
      <c r="H3409" s="299" t="b">
        <v>0</v>
      </c>
      <c r="J3409" s="113" t="str">
        <f t="shared" si="107"/>
        <v xml:space="preserve"> Linh Anh</v>
      </c>
      <c r="K3409" s="113" t="str">
        <f t="shared" si="108"/>
        <v>NCC000212</v>
      </c>
    </row>
    <row r="3410" spans="1:11" x14ac:dyDescent="0.3">
      <c r="A3410" s="298" t="s">
        <v>13548</v>
      </c>
      <c r="B3410" s="298" t="s">
        <v>13549</v>
      </c>
      <c r="C3410" s="298" t="s">
        <v>13550</v>
      </c>
      <c r="D3410" s="298"/>
      <c r="E3410" s="298"/>
      <c r="F3410" s="298"/>
      <c r="G3410" s="299" t="b">
        <v>0</v>
      </c>
      <c r="H3410" s="299" t="b">
        <v>0</v>
      </c>
      <c r="J3410" s="113" t="str">
        <f t="shared" si="107"/>
        <v>Toàn Phát</v>
      </c>
      <c r="K3410" s="113" t="str">
        <f t="shared" si="108"/>
        <v>NCC000213</v>
      </c>
    </row>
    <row r="3411" spans="1:11" x14ac:dyDescent="0.3">
      <c r="A3411" s="298" t="s">
        <v>13551</v>
      </c>
      <c r="B3411" s="298" t="s">
        <v>13552</v>
      </c>
      <c r="C3411" s="298" t="s">
        <v>13553</v>
      </c>
      <c r="D3411" s="298"/>
      <c r="E3411" s="298"/>
      <c r="F3411" s="298" t="s">
        <v>13554</v>
      </c>
      <c r="G3411" s="299" t="b">
        <v>0</v>
      </c>
      <c r="H3411" s="299" t="b">
        <v>0</v>
      </c>
      <c r="J3411" s="113" t="str">
        <f t="shared" si="107"/>
        <v>ịnh Hoàng</v>
      </c>
      <c r="K3411" s="113" t="str">
        <f t="shared" si="108"/>
        <v>NCC000214</v>
      </c>
    </row>
    <row r="3412" spans="1:11" x14ac:dyDescent="0.3">
      <c r="A3412" s="298" t="s">
        <v>13555</v>
      </c>
      <c r="B3412" s="298" t="s">
        <v>13556</v>
      </c>
      <c r="C3412" s="298"/>
      <c r="D3412" s="298"/>
      <c r="E3412" s="298"/>
      <c r="F3412" s="298" t="s">
        <v>13557</v>
      </c>
      <c r="G3412" s="299" t="b">
        <v>0</v>
      </c>
      <c r="H3412" s="299" t="b">
        <v>0</v>
      </c>
      <c r="J3412" s="113" t="str">
        <f t="shared" si="107"/>
        <v>hào, nẹp)</v>
      </c>
      <c r="K3412" s="113" t="str">
        <f t="shared" si="108"/>
        <v>NCC000215</v>
      </c>
    </row>
    <row r="3413" spans="1:11" x14ac:dyDescent="0.3">
      <c r="A3413" s="298" t="s">
        <v>13558</v>
      </c>
      <c r="B3413" s="298" t="s">
        <v>13559</v>
      </c>
      <c r="C3413" s="298" t="s">
        <v>13560</v>
      </c>
      <c r="D3413" s="298"/>
      <c r="E3413" s="298"/>
      <c r="F3413" s="298" t="s">
        <v>13561</v>
      </c>
      <c r="G3413" s="299" t="b">
        <v>0</v>
      </c>
      <c r="H3413" s="299" t="b">
        <v>0</v>
      </c>
      <c r="J3413" s="113" t="str">
        <f t="shared" si="107"/>
        <v>y Hoa Mai</v>
      </c>
      <c r="K3413" s="113" t="str">
        <f t="shared" si="108"/>
        <v>NCC000216</v>
      </c>
    </row>
    <row r="3414" spans="1:11" x14ac:dyDescent="0.3">
      <c r="A3414" s="298" t="s">
        <v>13562</v>
      </c>
      <c r="B3414" s="298" t="s">
        <v>13563</v>
      </c>
      <c r="C3414" s="298"/>
      <c r="D3414" s="298"/>
      <c r="E3414" s="298"/>
      <c r="F3414" s="298"/>
      <c r="G3414" s="299" t="b">
        <v>0</v>
      </c>
      <c r="H3414" s="299" t="b">
        <v>0</v>
      </c>
      <c r="J3414" s="113" t="str">
        <f t="shared" si="107"/>
        <v>91 01 91)</v>
      </c>
      <c r="K3414" s="113" t="str">
        <f t="shared" si="108"/>
        <v>NCC000217</v>
      </c>
    </row>
    <row r="3415" spans="1:11" x14ac:dyDescent="0.3">
      <c r="A3415" s="298" t="s">
        <v>13564</v>
      </c>
      <c r="B3415" s="298" t="s">
        <v>13565</v>
      </c>
      <c r="C3415" s="298"/>
      <c r="D3415" s="298"/>
      <c r="E3415" s="298"/>
      <c r="F3415" s="298"/>
      <c r="G3415" s="299" t="b">
        <v>0</v>
      </c>
      <c r="H3415" s="299" t="b">
        <v>0</v>
      </c>
      <c r="J3415" s="113" t="str">
        <f t="shared" si="107"/>
        <v>ông Dương</v>
      </c>
      <c r="K3415" s="113" t="str">
        <f t="shared" si="108"/>
        <v>NCC000218</v>
      </c>
    </row>
    <row r="3416" spans="1:11" x14ac:dyDescent="0.3">
      <c r="A3416" s="298" t="s">
        <v>10590</v>
      </c>
      <c r="B3416" s="298" t="s">
        <v>10591</v>
      </c>
      <c r="C3416" s="298"/>
      <c r="D3416" s="298"/>
      <c r="E3416" s="298"/>
      <c r="F3416" s="298"/>
      <c r="G3416" s="299" t="b">
        <v>0</v>
      </c>
      <c r="H3416" s="299" t="b">
        <v>0</v>
      </c>
      <c r="J3416" s="113" t="str">
        <f t="shared" si="107"/>
        <v>BigSun</v>
      </c>
      <c r="K3416" s="113" t="str">
        <f t="shared" si="108"/>
        <v>NCC00045</v>
      </c>
    </row>
    <row r="3417" spans="1:11" x14ac:dyDescent="0.3">
      <c r="A3417" s="298" t="s">
        <v>10592</v>
      </c>
      <c r="B3417" s="298" t="s">
        <v>10593</v>
      </c>
      <c r="C3417" s="298" t="s">
        <v>10594</v>
      </c>
      <c r="D3417" s="298" t="s">
        <v>10595</v>
      </c>
      <c r="E3417" s="298"/>
      <c r="F3417" s="298"/>
      <c r="G3417" s="299" t="b">
        <v>1</v>
      </c>
      <c r="H3417" s="299" t="b">
        <v>0</v>
      </c>
      <c r="J3417" s="113" t="str">
        <f t="shared" si="107"/>
        <v xml:space="preserve"> Vietruck</v>
      </c>
      <c r="K3417" s="113" t="str">
        <f t="shared" si="108"/>
        <v>NCC00105</v>
      </c>
    </row>
    <row r="3418" spans="1:11" x14ac:dyDescent="0.3">
      <c r="A3418" s="298" t="s">
        <v>10596</v>
      </c>
      <c r="B3418" s="298" t="s">
        <v>10597</v>
      </c>
      <c r="C3418" s="298" t="s">
        <v>10317</v>
      </c>
      <c r="D3418" s="298"/>
      <c r="E3418" s="298"/>
      <c r="F3418" s="298"/>
      <c r="G3418" s="299" t="b">
        <v>0</v>
      </c>
      <c r="H3418" s="299" t="b">
        <v>0</v>
      </c>
      <c r="J3418" s="113" t="str">
        <f t="shared" si="107"/>
        <v>g PG bank</v>
      </c>
      <c r="K3418" s="113" t="str">
        <f t="shared" si="108"/>
        <v>NH00012</v>
      </c>
    </row>
    <row r="3419" spans="1:11" x14ac:dyDescent="0.3">
      <c r="A3419" s="298" t="s">
        <v>10598</v>
      </c>
      <c r="B3419" s="298" t="s">
        <v>10599</v>
      </c>
      <c r="C3419" s="298" t="s">
        <v>1508</v>
      </c>
      <c r="D3419" s="298" t="s">
        <v>256</v>
      </c>
      <c r="E3419" s="298"/>
      <c r="F3419" s="298" t="s">
        <v>5522</v>
      </c>
      <c r="G3419" s="299" t="b">
        <v>0</v>
      </c>
      <c r="H3419" s="299" t="b">
        <v>0</v>
      </c>
      <c r="J3419" s="113" t="str">
        <f t="shared" si="107"/>
        <v>913288269</v>
      </c>
      <c r="K3419" s="113" t="str">
        <f t="shared" si="108"/>
        <v>TB00002</v>
      </c>
    </row>
    <row r="3420" spans="1:11" x14ac:dyDescent="0.3">
      <c r="A3420" s="298" t="s">
        <v>10600</v>
      </c>
      <c r="B3420" s="298" t="s">
        <v>10601</v>
      </c>
      <c r="C3420" s="298" t="s">
        <v>1508</v>
      </c>
      <c r="D3420" s="298" t="s">
        <v>256</v>
      </c>
      <c r="E3420" s="298"/>
      <c r="F3420" s="298" t="s">
        <v>5522</v>
      </c>
      <c r="G3420" s="299" t="b">
        <v>0</v>
      </c>
      <c r="H3420" s="299" t="b">
        <v>0</v>
      </c>
      <c r="J3420" s="113" t="str">
        <f t="shared" si="107"/>
        <v>913288269</v>
      </c>
      <c r="K3420" s="113" t="str">
        <f t="shared" si="108"/>
        <v>TB00006</v>
      </c>
    </row>
    <row r="3421" spans="1:11" x14ac:dyDescent="0.3">
      <c r="A3421" s="298" t="s">
        <v>10602</v>
      </c>
      <c r="B3421" s="298" t="s">
        <v>10603</v>
      </c>
      <c r="C3421" s="298" t="s">
        <v>10604</v>
      </c>
      <c r="D3421" s="298" t="s">
        <v>256</v>
      </c>
      <c r="E3421" s="298"/>
      <c r="F3421" s="298" t="s">
        <v>10605</v>
      </c>
      <c r="G3421" s="299" t="b">
        <v>0</v>
      </c>
      <c r="H3421" s="299" t="b">
        <v>0</v>
      </c>
      <c r="J3421" s="113" t="str">
        <f t="shared" si="107"/>
        <v>981921107</v>
      </c>
      <c r="K3421" s="113" t="str">
        <f t="shared" si="108"/>
        <v>TB00007</v>
      </c>
    </row>
    <row r="3422" spans="1:11" x14ac:dyDescent="0.3">
      <c r="A3422" s="298" t="s">
        <v>10606</v>
      </c>
      <c r="B3422" s="298" t="s">
        <v>10607</v>
      </c>
      <c r="C3422" s="298" t="s">
        <v>10608</v>
      </c>
      <c r="D3422" s="298"/>
      <c r="E3422" s="298"/>
      <c r="F3422" s="298"/>
      <c r="G3422" s="299" t="b">
        <v>0</v>
      </c>
      <c r="H3422" s="299" t="b">
        <v>0</v>
      </c>
      <c r="J3422" s="113" t="str">
        <f t="shared" si="107"/>
        <v xml:space="preserve"> Minh Tú </v>
      </c>
      <c r="K3422" s="113" t="str">
        <f t="shared" si="108"/>
        <v>TB01</v>
      </c>
    </row>
    <row r="3423" spans="1:11" x14ac:dyDescent="0.3">
      <c r="A3423" s="298" t="s">
        <v>10609</v>
      </c>
      <c r="B3423" s="298" t="s">
        <v>10610</v>
      </c>
      <c r="C3423" s="298"/>
      <c r="D3423" s="298"/>
      <c r="E3423" s="298"/>
      <c r="F3423" s="298"/>
      <c r="G3423" s="299" t="b">
        <v>0</v>
      </c>
      <c r="H3423" s="299" t="b">
        <v>0</v>
      </c>
      <c r="J3423" s="113" t="str">
        <f t="shared" si="107"/>
        <v xml:space="preserve"> (Nhà 03)</v>
      </c>
      <c r="K3423" s="113" t="str">
        <f t="shared" si="108"/>
        <v>TN03</v>
      </c>
    </row>
    <row r="3424" spans="1:11" x14ac:dyDescent="0.3">
      <c r="A3424" s="298" t="s">
        <v>10611</v>
      </c>
      <c r="B3424" s="298" t="s">
        <v>10612</v>
      </c>
      <c r="C3424" s="298"/>
      <c r="D3424" s="298"/>
      <c r="E3424" s="298"/>
      <c r="F3424" s="298"/>
      <c r="G3424" s="299" t="b">
        <v>0</v>
      </c>
      <c r="H3424" s="299" t="b">
        <v>0</v>
      </c>
      <c r="J3424" s="113" t="str">
        <f t="shared" si="107"/>
        <v>hanh Xuân</v>
      </c>
      <c r="K3424" s="113" t="str">
        <f t="shared" si="108"/>
        <v>TN04</v>
      </c>
    </row>
    <row r="3425" spans="1:11" x14ac:dyDescent="0.3">
      <c r="A3425" s="298" t="s">
        <v>10613</v>
      </c>
      <c r="B3425" s="298" t="s">
        <v>10614</v>
      </c>
      <c r="C3425" s="298" t="s">
        <v>10615</v>
      </c>
      <c r="D3425" s="298"/>
      <c r="E3425" s="298"/>
      <c r="F3425" s="298"/>
      <c r="G3425" s="299" t="b">
        <v>0</v>
      </c>
      <c r="H3425" s="299" t="b">
        <v>0</v>
      </c>
      <c r="J3425" s="113" t="str">
        <f t="shared" si="107"/>
        <v>Hải Phòng</v>
      </c>
      <c r="K3425" s="113" t="str">
        <f t="shared" si="108"/>
        <v>Vietcombank Nam Hải Phòng</v>
      </c>
    </row>
    <row r="3426" spans="1:11" x14ac:dyDescent="0.3">
      <c r="A3426" s="298" t="s">
        <v>10616</v>
      </c>
      <c r="B3426" s="298" t="s">
        <v>10617</v>
      </c>
      <c r="C3426" s="298"/>
      <c r="D3426" s="298" t="s">
        <v>6693</v>
      </c>
      <c r="E3426" s="298"/>
      <c r="F3426" s="298"/>
      <c r="G3426" s="299" t="b">
        <v>0</v>
      </c>
      <c r="H3426" s="299" t="b">
        <v>0</v>
      </c>
      <c r="J3426" s="113" t="str">
        <f t="shared" si="107"/>
        <v>Cao Quang</v>
      </c>
      <c r="K3426" s="113" t="str">
        <f t="shared" si="108"/>
        <v>VT00001</v>
      </c>
    </row>
    <row r="3427" spans="1:11" x14ac:dyDescent="0.3">
      <c r="A3427" s="298" t="s">
        <v>10618</v>
      </c>
      <c r="B3427" s="298" t="s">
        <v>10619</v>
      </c>
      <c r="C3427" s="298" t="s">
        <v>10620</v>
      </c>
      <c r="D3427" s="298" t="s">
        <v>6693</v>
      </c>
      <c r="E3427" s="298"/>
      <c r="F3427" s="298"/>
      <c r="G3427" s="299" t="b">
        <v>0</v>
      </c>
      <c r="H3427" s="299" t="b">
        <v>0</v>
      </c>
      <c r="J3427" s="113" t="str">
        <f t="shared" si="107"/>
        <v>Văn Quang</v>
      </c>
      <c r="K3427" s="113" t="str">
        <f t="shared" si="108"/>
        <v>VT00002</v>
      </c>
    </row>
    <row r="3428" spans="1:11" x14ac:dyDescent="0.3">
      <c r="A3428" s="298" t="s">
        <v>10621</v>
      </c>
      <c r="B3428" s="298" t="s">
        <v>10622</v>
      </c>
      <c r="C3428" s="298" t="s">
        <v>10317</v>
      </c>
      <c r="D3428" s="298" t="s">
        <v>6693</v>
      </c>
      <c r="E3428" s="298"/>
      <c r="F3428" s="298"/>
      <c r="G3428" s="299" t="b">
        <v>0</v>
      </c>
      <c r="H3428" s="299" t="b">
        <v>0</v>
      </c>
      <c r="J3428" s="113" t="str">
        <f t="shared" si="107"/>
        <v xml:space="preserve"> vay tiền</v>
      </c>
      <c r="K3428" s="113" t="str">
        <f t="shared" si="108"/>
        <v>VT00003</v>
      </c>
    </row>
    <row r="3429" spans="1:11" x14ac:dyDescent="0.3">
      <c r="A3429" s="298" t="s">
        <v>10623</v>
      </c>
      <c r="B3429" s="298" t="s">
        <v>10624</v>
      </c>
      <c r="C3429" s="298"/>
      <c r="D3429" s="298" t="s">
        <v>6693</v>
      </c>
      <c r="E3429" s="298"/>
      <c r="F3429" s="298"/>
      <c r="G3429" s="299" t="b">
        <v>0</v>
      </c>
      <c r="H3429" s="299" t="b">
        <v>0</v>
      </c>
      <c r="J3429" s="113" t="str">
        <f t="shared" si="107"/>
        <v xml:space="preserve"> của bạn)</v>
      </c>
      <c r="K3429" s="113" t="str">
        <f t="shared" si="108"/>
        <v>VT00004</v>
      </c>
    </row>
    <row r="3430" spans="1:11" x14ac:dyDescent="0.3">
      <c r="A3430" s="298" t="s">
        <v>10625</v>
      </c>
      <c r="B3430" s="298" t="s">
        <v>10626</v>
      </c>
      <c r="C3430" s="298" t="s">
        <v>10627</v>
      </c>
      <c r="D3430" s="298" t="s">
        <v>6693</v>
      </c>
      <c r="E3430" s="298"/>
      <c r="F3430" s="298" t="s">
        <v>6694</v>
      </c>
      <c r="G3430" s="299" t="b">
        <v>0</v>
      </c>
      <c r="H3430" s="299" t="b">
        <v>0</v>
      </c>
      <c r="J3430" s="113" t="str">
        <f t="shared" si="107"/>
        <v xml:space="preserve"> (Vạn An)</v>
      </c>
      <c r="K3430" s="113" t="str">
        <f t="shared" si="108"/>
        <v>VT00005</v>
      </c>
    </row>
    <row r="3431" spans="1:11" x14ac:dyDescent="0.3">
      <c r="A3431" s="298" t="s">
        <v>10628</v>
      </c>
      <c r="B3431" s="298" t="s">
        <v>10629</v>
      </c>
      <c r="C3431" s="298" t="s">
        <v>10630</v>
      </c>
      <c r="D3431" s="298" t="s">
        <v>6693</v>
      </c>
      <c r="E3431" s="298"/>
      <c r="F3431" s="298"/>
      <c r="G3431" s="299" t="b">
        <v>0</v>
      </c>
      <c r="H3431" s="299" t="b">
        <v>0</v>
      </c>
      <c r="J3431" s="113" t="str">
        <f t="shared" si="107"/>
        <v>h Phương)</v>
      </c>
      <c r="K3431" s="113" t="str">
        <f t="shared" si="108"/>
        <v>VT00006</v>
      </c>
    </row>
    <row r="3432" spans="1:11" x14ac:dyDescent="0.3">
      <c r="A3432" s="298" t="s">
        <v>10631</v>
      </c>
      <c r="B3432" s="298" t="s">
        <v>10632</v>
      </c>
      <c r="C3432" s="298" t="s">
        <v>10633</v>
      </c>
      <c r="D3432" s="298" t="s">
        <v>6693</v>
      </c>
      <c r="E3432" s="298"/>
      <c r="F3432" s="298"/>
      <c r="G3432" s="299" t="b">
        <v>0</v>
      </c>
      <c r="H3432" s="299" t="b">
        <v>0</v>
      </c>
      <c r="J3432" s="113" t="str">
        <f t="shared" si="107"/>
        <v>(Mỹ Đoàn)</v>
      </c>
      <c r="K3432" s="113" t="str">
        <f t="shared" si="108"/>
        <v>VT00007</v>
      </c>
    </row>
    <row r="3433" spans="1:11" x14ac:dyDescent="0.3">
      <c r="A3433" s="298" t="s">
        <v>10634</v>
      </c>
      <c r="B3433" s="298" t="s">
        <v>10635</v>
      </c>
      <c r="C3433" s="298" t="s">
        <v>10636</v>
      </c>
      <c r="D3433" s="298" t="s">
        <v>6693</v>
      </c>
      <c r="E3433" s="298"/>
      <c r="F3433" s="298"/>
      <c r="G3433" s="299" t="b">
        <v>0</v>
      </c>
      <c r="H3433" s="299" t="b">
        <v>0</v>
      </c>
      <c r="J3433" s="113" t="str">
        <f t="shared" si="107"/>
        <v>Trịnh</v>
      </c>
      <c r="K3433" s="113" t="str">
        <f t="shared" si="108"/>
        <v>VT00008</v>
      </c>
    </row>
    <row r="3434" spans="1:11" x14ac:dyDescent="0.3">
      <c r="A3434" s="298" t="s">
        <v>10637</v>
      </c>
      <c r="B3434" s="298" t="s">
        <v>10638</v>
      </c>
      <c r="C3434" s="298" t="s">
        <v>10639</v>
      </c>
      <c r="D3434" s="298" t="s">
        <v>6693</v>
      </c>
      <c r="E3434" s="298"/>
      <c r="F3434" s="298"/>
      <c r="G3434" s="299" t="b">
        <v>0</v>
      </c>
      <c r="H3434" s="299" t="b">
        <v>0</v>
      </c>
      <c r="J3434" s="113" t="str">
        <f t="shared" si="107"/>
        <v>Thưởng</v>
      </c>
      <c r="K3434" s="113" t="str">
        <f t="shared" si="108"/>
        <v>VT00009</v>
      </c>
    </row>
    <row r="3435" spans="1:11" x14ac:dyDescent="0.3">
      <c r="A3435" s="298" t="s">
        <v>10640</v>
      </c>
      <c r="B3435" s="298" t="s">
        <v>10641</v>
      </c>
      <c r="C3435" s="298" t="s">
        <v>10642</v>
      </c>
      <c r="D3435" s="298" t="s">
        <v>6693</v>
      </c>
      <c r="E3435" s="298"/>
      <c r="F3435" s="298"/>
      <c r="G3435" s="299" t="b">
        <v>0</v>
      </c>
      <c r="H3435" s="299" t="b">
        <v>0</v>
      </c>
      <c r="J3435" s="113" t="str">
        <f t="shared" si="107"/>
        <v>Đức Mạnh)</v>
      </c>
      <c r="K3435" s="113" t="str">
        <f t="shared" si="108"/>
        <v>VT00010</v>
      </c>
    </row>
    <row r="3436" spans="1:11" x14ac:dyDescent="0.3">
      <c r="A3436" s="298" t="s">
        <v>10643</v>
      </c>
      <c r="B3436" s="298" t="s">
        <v>10644</v>
      </c>
      <c r="C3436" s="298" t="s">
        <v>10645</v>
      </c>
      <c r="D3436" s="298" t="s">
        <v>6693</v>
      </c>
      <c r="E3436" s="298"/>
      <c r="F3436" s="298"/>
      <c r="G3436" s="299" t="b">
        <v>0</v>
      </c>
      <c r="H3436" s="299" t="b">
        <v>0</v>
      </c>
      <c r="J3436" s="113" t="str">
        <f t="shared" si="107"/>
        <v>(Công an)</v>
      </c>
      <c r="K3436" s="113" t="str">
        <f t="shared" si="108"/>
        <v>VT00011</v>
      </c>
    </row>
    <row r="3437" spans="1:11" x14ac:dyDescent="0.3">
      <c r="A3437" s="298" t="s">
        <v>10646</v>
      </c>
      <c r="B3437" s="298" t="s">
        <v>10647</v>
      </c>
      <c r="C3437" s="298"/>
      <c r="D3437" s="298" t="s">
        <v>6693</v>
      </c>
      <c r="E3437" s="298"/>
      <c r="F3437" s="298"/>
      <c r="G3437" s="299" t="b">
        <v>0</v>
      </c>
      <c r="H3437" s="299" t="b">
        <v>0</v>
      </c>
      <c r="J3437" s="113" t="str">
        <f t="shared" si="107"/>
        <v>(Kim Anh)</v>
      </c>
      <c r="K3437" s="113" t="str">
        <f t="shared" si="108"/>
        <v>VT00012</v>
      </c>
    </row>
    <row r="3438" spans="1:11" x14ac:dyDescent="0.3">
      <c r="A3438" s="298" t="s">
        <v>10648</v>
      </c>
      <c r="B3438" s="298" t="s">
        <v>10649</v>
      </c>
      <c r="C3438" s="298"/>
      <c r="D3438" s="298" t="s">
        <v>6693</v>
      </c>
      <c r="E3438" s="298"/>
      <c r="F3438" s="298"/>
      <c r="G3438" s="299" t="b">
        <v>0</v>
      </c>
      <c r="H3438" s="299" t="b">
        <v>0</v>
      </c>
      <c r="J3438" s="113" t="str">
        <f t="shared" si="107"/>
        <v>Toàn cẩu</v>
      </c>
      <c r="K3438" s="113" t="str">
        <f t="shared" si="108"/>
        <v>VT00013</v>
      </c>
    </row>
    <row r="3439" spans="1:11" x14ac:dyDescent="0.3">
      <c r="A3439" s="298" t="s">
        <v>10650</v>
      </c>
      <c r="B3439" s="298" t="s">
        <v>10651</v>
      </c>
      <c r="C3439" s="298" t="s">
        <v>10652</v>
      </c>
      <c r="D3439" s="298" t="s">
        <v>6693</v>
      </c>
      <c r="E3439" s="298"/>
      <c r="F3439" s="298"/>
      <c r="G3439" s="299" t="b">
        <v>0</v>
      </c>
      <c r="H3439" s="299" t="b">
        <v>0</v>
      </c>
      <c r="J3439" s="113" t="str">
        <f t="shared" si="107"/>
        <v xml:space="preserve"> (Hà Tây)</v>
      </c>
      <c r="K3439" s="113" t="str">
        <f t="shared" si="108"/>
        <v>VT00014</v>
      </c>
    </row>
    <row r="3440" spans="1:11" x14ac:dyDescent="0.3">
      <c r="A3440" s="298" t="s">
        <v>10653</v>
      </c>
      <c r="B3440" s="298" t="s">
        <v>10654</v>
      </c>
      <c r="C3440" s="298" t="s">
        <v>10633</v>
      </c>
      <c r="D3440" s="298" t="s">
        <v>6693</v>
      </c>
      <c r="E3440" s="298"/>
      <c r="F3440" s="298" t="s">
        <v>2246</v>
      </c>
      <c r="G3440" s="299" t="b">
        <v>0</v>
      </c>
      <c r="H3440" s="299" t="b">
        <v>0</v>
      </c>
      <c r="J3440" s="113" t="str">
        <f t="shared" si="107"/>
        <v>(Mỹ Đoàn)</v>
      </c>
      <c r="K3440" s="113" t="str">
        <f t="shared" si="108"/>
        <v>VT00015</v>
      </c>
    </row>
    <row r="3441" spans="1:11" x14ac:dyDescent="0.3">
      <c r="A3441" s="298" t="s">
        <v>10655</v>
      </c>
      <c r="B3441" s="298" t="s">
        <v>10656</v>
      </c>
      <c r="C3441" s="298"/>
      <c r="D3441" s="298" t="s">
        <v>6693</v>
      </c>
      <c r="E3441" s="298"/>
      <c r="F3441" s="298"/>
      <c r="G3441" s="299" t="b">
        <v>0</v>
      </c>
      <c r="H3441" s="299" t="b">
        <v>0</v>
      </c>
      <c r="J3441" s="113" t="str">
        <f t="shared" si="107"/>
        <v xml:space="preserve"> Sơn báo)</v>
      </c>
      <c r="K3441" s="113" t="str">
        <f t="shared" si="108"/>
        <v>VT00016</v>
      </c>
    </row>
    <row r="3442" spans="1:11" x14ac:dyDescent="0.3">
      <c r="A3442" s="298" t="s">
        <v>10657</v>
      </c>
      <c r="B3442" s="298" t="s">
        <v>10658</v>
      </c>
      <c r="C3442" s="298"/>
      <c r="D3442" s="298" t="s">
        <v>6693</v>
      </c>
      <c r="E3442" s="298"/>
      <c r="F3442" s="298"/>
      <c r="G3442" s="299" t="b">
        <v>0</v>
      </c>
      <c r="H3442" s="299" t="b">
        <v>0</v>
      </c>
      <c r="J3442" s="113" t="str">
        <f t="shared" si="107"/>
        <v>ị Mai Anh</v>
      </c>
      <c r="K3442" s="113" t="str">
        <f t="shared" si="108"/>
        <v>VT00017</v>
      </c>
    </row>
    <row r="3443" spans="1:11" x14ac:dyDescent="0.3">
      <c r="A3443" s="298" t="s">
        <v>10659</v>
      </c>
      <c r="B3443" s="298" t="s">
        <v>10660</v>
      </c>
      <c r="C3443" s="298"/>
      <c r="D3443" s="298" t="s">
        <v>6693</v>
      </c>
      <c r="E3443" s="298"/>
      <c r="F3443" s="298"/>
      <c r="G3443" s="299" t="b">
        <v>0</v>
      </c>
      <c r="H3443" s="299" t="b">
        <v>0</v>
      </c>
      <c r="J3443" s="113" t="str">
        <f t="shared" si="107"/>
        <v>g cảng 4)</v>
      </c>
      <c r="K3443" s="113" t="str">
        <f t="shared" si="108"/>
        <v>VT00018</v>
      </c>
    </row>
    <row r="3444" spans="1:11" x14ac:dyDescent="0.3">
      <c r="A3444" s="298" t="s">
        <v>10661</v>
      </c>
      <c r="B3444" s="298" t="s">
        <v>10662</v>
      </c>
      <c r="C3444" s="298" t="s">
        <v>10663</v>
      </c>
      <c r="D3444" s="298" t="s">
        <v>6693</v>
      </c>
      <c r="E3444" s="298"/>
      <c r="F3444" s="298"/>
      <c r="G3444" s="299" t="b">
        <v>0</v>
      </c>
      <c r="H3444" s="299" t="b">
        <v>0</v>
      </c>
      <c r="J3444" s="113" t="str">
        <f t="shared" si="107"/>
        <v>gọc Thành</v>
      </c>
      <c r="K3444" s="113" t="str">
        <f t="shared" si="108"/>
        <v>VT00019</v>
      </c>
    </row>
    <row r="3445" spans="1:11" x14ac:dyDescent="0.3">
      <c r="A3445" s="298" t="s">
        <v>10664</v>
      </c>
      <c r="B3445" s="298" t="s">
        <v>10665</v>
      </c>
      <c r="C3445" s="298" t="s">
        <v>355</v>
      </c>
      <c r="D3445" s="298" t="s">
        <v>6693</v>
      </c>
      <c r="E3445" s="298"/>
      <c r="F3445" s="298"/>
      <c r="G3445" s="299" t="b">
        <v>0</v>
      </c>
      <c r="H3445" s="299" t="b">
        <v>0</v>
      </c>
      <c r="J3445" s="113" t="str">
        <f t="shared" si="107"/>
        <v>àng Long)</v>
      </c>
      <c r="K3445" s="113" t="str">
        <f t="shared" si="108"/>
        <v>VT00020</v>
      </c>
    </row>
    <row r="3446" spans="1:11" x14ac:dyDescent="0.3">
      <c r="A3446" s="298" t="s">
        <v>10666</v>
      </c>
      <c r="B3446" s="298" t="s">
        <v>10667</v>
      </c>
      <c r="C3446" s="298" t="s">
        <v>10668</v>
      </c>
      <c r="D3446" s="298" t="s">
        <v>6693</v>
      </c>
      <c r="E3446" s="298"/>
      <c r="F3446" s="298" t="s">
        <v>3165</v>
      </c>
      <c r="G3446" s="299" t="b">
        <v>0</v>
      </c>
      <c r="H3446" s="299" t="b">
        <v>0</v>
      </c>
      <c r="J3446" s="113" t="str">
        <f t="shared" si="107"/>
        <v>(Vinafor)</v>
      </c>
      <c r="K3446" s="113" t="str">
        <f t="shared" si="108"/>
        <v>VT00021</v>
      </c>
    </row>
    <row r="3447" spans="1:11" x14ac:dyDescent="0.3">
      <c r="A3447" s="298" t="s">
        <v>10669</v>
      </c>
      <c r="B3447" s="298" t="s">
        <v>10670</v>
      </c>
      <c r="C3447" s="298" t="s">
        <v>4423</v>
      </c>
      <c r="D3447" s="298" t="s">
        <v>6693</v>
      </c>
      <c r="E3447" s="298"/>
      <c r="F3447" s="298"/>
      <c r="G3447" s="299" t="b">
        <v>0</v>
      </c>
      <c r="H3447" s="299" t="b">
        <v>0</v>
      </c>
      <c r="J3447" s="113" t="str">
        <f t="shared" si="107"/>
        <v>Trang Hà)</v>
      </c>
      <c r="K3447" s="113" t="str">
        <f t="shared" si="108"/>
        <v>VT00022</v>
      </c>
    </row>
    <row r="3448" spans="1:11" x14ac:dyDescent="0.3">
      <c r="A3448" s="298" t="s">
        <v>10671</v>
      </c>
      <c r="B3448" s="298" t="s">
        <v>10672</v>
      </c>
      <c r="C3448" s="298" t="s">
        <v>10673</v>
      </c>
      <c r="D3448" s="298" t="s">
        <v>6693</v>
      </c>
      <c r="E3448" s="298"/>
      <c r="F3448" s="298"/>
      <c r="G3448" s="299" t="b">
        <v>0</v>
      </c>
      <c r="H3448" s="299" t="b">
        <v>0</v>
      </c>
      <c r="J3448" s="113" t="str">
        <f t="shared" si="107"/>
        <v>Xuân Khuê</v>
      </c>
      <c r="K3448" s="113" t="str">
        <f t="shared" si="108"/>
        <v>VT00023</v>
      </c>
    </row>
    <row r="3449" spans="1:11" x14ac:dyDescent="0.3">
      <c r="A3449" s="298" t="s">
        <v>10674</v>
      </c>
      <c r="B3449" s="298" t="s">
        <v>10675</v>
      </c>
      <c r="C3449" s="298" t="s">
        <v>416</v>
      </c>
      <c r="D3449" s="298" t="s">
        <v>6693</v>
      </c>
      <c r="E3449" s="298"/>
      <c r="F3449" s="298" t="s">
        <v>10676</v>
      </c>
      <c r="G3449" s="299" t="b">
        <v>0</v>
      </c>
      <c r="H3449" s="299" t="b">
        <v>0</v>
      </c>
      <c r="J3449" s="113" t="str">
        <f t="shared" si="107"/>
        <v xml:space="preserve"> (DHS VN)</v>
      </c>
      <c r="K3449" s="113" t="str">
        <f t="shared" si="108"/>
        <v>VT00024</v>
      </c>
    </row>
    <row r="3450" spans="1:11" x14ac:dyDescent="0.3">
      <c r="A3450" s="298" t="s">
        <v>10677</v>
      </c>
      <c r="B3450" s="298" t="s">
        <v>10678</v>
      </c>
      <c r="C3450" s="298" t="s">
        <v>10633</v>
      </c>
      <c r="D3450" s="298" t="s">
        <v>6693</v>
      </c>
      <c r="E3450" s="298"/>
      <c r="F3450" s="298" t="s">
        <v>2282</v>
      </c>
      <c r="G3450" s="299" t="b">
        <v>0</v>
      </c>
      <c r="H3450" s="299" t="b">
        <v>0</v>
      </c>
      <c r="J3450" s="113" t="str">
        <f t="shared" si="107"/>
        <v xml:space="preserve"> Mỹ Đoàn)</v>
      </c>
      <c r="K3450" s="113" t="str">
        <f t="shared" si="108"/>
        <v>VT00025</v>
      </c>
    </row>
    <row r="3451" spans="1:11" x14ac:dyDescent="0.3">
      <c r="A3451" s="298" t="s">
        <v>10679</v>
      </c>
      <c r="B3451" s="298" t="s">
        <v>10680</v>
      </c>
      <c r="C3451" s="298" t="s">
        <v>10681</v>
      </c>
      <c r="D3451" s="298" t="s">
        <v>6693</v>
      </c>
      <c r="E3451" s="298"/>
      <c r="F3451" s="298"/>
      <c r="G3451" s="299" t="b">
        <v>0</v>
      </c>
      <c r="H3451" s="299" t="b">
        <v>0</v>
      </c>
      <c r="J3451" s="113" t="str">
        <f t="shared" si="107"/>
        <v>(Hà Đông)</v>
      </c>
      <c r="K3451" s="113" t="str">
        <f t="shared" si="108"/>
        <v>VT00026</v>
      </c>
    </row>
    <row r="3452" spans="1:11" x14ac:dyDescent="0.3">
      <c r="A3452" s="298" t="s">
        <v>10682</v>
      </c>
      <c r="B3452" s="298" t="s">
        <v>10683</v>
      </c>
      <c r="C3452" s="298" t="s">
        <v>10684</v>
      </c>
      <c r="D3452" s="298" t="s">
        <v>6693</v>
      </c>
      <c r="E3452" s="298"/>
      <c r="F3452" s="298"/>
      <c r="G3452" s="299" t="b">
        <v>0</v>
      </c>
      <c r="H3452" s="299" t="b">
        <v>0</v>
      </c>
      <c r="J3452" s="113" t="str">
        <f t="shared" si="107"/>
        <v xml:space="preserve"> Thị Bình</v>
      </c>
      <c r="K3452" s="113" t="str">
        <f t="shared" si="108"/>
        <v>VT00027</v>
      </c>
    </row>
    <row r="3453" spans="1:11" x14ac:dyDescent="0.3">
      <c r="A3453" s="298" t="s">
        <v>10685</v>
      </c>
      <c r="B3453" s="298" t="s">
        <v>10686</v>
      </c>
      <c r="C3453" s="298" t="s">
        <v>10493</v>
      </c>
      <c r="D3453" s="298" t="s">
        <v>6693</v>
      </c>
      <c r="E3453" s="298"/>
      <c r="F3453" s="298"/>
      <c r="G3453" s="299" t="b">
        <v>0</v>
      </c>
      <c r="H3453" s="299" t="b">
        <v>0</v>
      </c>
      <c r="J3453" s="113" t="str">
        <f t="shared" si="107"/>
        <v>n Thị Bay</v>
      </c>
      <c r="K3453" s="113" t="str">
        <f t="shared" si="108"/>
        <v>VT00028</v>
      </c>
    </row>
    <row r="3454" spans="1:11" x14ac:dyDescent="0.3">
      <c r="A3454" s="298" t="s">
        <v>10687</v>
      </c>
      <c r="B3454" s="298" t="s">
        <v>10688</v>
      </c>
      <c r="C3454" s="298" t="s">
        <v>10689</v>
      </c>
      <c r="D3454" s="298" t="s">
        <v>6693</v>
      </c>
      <c r="E3454" s="298"/>
      <c r="F3454" s="298" t="s">
        <v>10690</v>
      </c>
      <c r="G3454" s="299" t="b">
        <v>0</v>
      </c>
      <c r="H3454" s="299" t="b">
        <v>0</v>
      </c>
      <c r="J3454" s="113" t="str">
        <f t="shared" si="107"/>
        <v>ường cây)</v>
      </c>
      <c r="K3454" s="113" t="str">
        <f t="shared" si="108"/>
        <v>VT00029</v>
      </c>
    </row>
    <row r="3455" spans="1:11" x14ac:dyDescent="0.3">
      <c r="A3455" s="298" t="s">
        <v>10691</v>
      </c>
      <c r="B3455" s="298" t="s">
        <v>10692</v>
      </c>
      <c r="C3455" s="298" t="s">
        <v>10693</v>
      </c>
      <c r="D3455" s="298" t="s">
        <v>6693</v>
      </c>
      <c r="E3455" s="298"/>
      <c r="F3455" s="298"/>
      <c r="G3455" s="299" t="b">
        <v>0</v>
      </c>
      <c r="H3455" s="299" t="b">
        <v>0</v>
      </c>
      <c r="J3455" s="113" t="str">
        <f t="shared" si="107"/>
        <v>m Thị Nga</v>
      </c>
      <c r="K3455" s="113" t="str">
        <f t="shared" si="108"/>
        <v>VT00030</v>
      </c>
    </row>
    <row r="3456" spans="1:11" x14ac:dyDescent="0.3">
      <c r="A3456" s="298" t="s">
        <v>10694</v>
      </c>
      <c r="B3456" s="298" t="s">
        <v>10695</v>
      </c>
      <c r="C3456" s="298" t="s">
        <v>10696</v>
      </c>
      <c r="D3456" s="298" t="s">
        <v>6693</v>
      </c>
      <c r="E3456" s="298"/>
      <c r="F3456" s="298" t="s">
        <v>1323</v>
      </c>
      <c r="G3456" s="299" t="b">
        <v>0</v>
      </c>
      <c r="H3456" s="299" t="b">
        <v>0</v>
      </c>
      <c r="J3456" s="113" t="str">
        <f t="shared" si="107"/>
        <v>Hà Trung)</v>
      </c>
      <c r="K3456" s="113" t="str">
        <f t="shared" si="108"/>
        <v>VT00031</v>
      </c>
    </row>
    <row r="3457" spans="1:11" x14ac:dyDescent="0.3">
      <c r="A3457" s="298" t="s">
        <v>10697</v>
      </c>
      <c r="B3457" s="298" t="s">
        <v>10698</v>
      </c>
      <c r="C3457" s="298" t="s">
        <v>289</v>
      </c>
      <c r="D3457" s="298" t="s">
        <v>6693</v>
      </c>
      <c r="E3457" s="298"/>
      <c r="F3457" s="298" t="s">
        <v>7886</v>
      </c>
      <c r="G3457" s="299" t="b">
        <v>0</v>
      </c>
      <c r="H3457" s="299" t="b">
        <v>0</v>
      </c>
      <c r="J3457" s="113" t="str">
        <f t="shared" si="107"/>
        <v>(Phú Lân)</v>
      </c>
      <c r="K3457" s="113" t="str">
        <f t="shared" si="108"/>
        <v>VT00032</v>
      </c>
    </row>
    <row r="3458" spans="1:11" x14ac:dyDescent="0.3">
      <c r="A3458" s="298" t="s">
        <v>10699</v>
      </c>
      <c r="B3458" s="298" t="s">
        <v>10700</v>
      </c>
      <c r="C3458" s="298" t="s">
        <v>10701</v>
      </c>
      <c r="D3458" s="298" t="s">
        <v>6693</v>
      </c>
      <c r="E3458" s="298"/>
      <c r="F3458" s="298"/>
      <c r="G3458" s="299" t="b">
        <v>0</v>
      </c>
      <c r="H3458" s="299" t="b">
        <v>0</v>
      </c>
      <c r="J3458" s="113" t="str">
        <f t="shared" si="107"/>
        <v xml:space="preserve"> thuế HP)</v>
      </c>
      <c r="K3458" s="113" t="str">
        <f t="shared" si="108"/>
        <v>VT00033</v>
      </c>
    </row>
    <row r="3459" spans="1:11" x14ac:dyDescent="0.3">
      <c r="A3459" s="298" t="s">
        <v>10702</v>
      </c>
      <c r="B3459" s="298" t="s">
        <v>10703</v>
      </c>
      <c r="C3459" s="298" t="s">
        <v>10652</v>
      </c>
      <c r="D3459" s="298" t="s">
        <v>6693</v>
      </c>
      <c r="E3459" s="298"/>
      <c r="F3459" s="298"/>
      <c r="G3459" s="299" t="b">
        <v>0</v>
      </c>
      <c r="H3459" s="299" t="b">
        <v>0</v>
      </c>
      <c r="J3459" s="113" t="str">
        <f t="shared" si="107"/>
        <v xml:space="preserve"> (Hà Tây)</v>
      </c>
      <c r="K3459" s="113" t="str">
        <f t="shared" si="108"/>
        <v>VT00034</v>
      </c>
    </row>
    <row r="3460" spans="1:11" x14ac:dyDescent="0.3">
      <c r="A3460" s="298" t="s">
        <v>10704</v>
      </c>
      <c r="B3460" s="298" t="s">
        <v>10705</v>
      </c>
      <c r="C3460" s="298" t="s">
        <v>10706</v>
      </c>
      <c r="D3460" s="298" t="s">
        <v>6693</v>
      </c>
      <c r="E3460" s="298"/>
      <c r="F3460" s="298" t="s">
        <v>10707</v>
      </c>
      <c r="G3460" s="299" t="b">
        <v>0</v>
      </c>
      <c r="H3460" s="299" t="b">
        <v>0</v>
      </c>
      <c r="J3460" s="113" t="str">
        <f t="shared" si="107"/>
        <v>(Bán cây)</v>
      </c>
      <c r="K3460" s="113" t="str">
        <f t="shared" si="108"/>
        <v>VT00035</v>
      </c>
    </row>
    <row r="3461" spans="1:11" x14ac:dyDescent="0.3">
      <c r="A3461" s="298" t="s">
        <v>10708</v>
      </c>
      <c r="B3461" s="298" t="s">
        <v>10709</v>
      </c>
      <c r="C3461" s="298" t="s">
        <v>416</v>
      </c>
      <c r="D3461" s="298" t="s">
        <v>6693</v>
      </c>
      <c r="E3461" s="298"/>
      <c r="F3461" s="298" t="s">
        <v>1959</v>
      </c>
      <c r="G3461" s="299" t="b">
        <v>0</v>
      </c>
      <c r="H3461" s="299" t="b">
        <v>0</v>
      </c>
      <c r="J3461" s="113" t="str">
        <f t="shared" ref="J3461:J3524" si="109">RIGHT(B3461,9)</f>
        <v>966083092</v>
      </c>
      <c r="K3461" s="113" t="str">
        <f t="shared" ref="K3461:K3524" si="110">A3461</f>
        <v>VT00036</v>
      </c>
    </row>
    <row r="3462" spans="1:11" x14ac:dyDescent="0.3">
      <c r="A3462" s="298" t="s">
        <v>10710</v>
      </c>
      <c r="B3462" s="298" t="s">
        <v>10711</v>
      </c>
      <c r="C3462" s="298" t="s">
        <v>55</v>
      </c>
      <c r="D3462" s="298" t="s">
        <v>6693</v>
      </c>
      <c r="E3462" s="298"/>
      <c r="F3462" s="298" t="s">
        <v>55</v>
      </c>
      <c r="G3462" s="299" t="b">
        <v>0</v>
      </c>
      <c r="H3462" s="299" t="b">
        <v>0</v>
      </c>
      <c r="J3462" s="113" t="str">
        <f t="shared" si="109"/>
        <v xml:space="preserve"> Hồng Lam</v>
      </c>
      <c r="K3462" s="113" t="str">
        <f t="shared" si="110"/>
        <v>VT00037</v>
      </c>
    </row>
    <row r="3463" spans="1:11" x14ac:dyDescent="0.3">
      <c r="A3463" s="298" t="s">
        <v>10712</v>
      </c>
      <c r="B3463" s="298" t="s">
        <v>10713</v>
      </c>
      <c r="C3463" s="298" t="s">
        <v>55</v>
      </c>
      <c r="D3463" s="298" t="s">
        <v>6693</v>
      </c>
      <c r="E3463" s="298"/>
      <c r="F3463" s="298" t="s">
        <v>55</v>
      </c>
      <c r="G3463" s="299" t="b">
        <v>0</v>
      </c>
      <c r="H3463" s="299" t="b">
        <v>0</v>
      </c>
      <c r="J3463" s="113" t="str">
        <f t="shared" si="109"/>
        <v>Bạn a Sơn</v>
      </c>
      <c r="K3463" s="113" t="str">
        <f t="shared" si="110"/>
        <v>VT00038</v>
      </c>
    </row>
    <row r="3464" spans="1:11" x14ac:dyDescent="0.3">
      <c r="A3464" s="298" t="s">
        <v>10714</v>
      </c>
      <c r="B3464" s="298" t="s">
        <v>10715</v>
      </c>
      <c r="C3464" s="298" t="s">
        <v>10716</v>
      </c>
      <c r="D3464" s="298" t="s">
        <v>6693</v>
      </c>
      <c r="E3464" s="298"/>
      <c r="F3464" s="298" t="s">
        <v>55</v>
      </c>
      <c r="G3464" s="299" t="b">
        <v>0</v>
      </c>
      <c r="H3464" s="299" t="b">
        <v>0</v>
      </c>
      <c r="J3464" s="113" t="str">
        <f t="shared" si="109"/>
        <v xml:space="preserve"> 446 210)</v>
      </c>
      <c r="K3464" s="113" t="str">
        <f t="shared" si="110"/>
        <v>VT00039</v>
      </c>
    </row>
    <row r="3465" spans="1:11" x14ac:dyDescent="0.3">
      <c r="A3465" s="298" t="s">
        <v>10717</v>
      </c>
      <c r="B3465" s="298" t="s">
        <v>10718</v>
      </c>
      <c r="C3465" s="298" t="s">
        <v>10719</v>
      </c>
      <c r="D3465" s="298"/>
      <c r="E3465" s="298"/>
      <c r="F3465" s="298"/>
      <c r="G3465" s="299" t="b">
        <v>0</v>
      </c>
      <c r="H3465" s="299" t="b">
        <v>0</v>
      </c>
      <c r="J3465" s="113" t="str">
        <f t="shared" si="109"/>
        <v>911475657</v>
      </c>
      <c r="K3465" s="113" t="str">
        <f t="shared" si="110"/>
        <v>VT00040</v>
      </c>
    </row>
    <row r="3466" spans="1:11" x14ac:dyDescent="0.3">
      <c r="A3466" s="298" t="s">
        <v>10720</v>
      </c>
      <c r="B3466" s="298" t="s">
        <v>10721</v>
      </c>
      <c r="C3466" s="298"/>
      <c r="D3466" s="298"/>
      <c r="E3466" s="298"/>
      <c r="F3466" s="298"/>
      <c r="G3466" s="299" t="b">
        <v>0</v>
      </c>
      <c r="H3466" s="299" t="b">
        <v>0</v>
      </c>
      <c r="J3466" s="113" t="str">
        <f t="shared" si="109"/>
        <v>ang Thanh</v>
      </c>
      <c r="K3466" s="113" t="str">
        <f t="shared" si="110"/>
        <v>VT00041</v>
      </c>
    </row>
    <row r="3467" spans="1:11" x14ac:dyDescent="0.3">
      <c r="A3467" s="298" t="s">
        <v>10722</v>
      </c>
      <c r="B3467" s="298" t="s">
        <v>10723</v>
      </c>
      <c r="C3467" s="298"/>
      <c r="D3467" s="298"/>
      <c r="E3467" s="298"/>
      <c r="F3467" s="298"/>
      <c r="G3467" s="299" t="b">
        <v>0</v>
      </c>
      <c r="H3467" s="299" t="b">
        <v>0</v>
      </c>
      <c r="J3467" s="113" t="str">
        <f t="shared" si="109"/>
        <v>ấn Cá Sấu</v>
      </c>
      <c r="K3467" s="113" t="str">
        <f t="shared" si="110"/>
        <v>VT00042</v>
      </c>
    </row>
    <row r="3468" spans="1:11" x14ac:dyDescent="0.3">
      <c r="A3468" s="298" t="s">
        <v>10724</v>
      </c>
      <c r="B3468" s="298" t="s">
        <v>10725</v>
      </c>
      <c r="C3468" s="298" t="s">
        <v>10726</v>
      </c>
      <c r="D3468" s="298" t="s">
        <v>10727</v>
      </c>
      <c r="E3468" s="298"/>
      <c r="F3468" s="298" t="s">
        <v>10728</v>
      </c>
      <c r="G3468" s="299" t="b">
        <v>0</v>
      </c>
      <c r="H3468" s="299" t="b">
        <v>0</v>
      </c>
      <c r="J3468" s="113" t="str">
        <f t="shared" si="109"/>
        <v>uyên Hoàn</v>
      </c>
      <c r="K3468" s="113" t="str">
        <f t="shared" si="110"/>
        <v>VT00043</v>
      </c>
    </row>
    <row r="3469" spans="1:11" x14ac:dyDescent="0.3">
      <c r="A3469" s="298" t="s">
        <v>13566</v>
      </c>
      <c r="B3469" s="298" t="s">
        <v>13567</v>
      </c>
      <c r="C3469" s="298" t="s">
        <v>13568</v>
      </c>
      <c r="D3469" s="298" t="s">
        <v>10727</v>
      </c>
      <c r="E3469" s="298"/>
      <c r="F3469" s="298" t="s">
        <v>13569</v>
      </c>
      <c r="G3469" s="299" t="b">
        <v>0</v>
      </c>
      <c r="H3469" s="299" t="b">
        <v>0</v>
      </c>
      <c r="J3469" s="113" t="str">
        <f t="shared" si="109"/>
        <v>n Bá Toán</v>
      </c>
      <c r="K3469" s="113" t="str">
        <f t="shared" si="110"/>
        <v>VT00044</v>
      </c>
    </row>
    <row r="3470" spans="1:11" x14ac:dyDescent="0.3">
      <c r="A3470" s="298" t="s">
        <v>13587</v>
      </c>
      <c r="B3470" s="298" t="s">
        <v>13588</v>
      </c>
      <c r="C3470" s="298" t="s">
        <v>13589</v>
      </c>
      <c r="D3470" s="298" t="s">
        <v>256</v>
      </c>
      <c r="E3470" s="298" t="s">
        <v>13590</v>
      </c>
      <c r="F3470" s="298" t="s">
        <v>13485</v>
      </c>
      <c r="G3470" s="299" t="b">
        <v>0</v>
      </c>
      <c r="H3470" s="299" t="b">
        <v>0</v>
      </c>
      <c r="J3470" s="113" t="str">
        <f t="shared" si="109"/>
        <v>Thủy Quân</v>
      </c>
      <c r="K3470" s="113" t="str">
        <f t="shared" si="110"/>
        <v>CG03270</v>
      </c>
    </row>
    <row r="3471" spans="1:11" x14ac:dyDescent="0.3">
      <c r="A3471" s="298" t="s">
        <v>13577</v>
      </c>
      <c r="B3471" s="298" t="s">
        <v>13591</v>
      </c>
      <c r="C3471" s="298" t="s">
        <v>13592</v>
      </c>
      <c r="D3471" s="298" t="s">
        <v>256</v>
      </c>
      <c r="E3471" s="298" t="s">
        <v>13578</v>
      </c>
      <c r="F3471" s="298" t="s">
        <v>13593</v>
      </c>
      <c r="G3471" s="299" t="b">
        <v>0</v>
      </c>
      <c r="H3471" s="299" t="b">
        <v>0</v>
      </c>
      <c r="J3471" s="113" t="str">
        <f t="shared" si="109"/>
        <v>Hương Trà</v>
      </c>
      <c r="K3471" s="113" t="str">
        <f t="shared" si="110"/>
        <v>CG03271</v>
      </c>
    </row>
    <row r="3472" spans="1:11" x14ac:dyDescent="0.3">
      <c r="A3472" s="298" t="s">
        <v>13594</v>
      </c>
      <c r="B3472" s="298" t="s">
        <v>13595</v>
      </c>
      <c r="C3472" s="298" t="s">
        <v>13596</v>
      </c>
      <c r="D3472" s="298" t="s">
        <v>256</v>
      </c>
      <c r="E3472" s="298" t="s">
        <v>55</v>
      </c>
      <c r="F3472" s="298" t="s">
        <v>13597</v>
      </c>
      <c r="G3472" s="299" t="b">
        <v>0</v>
      </c>
      <c r="H3472" s="299" t="b">
        <v>0</v>
      </c>
      <c r="J3472" s="113" t="str">
        <f t="shared" si="109"/>
        <v>912290991</v>
      </c>
      <c r="K3472" s="113" t="str">
        <f t="shared" si="110"/>
        <v>CG03272</v>
      </c>
    </row>
    <row r="3473" spans="1:11" x14ac:dyDescent="0.3">
      <c r="A3473" s="298" t="s">
        <v>13582</v>
      </c>
      <c r="B3473" s="298" t="s">
        <v>13583</v>
      </c>
      <c r="C3473" s="298" t="s">
        <v>13584</v>
      </c>
      <c r="D3473" s="298" t="s">
        <v>256</v>
      </c>
      <c r="E3473" s="298" t="s">
        <v>13585</v>
      </c>
      <c r="F3473" s="298" t="s">
        <v>13586</v>
      </c>
      <c r="G3473" s="299" t="b">
        <v>0</v>
      </c>
      <c r="H3473" s="299" t="b">
        <v>0</v>
      </c>
      <c r="J3473" s="113" t="str">
        <f t="shared" si="109"/>
        <v>Trọng Anh</v>
      </c>
      <c r="K3473" s="113" t="str">
        <f t="shared" si="110"/>
        <v>CG03273</v>
      </c>
    </row>
    <row r="3474" spans="1:11" x14ac:dyDescent="0.3">
      <c r="A3474" s="113" t="s">
        <v>13718</v>
      </c>
      <c r="B3474" s="113" t="s">
        <v>13719</v>
      </c>
      <c r="C3474" s="113" t="s">
        <v>13719</v>
      </c>
      <c r="D3474" s="113" t="s">
        <v>13719</v>
      </c>
      <c r="E3474" s="113" t="s">
        <v>13719</v>
      </c>
      <c r="F3474" s="113" t="s">
        <v>13719</v>
      </c>
      <c r="G3474" s="113" t="s">
        <v>13719</v>
      </c>
      <c r="H3474" s="113" t="s">
        <v>13719</v>
      </c>
      <c r="J3474" s="113" t="str">
        <f t="shared" si="109"/>
        <v>xe ngoài</v>
      </c>
      <c r="K3474" s="113" t="str">
        <f t="shared" si="110"/>
        <v>xn</v>
      </c>
    </row>
    <row r="3475" spans="1:11" x14ac:dyDescent="0.3">
      <c r="A3475" s="298" t="s">
        <v>13730</v>
      </c>
      <c r="B3475" s="298" t="s">
        <v>13731</v>
      </c>
      <c r="C3475" s="298" t="s">
        <v>477</v>
      </c>
      <c r="D3475" s="298" t="s">
        <v>256</v>
      </c>
      <c r="E3475" s="298" t="s">
        <v>55</v>
      </c>
      <c r="F3475" s="298" t="s">
        <v>13732</v>
      </c>
      <c r="G3475" s="299" t="b">
        <v>0</v>
      </c>
      <c r="H3475" s="299" t="b">
        <v>0</v>
      </c>
      <c r="J3475" s="113" t="str">
        <f t="shared" si="109"/>
        <v>981862729</v>
      </c>
      <c r="K3475" s="113" t="str">
        <f t="shared" si="110"/>
        <v>CG03274</v>
      </c>
    </row>
    <row r="3476" spans="1:11" x14ac:dyDescent="0.3">
      <c r="A3476" s="298" t="s">
        <v>13733</v>
      </c>
      <c r="B3476" s="298" t="s">
        <v>13734</v>
      </c>
      <c r="C3476" s="298" t="s">
        <v>613</v>
      </c>
      <c r="D3476" s="298" t="s">
        <v>256</v>
      </c>
      <c r="E3476" s="298" t="s">
        <v>55</v>
      </c>
      <c r="F3476" s="298" t="s">
        <v>13735</v>
      </c>
      <c r="G3476" s="299" t="b">
        <v>0</v>
      </c>
      <c r="H3476" s="299" t="b">
        <v>0</v>
      </c>
      <c r="J3476" s="113" t="str">
        <f t="shared" si="109"/>
        <v>942492222</v>
      </c>
      <c r="K3476" s="113" t="str">
        <f t="shared" si="110"/>
        <v>CG03275</v>
      </c>
    </row>
    <row r="3477" spans="1:11" x14ac:dyDescent="0.3">
      <c r="A3477" s="298" t="s">
        <v>13736</v>
      </c>
      <c r="B3477" s="298" t="s">
        <v>13737</v>
      </c>
      <c r="C3477" s="298" t="s">
        <v>2877</v>
      </c>
      <c r="D3477" s="298" t="s">
        <v>256</v>
      </c>
      <c r="E3477" s="298" t="s">
        <v>55</v>
      </c>
      <c r="F3477" s="298" t="s">
        <v>13738</v>
      </c>
      <c r="G3477" s="299" t="b">
        <v>0</v>
      </c>
      <c r="H3477" s="299" t="b">
        <v>0</v>
      </c>
      <c r="J3477" s="113" t="str">
        <f t="shared" si="109"/>
        <v>913272153</v>
      </c>
      <c r="K3477" s="113" t="str">
        <f t="shared" si="110"/>
        <v>CG03276</v>
      </c>
    </row>
    <row r="3478" spans="1:11" x14ac:dyDescent="0.3">
      <c r="A3478" s="298" t="s">
        <v>13739</v>
      </c>
      <c r="B3478" s="298" t="s">
        <v>13740</v>
      </c>
      <c r="C3478" s="298" t="s">
        <v>13741</v>
      </c>
      <c r="D3478" s="298" t="s">
        <v>256</v>
      </c>
      <c r="E3478" s="298" t="s">
        <v>55</v>
      </c>
      <c r="F3478" s="298" t="s">
        <v>13742</v>
      </c>
      <c r="G3478" s="299" t="b">
        <v>0</v>
      </c>
      <c r="H3478" s="299" t="b">
        <v>0</v>
      </c>
      <c r="J3478" s="113" t="str">
        <f t="shared" si="109"/>
        <v>ượng Phát</v>
      </c>
      <c r="K3478" s="113" t="str">
        <f t="shared" si="110"/>
        <v>CG03277</v>
      </c>
    </row>
    <row r="3479" spans="1:11" x14ac:dyDescent="0.3">
      <c r="A3479" s="298" t="s">
        <v>13743</v>
      </c>
      <c r="B3479" s="298" t="s">
        <v>13744</v>
      </c>
      <c r="C3479" s="298" t="s">
        <v>231</v>
      </c>
      <c r="D3479" s="298" t="s">
        <v>256</v>
      </c>
      <c r="E3479" s="298" t="s">
        <v>55</v>
      </c>
      <c r="F3479" s="298" t="s">
        <v>13745</v>
      </c>
      <c r="G3479" s="299" t="b">
        <v>0</v>
      </c>
      <c r="H3479" s="299" t="b">
        <v>0</v>
      </c>
      <c r="J3479" s="113" t="str">
        <f t="shared" si="109"/>
        <v>984973222</v>
      </c>
      <c r="K3479" s="113" t="str">
        <f t="shared" si="110"/>
        <v>CG03278</v>
      </c>
    </row>
    <row r="3480" spans="1:11" x14ac:dyDescent="0.3">
      <c r="A3480" s="298" t="s">
        <v>13746</v>
      </c>
      <c r="B3480" s="298" t="s">
        <v>13747</v>
      </c>
      <c r="C3480" s="298" t="s">
        <v>13748</v>
      </c>
      <c r="D3480" s="298" t="s">
        <v>256</v>
      </c>
      <c r="E3480" s="298" t="s">
        <v>13749</v>
      </c>
      <c r="F3480" s="298" t="s">
        <v>13750</v>
      </c>
      <c r="G3480" s="299" t="b">
        <v>0</v>
      </c>
      <c r="H3480" s="299" t="b">
        <v>0</v>
      </c>
      <c r="J3480" s="113" t="str">
        <f t="shared" si="109"/>
        <v>977065551</v>
      </c>
      <c r="K3480" s="113" t="str">
        <f t="shared" si="110"/>
        <v>CG03279</v>
      </c>
    </row>
    <row r="3481" spans="1:11" x14ac:dyDescent="0.3">
      <c r="A3481" s="298" t="s">
        <v>13751</v>
      </c>
      <c r="B3481" s="298" t="s">
        <v>13752</v>
      </c>
      <c r="C3481" s="298" t="s">
        <v>711</v>
      </c>
      <c r="D3481" s="298" t="s">
        <v>256</v>
      </c>
      <c r="E3481" s="298" t="s">
        <v>55</v>
      </c>
      <c r="F3481" s="298" t="s">
        <v>13753</v>
      </c>
      <c r="G3481" s="299" t="b">
        <v>0</v>
      </c>
      <c r="H3481" s="299" t="b">
        <v>0</v>
      </c>
      <c r="J3481" s="113" t="str">
        <f t="shared" si="109"/>
        <v>982286655</v>
      </c>
      <c r="K3481" s="113" t="str">
        <f t="shared" si="110"/>
        <v>CG03280</v>
      </c>
    </row>
    <row r="3482" spans="1:11" x14ac:dyDescent="0.3">
      <c r="A3482" s="298" t="s">
        <v>13754</v>
      </c>
      <c r="B3482" s="298" t="s">
        <v>13755</v>
      </c>
      <c r="C3482" s="298" t="s">
        <v>2659</v>
      </c>
      <c r="D3482" s="298" t="s">
        <v>256</v>
      </c>
      <c r="E3482" s="298" t="s">
        <v>55</v>
      </c>
      <c r="F3482" s="298" t="s">
        <v>13756</v>
      </c>
      <c r="G3482" s="299" t="b">
        <v>0</v>
      </c>
      <c r="H3482" s="299" t="b">
        <v>0</v>
      </c>
      <c r="J3482" s="113" t="str">
        <f t="shared" si="109"/>
        <v>962368620</v>
      </c>
      <c r="K3482" s="113" t="str">
        <f t="shared" si="110"/>
        <v>CG03281</v>
      </c>
    </row>
    <row r="3483" spans="1:11" x14ac:dyDescent="0.3">
      <c r="A3483" s="298" t="s">
        <v>13757</v>
      </c>
      <c r="B3483" s="298" t="s">
        <v>13758</v>
      </c>
      <c r="C3483" s="298" t="s">
        <v>3257</v>
      </c>
      <c r="D3483" s="298" t="s">
        <v>256</v>
      </c>
      <c r="E3483" s="298" t="s">
        <v>55</v>
      </c>
      <c r="F3483" s="298" t="s">
        <v>13759</v>
      </c>
      <c r="G3483" s="299" t="b">
        <v>0</v>
      </c>
      <c r="H3483" s="299" t="b">
        <v>0</v>
      </c>
      <c r="J3483" s="113" t="str">
        <f t="shared" si="109"/>
        <v>915393086</v>
      </c>
      <c r="K3483" s="113" t="str">
        <f t="shared" si="110"/>
        <v>CG03282</v>
      </c>
    </row>
    <row r="3484" spans="1:11" x14ac:dyDescent="0.3">
      <c r="A3484" s="298" t="s">
        <v>13760</v>
      </c>
      <c r="B3484" s="298" t="s">
        <v>13761</v>
      </c>
      <c r="C3484" s="298" t="s">
        <v>3214</v>
      </c>
      <c r="D3484" s="298" t="s">
        <v>256</v>
      </c>
      <c r="E3484" s="298" t="s">
        <v>55</v>
      </c>
      <c r="F3484" s="298" t="s">
        <v>13762</v>
      </c>
      <c r="G3484" s="299" t="b">
        <v>0</v>
      </c>
      <c r="H3484" s="299" t="b">
        <v>0</v>
      </c>
      <c r="J3484" s="113" t="str">
        <f t="shared" si="109"/>
        <v>369284505</v>
      </c>
      <c r="K3484" s="113" t="str">
        <f t="shared" si="110"/>
        <v>CG03283</v>
      </c>
    </row>
    <row r="3485" spans="1:11" x14ac:dyDescent="0.3">
      <c r="A3485" s="298" t="s">
        <v>13763</v>
      </c>
      <c r="B3485" s="298" t="s">
        <v>13764</v>
      </c>
      <c r="C3485" s="298" t="s">
        <v>711</v>
      </c>
      <c r="D3485" s="298" t="s">
        <v>256</v>
      </c>
      <c r="E3485" s="298" t="s">
        <v>55</v>
      </c>
      <c r="F3485" s="298" t="s">
        <v>13765</v>
      </c>
      <c r="G3485" s="299" t="b">
        <v>0</v>
      </c>
      <c r="H3485" s="299" t="b">
        <v>0</v>
      </c>
      <c r="J3485" s="113" t="str">
        <f t="shared" si="109"/>
        <v>932398398</v>
      </c>
      <c r="K3485" s="113" t="str">
        <f t="shared" si="110"/>
        <v>CG03284</v>
      </c>
    </row>
    <row r="3486" spans="1:11" x14ac:dyDescent="0.3">
      <c r="A3486" s="298" t="s">
        <v>13766</v>
      </c>
      <c r="B3486" s="298" t="s">
        <v>13767</v>
      </c>
      <c r="C3486" s="298" t="s">
        <v>4324</v>
      </c>
      <c r="D3486" s="298" t="s">
        <v>256</v>
      </c>
      <c r="E3486" s="298" t="s">
        <v>55</v>
      </c>
      <c r="F3486" s="298" t="s">
        <v>13768</v>
      </c>
      <c r="G3486" s="299" t="b">
        <v>0</v>
      </c>
      <c r="H3486" s="299" t="b">
        <v>0</v>
      </c>
      <c r="J3486" s="113" t="str">
        <f t="shared" si="109"/>
        <v>969211899</v>
      </c>
      <c r="K3486" s="113" t="str">
        <f t="shared" si="110"/>
        <v>CG03285</v>
      </c>
    </row>
    <row r="3487" spans="1:11" x14ac:dyDescent="0.3">
      <c r="A3487" s="298" t="s">
        <v>13769</v>
      </c>
      <c r="B3487" s="298" t="s">
        <v>13770</v>
      </c>
      <c r="C3487" s="298" t="s">
        <v>1508</v>
      </c>
      <c r="D3487" s="298" t="s">
        <v>256</v>
      </c>
      <c r="E3487" s="298" t="s">
        <v>55</v>
      </c>
      <c r="F3487" s="298" t="s">
        <v>13771</v>
      </c>
      <c r="G3487" s="299" t="b">
        <v>0</v>
      </c>
      <c r="H3487" s="299" t="b">
        <v>0</v>
      </c>
      <c r="J3487" s="113" t="str">
        <f t="shared" si="109"/>
        <v>ơn (MDHP)</v>
      </c>
      <c r="K3487" s="113" t="str">
        <f t="shared" si="110"/>
        <v>CG03286</v>
      </c>
    </row>
    <row r="3488" spans="1:11" x14ac:dyDescent="0.3">
      <c r="A3488" s="298" t="s">
        <v>13772</v>
      </c>
      <c r="B3488" s="298" t="s">
        <v>13773</v>
      </c>
      <c r="C3488" s="298" t="s">
        <v>13401</v>
      </c>
      <c r="D3488" s="298" t="s">
        <v>256</v>
      </c>
      <c r="E3488" s="298" t="s">
        <v>55</v>
      </c>
      <c r="F3488" s="298" t="s">
        <v>13774</v>
      </c>
      <c r="G3488" s="299" t="b">
        <v>0</v>
      </c>
      <c r="H3488" s="299" t="b">
        <v>0</v>
      </c>
      <c r="J3488" s="113" t="str">
        <f t="shared" si="109"/>
        <v>983283661</v>
      </c>
      <c r="K3488" s="113" t="str">
        <f t="shared" si="110"/>
        <v>CG03287</v>
      </c>
    </row>
    <row r="3489" spans="1:11" x14ac:dyDescent="0.3">
      <c r="A3489" s="298" t="s">
        <v>13775</v>
      </c>
      <c r="B3489" s="298" t="s">
        <v>13776</v>
      </c>
      <c r="C3489" s="298" t="s">
        <v>541</v>
      </c>
      <c r="D3489" s="298" t="s">
        <v>256</v>
      </c>
      <c r="E3489" s="298" t="s">
        <v>55</v>
      </c>
      <c r="F3489" s="298" t="s">
        <v>13777</v>
      </c>
      <c r="G3489" s="299" t="b">
        <v>0</v>
      </c>
      <c r="H3489" s="299" t="b">
        <v>0</v>
      </c>
      <c r="J3489" s="113" t="str">
        <f t="shared" si="109"/>
        <v>987701199</v>
      </c>
      <c r="K3489" s="113" t="str">
        <f t="shared" si="110"/>
        <v>CG03288</v>
      </c>
    </row>
    <row r="3490" spans="1:11" x14ac:dyDescent="0.3">
      <c r="A3490" s="298" t="s">
        <v>13778</v>
      </c>
      <c r="B3490" s="298" t="s">
        <v>13779</v>
      </c>
      <c r="C3490" s="298" t="s">
        <v>452</v>
      </c>
      <c r="D3490" s="298" t="s">
        <v>256</v>
      </c>
      <c r="E3490" s="298" t="s">
        <v>55</v>
      </c>
      <c r="F3490" s="298" t="s">
        <v>13780</v>
      </c>
      <c r="G3490" s="299" t="b">
        <v>0</v>
      </c>
      <c r="H3490" s="299" t="b">
        <v>0</v>
      </c>
      <c r="J3490" s="113" t="str">
        <f t="shared" si="109"/>
        <v>912157046</v>
      </c>
      <c r="K3490" s="113" t="str">
        <f t="shared" si="110"/>
        <v>CG03289</v>
      </c>
    </row>
    <row r="3491" spans="1:11" x14ac:dyDescent="0.3">
      <c r="A3491" s="298" t="s">
        <v>13781</v>
      </c>
      <c r="B3491" s="298" t="s">
        <v>13782</v>
      </c>
      <c r="C3491" s="298" t="s">
        <v>3257</v>
      </c>
      <c r="D3491" s="298" t="s">
        <v>256</v>
      </c>
      <c r="E3491" s="298" t="s">
        <v>55</v>
      </c>
      <c r="F3491" s="298" t="s">
        <v>13783</v>
      </c>
      <c r="G3491" s="299" t="b">
        <v>0</v>
      </c>
      <c r="H3491" s="299" t="b">
        <v>0</v>
      </c>
      <c r="J3491" s="113" t="str">
        <f t="shared" si="109"/>
        <v>918376986</v>
      </c>
      <c r="K3491" s="113" t="str">
        <f t="shared" si="110"/>
        <v>CG03290</v>
      </c>
    </row>
    <row r="3492" spans="1:11" x14ac:dyDescent="0.3">
      <c r="A3492" s="298" t="s">
        <v>13784</v>
      </c>
      <c r="B3492" s="298" t="s">
        <v>13785</v>
      </c>
      <c r="C3492" s="298" t="s">
        <v>13786</v>
      </c>
      <c r="D3492" s="298" t="s">
        <v>256</v>
      </c>
      <c r="E3492" s="298" t="s">
        <v>13787</v>
      </c>
      <c r="F3492" s="298" t="s">
        <v>55</v>
      </c>
      <c r="G3492" s="299" t="b">
        <v>0</v>
      </c>
      <c r="H3492" s="299" t="b">
        <v>0</v>
      </c>
      <c r="J3492" s="113" t="str">
        <f t="shared" si="109"/>
        <v>Triệu Cao</v>
      </c>
      <c r="K3492" s="113" t="str">
        <f t="shared" si="110"/>
        <v>CG03291</v>
      </c>
    </row>
    <row r="3493" spans="1:11" x14ac:dyDescent="0.3">
      <c r="A3493" s="298" t="s">
        <v>13788</v>
      </c>
      <c r="B3493" s="298" t="s">
        <v>13789</v>
      </c>
      <c r="C3493" s="298" t="s">
        <v>1444</v>
      </c>
      <c r="D3493" s="298" t="s">
        <v>256</v>
      </c>
      <c r="E3493" s="298" t="s">
        <v>55</v>
      </c>
      <c r="F3493" s="298" t="s">
        <v>13790</v>
      </c>
      <c r="G3493" s="299" t="b">
        <v>0</v>
      </c>
      <c r="H3493" s="299" t="b">
        <v>0</v>
      </c>
      <c r="J3493" s="113" t="str">
        <f t="shared" si="109"/>
        <v>986070000</v>
      </c>
      <c r="K3493" s="113" t="str">
        <f t="shared" si="110"/>
        <v>CG03292</v>
      </c>
    </row>
    <row r="3494" spans="1:11" x14ac:dyDescent="0.3">
      <c r="A3494" s="298" t="s">
        <v>13791</v>
      </c>
      <c r="B3494" s="298" t="s">
        <v>13792</v>
      </c>
      <c r="C3494" s="298" t="s">
        <v>718</v>
      </c>
      <c r="D3494" s="298" t="s">
        <v>256</v>
      </c>
      <c r="E3494" s="298" t="s">
        <v>55</v>
      </c>
      <c r="F3494" s="298" t="s">
        <v>13793</v>
      </c>
      <c r="G3494" s="299" t="b">
        <v>0</v>
      </c>
      <c r="H3494" s="299" t="b">
        <v>0</v>
      </c>
      <c r="J3494" s="113" t="str">
        <f t="shared" si="109"/>
        <v>912046323</v>
      </c>
      <c r="K3494" s="113" t="str">
        <f t="shared" si="110"/>
        <v>CG03293</v>
      </c>
    </row>
    <row r="3495" spans="1:11" x14ac:dyDescent="0.3">
      <c r="A3495" s="298" t="s">
        <v>13794</v>
      </c>
      <c r="B3495" s="298" t="s">
        <v>13795</v>
      </c>
      <c r="C3495" s="298" t="s">
        <v>13796</v>
      </c>
      <c r="D3495" s="298" t="s">
        <v>256</v>
      </c>
      <c r="E3495" s="298" t="s">
        <v>55</v>
      </c>
      <c r="F3495" s="298" t="s">
        <v>13797</v>
      </c>
      <c r="G3495" s="299" t="b">
        <v>0</v>
      </c>
      <c r="H3495" s="299" t="b">
        <v>0</v>
      </c>
      <c r="J3495" s="113" t="str">
        <f t="shared" si="109"/>
        <v>962116789</v>
      </c>
      <c r="K3495" s="113" t="str">
        <f t="shared" si="110"/>
        <v>CG03294</v>
      </c>
    </row>
    <row r="3496" spans="1:11" x14ac:dyDescent="0.3">
      <c r="A3496" s="298" t="s">
        <v>13798</v>
      </c>
      <c r="B3496" s="298" t="s">
        <v>13799</v>
      </c>
      <c r="C3496" s="298" t="s">
        <v>231</v>
      </c>
      <c r="D3496" s="298" t="s">
        <v>256</v>
      </c>
      <c r="E3496" s="298" t="s">
        <v>55</v>
      </c>
      <c r="F3496" s="298" t="s">
        <v>13800</v>
      </c>
      <c r="G3496" s="299" t="b">
        <v>0</v>
      </c>
      <c r="H3496" s="299" t="b">
        <v>0</v>
      </c>
      <c r="J3496" s="113" t="str">
        <f t="shared" si="109"/>
        <v>912673776</v>
      </c>
      <c r="K3496" s="113" t="str">
        <f t="shared" si="110"/>
        <v>CG03295</v>
      </c>
    </row>
    <row r="3497" spans="1:11" x14ac:dyDescent="0.3">
      <c r="A3497" s="298" t="s">
        <v>13801</v>
      </c>
      <c r="B3497" s="298" t="s">
        <v>13802</v>
      </c>
      <c r="C3497" s="298" t="s">
        <v>892</v>
      </c>
      <c r="D3497" s="298" t="s">
        <v>256</v>
      </c>
      <c r="E3497" s="298" t="s">
        <v>55</v>
      </c>
      <c r="F3497" s="298" t="s">
        <v>13803</v>
      </c>
      <c r="G3497" s="299" t="b">
        <v>0</v>
      </c>
      <c r="H3497" s="299" t="b">
        <v>0</v>
      </c>
      <c r="J3497" s="113" t="str">
        <f t="shared" si="109"/>
        <v>942919362</v>
      </c>
      <c r="K3497" s="113" t="str">
        <f t="shared" si="110"/>
        <v>CG03296</v>
      </c>
    </row>
    <row r="3498" spans="1:11" x14ac:dyDescent="0.3">
      <c r="A3498" s="298" t="s">
        <v>13804</v>
      </c>
      <c r="B3498" s="298" t="s">
        <v>13805</v>
      </c>
      <c r="C3498" s="298" t="s">
        <v>997</v>
      </c>
      <c r="D3498" s="298" t="s">
        <v>256</v>
      </c>
      <c r="E3498" s="298" t="s">
        <v>55</v>
      </c>
      <c r="F3498" s="298" t="s">
        <v>13586</v>
      </c>
      <c r="G3498" s="299" t="b">
        <v>0</v>
      </c>
      <c r="H3498" s="299" t="b">
        <v>0</v>
      </c>
      <c r="J3498" s="113" t="str">
        <f t="shared" si="109"/>
        <v>979110666</v>
      </c>
      <c r="K3498" s="113" t="str">
        <f t="shared" si="110"/>
        <v>CG03297</v>
      </c>
    </row>
    <row r="3499" spans="1:11" x14ac:dyDescent="0.3">
      <c r="A3499" s="298" t="s">
        <v>13806</v>
      </c>
      <c r="B3499" s="298" t="s">
        <v>13807</v>
      </c>
      <c r="C3499" s="298" t="s">
        <v>1207</v>
      </c>
      <c r="D3499" s="298" t="s">
        <v>256</v>
      </c>
      <c r="E3499" s="298" t="s">
        <v>55</v>
      </c>
      <c r="F3499" s="298" t="s">
        <v>13808</v>
      </c>
      <c r="G3499" s="299" t="b">
        <v>0</v>
      </c>
      <c r="H3499" s="299" t="b">
        <v>0</v>
      </c>
      <c r="J3499" s="113" t="str">
        <f t="shared" si="109"/>
        <v>948669594</v>
      </c>
      <c r="K3499" s="113" t="str">
        <f t="shared" si="110"/>
        <v>CG03299</v>
      </c>
    </row>
    <row r="3500" spans="1:11" x14ac:dyDescent="0.3">
      <c r="A3500" s="298" t="s">
        <v>13809</v>
      </c>
      <c r="B3500" s="298" t="s">
        <v>13810</v>
      </c>
      <c r="C3500" s="298" t="s">
        <v>13811</v>
      </c>
      <c r="D3500" s="298" t="s">
        <v>256</v>
      </c>
      <c r="E3500" s="298" t="s">
        <v>13812</v>
      </c>
      <c r="F3500" s="298" t="s">
        <v>13485</v>
      </c>
      <c r="G3500" s="299" t="b">
        <v>0</v>
      </c>
      <c r="H3500" s="299" t="b">
        <v>0</v>
      </c>
      <c r="J3500" s="113" t="str">
        <f t="shared" si="109"/>
        <v>ưng Thịnh</v>
      </c>
      <c r="K3500" s="113" t="str">
        <f t="shared" si="110"/>
        <v>CG03300</v>
      </c>
    </row>
    <row r="3501" spans="1:11" x14ac:dyDescent="0.3">
      <c r="A3501" s="298" t="s">
        <v>13813</v>
      </c>
      <c r="B3501" s="298" t="s">
        <v>13814</v>
      </c>
      <c r="C3501" s="298" t="s">
        <v>13815</v>
      </c>
      <c r="D3501" s="298" t="s">
        <v>256</v>
      </c>
      <c r="E3501" s="298" t="s">
        <v>13816</v>
      </c>
      <c r="F3501" s="298" t="s">
        <v>55</v>
      </c>
      <c r="G3501" s="299" t="b">
        <v>0</v>
      </c>
      <c r="H3501" s="299" t="b">
        <v>0</v>
      </c>
      <c r="J3501" s="113" t="str">
        <f t="shared" si="109"/>
        <v xml:space="preserve"> Minh Thu</v>
      </c>
      <c r="K3501" s="113" t="str">
        <f t="shared" si="110"/>
        <v>CG03301</v>
      </c>
    </row>
    <row r="3502" spans="1:11" x14ac:dyDescent="0.3">
      <c r="A3502" s="298" t="s">
        <v>13817</v>
      </c>
      <c r="B3502" s="298" t="s">
        <v>13818</v>
      </c>
      <c r="C3502" s="298" t="s">
        <v>13819</v>
      </c>
      <c r="D3502" s="298" t="s">
        <v>256</v>
      </c>
      <c r="E3502" s="298" t="s">
        <v>13820</v>
      </c>
      <c r="F3502" s="298" t="s">
        <v>13821</v>
      </c>
      <c r="G3502" s="299" t="b">
        <v>0</v>
      </c>
      <c r="H3502" s="299" t="b">
        <v>0</v>
      </c>
      <c r="J3502" s="113" t="str">
        <f t="shared" si="109"/>
        <v>HL Hà Nội</v>
      </c>
      <c r="K3502" s="113" t="str">
        <f t="shared" si="110"/>
        <v>CG03302</v>
      </c>
    </row>
    <row r="3503" spans="1:11" x14ac:dyDescent="0.3">
      <c r="A3503" s="298" t="s">
        <v>13822</v>
      </c>
      <c r="B3503" s="298" t="s">
        <v>13823</v>
      </c>
      <c r="C3503" s="298" t="s">
        <v>13824</v>
      </c>
      <c r="D3503" s="298" t="s">
        <v>256</v>
      </c>
      <c r="E3503" s="298" t="s">
        <v>13825</v>
      </c>
      <c r="F3503" s="298" t="s">
        <v>55</v>
      </c>
      <c r="G3503" s="299" t="b">
        <v>0</v>
      </c>
      <c r="H3503" s="299" t="b">
        <v>0</v>
      </c>
      <c r="J3503" s="113" t="str">
        <f t="shared" si="109"/>
        <v>Khai Thái</v>
      </c>
      <c r="K3503" s="113" t="str">
        <f t="shared" si="110"/>
        <v>CG03303</v>
      </c>
    </row>
    <row r="3504" spans="1:11" x14ac:dyDescent="0.3">
      <c r="A3504" s="113" t="s">
        <v>13826</v>
      </c>
      <c r="B3504" s="113" t="s">
        <v>13827</v>
      </c>
      <c r="C3504" s="113" t="s">
        <v>13829</v>
      </c>
      <c r="D3504" s="113" t="s">
        <v>256</v>
      </c>
      <c r="E3504" s="113" t="s">
        <v>13828</v>
      </c>
      <c r="J3504" s="113" t="str">
        <f t="shared" si="109"/>
        <v>Phúc Minh</v>
      </c>
      <c r="K3504" s="113" t="str">
        <f t="shared" si="110"/>
        <v>CG03304</v>
      </c>
    </row>
    <row r="3505" spans="1:11" x14ac:dyDescent="0.3">
      <c r="A3505" s="113" t="s">
        <v>13837</v>
      </c>
      <c r="B3505" s="113" t="s">
        <v>13838</v>
      </c>
      <c r="C3505" s="113" t="s">
        <v>13839</v>
      </c>
      <c r="D3505" s="113" t="s">
        <v>256</v>
      </c>
      <c r="E3505" s="347" t="s">
        <v>2655</v>
      </c>
      <c r="J3505" s="113" t="str">
        <f t="shared" si="109"/>
        <v>Tuấn Ngọc</v>
      </c>
      <c r="K3505" s="113" t="str">
        <f t="shared" si="110"/>
        <v>CG03308</v>
      </c>
    </row>
    <row r="3506" spans="1:11" x14ac:dyDescent="0.3">
      <c r="A3506" s="113" t="s">
        <v>13840</v>
      </c>
      <c r="B3506" s="113" t="s">
        <v>13841</v>
      </c>
      <c r="C3506" s="113" t="s">
        <v>13842</v>
      </c>
      <c r="D3506" s="113" t="s">
        <v>256</v>
      </c>
      <c r="E3506" s="347" t="s">
        <v>13843</v>
      </c>
      <c r="J3506" s="113" t="str">
        <f t="shared" si="109"/>
        <v>hú Hữu Dư</v>
      </c>
      <c r="K3506" s="113" t="str">
        <f t="shared" si="110"/>
        <v>CG03305</v>
      </c>
    </row>
    <row r="3507" spans="1:11" x14ac:dyDescent="0.3">
      <c r="A3507" s="298" t="s">
        <v>14592</v>
      </c>
      <c r="B3507" s="298" t="s">
        <v>14593</v>
      </c>
      <c r="C3507" s="298" t="s">
        <v>289</v>
      </c>
      <c r="D3507" s="298" t="s">
        <v>256</v>
      </c>
      <c r="E3507" s="298" t="s">
        <v>55</v>
      </c>
      <c r="F3507" s="298" t="s">
        <v>55</v>
      </c>
      <c r="G3507" s="299" t="b">
        <v>0</v>
      </c>
      <c r="H3507" s="299" t="b">
        <v>0</v>
      </c>
      <c r="J3507" s="113" t="str">
        <f t="shared" si="109"/>
        <v>971400078</v>
      </c>
      <c r="K3507" s="113" t="str">
        <f t="shared" si="110"/>
        <v>CG03306</v>
      </c>
    </row>
    <row r="3508" spans="1:11" x14ac:dyDescent="0.3">
      <c r="A3508" s="298" t="s">
        <v>14594</v>
      </c>
      <c r="B3508" s="298" t="s">
        <v>14595</v>
      </c>
      <c r="C3508" s="298" t="s">
        <v>286</v>
      </c>
      <c r="D3508" s="298" t="s">
        <v>256</v>
      </c>
      <c r="E3508" s="298" t="s">
        <v>55</v>
      </c>
      <c r="F3508" s="298" t="s">
        <v>55</v>
      </c>
      <c r="G3508" s="299" t="b">
        <v>0</v>
      </c>
      <c r="H3508" s="299" t="b">
        <v>0</v>
      </c>
      <c r="J3508" s="113" t="str">
        <f t="shared" si="109"/>
        <v>962169196</v>
      </c>
      <c r="K3508" s="113" t="str">
        <f t="shared" si="110"/>
        <v>CG03307</v>
      </c>
    </row>
    <row r="3509" spans="1:11" x14ac:dyDescent="0.3">
      <c r="A3509" s="298" t="s">
        <v>13837</v>
      </c>
      <c r="B3509" s="298" t="s">
        <v>13838</v>
      </c>
      <c r="C3509" s="298" t="s">
        <v>13839</v>
      </c>
      <c r="D3509" s="298" t="s">
        <v>256</v>
      </c>
      <c r="E3509" s="298" t="s">
        <v>2655</v>
      </c>
      <c r="F3509" s="298" t="s">
        <v>55</v>
      </c>
      <c r="G3509" s="299" t="b">
        <v>0</v>
      </c>
      <c r="H3509" s="299" t="b">
        <v>0</v>
      </c>
      <c r="J3509" s="113" t="str">
        <f t="shared" si="109"/>
        <v>Tuấn Ngọc</v>
      </c>
      <c r="K3509" s="113" t="str">
        <f t="shared" si="110"/>
        <v>CG03308</v>
      </c>
    </row>
    <row r="3510" spans="1:11" x14ac:dyDescent="0.3">
      <c r="A3510" s="298" t="s">
        <v>14596</v>
      </c>
      <c r="B3510" s="298" t="s">
        <v>14597</v>
      </c>
      <c r="C3510" s="298" t="s">
        <v>1821</v>
      </c>
      <c r="D3510" s="298" t="s">
        <v>256</v>
      </c>
      <c r="E3510" s="298" t="s">
        <v>55</v>
      </c>
      <c r="F3510" s="298" t="s">
        <v>55</v>
      </c>
      <c r="G3510" s="299" t="b">
        <v>0</v>
      </c>
      <c r="H3510" s="299" t="b">
        <v>0</v>
      </c>
      <c r="J3510" s="113" t="str">
        <f t="shared" si="109"/>
        <v>388717116</v>
      </c>
      <c r="K3510" s="113" t="str">
        <f t="shared" si="110"/>
        <v>CG03309</v>
      </c>
    </row>
    <row r="3511" spans="1:11" x14ac:dyDescent="0.3">
      <c r="A3511" s="298" t="s">
        <v>14598</v>
      </c>
      <c r="B3511" s="298" t="s">
        <v>14599</v>
      </c>
      <c r="C3511" s="298" t="s">
        <v>14600</v>
      </c>
      <c r="D3511" s="298" t="s">
        <v>256</v>
      </c>
      <c r="E3511" s="298" t="s">
        <v>55</v>
      </c>
      <c r="F3511" s="298" t="s">
        <v>55</v>
      </c>
      <c r="G3511" s="299" t="b">
        <v>0</v>
      </c>
      <c r="H3511" s="299" t="b">
        <v>0</v>
      </c>
      <c r="J3511" s="113" t="str">
        <f t="shared" si="109"/>
        <v>948012709</v>
      </c>
      <c r="K3511" s="113" t="str">
        <f t="shared" si="110"/>
        <v>CG03310</v>
      </c>
    </row>
    <row r="3512" spans="1:11" x14ac:dyDescent="0.3">
      <c r="A3512" s="298" t="s">
        <v>14601</v>
      </c>
      <c r="B3512" s="298" t="s">
        <v>14602</v>
      </c>
      <c r="C3512" s="298" t="s">
        <v>409</v>
      </c>
      <c r="D3512" s="298" t="s">
        <v>256</v>
      </c>
      <c r="E3512" s="298" t="s">
        <v>55</v>
      </c>
      <c r="F3512" s="298" t="s">
        <v>55</v>
      </c>
      <c r="G3512" s="299" t="b">
        <v>0</v>
      </c>
      <c r="H3512" s="299" t="b">
        <v>0</v>
      </c>
      <c r="J3512" s="113" t="str">
        <f t="shared" si="109"/>
        <v>981168858</v>
      </c>
      <c r="K3512" s="113" t="str">
        <f t="shared" si="110"/>
        <v>CG03311</v>
      </c>
    </row>
    <row r="3513" spans="1:11" x14ac:dyDescent="0.3">
      <c r="A3513" s="298" t="s">
        <v>14603</v>
      </c>
      <c r="B3513" s="298" t="s">
        <v>14604</v>
      </c>
      <c r="C3513" s="298" t="s">
        <v>4499</v>
      </c>
      <c r="D3513" s="298" t="s">
        <v>256</v>
      </c>
      <c r="E3513" s="298" t="s">
        <v>55</v>
      </c>
      <c r="F3513" s="298" t="s">
        <v>55</v>
      </c>
      <c r="G3513" s="299" t="b">
        <v>0</v>
      </c>
      <c r="H3513" s="299" t="b">
        <v>0</v>
      </c>
      <c r="J3513" s="113" t="str">
        <f t="shared" si="109"/>
        <v>384123096</v>
      </c>
      <c r="K3513" s="113" t="str">
        <f t="shared" si="110"/>
        <v>CG03312</v>
      </c>
    </row>
    <row r="3514" spans="1:11" x14ac:dyDescent="0.3">
      <c r="A3514" s="298" t="s">
        <v>14605</v>
      </c>
      <c r="B3514" s="298" t="s">
        <v>14606</v>
      </c>
      <c r="C3514" s="298" t="s">
        <v>625</v>
      </c>
      <c r="D3514" s="298" t="s">
        <v>256</v>
      </c>
      <c r="E3514" s="298" t="s">
        <v>55</v>
      </c>
      <c r="F3514" s="298" t="s">
        <v>55</v>
      </c>
      <c r="G3514" s="299" t="b">
        <v>0</v>
      </c>
      <c r="H3514" s="299" t="b">
        <v>0</v>
      </c>
      <c r="J3514" s="113" t="str">
        <f t="shared" si="109"/>
        <v>978446554</v>
      </c>
      <c r="K3514" s="113" t="str">
        <f t="shared" si="110"/>
        <v>CG03313</v>
      </c>
    </row>
    <row r="3515" spans="1:11" x14ac:dyDescent="0.3">
      <c r="A3515" s="298" t="s">
        <v>14607</v>
      </c>
      <c r="B3515" s="298" t="s">
        <v>14608</v>
      </c>
      <c r="C3515" s="298" t="s">
        <v>1727</v>
      </c>
      <c r="D3515" s="298" t="s">
        <v>256</v>
      </c>
      <c r="E3515" s="298" t="s">
        <v>55</v>
      </c>
      <c r="F3515" s="298" t="s">
        <v>55</v>
      </c>
      <c r="G3515" s="299" t="b">
        <v>0</v>
      </c>
      <c r="H3515" s="299" t="b">
        <v>0</v>
      </c>
      <c r="J3515" s="113" t="str">
        <f t="shared" si="109"/>
        <v>383345899</v>
      </c>
      <c r="K3515" s="113" t="str">
        <f t="shared" si="110"/>
        <v>CG03314</v>
      </c>
    </row>
    <row r="3516" spans="1:11" x14ac:dyDescent="0.3">
      <c r="A3516" s="298" t="s">
        <v>14609</v>
      </c>
      <c r="B3516" s="298" t="s">
        <v>14610</v>
      </c>
      <c r="C3516" s="298" t="s">
        <v>7769</v>
      </c>
      <c r="D3516" s="298" t="s">
        <v>256</v>
      </c>
      <c r="E3516" s="298" t="s">
        <v>55</v>
      </c>
      <c r="F3516" s="298" t="s">
        <v>55</v>
      </c>
      <c r="G3516" s="299" t="b">
        <v>0</v>
      </c>
      <c r="H3516" s="299" t="b">
        <v>0</v>
      </c>
      <c r="J3516" s="113" t="str">
        <f t="shared" si="109"/>
        <v>945031752</v>
      </c>
      <c r="K3516" s="113" t="str">
        <f t="shared" si="110"/>
        <v>CG03315</v>
      </c>
    </row>
    <row r="3517" spans="1:11" x14ac:dyDescent="0.3">
      <c r="A3517" s="298" t="s">
        <v>14611</v>
      </c>
      <c r="B3517" s="298" t="s">
        <v>14612</v>
      </c>
      <c r="C3517" s="298" t="s">
        <v>289</v>
      </c>
      <c r="D3517" s="298" t="s">
        <v>256</v>
      </c>
      <c r="E3517" s="298" t="s">
        <v>55</v>
      </c>
      <c r="F3517" s="298" t="s">
        <v>55</v>
      </c>
      <c r="G3517" s="299" t="b">
        <v>0</v>
      </c>
      <c r="H3517" s="299" t="b">
        <v>0</v>
      </c>
      <c r="J3517" s="113" t="str">
        <f t="shared" si="109"/>
        <v>776323995</v>
      </c>
      <c r="K3517" s="113" t="str">
        <f t="shared" si="110"/>
        <v>CG03316</v>
      </c>
    </row>
    <row r="3518" spans="1:11" x14ac:dyDescent="0.3">
      <c r="A3518" s="298" t="s">
        <v>14613</v>
      </c>
      <c r="B3518" s="298" t="s">
        <v>14614</v>
      </c>
      <c r="C3518" s="298" t="s">
        <v>672</v>
      </c>
      <c r="D3518" s="298" t="s">
        <v>256</v>
      </c>
      <c r="E3518" s="298" t="s">
        <v>55</v>
      </c>
      <c r="F3518" s="298" t="s">
        <v>14615</v>
      </c>
      <c r="G3518" s="299" t="b">
        <v>0</v>
      </c>
      <c r="H3518" s="299" t="b">
        <v>0</v>
      </c>
      <c r="J3518" s="113" t="str">
        <f t="shared" si="109"/>
        <v>976199369</v>
      </c>
      <c r="K3518" s="113" t="str">
        <f t="shared" si="110"/>
        <v>CG03317</v>
      </c>
    </row>
    <row r="3519" spans="1:11" x14ac:dyDescent="0.3">
      <c r="A3519" s="298" t="s">
        <v>14616</v>
      </c>
      <c r="B3519" s="298" t="s">
        <v>14617</v>
      </c>
      <c r="C3519" s="298" t="s">
        <v>2713</v>
      </c>
      <c r="D3519" s="298" t="s">
        <v>256</v>
      </c>
      <c r="E3519" s="298" t="s">
        <v>55</v>
      </c>
      <c r="F3519" s="298" t="s">
        <v>14618</v>
      </c>
      <c r="G3519" s="299" t="b">
        <v>0</v>
      </c>
      <c r="H3519" s="299" t="b">
        <v>0</v>
      </c>
      <c r="J3519" s="113" t="str">
        <f t="shared" si="109"/>
        <v>356224697</v>
      </c>
      <c r="K3519" s="113" t="str">
        <f t="shared" si="110"/>
        <v>CG03318</v>
      </c>
    </row>
    <row r="3520" spans="1:11" x14ac:dyDescent="0.3">
      <c r="A3520" s="298" t="s">
        <v>14619</v>
      </c>
      <c r="B3520" s="298" t="s">
        <v>14620</v>
      </c>
      <c r="C3520" s="298" t="s">
        <v>672</v>
      </c>
      <c r="D3520" s="298" t="s">
        <v>256</v>
      </c>
      <c r="E3520" s="298" t="s">
        <v>55</v>
      </c>
      <c r="F3520" s="298" t="s">
        <v>14621</v>
      </c>
      <c r="G3520" s="299" t="b">
        <v>0</v>
      </c>
      <c r="H3520" s="299" t="b">
        <v>0</v>
      </c>
      <c r="J3520" s="113" t="str">
        <f t="shared" si="109"/>
        <v>979324805</v>
      </c>
      <c r="K3520" s="113" t="str">
        <f t="shared" si="110"/>
        <v>CG03319</v>
      </c>
    </row>
    <row r="3521" spans="1:11" x14ac:dyDescent="0.3">
      <c r="A3521" s="298" t="s">
        <v>14622</v>
      </c>
      <c r="B3521" s="298" t="s">
        <v>14623</v>
      </c>
      <c r="C3521" s="298" t="s">
        <v>14624</v>
      </c>
      <c r="D3521" s="298" t="s">
        <v>256</v>
      </c>
      <c r="E3521" s="298" t="s">
        <v>55</v>
      </c>
      <c r="F3521" s="298" t="s">
        <v>14625</v>
      </c>
      <c r="G3521" s="299" t="b">
        <v>0</v>
      </c>
      <c r="H3521" s="299" t="b">
        <v>0</v>
      </c>
      <c r="J3521" s="113" t="str">
        <f t="shared" si="109"/>
        <v>854444555</v>
      </c>
      <c r="K3521" s="113" t="str">
        <f t="shared" si="110"/>
        <v>CG03320</v>
      </c>
    </row>
    <row r="3522" spans="1:11" x14ac:dyDescent="0.3">
      <c r="A3522" s="298" t="s">
        <v>14626</v>
      </c>
      <c r="B3522" s="298" t="s">
        <v>14627</v>
      </c>
      <c r="C3522" s="298" t="s">
        <v>7521</v>
      </c>
      <c r="D3522" s="298" t="s">
        <v>256</v>
      </c>
      <c r="E3522" s="298" t="s">
        <v>55</v>
      </c>
      <c r="F3522" s="298" t="s">
        <v>14628</v>
      </c>
      <c r="G3522" s="299" t="b">
        <v>0</v>
      </c>
      <c r="H3522" s="299" t="b">
        <v>0</v>
      </c>
      <c r="J3522" s="113" t="str">
        <f t="shared" si="109"/>
        <v>859671199</v>
      </c>
      <c r="K3522" s="113" t="str">
        <f t="shared" si="110"/>
        <v>CG03321</v>
      </c>
    </row>
    <row r="3523" spans="1:11" x14ac:dyDescent="0.3">
      <c r="A3523" s="298" t="s">
        <v>14629</v>
      </c>
      <c r="B3523" s="298" t="s">
        <v>14630</v>
      </c>
      <c r="C3523" s="298" t="s">
        <v>1004</v>
      </c>
      <c r="D3523" s="298" t="s">
        <v>256</v>
      </c>
      <c r="E3523" s="298" t="s">
        <v>55</v>
      </c>
      <c r="F3523" s="298" t="s">
        <v>14631</v>
      </c>
      <c r="G3523" s="299" t="b">
        <v>0</v>
      </c>
      <c r="H3523" s="299" t="b">
        <v>0</v>
      </c>
      <c r="J3523" s="113" t="str">
        <f t="shared" si="109"/>
        <v>969256678</v>
      </c>
      <c r="K3523" s="113" t="str">
        <f t="shared" si="110"/>
        <v>CG03322</v>
      </c>
    </row>
    <row r="3524" spans="1:11" x14ac:dyDescent="0.3">
      <c r="A3524" s="298" t="s">
        <v>14632</v>
      </c>
      <c r="B3524" s="298" t="s">
        <v>14633</v>
      </c>
      <c r="C3524" s="298" t="s">
        <v>1335</v>
      </c>
      <c r="D3524" s="298" t="s">
        <v>256</v>
      </c>
      <c r="E3524" s="298" t="s">
        <v>55</v>
      </c>
      <c r="F3524" s="298" t="s">
        <v>14634</v>
      </c>
      <c r="G3524" s="299" t="b">
        <v>0</v>
      </c>
      <c r="H3524" s="299" t="b">
        <v>0</v>
      </c>
      <c r="J3524" s="113" t="str">
        <f t="shared" si="109"/>
        <v>969129666</v>
      </c>
      <c r="K3524" s="113" t="str">
        <f t="shared" si="110"/>
        <v>CG03323</v>
      </c>
    </row>
    <row r="3525" spans="1:11" x14ac:dyDescent="0.3">
      <c r="A3525" s="298" t="s">
        <v>14635</v>
      </c>
      <c r="B3525" s="298" t="s">
        <v>14636</v>
      </c>
      <c r="C3525" s="298" t="s">
        <v>4741</v>
      </c>
      <c r="D3525" s="298" t="s">
        <v>256</v>
      </c>
      <c r="E3525" s="298" t="s">
        <v>55</v>
      </c>
      <c r="F3525" s="298" t="s">
        <v>14637</v>
      </c>
      <c r="G3525" s="299" t="b">
        <v>0</v>
      </c>
      <c r="H3525" s="299" t="b">
        <v>0</v>
      </c>
      <c r="J3525" s="113" t="str">
        <f t="shared" ref="J3525:J3588" si="111">RIGHT(B3525,9)</f>
        <v>356800067</v>
      </c>
      <c r="K3525" s="113" t="str">
        <f t="shared" ref="K3525:K3588" si="112">A3525</f>
        <v>CG03324</v>
      </c>
    </row>
    <row r="3526" spans="1:11" x14ac:dyDescent="0.3">
      <c r="A3526" s="298" t="s">
        <v>14638</v>
      </c>
      <c r="B3526" s="298" t="s">
        <v>14639</v>
      </c>
      <c r="C3526" s="298" t="s">
        <v>416</v>
      </c>
      <c r="D3526" s="298" t="s">
        <v>256</v>
      </c>
      <c r="E3526" s="298" t="s">
        <v>55</v>
      </c>
      <c r="F3526" s="298" t="s">
        <v>14640</v>
      </c>
      <c r="G3526" s="299" t="b">
        <v>0</v>
      </c>
      <c r="H3526" s="299" t="b">
        <v>0</v>
      </c>
      <c r="J3526" s="113" t="str">
        <f t="shared" si="111"/>
        <v>977737783</v>
      </c>
      <c r="K3526" s="113" t="str">
        <f t="shared" si="112"/>
        <v>CG03325</v>
      </c>
    </row>
    <row r="3527" spans="1:11" x14ac:dyDescent="0.3">
      <c r="A3527" s="298" t="s">
        <v>14641</v>
      </c>
      <c r="B3527" s="298" t="s">
        <v>14642</v>
      </c>
      <c r="C3527" s="298" t="s">
        <v>231</v>
      </c>
      <c r="D3527" s="298" t="s">
        <v>256</v>
      </c>
      <c r="E3527" s="298" t="s">
        <v>55</v>
      </c>
      <c r="F3527" s="298" t="s">
        <v>14643</v>
      </c>
      <c r="G3527" s="299" t="b">
        <v>0</v>
      </c>
      <c r="H3527" s="299" t="b">
        <v>0</v>
      </c>
      <c r="J3527" s="113" t="str">
        <f t="shared" si="111"/>
        <v>903225289</v>
      </c>
      <c r="K3527" s="113" t="str">
        <f t="shared" si="112"/>
        <v>CG03326</v>
      </c>
    </row>
    <row r="3528" spans="1:11" x14ac:dyDescent="0.3">
      <c r="A3528" s="298" t="s">
        <v>14644</v>
      </c>
      <c r="B3528" s="298" t="s">
        <v>14647</v>
      </c>
      <c r="C3528" s="298" t="s">
        <v>14645</v>
      </c>
      <c r="D3528" s="298" t="s">
        <v>256</v>
      </c>
      <c r="E3528" s="298" t="s">
        <v>14646</v>
      </c>
      <c r="F3528" s="298" t="s">
        <v>1509</v>
      </c>
      <c r="G3528" s="299" t="b">
        <v>0</v>
      </c>
      <c r="H3528" s="299" t="b">
        <v>0</v>
      </c>
      <c r="J3528" s="113" t="str">
        <f t="shared" si="111"/>
        <v>rường Thọ</v>
      </c>
      <c r="K3528" s="113" t="str">
        <f t="shared" si="112"/>
        <v>CG03328</v>
      </c>
    </row>
    <row r="3529" spans="1:11" x14ac:dyDescent="0.3">
      <c r="A3529" s="298" t="s">
        <v>14779</v>
      </c>
      <c r="B3529" s="298" t="s">
        <v>14780</v>
      </c>
      <c r="C3529" s="298" t="s">
        <v>547</v>
      </c>
      <c r="D3529" s="298" t="s">
        <v>256</v>
      </c>
      <c r="E3529" s="298" t="s">
        <v>55</v>
      </c>
      <c r="F3529" s="298" t="s">
        <v>14781</v>
      </c>
      <c r="G3529" s="299" t="b">
        <v>0</v>
      </c>
      <c r="H3529" s="299" t="b">
        <v>0</v>
      </c>
      <c r="J3529" s="113" t="str">
        <f t="shared" si="111"/>
        <v>972211518</v>
      </c>
      <c r="K3529" s="113" t="str">
        <f t="shared" si="112"/>
        <v>CG03329</v>
      </c>
    </row>
    <row r="3530" spans="1:11" x14ac:dyDescent="0.3">
      <c r="A3530" s="298" t="s">
        <v>14782</v>
      </c>
      <c r="B3530" s="298" t="s">
        <v>14783</v>
      </c>
      <c r="C3530" s="298" t="s">
        <v>13449</v>
      </c>
      <c r="D3530" s="298" t="s">
        <v>256</v>
      </c>
      <c r="E3530" s="298" t="s">
        <v>55</v>
      </c>
      <c r="F3530" s="298" t="s">
        <v>14784</v>
      </c>
      <c r="G3530" s="299" t="b">
        <v>0</v>
      </c>
      <c r="H3530" s="299" t="b">
        <v>0</v>
      </c>
      <c r="J3530" s="113" t="str">
        <f t="shared" si="111"/>
        <v>918262555</v>
      </c>
      <c r="K3530" s="113" t="str">
        <f t="shared" si="112"/>
        <v>CG03330</v>
      </c>
    </row>
    <row r="3531" spans="1:11" x14ac:dyDescent="0.3">
      <c r="A3531" s="298" t="s">
        <v>14785</v>
      </c>
      <c r="B3531" s="298" t="s">
        <v>14786</v>
      </c>
      <c r="C3531" s="298" t="s">
        <v>13449</v>
      </c>
      <c r="D3531" s="298" t="s">
        <v>256</v>
      </c>
      <c r="E3531" s="298" t="s">
        <v>55</v>
      </c>
      <c r="F3531" s="298" t="s">
        <v>14787</v>
      </c>
      <c r="G3531" s="299" t="b">
        <v>0</v>
      </c>
      <c r="H3531" s="299" t="b">
        <v>0</v>
      </c>
      <c r="J3531" s="113" t="str">
        <f t="shared" si="111"/>
        <v>912944988</v>
      </c>
      <c r="K3531" s="113" t="str">
        <f t="shared" si="112"/>
        <v>CG03331</v>
      </c>
    </row>
    <row r="3532" spans="1:11" x14ac:dyDescent="0.3">
      <c r="A3532" s="298" t="s">
        <v>14788</v>
      </c>
      <c r="B3532" s="298" t="s">
        <v>14789</v>
      </c>
      <c r="C3532" s="298" t="s">
        <v>14790</v>
      </c>
      <c r="D3532" s="298" t="s">
        <v>256</v>
      </c>
      <c r="E3532" s="298" t="s">
        <v>55</v>
      </c>
      <c r="F3532" s="298" t="s">
        <v>14791</v>
      </c>
      <c r="G3532" s="299" t="b">
        <v>0</v>
      </c>
      <c r="H3532" s="299" t="b">
        <v>0</v>
      </c>
      <c r="J3532" s="113" t="str">
        <f t="shared" si="111"/>
        <v>985330449</v>
      </c>
      <c r="K3532" s="113" t="str">
        <f t="shared" si="112"/>
        <v>CG03332</v>
      </c>
    </row>
    <row r="3533" spans="1:11" x14ac:dyDescent="0.3">
      <c r="A3533" s="298" t="s">
        <v>14792</v>
      </c>
      <c r="B3533" s="298" t="s">
        <v>14793</v>
      </c>
      <c r="C3533" s="298" t="s">
        <v>14794</v>
      </c>
      <c r="D3533" s="298" t="s">
        <v>256</v>
      </c>
      <c r="E3533" s="298" t="s">
        <v>55</v>
      </c>
      <c r="F3533" s="298" t="s">
        <v>55</v>
      </c>
      <c r="G3533" s="299" t="b">
        <v>0</v>
      </c>
      <c r="H3533" s="299" t="b">
        <v>0</v>
      </c>
      <c r="J3533" s="113" t="str">
        <f t="shared" si="111"/>
        <v xml:space="preserve"> Mike Zhu</v>
      </c>
      <c r="K3533" s="113" t="str">
        <f t="shared" si="112"/>
        <v>CG03333</v>
      </c>
    </row>
    <row r="3534" spans="1:11" x14ac:dyDescent="0.3">
      <c r="A3534" s="298" t="s">
        <v>14795</v>
      </c>
      <c r="B3534" s="298" t="s">
        <v>14796</v>
      </c>
      <c r="C3534" s="298" t="s">
        <v>286</v>
      </c>
      <c r="D3534" s="298" t="s">
        <v>256</v>
      </c>
      <c r="E3534" s="298" t="s">
        <v>55</v>
      </c>
      <c r="F3534" s="298" t="s">
        <v>14797</v>
      </c>
      <c r="G3534" s="299" t="b">
        <v>0</v>
      </c>
      <c r="H3534" s="299" t="b">
        <v>0</v>
      </c>
      <c r="J3534" s="113" t="str">
        <f t="shared" si="111"/>
        <v>968235688</v>
      </c>
      <c r="K3534" s="113" t="str">
        <f t="shared" si="112"/>
        <v>CG03334</v>
      </c>
    </row>
    <row r="3535" spans="1:11" x14ac:dyDescent="0.3">
      <c r="A3535" s="298" t="s">
        <v>14798</v>
      </c>
      <c r="B3535" s="298" t="s">
        <v>14799</v>
      </c>
      <c r="C3535" s="298" t="s">
        <v>1734</v>
      </c>
      <c r="D3535" s="298" t="s">
        <v>256</v>
      </c>
      <c r="E3535" s="298" t="s">
        <v>55</v>
      </c>
      <c r="F3535" s="298" t="s">
        <v>14800</v>
      </c>
      <c r="G3535" s="299" t="b">
        <v>0</v>
      </c>
      <c r="H3535" s="299" t="b">
        <v>0</v>
      </c>
      <c r="J3535" s="113" t="str">
        <f t="shared" si="111"/>
        <v>978129550</v>
      </c>
      <c r="K3535" s="113" t="str">
        <f t="shared" si="112"/>
        <v>CG03335</v>
      </c>
    </row>
    <row r="3536" spans="1:11" x14ac:dyDescent="0.3">
      <c r="A3536" s="298" t="s">
        <v>14801</v>
      </c>
      <c r="B3536" s="298" t="s">
        <v>14802</v>
      </c>
      <c r="C3536" s="298" t="s">
        <v>14803</v>
      </c>
      <c r="D3536" s="298" t="s">
        <v>256</v>
      </c>
      <c r="E3536" s="298" t="s">
        <v>55</v>
      </c>
      <c r="F3536" s="298" t="s">
        <v>14804</v>
      </c>
      <c r="G3536" s="299" t="b">
        <v>0</v>
      </c>
      <c r="H3536" s="299" t="b">
        <v>0</v>
      </c>
      <c r="J3536" s="113" t="str">
        <f t="shared" si="111"/>
        <v>967138199</v>
      </c>
      <c r="K3536" s="113" t="str">
        <f t="shared" si="112"/>
        <v>CG03336</v>
      </c>
    </row>
    <row r="3537" spans="1:11" x14ac:dyDescent="0.3">
      <c r="A3537" s="298" t="s">
        <v>14805</v>
      </c>
      <c r="B3537" s="298" t="s">
        <v>14806</v>
      </c>
      <c r="C3537" s="298" t="s">
        <v>487</v>
      </c>
      <c r="D3537" s="298" t="s">
        <v>256</v>
      </c>
      <c r="E3537" s="298" t="s">
        <v>55</v>
      </c>
      <c r="F3537" s="298" t="s">
        <v>14807</v>
      </c>
      <c r="G3537" s="299" t="b">
        <v>0</v>
      </c>
      <c r="H3537" s="299" t="b">
        <v>0</v>
      </c>
      <c r="J3537" s="113" t="str">
        <f t="shared" si="111"/>
        <v>945116989</v>
      </c>
      <c r="K3537" s="113" t="str">
        <f t="shared" si="112"/>
        <v>CG03337</v>
      </c>
    </row>
    <row r="3538" spans="1:11" x14ac:dyDescent="0.3">
      <c r="A3538" s="298" t="s">
        <v>14808</v>
      </c>
      <c r="B3538" s="298" t="s">
        <v>14809</v>
      </c>
      <c r="C3538" s="298" t="s">
        <v>13596</v>
      </c>
      <c r="D3538" s="298" t="s">
        <v>256</v>
      </c>
      <c r="E3538" s="298" t="s">
        <v>55</v>
      </c>
      <c r="F3538" s="298" t="s">
        <v>14810</v>
      </c>
      <c r="G3538" s="299" t="b">
        <v>0</v>
      </c>
      <c r="H3538" s="299" t="b">
        <v>0</v>
      </c>
      <c r="J3538" s="113" t="str">
        <f t="shared" si="111"/>
        <v>977575533</v>
      </c>
      <c r="K3538" s="113" t="str">
        <f t="shared" si="112"/>
        <v>CG03338</v>
      </c>
    </row>
    <row r="3539" spans="1:11" x14ac:dyDescent="0.3">
      <c r="A3539" s="298" t="s">
        <v>14811</v>
      </c>
      <c r="B3539" s="298" t="s">
        <v>14812</v>
      </c>
      <c r="C3539" s="298" t="s">
        <v>14813</v>
      </c>
      <c r="D3539" s="298" t="s">
        <v>256</v>
      </c>
      <c r="E3539" s="298" t="s">
        <v>55</v>
      </c>
      <c r="F3539" s="298" t="s">
        <v>14814</v>
      </c>
      <c r="G3539" s="299" t="b">
        <v>0</v>
      </c>
      <c r="H3539" s="299" t="b">
        <v>0</v>
      </c>
      <c r="J3539" s="113" t="str">
        <f t="shared" si="111"/>
        <v>912617718</v>
      </c>
      <c r="K3539" s="113" t="str">
        <f t="shared" si="112"/>
        <v>CG03339</v>
      </c>
    </row>
    <row r="3540" spans="1:11" x14ac:dyDescent="0.3">
      <c r="A3540" s="298" t="s">
        <v>14815</v>
      </c>
      <c r="B3540" s="298" t="s">
        <v>14816</v>
      </c>
      <c r="C3540" s="298" t="s">
        <v>230</v>
      </c>
      <c r="D3540" s="298" t="s">
        <v>256</v>
      </c>
      <c r="E3540" s="298" t="s">
        <v>55</v>
      </c>
      <c r="F3540" s="298" t="s">
        <v>14817</v>
      </c>
      <c r="G3540" s="299" t="b">
        <v>0</v>
      </c>
      <c r="H3540" s="299" t="b">
        <v>0</v>
      </c>
      <c r="J3540" s="113" t="str">
        <f t="shared" si="111"/>
        <v>915013638</v>
      </c>
      <c r="K3540" s="113" t="str">
        <f t="shared" si="112"/>
        <v>CG03340</v>
      </c>
    </row>
    <row r="3541" spans="1:11" x14ac:dyDescent="0.3">
      <c r="A3541" s="298" t="s">
        <v>14818</v>
      </c>
      <c r="B3541" s="298" t="s">
        <v>14819</v>
      </c>
      <c r="C3541" s="298" t="s">
        <v>14820</v>
      </c>
      <c r="D3541" s="298" t="s">
        <v>256</v>
      </c>
      <c r="E3541" s="298" t="s">
        <v>55</v>
      </c>
      <c r="F3541" s="298" t="s">
        <v>14821</v>
      </c>
      <c r="G3541" s="299" t="b">
        <v>0</v>
      </c>
      <c r="H3541" s="299" t="b">
        <v>0</v>
      </c>
      <c r="J3541" s="113" t="str">
        <f t="shared" si="111"/>
        <v>988729569</v>
      </c>
      <c r="K3541" s="113" t="str">
        <f t="shared" si="112"/>
        <v>CG03341</v>
      </c>
    </row>
    <row r="3542" spans="1:11" x14ac:dyDescent="0.3">
      <c r="A3542" s="298" t="s">
        <v>14822</v>
      </c>
      <c r="B3542" s="298" t="s">
        <v>14823</v>
      </c>
      <c r="C3542" s="298" t="s">
        <v>1247</v>
      </c>
      <c r="D3542" s="298" t="s">
        <v>256</v>
      </c>
      <c r="E3542" s="298" t="s">
        <v>55</v>
      </c>
      <c r="F3542" s="298" t="s">
        <v>14824</v>
      </c>
      <c r="G3542" s="299" t="b">
        <v>0</v>
      </c>
      <c r="H3542" s="299" t="b">
        <v>0</v>
      </c>
      <c r="J3542" s="113" t="str">
        <f t="shared" si="111"/>
        <v>376944493</v>
      </c>
      <c r="K3542" s="113" t="str">
        <f t="shared" si="112"/>
        <v>CG03342</v>
      </c>
    </row>
    <row r="3543" spans="1:11" x14ac:dyDescent="0.3">
      <c r="A3543" s="298" t="s">
        <v>14825</v>
      </c>
      <c r="B3543" s="298" t="s">
        <v>14826</v>
      </c>
      <c r="C3543" s="298" t="s">
        <v>1196</v>
      </c>
      <c r="D3543" s="298" t="s">
        <v>256</v>
      </c>
      <c r="E3543" s="298" t="s">
        <v>55</v>
      </c>
      <c r="F3543" s="298" t="s">
        <v>14827</v>
      </c>
      <c r="G3543" s="299" t="b">
        <v>0</v>
      </c>
      <c r="H3543" s="299" t="b">
        <v>0</v>
      </c>
      <c r="J3543" s="113" t="str">
        <f t="shared" si="111"/>
        <v>972379988</v>
      </c>
      <c r="K3543" s="113" t="str">
        <f t="shared" si="112"/>
        <v>CG03343</v>
      </c>
    </row>
    <row r="3544" spans="1:11" x14ac:dyDescent="0.3">
      <c r="A3544" s="298" t="s">
        <v>14828</v>
      </c>
      <c r="B3544" s="298" t="s">
        <v>14829</v>
      </c>
      <c r="C3544" s="298" t="s">
        <v>5738</v>
      </c>
      <c r="D3544" s="298" t="s">
        <v>256</v>
      </c>
      <c r="E3544" s="298" t="s">
        <v>55</v>
      </c>
      <c r="F3544" s="298" t="s">
        <v>14830</v>
      </c>
      <c r="G3544" s="299" t="b">
        <v>0</v>
      </c>
      <c r="H3544" s="299" t="b">
        <v>0</v>
      </c>
      <c r="J3544" s="113" t="str">
        <f t="shared" si="111"/>
        <v>367019704</v>
      </c>
      <c r="K3544" s="113" t="str">
        <f t="shared" si="112"/>
        <v>CG03344</v>
      </c>
    </row>
    <row r="3545" spans="1:11" x14ac:dyDescent="0.3">
      <c r="A3545" s="298" t="s">
        <v>14831</v>
      </c>
      <c r="B3545" s="298" t="s">
        <v>14832</v>
      </c>
      <c r="C3545" s="298" t="s">
        <v>547</v>
      </c>
      <c r="D3545" s="298" t="s">
        <v>256</v>
      </c>
      <c r="E3545" s="298" t="s">
        <v>55</v>
      </c>
      <c r="F3545" s="298" t="s">
        <v>14833</v>
      </c>
      <c r="G3545" s="299" t="b">
        <v>0</v>
      </c>
      <c r="H3545" s="299" t="b">
        <v>0</v>
      </c>
      <c r="J3545" s="113" t="str">
        <f t="shared" si="111"/>
        <v>979206402</v>
      </c>
      <c r="K3545" s="113" t="str">
        <f t="shared" si="112"/>
        <v>CG03345</v>
      </c>
    </row>
    <row r="3546" spans="1:11" x14ac:dyDescent="0.3">
      <c r="A3546" s="298" t="s">
        <v>14834</v>
      </c>
      <c r="B3546" s="298" t="s">
        <v>14835</v>
      </c>
      <c r="C3546" s="298" t="s">
        <v>14836</v>
      </c>
      <c r="D3546" s="298" t="s">
        <v>256</v>
      </c>
      <c r="E3546" s="298" t="s">
        <v>55</v>
      </c>
      <c r="F3546" s="298" t="s">
        <v>14837</v>
      </c>
      <c r="G3546" s="299" t="b">
        <v>0</v>
      </c>
      <c r="H3546" s="299" t="b">
        <v>0</v>
      </c>
      <c r="J3546" s="113" t="str">
        <f t="shared" si="111"/>
        <v>963948946</v>
      </c>
      <c r="K3546" s="113" t="str">
        <f t="shared" si="112"/>
        <v>CG03346</v>
      </c>
    </row>
    <row r="3547" spans="1:11" x14ac:dyDescent="0.3">
      <c r="A3547" s="298" t="s">
        <v>14838</v>
      </c>
      <c r="B3547" s="298" t="s">
        <v>14839</v>
      </c>
      <c r="C3547" s="298" t="s">
        <v>332</v>
      </c>
      <c r="D3547" s="298" t="s">
        <v>256</v>
      </c>
      <c r="E3547" s="298" t="s">
        <v>55</v>
      </c>
      <c r="F3547" s="298" t="s">
        <v>14840</v>
      </c>
      <c r="G3547" s="299" t="b">
        <v>0</v>
      </c>
      <c r="H3547" s="299" t="b">
        <v>0</v>
      </c>
      <c r="J3547" s="113" t="str">
        <f t="shared" si="111"/>
        <v>914667899</v>
      </c>
      <c r="K3547" s="113" t="str">
        <f t="shared" si="112"/>
        <v>CG03347</v>
      </c>
    </row>
    <row r="3548" spans="1:11" x14ac:dyDescent="0.3">
      <c r="A3548" s="298" t="s">
        <v>14841</v>
      </c>
      <c r="B3548" s="298" t="s">
        <v>14842</v>
      </c>
      <c r="C3548" s="298" t="s">
        <v>14843</v>
      </c>
      <c r="D3548" s="298" t="s">
        <v>256</v>
      </c>
      <c r="E3548" s="298" t="s">
        <v>55</v>
      </c>
      <c r="F3548" s="298" t="s">
        <v>14844</v>
      </c>
      <c r="G3548" s="299" t="b">
        <v>0</v>
      </c>
      <c r="H3548" s="299" t="b">
        <v>0</v>
      </c>
      <c r="J3548" s="113" t="str">
        <f t="shared" si="111"/>
        <v>967179078</v>
      </c>
      <c r="K3548" s="113" t="str">
        <f t="shared" si="112"/>
        <v>CG03348</v>
      </c>
    </row>
    <row r="3549" spans="1:11" x14ac:dyDescent="0.3">
      <c r="A3549" s="298" t="s">
        <v>14845</v>
      </c>
      <c r="B3549" s="298" t="s">
        <v>14846</v>
      </c>
      <c r="C3549" s="298" t="s">
        <v>332</v>
      </c>
      <c r="D3549" s="298" t="s">
        <v>256</v>
      </c>
      <c r="E3549" s="298" t="s">
        <v>55</v>
      </c>
      <c r="F3549" s="298" t="s">
        <v>14847</v>
      </c>
      <c r="G3549" s="299" t="b">
        <v>0</v>
      </c>
      <c r="H3549" s="299" t="b">
        <v>0</v>
      </c>
      <c r="J3549" s="113" t="str">
        <f t="shared" si="111"/>
        <v>378767525</v>
      </c>
      <c r="K3549" s="113" t="str">
        <f t="shared" si="112"/>
        <v>CG03349</v>
      </c>
    </row>
    <row r="3550" spans="1:11" x14ac:dyDescent="0.3">
      <c r="A3550" s="298" t="s">
        <v>14848</v>
      </c>
      <c r="B3550" s="298" t="s">
        <v>14849</v>
      </c>
      <c r="C3550" s="298" t="s">
        <v>231</v>
      </c>
      <c r="D3550" s="298" t="s">
        <v>256</v>
      </c>
      <c r="E3550" s="298" t="s">
        <v>55</v>
      </c>
      <c r="F3550" s="298" t="s">
        <v>14850</v>
      </c>
      <c r="G3550" s="299" t="b">
        <v>0</v>
      </c>
      <c r="H3550" s="299" t="b">
        <v>0</v>
      </c>
      <c r="J3550" s="113" t="str">
        <f t="shared" si="111"/>
        <v>914658395</v>
      </c>
      <c r="K3550" s="113" t="str">
        <f t="shared" si="112"/>
        <v>CG03350</v>
      </c>
    </row>
    <row r="3551" spans="1:11" x14ac:dyDescent="0.3">
      <c r="A3551" s="298" t="s">
        <v>14851</v>
      </c>
      <c r="B3551" s="298" t="s">
        <v>14852</v>
      </c>
      <c r="C3551" s="298" t="s">
        <v>14853</v>
      </c>
      <c r="D3551" s="298" t="s">
        <v>256</v>
      </c>
      <c r="E3551" s="298" t="s">
        <v>55</v>
      </c>
      <c r="F3551" s="298" t="s">
        <v>14854</v>
      </c>
      <c r="G3551" s="299" t="b">
        <v>0</v>
      </c>
      <c r="H3551" s="299" t="b">
        <v>0</v>
      </c>
      <c r="J3551" s="113" t="str">
        <f t="shared" si="111"/>
        <v>979000706</v>
      </c>
      <c r="K3551" s="113" t="str">
        <f t="shared" si="112"/>
        <v>CG03351</v>
      </c>
    </row>
    <row r="3552" spans="1:11" x14ac:dyDescent="0.3">
      <c r="A3552" s="298" t="s">
        <v>14855</v>
      </c>
      <c r="B3552" s="298" t="s">
        <v>14856</v>
      </c>
      <c r="C3552" s="298" t="s">
        <v>2877</v>
      </c>
      <c r="D3552" s="298" t="s">
        <v>256</v>
      </c>
      <c r="E3552" s="298" t="s">
        <v>55</v>
      </c>
      <c r="F3552" s="298" t="s">
        <v>14857</v>
      </c>
      <c r="G3552" s="299" t="b">
        <v>0</v>
      </c>
      <c r="H3552" s="299" t="b">
        <v>0</v>
      </c>
      <c r="J3552" s="113" t="str">
        <f t="shared" si="111"/>
        <v>972595212</v>
      </c>
      <c r="K3552" s="113" t="str">
        <f t="shared" si="112"/>
        <v>CG03352</v>
      </c>
    </row>
    <row r="3553" spans="1:11" x14ac:dyDescent="0.3">
      <c r="A3553" s="298" t="s">
        <v>14858</v>
      </c>
      <c r="B3553" s="298" t="s">
        <v>14859</v>
      </c>
      <c r="C3553" s="298" t="s">
        <v>416</v>
      </c>
      <c r="D3553" s="298" t="s">
        <v>256</v>
      </c>
      <c r="E3553" s="298" t="s">
        <v>55</v>
      </c>
      <c r="F3553" s="298" t="s">
        <v>14860</v>
      </c>
      <c r="G3553" s="299" t="b">
        <v>0</v>
      </c>
      <c r="H3553" s="299" t="b">
        <v>0</v>
      </c>
      <c r="J3553" s="113" t="str">
        <f t="shared" si="111"/>
        <v>946365986</v>
      </c>
      <c r="K3553" s="113" t="str">
        <f t="shared" si="112"/>
        <v>CG03353</v>
      </c>
    </row>
    <row r="3554" spans="1:11" x14ac:dyDescent="0.3">
      <c r="A3554" s="298" t="s">
        <v>14861</v>
      </c>
      <c r="B3554" s="298" t="s">
        <v>14862</v>
      </c>
      <c r="C3554" s="298" t="s">
        <v>231</v>
      </c>
      <c r="D3554" s="298" t="s">
        <v>256</v>
      </c>
      <c r="E3554" s="298" t="s">
        <v>55</v>
      </c>
      <c r="F3554" s="298" t="s">
        <v>14863</v>
      </c>
      <c r="G3554" s="299" t="b">
        <v>0</v>
      </c>
      <c r="H3554" s="299" t="b">
        <v>0</v>
      </c>
      <c r="J3554" s="113" t="str">
        <f t="shared" si="111"/>
        <v>912334107</v>
      </c>
      <c r="K3554" s="113" t="str">
        <f t="shared" si="112"/>
        <v>CG03354</v>
      </c>
    </row>
    <row r="3555" spans="1:11" x14ac:dyDescent="0.3">
      <c r="A3555" s="298" t="s">
        <v>14864</v>
      </c>
      <c r="B3555" s="298" t="s">
        <v>14865</v>
      </c>
      <c r="C3555" s="298" t="s">
        <v>892</v>
      </c>
      <c r="D3555" s="298" t="s">
        <v>256</v>
      </c>
      <c r="E3555" s="298" t="s">
        <v>55</v>
      </c>
      <c r="F3555" s="298" t="s">
        <v>14866</v>
      </c>
      <c r="G3555" s="299" t="b">
        <v>0</v>
      </c>
      <c r="H3555" s="299" t="b">
        <v>0</v>
      </c>
      <c r="J3555" s="113" t="str">
        <f t="shared" si="111"/>
        <v>988722256</v>
      </c>
      <c r="K3555" s="113" t="str">
        <f t="shared" si="112"/>
        <v>CG03355</v>
      </c>
    </row>
    <row r="3556" spans="1:11" x14ac:dyDescent="0.3">
      <c r="A3556" s="298" t="s">
        <v>14867</v>
      </c>
      <c r="B3556" s="298" t="s">
        <v>14868</v>
      </c>
      <c r="C3556" s="298" t="s">
        <v>3573</v>
      </c>
      <c r="D3556" s="298" t="s">
        <v>256</v>
      </c>
      <c r="E3556" s="298" t="s">
        <v>55</v>
      </c>
      <c r="F3556" s="298" t="s">
        <v>14869</v>
      </c>
      <c r="G3556" s="299" t="b">
        <v>0</v>
      </c>
      <c r="H3556" s="299" t="b">
        <v>0</v>
      </c>
      <c r="J3556" s="113" t="str">
        <f t="shared" si="111"/>
        <v>915733629</v>
      </c>
      <c r="K3556" s="113" t="str">
        <f t="shared" si="112"/>
        <v>CG03356</v>
      </c>
    </row>
    <row r="3557" spans="1:11" x14ac:dyDescent="0.3">
      <c r="A3557" s="298" t="s">
        <v>14870</v>
      </c>
      <c r="B3557" s="298" t="s">
        <v>14871</v>
      </c>
      <c r="C3557" s="298" t="s">
        <v>231</v>
      </c>
      <c r="D3557" s="298" t="s">
        <v>256</v>
      </c>
      <c r="E3557" s="298" t="s">
        <v>55</v>
      </c>
      <c r="F3557" s="298" t="s">
        <v>14872</v>
      </c>
      <c r="G3557" s="299" t="b">
        <v>0</v>
      </c>
      <c r="H3557" s="299" t="b">
        <v>0</v>
      </c>
      <c r="J3557" s="113" t="str">
        <f t="shared" si="111"/>
        <v>912527643</v>
      </c>
      <c r="K3557" s="113" t="str">
        <f t="shared" si="112"/>
        <v>CG03357</v>
      </c>
    </row>
    <row r="3558" spans="1:11" x14ac:dyDescent="0.3">
      <c r="A3558" s="298" t="s">
        <v>14873</v>
      </c>
      <c r="B3558" s="298" t="s">
        <v>14874</v>
      </c>
      <c r="C3558" s="298" t="s">
        <v>6234</v>
      </c>
      <c r="D3558" s="298" t="s">
        <v>256</v>
      </c>
      <c r="E3558" s="298" t="s">
        <v>55</v>
      </c>
      <c r="F3558" s="298" t="s">
        <v>14875</v>
      </c>
      <c r="G3558" s="299" t="b">
        <v>0</v>
      </c>
      <c r="H3558" s="299" t="b">
        <v>0</v>
      </c>
      <c r="J3558" s="113" t="str">
        <f t="shared" si="111"/>
        <v>967810999</v>
      </c>
      <c r="K3558" s="113" t="str">
        <f t="shared" si="112"/>
        <v>CG03358</v>
      </c>
    </row>
    <row r="3559" spans="1:11" x14ac:dyDescent="0.3">
      <c r="A3559" s="298" t="s">
        <v>14876</v>
      </c>
      <c r="B3559" s="298" t="s">
        <v>14877</v>
      </c>
      <c r="C3559" s="298" t="s">
        <v>355</v>
      </c>
      <c r="D3559" s="298" t="s">
        <v>256</v>
      </c>
      <c r="E3559" s="298" t="s">
        <v>55</v>
      </c>
      <c r="F3559" s="298" t="s">
        <v>14878</v>
      </c>
      <c r="G3559" s="299" t="b">
        <v>0</v>
      </c>
      <c r="H3559" s="299" t="b">
        <v>0</v>
      </c>
      <c r="J3559" s="113" t="str">
        <f t="shared" si="111"/>
        <v>971120586</v>
      </c>
      <c r="K3559" s="113" t="str">
        <f t="shared" si="112"/>
        <v>CG03359</v>
      </c>
    </row>
    <row r="3560" spans="1:11" x14ac:dyDescent="0.3">
      <c r="A3560" s="298" t="s">
        <v>14879</v>
      </c>
      <c r="B3560" s="298" t="s">
        <v>14880</v>
      </c>
      <c r="C3560" s="298" t="s">
        <v>2877</v>
      </c>
      <c r="D3560" s="298" t="s">
        <v>256</v>
      </c>
      <c r="E3560" s="298" t="s">
        <v>55</v>
      </c>
      <c r="F3560" s="298" t="s">
        <v>14881</v>
      </c>
      <c r="G3560" s="299" t="b">
        <v>0</v>
      </c>
      <c r="H3560" s="299" t="b">
        <v>0</v>
      </c>
      <c r="J3560" s="113" t="str">
        <f t="shared" si="111"/>
        <v>972820962</v>
      </c>
      <c r="K3560" s="113" t="str">
        <f t="shared" si="112"/>
        <v>CG03360</v>
      </c>
    </row>
    <row r="3561" spans="1:11" x14ac:dyDescent="0.3">
      <c r="A3561" s="298" t="s">
        <v>14882</v>
      </c>
      <c r="B3561" s="298" t="s">
        <v>14883</v>
      </c>
      <c r="C3561" s="298" t="s">
        <v>231</v>
      </c>
      <c r="D3561" s="298" t="s">
        <v>256</v>
      </c>
      <c r="E3561" s="298" t="s">
        <v>55</v>
      </c>
      <c r="F3561" s="298" t="s">
        <v>14884</v>
      </c>
      <c r="G3561" s="299" t="b">
        <v>0</v>
      </c>
      <c r="H3561" s="299" t="b">
        <v>0</v>
      </c>
      <c r="J3561" s="113" t="str">
        <f t="shared" si="111"/>
        <v>915407490</v>
      </c>
      <c r="K3561" s="113" t="str">
        <f t="shared" si="112"/>
        <v>CG03361</v>
      </c>
    </row>
    <row r="3562" spans="1:11" x14ac:dyDescent="0.3">
      <c r="A3562" s="298" t="s">
        <v>14885</v>
      </c>
      <c r="B3562" s="298" t="s">
        <v>14886</v>
      </c>
      <c r="C3562" s="298" t="s">
        <v>231</v>
      </c>
      <c r="D3562" s="298" t="s">
        <v>256</v>
      </c>
      <c r="E3562" s="298" t="s">
        <v>55</v>
      </c>
      <c r="F3562" s="298" t="s">
        <v>14887</v>
      </c>
      <c r="G3562" s="299" t="b">
        <v>0</v>
      </c>
      <c r="H3562" s="299" t="b">
        <v>0</v>
      </c>
      <c r="J3562" s="113" t="str">
        <f t="shared" si="111"/>
        <v>983130895</v>
      </c>
      <c r="K3562" s="113" t="str">
        <f t="shared" si="112"/>
        <v>CG03362</v>
      </c>
    </row>
    <row r="3563" spans="1:11" x14ac:dyDescent="0.3">
      <c r="A3563" s="298" t="s">
        <v>14888</v>
      </c>
      <c r="B3563" s="298" t="s">
        <v>14889</v>
      </c>
      <c r="C3563" s="298" t="s">
        <v>1444</v>
      </c>
      <c r="D3563" s="298" t="s">
        <v>256</v>
      </c>
      <c r="E3563" s="298" t="s">
        <v>55</v>
      </c>
      <c r="F3563" s="298" t="s">
        <v>14890</v>
      </c>
      <c r="G3563" s="299" t="b">
        <v>0</v>
      </c>
      <c r="H3563" s="299" t="b">
        <v>0</v>
      </c>
      <c r="J3563" s="113" t="str">
        <f t="shared" si="111"/>
        <v>945702886</v>
      </c>
      <c r="K3563" s="113" t="str">
        <f t="shared" si="112"/>
        <v>CG03363</v>
      </c>
    </row>
    <row r="3564" spans="1:11" x14ac:dyDescent="0.3">
      <c r="A3564" s="298" t="s">
        <v>14891</v>
      </c>
      <c r="B3564" s="298" t="s">
        <v>14892</v>
      </c>
      <c r="C3564" s="298" t="s">
        <v>1152</v>
      </c>
      <c r="D3564" s="298" t="s">
        <v>256</v>
      </c>
      <c r="E3564" s="298" t="s">
        <v>55</v>
      </c>
      <c r="F3564" s="298" t="s">
        <v>14893</v>
      </c>
      <c r="G3564" s="299" t="b">
        <v>0</v>
      </c>
      <c r="H3564" s="299" t="b">
        <v>0</v>
      </c>
      <c r="J3564" s="113" t="str">
        <f t="shared" si="111"/>
        <v>982596622</v>
      </c>
      <c r="K3564" s="113" t="str">
        <f t="shared" si="112"/>
        <v>CG03364</v>
      </c>
    </row>
    <row r="3565" spans="1:11" x14ac:dyDescent="0.3">
      <c r="A3565" s="298" t="s">
        <v>14894</v>
      </c>
      <c r="B3565" s="298" t="s">
        <v>14895</v>
      </c>
      <c r="C3565" s="298" t="s">
        <v>309</v>
      </c>
      <c r="D3565" s="298" t="s">
        <v>256</v>
      </c>
      <c r="E3565" s="298" t="s">
        <v>55</v>
      </c>
      <c r="F3565" s="298" t="s">
        <v>14896</v>
      </c>
      <c r="G3565" s="299" t="b">
        <v>0</v>
      </c>
      <c r="H3565" s="299" t="b">
        <v>0</v>
      </c>
      <c r="J3565" s="113" t="str">
        <f t="shared" si="111"/>
        <v>976552730</v>
      </c>
      <c r="K3565" s="113" t="str">
        <f t="shared" si="112"/>
        <v>CG03365</v>
      </c>
    </row>
    <row r="3566" spans="1:11" x14ac:dyDescent="0.3">
      <c r="A3566" s="298" t="s">
        <v>14897</v>
      </c>
      <c r="B3566" s="298" t="s">
        <v>14898</v>
      </c>
      <c r="C3566" s="298" t="s">
        <v>7595</v>
      </c>
      <c r="D3566" s="298" t="s">
        <v>256</v>
      </c>
      <c r="E3566" s="298" t="s">
        <v>55</v>
      </c>
      <c r="F3566" s="298" t="s">
        <v>14899</v>
      </c>
      <c r="G3566" s="299" t="b">
        <v>0</v>
      </c>
      <c r="H3566" s="299" t="b">
        <v>0</v>
      </c>
      <c r="J3566" s="113" t="str">
        <f t="shared" si="111"/>
        <v>975669888</v>
      </c>
      <c r="K3566" s="113" t="str">
        <f t="shared" si="112"/>
        <v>CG03366</v>
      </c>
    </row>
    <row r="3567" spans="1:11" x14ac:dyDescent="0.3">
      <c r="A3567" s="298" t="s">
        <v>14900</v>
      </c>
      <c r="B3567" s="298" t="s">
        <v>14935</v>
      </c>
      <c r="C3567" s="298" t="s">
        <v>286</v>
      </c>
      <c r="D3567" s="298" t="s">
        <v>256</v>
      </c>
      <c r="E3567" s="298" t="s">
        <v>14902</v>
      </c>
      <c r="F3567" s="298" t="s">
        <v>14936</v>
      </c>
      <c r="G3567" s="299" t="b">
        <v>0</v>
      </c>
      <c r="H3567" s="299" t="b">
        <v>0</v>
      </c>
      <c r="J3567" s="113" t="str">
        <f t="shared" si="111"/>
        <v>936633088</v>
      </c>
      <c r="K3567" s="113" t="str">
        <f t="shared" si="112"/>
        <v>CG03369</v>
      </c>
    </row>
    <row r="3568" spans="1:11" x14ac:dyDescent="0.3">
      <c r="A3568" s="298" t="s">
        <v>14904</v>
      </c>
      <c r="B3568" s="298" t="s">
        <v>14934</v>
      </c>
      <c r="C3568" s="298" t="s">
        <v>289</v>
      </c>
      <c r="D3568" s="298" t="s">
        <v>256</v>
      </c>
      <c r="E3568" s="298" t="s">
        <v>55</v>
      </c>
      <c r="F3568" s="298" t="s">
        <v>14906</v>
      </c>
      <c r="G3568" s="299" t="b">
        <v>0</v>
      </c>
      <c r="H3568" s="299" t="b">
        <v>0</v>
      </c>
      <c r="J3568" s="113" t="str">
        <f t="shared" si="111"/>
        <v xml:space="preserve">76709418	</v>
      </c>
      <c r="K3568" s="113" t="str">
        <f t="shared" si="112"/>
        <v>CG03370</v>
      </c>
    </row>
    <row r="3569" spans="1:11" x14ac:dyDescent="0.3">
      <c r="A3569" s="298" t="s">
        <v>14907</v>
      </c>
      <c r="B3569" s="298" t="s">
        <v>14908</v>
      </c>
      <c r="C3569" s="298" t="s">
        <v>14909</v>
      </c>
      <c r="D3569" s="298" t="s">
        <v>256</v>
      </c>
      <c r="E3569" s="298" t="s">
        <v>55</v>
      </c>
      <c r="F3569" s="298" t="s">
        <v>14910</v>
      </c>
      <c r="G3569" s="299" t="b">
        <v>0</v>
      </c>
      <c r="H3569" s="299" t="b">
        <v>0</v>
      </c>
      <c r="J3569" s="113" t="str">
        <f t="shared" si="111"/>
        <v>989520555</v>
      </c>
      <c r="K3569" s="113" t="str">
        <f t="shared" si="112"/>
        <v>CG03371</v>
      </c>
    </row>
    <row r="3570" spans="1:11" x14ac:dyDescent="0.3">
      <c r="A3570" s="298" t="s">
        <v>14931</v>
      </c>
      <c r="B3570" s="298" t="s">
        <v>14932</v>
      </c>
      <c r="C3570" s="298" t="s">
        <v>14929</v>
      </c>
      <c r="D3570" s="298" t="s">
        <v>256</v>
      </c>
      <c r="E3570" s="298" t="s">
        <v>55</v>
      </c>
      <c r="F3570" s="298" t="s">
        <v>14933</v>
      </c>
      <c r="G3570" s="299" t="b">
        <v>0</v>
      </c>
      <c r="H3570" s="299" t="b">
        <v>0</v>
      </c>
      <c r="J3570" s="113" t="str">
        <f t="shared" si="111"/>
        <v>Đô (CMHN)</v>
      </c>
      <c r="K3570" s="113" t="str">
        <f t="shared" si="112"/>
        <v>CG03372</v>
      </c>
    </row>
    <row r="3571" spans="1:11" x14ac:dyDescent="0.3">
      <c r="A3571" s="298" t="s">
        <v>14927</v>
      </c>
      <c r="B3571" s="298" t="s">
        <v>14928</v>
      </c>
      <c r="C3571" s="298" t="s">
        <v>14929</v>
      </c>
      <c r="D3571" s="298" t="s">
        <v>256</v>
      </c>
      <c r="E3571" s="298" t="s">
        <v>55</v>
      </c>
      <c r="F3571" s="298" t="s">
        <v>14930</v>
      </c>
      <c r="G3571" s="299" t="b">
        <v>0</v>
      </c>
      <c r="H3571" s="299" t="b">
        <v>0</v>
      </c>
      <c r="J3571" s="113" t="str">
        <f t="shared" si="111"/>
        <v>935581888</v>
      </c>
      <c r="K3571" s="113" t="str">
        <f t="shared" si="112"/>
        <v>CG03373</v>
      </c>
    </row>
    <row r="3572" spans="1:11" x14ac:dyDescent="0.3">
      <c r="A3572" s="298" t="s">
        <v>14924</v>
      </c>
      <c r="B3572" s="298" t="s">
        <v>14925</v>
      </c>
      <c r="C3572" s="298" t="s">
        <v>989</v>
      </c>
      <c r="D3572" s="298" t="s">
        <v>256</v>
      </c>
      <c r="E3572" s="298" t="s">
        <v>55</v>
      </c>
      <c r="F3572" s="298" t="s">
        <v>14926</v>
      </c>
      <c r="G3572" s="299" t="b">
        <v>0</v>
      </c>
      <c r="H3572" s="299" t="b">
        <v>0</v>
      </c>
      <c r="J3572" s="113" t="str">
        <f t="shared" si="111"/>
        <v>961789888</v>
      </c>
      <c r="K3572" s="113" t="str">
        <f t="shared" si="112"/>
        <v>CG03374</v>
      </c>
    </row>
    <row r="3573" spans="1:11" x14ac:dyDescent="0.3">
      <c r="A3573" s="298" t="s">
        <v>14921</v>
      </c>
      <c r="B3573" s="298" t="s">
        <v>14922</v>
      </c>
      <c r="C3573" s="298" t="s">
        <v>432</v>
      </c>
      <c r="D3573" s="298" t="s">
        <v>256</v>
      </c>
      <c r="E3573" s="298" t="s">
        <v>55</v>
      </c>
      <c r="F3573" s="298" t="s">
        <v>14923</v>
      </c>
      <c r="G3573" s="299" t="b">
        <v>0</v>
      </c>
      <c r="H3573" s="299" t="b">
        <v>0</v>
      </c>
      <c r="J3573" s="113" t="str">
        <f t="shared" si="111"/>
        <v>913289590</v>
      </c>
      <c r="K3573" s="113" t="str">
        <f t="shared" si="112"/>
        <v>CG03375</v>
      </c>
    </row>
    <row r="3574" spans="1:11" x14ac:dyDescent="0.3">
      <c r="A3574" s="298" t="s">
        <v>14918</v>
      </c>
      <c r="B3574" s="298" t="s">
        <v>14919</v>
      </c>
      <c r="C3574" s="298" t="s">
        <v>2659</v>
      </c>
      <c r="D3574" s="298" t="s">
        <v>256</v>
      </c>
      <c r="E3574" s="298" t="s">
        <v>55</v>
      </c>
      <c r="F3574" s="298" t="s">
        <v>14920</v>
      </c>
      <c r="G3574" s="299" t="b">
        <v>0</v>
      </c>
      <c r="H3574" s="299" t="b">
        <v>0</v>
      </c>
      <c r="J3574" s="113" t="str">
        <f t="shared" si="111"/>
        <v>896625886</v>
      </c>
      <c r="K3574" s="113" t="str">
        <f t="shared" si="112"/>
        <v>CG03376</v>
      </c>
    </row>
    <row r="3575" spans="1:11" x14ac:dyDescent="0.3">
      <c r="A3575" s="298" t="s">
        <v>14914</v>
      </c>
      <c r="B3575" s="298" t="s">
        <v>14915</v>
      </c>
      <c r="C3575" s="298" t="s">
        <v>14916</v>
      </c>
      <c r="D3575" s="298" t="s">
        <v>256</v>
      </c>
      <c r="E3575" s="298" t="s">
        <v>55</v>
      </c>
      <c r="F3575" s="298" t="s">
        <v>14917</v>
      </c>
      <c r="G3575" s="299" t="b">
        <v>0</v>
      </c>
      <c r="H3575" s="299" t="b">
        <v>0</v>
      </c>
      <c r="J3575" s="113" t="str">
        <f t="shared" si="111"/>
        <v>975709097</v>
      </c>
      <c r="K3575" s="113" t="str">
        <f t="shared" si="112"/>
        <v>CG03377</v>
      </c>
    </row>
    <row r="3576" spans="1:11" x14ac:dyDescent="0.3">
      <c r="A3576" s="298" t="s">
        <v>14911</v>
      </c>
      <c r="B3576" s="298" t="s">
        <v>14912</v>
      </c>
      <c r="C3576" s="298" t="s">
        <v>289</v>
      </c>
      <c r="D3576" s="298" t="s">
        <v>256</v>
      </c>
      <c r="E3576" s="298" t="s">
        <v>55</v>
      </c>
      <c r="F3576" s="298" t="s">
        <v>14913</v>
      </c>
      <c r="G3576" s="299" t="b">
        <v>0</v>
      </c>
      <c r="H3576" s="299" t="b">
        <v>0</v>
      </c>
      <c r="J3576" s="113" t="str">
        <f t="shared" si="111"/>
        <v>936006899</v>
      </c>
      <c r="K3576" s="113" t="str">
        <f t="shared" si="112"/>
        <v>CG03378</v>
      </c>
    </row>
    <row r="3577" spans="1:11" x14ac:dyDescent="0.3">
      <c r="J3577" s="113" t="str">
        <f t="shared" si="111"/>
        <v/>
      </c>
      <c r="K3577" s="113">
        <f t="shared" si="112"/>
        <v>0</v>
      </c>
    </row>
    <row r="3578" spans="1:11" x14ac:dyDescent="0.3">
      <c r="J3578" s="113" t="str">
        <f t="shared" si="111"/>
        <v/>
      </c>
      <c r="K3578" s="113">
        <f t="shared" si="112"/>
        <v>0</v>
      </c>
    </row>
    <row r="3579" spans="1:11" x14ac:dyDescent="0.3">
      <c r="J3579" s="113" t="str">
        <f t="shared" si="111"/>
        <v/>
      </c>
      <c r="K3579" s="113">
        <f t="shared" si="112"/>
        <v>0</v>
      </c>
    </row>
    <row r="3580" spans="1:11" x14ac:dyDescent="0.3">
      <c r="J3580" s="113" t="str">
        <f t="shared" si="111"/>
        <v/>
      </c>
      <c r="K3580" s="113">
        <f t="shared" si="112"/>
        <v>0</v>
      </c>
    </row>
    <row r="3581" spans="1:11" x14ac:dyDescent="0.3">
      <c r="J3581" s="113" t="str">
        <f t="shared" si="111"/>
        <v/>
      </c>
      <c r="K3581" s="113">
        <f t="shared" si="112"/>
        <v>0</v>
      </c>
    </row>
    <row r="3582" spans="1:11" x14ac:dyDescent="0.3">
      <c r="J3582" s="113" t="str">
        <f t="shared" si="111"/>
        <v/>
      </c>
      <c r="K3582" s="113">
        <f t="shared" si="112"/>
        <v>0</v>
      </c>
    </row>
    <row r="3583" spans="1:11" x14ac:dyDescent="0.3">
      <c r="J3583" s="113" t="str">
        <f t="shared" si="111"/>
        <v/>
      </c>
      <c r="K3583" s="113">
        <f t="shared" si="112"/>
        <v>0</v>
      </c>
    </row>
    <row r="3584" spans="1:11" x14ac:dyDescent="0.3">
      <c r="J3584" s="113" t="str">
        <f t="shared" si="111"/>
        <v/>
      </c>
      <c r="K3584" s="113">
        <f t="shared" si="112"/>
        <v>0</v>
      </c>
    </row>
    <row r="3585" spans="10:11" x14ac:dyDescent="0.3">
      <c r="J3585" s="113" t="str">
        <f t="shared" si="111"/>
        <v/>
      </c>
      <c r="K3585" s="113">
        <f t="shared" si="112"/>
        <v>0</v>
      </c>
    </row>
    <row r="3586" spans="10:11" x14ac:dyDescent="0.3">
      <c r="J3586" s="113" t="str">
        <f t="shared" si="111"/>
        <v/>
      </c>
      <c r="K3586" s="113">
        <f t="shared" si="112"/>
        <v>0</v>
      </c>
    </row>
    <row r="3587" spans="10:11" x14ac:dyDescent="0.3">
      <c r="J3587" s="113" t="str">
        <f t="shared" si="111"/>
        <v/>
      </c>
      <c r="K3587" s="113">
        <f t="shared" si="112"/>
        <v>0</v>
      </c>
    </row>
    <row r="3588" spans="10:11" x14ac:dyDescent="0.3">
      <c r="J3588" s="113" t="str">
        <f t="shared" si="111"/>
        <v/>
      </c>
      <c r="K3588" s="113">
        <f t="shared" si="112"/>
        <v>0</v>
      </c>
    </row>
    <row r="3589" spans="10:11" x14ac:dyDescent="0.3">
      <c r="J3589" s="113" t="str">
        <f t="shared" ref="J3589:J3652" si="113">RIGHT(B3589,9)</f>
        <v/>
      </c>
      <c r="K3589" s="113">
        <f t="shared" ref="K3589:K3652" si="114">A3589</f>
        <v>0</v>
      </c>
    </row>
    <row r="3590" spans="10:11" x14ac:dyDescent="0.3">
      <c r="J3590" s="113" t="str">
        <f t="shared" si="113"/>
        <v/>
      </c>
      <c r="K3590" s="113">
        <f t="shared" si="114"/>
        <v>0</v>
      </c>
    </row>
    <row r="3591" spans="10:11" x14ac:dyDescent="0.3">
      <c r="J3591" s="113" t="str">
        <f t="shared" si="113"/>
        <v/>
      </c>
      <c r="K3591" s="113">
        <f t="shared" si="114"/>
        <v>0</v>
      </c>
    </row>
    <row r="3592" spans="10:11" x14ac:dyDescent="0.3">
      <c r="J3592" s="113" t="str">
        <f t="shared" si="113"/>
        <v/>
      </c>
      <c r="K3592" s="113">
        <f t="shared" si="114"/>
        <v>0</v>
      </c>
    </row>
    <row r="3593" spans="10:11" x14ac:dyDescent="0.3">
      <c r="J3593" s="113" t="str">
        <f t="shared" si="113"/>
        <v/>
      </c>
      <c r="K3593" s="113">
        <f t="shared" si="114"/>
        <v>0</v>
      </c>
    </row>
    <row r="3594" spans="10:11" x14ac:dyDescent="0.3">
      <c r="J3594" s="113" t="str">
        <f t="shared" si="113"/>
        <v/>
      </c>
      <c r="K3594" s="113">
        <f t="shared" si="114"/>
        <v>0</v>
      </c>
    </row>
    <row r="3595" spans="10:11" x14ac:dyDescent="0.3">
      <c r="J3595" s="113" t="str">
        <f t="shared" si="113"/>
        <v/>
      </c>
      <c r="K3595" s="113">
        <f t="shared" si="114"/>
        <v>0</v>
      </c>
    </row>
    <row r="3596" spans="10:11" x14ac:dyDescent="0.3">
      <c r="J3596" s="113" t="str">
        <f t="shared" si="113"/>
        <v/>
      </c>
      <c r="K3596" s="113">
        <f t="shared" si="114"/>
        <v>0</v>
      </c>
    </row>
    <row r="3597" spans="10:11" x14ac:dyDescent="0.3">
      <c r="J3597" s="113" t="str">
        <f t="shared" si="113"/>
        <v/>
      </c>
      <c r="K3597" s="113">
        <f t="shared" si="114"/>
        <v>0</v>
      </c>
    </row>
    <row r="3598" spans="10:11" x14ac:dyDescent="0.3">
      <c r="J3598" s="113" t="str">
        <f t="shared" si="113"/>
        <v/>
      </c>
      <c r="K3598" s="113">
        <f t="shared" si="114"/>
        <v>0</v>
      </c>
    </row>
    <row r="3599" spans="10:11" x14ac:dyDescent="0.3">
      <c r="J3599" s="113" t="str">
        <f t="shared" si="113"/>
        <v/>
      </c>
      <c r="K3599" s="113">
        <f t="shared" si="114"/>
        <v>0</v>
      </c>
    </row>
    <row r="3600" spans="10:11" x14ac:dyDescent="0.3">
      <c r="J3600" s="113" t="str">
        <f t="shared" si="113"/>
        <v/>
      </c>
      <c r="K3600" s="113">
        <f t="shared" si="114"/>
        <v>0</v>
      </c>
    </row>
    <row r="3601" spans="10:11" x14ac:dyDescent="0.3">
      <c r="J3601" s="113" t="str">
        <f t="shared" si="113"/>
        <v/>
      </c>
      <c r="K3601" s="113">
        <f t="shared" si="114"/>
        <v>0</v>
      </c>
    </row>
    <row r="3602" spans="10:11" x14ac:dyDescent="0.3">
      <c r="J3602" s="113" t="str">
        <f t="shared" si="113"/>
        <v/>
      </c>
      <c r="K3602" s="113">
        <f t="shared" si="114"/>
        <v>0</v>
      </c>
    </row>
    <row r="3603" spans="10:11" x14ac:dyDescent="0.3">
      <c r="J3603" s="113" t="str">
        <f t="shared" si="113"/>
        <v/>
      </c>
      <c r="K3603" s="113">
        <f t="shared" si="114"/>
        <v>0</v>
      </c>
    </row>
    <row r="3604" spans="10:11" x14ac:dyDescent="0.3">
      <c r="J3604" s="113" t="str">
        <f t="shared" si="113"/>
        <v/>
      </c>
      <c r="K3604" s="113">
        <f t="shared" si="114"/>
        <v>0</v>
      </c>
    </row>
    <row r="3605" spans="10:11" x14ac:dyDescent="0.3">
      <c r="J3605" s="113" t="str">
        <f t="shared" si="113"/>
        <v/>
      </c>
      <c r="K3605" s="113">
        <f t="shared" si="114"/>
        <v>0</v>
      </c>
    </row>
    <row r="3606" spans="10:11" x14ac:dyDescent="0.3">
      <c r="J3606" s="113" t="str">
        <f t="shared" si="113"/>
        <v/>
      </c>
      <c r="K3606" s="113">
        <f t="shared" si="114"/>
        <v>0</v>
      </c>
    </row>
    <row r="3607" spans="10:11" x14ac:dyDescent="0.3">
      <c r="J3607" s="113" t="str">
        <f t="shared" si="113"/>
        <v/>
      </c>
      <c r="K3607" s="113">
        <f t="shared" si="114"/>
        <v>0</v>
      </c>
    </row>
    <row r="3608" spans="10:11" x14ac:dyDescent="0.3">
      <c r="J3608" s="113" t="str">
        <f t="shared" si="113"/>
        <v/>
      </c>
      <c r="K3608" s="113">
        <f t="shared" si="114"/>
        <v>0</v>
      </c>
    </row>
    <row r="3609" spans="10:11" x14ac:dyDescent="0.3">
      <c r="J3609" s="113" t="str">
        <f t="shared" si="113"/>
        <v/>
      </c>
      <c r="K3609" s="113">
        <f t="shared" si="114"/>
        <v>0</v>
      </c>
    </row>
    <row r="3610" spans="10:11" x14ac:dyDescent="0.3">
      <c r="J3610" s="113" t="str">
        <f t="shared" si="113"/>
        <v/>
      </c>
      <c r="K3610" s="113">
        <f t="shared" si="114"/>
        <v>0</v>
      </c>
    </row>
    <row r="3611" spans="10:11" x14ac:dyDescent="0.3">
      <c r="J3611" s="113" t="str">
        <f t="shared" si="113"/>
        <v/>
      </c>
      <c r="K3611" s="113">
        <f t="shared" si="114"/>
        <v>0</v>
      </c>
    </row>
    <row r="3612" spans="10:11" x14ac:dyDescent="0.3">
      <c r="J3612" s="113" t="str">
        <f t="shared" si="113"/>
        <v/>
      </c>
      <c r="K3612" s="113">
        <f t="shared" si="114"/>
        <v>0</v>
      </c>
    </row>
    <row r="3613" spans="10:11" x14ac:dyDescent="0.3">
      <c r="J3613" s="113" t="str">
        <f t="shared" si="113"/>
        <v/>
      </c>
      <c r="K3613" s="113">
        <f t="shared" si="114"/>
        <v>0</v>
      </c>
    </row>
    <row r="3614" spans="10:11" x14ac:dyDescent="0.3">
      <c r="J3614" s="113" t="str">
        <f t="shared" si="113"/>
        <v/>
      </c>
      <c r="K3614" s="113">
        <f t="shared" si="114"/>
        <v>0</v>
      </c>
    </row>
    <row r="3615" spans="10:11" x14ac:dyDescent="0.3">
      <c r="J3615" s="113" t="str">
        <f t="shared" si="113"/>
        <v/>
      </c>
      <c r="K3615" s="113">
        <f t="shared" si="114"/>
        <v>0</v>
      </c>
    </row>
    <row r="3616" spans="10:11" x14ac:dyDescent="0.3">
      <c r="J3616" s="113" t="str">
        <f t="shared" si="113"/>
        <v/>
      </c>
      <c r="K3616" s="113">
        <f t="shared" si="114"/>
        <v>0</v>
      </c>
    </row>
    <row r="3617" spans="10:11" x14ac:dyDescent="0.3">
      <c r="J3617" s="113" t="str">
        <f t="shared" si="113"/>
        <v/>
      </c>
      <c r="K3617" s="113">
        <f t="shared" si="114"/>
        <v>0</v>
      </c>
    </row>
    <row r="3618" spans="10:11" x14ac:dyDescent="0.3">
      <c r="J3618" s="113" t="str">
        <f t="shared" si="113"/>
        <v/>
      </c>
      <c r="K3618" s="113">
        <f t="shared" si="114"/>
        <v>0</v>
      </c>
    </row>
    <row r="3619" spans="10:11" x14ac:dyDescent="0.3">
      <c r="J3619" s="113" t="str">
        <f t="shared" si="113"/>
        <v/>
      </c>
      <c r="K3619" s="113">
        <f t="shared" si="114"/>
        <v>0</v>
      </c>
    </row>
    <row r="3620" spans="10:11" x14ac:dyDescent="0.3">
      <c r="J3620" s="113" t="str">
        <f t="shared" si="113"/>
        <v/>
      </c>
      <c r="K3620" s="113">
        <f t="shared" si="114"/>
        <v>0</v>
      </c>
    </row>
    <row r="3621" spans="10:11" x14ac:dyDescent="0.3">
      <c r="J3621" s="113" t="str">
        <f t="shared" si="113"/>
        <v/>
      </c>
      <c r="K3621" s="113">
        <f t="shared" si="114"/>
        <v>0</v>
      </c>
    </row>
    <row r="3622" spans="10:11" x14ac:dyDescent="0.3">
      <c r="J3622" s="113" t="str">
        <f t="shared" si="113"/>
        <v/>
      </c>
      <c r="K3622" s="113">
        <f t="shared" si="114"/>
        <v>0</v>
      </c>
    </row>
    <row r="3623" spans="10:11" x14ac:dyDescent="0.3">
      <c r="J3623" s="113" t="str">
        <f t="shared" si="113"/>
        <v/>
      </c>
      <c r="K3623" s="113">
        <f t="shared" si="114"/>
        <v>0</v>
      </c>
    </row>
    <row r="3624" spans="10:11" x14ac:dyDescent="0.3">
      <c r="J3624" s="113" t="str">
        <f t="shared" si="113"/>
        <v/>
      </c>
      <c r="K3624" s="113">
        <f t="shared" si="114"/>
        <v>0</v>
      </c>
    </row>
    <row r="3625" spans="10:11" x14ac:dyDescent="0.3">
      <c r="J3625" s="113" t="str">
        <f t="shared" si="113"/>
        <v/>
      </c>
      <c r="K3625" s="113">
        <f t="shared" si="114"/>
        <v>0</v>
      </c>
    </row>
    <row r="3626" spans="10:11" x14ac:dyDescent="0.3">
      <c r="J3626" s="113" t="str">
        <f t="shared" si="113"/>
        <v/>
      </c>
      <c r="K3626" s="113">
        <f t="shared" si="114"/>
        <v>0</v>
      </c>
    </row>
    <row r="3627" spans="10:11" x14ac:dyDescent="0.3">
      <c r="J3627" s="113" t="str">
        <f t="shared" si="113"/>
        <v/>
      </c>
      <c r="K3627" s="113">
        <f t="shared" si="114"/>
        <v>0</v>
      </c>
    </row>
    <row r="3628" spans="10:11" x14ac:dyDescent="0.3">
      <c r="J3628" s="113" t="str">
        <f t="shared" si="113"/>
        <v/>
      </c>
      <c r="K3628" s="113">
        <f t="shared" si="114"/>
        <v>0</v>
      </c>
    </row>
    <row r="3629" spans="10:11" x14ac:dyDescent="0.3">
      <c r="J3629" s="113" t="str">
        <f t="shared" si="113"/>
        <v/>
      </c>
      <c r="K3629" s="113">
        <f t="shared" si="114"/>
        <v>0</v>
      </c>
    </row>
    <row r="3630" spans="10:11" x14ac:dyDescent="0.3">
      <c r="J3630" s="113" t="str">
        <f t="shared" si="113"/>
        <v/>
      </c>
      <c r="K3630" s="113">
        <f t="shared" si="114"/>
        <v>0</v>
      </c>
    </row>
    <row r="3631" spans="10:11" x14ac:dyDescent="0.3">
      <c r="J3631" s="113" t="str">
        <f t="shared" si="113"/>
        <v/>
      </c>
      <c r="K3631" s="113">
        <f t="shared" si="114"/>
        <v>0</v>
      </c>
    </row>
    <row r="3632" spans="10:11" x14ac:dyDescent="0.3">
      <c r="J3632" s="113" t="str">
        <f t="shared" si="113"/>
        <v/>
      </c>
      <c r="K3632" s="113">
        <f t="shared" si="114"/>
        <v>0</v>
      </c>
    </row>
    <row r="3633" spans="10:11" x14ac:dyDescent="0.3">
      <c r="J3633" s="113" t="str">
        <f t="shared" si="113"/>
        <v/>
      </c>
      <c r="K3633" s="113">
        <f t="shared" si="114"/>
        <v>0</v>
      </c>
    </row>
    <row r="3634" spans="10:11" x14ac:dyDescent="0.3">
      <c r="J3634" s="113" t="str">
        <f t="shared" si="113"/>
        <v/>
      </c>
      <c r="K3634" s="113">
        <f t="shared" si="114"/>
        <v>0</v>
      </c>
    </row>
    <row r="3635" spans="10:11" x14ac:dyDescent="0.3">
      <c r="J3635" s="113" t="str">
        <f t="shared" si="113"/>
        <v/>
      </c>
      <c r="K3635" s="113">
        <f t="shared" si="114"/>
        <v>0</v>
      </c>
    </row>
    <row r="3636" spans="10:11" x14ac:dyDescent="0.3">
      <c r="J3636" s="113" t="str">
        <f t="shared" si="113"/>
        <v/>
      </c>
      <c r="K3636" s="113">
        <f t="shared" si="114"/>
        <v>0</v>
      </c>
    </row>
    <row r="3637" spans="10:11" x14ac:dyDescent="0.3">
      <c r="J3637" s="113" t="str">
        <f t="shared" si="113"/>
        <v/>
      </c>
      <c r="K3637" s="113">
        <f t="shared" si="114"/>
        <v>0</v>
      </c>
    </row>
    <row r="3638" spans="10:11" x14ac:dyDescent="0.3">
      <c r="J3638" s="113" t="str">
        <f t="shared" si="113"/>
        <v/>
      </c>
      <c r="K3638" s="113">
        <f t="shared" si="114"/>
        <v>0</v>
      </c>
    </row>
    <row r="3639" spans="10:11" x14ac:dyDescent="0.3">
      <c r="J3639" s="113" t="str">
        <f t="shared" si="113"/>
        <v/>
      </c>
      <c r="K3639" s="113">
        <f t="shared" si="114"/>
        <v>0</v>
      </c>
    </row>
    <row r="3640" spans="10:11" x14ac:dyDescent="0.3">
      <c r="J3640" s="113" t="str">
        <f t="shared" si="113"/>
        <v/>
      </c>
      <c r="K3640" s="113">
        <f t="shared" si="114"/>
        <v>0</v>
      </c>
    </row>
    <row r="3641" spans="10:11" x14ac:dyDescent="0.3">
      <c r="J3641" s="113" t="str">
        <f t="shared" si="113"/>
        <v/>
      </c>
      <c r="K3641" s="113">
        <f t="shared" si="114"/>
        <v>0</v>
      </c>
    </row>
    <row r="3642" spans="10:11" x14ac:dyDescent="0.3">
      <c r="J3642" s="113" t="str">
        <f t="shared" si="113"/>
        <v/>
      </c>
      <c r="K3642" s="113">
        <f t="shared" si="114"/>
        <v>0</v>
      </c>
    </row>
    <row r="3643" spans="10:11" x14ac:dyDescent="0.3">
      <c r="J3643" s="113" t="str">
        <f t="shared" si="113"/>
        <v/>
      </c>
      <c r="K3643" s="113">
        <f t="shared" si="114"/>
        <v>0</v>
      </c>
    </row>
    <row r="3644" spans="10:11" x14ac:dyDescent="0.3">
      <c r="J3644" s="113" t="str">
        <f t="shared" si="113"/>
        <v/>
      </c>
      <c r="K3644" s="113">
        <f t="shared" si="114"/>
        <v>0</v>
      </c>
    </row>
    <row r="3645" spans="10:11" x14ac:dyDescent="0.3">
      <c r="J3645" s="113" t="str">
        <f t="shared" si="113"/>
        <v/>
      </c>
      <c r="K3645" s="113">
        <f t="shared" si="114"/>
        <v>0</v>
      </c>
    </row>
    <row r="3646" spans="10:11" x14ac:dyDescent="0.3">
      <c r="J3646" s="113" t="str">
        <f t="shared" si="113"/>
        <v/>
      </c>
      <c r="K3646" s="113">
        <f t="shared" si="114"/>
        <v>0</v>
      </c>
    </row>
    <row r="3647" spans="10:11" x14ac:dyDescent="0.3">
      <c r="J3647" s="113" t="str">
        <f t="shared" si="113"/>
        <v/>
      </c>
      <c r="K3647" s="113">
        <f t="shared" si="114"/>
        <v>0</v>
      </c>
    </row>
    <row r="3648" spans="10:11" x14ac:dyDescent="0.3">
      <c r="J3648" s="113" t="str">
        <f t="shared" si="113"/>
        <v/>
      </c>
      <c r="K3648" s="113">
        <f t="shared" si="114"/>
        <v>0</v>
      </c>
    </row>
    <row r="3649" spans="10:11" x14ac:dyDescent="0.3">
      <c r="J3649" s="113" t="str">
        <f t="shared" si="113"/>
        <v/>
      </c>
      <c r="K3649" s="113">
        <f t="shared" si="114"/>
        <v>0</v>
      </c>
    </row>
    <row r="3650" spans="10:11" x14ac:dyDescent="0.3">
      <c r="J3650" s="113" t="str">
        <f t="shared" si="113"/>
        <v/>
      </c>
      <c r="K3650" s="113">
        <f t="shared" si="114"/>
        <v>0</v>
      </c>
    </row>
    <row r="3651" spans="10:11" x14ac:dyDescent="0.3">
      <c r="J3651" s="113" t="str">
        <f t="shared" si="113"/>
        <v/>
      </c>
      <c r="K3651" s="113">
        <f t="shared" si="114"/>
        <v>0</v>
      </c>
    </row>
    <row r="3652" spans="10:11" x14ac:dyDescent="0.3">
      <c r="J3652" s="113" t="str">
        <f t="shared" si="113"/>
        <v/>
      </c>
      <c r="K3652" s="113">
        <f t="shared" si="114"/>
        <v>0</v>
      </c>
    </row>
    <row r="3653" spans="10:11" x14ac:dyDescent="0.3">
      <c r="J3653" s="113" t="str">
        <f t="shared" ref="J3653:J3716" si="115">RIGHT(B3653,9)</f>
        <v/>
      </c>
      <c r="K3653" s="113">
        <f t="shared" ref="K3653:K3716" si="116">A3653</f>
        <v>0</v>
      </c>
    </row>
    <row r="3654" spans="10:11" x14ac:dyDescent="0.3">
      <c r="J3654" s="113" t="str">
        <f t="shared" si="115"/>
        <v/>
      </c>
      <c r="K3654" s="113">
        <f t="shared" si="116"/>
        <v>0</v>
      </c>
    </row>
    <row r="3655" spans="10:11" x14ac:dyDescent="0.3">
      <c r="J3655" s="113" t="str">
        <f t="shared" si="115"/>
        <v/>
      </c>
      <c r="K3655" s="113">
        <f t="shared" si="116"/>
        <v>0</v>
      </c>
    </row>
    <row r="3656" spans="10:11" x14ac:dyDescent="0.3">
      <c r="J3656" s="113" t="str">
        <f t="shared" si="115"/>
        <v/>
      </c>
      <c r="K3656" s="113">
        <f t="shared" si="116"/>
        <v>0</v>
      </c>
    </row>
    <row r="3657" spans="10:11" x14ac:dyDescent="0.3">
      <c r="J3657" s="113" t="str">
        <f t="shared" si="115"/>
        <v/>
      </c>
      <c r="K3657" s="113">
        <f t="shared" si="116"/>
        <v>0</v>
      </c>
    </row>
    <row r="3658" spans="10:11" x14ac:dyDescent="0.3">
      <c r="J3658" s="113" t="str">
        <f t="shared" si="115"/>
        <v/>
      </c>
      <c r="K3658" s="113">
        <f t="shared" si="116"/>
        <v>0</v>
      </c>
    </row>
    <row r="3659" spans="10:11" x14ac:dyDescent="0.3">
      <c r="J3659" s="113" t="str">
        <f t="shared" si="115"/>
        <v/>
      </c>
      <c r="K3659" s="113">
        <f t="shared" si="116"/>
        <v>0</v>
      </c>
    </row>
    <row r="3660" spans="10:11" x14ac:dyDescent="0.3">
      <c r="J3660" s="113" t="str">
        <f t="shared" si="115"/>
        <v/>
      </c>
      <c r="K3660" s="113">
        <f t="shared" si="116"/>
        <v>0</v>
      </c>
    </row>
    <row r="3661" spans="10:11" x14ac:dyDescent="0.3">
      <c r="J3661" s="113" t="str">
        <f t="shared" si="115"/>
        <v/>
      </c>
      <c r="K3661" s="113">
        <f t="shared" si="116"/>
        <v>0</v>
      </c>
    </row>
    <row r="3662" spans="10:11" x14ac:dyDescent="0.3">
      <c r="J3662" s="113" t="str">
        <f t="shared" si="115"/>
        <v/>
      </c>
      <c r="K3662" s="113">
        <f t="shared" si="116"/>
        <v>0</v>
      </c>
    </row>
    <row r="3663" spans="10:11" x14ac:dyDescent="0.3">
      <c r="J3663" s="113" t="str">
        <f t="shared" si="115"/>
        <v/>
      </c>
      <c r="K3663" s="113">
        <f t="shared" si="116"/>
        <v>0</v>
      </c>
    </row>
    <row r="3664" spans="10:11" x14ac:dyDescent="0.3">
      <c r="J3664" s="113" t="str">
        <f t="shared" si="115"/>
        <v/>
      </c>
      <c r="K3664" s="113">
        <f t="shared" si="116"/>
        <v>0</v>
      </c>
    </row>
    <row r="3665" spans="10:11" x14ac:dyDescent="0.3">
      <c r="J3665" s="113" t="str">
        <f t="shared" si="115"/>
        <v/>
      </c>
      <c r="K3665" s="113">
        <f t="shared" si="116"/>
        <v>0</v>
      </c>
    </row>
    <row r="3666" spans="10:11" x14ac:dyDescent="0.3">
      <c r="J3666" s="113" t="str">
        <f t="shared" si="115"/>
        <v/>
      </c>
      <c r="K3666" s="113">
        <f t="shared" si="116"/>
        <v>0</v>
      </c>
    </row>
    <row r="3667" spans="10:11" x14ac:dyDescent="0.3">
      <c r="J3667" s="113" t="str">
        <f t="shared" si="115"/>
        <v/>
      </c>
      <c r="K3667" s="113">
        <f t="shared" si="116"/>
        <v>0</v>
      </c>
    </row>
    <row r="3668" spans="10:11" x14ac:dyDescent="0.3">
      <c r="J3668" s="113" t="str">
        <f t="shared" si="115"/>
        <v/>
      </c>
      <c r="K3668" s="113">
        <f t="shared" si="116"/>
        <v>0</v>
      </c>
    </row>
    <row r="3669" spans="10:11" x14ac:dyDescent="0.3">
      <c r="J3669" s="113" t="str">
        <f t="shared" si="115"/>
        <v/>
      </c>
      <c r="K3669" s="113">
        <f t="shared" si="116"/>
        <v>0</v>
      </c>
    </row>
    <row r="3670" spans="10:11" x14ac:dyDescent="0.3">
      <c r="J3670" s="113" t="str">
        <f t="shared" si="115"/>
        <v/>
      </c>
      <c r="K3670" s="113">
        <f t="shared" si="116"/>
        <v>0</v>
      </c>
    </row>
    <row r="3671" spans="10:11" x14ac:dyDescent="0.3">
      <c r="J3671" s="113" t="str">
        <f t="shared" si="115"/>
        <v/>
      </c>
      <c r="K3671" s="113">
        <f t="shared" si="116"/>
        <v>0</v>
      </c>
    </row>
    <row r="3672" spans="10:11" x14ac:dyDescent="0.3">
      <c r="J3672" s="113" t="str">
        <f t="shared" si="115"/>
        <v/>
      </c>
      <c r="K3672" s="113">
        <f t="shared" si="116"/>
        <v>0</v>
      </c>
    </row>
    <row r="3673" spans="10:11" x14ac:dyDescent="0.3">
      <c r="J3673" s="113" t="str">
        <f t="shared" si="115"/>
        <v/>
      </c>
      <c r="K3673" s="113">
        <f t="shared" si="116"/>
        <v>0</v>
      </c>
    </row>
    <row r="3674" spans="10:11" x14ac:dyDescent="0.3">
      <c r="J3674" s="113" t="str">
        <f t="shared" si="115"/>
        <v/>
      </c>
      <c r="K3674" s="113">
        <f t="shared" si="116"/>
        <v>0</v>
      </c>
    </row>
    <row r="3675" spans="10:11" x14ac:dyDescent="0.3">
      <c r="J3675" s="113" t="str">
        <f t="shared" si="115"/>
        <v/>
      </c>
      <c r="K3675" s="113">
        <f t="shared" si="116"/>
        <v>0</v>
      </c>
    </row>
    <row r="3676" spans="10:11" x14ac:dyDescent="0.3">
      <c r="J3676" s="113" t="str">
        <f t="shared" si="115"/>
        <v/>
      </c>
      <c r="K3676" s="113">
        <f t="shared" si="116"/>
        <v>0</v>
      </c>
    </row>
    <row r="3677" spans="10:11" x14ac:dyDescent="0.3">
      <c r="J3677" s="113" t="str">
        <f t="shared" si="115"/>
        <v/>
      </c>
      <c r="K3677" s="113">
        <f t="shared" si="116"/>
        <v>0</v>
      </c>
    </row>
    <row r="3678" spans="10:11" x14ac:dyDescent="0.3">
      <c r="J3678" s="113" t="str">
        <f t="shared" si="115"/>
        <v/>
      </c>
      <c r="K3678" s="113">
        <f t="shared" si="116"/>
        <v>0</v>
      </c>
    </row>
    <row r="3679" spans="10:11" x14ac:dyDescent="0.3">
      <c r="J3679" s="113" t="str">
        <f t="shared" si="115"/>
        <v/>
      </c>
      <c r="K3679" s="113">
        <f t="shared" si="116"/>
        <v>0</v>
      </c>
    </row>
    <row r="3680" spans="10:11" x14ac:dyDescent="0.3">
      <c r="J3680" s="113" t="str">
        <f t="shared" si="115"/>
        <v/>
      </c>
      <c r="K3680" s="113">
        <f t="shared" si="116"/>
        <v>0</v>
      </c>
    </row>
    <row r="3681" spans="10:11" x14ac:dyDescent="0.3">
      <c r="J3681" s="113" t="str">
        <f t="shared" si="115"/>
        <v/>
      </c>
      <c r="K3681" s="113">
        <f t="shared" si="116"/>
        <v>0</v>
      </c>
    </row>
    <row r="3682" spans="10:11" x14ac:dyDescent="0.3">
      <c r="J3682" s="113" t="str">
        <f t="shared" si="115"/>
        <v/>
      </c>
      <c r="K3682" s="113">
        <f t="shared" si="116"/>
        <v>0</v>
      </c>
    </row>
    <row r="3683" spans="10:11" x14ac:dyDescent="0.3">
      <c r="J3683" s="113" t="str">
        <f t="shared" si="115"/>
        <v/>
      </c>
      <c r="K3683" s="113">
        <f t="shared" si="116"/>
        <v>0</v>
      </c>
    </row>
    <row r="3684" spans="10:11" x14ac:dyDescent="0.3">
      <c r="J3684" s="113" t="str">
        <f t="shared" si="115"/>
        <v/>
      </c>
      <c r="K3684" s="113">
        <f t="shared" si="116"/>
        <v>0</v>
      </c>
    </row>
    <row r="3685" spans="10:11" x14ac:dyDescent="0.3">
      <c r="J3685" s="113" t="str">
        <f t="shared" si="115"/>
        <v/>
      </c>
      <c r="K3685" s="113">
        <f t="shared" si="116"/>
        <v>0</v>
      </c>
    </row>
    <row r="3686" spans="10:11" x14ac:dyDescent="0.3">
      <c r="J3686" s="113" t="str">
        <f t="shared" si="115"/>
        <v/>
      </c>
      <c r="K3686" s="113">
        <f t="shared" si="116"/>
        <v>0</v>
      </c>
    </row>
    <row r="3687" spans="10:11" x14ac:dyDescent="0.3">
      <c r="J3687" s="113" t="str">
        <f t="shared" si="115"/>
        <v/>
      </c>
      <c r="K3687" s="113">
        <f t="shared" si="116"/>
        <v>0</v>
      </c>
    </row>
    <row r="3688" spans="10:11" x14ac:dyDescent="0.3">
      <c r="J3688" s="113" t="str">
        <f t="shared" si="115"/>
        <v/>
      </c>
      <c r="K3688" s="113">
        <f t="shared" si="116"/>
        <v>0</v>
      </c>
    </row>
    <row r="3689" spans="10:11" x14ac:dyDescent="0.3">
      <c r="J3689" s="113" t="str">
        <f t="shared" si="115"/>
        <v/>
      </c>
      <c r="K3689" s="113">
        <f t="shared" si="116"/>
        <v>0</v>
      </c>
    </row>
    <row r="3690" spans="10:11" x14ac:dyDescent="0.3">
      <c r="J3690" s="113" t="str">
        <f t="shared" si="115"/>
        <v/>
      </c>
      <c r="K3690" s="113">
        <f t="shared" si="116"/>
        <v>0</v>
      </c>
    </row>
    <row r="3691" spans="10:11" x14ac:dyDescent="0.3">
      <c r="J3691" s="113" t="str">
        <f t="shared" si="115"/>
        <v/>
      </c>
      <c r="K3691" s="113">
        <f t="shared" si="116"/>
        <v>0</v>
      </c>
    </row>
    <row r="3692" spans="10:11" x14ac:dyDescent="0.3">
      <c r="J3692" s="113" t="str">
        <f t="shared" si="115"/>
        <v/>
      </c>
      <c r="K3692" s="113">
        <f t="shared" si="116"/>
        <v>0</v>
      </c>
    </row>
    <row r="3693" spans="10:11" x14ac:dyDescent="0.3">
      <c r="J3693" s="113" t="str">
        <f t="shared" si="115"/>
        <v/>
      </c>
      <c r="K3693" s="113">
        <f t="shared" si="116"/>
        <v>0</v>
      </c>
    </row>
    <row r="3694" spans="10:11" x14ac:dyDescent="0.3">
      <c r="J3694" s="113" t="str">
        <f t="shared" si="115"/>
        <v/>
      </c>
      <c r="K3694" s="113">
        <f t="shared" si="116"/>
        <v>0</v>
      </c>
    </row>
    <row r="3695" spans="10:11" x14ac:dyDescent="0.3">
      <c r="J3695" s="113" t="str">
        <f t="shared" si="115"/>
        <v/>
      </c>
      <c r="K3695" s="113">
        <f t="shared" si="116"/>
        <v>0</v>
      </c>
    </row>
    <row r="3696" spans="10:11" x14ac:dyDescent="0.3">
      <c r="J3696" s="113" t="str">
        <f t="shared" si="115"/>
        <v/>
      </c>
      <c r="K3696" s="113">
        <f t="shared" si="116"/>
        <v>0</v>
      </c>
    </row>
    <row r="3697" spans="10:11" x14ac:dyDescent="0.3">
      <c r="J3697" s="113" t="str">
        <f t="shared" si="115"/>
        <v/>
      </c>
      <c r="K3697" s="113">
        <f t="shared" si="116"/>
        <v>0</v>
      </c>
    </row>
    <row r="3698" spans="10:11" x14ac:dyDescent="0.3">
      <c r="J3698" s="113" t="str">
        <f t="shared" si="115"/>
        <v/>
      </c>
      <c r="K3698" s="113">
        <f t="shared" si="116"/>
        <v>0</v>
      </c>
    </row>
    <row r="3699" spans="10:11" x14ac:dyDescent="0.3">
      <c r="J3699" s="113" t="str">
        <f t="shared" si="115"/>
        <v/>
      </c>
      <c r="K3699" s="113">
        <f t="shared" si="116"/>
        <v>0</v>
      </c>
    </row>
    <row r="3700" spans="10:11" x14ac:dyDescent="0.3">
      <c r="J3700" s="113" t="str">
        <f t="shared" si="115"/>
        <v/>
      </c>
      <c r="K3700" s="113">
        <f t="shared" si="116"/>
        <v>0</v>
      </c>
    </row>
    <row r="3701" spans="10:11" x14ac:dyDescent="0.3">
      <c r="J3701" s="113" t="str">
        <f t="shared" si="115"/>
        <v/>
      </c>
      <c r="K3701" s="113">
        <f t="shared" si="116"/>
        <v>0</v>
      </c>
    </row>
    <row r="3702" spans="10:11" x14ac:dyDescent="0.3">
      <c r="J3702" s="113" t="str">
        <f t="shared" si="115"/>
        <v/>
      </c>
      <c r="K3702" s="113">
        <f t="shared" si="116"/>
        <v>0</v>
      </c>
    </row>
    <row r="3703" spans="10:11" x14ac:dyDescent="0.3">
      <c r="J3703" s="113" t="str">
        <f t="shared" si="115"/>
        <v/>
      </c>
      <c r="K3703" s="113">
        <f t="shared" si="116"/>
        <v>0</v>
      </c>
    </row>
    <row r="3704" spans="10:11" x14ac:dyDescent="0.3">
      <c r="J3704" s="113" t="str">
        <f t="shared" si="115"/>
        <v/>
      </c>
      <c r="K3704" s="113">
        <f t="shared" si="116"/>
        <v>0</v>
      </c>
    </row>
    <row r="3705" spans="10:11" x14ac:dyDescent="0.3">
      <c r="J3705" s="113" t="str">
        <f t="shared" si="115"/>
        <v/>
      </c>
      <c r="K3705" s="113">
        <f t="shared" si="116"/>
        <v>0</v>
      </c>
    </row>
    <row r="3706" spans="10:11" x14ac:dyDescent="0.3">
      <c r="J3706" s="113" t="str">
        <f t="shared" si="115"/>
        <v/>
      </c>
      <c r="K3706" s="113">
        <f t="shared" si="116"/>
        <v>0</v>
      </c>
    </row>
    <row r="3707" spans="10:11" x14ac:dyDescent="0.3">
      <c r="J3707" s="113" t="str">
        <f t="shared" si="115"/>
        <v/>
      </c>
      <c r="K3707" s="113">
        <f t="shared" si="116"/>
        <v>0</v>
      </c>
    </row>
    <row r="3708" spans="10:11" x14ac:dyDescent="0.3">
      <c r="J3708" s="113" t="str">
        <f t="shared" si="115"/>
        <v/>
      </c>
      <c r="K3708" s="113">
        <f t="shared" si="116"/>
        <v>0</v>
      </c>
    </row>
    <row r="3709" spans="10:11" x14ac:dyDescent="0.3">
      <c r="J3709" s="113" t="str">
        <f t="shared" si="115"/>
        <v/>
      </c>
      <c r="K3709" s="113">
        <f t="shared" si="116"/>
        <v>0</v>
      </c>
    </row>
    <row r="3710" spans="10:11" x14ac:dyDescent="0.3">
      <c r="J3710" s="113" t="str">
        <f t="shared" si="115"/>
        <v/>
      </c>
      <c r="K3710" s="113">
        <f t="shared" si="116"/>
        <v>0</v>
      </c>
    </row>
    <row r="3711" spans="10:11" x14ac:dyDescent="0.3">
      <c r="J3711" s="113" t="str">
        <f t="shared" si="115"/>
        <v/>
      </c>
      <c r="K3711" s="113">
        <f t="shared" si="116"/>
        <v>0</v>
      </c>
    </row>
    <row r="3712" spans="10:11" x14ac:dyDescent="0.3">
      <c r="J3712" s="113" t="str">
        <f t="shared" si="115"/>
        <v/>
      </c>
      <c r="K3712" s="113">
        <f t="shared" si="116"/>
        <v>0</v>
      </c>
    </row>
    <row r="3713" spans="10:11" x14ac:dyDescent="0.3">
      <c r="J3713" s="113" t="str">
        <f t="shared" si="115"/>
        <v/>
      </c>
      <c r="K3713" s="113">
        <f t="shared" si="116"/>
        <v>0</v>
      </c>
    </row>
    <row r="3714" spans="10:11" x14ac:dyDescent="0.3">
      <c r="J3714" s="113" t="str">
        <f t="shared" si="115"/>
        <v/>
      </c>
      <c r="K3714" s="113">
        <f t="shared" si="116"/>
        <v>0</v>
      </c>
    </row>
    <row r="3715" spans="10:11" x14ac:dyDescent="0.3">
      <c r="J3715" s="113" t="str">
        <f t="shared" si="115"/>
        <v/>
      </c>
      <c r="K3715" s="113">
        <f t="shared" si="116"/>
        <v>0</v>
      </c>
    </row>
    <row r="3716" spans="10:11" x14ac:dyDescent="0.3">
      <c r="J3716" s="113" t="str">
        <f t="shared" si="115"/>
        <v/>
      </c>
      <c r="K3716" s="113">
        <f t="shared" si="116"/>
        <v>0</v>
      </c>
    </row>
    <row r="3717" spans="10:11" x14ac:dyDescent="0.3">
      <c r="J3717" s="113" t="str">
        <f t="shared" ref="J3717:J3780" si="117">RIGHT(B3717,9)</f>
        <v/>
      </c>
      <c r="K3717" s="113">
        <f t="shared" ref="K3717:K3780" si="118">A3717</f>
        <v>0</v>
      </c>
    </row>
    <row r="3718" spans="10:11" x14ac:dyDescent="0.3">
      <c r="J3718" s="113" t="str">
        <f t="shared" si="117"/>
        <v/>
      </c>
      <c r="K3718" s="113">
        <f t="shared" si="118"/>
        <v>0</v>
      </c>
    </row>
    <row r="3719" spans="10:11" x14ac:dyDescent="0.3">
      <c r="J3719" s="113" t="str">
        <f t="shared" si="117"/>
        <v/>
      </c>
      <c r="K3719" s="113">
        <f t="shared" si="118"/>
        <v>0</v>
      </c>
    </row>
    <row r="3720" spans="10:11" x14ac:dyDescent="0.3">
      <c r="J3720" s="113" t="str">
        <f t="shared" si="117"/>
        <v/>
      </c>
      <c r="K3720" s="113">
        <f t="shared" si="118"/>
        <v>0</v>
      </c>
    </row>
    <row r="3721" spans="10:11" x14ac:dyDescent="0.3">
      <c r="J3721" s="113" t="str">
        <f t="shared" si="117"/>
        <v/>
      </c>
      <c r="K3721" s="113">
        <f t="shared" si="118"/>
        <v>0</v>
      </c>
    </row>
    <row r="3722" spans="10:11" x14ac:dyDescent="0.3">
      <c r="J3722" s="113" t="str">
        <f t="shared" si="117"/>
        <v/>
      </c>
      <c r="K3722" s="113">
        <f t="shared" si="118"/>
        <v>0</v>
      </c>
    </row>
    <row r="3723" spans="10:11" x14ac:dyDescent="0.3">
      <c r="J3723" s="113" t="str">
        <f t="shared" si="117"/>
        <v/>
      </c>
      <c r="K3723" s="113">
        <f t="shared" si="118"/>
        <v>0</v>
      </c>
    </row>
    <row r="3724" spans="10:11" x14ac:dyDescent="0.3">
      <c r="J3724" s="113" t="str">
        <f t="shared" si="117"/>
        <v/>
      </c>
      <c r="K3724" s="113">
        <f t="shared" si="118"/>
        <v>0</v>
      </c>
    </row>
    <row r="3725" spans="10:11" x14ac:dyDescent="0.3">
      <c r="J3725" s="113" t="str">
        <f t="shared" si="117"/>
        <v/>
      </c>
      <c r="K3725" s="113">
        <f t="shared" si="118"/>
        <v>0</v>
      </c>
    </row>
    <row r="3726" spans="10:11" x14ac:dyDescent="0.3">
      <c r="J3726" s="113" t="str">
        <f t="shared" si="117"/>
        <v/>
      </c>
      <c r="K3726" s="113">
        <f t="shared" si="118"/>
        <v>0</v>
      </c>
    </row>
    <row r="3727" spans="10:11" x14ac:dyDescent="0.3">
      <c r="J3727" s="113" t="str">
        <f t="shared" si="117"/>
        <v/>
      </c>
      <c r="K3727" s="113">
        <f t="shared" si="118"/>
        <v>0</v>
      </c>
    </row>
    <row r="3728" spans="10:11" x14ac:dyDescent="0.3">
      <c r="J3728" s="113" t="str">
        <f t="shared" si="117"/>
        <v/>
      </c>
      <c r="K3728" s="113">
        <f t="shared" si="118"/>
        <v>0</v>
      </c>
    </row>
    <row r="3729" spans="10:11" x14ac:dyDescent="0.3">
      <c r="J3729" s="113" t="str">
        <f t="shared" si="117"/>
        <v/>
      </c>
      <c r="K3729" s="113">
        <f t="shared" si="118"/>
        <v>0</v>
      </c>
    </row>
    <row r="3730" spans="10:11" x14ac:dyDescent="0.3">
      <c r="J3730" s="113" t="str">
        <f t="shared" si="117"/>
        <v/>
      </c>
      <c r="K3730" s="113">
        <f t="shared" si="118"/>
        <v>0</v>
      </c>
    </row>
    <row r="3731" spans="10:11" x14ac:dyDescent="0.3">
      <c r="J3731" s="113" t="str">
        <f t="shared" si="117"/>
        <v/>
      </c>
      <c r="K3731" s="113">
        <f t="shared" si="118"/>
        <v>0</v>
      </c>
    </row>
    <row r="3732" spans="10:11" x14ac:dyDescent="0.3">
      <c r="J3732" s="113" t="str">
        <f t="shared" si="117"/>
        <v/>
      </c>
      <c r="K3732" s="113">
        <f t="shared" si="118"/>
        <v>0</v>
      </c>
    </row>
    <row r="3733" spans="10:11" x14ac:dyDescent="0.3">
      <c r="J3733" s="113" t="str">
        <f t="shared" si="117"/>
        <v/>
      </c>
      <c r="K3733" s="113">
        <f t="shared" si="118"/>
        <v>0</v>
      </c>
    </row>
    <row r="3734" spans="10:11" x14ac:dyDescent="0.3">
      <c r="J3734" s="113" t="str">
        <f t="shared" si="117"/>
        <v/>
      </c>
      <c r="K3734" s="113">
        <f t="shared" si="118"/>
        <v>0</v>
      </c>
    </row>
    <row r="3735" spans="10:11" x14ac:dyDescent="0.3">
      <c r="J3735" s="113" t="str">
        <f t="shared" si="117"/>
        <v/>
      </c>
      <c r="K3735" s="113">
        <f t="shared" si="118"/>
        <v>0</v>
      </c>
    </row>
    <row r="3736" spans="10:11" x14ac:dyDescent="0.3">
      <c r="J3736" s="113" t="str">
        <f t="shared" si="117"/>
        <v/>
      </c>
      <c r="K3736" s="113">
        <f t="shared" si="118"/>
        <v>0</v>
      </c>
    </row>
    <row r="3737" spans="10:11" x14ac:dyDescent="0.3">
      <c r="J3737" s="113" t="str">
        <f t="shared" si="117"/>
        <v/>
      </c>
      <c r="K3737" s="113">
        <f t="shared" si="118"/>
        <v>0</v>
      </c>
    </row>
    <row r="3738" spans="10:11" x14ac:dyDescent="0.3">
      <c r="J3738" s="113" t="str">
        <f t="shared" si="117"/>
        <v/>
      </c>
      <c r="K3738" s="113">
        <f t="shared" si="118"/>
        <v>0</v>
      </c>
    </row>
    <row r="3739" spans="10:11" x14ac:dyDescent="0.3">
      <c r="J3739" s="113" t="str">
        <f t="shared" si="117"/>
        <v/>
      </c>
      <c r="K3739" s="113">
        <f t="shared" si="118"/>
        <v>0</v>
      </c>
    </row>
    <row r="3740" spans="10:11" x14ac:dyDescent="0.3">
      <c r="J3740" s="113" t="str">
        <f t="shared" si="117"/>
        <v/>
      </c>
      <c r="K3740" s="113">
        <f t="shared" si="118"/>
        <v>0</v>
      </c>
    </row>
    <row r="3741" spans="10:11" x14ac:dyDescent="0.3">
      <c r="J3741" s="113" t="str">
        <f t="shared" si="117"/>
        <v/>
      </c>
      <c r="K3741" s="113">
        <f t="shared" si="118"/>
        <v>0</v>
      </c>
    </row>
    <row r="3742" spans="10:11" x14ac:dyDescent="0.3">
      <c r="J3742" s="113" t="str">
        <f t="shared" si="117"/>
        <v/>
      </c>
      <c r="K3742" s="113">
        <f t="shared" si="118"/>
        <v>0</v>
      </c>
    </row>
    <row r="3743" spans="10:11" x14ac:dyDescent="0.3">
      <c r="J3743" s="113" t="str">
        <f t="shared" si="117"/>
        <v/>
      </c>
      <c r="K3743" s="113">
        <f t="shared" si="118"/>
        <v>0</v>
      </c>
    </row>
    <row r="3744" spans="10:11" x14ac:dyDescent="0.3">
      <c r="J3744" s="113" t="str">
        <f t="shared" si="117"/>
        <v/>
      </c>
      <c r="K3744" s="113">
        <f t="shared" si="118"/>
        <v>0</v>
      </c>
    </row>
    <row r="3745" spans="10:11" x14ac:dyDescent="0.3">
      <c r="J3745" s="113" t="str">
        <f t="shared" si="117"/>
        <v/>
      </c>
      <c r="K3745" s="113">
        <f t="shared" si="118"/>
        <v>0</v>
      </c>
    </row>
    <row r="3746" spans="10:11" x14ac:dyDescent="0.3">
      <c r="J3746" s="113" t="str">
        <f t="shared" si="117"/>
        <v/>
      </c>
      <c r="K3746" s="113">
        <f t="shared" si="118"/>
        <v>0</v>
      </c>
    </row>
    <row r="3747" spans="10:11" x14ac:dyDescent="0.3">
      <c r="J3747" s="113" t="str">
        <f t="shared" si="117"/>
        <v/>
      </c>
      <c r="K3747" s="113">
        <f t="shared" si="118"/>
        <v>0</v>
      </c>
    </row>
    <row r="3748" spans="10:11" x14ac:dyDescent="0.3">
      <c r="J3748" s="113" t="str">
        <f t="shared" si="117"/>
        <v/>
      </c>
      <c r="K3748" s="113">
        <f t="shared" si="118"/>
        <v>0</v>
      </c>
    </row>
    <row r="3749" spans="10:11" x14ac:dyDescent="0.3">
      <c r="J3749" s="113" t="str">
        <f t="shared" si="117"/>
        <v/>
      </c>
      <c r="K3749" s="113">
        <f t="shared" si="118"/>
        <v>0</v>
      </c>
    </row>
    <row r="3750" spans="10:11" x14ac:dyDescent="0.3">
      <c r="J3750" s="113" t="str">
        <f t="shared" si="117"/>
        <v/>
      </c>
      <c r="K3750" s="113">
        <f t="shared" si="118"/>
        <v>0</v>
      </c>
    </row>
    <row r="3751" spans="10:11" x14ac:dyDescent="0.3">
      <c r="J3751" s="113" t="str">
        <f t="shared" si="117"/>
        <v/>
      </c>
      <c r="K3751" s="113">
        <f t="shared" si="118"/>
        <v>0</v>
      </c>
    </row>
    <row r="3752" spans="10:11" x14ac:dyDescent="0.3">
      <c r="J3752" s="113" t="str">
        <f t="shared" si="117"/>
        <v/>
      </c>
      <c r="K3752" s="113">
        <f t="shared" si="118"/>
        <v>0</v>
      </c>
    </row>
    <row r="3753" spans="10:11" x14ac:dyDescent="0.3">
      <c r="J3753" s="113" t="str">
        <f t="shared" si="117"/>
        <v/>
      </c>
      <c r="K3753" s="113">
        <f t="shared" si="118"/>
        <v>0</v>
      </c>
    </row>
    <row r="3754" spans="10:11" x14ac:dyDescent="0.3">
      <c r="J3754" s="113" t="str">
        <f t="shared" si="117"/>
        <v/>
      </c>
      <c r="K3754" s="113">
        <f t="shared" si="118"/>
        <v>0</v>
      </c>
    </row>
    <row r="3755" spans="10:11" x14ac:dyDescent="0.3">
      <c r="J3755" s="113" t="str">
        <f t="shared" si="117"/>
        <v/>
      </c>
      <c r="K3755" s="113">
        <f t="shared" si="118"/>
        <v>0</v>
      </c>
    </row>
    <row r="3756" spans="10:11" x14ac:dyDescent="0.3">
      <c r="J3756" s="113" t="str">
        <f t="shared" si="117"/>
        <v/>
      </c>
      <c r="K3756" s="113">
        <f t="shared" si="118"/>
        <v>0</v>
      </c>
    </row>
    <row r="3757" spans="10:11" x14ac:dyDescent="0.3">
      <c r="J3757" s="113" t="str">
        <f t="shared" si="117"/>
        <v/>
      </c>
      <c r="K3757" s="113">
        <f t="shared" si="118"/>
        <v>0</v>
      </c>
    </row>
    <row r="3758" spans="10:11" x14ac:dyDescent="0.3">
      <c r="J3758" s="113" t="str">
        <f t="shared" si="117"/>
        <v/>
      </c>
      <c r="K3758" s="113">
        <f t="shared" si="118"/>
        <v>0</v>
      </c>
    </row>
    <row r="3759" spans="10:11" x14ac:dyDescent="0.3">
      <c r="J3759" s="113" t="str">
        <f t="shared" si="117"/>
        <v/>
      </c>
      <c r="K3759" s="113">
        <f t="shared" si="118"/>
        <v>0</v>
      </c>
    </row>
    <row r="3760" spans="10:11" x14ac:dyDescent="0.3">
      <c r="J3760" s="113" t="str">
        <f t="shared" si="117"/>
        <v/>
      </c>
      <c r="K3760" s="113">
        <f t="shared" si="118"/>
        <v>0</v>
      </c>
    </row>
    <row r="3761" spans="10:11" x14ac:dyDescent="0.3">
      <c r="J3761" s="113" t="str">
        <f t="shared" si="117"/>
        <v/>
      </c>
      <c r="K3761" s="113">
        <f t="shared" si="118"/>
        <v>0</v>
      </c>
    </row>
    <row r="3762" spans="10:11" x14ac:dyDescent="0.3">
      <c r="J3762" s="113" t="str">
        <f t="shared" si="117"/>
        <v/>
      </c>
      <c r="K3762" s="113">
        <f t="shared" si="118"/>
        <v>0</v>
      </c>
    </row>
    <row r="3763" spans="10:11" x14ac:dyDescent="0.3">
      <c r="J3763" s="113" t="str">
        <f t="shared" si="117"/>
        <v/>
      </c>
      <c r="K3763" s="113">
        <f t="shared" si="118"/>
        <v>0</v>
      </c>
    </row>
    <row r="3764" spans="10:11" x14ac:dyDescent="0.3">
      <c r="J3764" s="113" t="str">
        <f t="shared" si="117"/>
        <v/>
      </c>
      <c r="K3764" s="113">
        <f t="shared" si="118"/>
        <v>0</v>
      </c>
    </row>
    <row r="3765" spans="10:11" x14ac:dyDescent="0.3">
      <c r="J3765" s="113" t="str">
        <f t="shared" si="117"/>
        <v/>
      </c>
      <c r="K3765" s="113">
        <f t="shared" si="118"/>
        <v>0</v>
      </c>
    </row>
    <row r="3766" spans="10:11" x14ac:dyDescent="0.3">
      <c r="J3766" s="113" t="str">
        <f t="shared" si="117"/>
        <v/>
      </c>
      <c r="K3766" s="113">
        <f t="shared" si="118"/>
        <v>0</v>
      </c>
    </row>
    <row r="3767" spans="10:11" x14ac:dyDescent="0.3">
      <c r="J3767" s="113" t="str">
        <f t="shared" si="117"/>
        <v/>
      </c>
      <c r="K3767" s="113">
        <f t="shared" si="118"/>
        <v>0</v>
      </c>
    </row>
    <row r="3768" spans="10:11" x14ac:dyDescent="0.3">
      <c r="J3768" s="113" t="str">
        <f t="shared" si="117"/>
        <v/>
      </c>
      <c r="K3768" s="113">
        <f t="shared" si="118"/>
        <v>0</v>
      </c>
    </row>
    <row r="3769" spans="10:11" x14ac:dyDescent="0.3">
      <c r="J3769" s="113" t="str">
        <f t="shared" si="117"/>
        <v/>
      </c>
      <c r="K3769" s="113">
        <f t="shared" si="118"/>
        <v>0</v>
      </c>
    </row>
    <row r="3770" spans="10:11" x14ac:dyDescent="0.3">
      <c r="J3770" s="113" t="str">
        <f t="shared" si="117"/>
        <v/>
      </c>
      <c r="K3770" s="113">
        <f t="shared" si="118"/>
        <v>0</v>
      </c>
    </row>
    <row r="3771" spans="10:11" x14ac:dyDescent="0.3">
      <c r="J3771" s="113" t="str">
        <f t="shared" si="117"/>
        <v/>
      </c>
      <c r="K3771" s="113">
        <f t="shared" si="118"/>
        <v>0</v>
      </c>
    </row>
    <row r="3772" spans="10:11" x14ac:dyDescent="0.3">
      <c r="J3772" s="113" t="str">
        <f t="shared" si="117"/>
        <v/>
      </c>
      <c r="K3772" s="113">
        <f t="shared" si="118"/>
        <v>0</v>
      </c>
    </row>
    <row r="3773" spans="10:11" x14ac:dyDescent="0.3">
      <c r="J3773" s="113" t="str">
        <f t="shared" si="117"/>
        <v/>
      </c>
      <c r="K3773" s="113">
        <f t="shared" si="118"/>
        <v>0</v>
      </c>
    </row>
    <row r="3774" spans="10:11" x14ac:dyDescent="0.3">
      <c r="J3774" s="113" t="str">
        <f t="shared" si="117"/>
        <v/>
      </c>
      <c r="K3774" s="113">
        <f t="shared" si="118"/>
        <v>0</v>
      </c>
    </row>
    <row r="3775" spans="10:11" x14ac:dyDescent="0.3">
      <c r="J3775" s="113" t="str">
        <f t="shared" si="117"/>
        <v/>
      </c>
      <c r="K3775" s="113">
        <f t="shared" si="118"/>
        <v>0</v>
      </c>
    </row>
    <row r="3776" spans="10:11" x14ac:dyDescent="0.3">
      <c r="J3776" s="113" t="str">
        <f t="shared" si="117"/>
        <v/>
      </c>
      <c r="K3776" s="113">
        <f t="shared" si="118"/>
        <v>0</v>
      </c>
    </row>
    <row r="3777" spans="10:11" x14ac:dyDescent="0.3">
      <c r="J3777" s="113" t="str">
        <f t="shared" si="117"/>
        <v/>
      </c>
      <c r="K3777" s="113">
        <f t="shared" si="118"/>
        <v>0</v>
      </c>
    </row>
    <row r="3778" spans="10:11" x14ac:dyDescent="0.3">
      <c r="J3778" s="113" t="str">
        <f t="shared" si="117"/>
        <v/>
      </c>
      <c r="K3778" s="113">
        <f t="shared" si="118"/>
        <v>0</v>
      </c>
    </row>
    <row r="3779" spans="10:11" x14ac:dyDescent="0.3">
      <c r="J3779" s="113" t="str">
        <f t="shared" si="117"/>
        <v/>
      </c>
      <c r="K3779" s="113">
        <f t="shared" si="118"/>
        <v>0</v>
      </c>
    </row>
    <row r="3780" spans="10:11" x14ac:dyDescent="0.3">
      <c r="J3780" s="113" t="str">
        <f t="shared" si="117"/>
        <v/>
      </c>
      <c r="K3780" s="113">
        <f t="shared" si="118"/>
        <v>0</v>
      </c>
    </row>
    <row r="3781" spans="10:11" x14ac:dyDescent="0.3">
      <c r="J3781" s="113" t="str">
        <f t="shared" ref="J3781:J3844" si="119">RIGHT(B3781,9)</f>
        <v/>
      </c>
      <c r="K3781" s="113">
        <f t="shared" ref="K3781:K3844" si="120">A3781</f>
        <v>0</v>
      </c>
    </row>
    <row r="3782" spans="10:11" x14ac:dyDescent="0.3">
      <c r="J3782" s="113" t="str">
        <f t="shared" si="119"/>
        <v/>
      </c>
      <c r="K3782" s="113">
        <f t="shared" si="120"/>
        <v>0</v>
      </c>
    </row>
    <row r="3783" spans="10:11" x14ac:dyDescent="0.3">
      <c r="J3783" s="113" t="str">
        <f t="shared" si="119"/>
        <v/>
      </c>
      <c r="K3783" s="113">
        <f t="shared" si="120"/>
        <v>0</v>
      </c>
    </row>
    <row r="3784" spans="10:11" x14ac:dyDescent="0.3">
      <c r="J3784" s="113" t="str">
        <f t="shared" si="119"/>
        <v/>
      </c>
      <c r="K3784" s="113">
        <f t="shared" si="120"/>
        <v>0</v>
      </c>
    </row>
    <row r="3785" spans="10:11" x14ac:dyDescent="0.3">
      <c r="J3785" s="113" t="str">
        <f t="shared" si="119"/>
        <v/>
      </c>
      <c r="K3785" s="113">
        <f t="shared" si="120"/>
        <v>0</v>
      </c>
    </row>
    <row r="3786" spans="10:11" x14ac:dyDescent="0.3">
      <c r="J3786" s="113" t="str">
        <f t="shared" si="119"/>
        <v/>
      </c>
      <c r="K3786" s="113">
        <f t="shared" si="120"/>
        <v>0</v>
      </c>
    </row>
    <row r="3787" spans="10:11" x14ac:dyDescent="0.3">
      <c r="J3787" s="113" t="str">
        <f t="shared" si="119"/>
        <v/>
      </c>
      <c r="K3787" s="113">
        <f t="shared" si="120"/>
        <v>0</v>
      </c>
    </row>
    <row r="3788" spans="10:11" x14ac:dyDescent="0.3">
      <c r="J3788" s="113" t="str">
        <f t="shared" si="119"/>
        <v/>
      </c>
      <c r="K3788" s="113">
        <f t="shared" si="120"/>
        <v>0</v>
      </c>
    </row>
    <row r="3789" spans="10:11" x14ac:dyDescent="0.3">
      <c r="J3789" s="113" t="str">
        <f t="shared" si="119"/>
        <v/>
      </c>
      <c r="K3789" s="113">
        <f t="shared" si="120"/>
        <v>0</v>
      </c>
    </row>
    <row r="3790" spans="10:11" x14ac:dyDescent="0.3">
      <c r="J3790" s="113" t="str">
        <f t="shared" si="119"/>
        <v/>
      </c>
      <c r="K3790" s="113">
        <f t="shared" si="120"/>
        <v>0</v>
      </c>
    </row>
    <row r="3791" spans="10:11" x14ac:dyDescent="0.3">
      <c r="J3791" s="113" t="str">
        <f t="shared" si="119"/>
        <v/>
      </c>
      <c r="K3791" s="113">
        <f t="shared" si="120"/>
        <v>0</v>
      </c>
    </row>
    <row r="3792" spans="10:11" x14ac:dyDescent="0.3">
      <c r="J3792" s="113" t="str">
        <f t="shared" si="119"/>
        <v/>
      </c>
      <c r="K3792" s="113">
        <f t="shared" si="120"/>
        <v>0</v>
      </c>
    </row>
    <row r="3793" spans="10:11" x14ac:dyDescent="0.3">
      <c r="J3793" s="113" t="str">
        <f t="shared" si="119"/>
        <v/>
      </c>
      <c r="K3793" s="113">
        <f t="shared" si="120"/>
        <v>0</v>
      </c>
    </row>
    <row r="3794" spans="10:11" x14ac:dyDescent="0.3">
      <c r="J3794" s="113" t="str">
        <f t="shared" si="119"/>
        <v/>
      </c>
      <c r="K3794" s="113">
        <f t="shared" si="120"/>
        <v>0</v>
      </c>
    </row>
    <row r="3795" spans="10:11" x14ac:dyDescent="0.3">
      <c r="J3795" s="113" t="str">
        <f t="shared" si="119"/>
        <v/>
      </c>
      <c r="K3795" s="113">
        <f t="shared" si="120"/>
        <v>0</v>
      </c>
    </row>
    <row r="3796" spans="10:11" x14ac:dyDescent="0.3">
      <c r="J3796" s="113" t="str">
        <f t="shared" si="119"/>
        <v/>
      </c>
      <c r="K3796" s="113">
        <f t="shared" si="120"/>
        <v>0</v>
      </c>
    </row>
    <row r="3797" spans="10:11" x14ac:dyDescent="0.3">
      <c r="J3797" s="113" t="str">
        <f t="shared" si="119"/>
        <v/>
      </c>
      <c r="K3797" s="113">
        <f t="shared" si="120"/>
        <v>0</v>
      </c>
    </row>
    <row r="3798" spans="10:11" x14ac:dyDescent="0.3">
      <c r="J3798" s="113" t="str">
        <f t="shared" si="119"/>
        <v/>
      </c>
      <c r="K3798" s="113">
        <f t="shared" si="120"/>
        <v>0</v>
      </c>
    </row>
    <row r="3799" spans="10:11" x14ac:dyDescent="0.3">
      <c r="J3799" s="113" t="str">
        <f t="shared" si="119"/>
        <v/>
      </c>
      <c r="K3799" s="113">
        <f t="shared" si="120"/>
        <v>0</v>
      </c>
    </row>
    <row r="3800" spans="10:11" x14ac:dyDescent="0.3">
      <c r="J3800" s="113" t="str">
        <f t="shared" si="119"/>
        <v/>
      </c>
      <c r="K3800" s="113">
        <f t="shared" si="120"/>
        <v>0</v>
      </c>
    </row>
    <row r="3801" spans="10:11" x14ac:dyDescent="0.3">
      <c r="J3801" s="113" t="str">
        <f t="shared" si="119"/>
        <v/>
      </c>
      <c r="K3801" s="113">
        <f t="shared" si="120"/>
        <v>0</v>
      </c>
    </row>
    <row r="3802" spans="10:11" x14ac:dyDescent="0.3">
      <c r="J3802" s="113" t="str">
        <f t="shared" si="119"/>
        <v/>
      </c>
      <c r="K3802" s="113">
        <f t="shared" si="120"/>
        <v>0</v>
      </c>
    </row>
    <row r="3803" spans="10:11" x14ac:dyDescent="0.3">
      <c r="J3803" s="113" t="str">
        <f t="shared" si="119"/>
        <v/>
      </c>
      <c r="K3803" s="113">
        <f t="shared" si="120"/>
        <v>0</v>
      </c>
    </row>
    <row r="3804" spans="10:11" x14ac:dyDescent="0.3">
      <c r="J3804" s="113" t="str">
        <f t="shared" si="119"/>
        <v/>
      </c>
      <c r="K3804" s="113">
        <f t="shared" si="120"/>
        <v>0</v>
      </c>
    </row>
    <row r="3805" spans="10:11" x14ac:dyDescent="0.3">
      <c r="J3805" s="113" t="str">
        <f t="shared" si="119"/>
        <v/>
      </c>
      <c r="K3805" s="113">
        <f t="shared" si="120"/>
        <v>0</v>
      </c>
    </row>
    <row r="3806" spans="10:11" x14ac:dyDescent="0.3">
      <c r="J3806" s="113" t="str">
        <f t="shared" si="119"/>
        <v/>
      </c>
      <c r="K3806" s="113">
        <f t="shared" si="120"/>
        <v>0</v>
      </c>
    </row>
    <row r="3807" spans="10:11" x14ac:dyDescent="0.3">
      <c r="J3807" s="113" t="str">
        <f t="shared" si="119"/>
        <v/>
      </c>
      <c r="K3807" s="113">
        <f t="shared" si="120"/>
        <v>0</v>
      </c>
    </row>
    <row r="3808" spans="10:11" x14ac:dyDescent="0.3">
      <c r="J3808" s="113" t="str">
        <f t="shared" si="119"/>
        <v/>
      </c>
      <c r="K3808" s="113">
        <f t="shared" si="120"/>
        <v>0</v>
      </c>
    </row>
    <row r="3809" spans="10:11" x14ac:dyDescent="0.3">
      <c r="J3809" s="113" t="str">
        <f t="shared" si="119"/>
        <v/>
      </c>
      <c r="K3809" s="113">
        <f t="shared" si="120"/>
        <v>0</v>
      </c>
    </row>
    <row r="3810" spans="10:11" x14ac:dyDescent="0.3">
      <c r="J3810" s="113" t="str">
        <f t="shared" si="119"/>
        <v/>
      </c>
      <c r="K3810" s="113">
        <f t="shared" si="120"/>
        <v>0</v>
      </c>
    </row>
    <row r="3811" spans="10:11" x14ac:dyDescent="0.3">
      <c r="J3811" s="113" t="str">
        <f t="shared" si="119"/>
        <v/>
      </c>
      <c r="K3811" s="113">
        <f t="shared" si="120"/>
        <v>0</v>
      </c>
    </row>
    <row r="3812" spans="10:11" x14ac:dyDescent="0.3">
      <c r="J3812" s="113" t="str">
        <f t="shared" si="119"/>
        <v/>
      </c>
      <c r="K3812" s="113">
        <f t="shared" si="120"/>
        <v>0</v>
      </c>
    </row>
    <row r="3813" spans="10:11" x14ac:dyDescent="0.3">
      <c r="J3813" s="113" t="str">
        <f t="shared" si="119"/>
        <v/>
      </c>
      <c r="K3813" s="113">
        <f t="shared" si="120"/>
        <v>0</v>
      </c>
    </row>
    <row r="3814" spans="10:11" x14ac:dyDescent="0.3">
      <c r="J3814" s="113" t="str">
        <f t="shared" si="119"/>
        <v/>
      </c>
      <c r="K3814" s="113">
        <f t="shared" si="120"/>
        <v>0</v>
      </c>
    </row>
    <row r="3815" spans="10:11" x14ac:dyDescent="0.3">
      <c r="J3815" s="113" t="str">
        <f t="shared" si="119"/>
        <v/>
      </c>
      <c r="K3815" s="113">
        <f t="shared" si="120"/>
        <v>0</v>
      </c>
    </row>
    <row r="3816" spans="10:11" x14ac:dyDescent="0.3">
      <c r="J3816" s="113" t="str">
        <f t="shared" si="119"/>
        <v/>
      </c>
      <c r="K3816" s="113">
        <f t="shared" si="120"/>
        <v>0</v>
      </c>
    </row>
    <row r="3817" spans="10:11" x14ac:dyDescent="0.3">
      <c r="J3817" s="113" t="str">
        <f t="shared" si="119"/>
        <v/>
      </c>
      <c r="K3817" s="113">
        <f t="shared" si="120"/>
        <v>0</v>
      </c>
    </row>
    <row r="3818" spans="10:11" x14ac:dyDescent="0.3">
      <c r="J3818" s="113" t="str">
        <f t="shared" si="119"/>
        <v/>
      </c>
      <c r="K3818" s="113">
        <f t="shared" si="120"/>
        <v>0</v>
      </c>
    </row>
    <row r="3819" spans="10:11" x14ac:dyDescent="0.3">
      <c r="J3819" s="113" t="str">
        <f t="shared" si="119"/>
        <v/>
      </c>
      <c r="K3819" s="113">
        <f t="shared" si="120"/>
        <v>0</v>
      </c>
    </row>
    <row r="3820" spans="10:11" x14ac:dyDescent="0.3">
      <c r="J3820" s="113" t="str">
        <f t="shared" si="119"/>
        <v/>
      </c>
      <c r="K3820" s="113">
        <f t="shared" si="120"/>
        <v>0</v>
      </c>
    </row>
    <row r="3821" spans="10:11" x14ac:dyDescent="0.3">
      <c r="J3821" s="113" t="str">
        <f t="shared" si="119"/>
        <v/>
      </c>
      <c r="K3821" s="113">
        <f t="shared" si="120"/>
        <v>0</v>
      </c>
    </row>
    <row r="3822" spans="10:11" x14ac:dyDescent="0.3">
      <c r="J3822" s="113" t="str">
        <f t="shared" si="119"/>
        <v/>
      </c>
      <c r="K3822" s="113">
        <f t="shared" si="120"/>
        <v>0</v>
      </c>
    </row>
    <row r="3823" spans="10:11" x14ac:dyDescent="0.3">
      <c r="J3823" s="113" t="str">
        <f t="shared" si="119"/>
        <v/>
      </c>
      <c r="K3823" s="113">
        <f t="shared" si="120"/>
        <v>0</v>
      </c>
    </row>
    <row r="3824" spans="10:11" x14ac:dyDescent="0.3">
      <c r="J3824" s="113" t="str">
        <f t="shared" si="119"/>
        <v/>
      </c>
      <c r="K3824" s="113">
        <f t="shared" si="120"/>
        <v>0</v>
      </c>
    </row>
    <row r="3825" spans="10:11" x14ac:dyDescent="0.3">
      <c r="J3825" s="113" t="str">
        <f t="shared" si="119"/>
        <v/>
      </c>
      <c r="K3825" s="113">
        <f t="shared" si="120"/>
        <v>0</v>
      </c>
    </row>
    <row r="3826" spans="10:11" x14ac:dyDescent="0.3">
      <c r="J3826" s="113" t="str">
        <f t="shared" si="119"/>
        <v/>
      </c>
      <c r="K3826" s="113">
        <f t="shared" si="120"/>
        <v>0</v>
      </c>
    </row>
    <row r="3827" spans="10:11" x14ac:dyDescent="0.3">
      <c r="J3827" s="113" t="str">
        <f t="shared" si="119"/>
        <v/>
      </c>
      <c r="K3827" s="113">
        <f t="shared" si="120"/>
        <v>0</v>
      </c>
    </row>
    <row r="3828" spans="10:11" x14ac:dyDescent="0.3">
      <c r="J3828" s="113" t="str">
        <f t="shared" si="119"/>
        <v/>
      </c>
      <c r="K3828" s="113">
        <f t="shared" si="120"/>
        <v>0</v>
      </c>
    </row>
    <row r="3829" spans="10:11" x14ac:dyDescent="0.3">
      <c r="J3829" s="113" t="str">
        <f t="shared" si="119"/>
        <v/>
      </c>
      <c r="K3829" s="113">
        <f t="shared" si="120"/>
        <v>0</v>
      </c>
    </row>
    <row r="3830" spans="10:11" x14ac:dyDescent="0.3">
      <c r="J3830" s="113" t="str">
        <f t="shared" si="119"/>
        <v/>
      </c>
      <c r="K3830" s="113">
        <f t="shared" si="120"/>
        <v>0</v>
      </c>
    </row>
    <row r="3831" spans="10:11" x14ac:dyDescent="0.3">
      <c r="J3831" s="113" t="str">
        <f t="shared" si="119"/>
        <v/>
      </c>
      <c r="K3831" s="113">
        <f t="shared" si="120"/>
        <v>0</v>
      </c>
    </row>
    <row r="3832" spans="10:11" x14ac:dyDescent="0.3">
      <c r="J3832" s="113" t="str">
        <f t="shared" si="119"/>
        <v/>
      </c>
      <c r="K3832" s="113">
        <f t="shared" si="120"/>
        <v>0</v>
      </c>
    </row>
    <row r="3833" spans="10:11" x14ac:dyDescent="0.3">
      <c r="J3833" s="113" t="str">
        <f t="shared" si="119"/>
        <v/>
      </c>
      <c r="K3833" s="113">
        <f t="shared" si="120"/>
        <v>0</v>
      </c>
    </row>
    <row r="3834" spans="10:11" x14ac:dyDescent="0.3">
      <c r="J3834" s="113" t="str">
        <f t="shared" si="119"/>
        <v/>
      </c>
      <c r="K3834" s="113">
        <f t="shared" si="120"/>
        <v>0</v>
      </c>
    </row>
    <row r="3835" spans="10:11" x14ac:dyDescent="0.3">
      <c r="J3835" s="113" t="str">
        <f t="shared" si="119"/>
        <v/>
      </c>
      <c r="K3835" s="113">
        <f t="shared" si="120"/>
        <v>0</v>
      </c>
    </row>
    <row r="3836" spans="10:11" x14ac:dyDescent="0.3">
      <c r="J3836" s="113" t="str">
        <f t="shared" si="119"/>
        <v/>
      </c>
      <c r="K3836" s="113">
        <f t="shared" si="120"/>
        <v>0</v>
      </c>
    </row>
    <row r="3837" spans="10:11" x14ac:dyDescent="0.3">
      <c r="J3837" s="113" t="str">
        <f t="shared" si="119"/>
        <v/>
      </c>
      <c r="K3837" s="113">
        <f t="shared" si="120"/>
        <v>0</v>
      </c>
    </row>
    <row r="3838" spans="10:11" x14ac:dyDescent="0.3">
      <c r="J3838" s="113" t="str">
        <f t="shared" si="119"/>
        <v/>
      </c>
      <c r="K3838" s="113">
        <f t="shared" si="120"/>
        <v>0</v>
      </c>
    </row>
    <row r="3839" spans="10:11" x14ac:dyDescent="0.3">
      <c r="J3839" s="113" t="str">
        <f t="shared" si="119"/>
        <v/>
      </c>
      <c r="K3839" s="113">
        <f t="shared" si="120"/>
        <v>0</v>
      </c>
    </row>
    <row r="3840" spans="10:11" x14ac:dyDescent="0.3">
      <c r="J3840" s="113" t="str">
        <f t="shared" si="119"/>
        <v/>
      </c>
      <c r="K3840" s="113">
        <f t="shared" si="120"/>
        <v>0</v>
      </c>
    </row>
    <row r="3841" spans="10:11" x14ac:dyDescent="0.3">
      <c r="J3841" s="113" t="str">
        <f t="shared" si="119"/>
        <v/>
      </c>
      <c r="K3841" s="113">
        <f t="shared" si="120"/>
        <v>0</v>
      </c>
    </row>
    <row r="3842" spans="10:11" x14ac:dyDescent="0.3">
      <c r="J3842" s="113" t="str">
        <f t="shared" si="119"/>
        <v/>
      </c>
      <c r="K3842" s="113">
        <f t="shared" si="120"/>
        <v>0</v>
      </c>
    </row>
    <row r="3843" spans="10:11" x14ac:dyDescent="0.3">
      <c r="J3843" s="113" t="str">
        <f t="shared" si="119"/>
        <v/>
      </c>
      <c r="K3843" s="113">
        <f t="shared" si="120"/>
        <v>0</v>
      </c>
    </row>
    <row r="3844" spans="10:11" x14ac:dyDescent="0.3">
      <c r="J3844" s="113" t="str">
        <f t="shared" si="119"/>
        <v/>
      </c>
      <c r="K3844" s="113">
        <f t="shared" si="120"/>
        <v>0</v>
      </c>
    </row>
    <row r="3845" spans="10:11" x14ac:dyDescent="0.3">
      <c r="J3845" s="113" t="str">
        <f t="shared" ref="J3845:J3854" si="121">RIGHT(B3845,9)</f>
        <v/>
      </c>
      <c r="K3845" s="113">
        <f t="shared" ref="K3845:K3854" si="122">A3845</f>
        <v>0</v>
      </c>
    </row>
    <row r="3846" spans="10:11" x14ac:dyDescent="0.3">
      <c r="J3846" s="113" t="str">
        <f t="shared" si="121"/>
        <v/>
      </c>
      <c r="K3846" s="113">
        <f t="shared" si="122"/>
        <v>0</v>
      </c>
    </row>
    <row r="3847" spans="10:11" x14ac:dyDescent="0.3">
      <c r="J3847" s="113" t="str">
        <f t="shared" si="121"/>
        <v/>
      </c>
      <c r="K3847" s="113">
        <f t="shared" si="122"/>
        <v>0</v>
      </c>
    </row>
    <row r="3848" spans="10:11" x14ac:dyDescent="0.3">
      <c r="J3848" s="113" t="str">
        <f t="shared" si="121"/>
        <v/>
      </c>
      <c r="K3848" s="113">
        <f t="shared" si="122"/>
        <v>0</v>
      </c>
    </row>
    <row r="3849" spans="10:11" x14ac:dyDescent="0.3">
      <c r="J3849" s="113" t="str">
        <f t="shared" si="121"/>
        <v/>
      </c>
      <c r="K3849" s="113">
        <f t="shared" si="122"/>
        <v>0</v>
      </c>
    </row>
    <row r="3850" spans="10:11" x14ac:dyDescent="0.3">
      <c r="J3850" s="113" t="str">
        <f t="shared" si="121"/>
        <v/>
      </c>
      <c r="K3850" s="113">
        <f t="shared" si="122"/>
        <v>0</v>
      </c>
    </row>
    <row r="3851" spans="10:11" x14ac:dyDescent="0.3">
      <c r="J3851" s="113" t="str">
        <f t="shared" si="121"/>
        <v/>
      </c>
      <c r="K3851" s="113">
        <f t="shared" si="122"/>
        <v>0</v>
      </c>
    </row>
    <row r="3852" spans="10:11" x14ac:dyDescent="0.3">
      <c r="J3852" s="113" t="str">
        <f t="shared" si="121"/>
        <v/>
      </c>
      <c r="K3852" s="113">
        <f t="shared" si="122"/>
        <v>0</v>
      </c>
    </row>
    <row r="3853" spans="10:11" x14ac:dyDescent="0.3">
      <c r="J3853" s="113" t="str">
        <f t="shared" si="121"/>
        <v/>
      </c>
      <c r="K3853" s="113">
        <f t="shared" si="122"/>
        <v>0</v>
      </c>
    </row>
    <row r="3854" spans="10:11" x14ac:dyDescent="0.3">
      <c r="J3854" s="113" t="str">
        <f t="shared" si="121"/>
        <v/>
      </c>
      <c r="K3854" s="113">
        <f t="shared" si="122"/>
        <v>0</v>
      </c>
    </row>
  </sheetData>
  <sortState xmlns:xlrd2="http://schemas.microsoft.com/office/spreadsheetml/2017/richdata2" ref="A3529:H3576">
    <sortCondition ref="A3529"/>
  </sortState>
  <mergeCells count="1">
    <mergeCell ref="A1:H1"/>
  </mergeCells>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BZ47"/>
  <sheetViews>
    <sheetView topLeftCell="BK1" workbookViewId="0">
      <pane ySplit="8" topLeftCell="A39" activePane="bottomLeft" state="frozen"/>
      <selection activeCell="C14" sqref="C14"/>
      <selection pane="bottomLeft" activeCell="BT36" sqref="BT36"/>
    </sheetView>
  </sheetViews>
  <sheetFormatPr defaultColWidth="9" defaultRowHeight="21.9" customHeight="1" x14ac:dyDescent="0.3"/>
  <cols>
    <col min="1" max="1" width="2.59765625" style="134" bestFit="1" customWidth="1"/>
    <col min="2" max="2" width="5.59765625" style="134" customWidth="1"/>
    <col min="3" max="3" width="5.69921875" style="15" bestFit="1" customWidth="1"/>
    <col min="4" max="4" width="10.19921875" style="135" customWidth="1"/>
    <col min="5" max="5" width="5" style="136" bestFit="1" customWidth="1"/>
    <col min="6" max="6" width="18.3984375" style="135" bestFit="1" customWidth="1"/>
    <col min="7" max="7" width="3.3984375" style="135" bestFit="1" customWidth="1"/>
    <col min="8" max="8" width="4.3984375" style="15" bestFit="1" customWidth="1"/>
    <col min="9" max="9" width="5.09765625" style="137" bestFit="1" customWidth="1"/>
    <col min="10" max="10" width="9.59765625" style="134" customWidth="1"/>
    <col min="11" max="11" width="7.59765625" style="15" bestFit="1" customWidth="1"/>
    <col min="12" max="12" width="9.59765625" style="15" customWidth="1"/>
    <col min="13" max="13" width="5.09765625" style="15" bestFit="1" customWidth="1"/>
    <col min="14" max="14" width="8" style="138" hidden="1" customWidth="1"/>
    <col min="15" max="15" width="2" style="15" bestFit="1" customWidth="1"/>
    <col min="16" max="17" width="3.09765625" style="15" bestFit="1" customWidth="1"/>
    <col min="18" max="18" width="4.09765625" style="134" bestFit="1" customWidth="1"/>
    <col min="19" max="19" width="3.59765625" style="139" bestFit="1" customWidth="1"/>
    <col min="20" max="20" width="4.19921875" style="140" bestFit="1" customWidth="1"/>
    <col min="21" max="21" width="5.69921875" style="141" bestFit="1" customWidth="1"/>
    <col min="22" max="22" width="5.8984375" style="142" bestFit="1" customWidth="1"/>
    <col min="23" max="23" width="3.3984375" style="142" bestFit="1" customWidth="1"/>
    <col min="24" max="24" width="2.8984375" style="142" bestFit="1" customWidth="1"/>
    <col min="25" max="25" width="3.19921875" style="142" bestFit="1" customWidth="1"/>
    <col min="26" max="26" width="6.3984375" style="142" bestFit="1" customWidth="1"/>
    <col min="27" max="27" width="2.09765625" style="143" bestFit="1" customWidth="1"/>
    <col min="28" max="28" width="1.8984375" style="134" bestFit="1" customWidth="1"/>
    <col min="29" max="29" width="4.3984375" style="15" bestFit="1" customWidth="1"/>
    <col min="30" max="30" width="12.8984375" style="135" bestFit="1" customWidth="1"/>
    <col min="31" max="31" width="3.59765625" style="15" bestFit="1" customWidth="1"/>
    <col min="32" max="32" width="4.8984375" style="15" bestFit="1" customWidth="1"/>
    <col min="33" max="33" width="3.8984375" style="140" bestFit="1" customWidth="1"/>
    <col min="34" max="34" width="4.3984375" style="141" bestFit="1" customWidth="1"/>
    <col min="35" max="35" width="5.8984375" style="142" bestFit="1" customWidth="1"/>
    <col min="36" max="36" width="3.19921875" style="142" bestFit="1" customWidth="1"/>
    <col min="37" max="38" width="6.3984375" style="142" bestFit="1" customWidth="1"/>
    <col min="39" max="39" width="5.8984375" style="142" bestFit="1" customWidth="1"/>
    <col min="40" max="40" width="3.8984375" style="143" bestFit="1" customWidth="1"/>
    <col min="41" max="41" width="4.3984375" style="140" bestFit="1" customWidth="1"/>
    <col min="42" max="42" width="0.8984375" style="140" customWidth="1"/>
    <col min="43" max="43" width="5.69921875" style="141" bestFit="1" customWidth="1"/>
    <col min="44" max="44" width="6.3984375" style="141" bestFit="1" customWidth="1"/>
    <col min="45" max="45" width="5.69921875" style="141" bestFit="1" customWidth="1"/>
    <col min="46" max="46" width="6.5" style="141" customWidth="1"/>
    <col min="47" max="47" width="5.59765625" style="152" customWidth="1"/>
    <col min="48" max="48" width="1.19921875" style="152" hidden="1" customWidth="1"/>
    <col min="49" max="50" width="4.3984375" style="152" hidden="1" customWidth="1"/>
    <col min="51" max="51" width="4.8984375" style="152" hidden="1" customWidth="1"/>
    <col min="52" max="52" width="4.8984375" style="142" hidden="1" customWidth="1"/>
    <col min="53" max="53" width="5.69921875" style="142" hidden="1" customWidth="1"/>
    <col min="54" max="54" width="6.09765625" style="142" hidden="1" customWidth="1"/>
    <col min="55" max="55" width="3.3984375" style="142" hidden="1" customWidth="1"/>
    <col min="56" max="56" width="3.19921875" style="142" hidden="1" customWidth="1"/>
    <col min="57" max="57" width="4.19921875" style="142" hidden="1" customWidth="1"/>
    <col min="58" max="58" width="5.69921875" style="142" hidden="1" customWidth="1"/>
    <col min="59" max="59" width="4.5" style="142" hidden="1" customWidth="1"/>
    <col min="60" max="60" width="10.19921875" style="142" hidden="1" customWidth="1"/>
    <col min="61" max="61" width="4" style="142" hidden="1" customWidth="1"/>
    <col min="62" max="62" width="6.59765625" style="145" hidden="1" customWidth="1"/>
    <col min="63" max="65" width="9" style="134"/>
    <col min="66" max="66" width="21.5" style="134" customWidth="1"/>
    <col min="67" max="68" width="9" style="134"/>
    <col min="69" max="69" width="10.5" style="134" customWidth="1"/>
    <col min="70" max="72" width="9" style="134"/>
    <col min="73" max="73" width="11" style="134" customWidth="1"/>
    <col min="74" max="74" width="6.59765625" style="134" customWidth="1"/>
    <col min="75" max="16384" width="9" style="134"/>
  </cols>
  <sheetData>
    <row r="1" spans="1:78" s="131" customFormat="1" ht="33.75" customHeight="1" x14ac:dyDescent="0.3">
      <c r="A1" s="421" t="s">
        <v>12685</v>
      </c>
      <c r="B1" s="421"/>
      <c r="C1" s="421"/>
      <c r="D1" s="421"/>
      <c r="E1" s="421"/>
      <c r="F1" s="421"/>
      <c r="G1" s="421"/>
      <c r="H1" s="421"/>
      <c r="I1" s="421"/>
      <c r="J1" s="421"/>
      <c r="K1" s="14"/>
      <c r="L1" s="14"/>
      <c r="M1" s="14"/>
      <c r="N1" s="129"/>
      <c r="O1" s="14"/>
      <c r="P1" s="14"/>
      <c r="Q1" s="14"/>
      <c r="R1" s="14"/>
      <c r="S1" s="130"/>
      <c r="T1" s="421" t="s">
        <v>12686</v>
      </c>
      <c r="U1" s="421"/>
      <c r="V1" s="421"/>
      <c r="W1" s="421"/>
      <c r="X1" s="421"/>
      <c r="Y1" s="421"/>
      <c r="Z1" s="421"/>
      <c r="AA1" s="421"/>
      <c r="AB1" s="421" t="s">
        <v>12685</v>
      </c>
      <c r="AC1" s="421"/>
      <c r="AD1" s="421"/>
      <c r="AE1" s="421"/>
      <c r="AF1" s="421"/>
      <c r="AG1" s="421"/>
      <c r="AK1" s="132"/>
      <c r="AL1" s="421" t="s">
        <v>12686</v>
      </c>
      <c r="AM1" s="421"/>
      <c r="AN1" s="421"/>
      <c r="AO1" s="421"/>
      <c r="AP1" s="421"/>
      <c r="AQ1" s="421"/>
      <c r="AR1" s="421"/>
      <c r="AS1" s="421"/>
      <c r="AT1" s="421"/>
      <c r="AU1" s="14"/>
      <c r="AV1" s="14"/>
      <c r="AW1" s="14"/>
      <c r="AX1" s="14"/>
      <c r="AY1" s="14"/>
      <c r="AZ1" s="14"/>
      <c r="BA1" s="14"/>
      <c r="BB1" s="14"/>
      <c r="BC1" s="14"/>
      <c r="BD1" s="14"/>
      <c r="BE1" s="14"/>
      <c r="BF1" s="14"/>
      <c r="BG1" s="14"/>
      <c r="BH1" s="14"/>
      <c r="BI1" s="14"/>
      <c r="BJ1" s="133"/>
      <c r="BT1" s="120" t="s">
        <v>6183</v>
      </c>
      <c r="BU1" s="113" t="s">
        <v>12773</v>
      </c>
      <c r="BV1" s="120" t="s">
        <v>2533</v>
      </c>
      <c r="BW1" s="113" t="s">
        <v>12771</v>
      </c>
      <c r="BY1" s="113" t="s">
        <v>6771</v>
      </c>
      <c r="BZ1" s="113" t="s">
        <v>12768</v>
      </c>
    </row>
    <row r="2" spans="1:78" ht="14.25" customHeight="1" x14ac:dyDescent="0.3">
      <c r="AU2" s="144"/>
      <c r="AV2" s="144"/>
      <c r="AW2" s="144"/>
      <c r="AX2" s="144"/>
      <c r="AY2" s="144"/>
      <c r="BT2" s="113" t="s">
        <v>197</v>
      </c>
      <c r="BU2" s="113" t="s">
        <v>12684</v>
      </c>
      <c r="BV2" s="120" t="s">
        <v>2434</v>
      </c>
      <c r="BW2" s="113" t="s">
        <v>12772</v>
      </c>
      <c r="BY2" s="120" t="s">
        <v>6824</v>
      </c>
      <c r="BZ2" s="134" t="s">
        <v>12789</v>
      </c>
    </row>
    <row r="3" spans="1:78" ht="15.75" customHeight="1" x14ac:dyDescent="0.3">
      <c r="A3" s="422" t="s">
        <v>12687</v>
      </c>
      <c r="B3" s="422"/>
      <c r="C3" s="422"/>
      <c r="D3" s="422"/>
      <c r="E3" s="422"/>
      <c r="F3" s="422"/>
      <c r="G3" s="422"/>
      <c r="H3" s="422"/>
      <c r="I3" s="422"/>
      <c r="J3" s="422"/>
      <c r="K3" s="422"/>
      <c r="L3" s="422"/>
      <c r="M3" s="422"/>
      <c r="N3" s="422"/>
      <c r="O3" s="422"/>
      <c r="P3" s="422"/>
      <c r="Q3" s="422"/>
      <c r="R3" s="422"/>
      <c r="S3" s="422"/>
      <c r="T3" s="422"/>
      <c r="U3" s="422"/>
      <c r="V3" s="422"/>
      <c r="W3" s="422"/>
      <c r="X3" s="422"/>
      <c r="Y3" s="422"/>
      <c r="Z3" s="422"/>
      <c r="AA3" s="422"/>
      <c r="AB3" s="422" t="s">
        <v>12688</v>
      </c>
      <c r="AC3" s="422"/>
      <c r="AD3" s="422"/>
      <c r="AE3" s="422"/>
      <c r="AF3" s="422"/>
      <c r="AG3" s="422"/>
      <c r="AH3" s="422"/>
      <c r="AI3" s="422"/>
      <c r="AJ3" s="422"/>
      <c r="AK3" s="422"/>
      <c r="AL3" s="422"/>
      <c r="AM3" s="422"/>
      <c r="AN3" s="422"/>
      <c r="AO3" s="422"/>
      <c r="AP3" s="422"/>
      <c r="AQ3" s="422"/>
      <c r="AR3" s="422"/>
      <c r="AS3" s="422"/>
      <c r="AT3" s="422"/>
      <c r="AU3" s="408" t="s">
        <v>12689</v>
      </c>
      <c r="AV3" s="408"/>
      <c r="AW3" s="408"/>
      <c r="AX3" s="408"/>
      <c r="AY3" s="408"/>
      <c r="AZ3" s="408"/>
      <c r="BA3" s="408"/>
      <c r="BB3" s="408"/>
      <c r="BC3" s="408"/>
      <c r="BD3" s="408"/>
      <c r="BE3" s="408"/>
      <c r="BF3" s="408"/>
      <c r="BG3" s="408"/>
      <c r="BH3" s="408"/>
      <c r="BI3" s="408"/>
      <c r="BV3" s="113"/>
    </row>
    <row r="4" spans="1:78" s="15" customFormat="1" ht="21" customHeight="1" x14ac:dyDescent="0.3">
      <c r="A4" s="131"/>
      <c r="B4" s="131"/>
      <c r="C4" s="131"/>
      <c r="D4" s="131"/>
      <c r="E4" s="146"/>
      <c r="F4" s="131"/>
      <c r="G4" s="131"/>
      <c r="H4" s="131"/>
      <c r="I4" s="409" t="s">
        <v>19</v>
      </c>
      <c r="J4" s="409"/>
      <c r="K4" s="147">
        <v>44431</v>
      </c>
      <c r="L4" s="131"/>
      <c r="M4" s="131"/>
      <c r="N4" s="148"/>
      <c r="O4" s="131"/>
      <c r="P4" s="131"/>
      <c r="Q4" s="131"/>
      <c r="R4" s="131"/>
      <c r="S4" s="131"/>
      <c r="T4" s="131"/>
      <c r="U4" s="131"/>
      <c r="V4" s="131"/>
      <c r="W4" s="131"/>
      <c r="X4" s="131"/>
      <c r="Y4" s="131"/>
      <c r="Z4" s="131"/>
      <c r="AA4" s="149"/>
      <c r="AB4" s="131"/>
      <c r="AC4" s="131"/>
      <c r="AD4" s="149"/>
      <c r="AE4" s="131"/>
      <c r="AF4" s="131"/>
      <c r="AG4" s="409" t="str">
        <f>I4</f>
        <v>Ngày, tháng, năm:</v>
      </c>
      <c r="AH4" s="409"/>
      <c r="AI4" s="409"/>
      <c r="AJ4" s="409"/>
      <c r="AK4" s="150">
        <v>43647</v>
      </c>
      <c r="AL4" s="132"/>
      <c r="AM4" s="132"/>
      <c r="AN4" s="149"/>
      <c r="AO4" s="409"/>
      <c r="AP4" s="409"/>
      <c r="AQ4" s="409"/>
      <c r="AR4" s="131"/>
      <c r="AS4" s="131"/>
      <c r="AT4" s="131"/>
      <c r="AU4" s="151"/>
      <c r="AV4" s="151"/>
      <c r="AW4" s="131"/>
      <c r="AX4" s="131"/>
      <c r="AY4" s="131"/>
      <c r="AZ4" s="14"/>
      <c r="BA4" s="14"/>
      <c r="BB4" s="14"/>
      <c r="BC4" s="14"/>
      <c r="BD4" s="14"/>
      <c r="BE4" s="14"/>
      <c r="BF4" s="14"/>
      <c r="BG4" s="14"/>
      <c r="BH4" s="14"/>
      <c r="BI4" s="14"/>
      <c r="BJ4" s="145"/>
      <c r="BM4" s="15" t="s">
        <v>12786</v>
      </c>
      <c r="BQ4" s="221" t="s">
        <v>12788</v>
      </c>
      <c r="BR4" s="15" t="s">
        <v>12787</v>
      </c>
      <c r="BS4" s="15" t="s">
        <v>12774</v>
      </c>
      <c r="BT4" s="113" t="s">
        <v>6415</v>
      </c>
      <c r="BU4" s="113" t="s">
        <v>12770</v>
      </c>
      <c r="BV4" s="113"/>
    </row>
    <row r="5" spans="1:78" ht="5.0999999999999996" customHeight="1" x14ac:dyDescent="0.3">
      <c r="A5" s="15"/>
      <c r="B5" s="15"/>
      <c r="AB5" s="15"/>
      <c r="BT5" s="120"/>
      <c r="BU5" s="113"/>
      <c r="BV5" s="113"/>
    </row>
    <row r="6" spans="1:78" s="156" customFormat="1" ht="30" customHeight="1" x14ac:dyDescent="0.3">
      <c r="A6" s="399" t="s">
        <v>12690</v>
      </c>
      <c r="B6" s="418" t="s">
        <v>12691</v>
      </c>
      <c r="C6" s="399" t="s">
        <v>12692</v>
      </c>
      <c r="D6" s="420" t="s">
        <v>12693</v>
      </c>
      <c r="E6" s="420"/>
      <c r="F6" s="420"/>
      <c r="G6" s="420"/>
      <c r="H6" s="397" t="s">
        <v>12694</v>
      </c>
      <c r="I6" s="438" t="s">
        <v>12695</v>
      </c>
      <c r="J6" s="439"/>
      <c r="K6" s="399" t="s">
        <v>12696</v>
      </c>
      <c r="L6" s="399"/>
      <c r="M6" s="397" t="s">
        <v>12697</v>
      </c>
      <c r="N6" s="413" t="s">
        <v>12698</v>
      </c>
      <c r="O6" s="397" t="s">
        <v>12699</v>
      </c>
      <c r="P6" s="406" t="s">
        <v>12700</v>
      </c>
      <c r="Q6" s="406" t="s">
        <v>12701</v>
      </c>
      <c r="R6" s="397" t="s">
        <v>12702</v>
      </c>
      <c r="S6" s="404" t="s">
        <v>12703</v>
      </c>
      <c r="T6" s="404"/>
      <c r="U6" s="404"/>
      <c r="V6" s="404"/>
      <c r="W6" s="400" t="s">
        <v>12704</v>
      </c>
      <c r="X6" s="400" t="s">
        <v>12705</v>
      </c>
      <c r="Y6" s="400" t="s">
        <v>12706</v>
      </c>
      <c r="Z6" s="400" t="s">
        <v>12707</v>
      </c>
      <c r="AA6" s="400" t="s">
        <v>12708</v>
      </c>
      <c r="AB6" s="399" t="s">
        <v>12709</v>
      </c>
      <c r="AC6" s="397" t="s">
        <v>12694</v>
      </c>
      <c r="AD6" s="397" t="s">
        <v>12695</v>
      </c>
      <c r="AE6" s="399" t="s">
        <v>12710</v>
      </c>
      <c r="AF6" s="399"/>
      <c r="AG6" s="415" t="s">
        <v>12703</v>
      </c>
      <c r="AH6" s="416"/>
      <c r="AI6" s="417"/>
      <c r="AJ6" s="400" t="s">
        <v>12711</v>
      </c>
      <c r="AK6" s="400" t="s">
        <v>12707</v>
      </c>
      <c r="AL6" s="400" t="s">
        <v>12712</v>
      </c>
      <c r="AM6" s="400" t="s">
        <v>12713</v>
      </c>
      <c r="AN6" s="400" t="s">
        <v>12714</v>
      </c>
      <c r="AO6" s="402" t="s">
        <v>12715</v>
      </c>
      <c r="AP6" s="153"/>
      <c r="AQ6" s="404" t="s">
        <v>12716</v>
      </c>
      <c r="AR6" s="404"/>
      <c r="AS6" s="404" t="s">
        <v>12717</v>
      </c>
      <c r="AT6" s="404" t="s">
        <v>12708</v>
      </c>
      <c r="AU6" s="405"/>
      <c r="AV6" s="154"/>
      <c r="AW6" s="154"/>
      <c r="AX6" s="154"/>
      <c r="AY6" s="154"/>
      <c r="AZ6" s="395" t="s">
        <v>12718</v>
      </c>
      <c r="BA6" s="395" t="s">
        <v>12719</v>
      </c>
      <c r="BB6" s="395" t="s">
        <v>12720</v>
      </c>
      <c r="BC6" s="395" t="s">
        <v>12721</v>
      </c>
      <c r="BD6" s="395" t="s">
        <v>12722</v>
      </c>
      <c r="BE6" s="395" t="s">
        <v>12723</v>
      </c>
      <c r="BF6" s="395" t="s">
        <v>12724</v>
      </c>
      <c r="BG6" s="155"/>
      <c r="BH6" s="395" t="s">
        <v>12725</v>
      </c>
      <c r="BI6" s="395" t="s">
        <v>12726</v>
      </c>
      <c r="BJ6" s="396" t="s">
        <v>12727</v>
      </c>
      <c r="BT6" s="120"/>
      <c r="BU6" s="113"/>
      <c r="BV6" s="113"/>
    </row>
    <row r="7" spans="1:78" s="156" customFormat="1" ht="46.5" customHeight="1" x14ac:dyDescent="0.3">
      <c r="A7" s="399"/>
      <c r="B7" s="419"/>
      <c r="C7" s="399"/>
      <c r="D7" s="157" t="s">
        <v>12728</v>
      </c>
      <c r="E7" s="158" t="s">
        <v>242</v>
      </c>
      <c r="F7" s="157" t="s">
        <v>12729</v>
      </c>
      <c r="G7" s="157" t="s">
        <v>12730</v>
      </c>
      <c r="H7" s="398"/>
      <c r="I7" s="157" t="s">
        <v>12731</v>
      </c>
      <c r="J7" s="157" t="s">
        <v>12732</v>
      </c>
      <c r="K7" s="159" t="s">
        <v>12733</v>
      </c>
      <c r="L7" s="157" t="s">
        <v>237</v>
      </c>
      <c r="M7" s="398"/>
      <c r="N7" s="414"/>
      <c r="O7" s="398"/>
      <c r="P7" s="407"/>
      <c r="Q7" s="407"/>
      <c r="R7" s="398"/>
      <c r="S7" s="160" t="s">
        <v>12734</v>
      </c>
      <c r="T7" s="161" t="s">
        <v>12735</v>
      </c>
      <c r="U7" s="162" t="s">
        <v>4</v>
      </c>
      <c r="V7" s="163" t="s">
        <v>5</v>
      </c>
      <c r="W7" s="401"/>
      <c r="X7" s="401"/>
      <c r="Y7" s="401"/>
      <c r="Z7" s="401"/>
      <c r="AA7" s="401"/>
      <c r="AB7" s="399"/>
      <c r="AC7" s="398"/>
      <c r="AD7" s="398"/>
      <c r="AE7" s="157" t="s">
        <v>12736</v>
      </c>
      <c r="AF7" s="157" t="s">
        <v>237</v>
      </c>
      <c r="AG7" s="161" t="s">
        <v>12735</v>
      </c>
      <c r="AH7" s="162" t="s">
        <v>4</v>
      </c>
      <c r="AI7" s="164" t="s">
        <v>5</v>
      </c>
      <c r="AJ7" s="401"/>
      <c r="AK7" s="401"/>
      <c r="AL7" s="401"/>
      <c r="AM7" s="401"/>
      <c r="AN7" s="401"/>
      <c r="AO7" s="403"/>
      <c r="AP7" s="165"/>
      <c r="AQ7" s="162" t="s">
        <v>4</v>
      </c>
      <c r="AR7" s="162" t="s">
        <v>5</v>
      </c>
      <c r="AS7" s="404"/>
      <c r="AT7" s="404"/>
      <c r="AU7" s="405"/>
      <c r="AV7" s="154"/>
      <c r="AW7" s="154"/>
      <c r="AX7" s="154"/>
      <c r="AY7" s="154"/>
      <c r="AZ7" s="395"/>
      <c r="BA7" s="395"/>
      <c r="BB7" s="395"/>
      <c r="BC7" s="395"/>
      <c r="BD7" s="395"/>
      <c r="BE7" s="395"/>
      <c r="BF7" s="395"/>
      <c r="BG7" s="155"/>
      <c r="BH7" s="395"/>
      <c r="BI7" s="395"/>
      <c r="BJ7" s="396"/>
    </row>
    <row r="8" spans="1:78" s="156" customFormat="1" ht="20.100000000000001" customHeight="1" x14ac:dyDescent="0.3">
      <c r="A8" s="157" t="s">
        <v>8</v>
      </c>
      <c r="B8" s="163" t="s">
        <v>9</v>
      </c>
      <c r="C8" s="157" t="s">
        <v>12737</v>
      </c>
      <c r="D8" s="157" t="s">
        <v>12738</v>
      </c>
      <c r="E8" s="158" t="s">
        <v>12739</v>
      </c>
      <c r="F8" s="157" t="s">
        <v>12740</v>
      </c>
      <c r="G8" s="157" t="s">
        <v>12741</v>
      </c>
      <c r="H8" s="157" t="s">
        <v>12742</v>
      </c>
      <c r="I8" s="157" t="s">
        <v>12743</v>
      </c>
      <c r="J8" s="157" t="s">
        <v>12744</v>
      </c>
      <c r="K8" s="159" t="s">
        <v>12745</v>
      </c>
      <c r="L8" s="157" t="s">
        <v>12746</v>
      </c>
      <c r="M8" s="157" t="s">
        <v>12747</v>
      </c>
      <c r="N8" s="166"/>
      <c r="O8" s="157" t="s">
        <v>12748</v>
      </c>
      <c r="P8" s="159" t="s">
        <v>12749</v>
      </c>
      <c r="Q8" s="159" t="s">
        <v>12750</v>
      </c>
      <c r="R8" s="157" t="s">
        <v>12751</v>
      </c>
      <c r="S8" s="162">
        <v>1</v>
      </c>
      <c r="T8" s="162">
        <v>2</v>
      </c>
      <c r="U8" s="162">
        <v>3</v>
      </c>
      <c r="V8" s="167" t="s">
        <v>12752</v>
      </c>
      <c r="W8" s="162" t="s">
        <v>12753</v>
      </c>
      <c r="X8" s="162" t="s">
        <v>12754</v>
      </c>
      <c r="Y8" s="162" t="s">
        <v>12755</v>
      </c>
      <c r="Z8" s="162">
        <v>5</v>
      </c>
      <c r="AA8" s="162" t="s">
        <v>12756</v>
      </c>
      <c r="AB8" s="157" t="s">
        <v>8</v>
      </c>
      <c r="AC8" s="157" t="s">
        <v>9</v>
      </c>
      <c r="AD8" s="157" t="s">
        <v>12737</v>
      </c>
      <c r="AE8" s="157" t="s">
        <v>12738</v>
      </c>
      <c r="AF8" s="157" t="s">
        <v>12739</v>
      </c>
      <c r="AG8" s="162">
        <v>1</v>
      </c>
      <c r="AH8" s="162">
        <v>2</v>
      </c>
      <c r="AI8" s="162" t="s">
        <v>12757</v>
      </c>
      <c r="AJ8" s="162" t="s">
        <v>12740</v>
      </c>
      <c r="AK8" s="162">
        <v>4</v>
      </c>
      <c r="AL8" s="162">
        <v>5</v>
      </c>
      <c r="AM8" s="162" t="s">
        <v>12758</v>
      </c>
      <c r="AN8" s="162" t="s">
        <v>12741</v>
      </c>
      <c r="AO8" s="162" t="s">
        <v>12759</v>
      </c>
      <c r="AP8" s="162"/>
      <c r="AQ8" s="162">
        <v>8</v>
      </c>
      <c r="AR8" s="162" t="s">
        <v>12760</v>
      </c>
      <c r="AS8" s="162">
        <v>10</v>
      </c>
      <c r="AT8" s="162" t="s">
        <v>12742</v>
      </c>
      <c r="AU8" s="154"/>
      <c r="AV8" s="154"/>
      <c r="AW8" s="154"/>
      <c r="AX8" s="154"/>
      <c r="AY8" s="154"/>
      <c r="AZ8" s="155"/>
      <c r="BA8" s="155"/>
      <c r="BB8" s="155"/>
      <c r="BC8" s="155"/>
      <c r="BD8" s="155"/>
      <c r="BE8" s="155"/>
      <c r="BF8" s="168"/>
      <c r="BG8" s="169"/>
      <c r="BH8" s="169"/>
      <c r="BI8" s="168"/>
      <c r="BJ8" s="170"/>
    </row>
    <row r="9" spans="1:78" s="190" customFormat="1" ht="20.100000000000001" customHeight="1" x14ac:dyDescent="0.3">
      <c r="A9" s="171"/>
      <c r="B9" s="172"/>
      <c r="C9" s="171"/>
      <c r="D9" s="173"/>
      <c r="E9" s="174"/>
      <c r="F9" s="173"/>
      <c r="G9" s="173"/>
      <c r="H9" s="171"/>
      <c r="I9" s="175"/>
      <c r="J9" s="176"/>
      <c r="K9" s="177"/>
      <c r="L9" s="178"/>
      <c r="M9" s="178"/>
      <c r="N9" s="179"/>
      <c r="O9" s="178"/>
      <c r="P9" s="177"/>
      <c r="Q9" s="177"/>
      <c r="R9" s="180"/>
      <c r="S9" s="181">
        <f>SUBTOTAL(9,S11:S111362)</f>
        <v>2</v>
      </c>
      <c r="T9" s="182">
        <f>SUBTOTAL(9,T11:T111362)</f>
        <v>121.53771553884712</v>
      </c>
      <c r="U9" s="181"/>
      <c r="V9" s="183">
        <f>SUBTOTAL(9,V11:V111362)</f>
        <v>58948006.040100254</v>
      </c>
      <c r="W9" s="178"/>
      <c r="X9" s="178"/>
      <c r="Y9" s="178"/>
      <c r="Z9" s="181" t="e">
        <f>SUBTOTAL(9,Z11:Z111362)</f>
        <v>#N/A</v>
      </c>
      <c r="AA9" s="184"/>
      <c r="AB9" s="171"/>
      <c r="AC9" s="171"/>
      <c r="AD9" s="171"/>
      <c r="AE9" s="178"/>
      <c r="AF9" s="178"/>
      <c r="AG9" s="182">
        <f>SUBTOTAL(9,AG11:AG111353)</f>
        <v>121.53771553884712</v>
      </c>
      <c r="AH9" s="181"/>
      <c r="AI9" s="181">
        <f>SUBTOTAL(9,AI11:AI111353)</f>
        <v>58948005.040100254</v>
      </c>
      <c r="AJ9" s="181"/>
      <c r="AK9" s="181">
        <f>SUBTOTAL(9,AK11:AK111362)</f>
        <v>9080000</v>
      </c>
      <c r="AL9" s="181">
        <f>SUBTOTAL(9,AL11:AL111362)</f>
        <v>6680000</v>
      </c>
      <c r="AM9" s="181">
        <f>SUBTOTAL(9,AM11:AM111362)</f>
        <v>650070</v>
      </c>
      <c r="AN9" s="178"/>
      <c r="AO9" s="182">
        <f>SUBTOTAL(9,AO11:AO111353)</f>
        <v>116.31082976190476</v>
      </c>
      <c r="AP9" s="182"/>
      <c r="AQ9" s="181"/>
      <c r="AR9" s="181">
        <f>SUBTOTAL(9,AR11:AR111353)</f>
        <v>47483953.178571433</v>
      </c>
      <c r="AS9" s="181" t="e">
        <f>SUBTOTAL(9,AS11:AS111353)</f>
        <v>#DIV/0!</v>
      </c>
      <c r="AT9" s="181"/>
      <c r="AU9" s="185"/>
      <c r="AV9" s="185"/>
      <c r="AW9" s="185"/>
      <c r="AX9" s="185"/>
      <c r="AY9" s="185"/>
      <c r="AZ9" s="186"/>
      <c r="BA9" s="186"/>
      <c r="BB9" s="186"/>
      <c r="BC9" s="186"/>
      <c r="BD9" s="186"/>
      <c r="BE9" s="186"/>
      <c r="BF9" s="187"/>
      <c r="BG9" s="188"/>
      <c r="BH9" s="188"/>
      <c r="BI9" s="187"/>
      <c r="BJ9" s="189"/>
    </row>
    <row r="10" spans="1:78" s="190" customFormat="1" ht="20.100000000000001" customHeight="1" x14ac:dyDescent="0.3">
      <c r="A10" s="171"/>
      <c r="B10" s="172"/>
      <c r="C10" s="171"/>
      <c r="D10" s="173"/>
      <c r="E10" s="174"/>
      <c r="F10" s="173"/>
      <c r="G10" s="173"/>
      <c r="H10" s="171"/>
      <c r="I10" s="175"/>
      <c r="J10" s="176"/>
      <c r="K10" s="177"/>
      <c r="L10" s="178"/>
      <c r="M10" s="178"/>
      <c r="N10" s="179"/>
      <c r="O10" s="178"/>
      <c r="P10" s="177"/>
      <c r="Q10" s="177"/>
      <c r="R10" s="180"/>
      <c r="S10" s="181"/>
      <c r="T10" s="182"/>
      <c r="U10" s="181"/>
      <c r="V10" s="183"/>
      <c r="W10" s="178"/>
      <c r="X10" s="178"/>
      <c r="Y10" s="178"/>
      <c r="Z10" s="178"/>
      <c r="AA10" s="184"/>
      <c r="AB10" s="171"/>
      <c r="AC10" s="171"/>
      <c r="AD10" s="173"/>
      <c r="AE10" s="178"/>
      <c r="AF10" s="178"/>
      <c r="AG10" s="182"/>
      <c r="AH10" s="181"/>
      <c r="AI10" s="181"/>
      <c r="AJ10" s="181"/>
      <c r="AK10" s="181"/>
      <c r="AL10" s="181"/>
      <c r="AM10" s="181"/>
      <c r="AN10" s="184"/>
      <c r="AO10" s="182"/>
      <c r="AP10" s="182"/>
      <c r="AQ10" s="181"/>
      <c r="AR10" s="181"/>
      <c r="AS10" s="181"/>
      <c r="AT10" s="181"/>
      <c r="AU10" s="185"/>
      <c r="AV10" s="185"/>
      <c r="AW10" s="185"/>
      <c r="AX10" s="185"/>
      <c r="AY10" s="185"/>
      <c r="AZ10" s="186"/>
      <c r="BA10" s="186"/>
      <c r="BB10" s="186"/>
      <c r="BC10" s="186"/>
      <c r="BD10" s="186"/>
      <c r="BE10" s="186"/>
      <c r="BF10" s="187"/>
      <c r="BG10" s="188"/>
      <c r="BH10" s="188"/>
      <c r="BI10" s="187"/>
      <c r="BJ10" s="189"/>
    </row>
    <row r="11" spans="1:78" s="212" customFormat="1" ht="20.100000000000001" customHeight="1" x14ac:dyDescent="0.3">
      <c r="A11" s="191"/>
      <c r="B11" s="192">
        <v>44430</v>
      </c>
      <c r="C11" s="193" t="s">
        <v>2244</v>
      </c>
      <c r="D11" s="193" t="s">
        <v>2245</v>
      </c>
      <c r="E11" s="194"/>
      <c r="F11" s="193" t="s">
        <v>1508</v>
      </c>
      <c r="G11" s="193"/>
      <c r="H11" s="191" t="s">
        <v>12761</v>
      </c>
      <c r="I11" s="195" t="s">
        <v>10870</v>
      </c>
      <c r="J11" s="196" t="s">
        <v>10871</v>
      </c>
      <c r="K11" s="197" t="str">
        <f>IF(OR(L11="15C-25029",L11="15C-07321",L11="15C-07437",L11="15C-10036",L11="15C-10050",L11="15C-10086",L11="15C-10156",L11="15C-10196",L11="15C-10286",L11="15C-10691",L11="15C-10812",L11="15C-11200",L11="15C-11486",L11="15C-12812",L11="15C-12832",L11="15C-12874",L11="15C-12876",L11="15C-13616",L11="15C-13840",L11="15C-15237",L11="15C-15593",L11="15C-06125",L11="16H-3322",L11="16H-8407",L11="15C-19170",L11="15C-19043",L11="15C-25555",L11="15C-10094",L11="15C-11549",L11="15C-11732",L11="15C-11856",L11="15C-12593",L11="15C-12643",L11="15C-13368",L11="15C-13568",L11="15C-13959",L11="15C-13969",L11="15C-13958", L11="15C-03426", L11="15C-23521"),"Hoàng Sơn",IF(L11="15C-03470","Hoàng Sơn",IF(L11="15C-10645","Hoàng Sơn",IF(OR(L11="15C-25418",L11="15C-01889",L11="15C-01584"),"Yến Tuân",IF(L11="15C-11479","Ông Bà",IF(L11="15C-13036","Cậu Mợ",IF(L11="15C-07937","Điệp",IF(L11="15C-13681","Cường Giang","Nhập tên CX"))))))))</f>
        <v>Nhập tên CX</v>
      </c>
      <c r="L11" s="123"/>
      <c r="M11" s="198" t="str">
        <f t="shared" ref="M11:M37" si="0">IF(L11="15C-03470","Ngô Quang Hưng",IF(L11="15C-01889","Lê Đình Giáp",IF(L11="15C-25418","Ngụy Văn Điệp",IF(L11="15C-13036","Ngụy Văn Toàn",IF(L11="15C-11549","Chưa có tài",IF(L11="15C-11732","Đồng Ngọc Điểm",IF(L11="15C-11856","Trần Văn Hiển",IF(L11="15C-12593","Bùi Bá Thành",IF(L11="15C-12643","Bùi Đức Thành",IF(L11="15C-13368","Vũ Đức Chiến",IF(L11="15C-13568","Nguyễn Văn Ca",IF(L11="15C-13959","Phạm Viết Thành",IF(L11="15C-13969","Vũ Đình Huyên",IF(L11="15C-13958","Vũ Đình Hà",IF(L11="15C-07321","Phạm Đăng Khoa",IF(L11="15C-07437","Trương Văn Cao",IF(L11="15C-10691","Phạm Văn Thượng",IF(L11="15C-10812","Bùi Xuân Văn",IF(L11="15C-11200","Nguyễn Văn Minh",IF(L11="15C-11486","Phạm Văn Tuấn",IF(L11="15C-12812","Mai Văn Sơn",IF(L11="15C-12832","Trần Công Anh",IF(L11="15C-12874","Phạm Văn Tuân",IF(L11="15C-12876","Nguyễn Vinh Hiển",IF(L11="15C-13616","Phan Văn Tôn",IF(L11="15C-13840","Hoàng Văn Hưng",IF(L11="15C-15237","Phạm Văn Thịnh",IF(L11="15C-06125","Đoàn Văn Hà",IF(L11="15C-25029","Phạm Văn Hai",IF(L11="15C-25555","Trần Ngọc Kỷ",IF(L11="15C-03426","Phạm Hoàng Quyết",IF(L11="15C-01584","Nguyễn Đắc Đạt","Tên LX"))))))))))))))))))))))))))))))))</f>
        <v>Tên LX</v>
      </c>
      <c r="N11" s="197" t="str">
        <f t="shared" ref="N11:N38" si="1">RIGHT(H11,2)</f>
        <v>CT</v>
      </c>
      <c r="O11" s="199" t="str">
        <f t="shared" ref="O11:O38" si="2">IF(N11="TC",189,N11)</f>
        <v>CT</v>
      </c>
      <c r="P11" s="197">
        <f t="shared" ref="P11:P38" si="3">IF(OR(O11="HS",O11="TA"),"Mã XN",IF(OR(N11="TC",N11="HP"),"HP",0))</f>
        <v>0</v>
      </c>
      <c r="Q11" s="197"/>
      <c r="R11" s="200" t="s">
        <v>12762</v>
      </c>
      <c r="S11" s="201"/>
      <c r="T11" s="202">
        <f>(469.648/91)*S11</f>
        <v>0</v>
      </c>
      <c r="U11" s="203">
        <v>50000</v>
      </c>
      <c r="V11" s="204">
        <f t="shared" ref="V11:V38" si="4">T11*U11</f>
        <v>0</v>
      </c>
      <c r="W11" s="199" t="s">
        <v>37</v>
      </c>
      <c r="X11" s="199" t="str">
        <f t="shared" ref="X11:X38" si="5">IF(W11="RLL","OK/NO",0)</f>
        <v>OK/NO</v>
      </c>
      <c r="Y11" s="199" t="str">
        <f t="shared" ref="Y11:Y38" si="6">LEFT(J11,3)</f>
        <v>DKG</v>
      </c>
      <c r="Z11" s="205">
        <v>100000</v>
      </c>
      <c r="AA11" s="198"/>
      <c r="AB11" s="206">
        <f t="shared" ref="AB11:AB38" si="7">A11</f>
        <v>0</v>
      </c>
      <c r="AC11" s="206" t="str">
        <f t="shared" ref="AC11:AC38" si="8">H11</f>
        <v>CT</v>
      </c>
      <c r="AD11" s="207" t="str">
        <f t="shared" ref="AD11:AD38" si="9">J11</f>
        <v>DKG&lt;-&gt;Chuyển tải CHP-HS</v>
      </c>
      <c r="AE11" s="199" t="str">
        <f>IF(OR(L11="15C-23521",L11="15C-07321",L11="15C-07437",L11="15C-10036",L11="15C-10050",L11="15C-10086",L11="15C-10156",L11="15C-10196",L11="15C-10286",L11="15C-10691",L11="15C-10812",L11="15C-11200",L11="15C-11486",L11="15C-12812",L11="15C-12832",L11="15C-12874",L11="15C-12876",L11="15C-13616",L11="15C-13840",L11="15C-15237",L11="15C-15593",L11="15C-06125",L11="16H-3322",L11="15C-19170",L11="15C-19043",L11="15C-25555",L11="15C-10094",L11="15C-11549",L11="15C-11732",L11="15C-11856",L11="15C-12593",L11="15C-12643",L11="15C-13368",L11="15C-13568",L11="15C-13959",L11="15C-13969",L11="15C-13958"),"CX001",IF(L11="15C-03426","CX055",IF(L11="15C-03470","CX002",IF(L11="15C-10645","CX001",IF(L11="15C-01584","CX057",IF(L11="15C-25418","CX056",IF(L11="15C-01889","CX004",IF(L11="15C-11479","CX005",IF(L11="15C-13036","CX006",IF(K11="Tân Hoàng Hiệp","CX007",IF(K11="Sơn Long","CX008",IF(K11="Phương Thành","CX009",IF(K11="Phúc Hưng","CX010",IF(K11="Nhật Nam","CX011",IF(K11="Liên Thành","CX012",IF(K11="Thuận Phú Thành","CX013",IF(K11="Hùng Hà","CX014",IF(K11="An Phát","CX015",IF(K11="Đức Thắng","CX016",IF(K11="Kim Khánh","CX017",IF(K11="Hải Nam","CX018",IF(K11="Đức Long","CX019",IF(K11="TNG","CX020",IF(K11="Hải Con","CX021",IF(K11="Tấn Phát","CX022",IF(K11="Tuấn Đạt","CX023",IF(K11="Vạn An","CX025",IF(K11="An Bình (Bình đường ngắn)","CX026",IF(K11="Dũng (Phạm Hà)","CX027",IF(K11="Bình đường dài","CX028",IF(K11="Hoàng Khoa","CX029",IF(K11="Thịnh HD","CX030",IF(K11="Luân Hòa","CX031",IF(K11="Việt Sơn","CX032",IF(K11="Ngọc Đạt","CX033",IF(K11="Hoàng Ngọc Phát","CX034",IF(K11="Phú Hùng","CX035",IF(K11="Minh Loan","CX036",IF(K11="Chủ xe lẻ","CX037",IF(K11="Trường Xuân","CX038",IF(K11="Điệp","CX039",IF(L11="15C-25029","CX040",IF(K11="Tùng Bách","CX041",IF(K11="Huy Hoàng","CX042",IF(K11="Sơn nét","CX043",IF(K11="Dũng Lan","CX044",IF(K11="Ly","CX048",IF(K11="Hoàng Thành","CX045",IF(K11="Miền Bắc","CX047",IF(K11="Vũ Trí","CX053",IF(K11="Anh Cụt","CX054",IF(K11="Quý Cương","CX049",IF(K11="Vietfract","CX050",IF(K11="Đăng Ngọc","CX058",IF(K11="Quang Trường","CX051",IF(K11="Cường Giang","CX059",IF(K11="Tiến Sẹo","CX060",IF(K11="Công Thành","CX073",IF(K11="Anh Sức","CX074",IF(K11="Trang Hà","CG01994",IF(K11="NamTraCo","CG00444",IF(K11="Tùng (Nam Khang)"," CS00082",IF(K11="Vinatrans"," CS00121","Mã CX")))))))))))))))))))))))))))))))))))))))))))))))))))))))))))))))</f>
        <v>Mã CX</v>
      </c>
      <c r="AF11" s="199">
        <f t="shared" ref="AF11:AF42" si="10">L11</f>
        <v>0</v>
      </c>
      <c r="AG11" s="202">
        <f t="shared" ref="AG11:AI22" si="11">T11</f>
        <v>0</v>
      </c>
      <c r="AH11" s="205">
        <f t="shared" si="11"/>
        <v>50000</v>
      </c>
      <c r="AI11" s="205">
        <f t="shared" si="11"/>
        <v>0</v>
      </c>
      <c r="AJ11" s="199" t="str">
        <f t="shared" ref="AJ11:AK22" si="12">Y11</f>
        <v>DKG</v>
      </c>
      <c r="AK11" s="205">
        <f t="shared" si="12"/>
        <v>100000</v>
      </c>
      <c r="AL11" s="205">
        <f t="shared" ref="AL11:AL38" si="13">IF(AND(AK11&gt;0,H11="Cont"),AK11,IF(AND(AK11&gt;0,I11="HA.HS"),AK11,IF(AND(AK11&gt;0,I11="CHP.HS"),AK11,IF(AND(AK11&gt;0,I11="CDV.HS"),AK11,IF(AND(AK11&gt;0,I11="CLH.HS"),AK11,IF(AK11&gt;0,AK11-100000,))))))</f>
        <v>100000</v>
      </c>
      <c r="AM11" s="205">
        <f t="shared" ref="AM11:AM38" si="14">AK11-AL11</f>
        <v>0</v>
      </c>
      <c r="AN11" s="198"/>
      <c r="AO11" s="202">
        <f t="shared" ref="AO11:AO38" si="15">IF(T11&lt;=1,T11,AG11*95%)</f>
        <v>0</v>
      </c>
      <c r="AP11" s="202"/>
      <c r="AQ11" s="205">
        <f t="shared" ref="AQ11:AQ38" si="16">IF(AND(Y11="DKG",H11="Cont",I11="VD.HN.DKG"),4000000/AO11,IF(AND(Y11="DKG",A11&gt;=1,I11="CLH.HS"),1100000,IF(AND(Y11="DKG",A11&gt;=1,I11="CDV.HS"),800000,IF(AND(Y11="DKG",A11&gt;=1,I11="HS.HA"),800000/AO11,IF(AND(Y11="DKG",A11&gt;=1,I11="CHP.HS"),800000/AO11,IF(AND(Y11="DKG",A11&gt;=1,I11="KH.DKG"),V11-1000000,IF(Y11="DKG",AH11-65000,IF(Y11="THG",AH11,0))))))))</f>
        <v>-15000</v>
      </c>
      <c r="AR11" s="205">
        <f t="shared" ref="AR11:AR38" si="17">AO11*AQ11</f>
        <v>0</v>
      </c>
      <c r="AS11" s="205">
        <f t="shared" ref="AS11:AS38" si="18">AI11-AR11</f>
        <v>0</v>
      </c>
      <c r="AT11" s="198">
        <f t="shared" ref="AT11:AT38" si="19">AA11</f>
        <v>0</v>
      </c>
      <c r="AU11" s="208">
        <f t="shared" ref="AU11:AU38" si="20">IF(AG11-AO11=0,AO11,IF(AG11-AO11&gt;0,AG11-AO11))</f>
        <v>0</v>
      </c>
      <c r="AV11" s="208"/>
      <c r="AW11" s="209" t="e">
        <f t="shared" ref="AW11:AW38" si="21">(AI11-AR11)/AU11</f>
        <v>#DIV/0!</v>
      </c>
      <c r="AX11" s="209" t="e">
        <f t="shared" ref="AX11:AX38" si="22">AU11*AW11</f>
        <v>#DIV/0!</v>
      </c>
      <c r="AY11" s="209" t="e">
        <f t="shared" ref="AY11:AY38" si="23">V11-AR11-AX11</f>
        <v>#DIV/0!</v>
      </c>
      <c r="AZ11" s="210">
        <f>IF(AND(AE11="CX001",L11="15C-03426"),512140,IF(AND(AE11="CX001",L11="15C-23521"),512141,IF(AND(AE11="CX001",L11="15C-07321"),512101,IF(AND(AE11="CX001",L11="15C-07437"),512102,IF(AND(AE11="CX001",L11="15C-10691"),512109,IF(AND(AE11="CX001",L11="15C-10812"),512110,IF(AND(AE11="CX001",L11="15C-11200"),512111,IF(AND(AE11="CX001",L11="15C-11486"),512112,IF(AND(AE11="CX001",L11="15C-12812"),512113,IF(AND(AE11="CX001",L11="15C-12832"),512114,IF(AND(AE11="CX001",L11="15C-12874"),512115,IF(AND(AE11="CX001",L11="15C-12876"),512116,IF(AND(AE11="CX001",L11="15C-13616"),512117,IF(AND(AE11="CX001",L11="15C-13840"),512118,IF(AND(AE11="CX001",L11="15C-15237"),512119,IF(AND(AE11="CX001",L11="15C-06125"),512121,IF(AND(AE11="CX040",L11="15C-25029"),51226,IF(AND(AE11="CX001",L11="15C-25029"),512124,IF(AND(AE11="CX001",L11="15C-25555"),512127,IF(AND(AE11="CX001",L11="15C-11549"),512130,IF(AND(AE11="CX001",L11="15C-11732"),512131,IF(AND(AE11="CX001",L11="15C-11856"),512132,IF(AND(AE11="CX001",L11="15C-12593"),512133,IF(AND(AE11="CX001",L11="15C-12643"),512134,IF(AND(AE11="CX001",L11="15C-13368"),512135,IF(AND(AE11="CX001",L11="15C-13568"),512136,IF(AND(AE11="CX001",L11="15C-13959"),512137,IF(AND(AE11="CX001",L11="15C-13969"),512138,IF(AND(AE11="CX001",L11="15C-13958"),512139,IF(AND(AE11="CX055",L11="15C-03426"),512213,IF(AND(AE11="CX002",L11="15C-03470"),512212,IF(AND(AE11="CX057",L11="15C-01584"),512223,IF(AND(AE11="CX056",L11="15C-25418"),512222,IF(AND(AE11="CX004",L11="15C-01889"),512221,IF(AND(AE11="CX006",L11="15C-13036"),51224,51225)))))))))))))))))))))))))))))))))))</f>
        <v>51225</v>
      </c>
      <c r="BA11" s="210">
        <f t="shared" ref="BA11:BA38" si="24">IF(Y11="DKG",511301,IF(Y11="THG",511302,0))</f>
        <v>511301</v>
      </c>
      <c r="BB11" s="210">
        <f t="shared" ref="BB11:BB38" si="25">IF(Y11="DKG",5123,IF(Y11="THG",522,0))</f>
        <v>5123</v>
      </c>
      <c r="BC11" s="210">
        <f t="shared" ref="BC11:BC38" si="26">IF(AN11="Phú","NV018",IF(AN11="Giang","NV006",IF(AN11="Quang","NV024",IF(AN11="Kỳ","NV215",0))))</f>
        <v>0</v>
      </c>
      <c r="BD11" s="210">
        <f t="shared" ref="BD11:BD38" si="27">IF(AE11="CX001",0,331)</f>
        <v>331</v>
      </c>
      <c r="BE11" s="210">
        <f t="shared" ref="BE11:BE38" si="28">IF(AE11="CX001",15401,IF(OR(AE11="CX055",AE11="CX039",AE11="CX040",AE11="CX002",AE11="CX003",AE11="CX004",AE11="CX005",AE11="CX006",AE11="CX056",AE11="CX057"),331,0))</f>
        <v>0</v>
      </c>
      <c r="BF11" s="211">
        <f>IF(AND(AE11="CX001",L11="15C-03426"),6121140,IF(AND(AE11="CX001",L11="15C-23521"),6121141,IF(AND(AE11="CX001",L11="15C-11549"),6121130,IF(AND(AE11="CX001",L11="15C-11732"),6121131,IF(AND(AE11="CX001",L11="15C-11856"),6121132,IF(AND(AE11="CX001",L11="15C-12593"),6121133,IF(AND(AE11="CX001",L11="15C-12643"),6121134,IF(AND(AE11="CX001",L11="15C-13368"),6121135,IF(AND(AE11="CX001",L11="15C-13568"),6121136,IF(AND(AE11="CX001",L11="15C-13959"),6121137,IF(AND(AE11="CX001",L11="15C-13969"),6121138,IF(AND(AE11="CX001",L11="15C-13958"),6121139,IF(AND(AE11="CX001",L11="15C-07321"),6121101,IF(AND(AE11="CX001",L11="15C-07437"),6121102,IF(AND(AE11="CX001",L11="15C-10691"),6121109,IF(AND(AE11="CX001",L11="15C-10812"),6121110,IF(AND(AE11="CX001",L11="15C-11200"),6121111,IF(AND(AE11="CX001",L11="15C-11486"),6121112,IF(AND(AE11="CX001",L11="15C-12812"),6121113,IF(AND(AE11="CX001",L11="15C-12832"),6121114,IF(AND(AE11="CX001",L11="15C-12874"),6121115,IF(AND(AE11="CX001",L11="15C-12876"),6121116,IF(AND(AE11="CX001",L11="15C-13616"),6121117,IF(AND(AE11="CX001",L11="15C-13840"),6121118,IF(AND(AE11="CX001",L11="15C-15237"),6121119,IF(AND(AE11="CX001",L11="15C-06125"),6121121,IF(AND(AE11="CX001",L11="15C-25029"),6121124,IF(AND(AE11="CX001",L11="15C-25555"),6121127,0))))))))))))))))))))))))))))</f>
        <v>0</v>
      </c>
      <c r="BG11" s="169" t="s">
        <v>12763</v>
      </c>
      <c r="BH11" s="169" t="str">
        <f t="shared" ref="BH11:BH38" si="29">CONCATENATE(BG11,L11)</f>
        <v xml:space="preserve">TDG xe </v>
      </c>
      <c r="BI11" s="211" t="str">
        <f t="shared" ref="BI11:BI38" si="30">IF(Y11="THG","T",IF(Y11="DKG","G",0))</f>
        <v>G</v>
      </c>
      <c r="BJ11" s="170">
        <f t="shared" ref="BJ11:BJ38" ca="1" si="31">TODAY()</f>
        <v>45492</v>
      </c>
      <c r="BM11" s="212" t="str">
        <f>+C11</f>
        <v>CG00620</v>
      </c>
      <c r="BN11" s="212" t="str">
        <f>+D11</f>
        <v>Bình (MDHP) 0913622868</v>
      </c>
      <c r="BO11" s="212" t="str">
        <f>+J11</f>
        <v>DKG&lt;-&gt;Chuyển tải CHP-HS</v>
      </c>
      <c r="BQ11" s="209">
        <f>+U11</f>
        <v>50000</v>
      </c>
      <c r="BR11" s="222">
        <f>IF(OR(BM11="CG01889",BM11="CG01675",BM11="CG01968",BM11="CG00711",BM11="CG00679"),VLOOKUP(J11,#REF!,4,0),IF(OR(BM11="CG02085",BM11="CG02102"),VLOOKUP(J11,#REF!,6,0),0))</f>
        <v>0</v>
      </c>
      <c r="BS11" s="222">
        <f>IF(OR(BM11="CG01889",BM11="CG01675",BM11="CG01968",BM11="CG00711",BM11="CG00679"),VLOOKUP(J11,#REF!,5,0),IF(OR(BM11="CG02085",BM11="CG02102"),VLOOKUP(J11,#REF!,7,0),0))</f>
        <v>0</v>
      </c>
    </row>
    <row r="12" spans="1:78" s="212" customFormat="1" ht="20.100000000000001" customHeight="1" x14ac:dyDescent="0.3">
      <c r="A12" s="191"/>
      <c r="B12" s="192">
        <v>44430</v>
      </c>
      <c r="C12" s="193" t="s">
        <v>197</v>
      </c>
      <c r="D12" s="193" t="s">
        <v>5519</v>
      </c>
      <c r="E12" s="213" t="s">
        <v>5521</v>
      </c>
      <c r="F12" s="193" t="s">
        <v>5520</v>
      </c>
      <c r="G12" s="193"/>
      <c r="H12" s="191" t="s">
        <v>12761</v>
      </c>
      <c r="I12" s="195" t="s">
        <v>10870</v>
      </c>
      <c r="J12" s="196" t="s">
        <v>10871</v>
      </c>
      <c r="K12" s="197" t="str">
        <f>IF(OR(L12="15C-25029",L12="15C-07321",L12="15C-07437",L12="15C-10691",L12="15C-10812",L12="15C-11200",L12="15C-11486",L12="15C-12812",L12="15C-12832",L12="15C-12874",L12="15C-12876",L12="15C-13616",L12="15C-13840",L12="15C-15237",L12="15C-06125",L12="15C-25555",L12="15C-11549",L12="15C-11732",L12="15C-11856",L12="15C-12593",L12="15C-12643",L12="15C-13368",L12="15C-13568",L12="15C-13959",L12="15C-13969",L12="15C-13958",L12="15C-03426"),"Hoàng Sơn",IF(L12="15C-03470","Hoàng Sơn",IF(OR(L12="15C-25418",L12="15C-01889",L12="15C-01584"),"Yến Tuân",IF(L12="15C-13036","Cậu Mợ","Tên CX"))))</f>
        <v>Tên CX</v>
      </c>
      <c r="L12" s="123"/>
      <c r="M12" s="198" t="str">
        <f>IF(L12="15C-03470","Ngô Quang Hưng",IF(L12="15C-01889","Lê Đình Giáp",IF(L12="15C-25418","Ngụy Văn Điệp",IF(L12="15C-13036","Ngụy Văn Toàn",IF(L12="15C-11549","Chưa có tài",IF(L12="15C-11732","Đồng Ngọc Điểm",IF(L12="15C-11856","Trần Văn Hiển",IF(L12="15C-12593","Bùi Bá Thành",IF(L12="15C-12643","Bùi Đức Thành",IF(L12="15C-13368","Vũ Đức Chiến",IF(L12="15C-13568","Nguyễn Văn Ca",IF(L12="15C-13959","Phạm Viết Thành",IF(L12="15C-13969","Vũ Đình Huyên",IF(L12="15C-13958","Vũ Đình Hà",IF(L12="15C-07321","Phạm Đăng Khoa",IF(L12="15C-07437","Trương Văn Cao",IF(L12="15C-10691","Phạm Văn Thượng",IF(L12="15C-10812","Bùi Xuân Văn",IF(L12="15C-11200","Nguyễn Văn Minh",IF(L12="15C-11486","Phạm Văn Tuấn",IF(L12="15C-12812","Mai Văn Sơn",IF(L12="15C-12832","Trần Công Anh",IF(L12="15C-12874","Phạm Văn Tuân",IF(L12="15C-12876","Nguyễn Vinh Hiển",IF(L12="15C-13616","Phan Văn Tôn",IF(L12="15C-13840","Hoàng Văn Hưng",IF(L12="15C-15237","Phạm Văn Thịnh",IF(L12="15C-06125","Đoàn Văn Hà",IF(L12="15C-25029","Phạm Văn Hai",IF(L12="15C-25555","Trần Ngọc Kỷ",IF(L12="15C-03426","Phạm Hoàng Quyết",IF(L12="15C-01584","Nguyễn Đắc Đạt","Tên LX"))))))))))))))))))))))))))))))))</f>
        <v>Tên LX</v>
      </c>
      <c r="N12" s="197" t="str">
        <f>RIGHT(H12,2)</f>
        <v>CT</v>
      </c>
      <c r="O12" s="199" t="str">
        <f>IF(N12="TC",189,N12)</f>
        <v>CT</v>
      </c>
      <c r="P12" s="197">
        <f>IF(OR(O12="HS",O12="TA"),"Mã XN",IF(OR(N12="TC",N12="HP"),"HP",0))</f>
        <v>0</v>
      </c>
      <c r="Q12" s="197"/>
      <c r="R12" s="200" t="s">
        <v>12764</v>
      </c>
      <c r="S12" s="201"/>
      <c r="T12" s="202">
        <f>(1299.878/54)*S12</f>
        <v>0</v>
      </c>
      <c r="U12" s="203">
        <v>40000</v>
      </c>
      <c r="V12" s="204">
        <f>T12*U12</f>
        <v>0</v>
      </c>
      <c r="W12" s="199" t="s">
        <v>37</v>
      </c>
      <c r="X12" s="199" t="str">
        <f>IF(W12="RLL","OK/NO",0)</f>
        <v>OK/NO</v>
      </c>
      <c r="Y12" s="199" t="str">
        <f>LEFT(J12,3)</f>
        <v>DKG</v>
      </c>
      <c r="Z12" s="205">
        <v>100000</v>
      </c>
      <c r="AA12" s="198"/>
      <c r="AB12" s="206">
        <f t="shared" si="7"/>
        <v>0</v>
      </c>
      <c r="AC12" s="206" t="str">
        <f t="shared" si="8"/>
        <v>CT</v>
      </c>
      <c r="AD12" s="207" t="str">
        <f t="shared" si="9"/>
        <v>DKG&lt;-&gt;Chuyển tải CHP-HS</v>
      </c>
      <c r="AE12" s="199" t="str">
        <f t="shared" ref="AE12:AE38" si="32">IF(OR(L12="15C-23521",L12="15C-07321",L12="15C-07437",L12="15C-10036",L12="15C-10050",L12="15C-10086",L12="15C-10156",L12="15C-10196",L12="15C-10286",L12="15C-10691",L12="15C-10812",L12="15C-11200",L12="15C-11486",L12="15C-12812",L12="15C-12832",L12="15C-12874",L12="15C-12876",L12="15C-13616",L12="15C-13840",L12="15C-15237",L12="15C-15593",L12="15C-06125",L12="16H-3322",L12="15C-19170",L12="15C-19043",L12="15C-25555",L12="15C-10094",L12="15C-11549",L12="15C-11732",L12="15C-11856",L12="15C-12593",L12="15C-12643",L12="15C-13368",L12="15C-13568",L12="15C-13959",L12="15C-13969",L12="15C-13958"),"CX001",IF(L12="15C-03426","CX055",IF(L12="15C-03470","CX002",IF(L12="15C-10645","CX001",IF(L12="15C-01584","CX057",IF(L12="15C-25418","CX056",IF(L12="15C-01889","CX004",IF(L12="15C-11479","CX005",IF(L12="15C-13036","CX006",IF(K12="Tân Hoàng Hiệp","CX007",IF(K12="Sơn Long","CX008",IF(K12="Phương Thành","CX009",IF(K12="Phúc Hưng","CX010",IF(K12="Nhật Nam","CX011",IF(K12="Liên Thành","CX012",IF(K12="Thuận Phú Thành","CX013",IF(K12="Hùng Hà","CX014",IF(K12="An Phát","CX015",IF(K12="Đức Thắng","CX016",IF(K12="Kim Khánh","CX017",IF(K12="Hải Nam","CX018",IF(K12="Đức Long","CX019",IF(K12="TNG","CX020",IF(K12="Hải Con","CX021",IF(K12="Tấn Phát","CX022",IF(K12="Tuấn Đạt","CX023",IF(K12="Vạn An","CX025",IF(K12="An Bình (Bình đường ngắn)","CX026",IF(K12="Dũng (Phạm Hà)","CX027",IF(K12="Bình đường dài","CX028",IF(K12="Hoàng Khoa","CX029",IF(K12="Thịnh HD","CX030",IF(K12="Luân Hòa","CX031",IF(K12="Việt Sơn","CX032",IF(K12="Ngọc Đạt","CX033",IF(K12="Hoàng Ngọc Phát","CX034",IF(K12="Phú Hùng","CX035",IF(K12="Minh Loan","CX036",IF(K12="Chủ xe lẻ","CX037",IF(K12="Trường Xuân","CX038",IF(K12="Điệp","CX039",IF(L12="15C-25029","CX040",IF(K12="Tùng Bách","CX041",IF(K12="Huy Hoàng","CX042",IF(K12="Sơn nét","CX043",IF(K12="Dũng Lan","CX044",IF(K12="Ly","CX048",IF(K12="Hoàng Thành","CX045",IF(K12="Miền Bắc","CX047",IF(K12="Vũ Trí","CX053",IF(K12="Anh Cụt","CX054",IF(K12="Quý Cương","CX049",IF(K12="Vietfract","CX050",IF(K12="Đăng Ngọc","CX058",IF(K12="Quang Trường","CX051",IF(K12="Cường Giang","CX059",IF(K12="Tiến Sẹo","CX060",IF(K12="Công Thành","CX073",IF(K12="Anh Sức","CX074",IF(K12="Trang Hà","CG01994",IF(K12="NamTraCo","CG00444",IF(K12="Tùng (Nam Khang)"," CS00082",IF(K12="Vinatrans"," CS00121","Mã CX")))))))))))))))))))))))))))))))))))))))))))))))))))))))))))))))</f>
        <v>Mã CX</v>
      </c>
      <c r="AF12" s="199">
        <f t="shared" si="10"/>
        <v>0</v>
      </c>
      <c r="AG12" s="202">
        <f t="shared" si="11"/>
        <v>0</v>
      </c>
      <c r="AH12" s="205">
        <f t="shared" si="11"/>
        <v>40000</v>
      </c>
      <c r="AI12" s="205">
        <f t="shared" si="11"/>
        <v>0</v>
      </c>
      <c r="AJ12" s="199" t="str">
        <f t="shared" si="12"/>
        <v>DKG</v>
      </c>
      <c r="AK12" s="205">
        <f t="shared" si="12"/>
        <v>100000</v>
      </c>
      <c r="AL12" s="205">
        <f t="shared" si="13"/>
        <v>100000</v>
      </c>
      <c r="AM12" s="205">
        <f t="shared" si="14"/>
        <v>0</v>
      </c>
      <c r="AN12" s="198"/>
      <c r="AO12" s="202">
        <f t="shared" si="15"/>
        <v>0</v>
      </c>
      <c r="AP12" s="202"/>
      <c r="AQ12" s="205">
        <f t="shared" si="16"/>
        <v>-25000</v>
      </c>
      <c r="AR12" s="205">
        <f t="shared" si="17"/>
        <v>0</v>
      </c>
      <c r="AS12" s="205">
        <f t="shared" si="18"/>
        <v>0</v>
      </c>
      <c r="AT12" s="198">
        <f t="shared" si="19"/>
        <v>0</v>
      </c>
      <c r="AU12" s="208">
        <f t="shared" si="20"/>
        <v>0</v>
      </c>
      <c r="AV12" s="208"/>
      <c r="AW12" s="209" t="e">
        <f t="shared" si="21"/>
        <v>#DIV/0!</v>
      </c>
      <c r="AX12" s="209" t="e">
        <f t="shared" si="22"/>
        <v>#DIV/0!</v>
      </c>
      <c r="AY12" s="209" t="e">
        <f t="shared" si="23"/>
        <v>#DIV/0!</v>
      </c>
      <c r="AZ12" s="210">
        <f t="shared" ref="AZ12:AZ38" si="33">IF(AND(AE12="CX001",L12="15C-03426"),512140,IF(AND(AE12="CX001",L12="15C-23521"),512141,IF(AND(AE12="CX001",L12="15C-07321"),512101,IF(AND(AE12="CX001",L12="15C-07437"),512102,IF(AND(AE12="CX001",L12="15C-10691"),512109,IF(AND(AE12="CX001",L12="15C-10812"),512110,IF(AND(AE12="CX001",L12="15C-11200"),512111,IF(AND(AE12="CX001",L12="15C-11486"),512112,IF(AND(AE12="CX001",L12="15C-12812"),512113,IF(AND(AE12="CX001",L12="15C-12832"),512114,IF(AND(AE12="CX001",L12="15C-12874"),512115,IF(AND(AE12="CX001",L12="15C-12876"),512116,IF(AND(AE12="CX001",L12="15C-13616"),512117,IF(AND(AE12="CX001",L12="15C-13840"),512118,IF(AND(AE12="CX001",L12="15C-15237"),512119,IF(AND(AE12="CX001",L12="15C-06125"),512121,IF(AND(AE12="CX040",L12="15C-25029"),51226,IF(AND(AE12="CX001",L12="15C-25029"),512124,IF(AND(AE12="CX001",L12="15C-25555"),512127,IF(AND(AE12="CX001",L12="15C-11549"),512130,IF(AND(AE12="CX001",L12="15C-11732"),512131,IF(AND(AE12="CX001",L12="15C-11856"),512132,IF(AND(AE12="CX001",L12="15C-12593"),512133,IF(AND(AE12="CX001",L12="15C-12643"),512134,IF(AND(AE12="CX001",L12="15C-13368"),512135,IF(AND(AE12="CX001",L12="15C-13568"),512136,IF(AND(AE12="CX001",L12="15C-13959"),512137,IF(AND(AE12="CX001",L12="15C-13969"),512138,IF(AND(AE12="CX001",L12="15C-13958"),512139,IF(AND(AE12="CX055",L12="15C-03426"),512213,IF(AND(AE12="CX002",L12="15C-03470"),512212,IF(AND(AE12="CX057",L12="15C-01584"),512223,IF(AND(AE12="CX056",L12="15C-25418"),512222,IF(AND(AE12="CX004",L12="15C-01889"),512221,IF(AND(AE12="CX006",L12="15C-13036"),51224,51225)))))))))))))))))))))))))))))))))))</f>
        <v>51225</v>
      </c>
      <c r="BA12" s="210">
        <f t="shared" si="24"/>
        <v>511301</v>
      </c>
      <c r="BB12" s="210">
        <f t="shared" si="25"/>
        <v>5123</v>
      </c>
      <c r="BC12" s="210">
        <f t="shared" si="26"/>
        <v>0</v>
      </c>
      <c r="BD12" s="210">
        <f t="shared" si="27"/>
        <v>331</v>
      </c>
      <c r="BE12" s="210">
        <f t="shared" si="28"/>
        <v>0</v>
      </c>
      <c r="BF12" s="211">
        <f t="shared" ref="BF12:BF38" si="34">IF(AND(AE12="CX001",L12="15C-03426"),6121140,IF(AND(AE12="CX001",L12="15C-23521"),6121141,IF(AND(AE12="CX001",L12="15C-11549"),6121130,IF(AND(AE12="CX001",L12="15C-11732"),6121131,IF(AND(AE12="CX001",L12="15C-11856"),6121132,IF(AND(AE12="CX001",L12="15C-12593"),6121133,IF(AND(AE12="CX001",L12="15C-12643"),6121134,IF(AND(AE12="CX001",L12="15C-13368"),6121135,IF(AND(AE12="CX001",L12="15C-13568"),6121136,IF(AND(AE12="CX001",L12="15C-13959"),6121137,IF(AND(AE12="CX001",L12="15C-13969"),6121138,IF(AND(AE12="CX001",L12="15C-13958"),6121139,IF(AND(AE12="CX001",L12="15C-07321"),6121101,IF(AND(AE12="CX001",L12="15C-07437"),6121102,IF(AND(AE12="CX001",L12="15C-10691"),6121109,IF(AND(AE12="CX001",L12="15C-10812"),6121110,IF(AND(AE12="CX001",L12="15C-11200"),6121111,IF(AND(AE12="CX001",L12="15C-11486"),6121112,IF(AND(AE12="CX001",L12="15C-12812"),6121113,IF(AND(AE12="CX001",L12="15C-12832"),6121114,IF(AND(AE12="CX001",L12="15C-12874"),6121115,IF(AND(AE12="CX001",L12="15C-12876"),6121116,IF(AND(AE12="CX001",L12="15C-13616"),6121117,IF(AND(AE12="CX001",L12="15C-13840"),6121118,IF(AND(AE12="CX001",L12="15C-15237"),6121119,IF(AND(AE12="CX001",L12="15C-06125"),6121121,IF(AND(AE12="CX001",L12="15C-25029"),6121124,IF(AND(AE12="CX001",L12="15C-25555"),6121127,0))))))))))))))))))))))))))))</f>
        <v>0</v>
      </c>
      <c r="BG12" s="169" t="s">
        <v>12763</v>
      </c>
      <c r="BH12" s="169" t="str">
        <f t="shared" si="29"/>
        <v xml:space="preserve">TDG xe </v>
      </c>
      <c r="BI12" s="211" t="str">
        <f t="shared" si="30"/>
        <v>G</v>
      </c>
      <c r="BJ12" s="170">
        <f t="shared" ca="1" si="31"/>
        <v>45492</v>
      </c>
      <c r="BM12" s="212" t="str">
        <f t="shared" ref="BM12:BM18" si="35">+C12</f>
        <v>CG01675</v>
      </c>
      <c r="BN12" s="212" t="str">
        <f t="shared" ref="BN12:BN18" si="36">+D12</f>
        <v>P. XNK - Mỹ Đoàn (các lô) 0913288269</v>
      </c>
      <c r="BO12" s="212" t="str">
        <f t="shared" ref="BO12:BO18" si="37">+J12</f>
        <v>DKG&lt;-&gt;Chuyển tải CHP-HS</v>
      </c>
      <c r="BQ12" s="209">
        <f t="shared" ref="BQ12:BQ29" si="38">+U12</f>
        <v>40000</v>
      </c>
      <c r="BR12" s="222" t="e">
        <f>IF(OR(BM12="CG01889",BM12="CG01675",BM12="CG01968",BM12="CG00711",BM12="CG00679"),VLOOKUP(J12,#REF!,4,0),IF(OR(BM12="CG02085",BM12="CG02102"),VLOOKUP(J12,#REF!,6,0),0))</f>
        <v>#REF!</v>
      </c>
      <c r="BS12" s="222" t="e">
        <f>IF(OR(BM12="CG01889",BM12="CG01675",BM12="CG01968",BM12="CG00711",BM12="CG00679"),VLOOKUP(J12,#REF!,5,0),IF(OR(BM12="CG02085",BM12="CG02102"),VLOOKUP(J12,#REF!,7,0),0))</f>
        <v>#REF!</v>
      </c>
    </row>
    <row r="13" spans="1:78" s="212" customFormat="1" ht="20.100000000000001" customHeight="1" x14ac:dyDescent="0.3">
      <c r="A13" s="191"/>
      <c r="B13" s="192">
        <v>44430</v>
      </c>
      <c r="C13" s="193" t="s">
        <v>2326</v>
      </c>
      <c r="D13" s="193" t="s">
        <v>2327</v>
      </c>
      <c r="E13" s="213" t="s">
        <v>2329</v>
      </c>
      <c r="F13" s="193" t="s">
        <v>2328</v>
      </c>
      <c r="G13" s="193"/>
      <c r="H13" s="191" t="s">
        <v>12761</v>
      </c>
      <c r="I13" s="195" t="s">
        <v>10870</v>
      </c>
      <c r="J13" s="196" t="s">
        <v>10871</v>
      </c>
      <c r="K13" s="197" t="str">
        <f>IF(OR(L13="15C-25029",L13="15C-07321",L13="15C-07437",L13="15C-10691",L13="15C-10812",L13="15C-11200",L13="15C-11486",L13="15C-12812",L13="15C-12832",L13="15C-12874",L13="15C-12876",L13="15C-13616",L13="15C-13840",L13="15C-15237",L13="15C-06125",L13="15C-25555",L13="15C-11549",L13="15C-11732",L13="15C-11856",L13="15C-12593",L13="15C-12643",L13="15C-13368",L13="15C-13568",L13="15C-13959",L13="15C-13969",L13="15C-13958",L13="15C-03426"),"Hoàng Sơn",IF(L13="15C-03470","Hoàng Sơn",IF(OR(L13="15C-25418",L13="15C-01889",L13="15C-01584"),"Yến Tuân",IF(L13="15C-13036","Cậu Mợ","Tên CX"))))</f>
        <v>Tên CX</v>
      </c>
      <c r="L13" s="123"/>
      <c r="M13" s="198" t="str">
        <f>IF(L13="15C-03470","Ngô Quang Hưng",IF(L13="15C-01889","Lê Đình Giáp",IF(L13="15C-25418","Ngụy Văn Điệp",IF(L13="15C-13036","Ngụy Văn Toàn",IF(L13="15C-11549","Chưa có tài",IF(L13="15C-11732","Đồng Ngọc Điểm",IF(L13="15C-11856","Trần Văn Hiển",IF(L13="15C-12593","Bùi Bá Thành",IF(L13="15C-12643","Bùi Đức Thành",IF(L13="15C-13368","Vũ Đức Chiến",IF(L13="15C-13568","Nguyễn Văn Ca",IF(L13="15C-13959","Phạm Viết Thành",IF(L13="15C-13969","Vũ Đình Huyên",IF(L13="15C-13958","Vũ Đình Hà",IF(L13="15C-07321","Phạm Đăng Khoa",IF(L13="15C-07437","Trương Văn Cao",IF(L13="15C-10691","Phạm Văn Thượng",IF(L13="15C-10812","Bùi Xuân Văn",IF(L13="15C-11200","Nguyễn Văn Minh",IF(L13="15C-11486","Phạm Văn Tuấn",IF(L13="15C-12812","Mai Văn Sơn",IF(L13="15C-12832","Trần Công Anh",IF(L13="15C-12874","Phạm Văn Tuân",IF(L13="15C-12876","Nguyễn Vinh Hiển",IF(L13="15C-13616","Phan Văn Tôn",IF(L13="15C-13840","Hoàng Văn Hưng",IF(L13="15C-15237","Phạm Văn Thịnh",IF(L13="15C-06125","Đoàn Văn Hà",IF(L13="15C-25029","Phạm Văn Hai",IF(L13="15C-25555","Trần Ngọc Kỷ",IF(L13="15C-03426","Phạm Hoàng Quyết",IF(L13="15C-01584","Nguyễn Đắc Đạt","Tên LX"))))))))))))))))))))))))))))))))</f>
        <v>Tên LX</v>
      </c>
      <c r="N13" s="197" t="str">
        <f>RIGHT(H13,2)</f>
        <v>CT</v>
      </c>
      <c r="O13" s="199" t="str">
        <f>IF(N13="TC",189,N13)</f>
        <v>CT</v>
      </c>
      <c r="P13" s="197">
        <f>IF(OR(O13="HS",O13="TA"),"Mã XN",IF(OR(N13="TC",N13="HP"),"HP",0))</f>
        <v>0</v>
      </c>
      <c r="Q13" s="197"/>
      <c r="R13" s="200" t="s">
        <v>12764</v>
      </c>
      <c r="S13" s="201">
        <v>1</v>
      </c>
      <c r="T13" s="202">
        <f>(78.948/7)*S13</f>
        <v>11.278285714285714</v>
      </c>
      <c r="U13" s="203">
        <v>50000</v>
      </c>
      <c r="V13" s="204">
        <f>T13*U13</f>
        <v>563914.28571428568</v>
      </c>
      <c r="W13" s="199" t="s">
        <v>37</v>
      </c>
      <c r="X13" s="199" t="str">
        <f>IF(W13="RLL","OK/NO",0)</f>
        <v>OK/NO</v>
      </c>
      <c r="Y13" s="199" t="str">
        <f>LEFT(J13,3)</f>
        <v>DKG</v>
      </c>
      <c r="Z13" s="205">
        <v>100000</v>
      </c>
      <c r="AA13" s="198"/>
      <c r="AB13" s="206">
        <f t="shared" si="7"/>
        <v>0</v>
      </c>
      <c r="AC13" s="206" t="str">
        <f t="shared" si="8"/>
        <v>CT</v>
      </c>
      <c r="AD13" s="207" t="str">
        <f t="shared" si="9"/>
        <v>DKG&lt;-&gt;Chuyển tải CHP-HS</v>
      </c>
      <c r="AE13" s="199" t="str">
        <f t="shared" si="32"/>
        <v>Mã CX</v>
      </c>
      <c r="AF13" s="199">
        <f t="shared" si="10"/>
        <v>0</v>
      </c>
      <c r="AG13" s="202">
        <f t="shared" si="11"/>
        <v>11.278285714285714</v>
      </c>
      <c r="AH13" s="205">
        <f t="shared" si="11"/>
        <v>50000</v>
      </c>
      <c r="AI13" s="205">
        <f t="shared" si="11"/>
        <v>563914.28571428568</v>
      </c>
      <c r="AJ13" s="199" t="str">
        <f t="shared" si="12"/>
        <v>DKG</v>
      </c>
      <c r="AK13" s="205">
        <f t="shared" si="12"/>
        <v>100000</v>
      </c>
      <c r="AL13" s="205">
        <f t="shared" si="13"/>
        <v>100000</v>
      </c>
      <c r="AM13" s="205">
        <f t="shared" si="14"/>
        <v>0</v>
      </c>
      <c r="AN13" s="198"/>
      <c r="AO13" s="202">
        <f t="shared" si="15"/>
        <v>10.714371428571427</v>
      </c>
      <c r="AP13" s="202"/>
      <c r="AQ13" s="205">
        <f t="shared" si="16"/>
        <v>-15000</v>
      </c>
      <c r="AR13" s="205">
        <f t="shared" si="17"/>
        <v>-160715.57142857142</v>
      </c>
      <c r="AS13" s="205">
        <f t="shared" si="18"/>
        <v>724629.85714285704</v>
      </c>
      <c r="AT13" s="198">
        <f t="shared" si="19"/>
        <v>0</v>
      </c>
      <c r="AU13" s="208">
        <f t="shared" si="20"/>
        <v>0.56391428571428648</v>
      </c>
      <c r="AV13" s="208"/>
      <c r="AW13" s="209">
        <f t="shared" si="21"/>
        <v>1284999.9999999981</v>
      </c>
      <c r="AX13" s="209">
        <f t="shared" si="22"/>
        <v>724629.85714285704</v>
      </c>
      <c r="AY13" s="209">
        <f t="shared" si="23"/>
        <v>0</v>
      </c>
      <c r="AZ13" s="210">
        <f t="shared" si="33"/>
        <v>51225</v>
      </c>
      <c r="BA13" s="210">
        <f t="shared" si="24"/>
        <v>511301</v>
      </c>
      <c r="BB13" s="210">
        <f t="shared" si="25"/>
        <v>5123</v>
      </c>
      <c r="BC13" s="210">
        <f t="shared" si="26"/>
        <v>0</v>
      </c>
      <c r="BD13" s="210">
        <f t="shared" si="27"/>
        <v>331</v>
      </c>
      <c r="BE13" s="210">
        <f t="shared" si="28"/>
        <v>0</v>
      </c>
      <c r="BF13" s="211">
        <f t="shared" si="34"/>
        <v>0</v>
      </c>
      <c r="BG13" s="169" t="s">
        <v>12763</v>
      </c>
      <c r="BH13" s="169" t="str">
        <f t="shared" si="29"/>
        <v xml:space="preserve">TDG xe </v>
      </c>
      <c r="BI13" s="211" t="str">
        <f t="shared" si="30"/>
        <v>G</v>
      </c>
      <c r="BJ13" s="170">
        <f t="shared" ca="1" si="31"/>
        <v>45492</v>
      </c>
      <c r="BM13" s="212" t="str">
        <f t="shared" si="35"/>
        <v>CG00645</v>
      </c>
      <c r="BN13" s="212" t="str">
        <f t="shared" si="36"/>
        <v>Công ty TNHH Gỗ Đại Xuân (PLHNA) 0979668924</v>
      </c>
      <c r="BO13" s="212" t="str">
        <f t="shared" si="37"/>
        <v>DKG&lt;-&gt;Chuyển tải CHP-HS</v>
      </c>
      <c r="BQ13" s="209">
        <f t="shared" si="38"/>
        <v>50000</v>
      </c>
      <c r="BR13" s="222">
        <f>IF(OR(BM13="CG01889",BM13="CG01675",BM13="CG01968",BM13="CG00711",BM13="CG00679"),VLOOKUP(J13,#REF!,4,0),IF(OR(BM13="CG02085",BM13="CG02102"),VLOOKUP(J13,#REF!,6,0),0))</f>
        <v>0</v>
      </c>
      <c r="BS13" s="222">
        <f>IF(OR(BM13="CG01889",BM13="CG01675",BM13="CG01968",BM13="CG00711",BM13="CG00679"),VLOOKUP(J13,#REF!,5,0),IF(OR(BM13="CG02085",BM13="CG02102"),VLOOKUP(J13,#REF!,7,0),0))</f>
        <v>0</v>
      </c>
    </row>
    <row r="14" spans="1:78" s="212" customFormat="1" ht="20.100000000000001" customHeight="1" x14ac:dyDescent="0.3">
      <c r="A14" s="191">
        <v>1</v>
      </c>
      <c r="B14" s="192">
        <v>44430</v>
      </c>
      <c r="C14" s="193" t="s">
        <v>4061</v>
      </c>
      <c r="D14" s="193" t="s">
        <v>4062</v>
      </c>
      <c r="E14" s="194"/>
      <c r="F14" s="193" t="s">
        <v>1508</v>
      </c>
      <c r="G14" s="193"/>
      <c r="H14" s="191" t="s">
        <v>12765</v>
      </c>
      <c r="I14" s="195" t="s">
        <v>11103</v>
      </c>
      <c r="J14" s="196" t="s">
        <v>11104</v>
      </c>
      <c r="K14" s="197" t="str">
        <f t="shared" ref="K14:K38" si="39">IF(OR(L14="15C-25029",L14="15C-07321",L14="15C-07437",L14="15C-10691",L14="15C-10812",L14="15C-11200",L14="15C-11486",L14="15C-12812",L14="15C-12832",L14="15C-12874",L14="15C-12876",L14="15C-13616",L14="15C-13840",L14="15C-15237",L14="15C-06125",L14="15C-25555",L14="15C-11549",L14="15C-11732",L14="15C-11856",L14="15C-12593",L14="15C-12643",L14="15C-13368",L14="15C-13568",L14="15C-13959",L14="15C-13969",L14="15C-13958",L14="15C-03426"),"Hoàng Sơn",IF(L14="15C-03470","Hoàng Sơn",IF(OR(L14="15C-25418",L14="15C-01889",L14="15C-01584"),"Yến Tuân",IF(L14="15C-13036","Cậu Mợ","Tên CX"))))</f>
        <v>Tên CX</v>
      </c>
      <c r="L14" s="123"/>
      <c r="M14" s="198" t="str">
        <f>IF(L14="15C-03470","Ngô Quang Hưng",IF(L14="15C-01889","Lê Đình Giáp",IF(L14="15C-25418","Ngụy Văn Điệp",IF(L14="15C-13036","Ngụy Văn Toàn",IF(L14="15C-11549","Chưa có tài",IF(L14="15C-11732","Đồng Ngọc Điểm",IF(L14="15C-11856","Trần Văn Hiển",IF(L14="15C-12593","Bùi Bá Thành",IF(L14="15C-12643","Bùi Đức Thành",IF(L14="15C-13368","Vũ Đức Chiến",IF(L14="15C-13568","Nguyễn Văn Ca",IF(L14="15C-13959","Phạm Viết Thành",IF(L14="15C-13969","Vũ Đình Huyên",IF(L14="15C-13958","Vũ Đình Hà",IF(L14="15C-07321","Phạm Đăng Khoa",IF(L14="15C-07437","Trương Văn Cao",IF(L14="15C-10691","Phạm Văn Thượng",IF(L14="15C-10812","Bùi Xuân Văn",IF(L14="15C-11200","Nguyễn Văn Minh",IF(L14="15C-11486","Phạm Văn Tuấn",IF(L14="15C-12812","Mai Văn Sơn",IF(L14="15C-12832","Trần Công Anh",IF(L14="15C-12874","Phạm Văn Tuân",IF(L14="15C-12876","Nguyễn Vinh Hiển",IF(L14="15C-13616","Phan Văn Tôn",IF(L14="15C-13840","Hoàng Văn Hưng",IF(L14="15C-15237","Phạm Văn Thịnh",IF(L14="15C-06125","Đoàn Văn Hà",IF(L14="15C-25029","Phạm Văn Hai",IF(L14="15C-25555","Trần Ngọc Kỷ",IF(L14="15C-03426","Phạm Hoàng Quyết",IF(L14="15C-01584","Nguyễn Đắc Đạt","Tên LX"))))))))))))))))))))))))))))))))</f>
        <v>Tên LX</v>
      </c>
      <c r="N14" s="197" t="str">
        <f>RIGHT(H14,2)</f>
        <v>HS</v>
      </c>
      <c r="O14" s="199" t="str">
        <f>IF(N14="TC",189,N14)</f>
        <v>HS</v>
      </c>
      <c r="P14" s="197" t="s">
        <v>12766</v>
      </c>
      <c r="Q14" s="197"/>
      <c r="R14" s="200" t="s">
        <v>12767</v>
      </c>
      <c r="S14" s="201">
        <v>1</v>
      </c>
      <c r="T14" s="202">
        <v>61.475000000000001</v>
      </c>
      <c r="U14" s="203">
        <v>600000</v>
      </c>
      <c r="V14" s="204">
        <f>T14*U14</f>
        <v>36885000</v>
      </c>
      <c r="W14" s="199" t="s">
        <v>37</v>
      </c>
      <c r="X14" s="199" t="str">
        <f>IF(W14="RLL","OK/NO",0)</f>
        <v>OK/NO</v>
      </c>
      <c r="Y14" s="199" t="str">
        <f>LEFT(J14,3)</f>
        <v>DKG</v>
      </c>
      <c r="Z14" s="205">
        <v>3000000</v>
      </c>
      <c r="AA14" s="198"/>
      <c r="AB14" s="206">
        <f t="shared" si="7"/>
        <v>1</v>
      </c>
      <c r="AC14" s="206" t="str">
        <f t="shared" si="8"/>
        <v>HS</v>
      </c>
      <c r="AD14" s="207" t="str">
        <f t="shared" si="9"/>
        <v>DKG&lt;-&gt;Hà Đông, Hà Nội</v>
      </c>
      <c r="AE14" s="199" t="str">
        <f t="shared" si="32"/>
        <v>Mã CX</v>
      </c>
      <c r="AF14" s="199">
        <f t="shared" si="10"/>
        <v>0</v>
      </c>
      <c r="AG14" s="202">
        <f t="shared" si="11"/>
        <v>61.475000000000001</v>
      </c>
      <c r="AH14" s="205">
        <f t="shared" si="11"/>
        <v>600000</v>
      </c>
      <c r="AI14" s="205">
        <f t="shared" si="11"/>
        <v>36885000</v>
      </c>
      <c r="AJ14" s="199" t="str">
        <f t="shared" si="12"/>
        <v>DKG</v>
      </c>
      <c r="AK14" s="205">
        <f t="shared" si="12"/>
        <v>3000000</v>
      </c>
      <c r="AL14" s="205">
        <f t="shared" si="13"/>
        <v>2900000</v>
      </c>
      <c r="AM14" s="205">
        <f t="shared" si="14"/>
        <v>100000</v>
      </c>
      <c r="AN14" s="198"/>
      <c r="AO14" s="202">
        <f t="shared" si="15"/>
        <v>58.401249999999997</v>
      </c>
      <c r="AP14" s="202"/>
      <c r="AQ14" s="205">
        <f>IF(AND(Y14="DKG",H14="Cont",I14="VD.HN.DKG"),4000000/AO14,IF(AND(Y14="DKG",A14&gt;=1,I14="CLH.HS"),1100000,IF(AND(Y14="DKG",A14&gt;=1,I14="CDV.HS"),800000,IF(AND(Y14="DKG",A14&gt;=1,I14="HS.HA"),800000/AO14,IF(AND(Y14="DKG",A14&gt;=1,I14="CHP.HS"),800000/AO14,IF(AND(Y14="DKG",A14&gt;=1,I14="KH.DKG"),V14-1000000,IF(Y14="DKG",AH14-65000,IF(Y14="THG",AH14,0))))))))</f>
        <v>535000</v>
      </c>
      <c r="AR14" s="205">
        <f t="shared" si="17"/>
        <v>31244668.75</v>
      </c>
      <c r="AS14" s="205">
        <f t="shared" si="18"/>
        <v>5640331.25</v>
      </c>
      <c r="AT14" s="198">
        <f t="shared" si="19"/>
        <v>0</v>
      </c>
      <c r="AU14" s="208">
        <f t="shared" si="20"/>
        <v>3.073750000000004</v>
      </c>
      <c r="AV14" s="208"/>
      <c r="AW14" s="209">
        <f t="shared" si="21"/>
        <v>1834999.9999999977</v>
      </c>
      <c r="AX14" s="209">
        <f t="shared" si="22"/>
        <v>5640331.25</v>
      </c>
      <c r="AY14" s="209">
        <f t="shared" si="23"/>
        <v>0</v>
      </c>
      <c r="AZ14" s="210">
        <f t="shared" si="33"/>
        <v>51225</v>
      </c>
      <c r="BA14" s="210">
        <f t="shared" si="24"/>
        <v>511301</v>
      </c>
      <c r="BB14" s="210">
        <f t="shared" si="25"/>
        <v>5123</v>
      </c>
      <c r="BC14" s="210">
        <f t="shared" si="26"/>
        <v>0</v>
      </c>
      <c r="BD14" s="210">
        <f t="shared" si="27"/>
        <v>331</v>
      </c>
      <c r="BE14" s="210">
        <f t="shared" si="28"/>
        <v>0</v>
      </c>
      <c r="BF14" s="211">
        <f t="shared" si="34"/>
        <v>0</v>
      </c>
      <c r="BG14" s="169" t="s">
        <v>12763</v>
      </c>
      <c r="BH14" s="169" t="str">
        <f t="shared" si="29"/>
        <v xml:space="preserve">TDG xe </v>
      </c>
      <c r="BI14" s="211" t="str">
        <f t="shared" si="30"/>
        <v>G</v>
      </c>
      <c r="BJ14" s="170"/>
      <c r="BM14" s="212" t="str">
        <f t="shared" si="35"/>
        <v>CG01212</v>
      </c>
      <c r="BN14" s="212" t="str">
        <f t="shared" si="36"/>
        <v>Hải Quyên (MDHP) 0982887777</v>
      </c>
      <c r="BO14" s="212" t="str">
        <f t="shared" si="37"/>
        <v>DKG&lt;-&gt;Hà Đông, Hà Nội</v>
      </c>
      <c r="BQ14" s="209">
        <f t="shared" si="38"/>
        <v>600000</v>
      </c>
      <c r="BR14" s="222">
        <f>IF(OR(BM14="CG01889",BM14="CG01675",BM14="CG01968",BM14="CG00711",BM14="CG00679"),VLOOKUP(J14,#REF!,4,0),IF(OR(BM14="CG02085",BM14="CG02102"),VLOOKUP(J14,#REF!,6,0),0))</f>
        <v>0</v>
      </c>
      <c r="BS14" s="222">
        <f>IF(OR(BM14="CG01889",BM14="CG01675",BM14="CG01968",BM14="CG00711",BM14="CG00679"),VLOOKUP(J14,#REF!,5,0),IF(OR(BM14="CG02085",BM14="CG02102"),VLOOKUP(J14,#REF!,7,0),0))</f>
        <v>0</v>
      </c>
    </row>
    <row r="15" spans="1:78" s="212" customFormat="1" ht="20.100000000000001" customHeight="1" x14ac:dyDescent="0.3">
      <c r="A15" s="191">
        <v>2</v>
      </c>
      <c r="B15" s="192">
        <v>44433</v>
      </c>
      <c r="C15" s="191" t="s">
        <v>10272</v>
      </c>
      <c r="D15" s="193" t="s">
        <v>10273</v>
      </c>
      <c r="E15" s="194" t="s">
        <v>10275</v>
      </c>
      <c r="F15" s="193" t="s">
        <v>10274</v>
      </c>
      <c r="G15" s="193"/>
      <c r="H15" s="191" t="s">
        <v>12793</v>
      </c>
      <c r="I15" s="195" t="s">
        <v>11581</v>
      </c>
      <c r="J15" s="196" t="s">
        <v>12794</v>
      </c>
      <c r="K15" s="197" t="s">
        <v>232</v>
      </c>
      <c r="L15" s="201" t="s">
        <v>68</v>
      </c>
      <c r="M15" s="198" t="s">
        <v>12795</v>
      </c>
      <c r="N15" s="197" t="s">
        <v>196</v>
      </c>
      <c r="O15" s="199" t="s">
        <v>196</v>
      </c>
      <c r="P15" s="197">
        <v>0</v>
      </c>
      <c r="Q15" s="197"/>
      <c r="R15" s="200" t="s">
        <v>12796</v>
      </c>
      <c r="S15" s="201"/>
      <c r="T15" s="202">
        <v>1</v>
      </c>
      <c r="U15" s="203">
        <v>1000000</v>
      </c>
      <c r="V15" s="204">
        <v>1000000</v>
      </c>
      <c r="W15" s="199" t="s">
        <v>37</v>
      </c>
      <c r="X15" s="199" t="s">
        <v>12797</v>
      </c>
      <c r="Y15" s="199" t="s">
        <v>12798</v>
      </c>
      <c r="Z15" s="205">
        <v>200000</v>
      </c>
      <c r="AA15" s="198" t="s">
        <v>12792</v>
      </c>
      <c r="AB15" s="206">
        <v>8</v>
      </c>
      <c r="AC15" s="206" t="s">
        <v>12793</v>
      </c>
      <c r="AD15" s="207" t="s">
        <v>12794</v>
      </c>
      <c r="AE15" s="199" t="s">
        <v>10325</v>
      </c>
      <c r="AF15" s="199" t="s">
        <v>68</v>
      </c>
      <c r="AG15" s="202">
        <v>1</v>
      </c>
      <c r="AH15" s="205">
        <v>1000000</v>
      </c>
      <c r="AI15" s="205">
        <v>1000000</v>
      </c>
      <c r="AJ15" s="199" t="s">
        <v>12798</v>
      </c>
      <c r="AK15" s="205">
        <v>200000</v>
      </c>
      <c r="AL15" s="205">
        <v>200000</v>
      </c>
      <c r="AM15" s="205">
        <v>0</v>
      </c>
      <c r="AN15" s="198"/>
      <c r="AO15" s="202">
        <v>1</v>
      </c>
      <c r="AP15" s="202"/>
      <c r="AQ15" s="205">
        <v>1000000</v>
      </c>
      <c r="AR15" s="205">
        <v>1000000</v>
      </c>
      <c r="AS15" s="205">
        <v>0</v>
      </c>
      <c r="AT15" s="198" t="s">
        <v>12792</v>
      </c>
      <c r="AU15" s="208">
        <f t="shared" si="20"/>
        <v>1</v>
      </c>
      <c r="AV15" s="208"/>
      <c r="AW15" s="209">
        <f t="shared" si="21"/>
        <v>0</v>
      </c>
      <c r="AX15" s="209">
        <f t="shared" si="22"/>
        <v>0</v>
      </c>
      <c r="AY15" s="209">
        <f t="shared" si="23"/>
        <v>0</v>
      </c>
      <c r="AZ15" s="210">
        <f t="shared" si="33"/>
        <v>512134</v>
      </c>
      <c r="BA15" s="210">
        <f t="shared" si="24"/>
        <v>511301</v>
      </c>
      <c r="BB15" s="210">
        <f t="shared" si="25"/>
        <v>5123</v>
      </c>
      <c r="BC15" s="210">
        <f t="shared" si="26"/>
        <v>0</v>
      </c>
      <c r="BD15" s="210">
        <f t="shared" si="27"/>
        <v>0</v>
      </c>
      <c r="BE15" s="210">
        <f t="shared" si="28"/>
        <v>15401</v>
      </c>
      <c r="BF15" s="211">
        <f t="shared" si="34"/>
        <v>6121134</v>
      </c>
      <c r="BG15" s="169" t="s">
        <v>12763</v>
      </c>
      <c r="BH15" s="169" t="str">
        <f t="shared" si="29"/>
        <v>TDG xe 15C-12643</v>
      </c>
      <c r="BI15" s="211" t="str">
        <f t="shared" si="30"/>
        <v>G</v>
      </c>
      <c r="BJ15" s="170">
        <f t="shared" ca="1" si="31"/>
        <v>45492</v>
      </c>
      <c r="BM15" s="212" t="str">
        <f t="shared" si="35"/>
        <v>CG03173</v>
      </c>
      <c r="BN15" s="212" t="str">
        <f t="shared" si="36"/>
        <v>Công ty TNHH GreenSky Logistics Việt Nam (Trung) 0705664779</v>
      </c>
      <c r="BO15" s="212" t="str">
        <f t="shared" si="37"/>
        <v>DKG&lt;-&gt;Lưu ca xe</v>
      </c>
      <c r="BQ15" s="209">
        <f t="shared" si="38"/>
        <v>1000000</v>
      </c>
      <c r="BR15" s="222">
        <f>IF(OR(BM15="CG01889",BM15="CG01675",BM15="CG01968",BM15="CG00711",BM15="CG00679"),VLOOKUP(J15,#REF!,4,0),IF(OR(BM15="CG02085",BM15="CG02102"),VLOOKUP(J15,#REF!,6,0),0))</f>
        <v>0</v>
      </c>
      <c r="BS15" s="222">
        <f>IF(OR(BM15="CG01889",BM15="CG01675",BM15="CG01968",BM15="CG00711",BM15="CG00679"),VLOOKUP(J15,#REF!,5,0),IF(OR(BM15="CG02085",BM15="CG02102"),VLOOKUP(J15,#REF!,7,0),0))</f>
        <v>0</v>
      </c>
      <c r="BT15" s="212">
        <v>4100000</v>
      </c>
    </row>
    <row r="16" spans="1:78" s="212" customFormat="1" ht="20.100000000000001" customHeight="1" x14ac:dyDescent="0.3">
      <c r="A16" s="191">
        <v>3</v>
      </c>
      <c r="B16" s="192">
        <v>44430</v>
      </c>
      <c r="C16" s="191"/>
      <c r="D16" s="193"/>
      <c r="E16" s="194"/>
      <c r="F16" s="193"/>
      <c r="G16" s="193"/>
      <c r="H16" s="191" t="s">
        <v>12761</v>
      </c>
      <c r="I16" s="195" t="s">
        <v>10844</v>
      </c>
      <c r="J16" s="196" t="s">
        <v>10845</v>
      </c>
      <c r="K16" s="197" t="str">
        <f t="shared" si="39"/>
        <v>Hoàng Sơn</v>
      </c>
      <c r="L16" s="201" t="s">
        <v>120</v>
      </c>
      <c r="M16" s="198" t="str">
        <f t="shared" si="0"/>
        <v>Vũ Đình Hà</v>
      </c>
      <c r="N16" s="197" t="str">
        <f t="shared" si="1"/>
        <v>CT</v>
      </c>
      <c r="O16" s="199" t="str">
        <f t="shared" si="2"/>
        <v>CT</v>
      </c>
      <c r="P16" s="197">
        <f t="shared" si="3"/>
        <v>0</v>
      </c>
      <c r="Q16" s="197"/>
      <c r="R16" s="200" t="s">
        <v>12769</v>
      </c>
      <c r="S16" s="201"/>
      <c r="T16" s="202">
        <v>1</v>
      </c>
      <c r="U16" s="203">
        <v>4400000</v>
      </c>
      <c r="V16" s="204">
        <f t="shared" si="4"/>
        <v>4400000</v>
      </c>
      <c r="W16" s="199" t="s">
        <v>37</v>
      </c>
      <c r="X16" s="199" t="str">
        <f t="shared" si="5"/>
        <v>OK/NO</v>
      </c>
      <c r="Y16" s="199" t="str">
        <f t="shared" si="6"/>
        <v>DKG</v>
      </c>
      <c r="Z16" s="205">
        <v>1100000</v>
      </c>
      <c r="AA16" s="198" t="s">
        <v>12768</v>
      </c>
      <c r="AB16" s="206">
        <f t="shared" si="7"/>
        <v>3</v>
      </c>
      <c r="AC16" s="206" t="str">
        <f t="shared" si="8"/>
        <v>CT</v>
      </c>
      <c r="AD16" s="207" t="str">
        <f t="shared" si="9"/>
        <v>DKG&lt;-&gt;Chuyển tải khu vực CĐV-HS</v>
      </c>
      <c r="AE16" s="199" t="str">
        <f t="shared" si="32"/>
        <v>CX001</v>
      </c>
      <c r="AF16" s="199" t="str">
        <f t="shared" si="10"/>
        <v>15C-13958</v>
      </c>
      <c r="AG16" s="202">
        <f t="shared" si="11"/>
        <v>1</v>
      </c>
      <c r="AH16" s="205">
        <f t="shared" si="11"/>
        <v>4400000</v>
      </c>
      <c r="AI16" s="205">
        <f t="shared" si="11"/>
        <v>4400000</v>
      </c>
      <c r="AJ16" s="199" t="str">
        <f t="shared" si="12"/>
        <v>DKG</v>
      </c>
      <c r="AK16" s="205">
        <f t="shared" si="12"/>
        <v>1100000</v>
      </c>
      <c r="AL16" s="205">
        <f t="shared" si="13"/>
        <v>1100000</v>
      </c>
      <c r="AM16" s="205">
        <f t="shared" si="14"/>
        <v>0</v>
      </c>
      <c r="AN16" s="198"/>
      <c r="AO16" s="202">
        <f t="shared" si="15"/>
        <v>1</v>
      </c>
      <c r="AP16" s="202"/>
      <c r="AQ16" s="205">
        <f t="shared" si="16"/>
        <v>800000</v>
      </c>
      <c r="AR16" s="205">
        <f t="shared" si="17"/>
        <v>800000</v>
      </c>
      <c r="AS16" s="205">
        <f t="shared" si="18"/>
        <v>3600000</v>
      </c>
      <c r="AT16" s="198" t="str">
        <f t="shared" si="19"/>
        <v>Vạn An</v>
      </c>
      <c r="AU16" s="208">
        <f t="shared" si="20"/>
        <v>1</v>
      </c>
      <c r="AV16" s="208"/>
      <c r="AW16" s="209">
        <f t="shared" si="21"/>
        <v>3600000</v>
      </c>
      <c r="AX16" s="209">
        <f t="shared" si="22"/>
        <v>3600000</v>
      </c>
      <c r="AY16" s="209">
        <f t="shared" si="23"/>
        <v>0</v>
      </c>
      <c r="AZ16" s="210">
        <f t="shared" si="33"/>
        <v>512139</v>
      </c>
      <c r="BA16" s="210">
        <f t="shared" si="24"/>
        <v>511301</v>
      </c>
      <c r="BB16" s="210">
        <f t="shared" si="25"/>
        <v>5123</v>
      </c>
      <c r="BC16" s="210">
        <f t="shared" si="26"/>
        <v>0</v>
      </c>
      <c r="BD16" s="210">
        <f t="shared" si="27"/>
        <v>0</v>
      </c>
      <c r="BE16" s="210">
        <f t="shared" si="28"/>
        <v>15401</v>
      </c>
      <c r="BF16" s="211">
        <f t="shared" si="34"/>
        <v>6121139</v>
      </c>
      <c r="BG16" s="169" t="s">
        <v>12763</v>
      </c>
      <c r="BH16" s="169" t="str">
        <f t="shared" si="29"/>
        <v>TDG xe 15C-13958</v>
      </c>
      <c r="BI16" s="211" t="str">
        <f t="shared" si="30"/>
        <v>G</v>
      </c>
      <c r="BJ16" s="170">
        <f t="shared" ca="1" si="31"/>
        <v>45492</v>
      </c>
      <c r="BM16" s="212">
        <f t="shared" si="35"/>
        <v>0</v>
      </c>
      <c r="BN16" s="212">
        <f t="shared" si="36"/>
        <v>0</v>
      </c>
      <c r="BO16" s="212" t="str">
        <f t="shared" si="37"/>
        <v>DKG&lt;-&gt;Chuyển tải khu vực CĐV-HS</v>
      </c>
      <c r="BQ16" s="209">
        <f t="shared" si="38"/>
        <v>4400000</v>
      </c>
      <c r="BR16" s="222">
        <f>IF(OR(BM16="CG01889",BM16="CG01675",BM16="CG01968",BM16="CG00711",BM16="CG00679"),VLOOKUP(J16,#REF!,4,0),IF(OR(BM16="CG02085",BM16="CG02102"),VLOOKUP(J16,#REF!,6,0),0))</f>
        <v>0</v>
      </c>
      <c r="BS16" s="222">
        <f>IF(OR(BM16="CG01889",BM16="CG01675",BM16="CG01968",BM16="CG00711",BM16="CG00679"),VLOOKUP(J16,#REF!,5,0),IF(OR(BM16="CG02085",BM16="CG02102"),VLOOKUP(J16,#REF!,7,0),0))</f>
        <v>0</v>
      </c>
      <c r="BT16" s="212">
        <v>4100000</v>
      </c>
    </row>
    <row r="17" spans="1:72" s="212" customFormat="1" ht="20.100000000000001" customHeight="1" x14ac:dyDescent="0.3">
      <c r="A17" s="191">
        <v>4</v>
      </c>
      <c r="B17" s="192">
        <v>44411</v>
      </c>
      <c r="C17" s="193" t="s">
        <v>197</v>
      </c>
      <c r="D17" s="193" t="s">
        <v>13031</v>
      </c>
      <c r="E17" s="194"/>
      <c r="F17" s="193"/>
      <c r="G17" s="193"/>
      <c r="H17" s="191" t="s">
        <v>12761</v>
      </c>
      <c r="I17" s="195" t="s">
        <v>10896</v>
      </c>
      <c r="J17" s="196" t="s">
        <v>10897</v>
      </c>
      <c r="K17" s="197" t="str">
        <f t="shared" ref="K17" si="40">IF(OR(L17="15C-25029",L17="15C-07321",L17="15C-07437",L17="15C-10036",L17="15C-10050",L17="15C-10086",L17="15C-10156",L17="15C-10196",L17="15C-10286",L17="15C-10691",L17="15C-10812",L17="15C-11200",L17="15C-11486",L17="15C-12812",L17="15C-12832",L17="15C-12874",L17="15C-12876",L17="15C-13616",L17="15C-13840",L17="15C-15237",L17="15C-15593",L17="15C-06125",L17="16H-3322",L17="16H-8407",L17="15C-19170",L17="15C-19043",L17="15C-25555",L17="15C-10094",L17="15C-11549",L17="15C-11732",L17="15C-11856",L17="15C-12593",L17="15C-12643",L17="15C-13368",L17="15C-13568",L17="15C-13959",L17="15C-13969",L17="15C-13958", L17="15C-03426", L17="15C-23521"),"Hoàng Sơn",IF(L17="15C-03470","Hoàng Sơn",IF(L17="15C-10645","Hoàng Sơn",IF(OR(L17="15C-25418",L17="15C-01889",L17="15C-01584"),"Yến Tuân",IF(L17="15C-11479","Ông Bà",IF(L17="15C-13036","Cậu Mợ",IF(L17="15C-07937","Điệp",IF(L17="15C-13681","Cường Giang","Nhập tên CX"))))))))</f>
        <v>Hoàng Sơn</v>
      </c>
      <c r="L17" s="123" t="s">
        <v>65</v>
      </c>
      <c r="M17" s="198" t="str">
        <f t="shared" si="0"/>
        <v>Phạm Đăng Khoa</v>
      </c>
      <c r="N17" s="197" t="str">
        <f t="shared" si="1"/>
        <v>CT</v>
      </c>
      <c r="O17" s="199" t="str">
        <f t="shared" si="2"/>
        <v>CT</v>
      </c>
      <c r="P17" s="197">
        <f t="shared" si="3"/>
        <v>0</v>
      </c>
      <c r="Q17" s="197"/>
      <c r="R17" s="200" t="s">
        <v>13032</v>
      </c>
      <c r="S17" s="201"/>
      <c r="T17" s="202">
        <v>1</v>
      </c>
      <c r="U17" s="203">
        <v>1250000</v>
      </c>
      <c r="V17" s="204">
        <f t="shared" si="4"/>
        <v>1250000</v>
      </c>
      <c r="W17" s="199" t="s">
        <v>37</v>
      </c>
      <c r="X17" s="199" t="str">
        <f t="shared" si="5"/>
        <v>OK/NO</v>
      </c>
      <c r="Y17" s="199" t="str">
        <f t="shared" si="6"/>
        <v>DKG</v>
      </c>
      <c r="Z17" s="205">
        <v>150000</v>
      </c>
      <c r="AA17" s="198"/>
      <c r="AB17" s="206">
        <f t="shared" si="7"/>
        <v>4</v>
      </c>
      <c r="AC17" s="206" t="str">
        <f t="shared" si="8"/>
        <v>CT</v>
      </c>
      <c r="AD17" s="207" t="str">
        <f t="shared" si="9"/>
        <v>DKG&lt;-&gt;Chuyển tải khu vực CLH-HS</v>
      </c>
      <c r="AE17" s="199" t="str">
        <f t="shared" ref="AE17" si="41">IF(OR(L17="15C-23521",L17="15C-07321",L17="15C-07437",L17="15C-10036",L17="15C-10050",L17="15C-10086",L17="15C-10156",L17="15C-10196",L17="15C-10286",L17="15C-10691",L17="15C-10812",L17="15C-11200",L17="15C-11486",L17="15C-12812",L17="15C-12832",L17="15C-12874",L17="15C-12876",L17="15C-13616",L17="15C-13840",L17="15C-15237",L17="15C-15593",L17="15C-06125",L17="16H-3322",L17="15C-19170",L17="15C-19043",L17="15C-25555",L17="15C-10094",L17="15C-11549",L17="15C-11732",L17="15C-11856",L17="15C-12593",L17="15C-12643",L17="15C-13368",L17="15C-13568",L17="15C-13959",L17="15C-13969",L17="15C-13958"),"CX001",IF(L17="15C-03426","CX055",IF(L17="15C-03470","CX002",IF(L17="15C-10645","CX001",IF(L17="15C-01584","CX057",IF(L17="15C-25418","CX056",IF(L17="15C-01889","CX004",IF(L17="15C-11479","CX005",IF(L17="15C-13036","CX006",IF(K17="Tân Hoàng Hiệp","CX007",IF(K17="Sơn Long","CX008",IF(K17="Phương Thành","CX009",IF(K17="Phúc Hưng","CX010",IF(K17="Nhật Nam","CX011",IF(K17="Liên Thành","CX012",IF(K17="Thuận Phú Thành","CX013",IF(K17="Hùng Hà","CX014",IF(K17="An Phát","CX015",IF(K17="Đức Thắng","CX016",IF(K17="Kim Khánh","CX017",IF(K17="Hải Nam","CX018",IF(K17="Đức Long","CX019",IF(K17="TNG","CX020",IF(K17="Hải Con","CX021",IF(K17="Tấn Phát","CX022",IF(K17="Tuấn Đạt","CX023",IF(K17="Trung Đông","CX024",IF(K17="Vạn An","CX025",IF(K17="An Bình (Bình đường ngắn)","CX026",IF(K17="Dũng (Phạm Hà)","CX027",IF(K17="Bình đường dài","CX028",IF(K17="Hoàng Khoa","CX029",IF(K17="Thịnh HD","CX030",IF(K17="Luân Hòa","CX031",IF(K17="Việt Sơn","CX032",IF(K17="Ngọc Đạt","CX033",IF(K17="Hoàng Ngọc Phát","CX034",IF(K17="Phú Hùng","CX035",IF(K17="Minh Loan","CX036",IF(K17="Chủ xe lẻ","CX037",IF(K17="Trường Xuân","CX038",IF(K17="Điệp","CX039",IF(L17="15C-25029","CX040",IF(K17="Tùng Bách","CX041",IF(K17="Huy Hoàng","CX042",IF(K17="Sơn nét","CX043",IF(K17="Dũng Lan","CX044",IF(K17="Ly","CX048",IF(K17="Hoàng Thành","CX045",IF(K17="Miền Bắc","CX047",IF(K17="Vũ Trí","CX053",IF(K17="Anh Cụt","CX054",IF(K17="Quý Cương","CX049",IF(K17="Vietfract","CX050",IF(K17="Đăng Ngọc","CX058",IF(K17="Quang Trường","CX051",IF(K17="Cường Giang","CX059",IF(K17="Tiến Sẹo","CX060",IF(K17="Công Thành","CX073",IF(K17="Anh Sức","CX074",IF(K17="Trang Hà","CG01994",IF(K17="NamTraCo","CG00444",IF(K17="Tùng (Nam Khang)"," CS00082","Mã CX")))))))))))))))))))))))))))))))))))))))))))))))))))))))))))))))</f>
        <v>CX001</v>
      </c>
      <c r="AF17" s="199" t="str">
        <f t="shared" si="10"/>
        <v>15C-07321</v>
      </c>
      <c r="AG17" s="202">
        <f t="shared" si="11"/>
        <v>1</v>
      </c>
      <c r="AH17" s="205">
        <f t="shared" si="11"/>
        <v>1250000</v>
      </c>
      <c r="AI17" s="205">
        <f t="shared" si="11"/>
        <v>1250000</v>
      </c>
      <c r="AJ17" s="199" t="str">
        <f t="shared" si="12"/>
        <v>DKG</v>
      </c>
      <c r="AK17" s="205">
        <f t="shared" si="12"/>
        <v>150000</v>
      </c>
      <c r="AL17" s="205">
        <f t="shared" si="13"/>
        <v>150000</v>
      </c>
      <c r="AM17" s="205">
        <f t="shared" si="14"/>
        <v>0</v>
      </c>
      <c r="AN17" s="198"/>
      <c r="AO17" s="202">
        <f t="shared" si="15"/>
        <v>1</v>
      </c>
      <c r="AP17" s="202"/>
      <c r="AQ17" s="205">
        <f t="shared" si="16"/>
        <v>1100000</v>
      </c>
      <c r="AR17" s="205">
        <f t="shared" si="17"/>
        <v>1100000</v>
      </c>
      <c r="AS17" s="205">
        <f t="shared" si="18"/>
        <v>150000</v>
      </c>
      <c r="AT17" s="198">
        <f t="shared" si="19"/>
        <v>0</v>
      </c>
      <c r="AU17" s="208">
        <f t="shared" si="20"/>
        <v>1</v>
      </c>
      <c r="AV17" s="208"/>
      <c r="AW17" s="209">
        <f t="shared" si="21"/>
        <v>150000</v>
      </c>
      <c r="AX17" s="209">
        <f t="shared" si="22"/>
        <v>150000</v>
      </c>
      <c r="AY17" s="209">
        <f t="shared" si="23"/>
        <v>0</v>
      </c>
      <c r="AZ17" s="210">
        <f t="shared" ref="AZ17" si="42">IF(AND(AE17="CX001",L17="15C-03426"),512140,IF(AND(AE17="CX001",L17="15C-23521"),512141,IF(AND(AE17="CX001",L17="15C-07321"),512101,IF(AND(AE17="CX001",L17="15C-07437"),512102,IF(AND(AE17="CX001",L17="15C-10036"),512103,IF(AND(AE17="CX001",L17="15C-10050"),512104,IF(AND(AE17="CX001",L17="15C-10086"),512105,IF(AND(AE17="CX001",L17="15C-10156"),512106,IF(AND(AE17="CX001",L17="15C-10196"),512107,IF(AND(AE17="CX001",L17="15C-10286"),512108,IF(AND(AE17="CX001",L17="15C-10691"),512109,IF(AND(AE17="CX001",L17="15C-10812"),512110,IF(AND(AE17="CX001",L17="15C-11200"),512111,IF(AND(AE17="CX001",L17="15C-11486"),512112,IF(AND(AE17="CX001",L17="15C-12812"),512113,IF(AND(AE17="CX001",L17="15C-12832"),512114,IF(AND(AE17="CX001",L17="15C-12874"),512115,IF(AND(AE17="CX001",L17="15C-12876"),512116,IF(AND(AE17="CX001",L17="15C-13616"),512117,IF(AND(AE17="CX001",L17="15C-13840"),512118,IF(AND(AE17="CX001",L17="15C-15237"),512119,IF(AND(AE17="CX001",L17="15C-15593"),512120,IF(AND(AE17="CX001",L17="15C-06125"),512121,IF(AND(AE17="CX001",L17="16H-3322"),512122,IF(AND(AE17="CX040",L17="15C-25029"),51226,IF(AND(AE17="CX001",L17="15C-25029"),512124,IF(AND(AE17="CX001",L17="15C-19170"),512125,IF(AND(AE17="CX001",L17="15C-19043"),512126,IF(AND(AE17="CX001",L17="15C-25555"),512127,IF(AND(AE17="CX001",L17="15C-11549"),512130,IF(AND(AE17="CX001",L17="15C-11732"),512131,IF(AND(AE17="CX001",L17="15C-11856"),512132,IF(AND(AE17="CX001",L17="15C-12593"),512133,IF(AND(AE17="CX001",L17="15C-12643"),512134,IF(AND(AE17="CX001",L17="15C-13368"),512135,IF(AND(AE17="CX001",L17="15C-13568"),512136,IF(AND(AE17="CX001",L17="15C-13959"),512137,IF(AND(AE17="CX001",L17="15C-13969"),512138,IF(AND(AE17="CX001",L17="15C-13958"),512139,IF(AND(AE17="CX055",L17="15C-03426"),512213,IF(AND(AE17="CX002",L17="15C-03470"),512212,IF(AND(AE17="CX001",L17="15C-10645"),512129,IF(AND(AE17="CX057",L17="15C-01584"),512223,IF(AND(AE17="CX056",L17="15C-25418"),512222,IF(AND(AE17="CX004",L17="15C-01889"),512221,IF(AND(AE17="CX005",L17="15C-11479"),51223,IF(AND(AE17="CX006",L17="15C-13036"),51224,IF(AND(AE17="CX001",L17="15C-10094"),521,51225))))))))))))))))))))))))))))))))))))))))))))))))</f>
        <v>512101</v>
      </c>
      <c r="BA17" s="210">
        <f t="shared" si="24"/>
        <v>511301</v>
      </c>
      <c r="BB17" s="210">
        <f t="shared" si="25"/>
        <v>5123</v>
      </c>
      <c r="BC17" s="210">
        <f t="shared" ref="BC17" si="43">IF(AN17="Phú","NV018",IF(AN17="Giang","NV006",IF(AN17="Quang","NV024",IF(AN17="Kỳ","NV023",0))))</f>
        <v>0</v>
      </c>
      <c r="BD17" s="210">
        <f t="shared" si="27"/>
        <v>0</v>
      </c>
      <c r="BE17" s="210">
        <f t="shared" si="28"/>
        <v>15401</v>
      </c>
      <c r="BF17" s="211">
        <f t="shared" ref="BF17" si="44">IF(AND(AE17="CX001",L17="15C-03426"),6121140,IF(AND(AE17="CX001",L17="15C-23521"),6121141,IF(AND(AE17="CX001",L17="15C-11549"),6121130,IF(AND(AE17="CX001",L17="15C-11732"),6121131,IF(AND(AE17="CX001",L17="15C-11856"),6121132,IF(AND(AE17="CX001",L17="15C-12593"),6121133,IF(AND(AE17="CX001",L17="15C-12643"),6121134,IF(AND(AE17="CX001",L17="15C-13368"),6121135,IF(AND(AE17="CX001",L17="15C-13568"),6121136,IF(AND(AE17="CX001",L17="15C-13959"),6121137,IF(AND(AE17="CX001",L17="15C-13969"),6121138,IF(AND(AE17="CX001",L17="15C-13958"),6121139,IF(AND(AE17="CX001",L17="15C-07321"),6121101,IF(AND(AE17="CX001",L17="15C-07437"),6121102,IF(AND(AE17="CX001",L17="15C-10036"),6121103,IF(AND(AE17="CX001",L17="15C-10050"),6121104,IF(AND(AE17="CX001",L17="15C-10086"),6121105,IF(AND(AE17="CX001",L17="15C-10156"),6121106,IF(AND(AE17="CX001",L17="15C-10196"),6121107,IF(AND(AE17="CX001",L17="15C-10286"),6121108,IF(AND(AE17="CX001",L17="15C-10691"),6121109,IF(AND(AE17="CX001",L17="15C-10812"),6121110,IF(AND(AE17="CX001",L17="15C-11200"),6121111,IF(AND(AE17="CX001",L17="15C-11486"),6121112,IF(AND(AE17="CX001",L17="15C-12812"),6121113,IF(AND(AE17="CX001",L17="15C-12832"),6121114,IF(AND(AE17="CX001",L17="15C-12874"),6121115,IF(AND(AE17="CX001",L17="15C-12876"),6121116,IF(AND(AE17="CX001",L17="15C-13616"),6121117,IF(AND(AE17="CX001",L17="15C-13840"),6121118,IF(AND(AE17="CX001",L17="15C-15237"),6121119,IF(AND(AE17="CX001",L17="15C-15593"),6121120,IF(AND(AE17="CX001",L17="15C-06125"),6121121,IF(AND(AE17="CX001",L17="16H-3322"),6121122,IF(AND(AE17="CX001",L17="15C-25029"),6121124,IF(AND(AE17="CX001",L17="15C-19170"),6121125,IF(AND(AE17="CX001",L17="15C-19043"),6121126,IF(AND(AE17="CX001",L17="15C-25555"),6121127,IF(AND(AE17="CX001",L17="15C-10645"),6121129,0)))))))))))))))))))))))))))))))))))))))</f>
        <v>6121101</v>
      </c>
      <c r="BG17" s="169" t="s">
        <v>12763</v>
      </c>
      <c r="BH17" s="169" t="str">
        <f t="shared" si="29"/>
        <v>TDG xe 15C-07321</v>
      </c>
      <c r="BI17" s="211" t="str">
        <f t="shared" si="30"/>
        <v>G</v>
      </c>
      <c r="BJ17" s="170">
        <f t="shared" ca="1" si="31"/>
        <v>45492</v>
      </c>
      <c r="BM17" s="212" t="str">
        <f t="shared" si="35"/>
        <v>CG01675</v>
      </c>
      <c r="BN17" s="212" t="str">
        <f t="shared" si="36"/>
        <v>Phòng xuất nhập khẩu thuộc Mỹ Đoàn</v>
      </c>
      <c r="BO17" s="212" t="str">
        <f t="shared" si="37"/>
        <v>DKG&lt;-&gt;Chuyển tải khu vực CLH-HS</v>
      </c>
      <c r="BQ17" s="209">
        <f t="shared" si="38"/>
        <v>1250000</v>
      </c>
      <c r="BR17" s="222" t="e">
        <f>IF(OR(BM17="CG01889",BM17="CG01675",BM17="CG01968",BM17="CG00711",BM17="CG00679"),VLOOKUP(J17,#REF!,4,0),IF(OR(BM17="CG02085",BM17="CG02102"),VLOOKUP(J17,#REF!,6,0),0))</f>
        <v>#REF!</v>
      </c>
      <c r="BS17" s="222" t="e">
        <f>IF(OR(BM17="CG01889",BM17="CG01675",BM17="CG01968",BM17="CG00711",BM17="CG00679"),VLOOKUP(J17,#REF!,5,0),IF(OR(BM17="CG02085",BM17="CG02102"),VLOOKUP(J17,#REF!,7,0),0))</f>
        <v>#REF!</v>
      </c>
      <c r="BT17" s="212">
        <v>4200</v>
      </c>
    </row>
    <row r="18" spans="1:72" s="212" customFormat="1" ht="20.100000000000001" customHeight="1" x14ac:dyDescent="0.3">
      <c r="A18" s="191">
        <v>5</v>
      </c>
      <c r="B18" s="192">
        <v>44320</v>
      </c>
      <c r="C18" s="191" t="s">
        <v>2533</v>
      </c>
      <c r="D18" s="193" t="s">
        <v>2534</v>
      </c>
      <c r="E18" s="194"/>
      <c r="F18" s="193"/>
      <c r="G18" s="193"/>
      <c r="H18" s="191" t="s">
        <v>12761</v>
      </c>
      <c r="I18" s="195" t="s">
        <v>10844</v>
      </c>
      <c r="J18" s="196" t="s">
        <v>10845</v>
      </c>
      <c r="K18" s="197" t="s">
        <v>232</v>
      </c>
      <c r="L18" s="123" t="s">
        <v>92</v>
      </c>
      <c r="M18" s="198" t="s">
        <v>12816</v>
      </c>
      <c r="N18" s="197" t="s">
        <v>12761</v>
      </c>
      <c r="O18" s="199" t="s">
        <v>12761</v>
      </c>
      <c r="P18" s="197">
        <v>0</v>
      </c>
      <c r="Q18" s="197"/>
      <c r="R18" s="200" t="s">
        <v>12817</v>
      </c>
      <c r="S18" s="201"/>
      <c r="T18" s="202">
        <v>16.291166666666665</v>
      </c>
      <c r="U18" s="203">
        <v>50000</v>
      </c>
      <c r="V18" s="204">
        <f t="shared" si="4"/>
        <v>814558.33333333326</v>
      </c>
      <c r="W18" s="199"/>
      <c r="X18" s="199">
        <f t="shared" si="5"/>
        <v>0</v>
      </c>
      <c r="Y18" s="199" t="str">
        <f t="shared" si="6"/>
        <v>DKG</v>
      </c>
      <c r="Z18" s="205"/>
      <c r="AA18" s="198"/>
      <c r="AB18" s="206">
        <f t="shared" si="7"/>
        <v>5</v>
      </c>
      <c r="AC18" s="206" t="str">
        <f t="shared" si="8"/>
        <v>CT</v>
      </c>
      <c r="AD18" s="207" t="str">
        <f t="shared" si="9"/>
        <v>DKG&lt;-&gt;Chuyển tải khu vực CĐV-HS</v>
      </c>
      <c r="AE18" s="199" t="str">
        <f t="shared" si="32"/>
        <v>CX001</v>
      </c>
      <c r="AF18" s="199" t="str">
        <f t="shared" si="10"/>
        <v>15C-12832</v>
      </c>
      <c r="AG18" s="202">
        <f t="shared" si="11"/>
        <v>16.291166666666665</v>
      </c>
      <c r="AH18" s="205">
        <f t="shared" si="11"/>
        <v>50000</v>
      </c>
      <c r="AI18" s="205">
        <f t="shared" si="11"/>
        <v>814558.33333333326</v>
      </c>
      <c r="AJ18" s="199" t="str">
        <f t="shared" si="12"/>
        <v>DKG</v>
      </c>
      <c r="AK18" s="205">
        <f t="shared" si="12"/>
        <v>0</v>
      </c>
      <c r="AL18" s="205">
        <f t="shared" si="13"/>
        <v>0</v>
      </c>
      <c r="AM18" s="205">
        <f t="shared" si="14"/>
        <v>0</v>
      </c>
      <c r="AN18" s="198"/>
      <c r="AO18" s="202">
        <f t="shared" si="15"/>
        <v>15.476608333333331</v>
      </c>
      <c r="AP18" s="202"/>
      <c r="AQ18" s="205">
        <f>800000/AO18</f>
        <v>51690.912037682683</v>
      </c>
      <c r="AR18" s="205">
        <f t="shared" si="17"/>
        <v>800000</v>
      </c>
      <c r="AS18" s="205">
        <f t="shared" si="18"/>
        <v>14558.333333333256</v>
      </c>
      <c r="AT18" s="198">
        <f t="shared" si="19"/>
        <v>0</v>
      </c>
      <c r="AU18" s="208">
        <f t="shared" si="20"/>
        <v>0.81455833333333416</v>
      </c>
      <c r="AV18" s="208"/>
      <c r="AW18" s="209">
        <f t="shared" si="21"/>
        <v>17872.671284029064</v>
      </c>
      <c r="AX18" s="209">
        <f t="shared" si="22"/>
        <v>14558.333333333256</v>
      </c>
      <c r="AY18" s="209">
        <f t="shared" si="23"/>
        <v>0</v>
      </c>
      <c r="AZ18" s="210">
        <f t="shared" si="33"/>
        <v>512114</v>
      </c>
      <c r="BA18" s="210">
        <f t="shared" si="24"/>
        <v>511301</v>
      </c>
      <c r="BB18" s="210">
        <f t="shared" si="25"/>
        <v>5123</v>
      </c>
      <c r="BC18" s="210">
        <f t="shared" si="26"/>
        <v>0</v>
      </c>
      <c r="BD18" s="210">
        <f t="shared" si="27"/>
        <v>0</v>
      </c>
      <c r="BE18" s="210">
        <f t="shared" si="28"/>
        <v>15401</v>
      </c>
      <c r="BF18" s="211">
        <f t="shared" si="34"/>
        <v>6121114</v>
      </c>
      <c r="BG18" s="169" t="s">
        <v>12763</v>
      </c>
      <c r="BH18" s="169" t="str">
        <f t="shared" si="29"/>
        <v>TDG xe 15C-12832</v>
      </c>
      <c r="BI18" s="211" t="str">
        <f t="shared" si="30"/>
        <v>G</v>
      </c>
      <c r="BJ18" s="170">
        <f t="shared" ca="1" si="31"/>
        <v>45492</v>
      </c>
      <c r="BM18" s="212" t="str">
        <f t="shared" si="35"/>
        <v>CG00711</v>
      </c>
      <c r="BN18" s="212" t="str">
        <f t="shared" si="36"/>
        <v>Công ty TNHH Minh (CGHN) 0989981348</v>
      </c>
      <c r="BO18" s="212" t="str">
        <f t="shared" si="37"/>
        <v>DKG&lt;-&gt;Chuyển tải khu vực CĐV-HS</v>
      </c>
      <c r="BQ18" s="209">
        <f t="shared" si="38"/>
        <v>50000</v>
      </c>
      <c r="BR18" s="222" t="e">
        <f>IF(OR(BM18="CG01889",BM18="CG01675",BM18="CG01968",BM18="CG00711",BM18="CG00679"),VLOOKUP(J18,#REF!,4,0),IF(OR(BM18="CG02085",BM18="CG02102"),VLOOKUP(J18,#REF!,6,0),0))</f>
        <v>#REF!</v>
      </c>
      <c r="BS18" s="222"/>
    </row>
    <row r="19" spans="1:72" s="212" customFormat="1" ht="20.100000000000001" customHeight="1" x14ac:dyDescent="0.3">
      <c r="A19" s="191">
        <v>6</v>
      </c>
      <c r="B19" s="192">
        <v>44354</v>
      </c>
      <c r="C19" s="191" t="s">
        <v>2533</v>
      </c>
      <c r="D19" s="193" t="s">
        <v>2534</v>
      </c>
      <c r="E19" s="194"/>
      <c r="F19" s="193"/>
      <c r="G19" s="193"/>
      <c r="H19" s="191" t="s">
        <v>12761</v>
      </c>
      <c r="I19" s="195" t="s">
        <v>10896</v>
      </c>
      <c r="J19" s="196" t="s">
        <v>10897</v>
      </c>
      <c r="K19" s="197" t="s">
        <v>232</v>
      </c>
      <c r="L19" s="123" t="s">
        <v>80</v>
      </c>
      <c r="M19" s="198" t="s">
        <v>12818</v>
      </c>
      <c r="N19" s="197" t="s">
        <v>12761</v>
      </c>
      <c r="O19" s="199" t="s">
        <v>12761</v>
      </c>
      <c r="P19" s="197">
        <v>0</v>
      </c>
      <c r="Q19" s="197"/>
      <c r="R19" s="200" t="s">
        <v>12819</v>
      </c>
      <c r="S19" s="201"/>
      <c r="T19" s="202">
        <v>15.493263157894738</v>
      </c>
      <c r="U19" s="203">
        <v>70000</v>
      </c>
      <c r="V19" s="204">
        <f t="shared" si="4"/>
        <v>1084528.4210526317</v>
      </c>
      <c r="W19" s="199"/>
      <c r="X19" s="199">
        <f t="shared" si="5"/>
        <v>0</v>
      </c>
      <c r="Y19" s="199" t="str">
        <f t="shared" si="6"/>
        <v>DKG</v>
      </c>
      <c r="Z19" s="205"/>
      <c r="AA19" s="198"/>
      <c r="AB19" s="206">
        <f t="shared" si="7"/>
        <v>6</v>
      </c>
      <c r="AC19" s="206" t="str">
        <f t="shared" si="8"/>
        <v>CT</v>
      </c>
      <c r="AD19" s="207" t="str">
        <f t="shared" si="9"/>
        <v>DKG&lt;-&gt;Chuyển tải khu vực CLH-HS</v>
      </c>
      <c r="AE19" s="199" t="str">
        <f t="shared" si="32"/>
        <v>CX002</v>
      </c>
      <c r="AF19" s="199" t="str">
        <f t="shared" si="10"/>
        <v>15C-03470</v>
      </c>
      <c r="AG19" s="202">
        <f t="shared" si="11"/>
        <v>15.493263157894738</v>
      </c>
      <c r="AH19" s="205">
        <f t="shared" si="11"/>
        <v>70000</v>
      </c>
      <c r="AI19" s="205">
        <f t="shared" si="11"/>
        <v>1084528.4210526317</v>
      </c>
      <c r="AJ19" s="199" t="str">
        <f t="shared" si="12"/>
        <v>DKG</v>
      </c>
      <c r="AK19" s="205">
        <f t="shared" si="12"/>
        <v>0</v>
      </c>
      <c r="AL19" s="205">
        <f t="shared" si="13"/>
        <v>0</v>
      </c>
      <c r="AM19" s="205">
        <f t="shared" si="14"/>
        <v>0</v>
      </c>
      <c r="AN19" s="198"/>
      <c r="AO19" s="202">
        <f t="shared" si="15"/>
        <v>14.7186</v>
      </c>
      <c r="AP19" s="202"/>
      <c r="AQ19" s="205">
        <f>1100000/AO19</f>
        <v>74735.368853015912</v>
      </c>
      <c r="AR19" s="205">
        <f t="shared" si="17"/>
        <v>1100000</v>
      </c>
      <c r="AS19" s="205">
        <f t="shared" si="18"/>
        <v>-15471.578947368311</v>
      </c>
      <c r="AT19" s="198">
        <f t="shared" si="19"/>
        <v>0</v>
      </c>
      <c r="AU19" s="208">
        <f t="shared" si="20"/>
        <v>0.77466315789473761</v>
      </c>
      <c r="AV19" s="208"/>
      <c r="AW19" s="209">
        <f t="shared" si="21"/>
        <v>-19972.008207302162</v>
      </c>
      <c r="AX19" s="209">
        <f t="shared" si="22"/>
        <v>-15471.578947368311</v>
      </c>
      <c r="AY19" s="209">
        <f t="shared" si="23"/>
        <v>0</v>
      </c>
      <c r="AZ19" s="210">
        <f t="shared" si="33"/>
        <v>512212</v>
      </c>
      <c r="BA19" s="210">
        <f t="shared" si="24"/>
        <v>511301</v>
      </c>
      <c r="BB19" s="210">
        <f t="shared" si="25"/>
        <v>5123</v>
      </c>
      <c r="BC19" s="210">
        <f t="shared" si="26"/>
        <v>0</v>
      </c>
      <c r="BD19" s="210">
        <f t="shared" si="27"/>
        <v>331</v>
      </c>
      <c r="BE19" s="210">
        <f t="shared" si="28"/>
        <v>331</v>
      </c>
      <c r="BF19" s="211">
        <f t="shared" si="34"/>
        <v>0</v>
      </c>
      <c r="BG19" s="169" t="s">
        <v>12763</v>
      </c>
      <c r="BH19" s="169" t="str">
        <f t="shared" si="29"/>
        <v>TDG xe 15C-03470</v>
      </c>
      <c r="BI19" s="211" t="str">
        <f t="shared" si="30"/>
        <v>G</v>
      </c>
      <c r="BJ19" s="170">
        <f t="shared" ca="1" si="31"/>
        <v>45492</v>
      </c>
      <c r="BQ19" s="209">
        <f t="shared" si="38"/>
        <v>70000</v>
      </c>
    </row>
    <row r="20" spans="1:72" s="212" customFormat="1" ht="20.100000000000001" customHeight="1" x14ac:dyDescent="0.3">
      <c r="A20" s="191">
        <v>7</v>
      </c>
      <c r="B20" s="192">
        <v>44430</v>
      </c>
      <c r="C20" s="191"/>
      <c r="D20" s="193"/>
      <c r="E20" s="194"/>
      <c r="F20" s="193"/>
      <c r="G20" s="193"/>
      <c r="H20" s="191"/>
      <c r="I20" s="195"/>
      <c r="J20" s="196"/>
      <c r="K20" s="197" t="str">
        <f t="shared" si="39"/>
        <v>Tên CX</v>
      </c>
      <c r="L20" s="123"/>
      <c r="M20" s="198" t="str">
        <f t="shared" si="0"/>
        <v>Tên LX</v>
      </c>
      <c r="N20" s="197" t="str">
        <f t="shared" si="1"/>
        <v/>
      </c>
      <c r="O20" s="199" t="str">
        <f t="shared" si="2"/>
        <v/>
      </c>
      <c r="P20" s="197">
        <f t="shared" si="3"/>
        <v>0</v>
      </c>
      <c r="Q20" s="197"/>
      <c r="R20" s="200"/>
      <c r="S20" s="201"/>
      <c r="T20" s="202"/>
      <c r="U20" s="203"/>
      <c r="V20" s="204">
        <f t="shared" si="4"/>
        <v>0</v>
      </c>
      <c r="W20" s="199"/>
      <c r="X20" s="199">
        <f t="shared" si="5"/>
        <v>0</v>
      </c>
      <c r="Y20" s="199" t="str">
        <f t="shared" si="6"/>
        <v/>
      </c>
      <c r="Z20" s="205"/>
      <c r="AA20" s="198"/>
      <c r="AB20" s="206">
        <f t="shared" si="7"/>
        <v>7</v>
      </c>
      <c r="AC20" s="206">
        <f t="shared" si="8"/>
        <v>0</v>
      </c>
      <c r="AD20" s="207">
        <f t="shared" si="9"/>
        <v>0</v>
      </c>
      <c r="AE20" s="199" t="str">
        <f t="shared" si="32"/>
        <v>Mã CX</v>
      </c>
      <c r="AF20" s="199">
        <f t="shared" si="10"/>
        <v>0</v>
      </c>
      <c r="AG20" s="202">
        <f t="shared" si="11"/>
        <v>0</v>
      </c>
      <c r="AH20" s="205">
        <f t="shared" si="11"/>
        <v>0</v>
      </c>
      <c r="AI20" s="205">
        <f t="shared" si="11"/>
        <v>0</v>
      </c>
      <c r="AJ20" s="199" t="str">
        <f t="shared" si="12"/>
        <v/>
      </c>
      <c r="AK20" s="205">
        <f t="shared" si="12"/>
        <v>0</v>
      </c>
      <c r="AL20" s="205">
        <f t="shared" si="13"/>
        <v>0</v>
      </c>
      <c r="AM20" s="205">
        <f t="shared" si="14"/>
        <v>0</v>
      </c>
      <c r="AN20" s="198"/>
      <c r="AO20" s="202">
        <f t="shared" si="15"/>
        <v>0</v>
      </c>
      <c r="AP20" s="202"/>
      <c r="AQ20" s="205">
        <f t="shared" si="16"/>
        <v>0</v>
      </c>
      <c r="AR20" s="205">
        <f t="shared" si="17"/>
        <v>0</v>
      </c>
      <c r="AS20" s="205">
        <f t="shared" si="18"/>
        <v>0</v>
      </c>
      <c r="AT20" s="198">
        <f t="shared" si="19"/>
        <v>0</v>
      </c>
      <c r="AU20" s="208">
        <f t="shared" si="20"/>
        <v>0</v>
      </c>
      <c r="AV20" s="208"/>
      <c r="AW20" s="209" t="e">
        <f t="shared" si="21"/>
        <v>#DIV/0!</v>
      </c>
      <c r="AX20" s="209" t="e">
        <f t="shared" si="22"/>
        <v>#DIV/0!</v>
      </c>
      <c r="AY20" s="209" t="e">
        <f t="shared" si="23"/>
        <v>#DIV/0!</v>
      </c>
      <c r="AZ20" s="210">
        <f t="shared" si="33"/>
        <v>51225</v>
      </c>
      <c r="BA20" s="210">
        <f t="shared" si="24"/>
        <v>0</v>
      </c>
      <c r="BB20" s="210">
        <f t="shared" si="25"/>
        <v>0</v>
      </c>
      <c r="BC20" s="210">
        <f t="shared" si="26"/>
        <v>0</v>
      </c>
      <c r="BD20" s="210">
        <f t="shared" si="27"/>
        <v>331</v>
      </c>
      <c r="BE20" s="210">
        <f t="shared" si="28"/>
        <v>0</v>
      </c>
      <c r="BF20" s="211">
        <f t="shared" si="34"/>
        <v>0</v>
      </c>
      <c r="BG20" s="169" t="s">
        <v>12763</v>
      </c>
      <c r="BH20" s="169" t="str">
        <f t="shared" si="29"/>
        <v xml:space="preserve">TDG xe </v>
      </c>
      <c r="BI20" s="211">
        <f t="shared" si="30"/>
        <v>0</v>
      </c>
      <c r="BJ20" s="170">
        <f t="shared" ca="1" si="31"/>
        <v>45492</v>
      </c>
      <c r="BQ20" s="209">
        <f t="shared" si="38"/>
        <v>0</v>
      </c>
    </row>
    <row r="21" spans="1:72" s="212" customFormat="1" ht="20.100000000000001" customHeight="1" x14ac:dyDescent="0.3">
      <c r="A21" s="191">
        <v>8</v>
      </c>
      <c r="B21" s="192">
        <v>44430</v>
      </c>
      <c r="C21" s="191"/>
      <c r="D21" s="193" t="s">
        <v>13006</v>
      </c>
      <c r="E21" s="194"/>
      <c r="F21" s="193"/>
      <c r="G21" s="193"/>
      <c r="H21" s="191"/>
      <c r="I21" s="195"/>
      <c r="J21" s="196"/>
      <c r="K21" s="197" t="str">
        <f t="shared" si="39"/>
        <v>Tên CX</v>
      </c>
      <c r="L21" s="123"/>
      <c r="M21" s="198" t="str">
        <f t="shared" si="0"/>
        <v>Tên LX</v>
      </c>
      <c r="N21" s="197" t="str">
        <f t="shared" si="1"/>
        <v/>
      </c>
      <c r="O21" s="199" t="str">
        <f t="shared" si="2"/>
        <v/>
      </c>
      <c r="P21" s="197">
        <f t="shared" si="3"/>
        <v>0</v>
      </c>
      <c r="Q21" s="197"/>
      <c r="R21" s="200"/>
      <c r="S21" s="201"/>
      <c r="T21" s="202"/>
      <c r="U21" s="203"/>
      <c r="V21" s="204">
        <f t="shared" si="4"/>
        <v>0</v>
      </c>
      <c r="W21" s="199"/>
      <c r="X21" s="199">
        <f t="shared" si="5"/>
        <v>0</v>
      </c>
      <c r="Y21" s="199" t="str">
        <f t="shared" si="6"/>
        <v/>
      </c>
      <c r="Z21" s="205"/>
      <c r="AA21" s="198"/>
      <c r="AB21" s="206">
        <f t="shared" si="7"/>
        <v>8</v>
      </c>
      <c r="AC21" s="206">
        <f t="shared" si="8"/>
        <v>0</v>
      </c>
      <c r="AD21" s="207">
        <f t="shared" si="9"/>
        <v>0</v>
      </c>
      <c r="AE21" s="199" t="str">
        <f t="shared" si="32"/>
        <v>Mã CX</v>
      </c>
      <c r="AF21" s="199">
        <f t="shared" si="10"/>
        <v>0</v>
      </c>
      <c r="AG21" s="202">
        <f t="shared" si="11"/>
        <v>0</v>
      </c>
      <c r="AH21" s="205">
        <f t="shared" si="11"/>
        <v>0</v>
      </c>
      <c r="AI21" s="205">
        <f t="shared" si="11"/>
        <v>0</v>
      </c>
      <c r="AJ21" s="199" t="str">
        <f t="shared" si="12"/>
        <v/>
      </c>
      <c r="AK21" s="205">
        <f t="shared" si="12"/>
        <v>0</v>
      </c>
      <c r="AL21" s="205">
        <f t="shared" si="13"/>
        <v>0</v>
      </c>
      <c r="AM21" s="205">
        <f t="shared" si="14"/>
        <v>0</v>
      </c>
      <c r="AN21" s="198"/>
      <c r="AO21" s="202">
        <f t="shared" si="15"/>
        <v>0</v>
      </c>
      <c r="AP21" s="202"/>
      <c r="AQ21" s="205">
        <f t="shared" si="16"/>
        <v>0</v>
      </c>
      <c r="AR21" s="205">
        <f t="shared" si="17"/>
        <v>0</v>
      </c>
      <c r="AS21" s="205">
        <f t="shared" si="18"/>
        <v>0</v>
      </c>
      <c r="AT21" s="198">
        <f t="shared" si="19"/>
        <v>0</v>
      </c>
      <c r="AU21" s="208">
        <f t="shared" si="20"/>
        <v>0</v>
      </c>
      <c r="AV21" s="208"/>
      <c r="AW21" s="209" t="e">
        <f t="shared" si="21"/>
        <v>#DIV/0!</v>
      </c>
      <c r="AX21" s="209" t="e">
        <f t="shared" si="22"/>
        <v>#DIV/0!</v>
      </c>
      <c r="AY21" s="209" t="e">
        <f t="shared" si="23"/>
        <v>#DIV/0!</v>
      </c>
      <c r="AZ21" s="210">
        <f t="shared" si="33"/>
        <v>51225</v>
      </c>
      <c r="BA21" s="210">
        <f t="shared" si="24"/>
        <v>0</v>
      </c>
      <c r="BB21" s="210">
        <f t="shared" si="25"/>
        <v>0</v>
      </c>
      <c r="BC21" s="210">
        <f t="shared" si="26"/>
        <v>0</v>
      </c>
      <c r="BD21" s="210">
        <f t="shared" si="27"/>
        <v>331</v>
      </c>
      <c r="BE21" s="210">
        <f t="shared" si="28"/>
        <v>0</v>
      </c>
      <c r="BF21" s="211">
        <f t="shared" si="34"/>
        <v>0</v>
      </c>
      <c r="BG21" s="169" t="s">
        <v>12763</v>
      </c>
      <c r="BH21" s="169" t="str">
        <f t="shared" si="29"/>
        <v xml:space="preserve">TDG xe </v>
      </c>
      <c r="BI21" s="211">
        <f t="shared" si="30"/>
        <v>0</v>
      </c>
      <c r="BJ21" s="170">
        <f t="shared" ca="1" si="31"/>
        <v>45492</v>
      </c>
      <c r="BQ21" s="209">
        <f t="shared" si="38"/>
        <v>0</v>
      </c>
    </row>
    <row r="22" spans="1:72" s="212" customFormat="1" ht="20.100000000000001" customHeight="1" x14ac:dyDescent="0.3">
      <c r="A22" s="191">
        <v>9</v>
      </c>
      <c r="B22" s="192">
        <v>44430</v>
      </c>
      <c r="C22" s="191"/>
      <c r="D22" s="193"/>
      <c r="E22" s="194"/>
      <c r="F22" s="193"/>
      <c r="G22" s="193"/>
      <c r="H22" s="191"/>
      <c r="I22" s="195"/>
      <c r="J22" s="196"/>
      <c r="K22" s="197" t="str">
        <f t="shared" si="39"/>
        <v>Tên CX</v>
      </c>
      <c r="L22" s="123"/>
      <c r="M22" s="198" t="str">
        <f t="shared" si="0"/>
        <v>Tên LX</v>
      </c>
      <c r="N22" s="197" t="str">
        <f t="shared" si="1"/>
        <v/>
      </c>
      <c r="O22" s="199" t="str">
        <f t="shared" si="2"/>
        <v/>
      </c>
      <c r="P22" s="197">
        <f t="shared" si="3"/>
        <v>0</v>
      </c>
      <c r="Q22" s="197"/>
      <c r="R22" s="200"/>
      <c r="S22" s="201"/>
      <c r="T22" s="202"/>
      <c r="U22" s="203"/>
      <c r="V22" s="204">
        <f t="shared" si="4"/>
        <v>0</v>
      </c>
      <c r="W22" s="199"/>
      <c r="X22" s="199">
        <f t="shared" si="5"/>
        <v>0</v>
      </c>
      <c r="Y22" s="199" t="str">
        <f t="shared" si="6"/>
        <v/>
      </c>
      <c r="Z22" s="205"/>
      <c r="AA22" s="198"/>
      <c r="AB22" s="206">
        <f t="shared" si="7"/>
        <v>9</v>
      </c>
      <c r="AC22" s="206">
        <f t="shared" si="8"/>
        <v>0</v>
      </c>
      <c r="AD22" s="207">
        <f t="shared" si="9"/>
        <v>0</v>
      </c>
      <c r="AE22" s="199" t="str">
        <f t="shared" si="32"/>
        <v>Mã CX</v>
      </c>
      <c r="AF22" s="199">
        <f t="shared" si="10"/>
        <v>0</v>
      </c>
      <c r="AG22" s="202">
        <f t="shared" si="11"/>
        <v>0</v>
      </c>
      <c r="AH22" s="205">
        <f t="shared" si="11"/>
        <v>0</v>
      </c>
      <c r="AI22" s="205">
        <f t="shared" si="11"/>
        <v>0</v>
      </c>
      <c r="AJ22" s="199" t="str">
        <f t="shared" si="12"/>
        <v/>
      </c>
      <c r="AK22" s="205">
        <f t="shared" si="12"/>
        <v>0</v>
      </c>
      <c r="AL22" s="205">
        <f t="shared" si="13"/>
        <v>0</v>
      </c>
      <c r="AM22" s="205">
        <f t="shared" si="14"/>
        <v>0</v>
      </c>
      <c r="AN22" s="198"/>
      <c r="AO22" s="202">
        <f t="shared" si="15"/>
        <v>0</v>
      </c>
      <c r="AP22" s="202"/>
      <c r="AQ22" s="205">
        <f t="shared" si="16"/>
        <v>0</v>
      </c>
      <c r="AR22" s="205">
        <f t="shared" si="17"/>
        <v>0</v>
      </c>
      <c r="AS22" s="205">
        <f t="shared" si="18"/>
        <v>0</v>
      </c>
      <c r="AT22" s="198">
        <f t="shared" si="19"/>
        <v>0</v>
      </c>
      <c r="AU22" s="208">
        <f t="shared" si="20"/>
        <v>0</v>
      </c>
      <c r="AV22" s="208"/>
      <c r="AW22" s="209" t="e">
        <f t="shared" si="21"/>
        <v>#DIV/0!</v>
      </c>
      <c r="AX22" s="209" t="e">
        <f t="shared" si="22"/>
        <v>#DIV/0!</v>
      </c>
      <c r="AY22" s="209" t="e">
        <f t="shared" si="23"/>
        <v>#DIV/0!</v>
      </c>
      <c r="AZ22" s="210">
        <f t="shared" si="33"/>
        <v>51225</v>
      </c>
      <c r="BA22" s="210">
        <f t="shared" si="24"/>
        <v>0</v>
      </c>
      <c r="BB22" s="210">
        <f t="shared" si="25"/>
        <v>0</v>
      </c>
      <c r="BC22" s="210">
        <f t="shared" si="26"/>
        <v>0</v>
      </c>
      <c r="BD22" s="210">
        <f t="shared" si="27"/>
        <v>331</v>
      </c>
      <c r="BE22" s="210">
        <f t="shared" si="28"/>
        <v>0</v>
      </c>
      <c r="BF22" s="211">
        <f t="shared" si="34"/>
        <v>0</v>
      </c>
      <c r="BG22" s="169" t="s">
        <v>12763</v>
      </c>
      <c r="BH22" s="169" t="str">
        <f t="shared" si="29"/>
        <v xml:space="preserve">TDG xe </v>
      </c>
      <c r="BI22" s="211">
        <f t="shared" si="30"/>
        <v>0</v>
      </c>
      <c r="BJ22" s="170">
        <f t="shared" ca="1" si="31"/>
        <v>45492</v>
      </c>
      <c r="BQ22" s="209">
        <f t="shared" si="38"/>
        <v>0</v>
      </c>
    </row>
    <row r="23" spans="1:72" s="212" customFormat="1" ht="20.100000000000001" customHeight="1" x14ac:dyDescent="0.3">
      <c r="A23" s="191">
        <v>10</v>
      </c>
      <c r="B23" s="192">
        <v>44440</v>
      </c>
      <c r="C23" s="193" t="s">
        <v>2326</v>
      </c>
      <c r="D23" s="193" t="s">
        <v>2327</v>
      </c>
      <c r="E23" s="213" t="s">
        <v>2329</v>
      </c>
      <c r="F23" s="193" t="s">
        <v>2328</v>
      </c>
      <c r="G23" s="193"/>
      <c r="H23" s="191" t="s">
        <v>12761</v>
      </c>
      <c r="I23" s="195" t="s">
        <v>10844</v>
      </c>
      <c r="J23" s="196" t="s">
        <v>13007</v>
      </c>
      <c r="K23" s="197" t="s">
        <v>232</v>
      </c>
      <c r="L23" s="123" t="s">
        <v>90</v>
      </c>
      <c r="M23" s="198" t="s">
        <v>13008</v>
      </c>
      <c r="N23" s="197" t="s">
        <v>12761</v>
      </c>
      <c r="O23" s="199" t="s">
        <v>12761</v>
      </c>
      <c r="P23" s="197">
        <v>0</v>
      </c>
      <c r="Q23" s="197"/>
      <c r="R23" s="200" t="s">
        <v>13009</v>
      </c>
      <c r="S23" s="201"/>
      <c r="T23" s="202">
        <v>1</v>
      </c>
      <c r="U23" s="203">
        <v>900000</v>
      </c>
      <c r="V23" s="204">
        <v>900000</v>
      </c>
      <c r="W23" s="199" t="s">
        <v>37</v>
      </c>
      <c r="X23" s="199" t="s">
        <v>12797</v>
      </c>
      <c r="Y23" s="199" t="s">
        <v>12798</v>
      </c>
      <c r="Z23" s="205">
        <v>150000</v>
      </c>
      <c r="AA23" s="198"/>
      <c r="AB23" s="206">
        <v>2</v>
      </c>
      <c r="AC23" s="206" t="s">
        <v>12761</v>
      </c>
      <c r="AD23" s="207" t="s">
        <v>13007</v>
      </c>
      <c r="AE23" s="199" t="s">
        <v>10325</v>
      </c>
      <c r="AF23" s="199" t="s">
        <v>90</v>
      </c>
      <c r="AG23" s="202">
        <v>1</v>
      </c>
      <c r="AH23" s="205">
        <v>900000</v>
      </c>
      <c r="AI23" s="205">
        <v>900000</v>
      </c>
      <c r="AJ23" s="199" t="s">
        <v>12798</v>
      </c>
      <c r="AK23" s="205">
        <v>150000</v>
      </c>
      <c r="AL23" s="205">
        <v>150000</v>
      </c>
      <c r="AM23" s="205">
        <v>0</v>
      </c>
      <c r="AN23" s="198"/>
      <c r="AO23" s="202">
        <v>1</v>
      </c>
      <c r="AP23" s="202"/>
      <c r="AQ23" s="205">
        <v>800000</v>
      </c>
      <c r="AR23" s="205">
        <v>800000</v>
      </c>
      <c r="AS23" s="205">
        <v>100000</v>
      </c>
      <c r="AT23" s="198">
        <v>0</v>
      </c>
      <c r="AU23" s="208">
        <f t="shared" si="20"/>
        <v>1</v>
      </c>
      <c r="AV23" s="208"/>
      <c r="AW23" s="209">
        <f t="shared" si="21"/>
        <v>100000</v>
      </c>
      <c r="AX23" s="209">
        <f t="shared" si="22"/>
        <v>100000</v>
      </c>
      <c r="AY23" s="209">
        <f t="shared" si="23"/>
        <v>0</v>
      </c>
      <c r="AZ23" s="210">
        <f t="shared" si="33"/>
        <v>512112</v>
      </c>
      <c r="BA23" s="210">
        <f t="shared" si="24"/>
        <v>511301</v>
      </c>
      <c r="BB23" s="210">
        <f t="shared" si="25"/>
        <v>5123</v>
      </c>
      <c r="BC23" s="210">
        <f t="shared" si="26"/>
        <v>0</v>
      </c>
      <c r="BD23" s="210">
        <f t="shared" si="27"/>
        <v>0</v>
      </c>
      <c r="BE23" s="210">
        <f t="shared" si="28"/>
        <v>15401</v>
      </c>
      <c r="BF23" s="211">
        <f t="shared" si="34"/>
        <v>6121112</v>
      </c>
      <c r="BG23" s="169" t="s">
        <v>12763</v>
      </c>
      <c r="BH23" s="169" t="str">
        <f t="shared" si="29"/>
        <v>TDG xe 15C-11486</v>
      </c>
      <c r="BI23" s="211" t="str">
        <f t="shared" si="30"/>
        <v>G</v>
      </c>
      <c r="BJ23" s="170">
        <f t="shared" ca="1" si="31"/>
        <v>45492</v>
      </c>
      <c r="BQ23" s="209">
        <f t="shared" si="38"/>
        <v>900000</v>
      </c>
    </row>
    <row r="24" spans="1:72" s="212" customFormat="1" ht="20.100000000000001" customHeight="1" x14ac:dyDescent="0.3">
      <c r="A24" s="191">
        <v>11</v>
      </c>
      <c r="B24" s="192">
        <v>44443</v>
      </c>
      <c r="C24" s="191" t="s">
        <v>10272</v>
      </c>
      <c r="D24" s="193" t="s">
        <v>10273</v>
      </c>
      <c r="E24" s="194" t="s">
        <v>10275</v>
      </c>
      <c r="F24" s="193" t="s">
        <v>10274</v>
      </c>
      <c r="G24" s="193"/>
      <c r="H24" s="191" t="s">
        <v>12761</v>
      </c>
      <c r="I24" s="195" t="s">
        <v>10844</v>
      </c>
      <c r="J24" s="196" t="s">
        <v>10845</v>
      </c>
      <c r="K24" s="197" t="s">
        <v>232</v>
      </c>
      <c r="L24" s="123" t="s">
        <v>95</v>
      </c>
      <c r="M24" s="198" t="s">
        <v>13010</v>
      </c>
      <c r="N24" s="197" t="s">
        <v>12761</v>
      </c>
      <c r="O24" s="199" t="s">
        <v>12761</v>
      </c>
      <c r="P24" s="197">
        <v>0</v>
      </c>
      <c r="Q24" s="197"/>
      <c r="R24" s="200" t="s">
        <v>13011</v>
      </c>
      <c r="S24" s="201"/>
      <c r="T24" s="202">
        <v>1</v>
      </c>
      <c r="U24" s="203">
        <v>800000</v>
      </c>
      <c r="V24" s="204">
        <v>800000</v>
      </c>
      <c r="W24" s="199" t="s">
        <v>37</v>
      </c>
      <c r="X24" s="199" t="s">
        <v>12797</v>
      </c>
      <c r="Y24" s="199" t="s">
        <v>12798</v>
      </c>
      <c r="Z24" s="252">
        <v>150000</v>
      </c>
      <c r="AA24" s="198" t="s">
        <v>13012</v>
      </c>
      <c r="AB24" s="206">
        <v>1</v>
      </c>
      <c r="AC24" s="206" t="s">
        <v>12761</v>
      </c>
      <c r="AD24" s="207" t="s">
        <v>10845</v>
      </c>
      <c r="AE24" s="199" t="s">
        <v>10325</v>
      </c>
      <c r="AF24" s="199" t="s">
        <v>95</v>
      </c>
      <c r="AG24" s="202">
        <v>1</v>
      </c>
      <c r="AH24" s="205">
        <v>800000</v>
      </c>
      <c r="AI24" s="205">
        <v>800000</v>
      </c>
      <c r="AJ24" s="199" t="s">
        <v>12798</v>
      </c>
      <c r="AK24" s="205">
        <v>150000</v>
      </c>
      <c r="AL24" s="205">
        <v>150000</v>
      </c>
      <c r="AM24" s="205">
        <v>0</v>
      </c>
      <c r="AN24" s="198"/>
      <c r="AO24" s="202">
        <v>1</v>
      </c>
      <c r="AP24" s="202"/>
      <c r="AQ24" s="205">
        <v>800000</v>
      </c>
      <c r="AR24" s="205">
        <v>800000</v>
      </c>
      <c r="AS24" s="205">
        <v>0</v>
      </c>
      <c r="AT24" s="198" t="s">
        <v>13012</v>
      </c>
      <c r="AU24" s="208">
        <f t="shared" si="20"/>
        <v>1</v>
      </c>
      <c r="AV24" s="208"/>
      <c r="AW24" s="209">
        <f t="shared" si="21"/>
        <v>0</v>
      </c>
      <c r="AX24" s="209">
        <f t="shared" si="22"/>
        <v>0</v>
      </c>
      <c r="AY24" s="209">
        <f t="shared" si="23"/>
        <v>0</v>
      </c>
      <c r="AZ24" s="210">
        <f t="shared" si="33"/>
        <v>512118</v>
      </c>
      <c r="BA24" s="210">
        <f t="shared" si="24"/>
        <v>511301</v>
      </c>
      <c r="BB24" s="210">
        <f t="shared" si="25"/>
        <v>5123</v>
      </c>
      <c r="BC24" s="210">
        <f t="shared" si="26"/>
        <v>0</v>
      </c>
      <c r="BD24" s="210">
        <f t="shared" si="27"/>
        <v>0</v>
      </c>
      <c r="BE24" s="210">
        <f t="shared" si="28"/>
        <v>15401</v>
      </c>
      <c r="BF24" s="211">
        <f t="shared" si="34"/>
        <v>6121118</v>
      </c>
      <c r="BG24" s="169" t="s">
        <v>12763</v>
      </c>
      <c r="BH24" s="169" t="str">
        <f t="shared" si="29"/>
        <v>TDG xe 15C-13840</v>
      </c>
      <c r="BI24" s="211" t="str">
        <f t="shared" si="30"/>
        <v>G</v>
      </c>
      <c r="BJ24" s="170">
        <f t="shared" ca="1" si="31"/>
        <v>45492</v>
      </c>
      <c r="BQ24" s="209">
        <f t="shared" si="38"/>
        <v>800000</v>
      </c>
    </row>
    <row r="25" spans="1:72" s="212" customFormat="1" ht="20.100000000000001" customHeight="1" x14ac:dyDescent="0.3">
      <c r="A25" s="191">
        <v>12</v>
      </c>
      <c r="B25" s="192">
        <v>44452</v>
      </c>
      <c r="C25" s="191" t="s">
        <v>13013</v>
      </c>
      <c r="D25" s="193" t="s">
        <v>13014</v>
      </c>
      <c r="E25" s="194"/>
      <c r="F25" s="193" t="s">
        <v>416</v>
      </c>
      <c r="G25" s="193"/>
      <c r="H25" s="191" t="s">
        <v>12761</v>
      </c>
      <c r="I25" s="195" t="s">
        <v>10844</v>
      </c>
      <c r="J25" s="196" t="s">
        <v>10845</v>
      </c>
      <c r="K25" s="197" t="s">
        <v>232</v>
      </c>
      <c r="L25" s="123" t="s">
        <v>92</v>
      </c>
      <c r="M25" s="198" t="s">
        <v>13015</v>
      </c>
      <c r="N25" s="197" t="s">
        <v>12761</v>
      </c>
      <c r="O25" s="199" t="s">
        <v>12761</v>
      </c>
      <c r="P25" s="197">
        <v>0</v>
      </c>
      <c r="Q25" s="197"/>
      <c r="R25" s="200" t="s">
        <v>13016</v>
      </c>
      <c r="S25" s="201"/>
      <c r="T25" s="202">
        <v>1</v>
      </c>
      <c r="U25" s="203">
        <v>900000</v>
      </c>
      <c r="V25" s="204">
        <v>900000</v>
      </c>
      <c r="W25" s="199" t="s">
        <v>37</v>
      </c>
      <c r="X25" s="199" t="s">
        <v>12797</v>
      </c>
      <c r="Y25" s="199" t="s">
        <v>12798</v>
      </c>
      <c r="Z25" s="252">
        <v>150000</v>
      </c>
      <c r="AA25" s="198"/>
      <c r="AB25" s="206">
        <v>16</v>
      </c>
      <c r="AC25" s="206" t="s">
        <v>12761</v>
      </c>
      <c r="AD25" s="207" t="s">
        <v>10845</v>
      </c>
      <c r="AE25" s="199" t="s">
        <v>10325</v>
      </c>
      <c r="AF25" s="199" t="s">
        <v>92</v>
      </c>
      <c r="AG25" s="202">
        <v>1</v>
      </c>
      <c r="AH25" s="205">
        <v>900000</v>
      </c>
      <c r="AI25" s="205">
        <v>900000</v>
      </c>
      <c r="AJ25" s="199" t="s">
        <v>12798</v>
      </c>
      <c r="AK25" s="205">
        <v>150000</v>
      </c>
      <c r="AL25" s="205">
        <v>150000</v>
      </c>
      <c r="AM25" s="205">
        <v>0</v>
      </c>
      <c r="AN25" s="198"/>
      <c r="AO25" s="202">
        <v>1</v>
      </c>
      <c r="AP25" s="202"/>
      <c r="AQ25" s="205">
        <v>800000</v>
      </c>
      <c r="AR25" s="205">
        <v>800000</v>
      </c>
      <c r="AS25" s="205">
        <v>100000</v>
      </c>
      <c r="AT25" s="198">
        <v>0</v>
      </c>
      <c r="AU25" s="208">
        <f t="shared" si="20"/>
        <v>1</v>
      </c>
      <c r="AV25" s="208"/>
      <c r="AW25" s="209">
        <f t="shared" si="21"/>
        <v>100000</v>
      </c>
      <c r="AX25" s="209">
        <f t="shared" si="22"/>
        <v>100000</v>
      </c>
      <c r="AY25" s="209">
        <f t="shared" si="23"/>
        <v>0</v>
      </c>
      <c r="AZ25" s="210">
        <f t="shared" si="33"/>
        <v>512114</v>
      </c>
      <c r="BA25" s="210">
        <f t="shared" si="24"/>
        <v>511301</v>
      </c>
      <c r="BB25" s="210">
        <f t="shared" si="25"/>
        <v>5123</v>
      </c>
      <c r="BC25" s="210">
        <f t="shared" si="26"/>
        <v>0</v>
      </c>
      <c r="BD25" s="210">
        <f t="shared" si="27"/>
        <v>0</v>
      </c>
      <c r="BE25" s="210">
        <f t="shared" si="28"/>
        <v>15401</v>
      </c>
      <c r="BF25" s="211">
        <f t="shared" si="34"/>
        <v>6121114</v>
      </c>
      <c r="BG25" s="169" t="s">
        <v>12763</v>
      </c>
      <c r="BH25" s="169" t="str">
        <f t="shared" si="29"/>
        <v>TDG xe 15C-12832</v>
      </c>
      <c r="BI25" s="211" t="str">
        <f t="shared" si="30"/>
        <v>G</v>
      </c>
      <c r="BJ25" s="170">
        <f t="shared" ca="1" si="31"/>
        <v>45492</v>
      </c>
      <c r="BQ25" s="209">
        <f t="shared" si="38"/>
        <v>900000</v>
      </c>
    </row>
    <row r="26" spans="1:72" s="212" customFormat="1" ht="20.100000000000001" customHeight="1" x14ac:dyDescent="0.3">
      <c r="A26" s="191">
        <v>13</v>
      </c>
      <c r="B26" s="192">
        <v>44452</v>
      </c>
      <c r="C26" s="191" t="s">
        <v>13013</v>
      </c>
      <c r="D26" s="193" t="s">
        <v>13014</v>
      </c>
      <c r="E26" s="194"/>
      <c r="F26" s="193" t="s">
        <v>416</v>
      </c>
      <c r="G26" s="193"/>
      <c r="H26" s="191" t="s">
        <v>12761</v>
      </c>
      <c r="I26" s="195" t="s">
        <v>10844</v>
      </c>
      <c r="J26" s="196" t="s">
        <v>10845</v>
      </c>
      <c r="K26" s="197" t="s">
        <v>232</v>
      </c>
      <c r="L26" s="123" t="s">
        <v>107</v>
      </c>
      <c r="M26" s="198" t="s">
        <v>13017</v>
      </c>
      <c r="N26" s="197" t="s">
        <v>12761</v>
      </c>
      <c r="O26" s="199" t="s">
        <v>12761</v>
      </c>
      <c r="P26" s="197">
        <v>0</v>
      </c>
      <c r="Q26" s="197"/>
      <c r="R26" s="200" t="s">
        <v>13016</v>
      </c>
      <c r="S26" s="201"/>
      <c r="T26" s="202">
        <v>1</v>
      </c>
      <c r="U26" s="203">
        <v>900000</v>
      </c>
      <c r="V26" s="204">
        <v>900000</v>
      </c>
      <c r="W26" s="199" t="s">
        <v>37</v>
      </c>
      <c r="X26" s="199" t="s">
        <v>12797</v>
      </c>
      <c r="Y26" s="199" t="s">
        <v>12798</v>
      </c>
      <c r="Z26" s="252">
        <v>150000</v>
      </c>
      <c r="AA26" s="198"/>
      <c r="AB26" s="206">
        <v>17</v>
      </c>
      <c r="AC26" s="206" t="s">
        <v>12761</v>
      </c>
      <c r="AD26" s="207" t="s">
        <v>10845</v>
      </c>
      <c r="AE26" s="199" t="s">
        <v>10325</v>
      </c>
      <c r="AF26" s="199" t="s">
        <v>107</v>
      </c>
      <c r="AG26" s="202">
        <v>1</v>
      </c>
      <c r="AH26" s="205">
        <v>900000</v>
      </c>
      <c r="AI26" s="205">
        <v>900000</v>
      </c>
      <c r="AJ26" s="199" t="s">
        <v>12798</v>
      </c>
      <c r="AK26" s="205">
        <v>150000</v>
      </c>
      <c r="AL26" s="205">
        <v>150000</v>
      </c>
      <c r="AM26" s="205">
        <v>0</v>
      </c>
      <c r="AN26" s="198"/>
      <c r="AO26" s="202">
        <v>1</v>
      </c>
      <c r="AP26" s="202"/>
      <c r="AQ26" s="205">
        <v>800000</v>
      </c>
      <c r="AR26" s="205">
        <v>800000</v>
      </c>
      <c r="AS26" s="205">
        <v>100000</v>
      </c>
      <c r="AT26" s="198">
        <v>0</v>
      </c>
      <c r="AU26" s="208">
        <f t="shared" si="20"/>
        <v>1</v>
      </c>
      <c r="AV26" s="208"/>
      <c r="AW26" s="209">
        <f t="shared" si="21"/>
        <v>100000</v>
      </c>
      <c r="AX26" s="209">
        <f t="shared" si="22"/>
        <v>100000</v>
      </c>
      <c r="AY26" s="209">
        <f t="shared" si="23"/>
        <v>0</v>
      </c>
      <c r="AZ26" s="210">
        <f t="shared" si="33"/>
        <v>512131</v>
      </c>
      <c r="BA26" s="210">
        <f t="shared" si="24"/>
        <v>511301</v>
      </c>
      <c r="BB26" s="210">
        <f t="shared" si="25"/>
        <v>5123</v>
      </c>
      <c r="BC26" s="210">
        <f t="shared" si="26"/>
        <v>0</v>
      </c>
      <c r="BD26" s="210">
        <f t="shared" si="27"/>
        <v>0</v>
      </c>
      <c r="BE26" s="210">
        <f t="shared" si="28"/>
        <v>15401</v>
      </c>
      <c r="BF26" s="211">
        <f t="shared" si="34"/>
        <v>6121131</v>
      </c>
      <c r="BG26" s="169" t="s">
        <v>12763</v>
      </c>
      <c r="BH26" s="169" t="str">
        <f t="shared" si="29"/>
        <v>TDG xe 15C-11732</v>
      </c>
      <c r="BI26" s="211" t="str">
        <f t="shared" si="30"/>
        <v>G</v>
      </c>
      <c r="BJ26" s="170">
        <f t="shared" ca="1" si="31"/>
        <v>45492</v>
      </c>
      <c r="BQ26" s="209">
        <f t="shared" si="38"/>
        <v>900000</v>
      </c>
    </row>
    <row r="27" spans="1:72" s="212" customFormat="1" ht="20.100000000000001" customHeight="1" x14ac:dyDescent="0.3">
      <c r="A27" s="191">
        <v>14</v>
      </c>
      <c r="B27" s="192">
        <v>44452</v>
      </c>
      <c r="C27" s="191" t="s">
        <v>13013</v>
      </c>
      <c r="D27" s="193" t="s">
        <v>13014</v>
      </c>
      <c r="E27" s="194"/>
      <c r="F27" s="193" t="s">
        <v>416</v>
      </c>
      <c r="G27" s="193"/>
      <c r="H27" s="191" t="s">
        <v>12761</v>
      </c>
      <c r="I27" s="195" t="s">
        <v>10844</v>
      </c>
      <c r="J27" s="196" t="s">
        <v>10845</v>
      </c>
      <c r="K27" s="197" t="s">
        <v>232</v>
      </c>
      <c r="L27" s="123" t="s">
        <v>115</v>
      </c>
      <c r="M27" s="198" t="s">
        <v>13018</v>
      </c>
      <c r="N27" s="197" t="s">
        <v>12761</v>
      </c>
      <c r="O27" s="199" t="s">
        <v>12761</v>
      </c>
      <c r="P27" s="197">
        <v>0</v>
      </c>
      <c r="Q27" s="197"/>
      <c r="R27" s="200" t="s">
        <v>13016</v>
      </c>
      <c r="S27" s="201"/>
      <c r="T27" s="202">
        <v>1</v>
      </c>
      <c r="U27" s="203">
        <v>900000</v>
      </c>
      <c r="V27" s="204">
        <v>900000</v>
      </c>
      <c r="W27" s="199" t="s">
        <v>37</v>
      </c>
      <c r="X27" s="199" t="s">
        <v>12797</v>
      </c>
      <c r="Y27" s="199" t="s">
        <v>12798</v>
      </c>
      <c r="Z27" s="252">
        <v>150000</v>
      </c>
      <c r="AA27" s="198"/>
      <c r="AB27" s="206">
        <v>18</v>
      </c>
      <c r="AC27" s="206" t="s">
        <v>12761</v>
      </c>
      <c r="AD27" s="207" t="s">
        <v>10845</v>
      </c>
      <c r="AE27" s="199" t="s">
        <v>10325</v>
      </c>
      <c r="AF27" s="199" t="s">
        <v>115</v>
      </c>
      <c r="AG27" s="202">
        <v>1</v>
      </c>
      <c r="AH27" s="205">
        <v>900000</v>
      </c>
      <c r="AI27" s="205">
        <v>900000</v>
      </c>
      <c r="AJ27" s="199" t="s">
        <v>12798</v>
      </c>
      <c r="AK27" s="205">
        <v>150000</v>
      </c>
      <c r="AL27" s="205">
        <v>150000</v>
      </c>
      <c r="AM27" s="205">
        <v>0</v>
      </c>
      <c r="AN27" s="198"/>
      <c r="AO27" s="202">
        <v>1</v>
      </c>
      <c r="AP27" s="202"/>
      <c r="AQ27" s="205">
        <v>800000</v>
      </c>
      <c r="AR27" s="205">
        <v>800000</v>
      </c>
      <c r="AS27" s="205">
        <v>100000</v>
      </c>
      <c r="AT27" s="198">
        <v>0</v>
      </c>
      <c r="AU27" s="208">
        <f t="shared" si="20"/>
        <v>1</v>
      </c>
      <c r="AV27" s="208"/>
      <c r="AW27" s="209">
        <f t="shared" si="21"/>
        <v>100000</v>
      </c>
      <c r="AX27" s="209">
        <f t="shared" si="22"/>
        <v>100000</v>
      </c>
      <c r="AY27" s="209">
        <f t="shared" si="23"/>
        <v>0</v>
      </c>
      <c r="AZ27" s="210">
        <f t="shared" si="33"/>
        <v>512136</v>
      </c>
      <c r="BA27" s="210">
        <f t="shared" si="24"/>
        <v>511301</v>
      </c>
      <c r="BB27" s="210">
        <f t="shared" si="25"/>
        <v>5123</v>
      </c>
      <c r="BC27" s="210">
        <f t="shared" si="26"/>
        <v>0</v>
      </c>
      <c r="BD27" s="210">
        <f t="shared" si="27"/>
        <v>0</v>
      </c>
      <c r="BE27" s="210">
        <f t="shared" si="28"/>
        <v>15401</v>
      </c>
      <c r="BF27" s="211">
        <f t="shared" si="34"/>
        <v>6121136</v>
      </c>
      <c r="BG27" s="169" t="s">
        <v>12763</v>
      </c>
      <c r="BH27" s="169" t="str">
        <f t="shared" si="29"/>
        <v>TDG xe 15C-13568</v>
      </c>
      <c r="BI27" s="211" t="str">
        <f t="shared" si="30"/>
        <v>G</v>
      </c>
      <c r="BJ27" s="170">
        <f t="shared" ca="1" si="31"/>
        <v>45492</v>
      </c>
      <c r="BQ27" s="209">
        <f t="shared" si="38"/>
        <v>900000</v>
      </c>
    </row>
    <row r="28" spans="1:72" s="212" customFormat="1" ht="20.100000000000001" customHeight="1" x14ac:dyDescent="0.3">
      <c r="A28" s="191">
        <v>15</v>
      </c>
      <c r="B28" s="192">
        <v>44452</v>
      </c>
      <c r="C28" s="191" t="s">
        <v>13013</v>
      </c>
      <c r="D28" s="193" t="s">
        <v>13014</v>
      </c>
      <c r="E28" s="194"/>
      <c r="F28" s="193" t="s">
        <v>416</v>
      </c>
      <c r="G28" s="193"/>
      <c r="H28" s="191" t="s">
        <v>12761</v>
      </c>
      <c r="I28" s="195" t="s">
        <v>10844</v>
      </c>
      <c r="J28" s="196" t="s">
        <v>10845</v>
      </c>
      <c r="K28" s="197" t="s">
        <v>232</v>
      </c>
      <c r="L28" s="123" t="s">
        <v>120</v>
      </c>
      <c r="M28" s="198" t="s">
        <v>13019</v>
      </c>
      <c r="N28" s="197" t="s">
        <v>12761</v>
      </c>
      <c r="O28" s="199" t="s">
        <v>12761</v>
      </c>
      <c r="P28" s="197">
        <v>0</v>
      </c>
      <c r="Q28" s="197"/>
      <c r="R28" s="200" t="s">
        <v>13016</v>
      </c>
      <c r="S28" s="201"/>
      <c r="T28" s="202">
        <v>1</v>
      </c>
      <c r="U28" s="203">
        <v>900000</v>
      </c>
      <c r="V28" s="204">
        <v>900000</v>
      </c>
      <c r="W28" s="199" t="s">
        <v>37</v>
      </c>
      <c r="X28" s="199" t="s">
        <v>12797</v>
      </c>
      <c r="Y28" s="199" t="s">
        <v>12798</v>
      </c>
      <c r="Z28" s="252">
        <v>150000</v>
      </c>
      <c r="AA28" s="198"/>
      <c r="AB28" s="206">
        <v>20</v>
      </c>
      <c r="AC28" s="206" t="s">
        <v>12761</v>
      </c>
      <c r="AD28" s="207" t="s">
        <v>10845</v>
      </c>
      <c r="AE28" s="199" t="s">
        <v>10325</v>
      </c>
      <c r="AF28" s="199" t="s">
        <v>120</v>
      </c>
      <c r="AG28" s="202">
        <v>1</v>
      </c>
      <c r="AH28" s="205">
        <v>900000</v>
      </c>
      <c r="AI28" s="205">
        <v>900000</v>
      </c>
      <c r="AJ28" s="199" t="s">
        <v>12798</v>
      </c>
      <c r="AK28" s="205">
        <v>150000</v>
      </c>
      <c r="AL28" s="205">
        <v>150000</v>
      </c>
      <c r="AM28" s="205">
        <v>0</v>
      </c>
      <c r="AN28" s="198"/>
      <c r="AO28" s="202">
        <v>1</v>
      </c>
      <c r="AP28" s="202"/>
      <c r="AQ28" s="205">
        <v>800000</v>
      </c>
      <c r="AR28" s="205">
        <v>800000</v>
      </c>
      <c r="AS28" s="205">
        <v>100000</v>
      </c>
      <c r="AT28" s="198">
        <v>0</v>
      </c>
      <c r="AU28" s="208">
        <f t="shared" si="20"/>
        <v>1</v>
      </c>
      <c r="AV28" s="208"/>
      <c r="AW28" s="209">
        <f t="shared" si="21"/>
        <v>100000</v>
      </c>
      <c r="AX28" s="209">
        <f t="shared" si="22"/>
        <v>100000</v>
      </c>
      <c r="AY28" s="209">
        <f t="shared" si="23"/>
        <v>0</v>
      </c>
      <c r="AZ28" s="210">
        <f t="shared" si="33"/>
        <v>512139</v>
      </c>
      <c r="BA28" s="210">
        <f t="shared" si="24"/>
        <v>511301</v>
      </c>
      <c r="BB28" s="210">
        <f t="shared" si="25"/>
        <v>5123</v>
      </c>
      <c r="BC28" s="210">
        <f t="shared" si="26"/>
        <v>0</v>
      </c>
      <c r="BD28" s="210">
        <f t="shared" si="27"/>
        <v>0</v>
      </c>
      <c r="BE28" s="210">
        <f t="shared" si="28"/>
        <v>15401</v>
      </c>
      <c r="BF28" s="211">
        <f t="shared" si="34"/>
        <v>6121139</v>
      </c>
      <c r="BG28" s="169" t="s">
        <v>12763</v>
      </c>
      <c r="BH28" s="169" t="str">
        <f t="shared" si="29"/>
        <v>TDG xe 15C-13958</v>
      </c>
      <c r="BI28" s="211" t="str">
        <f t="shared" si="30"/>
        <v>G</v>
      </c>
      <c r="BJ28" s="170">
        <f t="shared" ca="1" si="31"/>
        <v>45492</v>
      </c>
      <c r="BQ28" s="209">
        <f t="shared" si="38"/>
        <v>900000</v>
      </c>
    </row>
    <row r="29" spans="1:72" s="212" customFormat="1" ht="20.100000000000001" customHeight="1" x14ac:dyDescent="0.3">
      <c r="A29" s="191">
        <v>16</v>
      </c>
      <c r="B29" s="192">
        <v>44452</v>
      </c>
      <c r="C29" s="191" t="s">
        <v>13013</v>
      </c>
      <c r="D29" s="193" t="s">
        <v>13014</v>
      </c>
      <c r="E29" s="194"/>
      <c r="F29" s="193" t="s">
        <v>416</v>
      </c>
      <c r="G29" s="193"/>
      <c r="H29" s="191" t="s">
        <v>12761</v>
      </c>
      <c r="I29" s="195" t="s">
        <v>10844</v>
      </c>
      <c r="J29" s="196" t="s">
        <v>10845</v>
      </c>
      <c r="K29" s="197" t="s">
        <v>232</v>
      </c>
      <c r="L29" s="123" t="s">
        <v>72</v>
      </c>
      <c r="M29" s="198" t="s">
        <v>13020</v>
      </c>
      <c r="N29" s="197" t="s">
        <v>12761</v>
      </c>
      <c r="O29" s="199" t="s">
        <v>12761</v>
      </c>
      <c r="P29" s="197">
        <v>0</v>
      </c>
      <c r="Q29" s="197"/>
      <c r="R29" s="200" t="s">
        <v>13016</v>
      </c>
      <c r="S29" s="201"/>
      <c r="T29" s="202">
        <v>1</v>
      </c>
      <c r="U29" s="203">
        <v>900000</v>
      </c>
      <c r="V29" s="204">
        <v>900000</v>
      </c>
      <c r="W29" s="199" t="s">
        <v>37</v>
      </c>
      <c r="X29" s="199" t="s">
        <v>12797</v>
      </c>
      <c r="Y29" s="199" t="s">
        <v>12798</v>
      </c>
      <c r="Z29" s="252">
        <v>150000</v>
      </c>
      <c r="AA29" s="198"/>
      <c r="AB29" s="206">
        <v>21</v>
      </c>
      <c r="AC29" s="206" t="s">
        <v>12761</v>
      </c>
      <c r="AD29" s="207" t="s">
        <v>10845</v>
      </c>
      <c r="AE29" s="199" t="s">
        <v>10325</v>
      </c>
      <c r="AF29" s="199" t="s">
        <v>72</v>
      </c>
      <c r="AG29" s="202">
        <v>1</v>
      </c>
      <c r="AH29" s="205">
        <v>900000</v>
      </c>
      <c r="AI29" s="205">
        <v>900000</v>
      </c>
      <c r="AJ29" s="199" t="s">
        <v>12798</v>
      </c>
      <c r="AK29" s="205">
        <v>150000</v>
      </c>
      <c r="AL29" s="205">
        <v>150000</v>
      </c>
      <c r="AM29" s="205">
        <v>0</v>
      </c>
      <c r="AN29" s="198"/>
      <c r="AO29" s="202">
        <v>1</v>
      </c>
      <c r="AP29" s="202"/>
      <c r="AQ29" s="205">
        <v>800000</v>
      </c>
      <c r="AR29" s="205">
        <v>800000</v>
      </c>
      <c r="AS29" s="205">
        <v>100000</v>
      </c>
      <c r="AT29" s="198">
        <v>0</v>
      </c>
      <c r="AU29" s="208">
        <f t="shared" si="20"/>
        <v>1</v>
      </c>
      <c r="AV29" s="208"/>
      <c r="AW29" s="209">
        <f t="shared" si="21"/>
        <v>100000</v>
      </c>
      <c r="AX29" s="209">
        <f t="shared" si="22"/>
        <v>100000</v>
      </c>
      <c r="AY29" s="209">
        <f t="shared" si="23"/>
        <v>0</v>
      </c>
      <c r="AZ29" s="210">
        <f t="shared" si="33"/>
        <v>512102</v>
      </c>
      <c r="BA29" s="210">
        <f t="shared" si="24"/>
        <v>511301</v>
      </c>
      <c r="BB29" s="210">
        <f t="shared" si="25"/>
        <v>5123</v>
      </c>
      <c r="BC29" s="210">
        <f t="shared" si="26"/>
        <v>0</v>
      </c>
      <c r="BD29" s="210">
        <f t="shared" si="27"/>
        <v>0</v>
      </c>
      <c r="BE29" s="210">
        <f t="shared" si="28"/>
        <v>15401</v>
      </c>
      <c r="BF29" s="211">
        <f t="shared" si="34"/>
        <v>6121102</v>
      </c>
      <c r="BG29" s="169" t="s">
        <v>12763</v>
      </c>
      <c r="BH29" s="169" t="str">
        <f t="shared" si="29"/>
        <v>TDG xe 15C-07437</v>
      </c>
      <c r="BI29" s="211" t="str">
        <f t="shared" si="30"/>
        <v>G</v>
      </c>
      <c r="BJ29" s="170">
        <f t="shared" ca="1" si="31"/>
        <v>45492</v>
      </c>
      <c r="BQ29" s="209">
        <f t="shared" si="38"/>
        <v>900000</v>
      </c>
    </row>
    <row r="30" spans="1:72" s="212" customFormat="1" ht="20.100000000000001" customHeight="1" x14ac:dyDescent="0.3">
      <c r="A30" s="191">
        <v>17</v>
      </c>
      <c r="B30" s="192">
        <v>44452</v>
      </c>
      <c r="C30" s="191" t="s">
        <v>13013</v>
      </c>
      <c r="D30" s="193" t="s">
        <v>13014</v>
      </c>
      <c r="E30" s="194"/>
      <c r="F30" s="193" t="s">
        <v>416</v>
      </c>
      <c r="G30" s="193"/>
      <c r="H30" s="191" t="s">
        <v>12761</v>
      </c>
      <c r="I30" s="195" t="s">
        <v>10844</v>
      </c>
      <c r="J30" s="196" t="s">
        <v>10845</v>
      </c>
      <c r="K30" s="197" t="s">
        <v>232</v>
      </c>
      <c r="L30" s="123" t="s">
        <v>117</v>
      </c>
      <c r="M30" s="198" t="s">
        <v>13021</v>
      </c>
      <c r="N30" s="197" t="s">
        <v>12761</v>
      </c>
      <c r="O30" s="199" t="s">
        <v>12761</v>
      </c>
      <c r="P30" s="197">
        <v>0</v>
      </c>
      <c r="Q30" s="197"/>
      <c r="R30" s="200" t="s">
        <v>13016</v>
      </c>
      <c r="S30" s="201"/>
      <c r="T30" s="202">
        <v>1</v>
      </c>
      <c r="U30" s="203">
        <v>900000</v>
      </c>
      <c r="V30" s="204">
        <v>900000</v>
      </c>
      <c r="W30" s="199" t="s">
        <v>37</v>
      </c>
      <c r="X30" s="199" t="s">
        <v>12797</v>
      </c>
      <c r="Y30" s="199" t="s">
        <v>12798</v>
      </c>
      <c r="Z30" s="252">
        <v>150000</v>
      </c>
      <c r="AA30" s="198"/>
      <c r="AB30" s="206">
        <v>22</v>
      </c>
      <c r="AC30" s="206" t="s">
        <v>12761</v>
      </c>
      <c r="AD30" s="207" t="s">
        <v>10845</v>
      </c>
      <c r="AE30" s="199" t="s">
        <v>10325</v>
      </c>
      <c r="AF30" s="199" t="s">
        <v>117</v>
      </c>
      <c r="AG30" s="202">
        <v>1</v>
      </c>
      <c r="AH30" s="205">
        <v>900000</v>
      </c>
      <c r="AI30" s="205">
        <v>900000</v>
      </c>
      <c r="AJ30" s="199" t="s">
        <v>12798</v>
      </c>
      <c r="AK30" s="205">
        <v>150000</v>
      </c>
      <c r="AL30" s="205">
        <v>150000</v>
      </c>
      <c r="AM30" s="205">
        <v>0</v>
      </c>
      <c r="AN30" s="198"/>
      <c r="AO30" s="202">
        <v>1</v>
      </c>
      <c r="AP30" s="202"/>
      <c r="AQ30" s="205">
        <v>800000</v>
      </c>
      <c r="AR30" s="205">
        <v>800000</v>
      </c>
      <c r="AS30" s="205">
        <v>100000</v>
      </c>
      <c r="AT30" s="198">
        <v>0</v>
      </c>
      <c r="AU30" s="208">
        <f t="shared" si="20"/>
        <v>1</v>
      </c>
      <c r="AV30" s="208"/>
      <c r="AW30" s="209">
        <f t="shared" si="21"/>
        <v>100000</v>
      </c>
      <c r="AX30" s="209">
        <f t="shared" si="22"/>
        <v>100000</v>
      </c>
      <c r="AY30" s="209">
        <f t="shared" si="23"/>
        <v>0</v>
      </c>
      <c r="AZ30" s="210">
        <f t="shared" si="33"/>
        <v>512137</v>
      </c>
      <c r="BA30" s="210">
        <f t="shared" si="24"/>
        <v>511301</v>
      </c>
      <c r="BB30" s="210">
        <f t="shared" si="25"/>
        <v>5123</v>
      </c>
      <c r="BC30" s="210">
        <f t="shared" si="26"/>
        <v>0</v>
      </c>
      <c r="BD30" s="210">
        <f t="shared" si="27"/>
        <v>0</v>
      </c>
      <c r="BE30" s="210">
        <f t="shared" si="28"/>
        <v>15401</v>
      </c>
      <c r="BF30" s="211">
        <f t="shared" si="34"/>
        <v>6121137</v>
      </c>
      <c r="BG30" s="169" t="s">
        <v>12763</v>
      </c>
      <c r="BH30" s="169" t="str">
        <f t="shared" si="29"/>
        <v>TDG xe 15C-13959</v>
      </c>
      <c r="BI30" s="211" t="str">
        <f t="shared" si="30"/>
        <v>G</v>
      </c>
      <c r="BJ30" s="170">
        <f t="shared" ca="1" si="31"/>
        <v>45492</v>
      </c>
    </row>
    <row r="31" spans="1:72" s="212" customFormat="1" ht="20.100000000000001" customHeight="1" x14ac:dyDescent="0.3">
      <c r="A31" s="191">
        <v>18</v>
      </c>
      <c r="B31" s="192">
        <v>44452</v>
      </c>
      <c r="C31" s="191" t="s">
        <v>2434</v>
      </c>
      <c r="D31" s="193" t="s">
        <v>2435</v>
      </c>
      <c r="E31" s="194" t="s">
        <v>12790</v>
      </c>
      <c r="F31" s="193" t="s">
        <v>2436</v>
      </c>
      <c r="G31" s="193"/>
      <c r="H31" s="191" t="s">
        <v>12761</v>
      </c>
      <c r="I31" s="195" t="s">
        <v>10844</v>
      </c>
      <c r="J31" s="196" t="s">
        <v>10845</v>
      </c>
      <c r="K31" s="197" t="s">
        <v>232</v>
      </c>
      <c r="L31" s="123" t="s">
        <v>88</v>
      </c>
      <c r="M31" s="198" t="s">
        <v>13022</v>
      </c>
      <c r="N31" s="197" t="s">
        <v>12761</v>
      </c>
      <c r="O31" s="199" t="s">
        <v>12761</v>
      </c>
      <c r="P31" s="197">
        <v>0</v>
      </c>
      <c r="Q31" s="197"/>
      <c r="R31" s="200" t="s">
        <v>13023</v>
      </c>
      <c r="S31" s="201"/>
      <c r="T31" s="202">
        <v>1</v>
      </c>
      <c r="U31" s="203">
        <v>900000</v>
      </c>
      <c r="V31" s="204">
        <v>900000</v>
      </c>
      <c r="W31" s="199" t="s">
        <v>37</v>
      </c>
      <c r="X31" s="199" t="s">
        <v>12797</v>
      </c>
      <c r="Y31" s="199" t="s">
        <v>12798</v>
      </c>
      <c r="Z31" s="252">
        <v>150000</v>
      </c>
      <c r="AA31" s="198"/>
      <c r="AB31" s="206">
        <v>23</v>
      </c>
      <c r="AC31" s="206" t="s">
        <v>12761</v>
      </c>
      <c r="AD31" s="207" t="s">
        <v>10845</v>
      </c>
      <c r="AE31" s="199" t="s">
        <v>10325</v>
      </c>
      <c r="AF31" s="199" t="s">
        <v>88</v>
      </c>
      <c r="AG31" s="202">
        <v>1</v>
      </c>
      <c r="AH31" s="205">
        <v>900000</v>
      </c>
      <c r="AI31" s="205">
        <v>900000</v>
      </c>
      <c r="AJ31" s="199" t="s">
        <v>12798</v>
      </c>
      <c r="AK31" s="205">
        <v>150000</v>
      </c>
      <c r="AL31" s="205">
        <v>150000</v>
      </c>
      <c r="AM31" s="205">
        <v>0</v>
      </c>
      <c r="AN31" s="198"/>
      <c r="AO31" s="202">
        <v>1</v>
      </c>
      <c r="AP31" s="202"/>
      <c r="AQ31" s="205">
        <v>800000</v>
      </c>
      <c r="AR31" s="205">
        <v>800000</v>
      </c>
      <c r="AS31" s="205">
        <v>100000</v>
      </c>
      <c r="AT31" s="198">
        <v>0</v>
      </c>
      <c r="AU31" s="208">
        <f t="shared" si="20"/>
        <v>1</v>
      </c>
      <c r="AV31" s="208"/>
      <c r="AW31" s="209">
        <f t="shared" si="21"/>
        <v>100000</v>
      </c>
      <c r="AX31" s="209">
        <f t="shared" si="22"/>
        <v>100000</v>
      </c>
      <c r="AY31" s="209">
        <f t="shared" si="23"/>
        <v>0</v>
      </c>
      <c r="AZ31" s="210">
        <f t="shared" si="33"/>
        <v>512109</v>
      </c>
      <c r="BA31" s="210">
        <f t="shared" si="24"/>
        <v>511301</v>
      </c>
      <c r="BB31" s="210">
        <f t="shared" si="25"/>
        <v>5123</v>
      </c>
      <c r="BC31" s="210">
        <f t="shared" si="26"/>
        <v>0</v>
      </c>
      <c r="BD31" s="210">
        <f t="shared" si="27"/>
        <v>0</v>
      </c>
      <c r="BE31" s="210">
        <f t="shared" si="28"/>
        <v>15401</v>
      </c>
      <c r="BF31" s="211">
        <f t="shared" si="34"/>
        <v>6121109</v>
      </c>
      <c r="BG31" s="169" t="s">
        <v>12763</v>
      </c>
      <c r="BH31" s="169" t="str">
        <f t="shared" si="29"/>
        <v>TDG xe 15C-10691</v>
      </c>
      <c r="BI31" s="211" t="str">
        <f t="shared" si="30"/>
        <v>G</v>
      </c>
      <c r="BJ31" s="170">
        <f t="shared" ca="1" si="31"/>
        <v>45492</v>
      </c>
    </row>
    <row r="32" spans="1:72" s="212" customFormat="1" ht="20.100000000000001" customHeight="1" x14ac:dyDescent="0.3">
      <c r="A32" s="191">
        <v>19</v>
      </c>
      <c r="B32" s="192">
        <v>44459</v>
      </c>
      <c r="C32" s="193" t="s">
        <v>3084</v>
      </c>
      <c r="D32" s="193" t="s">
        <v>3085</v>
      </c>
      <c r="E32" s="213" t="s">
        <v>3087</v>
      </c>
      <c r="F32" s="193" t="s">
        <v>3086</v>
      </c>
      <c r="G32" s="193"/>
      <c r="H32" s="191" t="s">
        <v>12761</v>
      </c>
      <c r="I32" s="195" t="s">
        <v>10844</v>
      </c>
      <c r="J32" s="196" t="s">
        <v>10845</v>
      </c>
      <c r="K32" s="197" t="s">
        <v>232</v>
      </c>
      <c r="L32" s="123" t="s">
        <v>113</v>
      </c>
      <c r="M32" s="198" t="s">
        <v>13024</v>
      </c>
      <c r="N32" s="197" t="s">
        <v>12761</v>
      </c>
      <c r="O32" s="199" t="s">
        <v>12761</v>
      </c>
      <c r="P32" s="197">
        <v>0</v>
      </c>
      <c r="Q32" s="197"/>
      <c r="R32" s="200" t="s">
        <v>13025</v>
      </c>
      <c r="S32" s="201"/>
      <c r="T32" s="202">
        <v>1</v>
      </c>
      <c r="U32" s="203">
        <v>600000</v>
      </c>
      <c r="V32" s="204">
        <v>600000</v>
      </c>
      <c r="W32" s="199" t="s">
        <v>37</v>
      </c>
      <c r="X32" s="199" t="s">
        <v>12797</v>
      </c>
      <c r="Y32" s="199" t="s">
        <v>12798</v>
      </c>
      <c r="Z32" s="252">
        <v>150000</v>
      </c>
      <c r="AA32" s="198"/>
      <c r="AB32" s="206">
        <v>16</v>
      </c>
      <c r="AC32" s="206" t="s">
        <v>12761</v>
      </c>
      <c r="AD32" s="207" t="s">
        <v>10845</v>
      </c>
      <c r="AE32" s="199" t="s">
        <v>10325</v>
      </c>
      <c r="AF32" s="199" t="s">
        <v>113</v>
      </c>
      <c r="AG32" s="202">
        <v>1</v>
      </c>
      <c r="AH32" s="205">
        <v>600000</v>
      </c>
      <c r="AI32" s="205">
        <v>600000</v>
      </c>
      <c r="AJ32" s="199" t="s">
        <v>12798</v>
      </c>
      <c r="AK32" s="205">
        <v>150000</v>
      </c>
      <c r="AL32" s="205">
        <v>150000</v>
      </c>
      <c r="AM32" s="205">
        <v>0</v>
      </c>
      <c r="AN32" s="198"/>
      <c r="AO32" s="202">
        <v>1</v>
      </c>
      <c r="AP32" s="202"/>
      <c r="AQ32" s="205">
        <v>600000</v>
      </c>
      <c r="AR32" s="205">
        <v>600000</v>
      </c>
      <c r="AS32" s="205">
        <v>0</v>
      </c>
      <c r="AT32" s="198">
        <v>0</v>
      </c>
      <c r="AU32" s="208">
        <f t="shared" si="20"/>
        <v>1</v>
      </c>
      <c r="AV32" s="208"/>
      <c r="AW32" s="209">
        <f t="shared" si="21"/>
        <v>0</v>
      </c>
      <c r="AX32" s="209">
        <f t="shared" si="22"/>
        <v>0</v>
      </c>
      <c r="AY32" s="209">
        <f t="shared" si="23"/>
        <v>0</v>
      </c>
      <c r="AZ32" s="210">
        <f t="shared" si="33"/>
        <v>512135</v>
      </c>
      <c r="BA32" s="210">
        <f t="shared" si="24"/>
        <v>511301</v>
      </c>
      <c r="BB32" s="210">
        <f t="shared" si="25"/>
        <v>5123</v>
      </c>
      <c r="BC32" s="210">
        <f t="shared" si="26"/>
        <v>0</v>
      </c>
      <c r="BD32" s="210">
        <f t="shared" si="27"/>
        <v>0</v>
      </c>
      <c r="BE32" s="210">
        <f t="shared" si="28"/>
        <v>15401</v>
      </c>
      <c r="BF32" s="211">
        <f t="shared" si="34"/>
        <v>6121135</v>
      </c>
      <c r="BG32" s="169" t="s">
        <v>12763</v>
      </c>
      <c r="BH32" s="169" t="str">
        <f t="shared" si="29"/>
        <v>TDG xe 15C-13368</v>
      </c>
      <c r="BI32" s="211" t="str">
        <f t="shared" si="30"/>
        <v>G</v>
      </c>
      <c r="BJ32" s="170">
        <f t="shared" ca="1" si="31"/>
        <v>45492</v>
      </c>
    </row>
    <row r="33" spans="1:73" s="212" customFormat="1" ht="20.100000000000001" customHeight="1" x14ac:dyDescent="0.3">
      <c r="A33" s="191">
        <v>20</v>
      </c>
      <c r="B33" s="192">
        <v>44460</v>
      </c>
      <c r="C33" s="193" t="s">
        <v>197</v>
      </c>
      <c r="D33" s="193" t="s">
        <v>5519</v>
      </c>
      <c r="E33" s="194" t="s">
        <v>5521</v>
      </c>
      <c r="F33" s="193" t="s">
        <v>5520</v>
      </c>
      <c r="G33" s="193"/>
      <c r="H33" s="191" t="s">
        <v>12761</v>
      </c>
      <c r="I33" s="195" t="s">
        <v>10844</v>
      </c>
      <c r="J33" s="196" t="s">
        <v>10845</v>
      </c>
      <c r="K33" s="197" t="s">
        <v>232</v>
      </c>
      <c r="L33" s="123" t="s">
        <v>131</v>
      </c>
      <c r="M33" s="198" t="s">
        <v>13026</v>
      </c>
      <c r="N33" s="197" t="s">
        <v>12761</v>
      </c>
      <c r="O33" s="199" t="s">
        <v>12761</v>
      </c>
      <c r="P33" s="197">
        <v>0</v>
      </c>
      <c r="Q33" s="197"/>
      <c r="R33" s="200" t="s">
        <v>13027</v>
      </c>
      <c r="S33" s="201"/>
      <c r="T33" s="202">
        <v>1</v>
      </c>
      <c r="U33" s="203">
        <v>850000</v>
      </c>
      <c r="V33" s="204">
        <v>850000</v>
      </c>
      <c r="W33" s="199" t="s">
        <v>37</v>
      </c>
      <c r="X33" s="199" t="s">
        <v>12797</v>
      </c>
      <c r="Y33" s="199" t="s">
        <v>12798</v>
      </c>
      <c r="Z33" s="205">
        <v>150000</v>
      </c>
      <c r="AA33" s="198"/>
      <c r="AB33" s="206">
        <v>8</v>
      </c>
      <c r="AC33" s="206" t="s">
        <v>12761</v>
      </c>
      <c r="AD33" s="207" t="s">
        <v>10845</v>
      </c>
      <c r="AE33" s="199" t="s">
        <v>10360</v>
      </c>
      <c r="AF33" s="199" t="s">
        <v>131</v>
      </c>
      <c r="AG33" s="202">
        <v>1</v>
      </c>
      <c r="AH33" s="205">
        <v>850000</v>
      </c>
      <c r="AI33" s="205">
        <v>850000</v>
      </c>
      <c r="AJ33" s="199" t="s">
        <v>12798</v>
      </c>
      <c r="AK33" s="205">
        <v>150000</v>
      </c>
      <c r="AL33" s="205">
        <v>150000</v>
      </c>
      <c r="AM33" s="205">
        <v>0</v>
      </c>
      <c r="AN33" s="198"/>
      <c r="AO33" s="202">
        <v>1</v>
      </c>
      <c r="AP33" s="202"/>
      <c r="AQ33" s="205">
        <v>800000</v>
      </c>
      <c r="AR33" s="205">
        <v>800000</v>
      </c>
      <c r="AS33" s="205">
        <v>50000</v>
      </c>
      <c r="AT33" s="198">
        <v>0</v>
      </c>
      <c r="AU33" s="208">
        <f t="shared" si="20"/>
        <v>1</v>
      </c>
      <c r="AV33" s="208"/>
      <c r="AW33" s="209">
        <f t="shared" si="21"/>
        <v>50000</v>
      </c>
      <c r="AX33" s="209">
        <f t="shared" si="22"/>
        <v>50000</v>
      </c>
      <c r="AY33" s="209">
        <f t="shared" si="23"/>
        <v>0</v>
      </c>
      <c r="AZ33" s="210">
        <f t="shared" si="33"/>
        <v>512213</v>
      </c>
      <c r="BA33" s="210">
        <f t="shared" si="24"/>
        <v>511301</v>
      </c>
      <c r="BB33" s="210">
        <f t="shared" si="25"/>
        <v>5123</v>
      </c>
      <c r="BC33" s="210">
        <f t="shared" si="26"/>
        <v>0</v>
      </c>
      <c r="BD33" s="210">
        <f t="shared" si="27"/>
        <v>331</v>
      </c>
      <c r="BE33" s="210">
        <f t="shared" si="28"/>
        <v>331</v>
      </c>
      <c r="BF33" s="211">
        <f t="shared" si="34"/>
        <v>0</v>
      </c>
      <c r="BG33" s="169" t="s">
        <v>12763</v>
      </c>
      <c r="BH33" s="169" t="str">
        <f t="shared" si="29"/>
        <v>TDG xe 15C-03426</v>
      </c>
      <c r="BI33" s="211" t="str">
        <f t="shared" si="30"/>
        <v>G</v>
      </c>
      <c r="BJ33" s="170">
        <f t="shared" ca="1" si="31"/>
        <v>45492</v>
      </c>
    </row>
    <row r="34" spans="1:73" s="212" customFormat="1" ht="20.100000000000001" customHeight="1" x14ac:dyDescent="0.3">
      <c r="A34" s="191">
        <v>21</v>
      </c>
      <c r="B34" s="192">
        <v>44430</v>
      </c>
      <c r="C34" s="191"/>
      <c r="D34" s="193"/>
      <c r="E34" s="194"/>
      <c r="F34" s="193"/>
      <c r="G34" s="193"/>
      <c r="H34" s="191"/>
      <c r="I34" s="195"/>
      <c r="J34" s="196"/>
      <c r="K34" s="197" t="str">
        <f t="shared" si="39"/>
        <v>Tên CX</v>
      </c>
      <c r="L34" s="123"/>
      <c r="M34" s="198" t="str">
        <f t="shared" si="0"/>
        <v>Tên LX</v>
      </c>
      <c r="N34" s="197" t="str">
        <f t="shared" si="1"/>
        <v/>
      </c>
      <c r="O34" s="199" t="str">
        <f t="shared" si="2"/>
        <v/>
      </c>
      <c r="P34" s="197">
        <f t="shared" si="3"/>
        <v>0</v>
      </c>
      <c r="Q34" s="197"/>
      <c r="R34" s="200"/>
      <c r="S34" s="201"/>
      <c r="T34" s="202"/>
      <c r="U34" s="203"/>
      <c r="V34" s="204">
        <f t="shared" si="4"/>
        <v>0</v>
      </c>
      <c r="W34" s="199"/>
      <c r="X34" s="199">
        <f t="shared" si="5"/>
        <v>0</v>
      </c>
      <c r="Y34" s="199" t="str">
        <f t="shared" si="6"/>
        <v/>
      </c>
      <c r="Z34" s="205"/>
      <c r="AA34" s="198"/>
      <c r="AB34" s="206">
        <f t="shared" si="7"/>
        <v>21</v>
      </c>
      <c r="AC34" s="206">
        <f t="shared" si="8"/>
        <v>0</v>
      </c>
      <c r="AD34" s="207">
        <f t="shared" si="9"/>
        <v>0</v>
      </c>
      <c r="AE34" s="199" t="str">
        <f t="shared" si="32"/>
        <v>Mã CX</v>
      </c>
      <c r="AF34" s="199">
        <f t="shared" si="10"/>
        <v>0</v>
      </c>
      <c r="AG34" s="202">
        <f t="shared" ref="AG34:AK42" si="45">T34</f>
        <v>0</v>
      </c>
      <c r="AH34" s="205">
        <f t="shared" si="45"/>
        <v>0</v>
      </c>
      <c r="AI34" s="205">
        <f t="shared" si="45"/>
        <v>0</v>
      </c>
      <c r="AJ34" s="199" t="str">
        <f t="shared" ref="AJ34:AK38" si="46">Y34</f>
        <v/>
      </c>
      <c r="AK34" s="205">
        <f t="shared" si="46"/>
        <v>0</v>
      </c>
      <c r="AL34" s="205">
        <f t="shared" si="13"/>
        <v>0</v>
      </c>
      <c r="AM34" s="205">
        <f t="shared" si="14"/>
        <v>0</v>
      </c>
      <c r="AN34" s="198"/>
      <c r="AO34" s="202">
        <f t="shared" si="15"/>
        <v>0</v>
      </c>
      <c r="AP34" s="202"/>
      <c r="AQ34" s="205">
        <f t="shared" si="16"/>
        <v>0</v>
      </c>
      <c r="AR34" s="205">
        <f t="shared" si="17"/>
        <v>0</v>
      </c>
      <c r="AS34" s="205">
        <f t="shared" si="18"/>
        <v>0</v>
      </c>
      <c r="AT34" s="198">
        <f t="shared" si="19"/>
        <v>0</v>
      </c>
      <c r="AU34" s="208">
        <f t="shared" si="20"/>
        <v>0</v>
      </c>
      <c r="AV34" s="208"/>
      <c r="AW34" s="209" t="e">
        <f t="shared" si="21"/>
        <v>#DIV/0!</v>
      </c>
      <c r="AX34" s="209" t="e">
        <f t="shared" si="22"/>
        <v>#DIV/0!</v>
      </c>
      <c r="AY34" s="209" t="e">
        <f t="shared" si="23"/>
        <v>#DIV/0!</v>
      </c>
      <c r="AZ34" s="210">
        <f t="shared" si="33"/>
        <v>51225</v>
      </c>
      <c r="BA34" s="210">
        <f t="shared" si="24"/>
        <v>0</v>
      </c>
      <c r="BB34" s="210">
        <f t="shared" si="25"/>
        <v>0</v>
      </c>
      <c r="BC34" s="210">
        <f t="shared" si="26"/>
        <v>0</v>
      </c>
      <c r="BD34" s="210">
        <f t="shared" si="27"/>
        <v>331</v>
      </c>
      <c r="BE34" s="210">
        <f t="shared" si="28"/>
        <v>0</v>
      </c>
      <c r="BF34" s="211">
        <f t="shared" si="34"/>
        <v>0</v>
      </c>
      <c r="BG34" s="169" t="s">
        <v>12763</v>
      </c>
      <c r="BH34" s="169" t="str">
        <f t="shared" si="29"/>
        <v xml:space="preserve">TDG xe </v>
      </c>
      <c r="BI34" s="211">
        <f t="shared" si="30"/>
        <v>0</v>
      </c>
      <c r="BJ34" s="170">
        <f t="shared" ca="1" si="31"/>
        <v>45492</v>
      </c>
    </row>
    <row r="35" spans="1:73" s="212" customFormat="1" ht="20.100000000000001" customHeight="1" x14ac:dyDescent="0.3">
      <c r="A35" s="191">
        <v>22</v>
      </c>
      <c r="B35" s="192">
        <v>44439</v>
      </c>
      <c r="C35" s="193" t="s">
        <v>2434</v>
      </c>
      <c r="D35" s="193" t="s">
        <v>2435</v>
      </c>
      <c r="E35" s="194" t="s">
        <v>12790</v>
      </c>
      <c r="F35" s="193" t="s">
        <v>2436</v>
      </c>
      <c r="G35" s="193"/>
      <c r="H35" s="191" t="s">
        <v>12761</v>
      </c>
      <c r="I35" s="195" t="s">
        <v>10896</v>
      </c>
      <c r="J35" s="196" t="s">
        <v>10897</v>
      </c>
      <c r="K35" s="197" t="str">
        <f t="shared" si="39"/>
        <v>Hoàng Sơn</v>
      </c>
      <c r="L35" s="123" t="s">
        <v>111</v>
      </c>
      <c r="M35" s="198" t="str">
        <f t="shared" si="0"/>
        <v>Bùi Bá Thành</v>
      </c>
      <c r="N35" s="197" t="str">
        <f t="shared" si="1"/>
        <v>CT</v>
      </c>
      <c r="O35" s="199" t="str">
        <f t="shared" si="2"/>
        <v>CT</v>
      </c>
      <c r="P35" s="197">
        <f>IF(OR(O35="HS",O35="TA"),"Mã XN",IF(OR(N35="TC",N35="HP"),"HP",0))</f>
        <v>0</v>
      </c>
      <c r="Q35" s="197"/>
      <c r="R35" s="200" t="s">
        <v>13009</v>
      </c>
      <c r="S35" s="201"/>
      <c r="T35" s="202">
        <v>1</v>
      </c>
      <c r="U35" s="203">
        <v>1200000</v>
      </c>
      <c r="V35" s="204">
        <f t="shared" si="4"/>
        <v>1200000</v>
      </c>
      <c r="W35" s="199" t="s">
        <v>37</v>
      </c>
      <c r="X35" s="199" t="str">
        <f t="shared" si="5"/>
        <v>OK/NO</v>
      </c>
      <c r="Y35" s="199" t="str">
        <f t="shared" si="6"/>
        <v>DKG</v>
      </c>
      <c r="Z35" s="205">
        <v>80000</v>
      </c>
      <c r="AA35" s="198" t="s">
        <v>13048</v>
      </c>
      <c r="AB35" s="206">
        <f t="shared" si="7"/>
        <v>22</v>
      </c>
      <c r="AC35" s="206" t="str">
        <f t="shared" si="8"/>
        <v>CT</v>
      </c>
      <c r="AD35" s="207" t="str">
        <f t="shared" si="9"/>
        <v>DKG&lt;-&gt;Chuyển tải khu vực CLH-HS</v>
      </c>
      <c r="AE35" s="199" t="str">
        <f t="shared" si="32"/>
        <v>CX001</v>
      </c>
      <c r="AF35" s="199" t="str">
        <f t="shared" si="10"/>
        <v>15C-12593</v>
      </c>
      <c r="AG35" s="202">
        <f t="shared" si="45"/>
        <v>1</v>
      </c>
      <c r="AH35" s="205">
        <f t="shared" si="45"/>
        <v>1200000</v>
      </c>
      <c r="AI35" s="205">
        <f t="shared" si="45"/>
        <v>1200000</v>
      </c>
      <c r="AJ35" s="199" t="str">
        <f t="shared" si="46"/>
        <v>DKG</v>
      </c>
      <c r="AK35" s="205">
        <f t="shared" si="46"/>
        <v>80000</v>
      </c>
      <c r="AL35" s="205">
        <f t="shared" si="13"/>
        <v>80000</v>
      </c>
      <c r="AM35" s="205">
        <f t="shared" si="14"/>
        <v>0</v>
      </c>
      <c r="AN35" s="198"/>
      <c r="AO35" s="202">
        <f t="shared" si="15"/>
        <v>1</v>
      </c>
      <c r="AP35" s="202"/>
      <c r="AQ35" s="205">
        <v>800000</v>
      </c>
      <c r="AR35" s="205">
        <f t="shared" si="17"/>
        <v>800000</v>
      </c>
      <c r="AS35" s="205">
        <f t="shared" si="18"/>
        <v>400000</v>
      </c>
      <c r="AT35" s="198" t="str">
        <f t="shared" si="19"/>
        <v>Hạ bãi</v>
      </c>
      <c r="AU35" s="208">
        <f t="shared" si="20"/>
        <v>1</v>
      </c>
      <c r="AV35" s="208"/>
      <c r="AW35" s="209">
        <f t="shared" si="21"/>
        <v>400000</v>
      </c>
      <c r="AX35" s="209">
        <f t="shared" si="22"/>
        <v>400000</v>
      </c>
      <c r="AY35" s="209">
        <f t="shared" si="23"/>
        <v>0</v>
      </c>
      <c r="AZ35" s="210">
        <f t="shared" si="33"/>
        <v>512133</v>
      </c>
      <c r="BA35" s="210">
        <f t="shared" si="24"/>
        <v>511301</v>
      </c>
      <c r="BB35" s="210">
        <f t="shared" si="25"/>
        <v>5123</v>
      </c>
      <c r="BC35" s="210">
        <f t="shared" si="26"/>
        <v>0</v>
      </c>
      <c r="BD35" s="210">
        <f t="shared" si="27"/>
        <v>0</v>
      </c>
      <c r="BE35" s="210">
        <f t="shared" si="28"/>
        <v>15401</v>
      </c>
      <c r="BF35" s="211">
        <f t="shared" si="34"/>
        <v>6121133</v>
      </c>
      <c r="BG35" s="169" t="s">
        <v>12763</v>
      </c>
      <c r="BH35" s="169" t="str">
        <f t="shared" si="29"/>
        <v>TDG xe 15C-12593</v>
      </c>
      <c r="BI35" s="211" t="str">
        <f t="shared" si="30"/>
        <v>G</v>
      </c>
      <c r="BJ35" s="170">
        <f t="shared" ca="1" si="31"/>
        <v>45492</v>
      </c>
    </row>
    <row r="36" spans="1:73" s="212" customFormat="1" ht="20.100000000000001" customHeight="1" x14ac:dyDescent="0.3">
      <c r="A36" s="191">
        <v>23</v>
      </c>
      <c r="B36" s="192">
        <v>44439</v>
      </c>
      <c r="C36" s="191" t="s">
        <v>2434</v>
      </c>
      <c r="D36" s="193" t="s">
        <v>2435</v>
      </c>
      <c r="E36" s="194" t="s">
        <v>12790</v>
      </c>
      <c r="F36" s="193" t="s">
        <v>2436</v>
      </c>
      <c r="G36" s="193"/>
      <c r="H36" s="191" t="s">
        <v>12761</v>
      </c>
      <c r="I36" s="195" t="s">
        <v>10896</v>
      </c>
      <c r="J36" s="196" t="s">
        <v>10897</v>
      </c>
      <c r="K36" s="197" t="str">
        <f t="shared" si="39"/>
        <v>Hoàng Sơn</v>
      </c>
      <c r="L36" s="123" t="s">
        <v>115</v>
      </c>
      <c r="M36" s="198" t="str">
        <f t="shared" si="0"/>
        <v>Nguyễn Văn Ca</v>
      </c>
      <c r="N36" s="197" t="str">
        <f t="shared" si="1"/>
        <v>CT</v>
      </c>
      <c r="O36" s="199" t="str">
        <f t="shared" si="2"/>
        <v>CT</v>
      </c>
      <c r="P36" s="197">
        <f>IF(OR(O36="HS",O36="TA"),"Mã XN",IF(OR(N36="TC",N36="HP"),"HP",0))</f>
        <v>0</v>
      </c>
      <c r="Q36" s="197"/>
      <c r="R36" s="200" t="s">
        <v>13009</v>
      </c>
      <c r="S36" s="201"/>
      <c r="T36" s="202">
        <v>1</v>
      </c>
      <c r="U36" s="203">
        <v>1200000</v>
      </c>
      <c r="V36" s="204">
        <f t="shared" si="4"/>
        <v>1200000</v>
      </c>
      <c r="W36" s="199" t="s">
        <v>37</v>
      </c>
      <c r="X36" s="199" t="str">
        <f t="shared" si="5"/>
        <v>OK/NO</v>
      </c>
      <c r="Y36" s="199" t="str">
        <f t="shared" si="6"/>
        <v>DKG</v>
      </c>
      <c r="Z36" s="205">
        <v>150000</v>
      </c>
      <c r="AA36" s="198"/>
      <c r="AB36" s="206">
        <f t="shared" si="7"/>
        <v>23</v>
      </c>
      <c r="AC36" s="206" t="str">
        <f t="shared" si="8"/>
        <v>CT</v>
      </c>
      <c r="AD36" s="207" t="str">
        <f t="shared" si="9"/>
        <v>DKG&lt;-&gt;Chuyển tải khu vực CLH-HS</v>
      </c>
      <c r="AE36" s="199" t="str">
        <f t="shared" si="32"/>
        <v>CX001</v>
      </c>
      <c r="AF36" s="199" t="str">
        <f t="shared" si="10"/>
        <v>15C-13568</v>
      </c>
      <c r="AG36" s="202">
        <f t="shared" si="45"/>
        <v>1</v>
      </c>
      <c r="AH36" s="205">
        <f t="shared" si="45"/>
        <v>1200000</v>
      </c>
      <c r="AI36" s="205">
        <f t="shared" si="45"/>
        <v>1200000</v>
      </c>
      <c r="AJ36" s="199" t="str">
        <f t="shared" si="46"/>
        <v>DKG</v>
      </c>
      <c r="AK36" s="205">
        <f t="shared" si="46"/>
        <v>150000</v>
      </c>
      <c r="AL36" s="205">
        <f t="shared" si="13"/>
        <v>150000</v>
      </c>
      <c r="AM36" s="205">
        <f t="shared" si="14"/>
        <v>0</v>
      </c>
      <c r="AN36" s="198"/>
      <c r="AO36" s="202">
        <f t="shared" si="15"/>
        <v>1</v>
      </c>
      <c r="AP36" s="202"/>
      <c r="AQ36" s="205">
        <f>IF(AND(Y36="DKG",H36="Cont",I36="VD.HN.DKG"),4000000/AO36,IF(AND(Y36="DKG",A36&gt;=1,I36="CLH.HS"),1100000,IF(AND(Y36="DKG",A36&gt;=1,I36="CDV.HS"),800000,IF(AND(Y36="DKG",A36&gt;=1,I36="HS.HA"),800000/AO36,IF(AND(Y36="DKG",A36&gt;=1,I36="CHP.HS"),800000/AO36,IF(AND(Y36="DKG",A36&gt;=1,I36="KH.DKG"),V36-1000000,IF(Y36="DKG",AH36-65000,IF(Y36="THG",AH36,0))))))))</f>
        <v>1100000</v>
      </c>
      <c r="AR36" s="205">
        <f t="shared" si="17"/>
        <v>1100000</v>
      </c>
      <c r="AS36" s="205">
        <f t="shared" si="18"/>
        <v>100000</v>
      </c>
      <c r="AT36" s="198">
        <f t="shared" si="19"/>
        <v>0</v>
      </c>
      <c r="AU36" s="208">
        <f t="shared" si="20"/>
        <v>1</v>
      </c>
      <c r="AV36" s="208"/>
      <c r="AW36" s="209">
        <f t="shared" si="21"/>
        <v>100000</v>
      </c>
      <c r="AX36" s="209">
        <f t="shared" si="22"/>
        <v>100000</v>
      </c>
      <c r="AY36" s="209">
        <f t="shared" si="23"/>
        <v>0</v>
      </c>
      <c r="AZ36" s="210">
        <f t="shared" si="33"/>
        <v>512136</v>
      </c>
      <c r="BA36" s="210">
        <f t="shared" si="24"/>
        <v>511301</v>
      </c>
      <c r="BB36" s="210">
        <f t="shared" si="25"/>
        <v>5123</v>
      </c>
      <c r="BC36" s="210">
        <f t="shared" si="26"/>
        <v>0</v>
      </c>
      <c r="BD36" s="210">
        <f t="shared" si="27"/>
        <v>0</v>
      </c>
      <c r="BE36" s="210">
        <f t="shared" si="28"/>
        <v>15401</v>
      </c>
      <c r="BF36" s="211">
        <f t="shared" si="34"/>
        <v>6121136</v>
      </c>
      <c r="BG36" s="169" t="s">
        <v>12763</v>
      </c>
      <c r="BH36" s="169" t="str">
        <f t="shared" si="29"/>
        <v>TDG xe 15C-13568</v>
      </c>
      <c r="BI36" s="211" t="str">
        <f t="shared" si="30"/>
        <v>G</v>
      </c>
      <c r="BJ36" s="170">
        <f t="shared" ca="1" si="31"/>
        <v>45492</v>
      </c>
    </row>
    <row r="37" spans="1:73" s="212" customFormat="1" ht="20.100000000000001" customHeight="1" x14ac:dyDescent="0.3">
      <c r="A37" s="191">
        <v>24</v>
      </c>
      <c r="B37" s="192">
        <v>44430</v>
      </c>
      <c r="C37" s="191"/>
      <c r="D37" s="193"/>
      <c r="E37" s="194"/>
      <c r="F37" s="193"/>
      <c r="G37" s="193"/>
      <c r="H37" s="191"/>
      <c r="I37" s="195"/>
      <c r="J37" s="196"/>
      <c r="K37" s="197" t="str">
        <f t="shared" si="39"/>
        <v>Tên CX</v>
      </c>
      <c r="L37" s="123"/>
      <c r="M37" s="198" t="str">
        <f t="shared" si="0"/>
        <v>Tên LX</v>
      </c>
      <c r="N37" s="197" t="str">
        <f t="shared" si="1"/>
        <v/>
      </c>
      <c r="O37" s="199" t="str">
        <f t="shared" si="2"/>
        <v/>
      </c>
      <c r="P37" s="197">
        <f t="shared" si="3"/>
        <v>0</v>
      </c>
      <c r="Q37" s="197"/>
      <c r="R37" s="200"/>
      <c r="S37" s="201"/>
      <c r="T37" s="202"/>
      <c r="U37" s="203"/>
      <c r="V37" s="204">
        <f t="shared" si="4"/>
        <v>0</v>
      </c>
      <c r="W37" s="199"/>
      <c r="X37" s="199">
        <f t="shared" si="5"/>
        <v>0</v>
      </c>
      <c r="Y37" s="199" t="str">
        <f t="shared" si="6"/>
        <v/>
      </c>
      <c r="Z37" s="205"/>
      <c r="AA37" s="198"/>
      <c r="AB37" s="206">
        <f t="shared" si="7"/>
        <v>24</v>
      </c>
      <c r="AC37" s="206">
        <f t="shared" si="8"/>
        <v>0</v>
      </c>
      <c r="AD37" s="207">
        <f t="shared" si="9"/>
        <v>0</v>
      </c>
      <c r="AE37" s="199" t="str">
        <f t="shared" si="32"/>
        <v>Mã CX</v>
      </c>
      <c r="AF37" s="199">
        <f t="shared" si="10"/>
        <v>0</v>
      </c>
      <c r="AG37" s="202">
        <f t="shared" si="45"/>
        <v>0</v>
      </c>
      <c r="AH37" s="205">
        <f t="shared" si="45"/>
        <v>0</v>
      </c>
      <c r="AI37" s="205">
        <f t="shared" si="45"/>
        <v>0</v>
      </c>
      <c r="AJ37" s="199" t="str">
        <f t="shared" si="46"/>
        <v/>
      </c>
      <c r="AK37" s="205">
        <f t="shared" si="46"/>
        <v>0</v>
      </c>
      <c r="AL37" s="205">
        <f t="shared" si="13"/>
        <v>0</v>
      </c>
      <c r="AM37" s="205">
        <f t="shared" si="14"/>
        <v>0</v>
      </c>
      <c r="AN37" s="198"/>
      <c r="AO37" s="202">
        <f t="shared" si="15"/>
        <v>0</v>
      </c>
      <c r="AP37" s="202"/>
      <c r="AQ37" s="205">
        <f t="shared" si="16"/>
        <v>0</v>
      </c>
      <c r="AR37" s="205">
        <f t="shared" si="17"/>
        <v>0</v>
      </c>
      <c r="AS37" s="205">
        <f t="shared" si="18"/>
        <v>0</v>
      </c>
      <c r="AT37" s="198">
        <f t="shared" si="19"/>
        <v>0</v>
      </c>
      <c r="AU37" s="208">
        <f t="shared" si="20"/>
        <v>0</v>
      </c>
      <c r="AV37" s="208"/>
      <c r="AW37" s="209" t="e">
        <f t="shared" si="21"/>
        <v>#DIV/0!</v>
      </c>
      <c r="AX37" s="209" t="e">
        <f t="shared" si="22"/>
        <v>#DIV/0!</v>
      </c>
      <c r="AY37" s="209" t="e">
        <f t="shared" si="23"/>
        <v>#DIV/0!</v>
      </c>
      <c r="AZ37" s="210">
        <f t="shared" si="33"/>
        <v>51225</v>
      </c>
      <c r="BA37" s="210">
        <f t="shared" si="24"/>
        <v>0</v>
      </c>
      <c r="BB37" s="210">
        <f t="shared" si="25"/>
        <v>0</v>
      </c>
      <c r="BC37" s="210">
        <f t="shared" si="26"/>
        <v>0</v>
      </c>
      <c r="BD37" s="210">
        <f t="shared" si="27"/>
        <v>331</v>
      </c>
      <c r="BE37" s="210">
        <f t="shared" si="28"/>
        <v>0</v>
      </c>
      <c r="BF37" s="211">
        <f t="shared" si="34"/>
        <v>0</v>
      </c>
      <c r="BG37" s="169" t="s">
        <v>12763</v>
      </c>
      <c r="BH37" s="169" t="str">
        <f t="shared" si="29"/>
        <v xml:space="preserve">TDG xe </v>
      </c>
      <c r="BI37" s="211">
        <f t="shared" si="30"/>
        <v>0</v>
      </c>
      <c r="BJ37" s="170">
        <f t="shared" ca="1" si="31"/>
        <v>45492</v>
      </c>
    </row>
    <row r="38" spans="1:73" s="212" customFormat="1" ht="20.100000000000001" customHeight="1" x14ac:dyDescent="0.3">
      <c r="A38" s="191">
        <v>25</v>
      </c>
      <c r="B38" s="192">
        <v>44519</v>
      </c>
      <c r="C38" s="191" t="s">
        <v>10272</v>
      </c>
      <c r="D38" s="193" t="s">
        <v>10273</v>
      </c>
      <c r="E38" s="194" t="s">
        <v>10275</v>
      </c>
      <c r="F38" s="193" t="s">
        <v>10274</v>
      </c>
      <c r="G38" s="193"/>
      <c r="H38" s="191" t="s">
        <v>12761</v>
      </c>
      <c r="I38" s="195" t="s">
        <v>10896</v>
      </c>
      <c r="J38" s="196" t="s">
        <v>10897</v>
      </c>
      <c r="K38" s="197" t="str">
        <f t="shared" si="39"/>
        <v>Hoàng Sơn</v>
      </c>
      <c r="L38" s="123" t="s">
        <v>91</v>
      </c>
      <c r="M38" s="198" t="str">
        <f t="shared" ref="M38" si="47">IF(L38="15C-03470","Ngô Quang Hưng",IF(L38="15C-01889","Nguyễn Văn Chi",IF(L38="15C-25418","Ngụy Văn Toàn",IF(L38="15C-13036","Lê Xuân Quyết",IF(L38="15C-11549","Nguyễn Văn Tiến",IF(L38="15C-11732","Lê Anh Tân",IF(L38="15C-11856","Hà Mạnh Hùng",IF(L38="15C-12593","Lại Văn Ngân",IF(L38="15C-12643","Nguyễn Văn Đại",IF(L38="15C-13368","Vũ Đức Chiến",IF(L38="15C-13568","Nguyễn Văn Ca",IF(L38="15C-13959","Phạm Viết Thành",IF(L38="15C-13969","Vũ Văn Sang",IF(L38="15C-13958","Vũ Đình Hà",IF(L38="15C-07321","Phạm Đăng Khoa",IF(L38="15C-07437","Trương Văn Cao",IF(L38="15C-10691","Phạm Văn Thượng",IF(L38="15C-10812","Phạm Văn Hai",IF(L38="15C-11200","Vũ Đình Quyết",IF(L38="15C-11486","Bùi Đức Thành",IF(L38="15C-12812","Mai Văn Sơn",IF(L38="15C-12832","Trần Văn Hiển",IF(L38="15C-12874","Nguyễn Văn Huynh",IF(L38="15C-12876","Nguyễn Vinh Hiển",IF(L38="15C-13616","Phan Văn Tôn",IF(L38="15C-13840","Hoàng Văn Hưng",IF(L38="15C-15237","Phạm Văn Thịnh",IF(L38="15C-06125","Đồng Ngọc Điểm",IF(L38="15C-25029",".................",IF(L38="15C-25555","Đoàn Văn Hà",IF(L38="15C-03426","Phạm Hoàng Quyết",IF(L38="15C-01584","Nguyễn Đắc Đạt","Tên LX"))))))))))))))))))))))))))))))))</f>
        <v>Mai Văn Sơn</v>
      </c>
      <c r="N38" s="197" t="str">
        <f t="shared" si="1"/>
        <v>CT</v>
      </c>
      <c r="O38" s="199" t="str">
        <f t="shared" si="2"/>
        <v>CT</v>
      </c>
      <c r="P38" s="197">
        <f t="shared" si="3"/>
        <v>0</v>
      </c>
      <c r="Q38" s="197"/>
      <c r="R38" s="200" t="s">
        <v>13049</v>
      </c>
      <c r="S38" s="201"/>
      <c r="T38" s="202">
        <v>1</v>
      </c>
      <c r="U38" s="203">
        <v>1100000</v>
      </c>
      <c r="V38" s="204">
        <f t="shared" si="4"/>
        <v>1100000</v>
      </c>
      <c r="W38" s="199" t="s">
        <v>37</v>
      </c>
      <c r="X38" s="199" t="str">
        <f t="shared" si="5"/>
        <v>OK/NO</v>
      </c>
      <c r="Y38" s="199" t="str">
        <f t="shared" si="6"/>
        <v>DKG</v>
      </c>
      <c r="Z38" s="252">
        <v>150000</v>
      </c>
      <c r="AA38" s="198"/>
      <c r="AB38" s="206">
        <f t="shared" si="7"/>
        <v>25</v>
      </c>
      <c r="AC38" s="206" t="str">
        <f t="shared" si="8"/>
        <v>CT</v>
      </c>
      <c r="AD38" s="207" t="str">
        <f t="shared" si="9"/>
        <v>DKG&lt;-&gt;Chuyển tải khu vực CLH-HS</v>
      </c>
      <c r="AE38" s="199" t="str">
        <f t="shared" si="32"/>
        <v>CX001</v>
      </c>
      <c r="AF38" s="199" t="str">
        <f t="shared" si="10"/>
        <v>15C-12812</v>
      </c>
      <c r="AG38" s="202">
        <f t="shared" si="45"/>
        <v>1</v>
      </c>
      <c r="AH38" s="205">
        <f t="shared" si="45"/>
        <v>1100000</v>
      </c>
      <c r="AI38" s="205">
        <f t="shared" si="45"/>
        <v>1100000</v>
      </c>
      <c r="AJ38" s="199" t="str">
        <f t="shared" si="46"/>
        <v>DKG</v>
      </c>
      <c r="AK38" s="205">
        <f t="shared" si="46"/>
        <v>150000</v>
      </c>
      <c r="AL38" s="205">
        <f t="shared" si="13"/>
        <v>150000</v>
      </c>
      <c r="AM38" s="205">
        <f t="shared" si="14"/>
        <v>0</v>
      </c>
      <c r="AN38" s="198"/>
      <c r="AO38" s="202">
        <f t="shared" si="15"/>
        <v>1</v>
      </c>
      <c r="AP38" s="202"/>
      <c r="AQ38" s="205">
        <f t="shared" si="16"/>
        <v>1100000</v>
      </c>
      <c r="AR38" s="205">
        <f t="shared" si="17"/>
        <v>1100000</v>
      </c>
      <c r="AS38" s="205">
        <f t="shared" si="18"/>
        <v>0</v>
      </c>
      <c r="AT38" s="198">
        <f t="shared" si="19"/>
        <v>0</v>
      </c>
      <c r="AU38" s="208">
        <f t="shared" si="20"/>
        <v>1</v>
      </c>
      <c r="AV38" s="208"/>
      <c r="AW38" s="209">
        <f t="shared" si="21"/>
        <v>0</v>
      </c>
      <c r="AX38" s="209">
        <f t="shared" si="22"/>
        <v>0</v>
      </c>
      <c r="AY38" s="209">
        <f t="shared" si="23"/>
        <v>0</v>
      </c>
      <c r="AZ38" s="210">
        <f t="shared" si="33"/>
        <v>512113</v>
      </c>
      <c r="BA38" s="210">
        <f t="shared" si="24"/>
        <v>511301</v>
      </c>
      <c r="BB38" s="210">
        <f t="shared" si="25"/>
        <v>5123</v>
      </c>
      <c r="BC38" s="210">
        <f t="shared" si="26"/>
        <v>0</v>
      </c>
      <c r="BD38" s="210">
        <f t="shared" si="27"/>
        <v>0</v>
      </c>
      <c r="BE38" s="210">
        <f t="shared" si="28"/>
        <v>15401</v>
      </c>
      <c r="BF38" s="211">
        <f t="shared" si="34"/>
        <v>6121113</v>
      </c>
      <c r="BG38" s="169" t="s">
        <v>12763</v>
      </c>
      <c r="BH38" s="169" t="str">
        <f t="shared" si="29"/>
        <v>TDG xe 15C-12812</v>
      </c>
      <c r="BI38" s="211" t="str">
        <f t="shared" si="30"/>
        <v>G</v>
      </c>
      <c r="BJ38" s="170">
        <f t="shared" ca="1" si="31"/>
        <v>45492</v>
      </c>
    </row>
    <row r="39" spans="1:73" s="212" customFormat="1" ht="20.100000000000001" customHeight="1" x14ac:dyDescent="0.3">
      <c r="A39" s="191"/>
      <c r="B39" s="192"/>
      <c r="C39" s="191"/>
      <c r="D39" s="193"/>
      <c r="E39" s="194"/>
      <c r="F39" s="193"/>
      <c r="G39" s="193"/>
      <c r="H39" s="191"/>
      <c r="I39" s="195"/>
      <c r="J39" s="196"/>
      <c r="K39" s="197"/>
      <c r="L39" s="123"/>
      <c r="M39" s="198"/>
      <c r="N39" s="197"/>
      <c r="O39" s="199"/>
      <c r="P39" s="197"/>
      <c r="Q39" s="197"/>
      <c r="R39" s="200"/>
      <c r="S39" s="201"/>
      <c r="T39" s="202"/>
      <c r="U39" s="205"/>
      <c r="V39" s="204"/>
      <c r="W39" s="199"/>
      <c r="X39" s="199"/>
      <c r="Y39" s="199"/>
      <c r="Z39" s="252"/>
      <c r="AA39" s="198"/>
      <c r="AB39" s="206"/>
      <c r="AC39" s="206"/>
      <c r="AD39" s="207"/>
      <c r="AE39" s="199"/>
      <c r="AF39" s="199"/>
      <c r="AG39" s="202"/>
      <c r="AH39" s="205"/>
      <c r="AI39" s="205"/>
      <c r="AJ39" s="199"/>
      <c r="AK39" s="205"/>
      <c r="AL39" s="205"/>
      <c r="AM39" s="205"/>
      <c r="AN39" s="198"/>
      <c r="AO39" s="202"/>
      <c r="AP39" s="202"/>
      <c r="AQ39" s="205"/>
      <c r="AR39" s="205"/>
      <c r="AS39" s="205"/>
      <c r="AT39" s="198"/>
      <c r="AU39" s="208"/>
      <c r="AV39" s="208"/>
      <c r="AW39" s="209"/>
      <c r="AX39" s="209"/>
      <c r="AY39" s="209"/>
      <c r="AZ39" s="292"/>
      <c r="BA39" s="292"/>
      <c r="BB39" s="210"/>
      <c r="BC39" s="210"/>
      <c r="BD39" s="210"/>
      <c r="BE39" s="210"/>
      <c r="BF39" s="211"/>
      <c r="BG39" s="169"/>
      <c r="BH39" s="169"/>
      <c r="BI39" s="211"/>
      <c r="BJ39" s="170"/>
    </row>
    <row r="40" spans="1:73" s="212" customFormat="1" ht="21.9" customHeight="1" x14ac:dyDescent="0.3">
      <c r="A40" s="191">
        <v>26</v>
      </c>
      <c r="B40" s="192">
        <v>44575</v>
      </c>
      <c r="C40" s="191" t="s">
        <v>197</v>
      </c>
      <c r="D40" s="193" t="s">
        <v>5519</v>
      </c>
      <c r="E40" s="194" t="s">
        <v>5521</v>
      </c>
      <c r="F40" s="193" t="s">
        <v>5520</v>
      </c>
      <c r="G40" s="193"/>
      <c r="H40" s="191" t="s">
        <v>12761</v>
      </c>
      <c r="I40" s="191" t="s">
        <v>13245</v>
      </c>
      <c r="J40" s="191" t="s">
        <v>13246</v>
      </c>
      <c r="K40" s="195" t="s">
        <v>10844</v>
      </c>
      <c r="L40" s="196" t="s">
        <v>10845</v>
      </c>
      <c r="M40" s="197" t="str">
        <f t="shared" ref="M40:M44" si="48">IF(OR(N40="15C-25029",N40="15C-07321",N40="15C-07437",N40="15C-10691",N40="15C-10812",N40="15C-11200",N40="15C-11486",N40="15C-12812",N40="15C-12832",N40="15C-12874",N40="15C-12876",N40="15C-13616",N40="15C-13840",N40="15C-15237",N40="15C-06125",N40="15C-25555",N40="15C-11549",N40="15C-11732",N40="15C-11856",N40="15C-12593",N40="15C-12643",N40="15C-13368",N40="15C-13568",N40="15C-13959",N40="15C-13969",N40="15C-13958",N40="15C-03426"),"Hoàng Sơn",IF(N40="15C-03470","Hoàng Sơn",IF(OR(N40="15C-25418",N40="15C-01889",N40="15C-01584"),"Yến Tuân",IF(N40="15C-13036","Cậu Mợ","Tên CX"))))</f>
        <v>Tên CX</v>
      </c>
      <c r="N40" s="123" t="s">
        <v>13247</v>
      </c>
      <c r="O40" s="198" t="str">
        <f t="shared" ref="O40:O44" si="49">IF(N40="15C-03470","Ngô Quang Hưng",IF(N40="15C-01889","Lê Đình Giáp",IF(N40="15C-25418","Ngụy Văn Điệp",IF(N40="15C-11549","Nguyễn Văn Huynh",IF(N40="15C-11732","Đồng Ngọc Điểm",IF(N40="15C-11856","Trần Văn Hiển",IF(N40="15C-12593","Bùi Bá Thành",IF(N40="15C-12643","Bùi Đức Thành",IF(N40="15C-13368","Vũ Đức Chiến",IF(N40="15C-13568","Nguyễn Văn Ca",IF(N40="15C-13959","Phạm Viết Thành",IF(N40="15C-13969","Vũ Đình Huyên",IF(N40="15C-13958","Vũ Đình Hà",IF(N40="15C-07321","Phạm Đăng Khoa",IF(N40="15C-07437","Trương Văn Cao",IF(N40="15C-10691","Phạm Văn Thượng",IF(N40="15C-10812","Phạm Văn Hai",IF(N40="15C-11200","Vũ Đình Quyết",IF(N40="15C-11486","Phạm Văn Tuấn",IF(N40="15C-12812","Mai Văn Sơn",IF(N40="15C-12832","Trần Công Anh",IF(N40="15C-12874","Phạm Văn Tuân",IF(N40="15C-12876","Nguyễn Vinh Hiển",IF(N40="15C-13616","Phan Văn Tôn",IF(N40="15C-13840","Hoàng Văn Hưng",IF(N40="15C-15237","Phạm Văn Thịnh",IF(N40="15C-06125","Đoàn Văn Hà",IF(N40="15C-25029","Phạm Văn Hai",IF(N40="15C-25555","Đoàn Văn Hà",IF(N40="15C-03426","Phạm Hoàng Quyết",IF(N40="15C-01584","Nguyễn Đắc Đạt","Tên LX")))))))))))))))))))))))))))))))</f>
        <v>Tên LX</v>
      </c>
      <c r="P40" s="197" t="str">
        <f t="shared" ref="P40:P44" si="50">RIGHT(H40,2)</f>
        <v>CT</v>
      </c>
      <c r="Q40" s="199" t="str">
        <f t="shared" ref="Q40:Q44" si="51">IF(P40="TC",189,P40)</f>
        <v>CT</v>
      </c>
      <c r="R40" s="197">
        <f t="shared" ref="R40:R44" si="52">IF(OR(Q40="HS",Q40="TA"),"Mã XN",IF(OR(P40="TC",P40="HP"),"HP",0))</f>
        <v>0</v>
      </c>
      <c r="S40" s="197"/>
      <c r="T40" s="200" t="s">
        <v>13248</v>
      </c>
      <c r="U40" s="201"/>
      <c r="V40" s="202">
        <v>1</v>
      </c>
      <c r="W40" s="203">
        <v>850000</v>
      </c>
      <c r="X40" s="204">
        <f t="shared" ref="X40:X44" si="53">V40*W40</f>
        <v>850000</v>
      </c>
      <c r="Y40" s="199" t="s">
        <v>37</v>
      </c>
      <c r="Z40" s="199" t="str">
        <f t="shared" ref="Z40:Z44" si="54">IF(Y40="RLL","OK/NO",0)</f>
        <v>OK/NO</v>
      </c>
      <c r="AA40" s="199" t="str">
        <f t="shared" ref="AA40:AA44" si="55">LEFT(L40,3)</f>
        <v>DKG</v>
      </c>
      <c r="AB40" s="205">
        <v>150000</v>
      </c>
      <c r="AC40" s="198" t="s">
        <v>55</v>
      </c>
      <c r="AD40" s="206">
        <f t="shared" ref="AD40:AD42" si="56">A40</f>
        <v>26</v>
      </c>
      <c r="AE40" s="206" t="str">
        <f t="shared" ref="AE40:AE42" si="57">H40</f>
        <v>CT</v>
      </c>
      <c r="AF40" s="207" t="str">
        <f t="shared" si="10"/>
        <v>DKG&lt;-&gt;Chuyển tải khu vực CĐV-HS</v>
      </c>
      <c r="AG40" s="199" t="str">
        <f t="shared" ref="AG40:AG42" si="58">IF(OR(N40="15C-23521",N40="15C-07321",N40="15C-07437",N40="15C-10036",N40="15C-10050",N40="15C-10086",N40="15C-10156",N40="15C-10196",N40="15C-10286",N40="15C-10691",N40="15C-10812",N40="15C-11200",N40="15C-11486",N40="15C-12812",N40="15C-12832",N40="15C-12874",N40="15C-12876",N40="15C-13616",N40="15C-13840",N40="15C-15237",N40="15C-15593",N40="15C-06125",N40="16H-3322",N40="15C-19170",N40="15C-19043",N40="15C-25555",N40="15C-10094",N40="15C-11549",N40="15C-11732",N40="15C-11856",N40="15C-12593",N40="15C-12643",N40="15C-13368",N40="15C-13568",N40="15C-13959",N40="15C-13969",N40="15C-13958"),"CX001",IF(N40="15C-03426","CX055",IF(N40="15C-03470","CX002",IF(N40="15C-10645","CX001",IF(N40="15C-01584","CX057",IF(N40="15C-25418","CX056",IF(N40="15C-01889","CX004",IF(N40="15C-11479","CX005",IF(N40="15C-13036","CX006",IF(M40="Tân Hoàng Hiệp","CX007",IF(M40="Sơn Long","CX008",IF(M40="Phương Thành","CX009",IF(M40="Phúc Hưng","CX010",IF(M40="Nhật Nam","CX011",IF(M40="Liên Thành","CX012",IF(M40="Thuận Phú Thành","CX013",IF(M40="Hùng Hà","CX014",IF(M40="An Phát","CX015",IF(M40="Đức Thắng","CX016",IF(M40="Kim Khánh","CX017",IF(M40="Hải Nam","CX018",IF(M40="Đức Long","CX019",IF(M40="TNG","CX020",IF(M40="Hải Con","CX021",IF(M40="Tấn Phát","CX022",IF(M40="Tuấn Đạt","CX023",IF(M40="Vạn An","CX025",IF(M40="An Bình (Bình đường ngắn)","CX026",IF(M40="Dũng (Phạm Hà)","CX027",IF(M40="Bình đường dài","CX028",IF(M40="Hoàng Khoa","CX029",IF(M40="Thịnh HD","CX030",IF(M40="Luân Hòa","CX031",IF(M40="Việt Sơn","CX032",IF(M40="Ngọc Đạt","CX033",IF(M40="Hoàng Ngọc Phát","CX034",IF(M40="Phú Hùng","CX035",IF(M40="Minh Loan","CX036",IF(M40="Chủ xe lẻ","CX037",IF(M40="Trường Xuân","CX038",IF(M40="Điệp","CX039",IF(N40="15C-25029","CX040",IF(M40="Tùng Bách","CX041",IF(M40="Huy Hoàng","CX042",IF(M40="Sơn nét","CX043",IF(M40="Dũng Lan","CX044",IF(M40="Ly","CX048",IF(M40="Hoàng Thành","CX045",IF(M40="Miền Bắc","CX047",IF(M40="Vũ Trí","CX053",IF(M40="Anh Cụt","CX054",IF(M40="Quý Cương","CX049",IF(M40="Vietfract","CX050",IF(M40="Đăng Ngọc","CX058",IF(M40="Quang Trường","CX051",IF(M40="Cường Giang","CX059",IF(M40="Tiến Sẹo","CX060",IF(M40="Công Thành","CX073",IF(M40="Anh Sức","CX074",IF(M40="Trang Hà","CG01994",IF(M40="NamTraCo","CG00444",IF(M40="Tùng (Nam Khang)"," CS00082",IF(M40="Vinatrans"," CS00130","Mã CX")))))))))))))))))))))))))))))))))))))))))))))))))))))))))))))))</f>
        <v>Mã CX</v>
      </c>
      <c r="AH40" s="199" t="str">
        <f t="shared" ref="AH40:AH42" si="59">N40</f>
        <v>về bãi rút8c</v>
      </c>
      <c r="AI40" s="202">
        <f t="shared" si="45"/>
        <v>1</v>
      </c>
      <c r="AJ40" s="205">
        <f t="shared" si="45"/>
        <v>850000</v>
      </c>
      <c r="AK40" s="205">
        <f t="shared" si="45"/>
        <v>850000</v>
      </c>
      <c r="AL40" s="199" t="str">
        <f t="shared" ref="AL40:AM42" si="60">AA40</f>
        <v>DKG</v>
      </c>
      <c r="AM40" s="205">
        <f t="shared" si="60"/>
        <v>150000</v>
      </c>
      <c r="AN40" s="205">
        <f t="shared" ref="AN40:AN42" si="61">IF(AND(AM40&gt;0,H40="Cont"),AM40,IF(AND(AM40&gt;0,K40="HA.HS"),AM40,IF(AND(AM40&gt;0,K40="CHP.HS"),AM40,IF(AND(AM40&gt;0,K40="CDV.HS"),AM40,IF(AND(AM40&gt;0,K40="CLH.HS"),AM40,IF(AM40&gt;0,AM40-100000,))))))</f>
        <v>150000</v>
      </c>
      <c r="AO40" s="205">
        <f t="shared" ref="AO40:AO42" si="62">AM40-AN40</f>
        <v>0</v>
      </c>
      <c r="AP40" s="198"/>
      <c r="AQ40" s="202">
        <f t="shared" ref="AQ40:AQ42" si="63">IF(V40&lt;=1,V40,AI40*95%)</f>
        <v>1</v>
      </c>
      <c r="AR40" s="202"/>
      <c r="AS40" s="205">
        <f t="shared" ref="AS40:AS42" si="64">IF(AND(AA40="DKG",H40="Cont",K40="VD.HN.DKG"),4000000/AQ40,IF(AND(AA40="DKG",A40&gt;=1,K40="CLH.HS"),1100000,IF(AND(AA40="DKG",A40&gt;=1,K40="CDV.HS"),800000,IF(AND(AA40="DKG",A40&gt;=1,K40="HS.HA"),800000/AQ40,IF(AND(AA40="DKG",A40&gt;=1,K40="CHP.HS"),800000/AQ40,IF(AND(AA40="DKG",A40&gt;=1,K40="KH.DKG"),X40-1000000,IF(AA40="DKG",AJ40-65000,IF(AA40="THG",AJ40,0))))))))</f>
        <v>800000</v>
      </c>
      <c r="AT40" s="205">
        <f t="shared" ref="AT40:AT42" si="65">AQ40*AS40</f>
        <v>800000</v>
      </c>
      <c r="AU40" s="205">
        <f t="shared" ref="AU40:AU42" si="66">AK40-AT40</f>
        <v>50000</v>
      </c>
      <c r="AV40" s="198" t="str">
        <f t="shared" ref="AV40:AV42" si="67">AC40</f>
        <v/>
      </c>
      <c r="AW40" s="208">
        <f t="shared" ref="AW40:AW42" si="68">IF(AI40-AQ40=0,AQ40,IF(AI40-AQ40&gt;0,AI40-AQ40))</f>
        <v>1</v>
      </c>
      <c r="AX40" s="208"/>
      <c r="AY40" s="209">
        <f t="shared" ref="AY40:AY42" si="69">(AK40-AT40)/AW40</f>
        <v>50000</v>
      </c>
      <c r="AZ40" s="209">
        <f t="shared" ref="AZ40:AZ42" si="70">AW40*AY40</f>
        <v>50000</v>
      </c>
      <c r="BA40" s="209">
        <f t="shared" ref="BA40:BA42" si="71">X40-AT40-AZ40</f>
        <v>0</v>
      </c>
      <c r="BB40" s="210">
        <f t="shared" ref="BB40:BB42" si="72">IF(AND(AG40="CX001",N40="15C-03426"),512140,IF(AND(AG40="CX001",N40="15C-23521"),512141,IF(AND(AG40="CX001",N40="15C-07321"),512101,IF(AND(AG40="CX001",N40="15C-07437"),512102,IF(AND(AG40="CX001",N40="15C-10691"),512109,IF(AND(AG40="CX001",N40="15C-10812"),512110,IF(AND(AG40="CX001",N40="15C-11200"),512111,IF(AND(AG40="CX001",N40="15C-11486"),512112,IF(AND(AG40="CX001",N40="15C-12812"),512113,IF(AND(AG40="CX001",N40="15C-12832"),512114,IF(AND(AG40="CX001",N40="15C-12874"),512115,IF(AND(AG40="CX001",N40="15C-12876"),512116,IF(AND(AG40="CX001",N40="15C-13616"),512117,IF(AND(AG40="CX001",N40="15C-13840"),512118,IF(AND(AG40="CX001",N40="15C-15237"),512119,IF(AND(AG40="CX001",N40="15C-06125"),512121,IF(AND(AG40="CX040",N40="15C-25029"),51226,IF(AND(AG40="CX001",N40="15C-25029"),512124,IF(AND(AG40="CX001",N40="15C-25555"),512127,IF(AND(AG40="CX001",N40="15C-11549"),512130,IF(AND(AG40="CX001",N40="15C-11732"),512131,IF(AND(AG40="CX001",N40="15C-11856"),512132,IF(AND(AG40="CX001",N40="15C-12593"),512133,IF(AND(AG40="CX001",N40="15C-12643"),512134,IF(AND(AG40="CX001",N40="15C-13368"),512135,IF(AND(AG40="CX001",N40="15C-13568"),512136,IF(AND(AG40="CX001",N40="15C-13959"),512137,IF(AND(AG40="CX001",N40="15C-13969"),512138,IF(AND(AG40="CX001",N40="15C-13958"),512139,IF(AND(AG40="CX055",N40="15C-03426"),512213,IF(AND(AG40="CX002",N40="15C-03470"),512212,IF(AND(AG40="CX057",N40="15C-01584"),512223,IF(AND(AG40="CX056",N40="15C-25418"),512222,IF(AND(AG40="CX004",N40="15C-01889"),512221,IF(AND(AG40="CX006",N40="15C-13036"),51224,51225)))))))))))))))))))))))))))))))))))</f>
        <v>51225</v>
      </c>
      <c r="BC40" s="210">
        <f t="shared" ref="BC40:BC42" si="73">IF(AA40="DKG",511301,IF(AA40="THG",511302,0))</f>
        <v>511301</v>
      </c>
      <c r="BD40" s="210">
        <f t="shared" ref="BD40:BD42" si="74">IF(AA40="DKG",5123,IF(AA40="THG",522,0))</f>
        <v>5123</v>
      </c>
      <c r="BE40" s="210">
        <f t="shared" ref="BE40:BE42" si="75">IF(AP40="Phú","NV018",IF(AP40="Giang","NV006",IF(AP40="Quang","NV024",IF(AP40="Kỳ","NV222",0))))</f>
        <v>0</v>
      </c>
      <c r="BF40" s="210">
        <f t="shared" ref="BF40:BF42" si="76">IF(AG40="CX001",0,331)</f>
        <v>331</v>
      </c>
      <c r="BG40" s="210">
        <f t="shared" ref="BG40:BG42" si="77">IF(AG40="CX001",15401,IF(OR(AG40="CX055",AG40="CX039",AG40="CX040",AG40="CX002",AG40="CX003",AG40="CX004",AG40="CX005",AG40="CX006",AG40="CX056",AG40="CX057"),331,0))</f>
        <v>0</v>
      </c>
      <c r="BH40" s="211">
        <f t="shared" ref="BH40:BH42" si="78">IF(AND(AG40="CX001",N40="15C-03426"),6121140,IF(AND(AG40="CX001",N40="15C-23521"),6121141,IF(AND(AG40="CX001",N40="15C-11549"),6121130,IF(AND(AG40="CX001",N40="15C-11732"),6121131,IF(AND(AG40="CX001",N40="15C-11856"),6121132,IF(AND(AG40="CX001",N40="15C-12593"),6121133,IF(AND(AG40="CX001",N40="15C-12643"),6121134,IF(AND(AG40="CX001",N40="15C-13368"),6121135,IF(AND(AG40="CX001",N40="15C-13568"),6121136,IF(AND(AG40="CX001",N40="15C-13959"),6121137,IF(AND(AG40="CX001",N40="15C-13969"),6121138,IF(AND(AG40="CX001",N40="15C-13958"),6121139,IF(AND(AG40="CX001",N40="15C-07321"),6121101,IF(AND(AG40="CX001",N40="15C-07437"),6121102,IF(AND(AG40="CX001",N40="15C-10691"),6121109,IF(AND(AG40="CX001",N40="15C-10812"),6121110,IF(AND(AG40="CX001",N40="15C-11200"),6121111,IF(AND(AG40="CX001",N40="15C-11486"),6121112,IF(AND(AG40="CX001",N40="15C-12812"),6121113,IF(AND(AG40="CX001",N40="15C-12832"),6121114,IF(AND(AG40="CX001",N40="15C-12874"),6121115,IF(AND(AG40="CX001",N40="15C-12876"),6121116,IF(AND(AG40="CX001",N40="15C-13616"),6121117,IF(AND(AG40="CX001",N40="15C-13840"),6121118,IF(AND(AG40="CX001",N40="15C-15237"),6121119,IF(AND(AG40="CX001",N40="15C-06125"),6121121,IF(AND(AG40="CX001",N40="15C-25029"),6121124,IF(AND(AG40="CX001",N40="15C-25555"),6121127,0))))))))))))))))))))))))))))</f>
        <v>0</v>
      </c>
      <c r="BI40" s="169" t="s">
        <v>12763</v>
      </c>
      <c r="BJ40" s="169" t="str">
        <f t="shared" ref="BJ40:BJ42" si="79">CONCATENATE(BI40,N40)</f>
        <v>TDG xe về bãi rút8c</v>
      </c>
      <c r="BK40" s="211" t="str">
        <f t="shared" ref="BK40:BK42" si="80">IF(AA40="THG","T",IF(AA40="DKG","G",0))</f>
        <v>G</v>
      </c>
      <c r="BL40" s="170" t="str">
        <f t="shared" ref="BL40:BL42" ca="1" si="81">IF(Y40="CGN",TODAY(),"")</f>
        <v/>
      </c>
      <c r="BM40" s="212" t="str">
        <f t="shared" ref="BM40:BM42" si="82">+C40</f>
        <v>CG01675</v>
      </c>
      <c r="BO40" s="212" t="str">
        <f t="shared" ref="BO40:BP42" si="83">+C40</f>
        <v>CG01675</v>
      </c>
      <c r="BP40" s="212" t="str">
        <f t="shared" si="83"/>
        <v>P. XNK - Mỹ Đoàn (các lô) 0913288269</v>
      </c>
      <c r="BQ40" s="212" t="str">
        <f t="shared" ref="BQ40:BQ42" si="84">+L40</f>
        <v>DKG&lt;-&gt;Chuyển tải khu vực CĐV-HS</v>
      </c>
      <c r="BS40" s="209"/>
      <c r="BT40" s="222"/>
      <c r="BU40" s="222"/>
    </row>
    <row r="41" spans="1:73" s="212" customFormat="1" ht="21.9" customHeight="1" x14ac:dyDescent="0.3">
      <c r="A41" s="191">
        <v>27</v>
      </c>
      <c r="B41" s="192">
        <v>44575</v>
      </c>
      <c r="C41" s="191" t="s">
        <v>197</v>
      </c>
      <c r="D41" s="193" t="s">
        <v>5519</v>
      </c>
      <c r="E41" s="194" t="s">
        <v>5521</v>
      </c>
      <c r="F41" s="193" t="s">
        <v>5520</v>
      </c>
      <c r="G41" s="193"/>
      <c r="H41" s="191" t="s">
        <v>12761</v>
      </c>
      <c r="I41" s="191" t="s">
        <v>13245</v>
      </c>
      <c r="J41" s="191" t="s">
        <v>13249</v>
      </c>
      <c r="K41" s="195" t="s">
        <v>10844</v>
      </c>
      <c r="L41" s="196" t="s">
        <v>10845</v>
      </c>
      <c r="M41" s="197" t="str">
        <f t="shared" si="48"/>
        <v>Tên CX</v>
      </c>
      <c r="N41" s="123" t="s">
        <v>13250</v>
      </c>
      <c r="O41" s="198" t="str">
        <f t="shared" si="49"/>
        <v>Tên LX</v>
      </c>
      <c r="P41" s="197" t="str">
        <f t="shared" si="50"/>
        <v>CT</v>
      </c>
      <c r="Q41" s="199" t="str">
        <f t="shared" si="51"/>
        <v>CT</v>
      </c>
      <c r="R41" s="197">
        <f t="shared" si="52"/>
        <v>0</v>
      </c>
      <c r="S41" s="197"/>
      <c r="T41" s="200" t="s">
        <v>13248</v>
      </c>
      <c r="U41" s="201"/>
      <c r="V41" s="202">
        <v>1</v>
      </c>
      <c r="W41" s="203">
        <v>850000</v>
      </c>
      <c r="X41" s="204">
        <f t="shared" si="53"/>
        <v>850000</v>
      </c>
      <c r="Y41" s="199" t="s">
        <v>37</v>
      </c>
      <c r="Z41" s="199" t="str">
        <f t="shared" si="54"/>
        <v>OK/NO</v>
      </c>
      <c r="AA41" s="199" t="str">
        <f t="shared" si="55"/>
        <v>DKG</v>
      </c>
      <c r="AB41" s="205">
        <v>150000</v>
      </c>
      <c r="AC41" s="198" t="s">
        <v>55</v>
      </c>
      <c r="AD41" s="206">
        <f t="shared" si="56"/>
        <v>27</v>
      </c>
      <c r="AE41" s="206" t="str">
        <f t="shared" si="57"/>
        <v>CT</v>
      </c>
      <c r="AF41" s="207" t="str">
        <f t="shared" si="10"/>
        <v>DKG&lt;-&gt;Chuyển tải khu vực CĐV-HS</v>
      </c>
      <c r="AG41" s="199" t="str">
        <f t="shared" si="58"/>
        <v>Mã CX</v>
      </c>
      <c r="AH41" s="199" t="str">
        <f t="shared" si="59"/>
        <v>về bãi rút3c</v>
      </c>
      <c r="AI41" s="202">
        <f t="shared" si="45"/>
        <v>1</v>
      </c>
      <c r="AJ41" s="205">
        <f t="shared" si="45"/>
        <v>850000</v>
      </c>
      <c r="AK41" s="205">
        <f t="shared" si="45"/>
        <v>850000</v>
      </c>
      <c r="AL41" s="199" t="str">
        <f t="shared" si="60"/>
        <v>DKG</v>
      </c>
      <c r="AM41" s="205">
        <f t="shared" si="60"/>
        <v>150000</v>
      </c>
      <c r="AN41" s="205">
        <f t="shared" si="61"/>
        <v>150000</v>
      </c>
      <c r="AO41" s="205">
        <f t="shared" si="62"/>
        <v>0</v>
      </c>
      <c r="AP41" s="198"/>
      <c r="AQ41" s="202">
        <f t="shared" si="63"/>
        <v>1</v>
      </c>
      <c r="AR41" s="202"/>
      <c r="AS41" s="205">
        <f t="shared" si="64"/>
        <v>800000</v>
      </c>
      <c r="AT41" s="205">
        <f t="shared" si="65"/>
        <v>800000</v>
      </c>
      <c r="AU41" s="205">
        <f t="shared" si="66"/>
        <v>50000</v>
      </c>
      <c r="AV41" s="198" t="str">
        <f t="shared" si="67"/>
        <v/>
      </c>
      <c r="AW41" s="208">
        <f t="shared" si="68"/>
        <v>1</v>
      </c>
      <c r="AX41" s="208"/>
      <c r="AY41" s="209">
        <f t="shared" si="69"/>
        <v>50000</v>
      </c>
      <c r="AZ41" s="209">
        <f t="shared" si="70"/>
        <v>50000</v>
      </c>
      <c r="BA41" s="209">
        <f t="shared" si="71"/>
        <v>0</v>
      </c>
      <c r="BB41" s="210">
        <f t="shared" si="72"/>
        <v>51225</v>
      </c>
      <c r="BC41" s="210">
        <f t="shared" si="73"/>
        <v>511301</v>
      </c>
      <c r="BD41" s="210">
        <f t="shared" si="74"/>
        <v>5123</v>
      </c>
      <c r="BE41" s="210">
        <f t="shared" si="75"/>
        <v>0</v>
      </c>
      <c r="BF41" s="210">
        <f t="shared" si="76"/>
        <v>331</v>
      </c>
      <c r="BG41" s="210">
        <f t="shared" si="77"/>
        <v>0</v>
      </c>
      <c r="BH41" s="211">
        <f t="shared" si="78"/>
        <v>0</v>
      </c>
      <c r="BI41" s="169" t="s">
        <v>12763</v>
      </c>
      <c r="BJ41" s="169" t="str">
        <f t="shared" si="79"/>
        <v>TDG xe về bãi rút3c</v>
      </c>
      <c r="BK41" s="211" t="str">
        <f t="shared" si="80"/>
        <v>G</v>
      </c>
      <c r="BL41" s="170" t="str">
        <f t="shared" ca="1" si="81"/>
        <v/>
      </c>
      <c r="BM41" s="212" t="str">
        <f t="shared" si="82"/>
        <v>CG01675</v>
      </c>
      <c r="BO41" s="212" t="str">
        <f t="shared" si="83"/>
        <v>CG01675</v>
      </c>
      <c r="BP41" s="212" t="str">
        <f t="shared" si="83"/>
        <v>P. XNK - Mỹ Đoàn (các lô) 0913288269</v>
      </c>
      <c r="BQ41" s="212" t="str">
        <f t="shared" si="84"/>
        <v>DKG&lt;-&gt;Chuyển tải khu vực CĐV-HS</v>
      </c>
      <c r="BS41" s="209"/>
      <c r="BT41" s="222"/>
      <c r="BU41" s="222"/>
    </row>
    <row r="42" spans="1:73" s="212" customFormat="1" ht="20.100000000000001" customHeight="1" x14ac:dyDescent="0.3">
      <c r="A42" s="191">
        <v>17</v>
      </c>
      <c r="B42" s="192">
        <v>44578</v>
      </c>
      <c r="C42" s="191" t="s">
        <v>2434</v>
      </c>
      <c r="D42" s="193" t="s">
        <v>2435</v>
      </c>
      <c r="E42" s="194" t="s">
        <v>12790</v>
      </c>
      <c r="F42" s="193" t="s">
        <v>2436</v>
      </c>
      <c r="G42" s="193"/>
      <c r="H42" s="191" t="s">
        <v>12761</v>
      </c>
      <c r="I42" s="191" t="s">
        <v>12765</v>
      </c>
      <c r="J42" s="191" t="s">
        <v>13251</v>
      </c>
      <c r="K42" s="195" t="s">
        <v>10844</v>
      </c>
      <c r="L42" s="196" t="s">
        <v>10845</v>
      </c>
      <c r="M42" s="197" t="str">
        <f t="shared" si="48"/>
        <v>Tên CX</v>
      </c>
      <c r="N42" s="123" t="s">
        <v>13252</v>
      </c>
      <c r="O42" s="198" t="str">
        <f t="shared" si="49"/>
        <v>Tên LX</v>
      </c>
      <c r="P42" s="197" t="str">
        <f t="shared" si="50"/>
        <v>CT</v>
      </c>
      <c r="Q42" s="199" t="str">
        <f t="shared" si="51"/>
        <v>CT</v>
      </c>
      <c r="R42" s="197">
        <f t="shared" si="52"/>
        <v>0</v>
      </c>
      <c r="S42" s="197"/>
      <c r="T42" s="200" t="s">
        <v>13011</v>
      </c>
      <c r="U42" s="201"/>
      <c r="V42" s="202">
        <v>1</v>
      </c>
      <c r="W42" s="203">
        <f>0+0/V42</f>
        <v>0</v>
      </c>
      <c r="X42" s="204">
        <f t="shared" si="53"/>
        <v>0</v>
      </c>
      <c r="Y42" s="199" t="e">
        <v>#N/A</v>
      </c>
      <c r="Z42" s="199" t="e">
        <f t="shared" si="54"/>
        <v>#N/A</v>
      </c>
      <c r="AA42" s="199" t="str">
        <f t="shared" si="55"/>
        <v>DKG</v>
      </c>
      <c r="AB42" s="205">
        <v>100070</v>
      </c>
      <c r="AC42" s="198" t="s">
        <v>55</v>
      </c>
      <c r="AD42" s="206">
        <f t="shared" si="56"/>
        <v>17</v>
      </c>
      <c r="AE42" s="206" t="str">
        <f t="shared" si="57"/>
        <v>CT</v>
      </c>
      <c r="AF42" s="207" t="str">
        <f t="shared" si="10"/>
        <v>DKG&lt;-&gt;Chuyển tải khu vực CĐV-HS</v>
      </c>
      <c r="AG42" s="199" t="str">
        <f t="shared" si="58"/>
        <v>Mã CX</v>
      </c>
      <c r="AH42" s="199" t="str">
        <f t="shared" si="59"/>
        <v>rút ở bãi trả vỏ</v>
      </c>
      <c r="AI42" s="202">
        <f t="shared" si="45"/>
        <v>1</v>
      </c>
      <c r="AJ42" s="205">
        <f t="shared" si="45"/>
        <v>0</v>
      </c>
      <c r="AK42" s="205">
        <f t="shared" si="45"/>
        <v>0</v>
      </c>
      <c r="AL42" s="199" t="str">
        <f t="shared" si="60"/>
        <v>DKG</v>
      </c>
      <c r="AM42" s="205">
        <f t="shared" si="60"/>
        <v>100070</v>
      </c>
      <c r="AN42" s="205">
        <f t="shared" si="61"/>
        <v>100070</v>
      </c>
      <c r="AO42" s="205">
        <f t="shared" si="62"/>
        <v>0</v>
      </c>
      <c r="AP42" s="198"/>
      <c r="AQ42" s="202">
        <f t="shared" si="63"/>
        <v>1</v>
      </c>
      <c r="AR42" s="202"/>
      <c r="AS42" s="205">
        <f t="shared" si="64"/>
        <v>800000</v>
      </c>
      <c r="AT42" s="205">
        <f t="shared" si="65"/>
        <v>800000</v>
      </c>
      <c r="AU42" s="205">
        <f t="shared" si="66"/>
        <v>-800000</v>
      </c>
      <c r="AV42" s="198" t="str">
        <f t="shared" si="67"/>
        <v/>
      </c>
      <c r="AW42" s="208">
        <f t="shared" si="68"/>
        <v>1</v>
      </c>
      <c r="AX42" s="208"/>
      <c r="AY42" s="209">
        <f t="shared" si="69"/>
        <v>-800000</v>
      </c>
      <c r="AZ42" s="209">
        <f t="shared" si="70"/>
        <v>-800000</v>
      </c>
      <c r="BA42" s="209">
        <f t="shared" si="71"/>
        <v>0</v>
      </c>
      <c r="BB42" s="210">
        <f t="shared" si="72"/>
        <v>51225</v>
      </c>
      <c r="BC42" s="210">
        <f t="shared" si="73"/>
        <v>511301</v>
      </c>
      <c r="BD42" s="210">
        <f t="shared" si="74"/>
        <v>5123</v>
      </c>
      <c r="BE42" s="210">
        <f t="shared" si="75"/>
        <v>0</v>
      </c>
      <c r="BF42" s="210">
        <f t="shared" si="76"/>
        <v>331</v>
      </c>
      <c r="BG42" s="210">
        <f t="shared" si="77"/>
        <v>0</v>
      </c>
      <c r="BH42" s="211">
        <f t="shared" si="78"/>
        <v>0</v>
      </c>
      <c r="BI42" s="169" t="s">
        <v>12763</v>
      </c>
      <c r="BJ42" s="169" t="str">
        <f t="shared" si="79"/>
        <v>TDG xe rút ở bãi trả vỏ</v>
      </c>
      <c r="BK42" s="211" t="str">
        <f t="shared" si="80"/>
        <v>G</v>
      </c>
      <c r="BL42" s="170" t="e">
        <f t="shared" ca="1" si="81"/>
        <v>#N/A</v>
      </c>
      <c r="BM42" s="212" t="str">
        <f t="shared" si="82"/>
        <v>CG00679</v>
      </c>
      <c r="BO42" s="212" t="str">
        <f t="shared" si="83"/>
        <v>CG00679</v>
      </c>
      <c r="BP42" s="212" t="str">
        <f t="shared" si="83"/>
        <v>Công ty TNHH Thương mại và Sản xuất Trí Dũng (QOHN) 0905557788</v>
      </c>
      <c r="BQ42" s="212" t="str">
        <f t="shared" si="84"/>
        <v>DKG&lt;-&gt;Chuyển tải khu vực CĐV-HS</v>
      </c>
      <c r="BS42" s="209"/>
      <c r="BT42" s="222"/>
      <c r="BU42" s="222"/>
    </row>
    <row r="43" spans="1:73" ht="21.9" customHeight="1" x14ac:dyDescent="0.3">
      <c r="C43" s="191" t="s">
        <v>2434</v>
      </c>
      <c r="D43" s="193" t="s">
        <v>2435</v>
      </c>
      <c r="E43" s="194" t="s">
        <v>12790</v>
      </c>
      <c r="F43" s="193" t="s">
        <v>2436</v>
      </c>
      <c r="G43" s="193"/>
      <c r="H43" s="191" t="s">
        <v>12761</v>
      </c>
      <c r="I43" s="191" t="s">
        <v>13277</v>
      </c>
      <c r="J43" s="297" t="s">
        <v>13278</v>
      </c>
      <c r="K43" s="195" t="s">
        <v>10896</v>
      </c>
      <c r="L43" s="196" t="s">
        <v>10897</v>
      </c>
      <c r="M43" s="197" t="str">
        <f t="shared" si="48"/>
        <v>Tên CX</v>
      </c>
      <c r="N43" s="123" t="s">
        <v>13279</v>
      </c>
      <c r="O43" s="198" t="str">
        <f t="shared" si="49"/>
        <v>Tên LX</v>
      </c>
      <c r="P43" s="197" t="str">
        <f t="shared" si="50"/>
        <v>CT</v>
      </c>
      <c r="Q43" s="199" t="str">
        <f t="shared" si="51"/>
        <v>CT</v>
      </c>
      <c r="R43" s="197">
        <f t="shared" si="52"/>
        <v>0</v>
      </c>
      <c r="S43" s="197"/>
      <c r="T43" s="200" t="s">
        <v>13280</v>
      </c>
      <c r="U43" s="201"/>
      <c r="V43" s="202">
        <v>1</v>
      </c>
      <c r="W43" s="203">
        <v>1200000</v>
      </c>
      <c r="X43" s="204">
        <f t="shared" si="53"/>
        <v>1200000</v>
      </c>
      <c r="Y43" s="199" t="s">
        <v>37</v>
      </c>
      <c r="Z43" s="199" t="str">
        <f t="shared" si="54"/>
        <v>OK/NO</v>
      </c>
      <c r="AA43" s="199" t="str">
        <f t="shared" si="55"/>
        <v>DKG</v>
      </c>
      <c r="AB43" s="205">
        <v>150000</v>
      </c>
    </row>
    <row r="44" spans="1:73" ht="21.9" customHeight="1" x14ac:dyDescent="0.3">
      <c r="B44" s="192">
        <v>44584</v>
      </c>
      <c r="C44" s="191" t="s">
        <v>3084</v>
      </c>
      <c r="D44" s="193" t="s">
        <v>3085</v>
      </c>
      <c r="E44" s="194" t="s">
        <v>3087</v>
      </c>
      <c r="F44" s="193" t="s">
        <v>3086</v>
      </c>
      <c r="G44" s="193"/>
      <c r="H44" s="191" t="s">
        <v>12761</v>
      </c>
      <c r="I44" s="302" t="s">
        <v>13277</v>
      </c>
      <c r="J44" s="302" t="s">
        <v>13570</v>
      </c>
      <c r="K44" s="195" t="s">
        <v>10896</v>
      </c>
      <c r="L44" s="196" t="s">
        <v>10845</v>
      </c>
      <c r="M44" s="197" t="str">
        <f t="shared" si="48"/>
        <v>Hoàng Sơn</v>
      </c>
      <c r="N44" s="123" t="s">
        <v>115</v>
      </c>
      <c r="O44" s="198" t="str">
        <f t="shared" si="49"/>
        <v>Nguyễn Văn Ca</v>
      </c>
      <c r="P44" s="197" t="str">
        <f t="shared" si="50"/>
        <v>CT</v>
      </c>
      <c r="Q44" s="199" t="str">
        <f t="shared" si="51"/>
        <v>CT</v>
      </c>
      <c r="R44" s="197">
        <f t="shared" si="52"/>
        <v>0</v>
      </c>
      <c r="S44" s="197"/>
      <c r="T44" s="200" t="s">
        <v>13571</v>
      </c>
      <c r="U44" s="201"/>
      <c r="V44" s="202">
        <v>1</v>
      </c>
      <c r="W44" s="203">
        <v>600000</v>
      </c>
      <c r="X44" s="204">
        <f t="shared" si="53"/>
        <v>600000</v>
      </c>
      <c r="Y44" s="199" t="s">
        <v>37</v>
      </c>
      <c r="Z44" s="199" t="str">
        <f t="shared" si="54"/>
        <v>OK/NO</v>
      </c>
      <c r="AA44" s="199" t="str">
        <f t="shared" si="55"/>
        <v>DKG</v>
      </c>
      <c r="AB44" s="252">
        <v>150000</v>
      </c>
      <c r="AC44" s="198"/>
      <c r="AD44" s="206">
        <f t="shared" ref="AD44" si="85">A44</f>
        <v>0</v>
      </c>
      <c r="AE44" s="206" t="str">
        <f t="shared" ref="AE44" si="86">H44</f>
        <v>CT</v>
      </c>
      <c r="AF44" s="207" t="str">
        <f t="shared" ref="AF44" si="87">L44</f>
        <v>DKG&lt;-&gt;Chuyển tải khu vực CĐV-HS</v>
      </c>
      <c r="AG44" s="199" t="str">
        <f t="shared" ref="AG44" si="88">IF(OR(N44="15C-23521",N44="15C-07321",N44="15C-07437",N44="15C-10036",N44="15C-10050",N44="15C-10086",N44="15C-10156",N44="15C-10196",N44="15C-10286",N44="15C-10691",N44="15C-10812",N44="15C-11200",N44="15C-11486",N44="15C-12812",N44="15C-12832",N44="15C-12874",N44="15C-12876",N44="15C-13616",N44="15C-13840",N44="15C-15237",N44="15C-15593",N44="15C-06125",N44="16H-3322",N44="15C-19170",N44="15C-19043",N44="15C-25555",N44="15C-10094",N44="15C-11549",N44="15C-11732",N44="15C-11856",N44="15C-12593",N44="15C-12643",N44="15C-13368",N44="15C-13568",N44="15C-13959",N44="15C-13969",N44="15C-13958"),"CX001",IF(N44="15C-03426","CX055",IF(N44="15C-03470","CX002",IF(N44="15C-10645","CX001",IF(N44="15C-01584","CX057",IF(N44="15C-25418","CX056",IF(N44="15C-01889","CX004",IF(N44="15C-11479","CX005",IF(N44="15C-13036","CX006",IF(M44="Tân Hoàng Hiệp","CX007",IF(M44="Sơn Long","CX008",IF(M44="Phương Thành","CX009",IF(M44="Phúc Hưng","CX010",IF(M44="Nhật Nam","CX011",IF(M44="Liên Thành","CX012",IF(M44="Thuận Phú Thành","CX013",IF(M44="Hùng Hà","CX014",IF(M44="An Phát","CX015",IF(M44="Đức Thắng","CX016",IF(M44="Kim Khánh","CX017",IF(M44="Hải Nam","CX018",IF(M44="Đức Long","CX019",IF(M44="TNG","CX020",IF(M44="Hải Con","CX021",IF(M44="Tấn Phát","CX022",IF(M44="Tuấn Đạt","CX023",IF(M44="Vạn An","CX025",IF(M44="An Bình (Bình đường ngắn)","CX026",IF(M44="Dũng (Phạm Hà)","CX027",IF(M44="Bình đường dài","CX028",IF(M44="Hoàng Khoa","CX029",IF(M44="Thịnh HD","CX030",IF(M44="Luân Hòa","CX031",IF(M44="Việt Sơn","CX032",IF(M44="Ngọc Đạt","CX033",IF(M44="Hoàng Ngọc Phát","CX034",IF(M44="Phú Hùng","CX035",IF(M44="Minh Loan","CX036",IF(M44="Chủ xe lẻ","CX037",IF(M44="Trường Xuân","CX038",IF(M44="Điệp","CX039",IF(N44="15C-25029","CX040",IF(M44="Tùng Bách","CX041",IF(M44="Huy Hoàng","CX042",IF(M44="Sơn nét","CX043",IF(M44="Dũng Lan","CX044",IF(M44="Ly","CX048",IF(M44="Hoàng Thành","CX045",IF(M44="Miền Bắc","CX047",IF(M44="Vũ Trí","CX053",IF(M44="Anh Cụt","CX054",IF(M44="Quý Cương","CX049",IF(M44="Vietfract","CX050",IF(M44="Đăng Ngọc","CX058",IF(M44="Quang Trường","CX051",IF(M44="Cường Giang","CX059",IF(M44="Tiến Sẹo","CX060",IF(M44="Công Thành","CX073",IF(M44="Anh Sức","CX074",IF(M44="Trang Hà","CG01994",IF(M44="NamTraCo","CG00444",IF(M44="Tùng (Nam Khang)"," CS00082",IF(M44="Vinatrans"," CS00130","Mã CX")))))))))))))))))))))))))))))))))))))))))))))))))))))))))))))))</f>
        <v>CX001</v>
      </c>
      <c r="AH44" s="199" t="str">
        <f t="shared" ref="AH44" si="89">N44</f>
        <v>15C-13568</v>
      </c>
      <c r="AI44" s="202">
        <f t="shared" ref="AI44:AK44" si="90">V44</f>
        <v>1</v>
      </c>
      <c r="AJ44" s="205">
        <f t="shared" si="90"/>
        <v>600000</v>
      </c>
      <c r="AK44" s="205">
        <f t="shared" si="90"/>
        <v>600000</v>
      </c>
      <c r="AL44" s="199" t="str">
        <f t="shared" ref="AL44:AM44" si="91">AA44</f>
        <v>DKG</v>
      </c>
      <c r="AM44" s="205">
        <f t="shared" si="91"/>
        <v>150000</v>
      </c>
      <c r="AN44" s="205">
        <f t="shared" ref="AN44" si="92">IF(AND(AM44&gt;0,H44="Cont"),AM44,IF(AND(AM44&gt;0,K44="HA.HS"),AM44,IF(AND(AM44&gt;0,K44="CHP.HS"),AM44,IF(AND(AM44&gt;0,K44="CDV.HS"),AM44,IF(AND(AM44&gt;0,K44="CLH.HS"),AM44,IF(AM44&gt;0,AM44-100000,))))))</f>
        <v>150000</v>
      </c>
      <c r="AO44" s="205">
        <f t="shared" ref="AO44" si="93">AM44-AN44</f>
        <v>0</v>
      </c>
      <c r="AP44" s="198"/>
      <c r="AQ44" s="202">
        <f t="shared" ref="AQ44" si="94">IF(V44&lt;=1,V44,AI44*95%)</f>
        <v>1</v>
      </c>
      <c r="AR44" s="202"/>
      <c r="AS44" s="205">
        <v>600000</v>
      </c>
      <c r="AT44" s="205">
        <f t="shared" ref="AT44" si="95">AQ44*AS44</f>
        <v>600000</v>
      </c>
      <c r="AU44" s="205">
        <f t="shared" ref="AU44" si="96">AK44-AT44</f>
        <v>0</v>
      </c>
      <c r="AV44" s="198">
        <f t="shared" ref="AV44" si="97">AC44</f>
        <v>0</v>
      </c>
      <c r="AW44" s="208">
        <f t="shared" ref="AW44" si="98">IF(AI44-AQ44=0,AQ44,IF(AI44-AQ44&gt;0,AI44-AQ44))</f>
        <v>1</v>
      </c>
      <c r="AX44" s="208"/>
      <c r="AY44" s="209">
        <f t="shared" ref="AY44" si="99">(AK44-AT44)/AW44</f>
        <v>0</v>
      </c>
      <c r="AZ44" s="209">
        <f t="shared" ref="AZ44" si="100">AW44*AY44</f>
        <v>0</v>
      </c>
      <c r="BA44" s="209">
        <f t="shared" ref="BA44" si="101">X44-AT44-AZ44</f>
        <v>0</v>
      </c>
      <c r="BB44" s="210">
        <f t="shared" ref="BB44" si="102">IF(AND(AG44="CX001",N44="15C-03426"),512140,IF(AND(AG44="CX001",N44="15C-23521"),512141,IF(AND(AG44="CX001",N44="15C-07321"),512101,IF(AND(AG44="CX001",N44="15C-07437"),512102,IF(AND(AG44="CX001",N44="15C-10691"),512109,IF(AND(AG44="CX001",N44="15C-10812"),512110,IF(AND(AG44="CX001",N44="15C-11200"),512111,IF(AND(AG44="CX001",N44="15C-11486"),512112,IF(AND(AG44="CX001",N44="15C-12812"),512113,IF(AND(AG44="CX001",N44="15C-12832"),512114,IF(AND(AG44="CX001",N44="15C-12874"),512115,IF(AND(AG44="CX001",N44="15C-12876"),512116,IF(AND(AG44="CX001",N44="15C-13616"),512117,IF(AND(AG44="CX001",N44="15C-13840"),512118,IF(AND(AG44="CX001",N44="15C-15237"),512119,IF(AND(AG44="CX001",N44="15C-06125"),512121,IF(AND(AG44="CX040",N44="15C-25029"),51226,IF(AND(AG44="CX001",N44="15C-25029"),512124,IF(AND(AG44="CX001",N44="15C-25555"),512127,IF(AND(AG44="CX001",N44="15C-11549"),512130,IF(AND(AG44="CX001",N44="15C-11732"),512131,IF(AND(AG44="CX001",N44="15C-11856"),512132,IF(AND(AG44="CX001",N44="15C-12593"),512133,IF(AND(AG44="CX001",N44="15C-12643"),512134,IF(AND(AG44="CX001",N44="15C-13368"),512135,IF(AND(AG44="CX001",N44="15C-13568"),512136,IF(AND(AG44="CX001",N44="15C-13959"),512137,IF(AND(AG44="CX001",N44="15C-13969"),512138,IF(AND(AG44="CX001",N44="15C-13958"),512139,IF(AND(AG44="CX055",N44="15C-03426"),512213,IF(AND(AG44="CX002",N44="15C-03470"),512212,IF(AND(AG44="CX057",N44="15C-01584"),512223,IF(AND(AG44="CX056",N44="15C-25418"),512222,IF(AND(AG44="CX004",N44="15C-01889"),512221,IF(AND(AG44="CX006",N44="15C-13036"),51224,51225)))))))))))))))))))))))))))))))))))</f>
        <v>512136</v>
      </c>
      <c r="BC44" s="210">
        <f t="shared" ref="BC44" si="103">IF(AA44="DKG",511301,IF(AA44="THG",511302,0))</f>
        <v>511301</v>
      </c>
      <c r="BD44" s="210">
        <f t="shared" ref="BD44" si="104">IF(AA44="DKG",5123,IF(AA44="THG",522,0))</f>
        <v>5123</v>
      </c>
      <c r="BE44" s="210">
        <f t="shared" ref="BE44" si="105">IF(AP44="Phú","NV018",IF(AP44="Giang","NV006",IF(AP44="Quang","NV024",IF(AP44="Kỳ","NV222",0))))</f>
        <v>0</v>
      </c>
      <c r="BF44" s="210">
        <f t="shared" ref="BF44" si="106">IF(AG44="CX001",0,331)</f>
        <v>0</v>
      </c>
      <c r="BG44" s="210">
        <f t="shared" ref="BG44" si="107">IF(AG44="CX001",15401,IF(OR(AG44="CX055",AG44="CX039",AG44="CX040",AG44="CX002",AG44="CX003",AG44="CX004",AG44="CX005",AG44="CX006",AG44="CX056",AG44="CX057"),331,0))</f>
        <v>15401</v>
      </c>
      <c r="BH44" s="211">
        <f t="shared" ref="BH44" si="108">IF(AND(AG44="CX001",N44="15C-03426"),6121140,IF(AND(AG44="CX001",N44="15C-23521"),6121141,IF(AND(AG44="CX001",N44="15C-11549"),6121130,IF(AND(AG44="CX001",N44="15C-11732"),6121131,IF(AND(AG44="CX001",N44="15C-11856"),6121132,IF(AND(AG44="CX001",N44="15C-12593"),6121133,IF(AND(AG44="CX001",N44="15C-12643"),6121134,IF(AND(AG44="CX001",N44="15C-13368"),6121135,IF(AND(AG44="CX001",N44="15C-13568"),6121136,IF(AND(AG44="CX001",N44="15C-13959"),6121137,IF(AND(AG44="CX001",N44="15C-13969"),6121138,IF(AND(AG44="CX001",N44="15C-13958"),6121139,IF(AND(AG44="CX001",N44="15C-07321"),6121101,IF(AND(AG44="CX001",N44="15C-07437"),6121102,IF(AND(AG44="CX001",N44="15C-10691"),6121109,IF(AND(AG44="CX001",N44="15C-10812"),6121110,IF(AND(AG44="CX001",N44="15C-11200"),6121111,IF(AND(AG44="CX001",N44="15C-11486"),6121112,IF(AND(AG44="CX001",N44="15C-12812"),6121113,IF(AND(AG44="CX001",N44="15C-12832"),6121114,IF(AND(AG44="CX001",N44="15C-12874"),6121115,IF(AND(AG44="CX001",N44="15C-12876"),6121116,IF(AND(AG44="CX001",N44="15C-13616"),6121117,IF(AND(AG44="CX001",N44="15C-13840"),6121118,IF(AND(AG44="CX001",N44="15C-15237"),6121119,IF(AND(AG44="CX001",N44="15C-06125"),6121121,IF(AND(AG44="CX001",N44="15C-25029"),6121124,IF(AND(AG44="CX001",N44="15C-25555"),6121127,0))))))))))))))))))))))))))))</f>
        <v>6121136</v>
      </c>
      <c r="BI44" s="169" t="s">
        <v>12763</v>
      </c>
      <c r="BJ44" s="169" t="str">
        <f t="shared" ref="BJ44" si="109">CONCATENATE(BI44,N44)</f>
        <v>TDG xe 15C-13568</v>
      </c>
      <c r="BK44" s="211" t="str">
        <f t="shared" ref="BK44" si="110">IF(AA44="THG","T",IF(AA44="DKG","G",0))</f>
        <v>G</v>
      </c>
      <c r="BL44" s="170" t="str">
        <f t="shared" ref="BL44" ca="1" si="111">IF(Y44="CGN",TODAY(),"")</f>
        <v/>
      </c>
    </row>
    <row r="46" spans="1:73" s="212" customFormat="1" ht="21.9" customHeight="1" x14ac:dyDescent="0.3">
      <c r="A46" s="191">
        <f>MAX($A$11:A45)+1</f>
        <v>28</v>
      </c>
      <c r="B46" s="192">
        <v>44964</v>
      </c>
      <c r="C46" s="191" t="s">
        <v>6415</v>
      </c>
      <c r="D46" s="193" t="s">
        <v>6416</v>
      </c>
      <c r="E46" s="194" t="s">
        <v>6418</v>
      </c>
      <c r="F46" s="193" t="s">
        <v>6417</v>
      </c>
      <c r="G46" s="193"/>
      <c r="H46" s="191" t="s">
        <v>12761</v>
      </c>
      <c r="I46" s="191"/>
      <c r="J46" s="191"/>
      <c r="K46" s="195" t="s">
        <v>10870</v>
      </c>
      <c r="L46" s="196" t="s">
        <v>10871</v>
      </c>
      <c r="M46" s="197" t="str">
        <f t="shared" ref="M46:M47" si="112">IF(OR(N46="15C-25029",N46="15C-07321",N46="15C-07437",N46="15C-10691",N46="15C-10812",N46="15C-11200",N46="15C-11486",N46="15C-12812",N46="15C-12832",N46="15C-12874",N46="15C-12876",N46="15C-13616",N46="15C-13840",N46="15C-15237",N46="15C-06125",N46="15C-25555",N46="15C-11549",N46="15C-11732",N46="15C-11856",N46="15C-12593",N46="15C-12643",N46="15C-13368",N46="15C-13568",N46="15C-13959",N46="15C-13969",N46="15C-13958",N46="15C-03426"),"Hoàng Sơn",IF(N46="15C-03470","Hoàng Sơn",IF(OR(N46="15C-25418",N46="15C-01889",N46="15C-01584"),"Yến Tuân",IF(N46="15C-13036","Cậu Mợ","Tên CX"))))</f>
        <v>Hoàng Sơn</v>
      </c>
      <c r="N46" s="123" t="s">
        <v>66</v>
      </c>
      <c r="O46" s="198" t="str">
        <f t="shared" ref="O46" si="113">IF(N46="15C-03470","Ngô Quang Hưng",IF(N46="15C-01889","Nguyễn Văn Chi",IF(N46="15C-25418","Ngụy Văn Điệp",IF(N46="15C-11549","Lê Anh Tân",IF(N46="15C-11732","Bùi Quang Duy",IF(N46="15C-11856","Nguyễn Văn Tiến",IF(N46="15C-12593","Bùi Bá Thành",IF(N46="15C-12643","Lại Văn Ngân",IF(N46="15C-13368","Vũ Đức Chiến",IF(N46="15C-13568","Trần Quốc Đại",IF(N46="15C-13959","Phạm Viết Thành",IF(N46="15C-13969","Vũ Văn Sang",IF(N46="15C-13958","Vũ Đình Hà",IF(N46="15C-07321","Trương Văn Huy",IF(N46="15C-07437","Trương Văn Cao",IF(N46="15C-10691","Phạm Văn Thượng",IF(N46="15C-10812","Phạm Văn Hai",IF(N46="15C-11200","Hà Mạnh Hùng",IF(N46="15C-11486","Bùi Đức Thành",IF(N46="15C-12812","Mai Văn Sơn",IF(N46="15C-12832","Trần Văn Hiển",IF(N46="15C-12874","Phạm Đức Lợi",IF(N46="15C-12876","Nguyễn Vinh Hiển",IF(N46="15C-13616","Phan Văn Tôn",IF(N46="15C-13840","Nguyễn Văn Ca",IF(N46="15C-15237","Phạm Văn Thịnh",IF(N46="15C-06125","Đồng Ngọc Điểm",IF(N46="15C-25029","Phạm Văn Hai",IF(N46="15C-25555","Đoàn Văn Hà",IF(N46="15C-03426","Phạm Hoàng Quyết",IF(N46="15C-01584","Nguyễn Đắc Đạt",IF(N46="15C-13036","Lê Xuân Quyết","Tên LX"))))))))))))))))))))))))))))))))</f>
        <v>Lê Anh Tân</v>
      </c>
      <c r="P46" s="197" t="str">
        <f t="shared" ref="P46:P47" si="114">RIGHT(H46,2)</f>
        <v>CT</v>
      </c>
      <c r="Q46" s="199" t="str">
        <f t="shared" ref="Q46:Q47" si="115">IF(P46="TC",189,P46)</f>
        <v>CT</v>
      </c>
      <c r="R46" s="197">
        <f t="shared" ref="R46:R47" si="116">IF(OR(Q46="HS",Q46="TA"),"Mã XN",IF(OR(P46="TC",P46="HP"),"HP",0))</f>
        <v>0</v>
      </c>
      <c r="S46" s="197"/>
      <c r="T46" s="200" t="s">
        <v>14585</v>
      </c>
      <c r="U46" s="201">
        <v>1</v>
      </c>
      <c r="V46" s="202"/>
      <c r="W46" s="203">
        <v>45000</v>
      </c>
      <c r="X46" s="204">
        <f t="shared" ref="X46:X47" si="117">V46*W46</f>
        <v>0</v>
      </c>
      <c r="Y46" s="199" t="s">
        <v>37</v>
      </c>
      <c r="Z46" s="199" t="str">
        <f t="shared" ref="Z46:Z47" si="118">IF(Y46="RLL","OK/NO",0)</f>
        <v>OK/NO</v>
      </c>
      <c r="AA46" s="199" t="str">
        <f t="shared" ref="AA46:AA47" si="119">LEFT(L46,3)</f>
        <v>DKG</v>
      </c>
      <c r="AB46" s="205">
        <v>0</v>
      </c>
      <c r="AC46" s="198" t="s">
        <v>14586</v>
      </c>
      <c r="AD46" s="206">
        <f t="shared" ref="AD46" si="120">A46</f>
        <v>28</v>
      </c>
      <c r="AE46" s="206" t="str">
        <f t="shared" ref="AE46" si="121">H46</f>
        <v>CT</v>
      </c>
      <c r="AF46" s="207" t="str">
        <f t="shared" ref="AF46" si="122">L46</f>
        <v>DKG&lt;-&gt;Chuyển tải CHP-HS</v>
      </c>
      <c r="AG46" s="199" t="str">
        <f t="shared" ref="AG46" si="123">IF(OR(N46="15C-23521",N46="15C-07321",N46="15C-07437",N46="15C-10036",N46="15C-10050",N46="15C-10086",N46="15C-10156",N46="15C-10196",N46="15C-10286",N46="15C-10691",N46="15C-10812",N46="15C-11200",N46="15C-11486",N46="15C-12812",N46="15C-12832",N46="15C-12874",N46="15C-12876",N46="15C-13616",N46="15C-13840",N46="15C-15237",N46="15C-15593",N46="15C-06125",N46="16H-3322",N46="15C-19170",N46="15C-19043",N46="15C-10094",N46="15C-11549",N46="15C-11732",N46="15C-11856",N46="15C-12593",N46="15C-12643",N46="15C-13368",N46="15C-13568",N46="15C-13959",N46="15C-13969",N46="15C-13958"),"CX001",IF(N46="15C-03426","CX055",IF(N46="15C-25555","CX086",IF(N46="15C-03470","CX002",IF(N46="15C-10645","CX001",IF(N46="15C-01584","CX057",IF(N46="15C-25418","CX056",IF(N46="15C-01889","CX004",IF(N46="15C-11479","CX005",IF(N46="15C-13036","CX006",IF(M46="Tân Hoàng Hiệp","CX007",IF(M46="Sơn Long","CX008",IF(M46="Phương Thành","CX009",IF(M46="Phúc Hưng","CX010",IF(M46="Nhật Nam","CX011",IF(M46="Liên Thành","CX012",IF(M46="Thuận Phú Thành","CX013",IF(M46="Hùng Hà","CX014",IF(M46="An Phát","CX015",IF(M46="Đức Thắng","CX016",IF(M46="Kim Khánh","CX017",IF(M46="Hải Nam","CX018",IF(M46="Đức Long","CX019",IF(M46="TNG","CX020",IF(M46="Hải Con","CX021",IF(M46="Tấn Phát","CX022",IF(M46="Tuấn Đạt","CX023",IF(M46="Vạn An","CX025",IF(M46="An Bình (Bình đường ngắn)","CX026",IF(M46="Dũng (Phạm Hà)","CX027",IF(M46="Bình đường dài","CX028",IF(M46="Hoàng Khoa","CX029",IF(M46="Thịnh HD","CX030",IF(M46="Luân Hòa","CX031",IF(M46="T&amp;C","CX079",IF(M46="Hòa Sự","CX081",IF(M46="Hoàng Ngọc Phát","CX034",IF(M46="Phú Hùng","CX035",IF(M46="Minh Loan","CX036",IF(M46="Chủ xe lẻ","CX037",IF(M46="Trường Xuân","CX038",IF(M46="Điệp","CX039",IF(N46="15C-25029","CX040",IF(M46="Tùng Bách","CX041",IF(M46="Huy Hoàng","CX042",IF(M46="Sơn nét","CX043",IF(M46="Dũng Lan","CX044",IF(M46="Ly","CX048",IF(M46="Hoàng Thành","CX045",IF(M46="Miền Bắc","CX047",IF(M46="Vũ Trí","CX053",IF(M46="Anh Cụt","CX054",IF(M46="Quý Cương","CX049",IF(M46="Anh Dương","CX080",IF(M46="Đăng Ngọc","CX058",IF(M46="Quang Trường","CX051",IF(M46="Cường Giang","CX059",IF(M46="Châu Thành Phát","CX085",IF(M46="Công Thành","CX073",IF(M46="Anh Sức","CX074",IF(M46="Trang Hà","CG01994",IF(M46="NamTraCo","CG00444",IF(M46="Tùng (Nam Khang)"," CS00082",IF(M46="Vinatrans"," CS00130",IF(M46="Tùng Khánh"," CX083","Mã CX")))))))))))))))))))))))))))))))))))))))))))))))))))))))))))))))))</f>
        <v>CX001</v>
      </c>
      <c r="AH46" s="199" t="str">
        <f t="shared" ref="AH46" si="124">N46</f>
        <v>15C-11549</v>
      </c>
      <c r="AI46" s="202">
        <f t="shared" ref="AI46:AK46" si="125">V46</f>
        <v>0</v>
      </c>
      <c r="AJ46" s="205">
        <f t="shared" si="125"/>
        <v>45000</v>
      </c>
      <c r="AK46" s="205">
        <f t="shared" si="125"/>
        <v>0</v>
      </c>
      <c r="AL46" s="199" t="str">
        <f t="shared" ref="AL46:AM46" si="126">AA46</f>
        <v>DKG</v>
      </c>
      <c r="AM46" s="205">
        <f t="shared" si="126"/>
        <v>0</v>
      </c>
      <c r="AN46" s="205">
        <f t="shared" ref="AN46" si="127">IF(AND(AM46&gt;0,K46="CB.DKG"),AM46,IF(AND(AM46&gt;0,H46="Cont"),AM46,IF(AND(AM46&gt;0,K46="HA.HS"),AM46,IF(AND(AM46&gt;0,K46="CHP.HS"),AM46,IF(AND(AM46&gt;0,K46="CDV.HS"),AM46,IF(AND(AM46&gt;0,K46="CLH.HS"),AM46,IF(AM46&gt;0,AM46-100000,)))))))</f>
        <v>0</v>
      </c>
      <c r="AO46" s="205">
        <f t="shared" ref="AO46" si="128">AM46-AN46</f>
        <v>0</v>
      </c>
      <c r="AP46" s="198"/>
      <c r="AQ46" s="202">
        <f t="shared" ref="AQ46" si="129">IF(V46&lt;=1,V46,AI46*95%)</f>
        <v>0</v>
      </c>
      <c r="AR46" s="202"/>
      <c r="AS46" s="205" t="e">
        <f t="shared" ref="AS46" si="130">IF(AND(AA46="DKG",H46="Cont",K46="VD.HN.DKG"),4000000/AQ46,IF(AND(AA46="DKG",A46&gt;=1,K46="CLH.HS"),1100000,IF(AND(AA46="DKG",A46&gt;=1,K46="CDV.HS"),800000,IF(AND(AA46="DKG",A46&gt;=1,K46="HS.HA"),800000/AQ46,IF(AND(AA46="DKG",A46&gt;=1,K46="CHP.HS"),800000/AQ46,IF(AND(AA46="DKG",A46&gt;=1,K46="KH.DKG"),X46-1000000,IF(AA46="DKG",AJ46-65000,IF(AA46="THG",AJ46,0))))))))</f>
        <v>#DIV/0!</v>
      </c>
      <c r="AT46" s="205" t="e">
        <f t="shared" ref="AT46" si="131">AQ46*AS46</f>
        <v>#DIV/0!</v>
      </c>
      <c r="AU46" s="205" t="e">
        <f t="shared" ref="AU46" si="132">AK46-AT46</f>
        <v>#DIV/0!</v>
      </c>
      <c r="AV46" s="198" t="str">
        <f t="shared" ref="AV46" si="133">AC46</f>
        <v>ghép</v>
      </c>
      <c r="AW46" s="208">
        <f t="shared" ref="AW46" si="134">IF(AI46-AQ46=0,AQ46,IF(AI46-AQ46&gt;0,AI46-AQ46))</f>
        <v>0</v>
      </c>
      <c r="AX46" s="208"/>
      <c r="AY46" s="209" t="e">
        <f t="shared" ref="AY46" si="135">(AK46-AT46)/AW46</f>
        <v>#DIV/0!</v>
      </c>
      <c r="AZ46" s="209" t="e">
        <f t="shared" ref="AZ46" si="136">AW46*AY46</f>
        <v>#DIV/0!</v>
      </c>
      <c r="BA46" s="209" t="e">
        <f t="shared" ref="BA46" si="137">X46-AT46-AZ46</f>
        <v>#DIV/0!</v>
      </c>
      <c r="BB46" s="210">
        <f t="shared" ref="BB46" si="138">IF(AND(AG46="CX001",N46="15C-03426"),512140,IF(AND(AG46="CX001",N46="15C-23521"),512141,IF(AND(AG46="CX001",N46="15C-07321"),512101,IF(AND(AG46="CX001",N46="15C-07437"),512102,IF(AND(AG46="CX001",N46="15C-10691"),512109,IF(AND(AG46="CX001",N46="15C-10812"),512110,IF(AND(AG46="CX001",N46="15C-11200"),512111,IF(AND(AG46="CX001",N46="15C-11486"),512112,IF(AND(AG46="CX001",N46="15C-12812"),512113,IF(AND(AG46="CX001",N46="15C-12832"),512114,IF(AND(AG46="CX001",N46="15C-12874"),512115,IF(AND(AG46="CX001",N46="15C-12876"),512116,IF(AND(AG46="CX001",N46="15C-13616"),512117,IF(AND(AG46="CX001",N46="15C-13840"),512118,IF(AND(AG46="CX001",N46="15C-15237"),512119,IF(AND(AG46="CX001",N46="15C-06125"),512121,IF(AND(AG46="CX040",N46="15C-25029"),51226,IF(AND(AG46="CX001",N46="15C-25029"),512124,IF(AND(AG46="CX001",N46="15C-25555"),512127,IF(AND(AG46="CX001",N46="15C-11549"),512130,IF(AND(AG46="CX001",N46="15C-11732"),512131,IF(AND(AG46="CX001",N46="15C-11856"),512132,IF(AND(AG46="CX001",N46="15C-12593"),512133,IF(AND(AG46="CX001",N46="15C-12643"),512134,IF(AND(AG46="CX001",N46="15C-13368"),512135,IF(AND(AG46="CX001",N46="15C-13568"),512136,IF(AND(AG46="CX001",N46="15C-13959"),512137,IF(AND(AG46="CX001",N46="15C-13969"),512138,IF(AND(AG46="CX001",N46="15C-13958"),512139,IF(AND(AG46="CX055",N46="15C-03426"),512213,IF(AND(AG46="CX002",N46="15C-03470"),512212,IF(AND(AG46="CX057",N46="15C-01584"),512223,IF(AND(AG46="CX056",N46="15C-25418"),512222,IF(AND(AG46="CX004",N46="15C-01889"),512221,IF(AND(AG46="CX006",N46="15C-13036"),51224,51225)))))))))))))))))))))))))))))))))))</f>
        <v>512130</v>
      </c>
      <c r="BC46" s="210">
        <f t="shared" ref="BC46" si="139">IF(AA46="DKG",511301,IF(AA46="THG",511302,0))</f>
        <v>511301</v>
      </c>
      <c r="BD46" s="210">
        <f t="shared" ref="BD46" si="140">IF(AA46="DKG",5123,IF(AA46="THG",522,0))</f>
        <v>5123</v>
      </c>
      <c r="BE46" s="210">
        <f t="shared" ref="BE46" si="141">IF(AP46="Phú","NV018",IF(AP46="Giang","NV006",IF(AP46="Quang","NV024",IF(AP46="Kỳ","NV222",0))))</f>
        <v>0</v>
      </c>
      <c r="BF46" s="210">
        <f t="shared" ref="BF46" si="142">IF(AG46="CX001",0,331)</f>
        <v>0</v>
      </c>
      <c r="BG46" s="210">
        <f t="shared" ref="BG46" si="143">IF(AG46="CX001",15401,IF(OR(AG46="CX055",AG46="CX039",AG46="CX040",AG46="CX002",AG46="CX003",AG46="CX004",AG46="CX005",AG46="CX006",AG46="CX056",AG46="CX057"),331,0))</f>
        <v>15401</v>
      </c>
      <c r="BH46" s="211">
        <f t="shared" ref="BH46" si="144">IF(AND(AG46="CX001",N46="15C-03426"),6121140,IF(AND(AG46="CX001",N46="15C-23521"),6121141,IF(AND(AG46="CX001",N46="15C-11549"),6121130,IF(AND(AG46="CX001",N46="15C-11732"),6121131,IF(AND(AG46="CX001",N46="15C-11856"),6121132,IF(AND(AG46="CX001",N46="15C-12593"),6121133,IF(AND(AG46="CX001",N46="15C-12643"),6121134,IF(AND(AG46="CX001",N46="15C-13368"),6121135,IF(AND(AG46="CX001",N46="15C-13568"),6121136,IF(AND(AG46="CX001",N46="15C-13959"),6121137,IF(AND(AG46="CX001",N46="15C-13969"),6121138,IF(AND(AG46="CX001",N46="15C-13958"),6121139,IF(AND(AG46="CX001",N46="15C-07321"),6121101,IF(AND(AG46="CX001",N46="15C-07437"),6121102,IF(AND(AG46="CX001",N46="15C-10691"),6121109,IF(AND(AG46="CX001",N46="15C-10812"),6121110,IF(AND(AG46="CX001",N46="15C-11200"),6121111,IF(AND(AG46="CX001",N46="15C-11486"),6121112,IF(AND(AG46="CX001",N46="15C-12812"),6121113,IF(AND(AG46="CX001",N46="15C-12832"),6121114,IF(AND(AG46="CX001",N46="15C-12874"),6121115,IF(AND(AG46="CX001",N46="15C-12876"),6121116,IF(AND(AG46="CX001",N46="15C-13616"),6121117,IF(AND(AG46="CX001",N46="15C-13840"),6121118,IF(AND(AG46="CX001",N46="15C-15237"),6121119,IF(AND(AG46="CX001",N46="15C-06125"),6121121,IF(AND(AG46="CX001",N46="15C-25029"),6121124,IF(AND(AG46="CX001",N46="15C-25555"),6121127,0))))))))))))))))))))))))))))</f>
        <v>6121130</v>
      </c>
      <c r="BI46" s="169" t="s">
        <v>12763</v>
      </c>
      <c r="BJ46" s="169" t="str">
        <f t="shared" ref="BJ46" si="145">CONCATENATE(BI46,N46)</f>
        <v>TDG xe 15C-11549</v>
      </c>
      <c r="BK46" s="211" t="str">
        <f t="shared" ref="BK46" si="146">IF(AA46="THG","T",IF(AA46="DKG","G",0))</f>
        <v>G</v>
      </c>
      <c r="BL46" s="170" t="str">
        <f t="shared" ref="BL46" ca="1" si="147">IF(Y46="CGN",TODAY(),"")</f>
        <v/>
      </c>
    </row>
    <row r="47" spans="1:73" ht="21.9" customHeight="1" x14ac:dyDescent="0.3">
      <c r="C47" s="191" t="s">
        <v>197</v>
      </c>
      <c r="D47" s="193" t="s">
        <v>5519</v>
      </c>
      <c r="E47" s="194" t="s">
        <v>5521</v>
      </c>
      <c r="F47" s="193" t="s">
        <v>6700</v>
      </c>
      <c r="G47" s="193"/>
      <c r="H47" s="191" t="s">
        <v>12761</v>
      </c>
      <c r="I47" s="191"/>
      <c r="J47" s="191"/>
      <c r="K47" s="195" t="s">
        <v>14648</v>
      </c>
      <c r="L47" s="196" t="s">
        <v>14649</v>
      </c>
      <c r="M47" s="197" t="str">
        <f t="shared" si="112"/>
        <v>Yến Tuân</v>
      </c>
      <c r="N47" s="352" t="s">
        <v>133</v>
      </c>
      <c r="O47" s="198" t="str">
        <f t="shared" ref="O47" si="148">IF(N47="15C-03470","Ngô Quang Hưng",IF(N47="15C-01889","Nguyễn Văn Chi",IF(N47="15C-25418","Ngụy Văn Điệp",IF(N47="15C-11549","Lê Anh Tân",IF(N47="15C-11732","Lại Văn Ngân",IF(N47="15C-11856","Nguyễn Văn Tiến",IF(N47="15C-12593","Bùi Bá Thành",IF(N47="15C-12643","Đinh Minh Dũng",IF(N47="15C-13368","Vũ Đức Chiến",IF(N47="15C-13568","Trần Quốc Đại",IF(N47="15C-13959","Phạm Viết Thành",IF(N47="15C-13969","Vũ Văn Sang",IF(N47="15C-13958","Vũ Đình Hà",IF(N47="15C-07321","Trương Văn Huy",IF(N47="15C-07437","Trương Văn Cao",IF(N47="15C-10691","Phạm Văn Thượng",IF(N47="15C-10812","Phạm Văn Hai",IF(N47="15C-11200","Hà Mạnh Hùng",IF(N47="15C-11486","Bùi Đức Thành",IF(N47="15C-12812","Mai Văn Sơn",IF(N47="15C-12832","Trần Văn Hiển",IF(N47="15C-12874","Phạm Đức Lợi",IF(N47="15C-12876","Nguyễn Vinh Hiển",IF(N47="15C-13616","Phan Văn Tôn",IF(N47="15C-13840","Nguyễn Văn Ca",IF(N47="15C-15237","Phạm Văn Thịnh",IF(N47="15C-06125","Đồng Ngọc Điểm",IF(N47="15C-25029","Phạm Văn Hai",IF(N47="15C-25555","Đoàn Văn Hà",IF(N47="15C-03426","Phạm Hoàng Quyết",IF(N47="15C-01584","Nguyễn Đắc Đạt",IF(N47="15C-13036","Lê Xuân Quyết","Tên LX"))))))))))))))))))))))))))))))))</f>
        <v>Nguyễn Đắc Đạt</v>
      </c>
      <c r="P47" s="197" t="str">
        <f t="shared" si="114"/>
        <v>CT</v>
      </c>
      <c r="Q47" s="199" t="str">
        <f t="shared" si="115"/>
        <v>CT</v>
      </c>
      <c r="R47" s="197">
        <f t="shared" si="116"/>
        <v>0</v>
      </c>
      <c r="S47" s="197"/>
      <c r="T47" s="200" t="s">
        <v>14650</v>
      </c>
      <c r="U47" s="201">
        <v>12</v>
      </c>
      <c r="V47" s="202">
        <v>0</v>
      </c>
      <c r="W47" s="203">
        <v>0</v>
      </c>
      <c r="X47" s="204">
        <f t="shared" si="117"/>
        <v>0</v>
      </c>
      <c r="Y47" s="199" t="s">
        <v>37</v>
      </c>
      <c r="Z47" s="199" t="str">
        <f t="shared" si="118"/>
        <v>OK/NO</v>
      </c>
      <c r="AA47" s="199" t="str">
        <f t="shared" si="119"/>
        <v>DKG</v>
      </c>
      <c r="AB47" s="205">
        <v>50000</v>
      </c>
      <c r="AC47" s="198"/>
    </row>
  </sheetData>
  <autoFilter ref="A10:BJ10" xr:uid="{00000000-0009-0000-0000-000004000000}"/>
  <mergeCells count="54">
    <mergeCell ref="A1:J1"/>
    <mergeCell ref="T1:AA1"/>
    <mergeCell ref="AB1:AG1"/>
    <mergeCell ref="AL1:AT1"/>
    <mergeCell ref="A3:AA3"/>
    <mergeCell ref="AB3:AT3"/>
    <mergeCell ref="A6:A7"/>
    <mergeCell ref="B6:B7"/>
    <mergeCell ref="C6:C7"/>
    <mergeCell ref="D6:G6"/>
    <mergeCell ref="H6:H7"/>
    <mergeCell ref="Q6:Q7"/>
    <mergeCell ref="AU3:BI3"/>
    <mergeCell ref="I4:J4"/>
    <mergeCell ref="AG4:AJ4"/>
    <mergeCell ref="AO4:AQ4"/>
    <mergeCell ref="I6:J6"/>
    <mergeCell ref="K6:L6"/>
    <mergeCell ref="M6:M7"/>
    <mergeCell ref="N6:N7"/>
    <mergeCell ref="O6:O7"/>
    <mergeCell ref="P6:P7"/>
    <mergeCell ref="AG6:AI6"/>
    <mergeCell ref="R6:R7"/>
    <mergeCell ref="S6:V6"/>
    <mergeCell ref="W6:W7"/>
    <mergeCell ref="X6:X7"/>
    <mergeCell ref="Y6:Y7"/>
    <mergeCell ref="Z6:Z7"/>
    <mergeCell ref="AA6:AA7"/>
    <mergeCell ref="AB6:AB7"/>
    <mergeCell ref="AC6:AC7"/>
    <mergeCell ref="AD6:AD7"/>
    <mergeCell ref="AE6:AF6"/>
    <mergeCell ref="BA6:BA7"/>
    <mergeCell ref="AJ6:AJ7"/>
    <mergeCell ref="AK6:AK7"/>
    <mergeCell ref="AL6:AL7"/>
    <mergeCell ref="AM6:AM7"/>
    <mergeCell ref="AN6:AN7"/>
    <mergeCell ref="AO6:AO7"/>
    <mergeCell ref="AQ6:AR6"/>
    <mergeCell ref="AS6:AS7"/>
    <mergeCell ref="AT6:AT7"/>
    <mergeCell ref="AU6:AU7"/>
    <mergeCell ref="AZ6:AZ7"/>
    <mergeCell ref="BI6:BI7"/>
    <mergeCell ref="BJ6:BJ7"/>
    <mergeCell ref="BB6:BB7"/>
    <mergeCell ref="BC6:BC7"/>
    <mergeCell ref="BD6:BD7"/>
    <mergeCell ref="BE6:BE7"/>
    <mergeCell ref="BF6:BF7"/>
    <mergeCell ref="BH6:BH7"/>
  </mergeCells>
  <printOptions horizontalCentered="1"/>
  <pageMargins left="0" right="0" top="0.25" bottom="0.5" header="0.25" footer="0.25"/>
  <pageSetup paperSize="9" orientation="landscape" r:id="rId1"/>
  <headerFooter>
    <oddFooter>&amp;R&amp;P/2</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S584"/>
  <sheetViews>
    <sheetView topLeftCell="A97" workbookViewId="0">
      <selection activeCell="G104" sqref="G104"/>
    </sheetView>
  </sheetViews>
  <sheetFormatPr defaultColWidth="7.59765625" defaultRowHeight="21.9" customHeight="1" x14ac:dyDescent="0.3"/>
  <cols>
    <col min="1" max="1" width="4" style="218" customWidth="1"/>
    <col min="2" max="2" width="9.8984375" style="219" customWidth="1"/>
    <col min="3" max="4" width="23.5" style="219" customWidth="1"/>
    <col min="5" max="5" width="5.09765625" style="216" customWidth="1"/>
    <col min="6" max="7" width="5.09765625" style="220" customWidth="1"/>
    <col min="8" max="8" width="8.09765625" style="220" customWidth="1"/>
    <col min="9" max="9" width="9.59765625" style="277" customWidth="1"/>
    <col min="10" max="10" width="7.59765625" style="277" customWidth="1"/>
    <col min="11" max="11" width="5.09765625" style="277" customWidth="1"/>
    <col min="12" max="12" width="25.3984375" style="214" customWidth="1"/>
    <col min="13" max="13" width="17" style="214" customWidth="1"/>
    <col min="14" max="14" width="12.5" style="214" bestFit="1" customWidth="1"/>
    <col min="15" max="15" width="16.8984375" style="214" hidden="1" customWidth="1"/>
    <col min="16" max="18" width="0" style="214" hidden="1" customWidth="1"/>
    <col min="19" max="16384" width="7.59765625" style="214"/>
  </cols>
  <sheetData>
    <row r="1" spans="1:19" ht="41.4" customHeight="1" x14ac:dyDescent="0.3">
      <c r="A1" s="445" t="s">
        <v>13033</v>
      </c>
      <c r="B1" s="445"/>
      <c r="C1" s="445"/>
      <c r="D1" s="445"/>
      <c r="E1" s="445"/>
      <c r="F1" s="445"/>
      <c r="G1" s="445"/>
      <c r="H1" s="445"/>
      <c r="I1" s="445"/>
      <c r="J1" s="445"/>
      <c r="K1" s="445"/>
      <c r="L1" s="445"/>
      <c r="M1" s="263"/>
      <c r="N1" s="214" t="s">
        <v>13226</v>
      </c>
    </row>
    <row r="2" spans="1:19" s="260" customFormat="1" ht="21.9" customHeight="1" x14ac:dyDescent="0.3">
      <c r="A2" s="446" t="s">
        <v>13034</v>
      </c>
      <c r="B2" s="446"/>
      <c r="C2" s="446"/>
      <c r="D2" s="446"/>
      <c r="E2" s="446"/>
      <c r="F2" s="446"/>
      <c r="G2" s="446"/>
      <c r="H2" s="446"/>
      <c r="I2" s="446"/>
      <c r="J2" s="446"/>
      <c r="K2" s="446"/>
      <c r="L2" s="446"/>
    </row>
    <row r="3" spans="1:19" s="263" customFormat="1" ht="33.75" customHeight="1" x14ac:dyDescent="0.3">
      <c r="A3" s="447" t="s">
        <v>12690</v>
      </c>
      <c r="B3" s="447" t="s">
        <v>12776</v>
      </c>
      <c r="C3" s="447" t="s">
        <v>12777</v>
      </c>
      <c r="D3" s="261"/>
      <c r="E3" s="448" t="s">
        <v>12778</v>
      </c>
      <c r="F3" s="450" t="s">
        <v>13035</v>
      </c>
      <c r="G3" s="451" t="s">
        <v>228</v>
      </c>
      <c r="H3" s="452"/>
      <c r="I3" s="452"/>
      <c r="J3" s="452"/>
      <c r="K3" s="453"/>
      <c r="L3" s="447" t="s">
        <v>6</v>
      </c>
      <c r="M3" s="262"/>
      <c r="O3" s="262" t="s">
        <v>13036</v>
      </c>
      <c r="P3" s="263" t="s">
        <v>13050</v>
      </c>
    </row>
    <row r="4" spans="1:19" s="263" customFormat="1" ht="29.4" customHeight="1" x14ac:dyDescent="0.3">
      <c r="A4" s="447"/>
      <c r="B4" s="447"/>
      <c r="C4" s="447"/>
      <c r="D4" s="264"/>
      <c r="E4" s="449"/>
      <c r="F4" s="450"/>
      <c r="G4" s="265" t="s">
        <v>13037</v>
      </c>
      <c r="H4" s="265" t="s">
        <v>13038</v>
      </c>
      <c r="I4" s="266" t="s">
        <v>13039</v>
      </c>
      <c r="J4" s="266" t="s">
        <v>13040</v>
      </c>
      <c r="K4" s="266" t="s">
        <v>13041</v>
      </c>
      <c r="L4" s="447"/>
      <c r="M4" s="262"/>
      <c r="O4" s="262"/>
    </row>
    <row r="5" spans="1:19" s="270" customFormat="1" ht="19.5" customHeight="1" x14ac:dyDescent="0.3">
      <c r="A5" s="267" t="s">
        <v>12783</v>
      </c>
      <c r="B5" s="268"/>
      <c r="C5" s="268"/>
      <c r="D5" s="268"/>
      <c r="E5" s="268"/>
      <c r="F5" s="268"/>
      <c r="G5" s="268"/>
      <c r="H5" s="268"/>
      <c r="I5" s="268"/>
      <c r="J5" s="268"/>
      <c r="K5" s="268"/>
      <c r="L5" s="268"/>
      <c r="M5" s="269"/>
      <c r="O5" s="269"/>
    </row>
    <row r="6" spans="1:19" s="263" customFormat="1" ht="19.5" customHeight="1" x14ac:dyDescent="0.3">
      <c r="A6" s="271" t="s">
        <v>12745</v>
      </c>
      <c r="B6" s="215" t="s">
        <v>10317</v>
      </c>
      <c r="C6" s="215" t="s">
        <v>13056</v>
      </c>
      <c r="D6" s="215" t="str">
        <f>CONCATENATE("DKG&lt;-&gt;",C6,IF(C6="TP",". ",", "),B6)</f>
        <v>DKG&lt;-&gt;Dương Kinh, Hải Phòng</v>
      </c>
      <c r="E6" s="272">
        <v>48</v>
      </c>
      <c r="F6" s="273">
        <v>230</v>
      </c>
      <c r="G6" s="273">
        <v>500</v>
      </c>
      <c r="H6" s="273">
        <v>400</v>
      </c>
      <c r="I6" s="273">
        <v>100</v>
      </c>
      <c r="J6" s="273">
        <v>0</v>
      </c>
      <c r="K6" s="273">
        <v>0</v>
      </c>
      <c r="L6" s="271"/>
      <c r="M6" s="279" t="s">
        <v>13056</v>
      </c>
      <c r="N6" s="273">
        <v>600000</v>
      </c>
      <c r="O6" s="279">
        <v>100000</v>
      </c>
      <c r="P6" s="279">
        <v>100000</v>
      </c>
      <c r="Q6" s="263" t="s">
        <v>13056</v>
      </c>
      <c r="R6" s="263" t="str">
        <f>IF(Q6=E6,"1", "kác")</f>
        <v>kác</v>
      </c>
      <c r="S6" s="263">
        <f>IF(M6=C6,0,1)</f>
        <v>0</v>
      </c>
    </row>
    <row r="7" spans="1:19" s="263" customFormat="1" ht="19.5" customHeight="1" x14ac:dyDescent="0.3">
      <c r="A7" s="271" t="s">
        <v>12745</v>
      </c>
      <c r="B7" s="215" t="s">
        <v>10317</v>
      </c>
      <c r="C7" s="215" t="s">
        <v>12820</v>
      </c>
      <c r="D7" s="215" t="str">
        <f t="shared" ref="D7:D70" si="0">CONCATENATE("DKG&lt;-&gt;",C7,IF(C7="TP",". ",", "),B7)</f>
        <v>DKG&lt;-&gt;Kiến Thụy, Hải Phòng</v>
      </c>
      <c r="E7" s="272">
        <v>62</v>
      </c>
      <c r="F7" s="273">
        <v>240</v>
      </c>
      <c r="G7" s="273">
        <v>500</v>
      </c>
      <c r="H7" s="273">
        <v>400</v>
      </c>
      <c r="I7" s="273">
        <v>100</v>
      </c>
      <c r="J7" s="273">
        <v>0</v>
      </c>
      <c r="K7" s="273">
        <v>0</v>
      </c>
      <c r="L7" s="271"/>
      <c r="M7" s="279" t="s">
        <v>12820</v>
      </c>
      <c r="N7" s="273">
        <v>600000</v>
      </c>
      <c r="O7" s="279">
        <v>150000</v>
      </c>
      <c r="P7" s="279">
        <v>100000</v>
      </c>
      <c r="Q7" s="263" t="s">
        <v>12820</v>
      </c>
      <c r="R7" s="263" t="str">
        <f t="shared" ref="R7" si="1">IF(Q7=E7,"1", "kác")</f>
        <v>kác</v>
      </c>
      <c r="S7" s="263">
        <f t="shared" ref="S7:S70" si="2">IF(M7=C7,0,1)</f>
        <v>0</v>
      </c>
    </row>
    <row r="8" spans="1:19" s="263" customFormat="1" ht="19.5" customHeight="1" x14ac:dyDescent="0.3">
      <c r="A8" s="271" t="s">
        <v>12745</v>
      </c>
      <c r="B8" s="215" t="s">
        <v>10317</v>
      </c>
      <c r="C8" s="215" t="s">
        <v>13057</v>
      </c>
      <c r="D8" s="215" t="str">
        <f t="shared" si="0"/>
        <v>DKG&lt;-&gt;Đồ Sơn, Hải Phòng</v>
      </c>
      <c r="E8" s="272">
        <v>55</v>
      </c>
      <c r="F8" s="273">
        <v>250</v>
      </c>
      <c r="G8" s="273">
        <v>500</v>
      </c>
      <c r="H8" s="273">
        <v>400</v>
      </c>
      <c r="I8" s="273">
        <v>100</v>
      </c>
      <c r="J8" s="273">
        <v>0</v>
      </c>
      <c r="K8" s="273">
        <v>0</v>
      </c>
      <c r="L8" s="271"/>
      <c r="M8" s="279" t="s">
        <v>13057</v>
      </c>
      <c r="N8" s="273">
        <v>600000</v>
      </c>
      <c r="O8" s="279">
        <v>150000</v>
      </c>
      <c r="P8" s="279">
        <v>100000</v>
      </c>
      <c r="Q8" s="263" t="s">
        <v>13057</v>
      </c>
      <c r="R8" s="263" t="str">
        <f t="shared" ref="R8" si="3">IF(Q8=E8,"1", "kác")</f>
        <v>kác</v>
      </c>
      <c r="S8" s="263">
        <f t="shared" si="2"/>
        <v>0</v>
      </c>
    </row>
    <row r="9" spans="1:19" s="263" customFormat="1" ht="19.5" customHeight="1" x14ac:dyDescent="0.3">
      <c r="A9" s="271" t="s">
        <v>12745</v>
      </c>
      <c r="B9" s="215" t="s">
        <v>10317</v>
      </c>
      <c r="C9" s="215" t="s">
        <v>12821</v>
      </c>
      <c r="D9" s="215" t="str">
        <f t="shared" si="0"/>
        <v>DKG&lt;-&gt;Kiến An, Hải Phòng</v>
      </c>
      <c r="E9" s="272">
        <v>42</v>
      </c>
      <c r="F9" s="273">
        <v>230</v>
      </c>
      <c r="G9" s="273">
        <v>500</v>
      </c>
      <c r="H9" s="273">
        <v>400</v>
      </c>
      <c r="I9" s="273">
        <v>100</v>
      </c>
      <c r="J9" s="273">
        <v>0</v>
      </c>
      <c r="K9" s="273">
        <v>0</v>
      </c>
      <c r="L9" s="271"/>
      <c r="M9" s="279" t="s">
        <v>12821</v>
      </c>
      <c r="N9" s="273">
        <v>600000</v>
      </c>
      <c r="O9" s="279">
        <v>150000</v>
      </c>
      <c r="P9" s="279">
        <v>100000</v>
      </c>
      <c r="Q9" s="263" t="s">
        <v>12821</v>
      </c>
      <c r="R9" s="263" t="str">
        <f t="shared" ref="R9" si="4">IF(Q9=E9,"1", "kác")</f>
        <v>kác</v>
      </c>
      <c r="S9" s="263">
        <f t="shared" si="2"/>
        <v>0</v>
      </c>
    </row>
    <row r="10" spans="1:19" s="263" customFormat="1" ht="19.5" customHeight="1" x14ac:dyDescent="0.3">
      <c r="A10" s="271" t="s">
        <v>12745</v>
      </c>
      <c r="B10" s="215" t="s">
        <v>10317</v>
      </c>
      <c r="C10" s="215" t="s">
        <v>12822</v>
      </c>
      <c r="D10" s="215" t="str">
        <f t="shared" si="0"/>
        <v>DKG&lt;-&gt;An Lão, Hải Phòng</v>
      </c>
      <c r="E10" s="272">
        <v>74</v>
      </c>
      <c r="F10" s="273">
        <v>250</v>
      </c>
      <c r="G10" s="273">
        <v>500</v>
      </c>
      <c r="H10" s="273">
        <v>400</v>
      </c>
      <c r="I10" s="273">
        <v>100</v>
      </c>
      <c r="J10" s="273">
        <v>0</v>
      </c>
      <c r="K10" s="273">
        <v>0</v>
      </c>
      <c r="L10" s="271"/>
      <c r="M10" s="279" t="s">
        <v>12822</v>
      </c>
      <c r="N10" s="273">
        <v>600000</v>
      </c>
      <c r="O10" s="279">
        <v>150000</v>
      </c>
      <c r="P10" s="279">
        <v>100000</v>
      </c>
      <c r="Q10" s="263" t="s">
        <v>12822</v>
      </c>
      <c r="R10" s="263" t="str">
        <f t="shared" ref="R10" si="5">IF(Q10=E10,"1", "kác")</f>
        <v>kác</v>
      </c>
      <c r="S10" s="263">
        <f t="shared" si="2"/>
        <v>0</v>
      </c>
    </row>
    <row r="11" spans="1:19" s="263" customFormat="1" ht="19.5" customHeight="1" x14ac:dyDescent="0.3">
      <c r="A11" s="271" t="s">
        <v>12745</v>
      </c>
      <c r="B11" s="215" t="s">
        <v>10317</v>
      </c>
      <c r="C11" s="215" t="s">
        <v>13058</v>
      </c>
      <c r="D11" s="215" t="str">
        <f t="shared" si="0"/>
        <v>DKG&lt;-&gt;Tiên Lãng (không phí), Hải Phòng</v>
      </c>
      <c r="E11" s="272">
        <v>80</v>
      </c>
      <c r="F11" s="273">
        <v>250</v>
      </c>
      <c r="G11" s="273">
        <v>700</v>
      </c>
      <c r="H11" s="273">
        <v>600</v>
      </c>
      <c r="I11" s="273">
        <v>100</v>
      </c>
      <c r="J11" s="273">
        <v>0</v>
      </c>
      <c r="K11" s="273">
        <v>0</v>
      </c>
      <c r="L11" s="271"/>
      <c r="M11" s="279" t="s">
        <v>13058</v>
      </c>
      <c r="N11" s="273">
        <v>600000</v>
      </c>
      <c r="O11" s="279">
        <v>200000</v>
      </c>
      <c r="P11" s="279">
        <v>150000</v>
      </c>
      <c r="Q11" s="263" t="s">
        <v>13058</v>
      </c>
      <c r="R11" s="263" t="str">
        <f t="shared" ref="R11" si="6">IF(Q11=E11,"1", "kác")</f>
        <v>kác</v>
      </c>
      <c r="S11" s="263">
        <f t="shared" si="2"/>
        <v>0</v>
      </c>
    </row>
    <row r="12" spans="1:19" s="263" customFormat="1" ht="19.5" customHeight="1" x14ac:dyDescent="0.3">
      <c r="A12" s="271" t="s">
        <v>12745</v>
      </c>
      <c r="B12" s="215" t="s">
        <v>10317</v>
      </c>
      <c r="C12" s="215" t="s">
        <v>12824</v>
      </c>
      <c r="D12" s="215" t="str">
        <f t="shared" si="0"/>
        <v>DKG&lt;-&gt;Tiên Lãng (có phí), Hải Phòng</v>
      </c>
      <c r="E12" s="272">
        <v>80</v>
      </c>
      <c r="F12" s="273">
        <v>270</v>
      </c>
      <c r="G12" s="273">
        <v>1100</v>
      </c>
      <c r="H12" s="273">
        <v>1000</v>
      </c>
      <c r="I12" s="273">
        <v>100</v>
      </c>
      <c r="J12" s="273">
        <v>0</v>
      </c>
      <c r="K12" s="273">
        <v>0</v>
      </c>
      <c r="L12" s="271"/>
      <c r="M12" s="279" t="s">
        <v>12824</v>
      </c>
      <c r="N12" s="273">
        <v>700000</v>
      </c>
      <c r="O12" s="279">
        <v>200000</v>
      </c>
      <c r="P12" s="279">
        <v>150000</v>
      </c>
      <c r="Q12" s="263" t="s">
        <v>12824</v>
      </c>
      <c r="R12" s="263" t="str">
        <f t="shared" ref="R12" si="7">IF(Q12=E12,"1", "kác")</f>
        <v>kác</v>
      </c>
      <c r="S12" s="263">
        <f t="shared" si="2"/>
        <v>0</v>
      </c>
    </row>
    <row r="13" spans="1:19" s="263" customFormat="1" ht="19.5" customHeight="1" x14ac:dyDescent="0.3">
      <c r="A13" s="271" t="s">
        <v>12745</v>
      </c>
      <c r="B13" s="215" t="s">
        <v>10317</v>
      </c>
      <c r="C13" s="215" t="s">
        <v>12825</v>
      </c>
      <c r="D13" s="215" t="str">
        <f t="shared" si="0"/>
        <v>DKG&lt;-&gt;Vĩnh Bảo, Hải Phòng</v>
      </c>
      <c r="E13" s="272">
        <v>96</v>
      </c>
      <c r="F13" s="273">
        <v>300</v>
      </c>
      <c r="G13" s="273">
        <v>1100</v>
      </c>
      <c r="H13" s="273">
        <v>1000</v>
      </c>
      <c r="I13" s="273">
        <v>100</v>
      </c>
      <c r="J13" s="273">
        <v>0</v>
      </c>
      <c r="K13" s="273">
        <v>0</v>
      </c>
      <c r="L13" s="271"/>
      <c r="M13" s="279" t="s">
        <v>12825</v>
      </c>
      <c r="N13" s="273">
        <v>800000</v>
      </c>
      <c r="O13" s="279">
        <v>200000</v>
      </c>
      <c r="P13" s="279">
        <v>150000</v>
      </c>
      <c r="Q13" s="263" t="s">
        <v>12825</v>
      </c>
      <c r="R13" s="263" t="str">
        <f t="shared" ref="R13" si="8">IF(Q13=E13,"1", "kác")</f>
        <v>kác</v>
      </c>
      <c r="S13" s="263">
        <f t="shared" si="2"/>
        <v>0</v>
      </c>
    </row>
    <row r="14" spans="1:19" s="263" customFormat="1" ht="19.5" customHeight="1" x14ac:dyDescent="0.3">
      <c r="A14" s="271" t="s">
        <v>12745</v>
      </c>
      <c r="B14" s="215" t="s">
        <v>14980</v>
      </c>
      <c r="C14" s="215" t="s">
        <v>13059</v>
      </c>
      <c r="D14" s="215" t="str">
        <f t="shared" si="0"/>
        <v>DKG&lt;-&gt;Tứ Kỳ (Quý Cao), Hải Dương</v>
      </c>
      <c r="E14" s="272">
        <v>78</v>
      </c>
      <c r="F14" s="273">
        <v>300</v>
      </c>
      <c r="G14" s="273">
        <v>1250</v>
      </c>
      <c r="H14" s="273">
        <v>1150</v>
      </c>
      <c r="I14" s="273">
        <v>100</v>
      </c>
      <c r="J14" s="273">
        <v>0</v>
      </c>
      <c r="K14" s="273">
        <v>0</v>
      </c>
      <c r="L14" s="271"/>
      <c r="M14" s="279" t="s">
        <v>13059</v>
      </c>
      <c r="N14" s="273">
        <v>800000</v>
      </c>
      <c r="O14" s="279">
        <v>200000</v>
      </c>
      <c r="P14" s="279">
        <v>150000</v>
      </c>
      <c r="Q14" s="263" t="s">
        <v>13059</v>
      </c>
      <c r="R14" s="263" t="str">
        <f t="shared" ref="R14" si="9">IF(Q14=E14,"1", "kác")</f>
        <v>kác</v>
      </c>
      <c r="S14" s="263">
        <f t="shared" si="2"/>
        <v>0</v>
      </c>
    </row>
    <row r="15" spans="1:19" s="263" customFormat="1" ht="19.5" customHeight="1" x14ac:dyDescent="0.3">
      <c r="A15" s="271" t="s">
        <v>12745</v>
      </c>
      <c r="B15" s="215" t="s">
        <v>14981</v>
      </c>
      <c r="C15" s="215" t="s">
        <v>13060</v>
      </c>
      <c r="D15" s="215" t="str">
        <f t="shared" si="0"/>
        <v>DKG&lt;-&gt;Cầu Nghìn, Thái Bình</v>
      </c>
      <c r="E15" s="272">
        <v>100</v>
      </c>
      <c r="F15" s="273">
        <v>300</v>
      </c>
      <c r="G15" s="273">
        <v>1500</v>
      </c>
      <c r="H15" s="273">
        <v>1400</v>
      </c>
      <c r="I15" s="273">
        <v>100</v>
      </c>
      <c r="J15" s="273">
        <v>0</v>
      </c>
      <c r="K15" s="273">
        <v>0</v>
      </c>
      <c r="L15" s="271"/>
      <c r="M15" s="279" t="s">
        <v>13060</v>
      </c>
      <c r="N15" s="273">
        <v>800000</v>
      </c>
      <c r="O15" s="279">
        <v>250000</v>
      </c>
      <c r="P15" s="279">
        <v>150000</v>
      </c>
      <c r="Q15" s="263" t="s">
        <v>13060</v>
      </c>
      <c r="R15" s="263" t="str">
        <f t="shared" ref="R15" si="10">IF(Q15=E15,"1", "kác")</f>
        <v>kác</v>
      </c>
      <c r="S15" s="263">
        <f t="shared" si="2"/>
        <v>0</v>
      </c>
    </row>
    <row r="16" spans="1:19" s="263" customFormat="1" ht="19.5" customHeight="1" x14ac:dyDescent="0.3">
      <c r="A16" s="271" t="s">
        <v>12745</v>
      </c>
      <c r="B16" s="215" t="s">
        <v>14981</v>
      </c>
      <c r="C16" s="215" t="s">
        <v>12828</v>
      </c>
      <c r="D16" s="215" t="str">
        <f t="shared" si="0"/>
        <v>DKG&lt;-&gt;Quỳnh Côi, Thái Bình</v>
      </c>
      <c r="E16" s="272">
        <v>160</v>
      </c>
      <c r="F16" s="273">
        <v>350</v>
      </c>
      <c r="G16" s="273">
        <v>1500</v>
      </c>
      <c r="H16" s="273">
        <v>1400</v>
      </c>
      <c r="I16" s="273">
        <v>100</v>
      </c>
      <c r="J16" s="273">
        <v>0</v>
      </c>
      <c r="K16" s="273">
        <v>0</v>
      </c>
      <c r="L16" s="271"/>
      <c r="M16" s="279" t="s">
        <v>12828</v>
      </c>
      <c r="N16" s="273">
        <v>900000</v>
      </c>
      <c r="O16" s="279">
        <v>300000</v>
      </c>
      <c r="P16" s="279">
        <v>200000</v>
      </c>
      <c r="Q16" s="263" t="s">
        <v>12828</v>
      </c>
      <c r="R16" s="263" t="str">
        <f t="shared" ref="R16" si="11">IF(Q16=E16,"1", "kác")</f>
        <v>kác</v>
      </c>
      <c r="S16" s="263">
        <f t="shared" si="2"/>
        <v>0</v>
      </c>
    </row>
    <row r="17" spans="1:19" s="263" customFormat="1" ht="19.5" customHeight="1" x14ac:dyDescent="0.3">
      <c r="A17" s="271" t="s">
        <v>12745</v>
      </c>
      <c r="B17" s="215" t="s">
        <v>14981</v>
      </c>
      <c r="C17" s="215" t="s">
        <v>13061</v>
      </c>
      <c r="D17" s="215" t="str">
        <f t="shared" si="0"/>
        <v>DKG&lt;-&gt;Đông Hưng, Thái Bình</v>
      </c>
      <c r="E17" s="272">
        <v>140</v>
      </c>
      <c r="F17" s="273">
        <v>350</v>
      </c>
      <c r="G17" s="273">
        <v>1500</v>
      </c>
      <c r="H17" s="273">
        <v>1400</v>
      </c>
      <c r="I17" s="273">
        <v>100</v>
      </c>
      <c r="J17" s="273">
        <v>0</v>
      </c>
      <c r="K17" s="273">
        <v>0</v>
      </c>
      <c r="L17" s="271"/>
      <c r="M17" s="279" t="s">
        <v>13061</v>
      </c>
      <c r="N17" s="273">
        <v>900000</v>
      </c>
      <c r="O17" s="279">
        <v>250000</v>
      </c>
      <c r="P17" s="279">
        <v>150000</v>
      </c>
      <c r="Q17" s="263" t="s">
        <v>13061</v>
      </c>
      <c r="R17" s="263" t="str">
        <f t="shared" ref="R17" si="12">IF(Q17=E17,"1", "kác")</f>
        <v>kác</v>
      </c>
      <c r="S17" s="263">
        <f t="shared" si="2"/>
        <v>0</v>
      </c>
    </row>
    <row r="18" spans="1:19" s="263" customFormat="1" ht="19.5" customHeight="1" x14ac:dyDescent="0.3">
      <c r="A18" s="271" t="s">
        <v>12745</v>
      </c>
      <c r="B18" s="215" t="s">
        <v>14981</v>
      </c>
      <c r="C18" s="215" t="s">
        <v>13045</v>
      </c>
      <c r="D18" s="215" t="str">
        <f t="shared" si="0"/>
        <v>DKG&lt;-&gt;Tp. Thái Bình</v>
      </c>
      <c r="E18" s="272">
        <v>165</v>
      </c>
      <c r="F18" s="273">
        <v>370</v>
      </c>
      <c r="G18" s="273">
        <v>1900</v>
      </c>
      <c r="H18" s="273">
        <v>1800</v>
      </c>
      <c r="I18" s="273">
        <v>100</v>
      </c>
      <c r="J18" s="273">
        <v>0</v>
      </c>
      <c r="K18" s="273">
        <v>0</v>
      </c>
      <c r="L18" s="271"/>
      <c r="M18" s="279" t="s">
        <v>13062</v>
      </c>
      <c r="N18" s="273">
        <v>900000</v>
      </c>
      <c r="O18" s="279">
        <v>300000</v>
      </c>
      <c r="P18" s="279">
        <v>200000</v>
      </c>
      <c r="Q18" s="263" t="s">
        <v>13062</v>
      </c>
      <c r="R18" s="263" t="str">
        <f t="shared" ref="R18" si="13">IF(Q18=E18,"1", "kác")</f>
        <v>kác</v>
      </c>
      <c r="S18" s="263">
        <f t="shared" si="2"/>
        <v>1</v>
      </c>
    </row>
    <row r="19" spans="1:19" s="263" customFormat="1" ht="19.5" customHeight="1" x14ac:dyDescent="0.3">
      <c r="A19" s="271" t="s">
        <v>12745</v>
      </c>
      <c r="B19" s="215" t="s">
        <v>14981</v>
      </c>
      <c r="C19" s="215" t="s">
        <v>12834</v>
      </c>
      <c r="D19" s="215" t="str">
        <f t="shared" si="0"/>
        <v>DKG&lt;-&gt;Vũ Thư, Thái Bình</v>
      </c>
      <c r="E19" s="272">
        <v>175</v>
      </c>
      <c r="F19" s="273">
        <v>380</v>
      </c>
      <c r="G19" s="273">
        <v>2050</v>
      </c>
      <c r="H19" s="273">
        <v>1950</v>
      </c>
      <c r="I19" s="273">
        <v>100</v>
      </c>
      <c r="J19" s="273">
        <v>0</v>
      </c>
      <c r="K19" s="273">
        <v>0</v>
      </c>
      <c r="L19" s="271"/>
      <c r="M19" s="279" t="s">
        <v>12834</v>
      </c>
      <c r="N19" s="273">
        <v>1000000</v>
      </c>
      <c r="O19" s="279">
        <v>350000</v>
      </c>
      <c r="P19" s="279">
        <v>200000</v>
      </c>
      <c r="Q19" s="263" t="s">
        <v>12834</v>
      </c>
      <c r="R19" s="263" t="str">
        <f t="shared" ref="R19" si="14">IF(Q19=E19,"1", "kác")</f>
        <v>kác</v>
      </c>
      <c r="S19" s="263">
        <f t="shared" si="2"/>
        <v>0</v>
      </c>
    </row>
    <row r="20" spans="1:19" s="263" customFormat="1" ht="19.5" customHeight="1" x14ac:dyDescent="0.3">
      <c r="A20" s="271" t="s">
        <v>12745</v>
      </c>
      <c r="B20" s="215" t="s">
        <v>14981</v>
      </c>
      <c r="C20" s="215" t="s">
        <v>12829</v>
      </c>
      <c r="D20" s="215" t="str">
        <f t="shared" si="0"/>
        <v>DKG&lt;-&gt;Hưng Hà, Thái Bình</v>
      </c>
      <c r="E20" s="272">
        <v>190</v>
      </c>
      <c r="F20" s="273">
        <v>370</v>
      </c>
      <c r="G20" s="273">
        <v>1500</v>
      </c>
      <c r="H20" s="273">
        <v>1400</v>
      </c>
      <c r="I20" s="273">
        <v>100</v>
      </c>
      <c r="J20" s="273">
        <v>0</v>
      </c>
      <c r="K20" s="273">
        <v>0</v>
      </c>
      <c r="L20" s="271"/>
      <c r="M20" s="279" t="s">
        <v>12829</v>
      </c>
      <c r="N20" s="273">
        <v>900000</v>
      </c>
      <c r="O20" s="279">
        <v>400000</v>
      </c>
      <c r="P20" s="279">
        <v>250000</v>
      </c>
      <c r="Q20" s="263" t="s">
        <v>12829</v>
      </c>
      <c r="R20" s="263" t="str">
        <f t="shared" ref="R20" si="15">IF(Q20=E20,"1", "kác")</f>
        <v>kác</v>
      </c>
      <c r="S20" s="263">
        <f t="shared" si="2"/>
        <v>0</v>
      </c>
    </row>
    <row r="21" spans="1:19" s="263" customFormat="1" ht="19.5" customHeight="1" x14ac:dyDescent="0.3">
      <c r="A21" s="271" t="s">
        <v>12745</v>
      </c>
      <c r="B21" s="215" t="s">
        <v>14981</v>
      </c>
      <c r="C21" s="215" t="s">
        <v>13063</v>
      </c>
      <c r="D21" s="215" t="str">
        <f t="shared" si="0"/>
        <v>DKG&lt;-&gt;Diêm Điền; Thái Thụy, Thái Bình</v>
      </c>
      <c r="E21" s="272">
        <v>220</v>
      </c>
      <c r="F21" s="273">
        <v>370</v>
      </c>
      <c r="G21" s="273">
        <v>1900</v>
      </c>
      <c r="H21" s="273">
        <v>1800</v>
      </c>
      <c r="I21" s="273">
        <v>100</v>
      </c>
      <c r="J21" s="273">
        <v>0</v>
      </c>
      <c r="K21" s="273">
        <v>0</v>
      </c>
      <c r="L21" s="271"/>
      <c r="M21" s="279" t="s">
        <v>13063</v>
      </c>
      <c r="N21" s="273">
        <v>900000</v>
      </c>
      <c r="O21" s="279">
        <v>400000</v>
      </c>
      <c r="P21" s="279">
        <v>250000</v>
      </c>
      <c r="Q21" s="263" t="s">
        <v>13063</v>
      </c>
      <c r="R21" s="263" t="str">
        <f t="shared" ref="R21" si="16">IF(Q21=E21,"1", "kác")</f>
        <v>kác</v>
      </c>
      <c r="S21" s="263">
        <f t="shared" si="2"/>
        <v>0</v>
      </c>
    </row>
    <row r="22" spans="1:19" s="263" customFormat="1" ht="19.5" customHeight="1" x14ac:dyDescent="0.3">
      <c r="A22" s="271" t="s">
        <v>12745</v>
      </c>
      <c r="B22" s="215" t="s">
        <v>14981</v>
      </c>
      <c r="C22" s="215" t="s">
        <v>13064</v>
      </c>
      <c r="D22" s="215" t="str">
        <f t="shared" si="0"/>
        <v>DKG&lt;-&gt;Kiến Xương (không phí), Thái Bình</v>
      </c>
      <c r="E22" s="272">
        <v>200</v>
      </c>
      <c r="F22" s="273">
        <v>370</v>
      </c>
      <c r="G22" s="273">
        <v>2100</v>
      </c>
      <c r="H22" s="273">
        <v>2000</v>
      </c>
      <c r="I22" s="273">
        <v>100</v>
      </c>
      <c r="J22" s="273">
        <v>0</v>
      </c>
      <c r="K22" s="273">
        <v>0</v>
      </c>
      <c r="L22" s="271"/>
      <c r="M22" s="279" t="s">
        <v>13064</v>
      </c>
      <c r="N22" s="273">
        <v>900000</v>
      </c>
      <c r="O22" s="279">
        <v>350000</v>
      </c>
      <c r="P22" s="279">
        <v>200000</v>
      </c>
      <c r="Q22" s="263" t="s">
        <v>13064</v>
      </c>
      <c r="R22" s="263" t="str">
        <f t="shared" ref="R22" si="17">IF(Q22=E22,"1", "kác")</f>
        <v>kác</v>
      </c>
      <c r="S22" s="263">
        <f t="shared" si="2"/>
        <v>0</v>
      </c>
    </row>
    <row r="23" spans="1:19" s="263" customFormat="1" ht="19.5" customHeight="1" x14ac:dyDescent="0.3">
      <c r="A23" s="271" t="s">
        <v>12745</v>
      </c>
      <c r="B23" s="215" t="s">
        <v>14981</v>
      </c>
      <c r="C23" s="215" t="s">
        <v>12836</v>
      </c>
      <c r="D23" s="215" t="str">
        <f t="shared" si="0"/>
        <v>DKG&lt;-&gt;Kiến xương (có phí), Thái Bình</v>
      </c>
      <c r="E23" s="272">
        <v>200</v>
      </c>
      <c r="F23" s="273">
        <v>390</v>
      </c>
      <c r="G23" s="273">
        <v>2500</v>
      </c>
      <c r="H23" s="273">
        <v>2400</v>
      </c>
      <c r="I23" s="273">
        <v>100</v>
      </c>
      <c r="J23" s="273">
        <v>0</v>
      </c>
      <c r="K23" s="273">
        <v>0</v>
      </c>
      <c r="L23" s="271"/>
      <c r="M23" s="279" t="s">
        <v>12836</v>
      </c>
      <c r="N23" s="273">
        <v>1000000</v>
      </c>
      <c r="O23" s="279">
        <v>400000</v>
      </c>
      <c r="P23" s="279">
        <v>250000</v>
      </c>
      <c r="Q23" s="263" t="s">
        <v>12836</v>
      </c>
      <c r="R23" s="263" t="str">
        <f t="shared" ref="R23" si="18">IF(Q23=E23,"1", "kác")</f>
        <v>kác</v>
      </c>
      <c r="S23" s="263">
        <f t="shared" si="2"/>
        <v>0</v>
      </c>
    </row>
    <row r="24" spans="1:19" s="263" customFormat="1" ht="19.5" customHeight="1" x14ac:dyDescent="0.3">
      <c r="A24" s="271" t="s">
        <v>12745</v>
      </c>
      <c r="B24" s="215" t="s">
        <v>14981</v>
      </c>
      <c r="C24" s="215" t="s">
        <v>12837</v>
      </c>
      <c r="D24" s="215" t="str">
        <f t="shared" si="0"/>
        <v>DKG&lt;-&gt;Tiền Hải, Thái Bình</v>
      </c>
      <c r="E24" s="272">
        <v>220</v>
      </c>
      <c r="F24" s="273">
        <v>400</v>
      </c>
      <c r="G24" s="273">
        <v>2500</v>
      </c>
      <c r="H24" s="273">
        <v>2400</v>
      </c>
      <c r="I24" s="273">
        <v>100</v>
      </c>
      <c r="J24" s="273">
        <v>0</v>
      </c>
      <c r="K24" s="273">
        <v>0</v>
      </c>
      <c r="L24" s="271"/>
      <c r="M24" s="279" t="s">
        <v>12837</v>
      </c>
      <c r="N24" s="273">
        <v>1000000</v>
      </c>
      <c r="O24" s="279">
        <v>400000</v>
      </c>
      <c r="P24" s="279">
        <v>250000</v>
      </c>
      <c r="Q24" s="263" t="s">
        <v>12837</v>
      </c>
      <c r="R24" s="263" t="str">
        <f t="shared" ref="R24" si="19">IF(Q24=E24,"1", "kác")</f>
        <v>kác</v>
      </c>
      <c r="S24" s="263">
        <f t="shared" si="2"/>
        <v>0</v>
      </c>
    </row>
    <row r="25" spans="1:19" s="263" customFormat="1" ht="19.5" customHeight="1" x14ac:dyDescent="0.3">
      <c r="A25" s="271" t="s">
        <v>12745</v>
      </c>
      <c r="B25" s="215" t="s">
        <v>14982</v>
      </c>
      <c r="C25" s="215" t="s">
        <v>13045</v>
      </c>
      <c r="D25" s="215" t="str">
        <f t="shared" si="0"/>
        <v>DKG&lt;-&gt;Tp. Nam Định</v>
      </c>
      <c r="E25" s="272">
        <v>215</v>
      </c>
      <c r="F25" s="273">
        <v>400</v>
      </c>
      <c r="G25" s="273">
        <v>2250</v>
      </c>
      <c r="H25" s="273">
        <v>2150</v>
      </c>
      <c r="I25" s="273">
        <v>100</v>
      </c>
      <c r="J25" s="273">
        <v>0</v>
      </c>
      <c r="K25" s="273">
        <v>0</v>
      </c>
      <c r="L25" s="271"/>
      <c r="M25" s="279" t="s">
        <v>13062</v>
      </c>
      <c r="N25" s="273">
        <v>1000000</v>
      </c>
      <c r="O25" s="279">
        <v>400000</v>
      </c>
      <c r="P25" s="279">
        <v>250000</v>
      </c>
      <c r="Q25" s="263" t="s">
        <v>13062</v>
      </c>
      <c r="R25" s="263" t="str">
        <f t="shared" ref="R25" si="20">IF(Q25=E25,"1", "kác")</f>
        <v>kác</v>
      </c>
      <c r="S25" s="263">
        <f t="shared" si="2"/>
        <v>1</v>
      </c>
    </row>
    <row r="26" spans="1:19" s="263" customFormat="1" ht="19.5" customHeight="1" x14ac:dyDescent="0.3">
      <c r="A26" s="271" t="s">
        <v>12745</v>
      </c>
      <c r="B26" s="215" t="s">
        <v>14982</v>
      </c>
      <c r="C26" s="215" t="s">
        <v>13065</v>
      </c>
      <c r="D26" s="215" t="str">
        <f t="shared" si="0"/>
        <v>DKG&lt;-&gt;Gôi, Vụ Bản, Nam Định</v>
      </c>
      <c r="E26" s="272">
        <v>246</v>
      </c>
      <c r="F26" s="273">
        <v>450</v>
      </c>
      <c r="G26" s="273">
        <v>2650</v>
      </c>
      <c r="H26" s="273">
        <v>2550</v>
      </c>
      <c r="I26" s="273">
        <v>100</v>
      </c>
      <c r="J26" s="273">
        <v>0</v>
      </c>
      <c r="K26" s="273">
        <v>0</v>
      </c>
      <c r="L26" s="271"/>
      <c r="M26" s="279" t="s">
        <v>13065</v>
      </c>
      <c r="N26" s="273">
        <v>1100000</v>
      </c>
      <c r="O26" s="279">
        <v>500000</v>
      </c>
      <c r="P26" s="279">
        <v>300000</v>
      </c>
      <c r="Q26" s="263" t="s">
        <v>13065</v>
      </c>
      <c r="R26" s="263" t="str">
        <f t="shared" ref="R26" si="21">IF(Q26=E26,"1", "kác")</f>
        <v>kác</v>
      </c>
      <c r="S26" s="263">
        <f t="shared" si="2"/>
        <v>0</v>
      </c>
    </row>
    <row r="27" spans="1:19" s="263" customFormat="1" ht="19.5" customHeight="1" x14ac:dyDescent="0.3">
      <c r="A27" s="271" t="s">
        <v>12745</v>
      </c>
      <c r="B27" s="215" t="s">
        <v>14982</v>
      </c>
      <c r="C27" s="215" t="s">
        <v>12842</v>
      </c>
      <c r="D27" s="215" t="str">
        <f t="shared" si="0"/>
        <v>DKG&lt;-&gt;Ý Yên, Nam Định</v>
      </c>
      <c r="E27" s="272">
        <v>255</v>
      </c>
      <c r="F27" s="273">
        <v>450</v>
      </c>
      <c r="G27" s="273">
        <v>2650</v>
      </c>
      <c r="H27" s="273">
        <v>2550</v>
      </c>
      <c r="I27" s="273">
        <v>100</v>
      </c>
      <c r="J27" s="273">
        <v>0</v>
      </c>
      <c r="K27" s="273">
        <v>0</v>
      </c>
      <c r="L27" s="271"/>
      <c r="M27" s="279" t="s">
        <v>12842</v>
      </c>
      <c r="N27" s="273">
        <v>1100000</v>
      </c>
      <c r="O27" s="279">
        <v>550000</v>
      </c>
      <c r="P27" s="279">
        <v>350000</v>
      </c>
      <c r="Q27" s="263" t="s">
        <v>12842</v>
      </c>
      <c r="R27" s="263" t="str">
        <f t="shared" ref="R27" si="22">IF(Q27=E27,"1", "kác")</f>
        <v>kác</v>
      </c>
      <c r="S27" s="263">
        <f t="shared" si="2"/>
        <v>0</v>
      </c>
    </row>
    <row r="28" spans="1:19" s="263" customFormat="1" ht="19.5" customHeight="1" x14ac:dyDescent="0.3">
      <c r="A28" s="271" t="s">
        <v>12745</v>
      </c>
      <c r="B28" s="215" t="s">
        <v>14982</v>
      </c>
      <c r="C28" s="215" t="s">
        <v>12840</v>
      </c>
      <c r="D28" s="215" t="str">
        <f t="shared" si="0"/>
        <v>DKG&lt;-&gt;Nghĩa Hưng, Nam Định</v>
      </c>
      <c r="E28" s="272">
        <v>290</v>
      </c>
      <c r="F28" s="273">
        <v>450</v>
      </c>
      <c r="G28" s="273">
        <v>2650</v>
      </c>
      <c r="H28" s="273">
        <v>2550</v>
      </c>
      <c r="I28" s="273">
        <v>100</v>
      </c>
      <c r="J28" s="273">
        <v>0</v>
      </c>
      <c r="K28" s="273">
        <v>0</v>
      </c>
      <c r="L28" s="271"/>
      <c r="M28" s="279" t="s">
        <v>12840</v>
      </c>
      <c r="N28" s="273">
        <v>1100000</v>
      </c>
      <c r="O28" s="279">
        <v>550000</v>
      </c>
      <c r="P28" s="279">
        <v>350000</v>
      </c>
      <c r="Q28" s="263" t="s">
        <v>12840</v>
      </c>
      <c r="R28" s="263" t="str">
        <f t="shared" ref="R28" si="23">IF(Q28=E28,"1", "kác")</f>
        <v>kác</v>
      </c>
      <c r="S28" s="263">
        <f t="shared" si="2"/>
        <v>0</v>
      </c>
    </row>
    <row r="29" spans="1:19" s="263" customFormat="1" ht="19.5" customHeight="1" x14ac:dyDescent="0.3">
      <c r="A29" s="271" t="s">
        <v>12745</v>
      </c>
      <c r="B29" s="215" t="s">
        <v>14982</v>
      </c>
      <c r="C29" s="215" t="s">
        <v>13066</v>
      </c>
      <c r="D29" s="215" t="str">
        <f t="shared" si="0"/>
        <v>DKG&lt;-&gt;Trực Ninh, Nam Định</v>
      </c>
      <c r="E29" s="272">
        <v>230</v>
      </c>
      <c r="F29" s="273">
        <v>420</v>
      </c>
      <c r="G29" s="273">
        <v>2650</v>
      </c>
      <c r="H29" s="273">
        <v>2550</v>
      </c>
      <c r="I29" s="273">
        <v>100</v>
      </c>
      <c r="J29" s="273">
        <v>0</v>
      </c>
      <c r="K29" s="273">
        <v>0</v>
      </c>
      <c r="L29" s="271"/>
      <c r="M29" s="279" t="s">
        <v>13066</v>
      </c>
      <c r="N29" s="273">
        <v>1100000</v>
      </c>
      <c r="O29" s="279">
        <v>450000</v>
      </c>
      <c r="P29" s="279">
        <v>300000</v>
      </c>
      <c r="Q29" s="263" t="s">
        <v>13066</v>
      </c>
      <c r="R29" s="263" t="str">
        <f t="shared" ref="R29" si="24">IF(Q29=E29,"1", "kác")</f>
        <v>kác</v>
      </c>
      <c r="S29" s="263">
        <f t="shared" si="2"/>
        <v>0</v>
      </c>
    </row>
    <row r="30" spans="1:19" s="260" customFormat="1" ht="19.5" customHeight="1" x14ac:dyDescent="0.3">
      <c r="A30" s="271" t="s">
        <v>12745</v>
      </c>
      <c r="B30" s="215" t="s">
        <v>14982</v>
      </c>
      <c r="C30" s="215" t="s">
        <v>13067</v>
      </c>
      <c r="D30" s="215" t="str">
        <f t="shared" si="0"/>
        <v>DKG&lt;-&gt;Nam Trực, Nam Định</v>
      </c>
      <c r="E30" s="272">
        <v>222</v>
      </c>
      <c r="F30" s="273">
        <v>420</v>
      </c>
      <c r="G30" s="273">
        <v>2650</v>
      </c>
      <c r="H30" s="273">
        <v>2550</v>
      </c>
      <c r="I30" s="273">
        <v>100</v>
      </c>
      <c r="J30" s="273">
        <v>0</v>
      </c>
      <c r="K30" s="273">
        <v>0</v>
      </c>
      <c r="L30" s="274"/>
      <c r="M30" s="280" t="s">
        <v>13067</v>
      </c>
      <c r="N30" s="273">
        <v>1100000</v>
      </c>
      <c r="O30" s="280">
        <v>400000</v>
      </c>
      <c r="P30" s="280">
        <v>250000</v>
      </c>
      <c r="Q30" s="260" t="s">
        <v>13067</v>
      </c>
      <c r="R30" s="263" t="str">
        <f t="shared" ref="R30" si="25">IF(Q30=E30,"1", "kác")</f>
        <v>kác</v>
      </c>
      <c r="S30" s="263">
        <f t="shared" si="2"/>
        <v>0</v>
      </c>
    </row>
    <row r="31" spans="1:19" s="260" customFormat="1" ht="19.5" customHeight="1" x14ac:dyDescent="0.3">
      <c r="A31" s="271" t="s">
        <v>12745</v>
      </c>
      <c r="B31" s="215" t="s">
        <v>14982</v>
      </c>
      <c r="C31" s="215" t="s">
        <v>12838</v>
      </c>
      <c r="D31" s="215" t="str">
        <f t="shared" si="0"/>
        <v>DKG&lt;-&gt;Cổ Lễ, Nam Định</v>
      </c>
      <c r="E31" s="272">
        <v>235</v>
      </c>
      <c r="F31" s="273">
        <v>420</v>
      </c>
      <c r="G31" s="273">
        <v>2650</v>
      </c>
      <c r="H31" s="273">
        <v>2550</v>
      </c>
      <c r="I31" s="273">
        <v>100</v>
      </c>
      <c r="J31" s="273">
        <v>0</v>
      </c>
      <c r="K31" s="273">
        <v>0</v>
      </c>
      <c r="L31" s="274"/>
      <c r="M31" s="280" t="s">
        <v>12838</v>
      </c>
      <c r="N31" s="273">
        <v>1100000</v>
      </c>
      <c r="O31" s="280">
        <v>450000</v>
      </c>
      <c r="P31" s="280">
        <v>350000</v>
      </c>
      <c r="Q31" s="260" t="s">
        <v>12838</v>
      </c>
      <c r="R31" s="263" t="str">
        <f t="shared" ref="R31" si="26">IF(Q31=E31,"1", "kác")</f>
        <v>kác</v>
      </c>
      <c r="S31" s="263">
        <f t="shared" si="2"/>
        <v>0</v>
      </c>
    </row>
    <row r="32" spans="1:19" s="260" customFormat="1" ht="19.5" customHeight="1" x14ac:dyDescent="0.3">
      <c r="A32" s="271" t="s">
        <v>12745</v>
      </c>
      <c r="B32" s="215" t="s">
        <v>14982</v>
      </c>
      <c r="C32" s="215" t="s">
        <v>12839</v>
      </c>
      <c r="D32" s="215" t="str">
        <f t="shared" si="0"/>
        <v>DKG&lt;-&gt;Hải Hậu, Nam Định</v>
      </c>
      <c r="E32" s="272">
        <v>310</v>
      </c>
      <c r="F32" s="273">
        <v>450</v>
      </c>
      <c r="G32" s="273">
        <v>2650</v>
      </c>
      <c r="H32" s="273">
        <v>2550</v>
      </c>
      <c r="I32" s="273">
        <v>100</v>
      </c>
      <c r="J32" s="273">
        <v>0</v>
      </c>
      <c r="K32" s="273">
        <v>0</v>
      </c>
      <c r="L32" s="274"/>
      <c r="M32" s="280" t="s">
        <v>12839</v>
      </c>
      <c r="N32" s="273">
        <v>1100000</v>
      </c>
      <c r="O32" s="280">
        <v>600000</v>
      </c>
      <c r="P32" s="280">
        <v>400000</v>
      </c>
      <c r="Q32" s="260" t="s">
        <v>12839</v>
      </c>
      <c r="R32" s="263" t="str">
        <f t="shared" ref="R32" si="27">IF(Q32=E32,"1", "kác")</f>
        <v>kác</v>
      </c>
      <c r="S32" s="263">
        <f t="shared" si="2"/>
        <v>0</v>
      </c>
    </row>
    <row r="33" spans="1:19" s="260" customFormat="1" ht="19.5" customHeight="1" x14ac:dyDescent="0.3">
      <c r="A33" s="271" t="s">
        <v>12745</v>
      </c>
      <c r="B33" s="215" t="s">
        <v>14982</v>
      </c>
      <c r="C33" s="215" t="s">
        <v>12841</v>
      </c>
      <c r="D33" s="215" t="str">
        <f t="shared" si="0"/>
        <v>DKG&lt;-&gt;Xuân Trường, Nam Định</v>
      </c>
      <c r="E33" s="272">
        <v>270</v>
      </c>
      <c r="F33" s="273">
        <v>450</v>
      </c>
      <c r="G33" s="273">
        <v>2650</v>
      </c>
      <c r="H33" s="273">
        <v>2550</v>
      </c>
      <c r="I33" s="273">
        <v>100</v>
      </c>
      <c r="J33" s="273">
        <v>0</v>
      </c>
      <c r="K33" s="273">
        <v>0</v>
      </c>
      <c r="L33" s="274"/>
      <c r="M33" s="280" t="s">
        <v>12841</v>
      </c>
      <c r="N33" s="273">
        <v>1100000</v>
      </c>
      <c r="O33" s="280">
        <v>550000</v>
      </c>
      <c r="P33" s="280">
        <v>350000</v>
      </c>
      <c r="Q33" s="260" t="s">
        <v>12841</v>
      </c>
      <c r="R33" s="263" t="str">
        <f t="shared" ref="R33" si="28">IF(Q33=E33,"1", "kác")</f>
        <v>kác</v>
      </c>
      <c r="S33" s="263">
        <f t="shared" si="2"/>
        <v>0</v>
      </c>
    </row>
    <row r="34" spans="1:19" s="260" customFormat="1" ht="19.5" customHeight="1" x14ac:dyDescent="0.3">
      <c r="A34" s="271" t="s">
        <v>12745</v>
      </c>
      <c r="B34" s="215" t="s">
        <v>14982</v>
      </c>
      <c r="C34" s="215" t="s">
        <v>13068</v>
      </c>
      <c r="D34" s="215" t="str">
        <f t="shared" si="0"/>
        <v>DKG&lt;-&gt;Giao Thủy, Nam Định</v>
      </c>
      <c r="E34" s="272">
        <v>280</v>
      </c>
      <c r="F34" s="273">
        <v>450</v>
      </c>
      <c r="G34" s="273">
        <v>2650</v>
      </c>
      <c r="H34" s="273">
        <v>2550</v>
      </c>
      <c r="I34" s="273">
        <v>100</v>
      </c>
      <c r="J34" s="273">
        <v>0</v>
      </c>
      <c r="K34" s="273">
        <v>0</v>
      </c>
      <c r="L34" s="274"/>
      <c r="M34" s="280" t="s">
        <v>13068</v>
      </c>
      <c r="N34" s="273">
        <v>1100000</v>
      </c>
      <c r="O34" s="280">
        <v>550000</v>
      </c>
      <c r="P34" s="280">
        <v>350000</v>
      </c>
      <c r="Q34" s="260" t="s">
        <v>13068</v>
      </c>
      <c r="R34" s="263" t="str">
        <f t="shared" ref="R34" si="29">IF(Q34=E34,"1", "kác")</f>
        <v>kác</v>
      </c>
      <c r="S34" s="263">
        <f t="shared" si="2"/>
        <v>0</v>
      </c>
    </row>
    <row r="35" spans="1:19" s="260" customFormat="1" ht="19.5" customHeight="1" x14ac:dyDescent="0.3">
      <c r="A35" s="271" t="s">
        <v>12745</v>
      </c>
      <c r="B35" s="215" t="s">
        <v>14982</v>
      </c>
      <c r="C35" s="215" t="s">
        <v>13069</v>
      </c>
      <c r="D35" s="215" t="str">
        <f t="shared" si="0"/>
        <v>DKG&lt;-&gt;Mỹ Lộc, Nam Định</v>
      </c>
      <c r="E35" s="272">
        <v>230</v>
      </c>
      <c r="F35" s="273">
        <v>420</v>
      </c>
      <c r="G35" s="273">
        <v>2650</v>
      </c>
      <c r="H35" s="273">
        <v>2550</v>
      </c>
      <c r="I35" s="273">
        <v>100</v>
      </c>
      <c r="J35" s="273">
        <v>0</v>
      </c>
      <c r="K35" s="273">
        <v>0</v>
      </c>
      <c r="L35" s="274"/>
      <c r="M35" s="280" t="s">
        <v>13069</v>
      </c>
      <c r="N35" s="273">
        <v>1100000</v>
      </c>
      <c r="O35" s="280">
        <v>450000</v>
      </c>
      <c r="P35" s="280">
        <v>300000</v>
      </c>
      <c r="Q35" s="260" t="s">
        <v>13069</v>
      </c>
      <c r="R35" s="263" t="str">
        <f t="shared" ref="R35" si="30">IF(Q35=E35,"1", "kác")</f>
        <v>kác</v>
      </c>
      <c r="S35" s="263">
        <f t="shared" si="2"/>
        <v>0</v>
      </c>
    </row>
    <row r="36" spans="1:19" s="260" customFormat="1" ht="19.5" customHeight="1" x14ac:dyDescent="0.3">
      <c r="A36" s="271" t="s">
        <v>12745</v>
      </c>
      <c r="B36" s="215" t="s">
        <v>14983</v>
      </c>
      <c r="C36" s="215" t="s">
        <v>13070</v>
      </c>
      <c r="D36" s="215" t="str">
        <f t="shared" si="0"/>
        <v>DKG&lt;-&gt;Bình Lục (Nam Định QL21A), Hà Nam</v>
      </c>
      <c r="E36" s="272">
        <v>250</v>
      </c>
      <c r="F36" s="273">
        <v>450</v>
      </c>
      <c r="G36" s="273">
        <v>2650</v>
      </c>
      <c r="H36" s="273">
        <v>2550</v>
      </c>
      <c r="I36" s="273">
        <v>100</v>
      </c>
      <c r="J36" s="273">
        <v>0</v>
      </c>
      <c r="K36" s="273">
        <v>0</v>
      </c>
      <c r="L36" s="274"/>
      <c r="M36" s="280" t="s">
        <v>13070</v>
      </c>
      <c r="N36" s="273">
        <v>1100000</v>
      </c>
      <c r="O36" s="280">
        <v>500000</v>
      </c>
      <c r="P36" s="280">
        <v>350000</v>
      </c>
      <c r="Q36" s="260" t="s">
        <v>13070</v>
      </c>
      <c r="R36" s="263" t="str">
        <f t="shared" ref="R36" si="31">IF(Q36=E36,"1", "kác")</f>
        <v>kác</v>
      </c>
      <c r="S36" s="263">
        <f t="shared" si="2"/>
        <v>0</v>
      </c>
    </row>
    <row r="37" spans="1:19" s="260" customFormat="1" ht="19.5" customHeight="1" x14ac:dyDescent="0.3">
      <c r="A37" s="271" t="s">
        <v>12745</v>
      </c>
      <c r="B37" s="215" t="s">
        <v>14983</v>
      </c>
      <c r="C37" s="215" t="s">
        <v>13071</v>
      </c>
      <c r="D37" s="215" t="str">
        <f t="shared" si="0"/>
        <v>DKG&lt;-&gt;Bình Lục (Nam Định QL21B), Hà Nam</v>
      </c>
      <c r="E37" s="272">
        <v>250</v>
      </c>
      <c r="F37" s="273">
        <v>470</v>
      </c>
      <c r="G37" s="273">
        <v>3000</v>
      </c>
      <c r="H37" s="273">
        <v>2900</v>
      </c>
      <c r="I37" s="273">
        <v>100</v>
      </c>
      <c r="J37" s="273">
        <v>0</v>
      </c>
      <c r="K37" s="273">
        <v>0</v>
      </c>
      <c r="L37" s="274"/>
      <c r="M37" s="280" t="s">
        <v>13071</v>
      </c>
      <c r="N37" s="273">
        <v>1200000</v>
      </c>
      <c r="O37" s="280">
        <v>500000</v>
      </c>
      <c r="P37" s="280">
        <v>350000</v>
      </c>
      <c r="Q37" s="260" t="s">
        <v>13071</v>
      </c>
      <c r="R37" s="263" t="str">
        <f t="shared" ref="R37" si="32">IF(Q37=E37,"1", "kác")</f>
        <v>kác</v>
      </c>
      <c r="S37" s="263">
        <f t="shared" si="2"/>
        <v>0</v>
      </c>
    </row>
    <row r="38" spans="1:19" s="260" customFormat="1" ht="19.5" customHeight="1" x14ac:dyDescent="0.3">
      <c r="A38" s="271" t="s">
        <v>12745</v>
      </c>
      <c r="B38" s="215" t="s">
        <v>14984</v>
      </c>
      <c r="C38" s="215" t="s">
        <v>13045</v>
      </c>
      <c r="D38" s="215" t="str">
        <f t="shared" si="0"/>
        <v>DKG&lt;-&gt;Tp. Ninh Bình</v>
      </c>
      <c r="E38" s="272">
        <v>295</v>
      </c>
      <c r="F38" s="273">
        <v>480</v>
      </c>
      <c r="G38" s="273">
        <v>2950</v>
      </c>
      <c r="H38" s="273">
        <v>2850</v>
      </c>
      <c r="I38" s="273">
        <v>100</v>
      </c>
      <c r="J38" s="273">
        <v>0</v>
      </c>
      <c r="K38" s="273">
        <v>0</v>
      </c>
      <c r="L38" s="274"/>
      <c r="M38" s="280" t="s">
        <v>13062</v>
      </c>
      <c r="N38" s="273">
        <v>1200000</v>
      </c>
      <c r="O38" s="280">
        <v>600000</v>
      </c>
      <c r="P38" s="280">
        <v>400000</v>
      </c>
      <c r="Q38" s="260" t="s">
        <v>13062</v>
      </c>
      <c r="R38" s="263" t="str">
        <f t="shared" ref="R38" si="33">IF(Q38=E38,"1", "kác")</f>
        <v>kác</v>
      </c>
      <c r="S38" s="263">
        <f t="shared" si="2"/>
        <v>1</v>
      </c>
    </row>
    <row r="39" spans="1:19" s="260" customFormat="1" ht="19.5" customHeight="1" x14ac:dyDescent="0.3">
      <c r="A39" s="271" t="s">
        <v>12745</v>
      </c>
      <c r="B39" s="215" t="s">
        <v>14984</v>
      </c>
      <c r="C39" s="215" t="s">
        <v>12848</v>
      </c>
      <c r="D39" s="215" t="str">
        <f t="shared" si="0"/>
        <v>DKG&lt;-&gt;Yên Khánh, Ninh Bình</v>
      </c>
      <c r="E39" s="272">
        <v>295</v>
      </c>
      <c r="F39" s="273">
        <v>500</v>
      </c>
      <c r="G39" s="273">
        <v>2950</v>
      </c>
      <c r="H39" s="273">
        <v>2850</v>
      </c>
      <c r="I39" s="273">
        <v>100</v>
      </c>
      <c r="J39" s="273">
        <v>0</v>
      </c>
      <c r="K39" s="273">
        <v>0</v>
      </c>
      <c r="L39" s="274"/>
      <c r="M39" s="280" t="s">
        <v>12848</v>
      </c>
      <c r="N39" s="273">
        <v>1300000</v>
      </c>
      <c r="O39" s="280">
        <v>600000</v>
      </c>
      <c r="P39" s="280">
        <v>400000</v>
      </c>
      <c r="Q39" s="260" t="s">
        <v>12848</v>
      </c>
      <c r="R39" s="263" t="str">
        <f t="shared" ref="R39" si="34">IF(Q39=E39,"1", "kác")</f>
        <v>kác</v>
      </c>
      <c r="S39" s="263">
        <f t="shared" si="2"/>
        <v>0</v>
      </c>
    </row>
    <row r="40" spans="1:19" s="260" customFormat="1" ht="19.5" customHeight="1" x14ac:dyDescent="0.3">
      <c r="A40" s="271" t="s">
        <v>12745</v>
      </c>
      <c r="B40" s="215" t="s">
        <v>14984</v>
      </c>
      <c r="C40" s="215" t="s">
        <v>12845</v>
      </c>
      <c r="D40" s="215" t="str">
        <f t="shared" si="0"/>
        <v>DKG&lt;-&gt;Kim Sơn, Ninh Bình</v>
      </c>
      <c r="E40" s="272">
        <v>340</v>
      </c>
      <c r="F40" s="273">
        <v>500</v>
      </c>
      <c r="G40" s="273">
        <v>2950</v>
      </c>
      <c r="H40" s="273">
        <v>2850</v>
      </c>
      <c r="I40" s="273">
        <v>100</v>
      </c>
      <c r="J40" s="273">
        <v>0</v>
      </c>
      <c r="K40" s="273">
        <v>0</v>
      </c>
      <c r="L40" s="274"/>
      <c r="M40" s="280" t="s">
        <v>12845</v>
      </c>
      <c r="N40" s="273">
        <v>1300000</v>
      </c>
      <c r="O40" s="280">
        <v>600000</v>
      </c>
      <c r="P40" s="280">
        <v>400000</v>
      </c>
      <c r="Q40" s="260" t="s">
        <v>12845</v>
      </c>
      <c r="R40" s="263" t="str">
        <f t="shared" ref="R40" si="35">IF(Q40=E40,"1", "kác")</f>
        <v>kác</v>
      </c>
      <c r="S40" s="263">
        <f t="shared" si="2"/>
        <v>0</v>
      </c>
    </row>
    <row r="41" spans="1:19" s="260" customFormat="1" ht="19.5" customHeight="1" x14ac:dyDescent="0.3">
      <c r="A41" s="271" t="s">
        <v>12745</v>
      </c>
      <c r="B41" s="215" t="s">
        <v>14984</v>
      </c>
      <c r="C41" s="215" t="s">
        <v>13072</v>
      </c>
      <c r="D41" s="215" t="str">
        <f t="shared" si="0"/>
        <v>DKG&lt;-&gt;Tam Điệp, Ninh Bình</v>
      </c>
      <c r="E41" s="272">
        <v>310</v>
      </c>
      <c r="F41" s="273">
        <v>500</v>
      </c>
      <c r="G41" s="273">
        <v>3350</v>
      </c>
      <c r="H41" s="273">
        <v>3250</v>
      </c>
      <c r="I41" s="273">
        <v>100</v>
      </c>
      <c r="J41" s="273">
        <v>0</v>
      </c>
      <c r="K41" s="273">
        <v>0</v>
      </c>
      <c r="L41" s="274"/>
      <c r="M41" s="280" t="s">
        <v>13072</v>
      </c>
      <c r="N41" s="273">
        <v>1300000</v>
      </c>
      <c r="O41" s="280">
        <v>600000</v>
      </c>
      <c r="P41" s="280">
        <v>400000</v>
      </c>
      <c r="Q41" s="260" t="s">
        <v>13072</v>
      </c>
      <c r="R41" s="263" t="str">
        <f t="shared" ref="R41" si="36">IF(Q41=E41,"1", "kác")</f>
        <v>kác</v>
      </c>
      <c r="S41" s="263">
        <f t="shared" si="2"/>
        <v>0</v>
      </c>
    </row>
    <row r="42" spans="1:19" s="260" customFormat="1" ht="19.5" customHeight="1" x14ac:dyDescent="0.3">
      <c r="A42" s="271" t="s">
        <v>12745</v>
      </c>
      <c r="B42" s="215" t="s">
        <v>14984</v>
      </c>
      <c r="C42" s="215" t="s">
        <v>13073</v>
      </c>
      <c r="D42" s="215" t="str">
        <f t="shared" si="0"/>
        <v>DKG&lt;-&gt;Yên Mỗ, Ninh Bình</v>
      </c>
      <c r="E42" s="272">
        <v>330</v>
      </c>
      <c r="F42" s="273">
        <v>500</v>
      </c>
      <c r="G42" s="273">
        <v>3350</v>
      </c>
      <c r="H42" s="273">
        <v>3250</v>
      </c>
      <c r="I42" s="273">
        <v>100</v>
      </c>
      <c r="J42" s="273">
        <v>0</v>
      </c>
      <c r="K42" s="273">
        <v>0</v>
      </c>
      <c r="L42" s="271"/>
      <c r="M42" s="280" t="s">
        <v>13073</v>
      </c>
      <c r="N42" s="273">
        <v>1300000</v>
      </c>
      <c r="O42" s="280">
        <v>600000</v>
      </c>
      <c r="P42" s="280">
        <v>400000</v>
      </c>
      <c r="Q42" s="260" t="s">
        <v>13073</v>
      </c>
      <c r="R42" s="263" t="str">
        <f t="shared" ref="R42" si="37">IF(Q42=E42,"1", "kác")</f>
        <v>kác</v>
      </c>
      <c r="S42" s="263">
        <f t="shared" si="2"/>
        <v>0</v>
      </c>
    </row>
    <row r="43" spans="1:19" s="260" customFormat="1" ht="19.5" customHeight="1" x14ac:dyDescent="0.3">
      <c r="A43" s="271" t="s">
        <v>12745</v>
      </c>
      <c r="B43" s="215" t="s">
        <v>14984</v>
      </c>
      <c r="C43" s="215" t="s">
        <v>13074</v>
      </c>
      <c r="D43" s="215" t="str">
        <f t="shared" si="0"/>
        <v>DKG&lt;-&gt;Hoa Lư, Ninh Bình</v>
      </c>
      <c r="E43" s="272">
        <v>300</v>
      </c>
      <c r="F43" s="273">
        <v>500</v>
      </c>
      <c r="G43" s="273">
        <v>3350</v>
      </c>
      <c r="H43" s="273">
        <v>3250</v>
      </c>
      <c r="I43" s="273">
        <v>100</v>
      </c>
      <c r="J43" s="273">
        <v>0</v>
      </c>
      <c r="K43" s="273">
        <v>0</v>
      </c>
      <c r="L43" s="271"/>
      <c r="M43" s="280" t="s">
        <v>13074</v>
      </c>
      <c r="N43" s="273">
        <v>1300000</v>
      </c>
      <c r="O43" s="280">
        <v>600000</v>
      </c>
      <c r="P43" s="280">
        <v>400000</v>
      </c>
      <c r="Q43" s="260" t="s">
        <v>13074</v>
      </c>
      <c r="R43" s="263" t="str">
        <f t="shared" ref="R43" si="38">IF(Q43=E43,"1", "kác")</f>
        <v>kác</v>
      </c>
      <c r="S43" s="263">
        <f t="shared" si="2"/>
        <v>0</v>
      </c>
    </row>
    <row r="44" spans="1:19" s="260" customFormat="1" ht="19.5" customHeight="1" x14ac:dyDescent="0.3">
      <c r="A44" s="271" t="s">
        <v>12745</v>
      </c>
      <c r="B44" s="215" t="s">
        <v>14984</v>
      </c>
      <c r="C44" s="215" t="s">
        <v>12844</v>
      </c>
      <c r="D44" s="215" t="str">
        <f t="shared" si="0"/>
        <v>DKG&lt;-&gt;Nho Quan, Ninh Bình</v>
      </c>
      <c r="E44" s="272">
        <v>360</v>
      </c>
      <c r="F44" s="273">
        <v>500</v>
      </c>
      <c r="G44" s="273">
        <v>3350</v>
      </c>
      <c r="H44" s="273">
        <v>3250</v>
      </c>
      <c r="I44" s="273">
        <v>100</v>
      </c>
      <c r="J44" s="273">
        <v>0</v>
      </c>
      <c r="K44" s="273">
        <v>0</v>
      </c>
      <c r="L44" s="271"/>
      <c r="M44" s="280" t="s">
        <v>12844</v>
      </c>
      <c r="N44" s="273">
        <v>1300000</v>
      </c>
      <c r="O44" s="280">
        <v>650000</v>
      </c>
      <c r="P44" s="280">
        <v>400000</v>
      </c>
      <c r="Q44" s="260" t="s">
        <v>12844</v>
      </c>
      <c r="R44" s="263" t="str">
        <f t="shared" ref="R44" si="39">IF(Q44=E44,"1", "kác")</f>
        <v>kác</v>
      </c>
      <c r="S44" s="263">
        <f t="shared" si="2"/>
        <v>0</v>
      </c>
    </row>
    <row r="45" spans="1:19" s="260" customFormat="1" ht="19.5" customHeight="1" x14ac:dyDescent="0.3">
      <c r="A45" s="271" t="s">
        <v>12745</v>
      </c>
      <c r="B45" s="215" t="s">
        <v>13721</v>
      </c>
      <c r="C45" s="215" t="s">
        <v>13075</v>
      </c>
      <c r="D45" s="215" t="str">
        <f t="shared" si="0"/>
        <v>DKG&lt;-&gt;Dốc Xây, Thanh Hóa</v>
      </c>
      <c r="E45" s="272">
        <v>326</v>
      </c>
      <c r="F45" s="273">
        <v>550</v>
      </c>
      <c r="G45" s="273">
        <v>3500</v>
      </c>
      <c r="H45" s="273">
        <v>3400</v>
      </c>
      <c r="I45" s="273">
        <v>100</v>
      </c>
      <c r="J45" s="273">
        <v>0</v>
      </c>
      <c r="K45" s="273">
        <v>0</v>
      </c>
      <c r="L45" s="274"/>
      <c r="M45" s="280" t="s">
        <v>13075</v>
      </c>
      <c r="N45" s="273">
        <v>1400000</v>
      </c>
      <c r="O45" s="280">
        <v>600000</v>
      </c>
      <c r="P45" s="280">
        <v>400000</v>
      </c>
      <c r="Q45" s="260" t="s">
        <v>13075</v>
      </c>
      <c r="R45" s="263" t="str">
        <f t="shared" ref="R45" si="40">IF(Q45=E45,"1", "kác")</f>
        <v>kác</v>
      </c>
      <c r="S45" s="263">
        <f t="shared" si="2"/>
        <v>0</v>
      </c>
    </row>
    <row r="46" spans="1:19" ht="21.9" customHeight="1" x14ac:dyDescent="0.3">
      <c r="A46" s="271" t="s">
        <v>12745</v>
      </c>
      <c r="B46" s="215" t="s">
        <v>13721</v>
      </c>
      <c r="C46" s="215" t="s">
        <v>12849</v>
      </c>
      <c r="D46" s="215" t="str">
        <f t="shared" si="0"/>
        <v>DKG&lt;-&gt;Bỉm Sơn, Thanh Hóa</v>
      </c>
      <c r="E46" s="272">
        <v>330</v>
      </c>
      <c r="F46" s="273">
        <v>550</v>
      </c>
      <c r="G46" s="273">
        <v>3500</v>
      </c>
      <c r="H46" s="273">
        <v>3400</v>
      </c>
      <c r="I46" s="273">
        <v>100</v>
      </c>
      <c r="J46" s="273">
        <v>0</v>
      </c>
      <c r="K46" s="273">
        <v>0</v>
      </c>
      <c r="L46" s="214" t="s">
        <v>13253</v>
      </c>
      <c r="M46" s="281" t="s">
        <v>12849</v>
      </c>
      <c r="N46" s="273">
        <v>1400000</v>
      </c>
      <c r="O46" s="281">
        <v>600000</v>
      </c>
      <c r="P46" s="281">
        <v>400000</v>
      </c>
      <c r="Q46" s="214" t="s">
        <v>12849</v>
      </c>
      <c r="R46" s="263" t="str">
        <f t="shared" ref="R46" si="41">IF(Q46=E46,"1", "kác")</f>
        <v>kác</v>
      </c>
      <c r="S46" s="263">
        <f t="shared" si="2"/>
        <v>0</v>
      </c>
    </row>
    <row r="47" spans="1:19" s="260" customFormat="1" ht="19.5" customHeight="1" x14ac:dyDescent="0.3">
      <c r="A47" s="271" t="s">
        <v>12745</v>
      </c>
      <c r="B47" s="215" t="s">
        <v>13721</v>
      </c>
      <c r="C47" s="215" t="s">
        <v>12852</v>
      </c>
      <c r="D47" s="215" t="str">
        <f t="shared" si="0"/>
        <v>DKG&lt;-&gt;Hà Trung, Thanh Hóa</v>
      </c>
      <c r="E47" s="272">
        <v>350</v>
      </c>
      <c r="F47" s="273">
        <v>550</v>
      </c>
      <c r="G47" s="273">
        <v>4000</v>
      </c>
      <c r="H47" s="273">
        <v>3900</v>
      </c>
      <c r="I47" s="273">
        <v>100</v>
      </c>
      <c r="J47" s="273">
        <v>0</v>
      </c>
      <c r="K47" s="273">
        <v>0</v>
      </c>
      <c r="L47" s="274"/>
      <c r="M47" s="280" t="s">
        <v>12852</v>
      </c>
      <c r="N47" s="273">
        <v>1400000</v>
      </c>
      <c r="O47" s="280">
        <v>650000</v>
      </c>
      <c r="P47" s="280">
        <v>400000</v>
      </c>
      <c r="Q47" s="260" t="s">
        <v>12852</v>
      </c>
      <c r="R47" s="263" t="str">
        <f t="shared" ref="R47" si="42">IF(Q47=E47,"1", "kác")</f>
        <v>kác</v>
      </c>
      <c r="S47" s="263">
        <f t="shared" si="2"/>
        <v>0</v>
      </c>
    </row>
    <row r="48" spans="1:19" s="260" customFormat="1" ht="19.5" customHeight="1" x14ac:dyDescent="0.3">
      <c r="A48" s="271" t="s">
        <v>12745</v>
      </c>
      <c r="B48" s="215" t="s">
        <v>13721</v>
      </c>
      <c r="C48" s="215" t="s">
        <v>13076</v>
      </c>
      <c r="D48" s="215" t="str">
        <f t="shared" si="0"/>
        <v>DKG&lt;-&gt;Nga Sơn, Thanh Hóa</v>
      </c>
      <c r="E48" s="272">
        <v>365</v>
      </c>
      <c r="F48" s="273">
        <v>550</v>
      </c>
      <c r="G48" s="273">
        <v>4000</v>
      </c>
      <c r="H48" s="273">
        <v>3900</v>
      </c>
      <c r="I48" s="273">
        <v>100</v>
      </c>
      <c r="J48" s="273">
        <v>0</v>
      </c>
      <c r="K48" s="273">
        <v>0</v>
      </c>
      <c r="L48" s="274"/>
      <c r="M48" s="280" t="s">
        <v>13076</v>
      </c>
      <c r="N48" s="273">
        <v>1400000</v>
      </c>
      <c r="O48" s="280">
        <v>650000</v>
      </c>
      <c r="P48" s="280">
        <v>400000</v>
      </c>
      <c r="Q48" s="260" t="s">
        <v>13076</v>
      </c>
      <c r="R48" s="263" t="str">
        <f t="shared" ref="R48" si="43">IF(Q48=E48,"1", "kác")</f>
        <v>kác</v>
      </c>
      <c r="S48" s="263">
        <f t="shared" si="2"/>
        <v>0</v>
      </c>
    </row>
    <row r="49" spans="1:19" s="260" customFormat="1" ht="19.5" customHeight="1" x14ac:dyDescent="0.3">
      <c r="A49" s="271" t="s">
        <v>12745</v>
      </c>
      <c r="B49" s="215" t="s">
        <v>13721</v>
      </c>
      <c r="C49" s="215" t="s">
        <v>12853</v>
      </c>
      <c r="D49" s="215" t="str">
        <f t="shared" si="0"/>
        <v>DKG&lt;-&gt;Hậu Lộc, Thanh Hóa</v>
      </c>
      <c r="E49" s="272">
        <v>384</v>
      </c>
      <c r="F49" s="273">
        <v>550</v>
      </c>
      <c r="G49" s="273">
        <v>4000</v>
      </c>
      <c r="H49" s="273">
        <v>3900</v>
      </c>
      <c r="I49" s="273">
        <v>100</v>
      </c>
      <c r="J49" s="273">
        <v>0</v>
      </c>
      <c r="K49" s="273">
        <v>0</v>
      </c>
      <c r="L49" s="274"/>
      <c r="M49" s="280" t="s">
        <v>12853</v>
      </c>
      <c r="N49" s="273">
        <v>1400000</v>
      </c>
      <c r="O49" s="280">
        <v>700000</v>
      </c>
      <c r="P49" s="280">
        <v>400000</v>
      </c>
      <c r="Q49" s="260" t="s">
        <v>12853</v>
      </c>
      <c r="R49" s="263" t="str">
        <f t="shared" ref="R49" si="44">IF(Q49=E49,"1", "kác")</f>
        <v>kác</v>
      </c>
      <c r="S49" s="263">
        <f t="shared" si="2"/>
        <v>0</v>
      </c>
    </row>
    <row r="50" spans="1:19" s="260" customFormat="1" ht="19.5" customHeight="1" x14ac:dyDescent="0.3">
      <c r="A50" s="271" t="s">
        <v>12745</v>
      </c>
      <c r="B50" s="215" t="s">
        <v>13721</v>
      </c>
      <c r="C50" s="215" t="s">
        <v>12850</v>
      </c>
      <c r="D50" s="215" t="str">
        <f t="shared" si="0"/>
        <v>DKG&lt;-&gt;Hoằng Hóa, Thanh Hóa</v>
      </c>
      <c r="E50" s="272">
        <v>420</v>
      </c>
      <c r="F50" s="273">
        <v>550</v>
      </c>
      <c r="G50" s="273">
        <v>4000</v>
      </c>
      <c r="H50" s="273">
        <v>3900</v>
      </c>
      <c r="I50" s="273">
        <v>100</v>
      </c>
      <c r="J50" s="273">
        <v>0</v>
      </c>
      <c r="K50" s="273">
        <v>0</v>
      </c>
      <c r="L50" s="274"/>
      <c r="M50" s="280" t="s">
        <v>12850</v>
      </c>
      <c r="N50" s="273">
        <v>1400000</v>
      </c>
      <c r="O50" s="280">
        <v>800000</v>
      </c>
      <c r="P50" s="280">
        <v>500000</v>
      </c>
      <c r="Q50" s="260" t="s">
        <v>12850</v>
      </c>
      <c r="R50" s="263" t="str">
        <f t="shared" ref="R50" si="45">IF(Q50=E50,"1", "kác")</f>
        <v>kác</v>
      </c>
      <c r="S50" s="263">
        <f t="shared" si="2"/>
        <v>0</v>
      </c>
    </row>
    <row r="51" spans="1:19" s="260" customFormat="1" ht="19.5" customHeight="1" x14ac:dyDescent="0.3">
      <c r="A51" s="271" t="s">
        <v>12745</v>
      </c>
      <c r="B51" s="215" t="s">
        <v>13721</v>
      </c>
      <c r="C51" s="215" t="s">
        <v>13045</v>
      </c>
      <c r="D51" s="215" t="str">
        <f t="shared" si="0"/>
        <v>DKG&lt;-&gt;Tp. Thanh Hóa</v>
      </c>
      <c r="E51" s="272">
        <v>410</v>
      </c>
      <c r="F51" s="273">
        <v>550</v>
      </c>
      <c r="G51" s="273">
        <v>4000</v>
      </c>
      <c r="H51" s="273">
        <v>3900</v>
      </c>
      <c r="I51" s="273">
        <v>100</v>
      </c>
      <c r="J51" s="273">
        <v>0</v>
      </c>
      <c r="K51" s="273">
        <v>0</v>
      </c>
      <c r="L51" s="274"/>
      <c r="M51" s="280" t="s">
        <v>13062</v>
      </c>
      <c r="N51" s="273">
        <v>1400000</v>
      </c>
      <c r="O51" s="280">
        <v>800000</v>
      </c>
      <c r="P51" s="280">
        <v>500000</v>
      </c>
      <c r="Q51" s="260" t="s">
        <v>13062</v>
      </c>
      <c r="R51" s="263" t="str">
        <f t="shared" ref="R51" si="46">IF(Q51=E51,"1", "kác")</f>
        <v>kác</v>
      </c>
      <c r="S51" s="263">
        <f t="shared" si="2"/>
        <v>1</v>
      </c>
    </row>
    <row r="52" spans="1:19" s="260" customFormat="1" ht="19.5" customHeight="1" x14ac:dyDescent="0.3">
      <c r="A52" s="271" t="s">
        <v>12745</v>
      </c>
      <c r="B52" s="215" t="s">
        <v>13721</v>
      </c>
      <c r="C52" s="215" t="s">
        <v>12859</v>
      </c>
      <c r="D52" s="215" t="str">
        <f t="shared" si="0"/>
        <v>DKG&lt;-&gt;Sầm Sơn, Thanh Hóa</v>
      </c>
      <c r="E52" s="272">
        <v>430</v>
      </c>
      <c r="F52" s="273">
        <v>600</v>
      </c>
      <c r="G52" s="273">
        <v>4000</v>
      </c>
      <c r="H52" s="273">
        <v>3900</v>
      </c>
      <c r="I52" s="273">
        <v>100</v>
      </c>
      <c r="J52" s="273">
        <v>0</v>
      </c>
      <c r="K52" s="273">
        <v>0</v>
      </c>
      <c r="L52" s="274"/>
      <c r="M52" s="280" t="s">
        <v>12859</v>
      </c>
      <c r="N52" s="273">
        <v>1500000</v>
      </c>
      <c r="O52" s="280">
        <v>800000</v>
      </c>
      <c r="P52" s="280">
        <v>500000</v>
      </c>
      <c r="Q52" s="260" t="s">
        <v>12859</v>
      </c>
      <c r="R52" s="263" t="str">
        <f t="shared" ref="R52" si="47">IF(Q52=E52,"1", "kác")</f>
        <v>kác</v>
      </c>
      <c r="S52" s="263">
        <f t="shared" si="2"/>
        <v>0</v>
      </c>
    </row>
    <row r="53" spans="1:19" s="260" customFormat="1" ht="19.5" customHeight="1" x14ac:dyDescent="0.3">
      <c r="A53" s="271" t="s">
        <v>12745</v>
      </c>
      <c r="B53" s="215" t="s">
        <v>13721</v>
      </c>
      <c r="C53" s="215" t="s">
        <v>12858</v>
      </c>
      <c r="D53" s="215" t="str">
        <f t="shared" si="0"/>
        <v>DKG&lt;-&gt;Quảng Xương, Thanh Hóa</v>
      </c>
      <c r="E53" s="272">
        <v>445</v>
      </c>
      <c r="F53" s="273">
        <v>600</v>
      </c>
      <c r="G53" s="273">
        <v>4000</v>
      </c>
      <c r="H53" s="273">
        <v>3900</v>
      </c>
      <c r="I53" s="273">
        <v>100</v>
      </c>
      <c r="J53" s="273">
        <v>0</v>
      </c>
      <c r="K53" s="273">
        <v>0</v>
      </c>
      <c r="L53" s="274"/>
      <c r="M53" s="280" t="s">
        <v>12858</v>
      </c>
      <c r="N53" s="273">
        <v>1500000</v>
      </c>
      <c r="O53" s="280">
        <v>850000</v>
      </c>
      <c r="P53" s="280">
        <v>550000</v>
      </c>
      <c r="Q53" s="260" t="s">
        <v>12858</v>
      </c>
      <c r="R53" s="263" t="str">
        <f t="shared" ref="R53" si="48">IF(Q53=E53,"1", "kác")</f>
        <v>kác</v>
      </c>
      <c r="S53" s="263">
        <f t="shared" si="2"/>
        <v>0</v>
      </c>
    </row>
    <row r="54" spans="1:19" s="260" customFormat="1" ht="19.5" customHeight="1" x14ac:dyDescent="0.3">
      <c r="A54" s="271" t="s">
        <v>12745</v>
      </c>
      <c r="B54" s="215" t="s">
        <v>13721</v>
      </c>
      <c r="C54" s="215" t="s">
        <v>12854</v>
      </c>
      <c r="D54" s="215" t="str">
        <f t="shared" si="0"/>
        <v>DKG&lt;-&gt;Tĩnh Gia, Thanh Hóa</v>
      </c>
      <c r="E54" s="272">
        <v>490</v>
      </c>
      <c r="F54" s="273">
        <v>600</v>
      </c>
      <c r="G54" s="273">
        <v>4000</v>
      </c>
      <c r="H54" s="273">
        <v>3900</v>
      </c>
      <c r="I54" s="273">
        <v>100</v>
      </c>
      <c r="J54" s="273">
        <v>0</v>
      </c>
      <c r="K54" s="273">
        <v>0</v>
      </c>
      <c r="L54" s="274"/>
      <c r="M54" s="280" t="s">
        <v>12854</v>
      </c>
      <c r="N54" s="273">
        <v>1600000</v>
      </c>
      <c r="O54" s="280">
        <v>900000</v>
      </c>
      <c r="P54" s="280">
        <v>550000</v>
      </c>
      <c r="Q54" s="260" t="s">
        <v>12854</v>
      </c>
      <c r="R54" s="263" t="str">
        <f t="shared" ref="R54" si="49">IF(Q54=E54,"1", "kác")</f>
        <v>kác</v>
      </c>
      <c r="S54" s="263">
        <f t="shared" si="2"/>
        <v>0</v>
      </c>
    </row>
    <row r="55" spans="1:19" s="260" customFormat="1" ht="19.5" customHeight="1" x14ac:dyDescent="0.3">
      <c r="A55" s="271" t="s">
        <v>12745</v>
      </c>
      <c r="B55" s="215" t="s">
        <v>13721</v>
      </c>
      <c r="C55" s="215" t="s">
        <v>12851</v>
      </c>
      <c r="D55" s="215" t="str">
        <f t="shared" si="0"/>
        <v>DKG&lt;-&gt;Đông Sơn, Thanh Hóa</v>
      </c>
      <c r="E55" s="272">
        <v>440</v>
      </c>
      <c r="F55" s="273">
        <v>600</v>
      </c>
      <c r="G55" s="273">
        <v>4400</v>
      </c>
      <c r="H55" s="273">
        <v>4300</v>
      </c>
      <c r="I55" s="273">
        <v>100</v>
      </c>
      <c r="J55" s="273">
        <v>0</v>
      </c>
      <c r="K55" s="273">
        <v>0</v>
      </c>
      <c r="L55" s="274"/>
      <c r="M55" s="280" t="s">
        <v>12851</v>
      </c>
      <c r="N55" s="273">
        <v>1500000</v>
      </c>
      <c r="O55" s="280">
        <v>850000</v>
      </c>
      <c r="P55" s="280">
        <v>550000</v>
      </c>
      <c r="Q55" s="260" t="s">
        <v>12851</v>
      </c>
      <c r="R55" s="263" t="str">
        <f t="shared" ref="R55" si="50">IF(Q55=E55,"1", "kác")</f>
        <v>kác</v>
      </c>
      <c r="S55" s="263">
        <f t="shared" si="2"/>
        <v>0</v>
      </c>
    </row>
    <row r="56" spans="1:19" s="260" customFormat="1" ht="19.5" customHeight="1" x14ac:dyDescent="0.3">
      <c r="A56" s="271" t="s">
        <v>12745</v>
      </c>
      <c r="B56" s="215" t="s">
        <v>13721</v>
      </c>
      <c r="C56" s="215" t="s">
        <v>12855</v>
      </c>
      <c r="D56" s="215" t="str">
        <f t="shared" si="0"/>
        <v>DKG&lt;-&gt;Thọ Xuân, Thanh Hóa</v>
      </c>
      <c r="E56" s="272">
        <v>500</v>
      </c>
      <c r="F56" s="273">
        <v>600</v>
      </c>
      <c r="G56" s="273">
        <v>4400</v>
      </c>
      <c r="H56" s="273">
        <v>4300</v>
      </c>
      <c r="I56" s="273">
        <v>100</v>
      </c>
      <c r="J56" s="273">
        <v>0</v>
      </c>
      <c r="K56" s="273">
        <v>0</v>
      </c>
      <c r="L56" s="274"/>
      <c r="M56" s="280" t="s">
        <v>12855</v>
      </c>
      <c r="N56" s="273">
        <v>1600000</v>
      </c>
      <c r="O56" s="280">
        <v>900000</v>
      </c>
      <c r="P56" s="280">
        <v>550000</v>
      </c>
      <c r="Q56" s="260" t="s">
        <v>12855</v>
      </c>
      <c r="R56" s="263" t="str">
        <f t="shared" ref="R56" si="51">IF(Q56=E56,"1", "kác")</f>
        <v>kác</v>
      </c>
      <c r="S56" s="263">
        <f t="shared" si="2"/>
        <v>0</v>
      </c>
    </row>
    <row r="57" spans="1:19" s="260" customFormat="1" ht="19.5" customHeight="1" x14ac:dyDescent="0.3">
      <c r="A57" s="271" t="s">
        <v>12745</v>
      </c>
      <c r="B57" s="215" t="s">
        <v>13721</v>
      </c>
      <c r="C57" s="215" t="s">
        <v>12856</v>
      </c>
      <c r="D57" s="215" t="str">
        <f t="shared" si="0"/>
        <v>DKG&lt;-&gt;Triệu Sơn, Thanh Hóa</v>
      </c>
      <c r="E57" s="272">
        <v>475</v>
      </c>
      <c r="F57" s="273">
        <v>600</v>
      </c>
      <c r="G57" s="273">
        <v>4400</v>
      </c>
      <c r="H57" s="273">
        <v>4300</v>
      </c>
      <c r="I57" s="273">
        <v>100</v>
      </c>
      <c r="J57" s="273">
        <v>0</v>
      </c>
      <c r="K57" s="273">
        <v>0</v>
      </c>
      <c r="L57" s="274"/>
      <c r="M57" s="280" t="s">
        <v>12856</v>
      </c>
      <c r="N57" s="273">
        <v>1500000</v>
      </c>
      <c r="O57" s="280">
        <v>900000</v>
      </c>
      <c r="P57" s="280">
        <v>550000</v>
      </c>
      <c r="Q57" s="260" t="s">
        <v>12856</v>
      </c>
      <c r="R57" s="263" t="str">
        <f t="shared" ref="R57" si="52">IF(Q57=E57,"1", "kác")</f>
        <v>kác</v>
      </c>
      <c r="S57" s="263">
        <f t="shared" si="2"/>
        <v>0</v>
      </c>
    </row>
    <row r="58" spans="1:19" s="260" customFormat="1" ht="19.5" customHeight="1" x14ac:dyDescent="0.3">
      <c r="A58" s="271" t="s">
        <v>12745</v>
      </c>
      <c r="B58" s="215" t="s">
        <v>13721</v>
      </c>
      <c r="C58" s="215" t="s">
        <v>12860</v>
      </c>
      <c r="D58" s="215" t="str">
        <f t="shared" si="0"/>
        <v>DKG&lt;-&gt;Thiệu Hóa, Thanh Hóa</v>
      </c>
      <c r="E58" s="272">
        <v>450</v>
      </c>
      <c r="F58" s="273">
        <v>600</v>
      </c>
      <c r="G58" s="273">
        <v>4400</v>
      </c>
      <c r="H58" s="273">
        <v>4300</v>
      </c>
      <c r="I58" s="273">
        <v>100</v>
      </c>
      <c r="J58" s="273">
        <v>0</v>
      </c>
      <c r="K58" s="273">
        <v>0</v>
      </c>
      <c r="L58" s="274"/>
      <c r="M58" s="280" t="s">
        <v>12860</v>
      </c>
      <c r="N58" s="273">
        <v>1500000</v>
      </c>
      <c r="O58" s="280">
        <v>850000</v>
      </c>
      <c r="P58" s="280">
        <v>500000</v>
      </c>
      <c r="Q58" s="260" t="s">
        <v>12860</v>
      </c>
      <c r="R58" s="263" t="str">
        <f t="shared" ref="R58" si="53">IF(Q58=E58,"1", "kác")</f>
        <v>kác</v>
      </c>
      <c r="S58" s="263">
        <f t="shared" si="2"/>
        <v>0</v>
      </c>
    </row>
    <row r="59" spans="1:19" s="260" customFormat="1" ht="19.5" customHeight="1" x14ac:dyDescent="0.3">
      <c r="A59" s="271" t="s">
        <v>12745</v>
      </c>
      <c r="B59" s="215" t="s">
        <v>13721</v>
      </c>
      <c r="C59" s="215" t="s">
        <v>12861</v>
      </c>
      <c r="D59" s="215" t="str">
        <f t="shared" si="0"/>
        <v>DKG&lt;-&gt;Nông Cống, Thanh Hóa</v>
      </c>
      <c r="E59" s="272">
        <v>490</v>
      </c>
      <c r="F59" s="273">
        <v>600</v>
      </c>
      <c r="G59" s="273">
        <v>4400</v>
      </c>
      <c r="H59" s="273">
        <v>4300</v>
      </c>
      <c r="I59" s="273">
        <v>100</v>
      </c>
      <c r="J59" s="273">
        <v>0</v>
      </c>
      <c r="K59" s="273">
        <v>0</v>
      </c>
      <c r="L59" s="274"/>
      <c r="M59" s="280" t="s">
        <v>12861</v>
      </c>
      <c r="N59" s="273">
        <v>1600000</v>
      </c>
      <c r="O59" s="280">
        <v>900000</v>
      </c>
      <c r="P59" s="280">
        <v>550000</v>
      </c>
      <c r="Q59" s="260" t="s">
        <v>12861</v>
      </c>
      <c r="R59" s="263" t="str">
        <f t="shared" ref="R59" si="54">IF(Q59=E59,"1", "kác")</f>
        <v>kác</v>
      </c>
      <c r="S59" s="263">
        <f t="shared" si="2"/>
        <v>0</v>
      </c>
    </row>
    <row r="60" spans="1:19" s="260" customFormat="1" ht="19.5" customHeight="1" x14ac:dyDescent="0.3">
      <c r="A60" s="271" t="s">
        <v>12745</v>
      </c>
      <c r="B60" s="215" t="s">
        <v>13721</v>
      </c>
      <c r="C60" s="215" t="s">
        <v>13077</v>
      </c>
      <c r="D60" s="215" t="str">
        <f t="shared" si="0"/>
        <v>DKG&lt;-&gt;Như Thanh, Thanh Hóa</v>
      </c>
      <c r="E60" s="272">
        <v>510</v>
      </c>
      <c r="F60" s="273">
        <v>600</v>
      </c>
      <c r="G60" s="273">
        <v>4400</v>
      </c>
      <c r="H60" s="273">
        <v>4300</v>
      </c>
      <c r="I60" s="273">
        <v>100</v>
      </c>
      <c r="J60" s="273">
        <v>0</v>
      </c>
      <c r="K60" s="273">
        <v>0</v>
      </c>
      <c r="L60" s="274"/>
      <c r="M60" s="280" t="s">
        <v>13077</v>
      </c>
      <c r="N60" s="273">
        <v>1600000</v>
      </c>
      <c r="O60" s="280">
        <v>900000</v>
      </c>
      <c r="P60" s="280">
        <v>550000</v>
      </c>
      <c r="Q60" s="260" t="s">
        <v>13077</v>
      </c>
      <c r="R60" s="263" t="str">
        <f t="shared" ref="R60" si="55">IF(Q60=E60,"1", "kác")</f>
        <v>kác</v>
      </c>
      <c r="S60" s="263">
        <f t="shared" si="2"/>
        <v>0</v>
      </c>
    </row>
    <row r="61" spans="1:19" s="260" customFormat="1" ht="19.5" customHeight="1" x14ac:dyDescent="0.3">
      <c r="A61" s="271" t="s">
        <v>12745</v>
      </c>
      <c r="B61" s="215" t="s">
        <v>13721</v>
      </c>
      <c r="C61" s="215" t="s">
        <v>12857</v>
      </c>
      <c r="D61" s="215" t="str">
        <f t="shared" si="0"/>
        <v>DKG&lt;-&gt;Yên Định, Thanh Hóa</v>
      </c>
      <c r="E61" s="272">
        <v>490</v>
      </c>
      <c r="F61" s="273">
        <v>600</v>
      </c>
      <c r="G61" s="273">
        <v>4400</v>
      </c>
      <c r="H61" s="273">
        <v>4300</v>
      </c>
      <c r="I61" s="273">
        <v>100</v>
      </c>
      <c r="J61" s="273">
        <v>0</v>
      </c>
      <c r="K61" s="273">
        <v>0</v>
      </c>
      <c r="L61" s="274"/>
      <c r="M61" s="280" t="s">
        <v>12857</v>
      </c>
      <c r="N61" s="273">
        <v>1500000</v>
      </c>
      <c r="O61" s="280">
        <v>800000</v>
      </c>
      <c r="P61" s="280">
        <v>500000</v>
      </c>
      <c r="Q61" s="260" t="s">
        <v>12857</v>
      </c>
      <c r="R61" s="263" t="str">
        <f t="shared" ref="R61" si="56">IF(Q61=E61,"1", "kác")</f>
        <v>kác</v>
      </c>
      <c r="S61" s="263">
        <f t="shared" si="2"/>
        <v>0</v>
      </c>
    </row>
    <row r="62" spans="1:19" s="260" customFormat="1" ht="19.5" customHeight="1" x14ac:dyDescent="0.3">
      <c r="A62" s="271" t="s">
        <v>12745</v>
      </c>
      <c r="B62" s="215" t="s">
        <v>14985</v>
      </c>
      <c r="C62" s="215" t="s">
        <v>12862</v>
      </c>
      <c r="D62" s="215" t="str">
        <f t="shared" si="0"/>
        <v>DKG&lt;-&gt;Quỳnh Lưu, Nghệ An</v>
      </c>
      <c r="E62" s="272">
        <v>550</v>
      </c>
      <c r="F62" s="273">
        <v>750</v>
      </c>
      <c r="G62" s="273">
        <v>4800</v>
      </c>
      <c r="H62" s="273">
        <v>4700</v>
      </c>
      <c r="I62" s="273">
        <v>100</v>
      </c>
      <c r="J62" s="273">
        <v>0</v>
      </c>
      <c r="K62" s="273">
        <v>0</v>
      </c>
      <c r="L62" s="274"/>
      <c r="M62" s="280" t="s">
        <v>12862</v>
      </c>
      <c r="N62" s="273">
        <v>1800000</v>
      </c>
      <c r="O62" s="280">
        <v>1000000</v>
      </c>
      <c r="P62" s="280">
        <v>600000</v>
      </c>
      <c r="Q62" s="260" t="s">
        <v>12862</v>
      </c>
      <c r="R62" s="263" t="str">
        <f t="shared" ref="R62" si="57">IF(Q62=E62,"1", "kác")</f>
        <v>kác</v>
      </c>
      <c r="S62" s="263">
        <f t="shared" si="2"/>
        <v>0</v>
      </c>
    </row>
    <row r="63" spans="1:19" s="260" customFormat="1" ht="19.5" customHeight="1" x14ac:dyDescent="0.3">
      <c r="A63" s="271" t="s">
        <v>12745</v>
      </c>
      <c r="B63" s="215" t="s">
        <v>14985</v>
      </c>
      <c r="C63" s="215" t="s">
        <v>12863</v>
      </c>
      <c r="D63" s="215" t="str">
        <f t="shared" si="0"/>
        <v>DKG&lt;-&gt;Diễn Châu, Nghệ An</v>
      </c>
      <c r="E63" s="272">
        <v>612</v>
      </c>
      <c r="F63" s="273">
        <v>800</v>
      </c>
      <c r="G63" s="273">
        <v>5300</v>
      </c>
      <c r="H63" s="273">
        <v>5200</v>
      </c>
      <c r="I63" s="273">
        <v>100</v>
      </c>
      <c r="J63" s="273">
        <v>0</v>
      </c>
      <c r="K63" s="273">
        <v>0</v>
      </c>
      <c r="L63" s="274"/>
      <c r="M63" s="280" t="s">
        <v>12863</v>
      </c>
      <c r="N63" s="273">
        <v>2000000</v>
      </c>
      <c r="O63" s="280">
        <v>1150000</v>
      </c>
      <c r="P63" s="280">
        <v>700000</v>
      </c>
      <c r="Q63" s="260" t="s">
        <v>12863</v>
      </c>
      <c r="R63" s="263" t="str">
        <f t="shared" ref="R63" si="58">IF(Q63=E63,"1", "kác")</f>
        <v>kác</v>
      </c>
      <c r="S63" s="263">
        <f t="shared" si="2"/>
        <v>0</v>
      </c>
    </row>
    <row r="64" spans="1:19" s="260" customFormat="1" ht="19.5" customHeight="1" x14ac:dyDescent="0.3">
      <c r="A64" s="271" t="s">
        <v>12745</v>
      </c>
      <c r="B64" s="215" t="s">
        <v>14985</v>
      </c>
      <c r="C64" s="215" t="s">
        <v>12864</v>
      </c>
      <c r="D64" s="215" t="str">
        <f t="shared" si="0"/>
        <v>DKG&lt;-&gt;Yên Thành, Nghệ An</v>
      </c>
      <c r="E64" s="272">
        <v>640</v>
      </c>
      <c r="F64" s="273">
        <v>830</v>
      </c>
      <c r="G64" s="273">
        <v>5300</v>
      </c>
      <c r="H64" s="273">
        <v>5200</v>
      </c>
      <c r="I64" s="273">
        <v>100</v>
      </c>
      <c r="J64" s="273">
        <v>0</v>
      </c>
      <c r="K64" s="273">
        <v>0</v>
      </c>
      <c r="L64" s="274"/>
      <c r="M64" s="280" t="s">
        <v>12864</v>
      </c>
      <c r="N64" s="273">
        <v>2000000</v>
      </c>
      <c r="O64" s="280">
        <v>1150000</v>
      </c>
      <c r="P64" s="280">
        <v>700000</v>
      </c>
      <c r="Q64" s="260" t="s">
        <v>12864</v>
      </c>
      <c r="R64" s="263" t="str">
        <f t="shared" ref="R64" si="59">IF(Q64=E64,"1", "kác")</f>
        <v>kác</v>
      </c>
      <c r="S64" s="263">
        <f t="shared" si="2"/>
        <v>0</v>
      </c>
    </row>
    <row r="65" spans="1:19" s="260" customFormat="1" ht="19.5" customHeight="1" x14ac:dyDescent="0.3">
      <c r="A65" s="271" t="s">
        <v>12745</v>
      </c>
      <c r="B65" s="215" t="s">
        <v>14985</v>
      </c>
      <c r="C65" s="215" t="s">
        <v>13078</v>
      </c>
      <c r="D65" s="215" t="str">
        <f t="shared" si="0"/>
        <v>DKG&lt;-&gt;Quỳ Hợp, Nghệ An</v>
      </c>
      <c r="E65" s="272">
        <v>675</v>
      </c>
      <c r="F65" s="273">
        <v>830</v>
      </c>
      <c r="G65" s="273">
        <v>5300</v>
      </c>
      <c r="H65" s="273">
        <v>5200</v>
      </c>
      <c r="I65" s="273">
        <v>100</v>
      </c>
      <c r="J65" s="273">
        <v>0</v>
      </c>
      <c r="K65" s="273">
        <v>0</v>
      </c>
      <c r="L65" s="274"/>
      <c r="M65" s="280" t="s">
        <v>13078</v>
      </c>
      <c r="N65" s="273">
        <v>2200000</v>
      </c>
      <c r="O65" s="280">
        <v>1250000</v>
      </c>
      <c r="P65" s="280">
        <v>750000</v>
      </c>
      <c r="Q65" s="260" t="s">
        <v>13078</v>
      </c>
      <c r="R65" s="263" t="str">
        <f t="shared" ref="R65" si="60">IF(Q65=E65,"1", "kác")</f>
        <v>kác</v>
      </c>
      <c r="S65" s="263">
        <f t="shared" si="2"/>
        <v>0</v>
      </c>
    </row>
    <row r="66" spans="1:19" s="260" customFormat="1" ht="19.5" customHeight="1" x14ac:dyDescent="0.3">
      <c r="A66" s="271" t="s">
        <v>12745</v>
      </c>
      <c r="B66" s="215" t="s">
        <v>14985</v>
      </c>
      <c r="C66" s="215" t="s">
        <v>13079</v>
      </c>
      <c r="D66" s="215" t="str">
        <f t="shared" si="0"/>
        <v>DKG&lt;-&gt;Vinh, Nghệ An</v>
      </c>
      <c r="E66" s="272">
        <v>690</v>
      </c>
      <c r="F66" s="273">
        <v>900</v>
      </c>
      <c r="G66" s="273">
        <v>5300</v>
      </c>
      <c r="H66" s="273">
        <v>5200</v>
      </c>
      <c r="I66" s="273">
        <v>100</v>
      </c>
      <c r="J66" s="273">
        <v>0</v>
      </c>
      <c r="K66" s="273">
        <v>0</v>
      </c>
      <c r="L66" s="274"/>
      <c r="M66" s="280" t="s">
        <v>13079</v>
      </c>
      <c r="N66" s="273">
        <v>2200000</v>
      </c>
      <c r="O66" s="280">
        <v>1250000</v>
      </c>
      <c r="P66" s="280">
        <v>750000</v>
      </c>
      <c r="Q66" s="260" t="s">
        <v>13079</v>
      </c>
      <c r="R66" s="263" t="str">
        <f t="shared" ref="R66" si="61">IF(Q66=E66,"1", "kác")</f>
        <v>kác</v>
      </c>
      <c r="S66" s="263">
        <f t="shared" si="2"/>
        <v>0</v>
      </c>
    </row>
    <row r="67" spans="1:19" s="260" customFormat="1" ht="19.5" customHeight="1" x14ac:dyDescent="0.3">
      <c r="A67" s="271" t="s">
        <v>12745</v>
      </c>
      <c r="B67" s="215" t="s">
        <v>14985</v>
      </c>
      <c r="C67" s="215" t="s">
        <v>12865</v>
      </c>
      <c r="D67" s="215" t="str">
        <f t="shared" si="0"/>
        <v>DKG&lt;-&gt;Cầu Bến Thủy, Nghệ An</v>
      </c>
      <c r="E67" s="272">
        <v>700</v>
      </c>
      <c r="F67" s="273">
        <v>900</v>
      </c>
      <c r="G67" s="273">
        <v>5300</v>
      </c>
      <c r="H67" s="273">
        <v>5200</v>
      </c>
      <c r="I67" s="273">
        <v>100</v>
      </c>
      <c r="J67" s="273">
        <v>0</v>
      </c>
      <c r="K67" s="273">
        <v>0</v>
      </c>
      <c r="L67" s="274"/>
      <c r="M67" s="280" t="s">
        <v>12865</v>
      </c>
      <c r="N67" s="273">
        <v>2200000</v>
      </c>
      <c r="O67" s="280">
        <v>1350000</v>
      </c>
      <c r="P67" s="280">
        <v>850000</v>
      </c>
      <c r="Q67" s="260" t="s">
        <v>12865</v>
      </c>
      <c r="R67" s="263" t="str">
        <f t="shared" ref="R67" si="62">IF(Q67=E67,"1", "kác")</f>
        <v>kác</v>
      </c>
      <c r="S67" s="263">
        <f t="shared" si="2"/>
        <v>0</v>
      </c>
    </row>
    <row r="68" spans="1:19" s="260" customFormat="1" ht="19.5" customHeight="1" x14ac:dyDescent="0.3">
      <c r="A68" s="271" t="s">
        <v>12745</v>
      </c>
      <c r="B68" s="215" t="s">
        <v>14985</v>
      </c>
      <c r="C68" s="215" t="s">
        <v>12866</v>
      </c>
      <c r="D68" s="215" t="str">
        <f t="shared" si="0"/>
        <v>DKG&lt;-&gt;Hưng Nguyên, Nghệ An</v>
      </c>
      <c r="E68" s="272">
        <v>690</v>
      </c>
      <c r="F68" s="273">
        <v>900</v>
      </c>
      <c r="G68" s="273">
        <v>5300</v>
      </c>
      <c r="H68" s="273">
        <v>5200</v>
      </c>
      <c r="I68" s="273">
        <v>100</v>
      </c>
      <c r="J68" s="273">
        <v>0</v>
      </c>
      <c r="K68" s="273">
        <v>0</v>
      </c>
      <c r="L68" s="274"/>
      <c r="M68" s="280" t="s">
        <v>12866</v>
      </c>
      <c r="N68" s="273">
        <v>2200000</v>
      </c>
      <c r="O68" s="280">
        <v>1250000</v>
      </c>
      <c r="P68" s="280">
        <v>750000</v>
      </c>
      <c r="Q68" s="260" t="s">
        <v>12866</v>
      </c>
      <c r="R68" s="263" t="str">
        <f t="shared" ref="R68" si="63">IF(Q68=E68,"1", "kác")</f>
        <v>kác</v>
      </c>
      <c r="S68" s="263">
        <f t="shared" si="2"/>
        <v>0</v>
      </c>
    </row>
    <row r="69" spans="1:19" s="260" customFormat="1" ht="19.5" customHeight="1" x14ac:dyDescent="0.3">
      <c r="A69" s="271" t="s">
        <v>12745</v>
      </c>
      <c r="B69" s="215" t="s">
        <v>14985</v>
      </c>
      <c r="C69" s="215" t="s">
        <v>12868</v>
      </c>
      <c r="D69" s="215" t="str">
        <f t="shared" si="0"/>
        <v>DKG&lt;-&gt;Nghi Lộc, Nghệ An</v>
      </c>
      <c r="E69" s="272">
        <v>685</v>
      </c>
      <c r="F69" s="273">
        <v>850</v>
      </c>
      <c r="G69" s="273">
        <v>5800</v>
      </c>
      <c r="H69" s="273">
        <v>5700</v>
      </c>
      <c r="I69" s="273">
        <v>100</v>
      </c>
      <c r="J69" s="273">
        <v>0</v>
      </c>
      <c r="K69" s="273">
        <v>0</v>
      </c>
      <c r="L69" s="274"/>
      <c r="M69" s="280" t="s">
        <v>12868</v>
      </c>
      <c r="N69" s="273">
        <v>2200000</v>
      </c>
      <c r="O69" s="280">
        <v>1250000</v>
      </c>
      <c r="P69" s="280">
        <v>750000</v>
      </c>
      <c r="Q69" s="260" t="s">
        <v>12868</v>
      </c>
      <c r="R69" s="263" t="str">
        <f t="shared" ref="R69" si="64">IF(Q69=E69,"1", "kác")</f>
        <v>kác</v>
      </c>
      <c r="S69" s="263">
        <f t="shared" si="2"/>
        <v>0</v>
      </c>
    </row>
    <row r="70" spans="1:19" s="260" customFormat="1" ht="19.5" customHeight="1" x14ac:dyDescent="0.3">
      <c r="A70" s="271" t="s">
        <v>12745</v>
      </c>
      <c r="B70" s="215" t="s">
        <v>14985</v>
      </c>
      <c r="C70" s="215" t="s">
        <v>12869</v>
      </c>
      <c r="D70" s="215" t="str">
        <f t="shared" si="0"/>
        <v>DKG&lt;-&gt;Cửa Lò, Nghệ An</v>
      </c>
      <c r="E70" s="272">
        <v>675</v>
      </c>
      <c r="F70" s="273">
        <v>850</v>
      </c>
      <c r="G70" s="273">
        <v>5800</v>
      </c>
      <c r="H70" s="273">
        <v>5700</v>
      </c>
      <c r="I70" s="273">
        <v>100</v>
      </c>
      <c r="J70" s="273">
        <v>0</v>
      </c>
      <c r="K70" s="273">
        <v>0</v>
      </c>
      <c r="L70" s="274"/>
      <c r="M70" s="280" t="s">
        <v>12869</v>
      </c>
      <c r="N70" s="273">
        <v>2100000</v>
      </c>
      <c r="O70" s="280">
        <v>1250000</v>
      </c>
      <c r="P70" s="280">
        <v>750000</v>
      </c>
      <c r="Q70" s="260" t="s">
        <v>12869</v>
      </c>
      <c r="R70" s="263" t="str">
        <f t="shared" ref="R70" si="65">IF(Q70=E70,"1", "kác")</f>
        <v>kác</v>
      </c>
      <c r="S70" s="263">
        <f t="shared" si="2"/>
        <v>0</v>
      </c>
    </row>
    <row r="71" spans="1:19" s="260" customFormat="1" ht="19.5" customHeight="1" x14ac:dyDescent="0.3">
      <c r="A71" s="271" t="s">
        <v>12745</v>
      </c>
      <c r="B71" s="215" t="s">
        <v>14985</v>
      </c>
      <c r="C71" s="215" t="s">
        <v>13080</v>
      </c>
      <c r="D71" s="215" t="str">
        <f t="shared" ref="D71:D134" si="66">CONCATENATE("DKG&lt;-&gt;",C71,IF(C71="TP",". ",", "),B71)</f>
        <v>DKG&lt;-&gt;Tân Kỳ, Nghệ An</v>
      </c>
      <c r="E71" s="272">
        <v>685</v>
      </c>
      <c r="F71" s="273">
        <v>900</v>
      </c>
      <c r="G71" s="273">
        <v>5800</v>
      </c>
      <c r="H71" s="273">
        <v>5700</v>
      </c>
      <c r="I71" s="273">
        <v>100</v>
      </c>
      <c r="J71" s="273">
        <v>0</v>
      </c>
      <c r="K71" s="273">
        <v>0</v>
      </c>
      <c r="L71" s="274"/>
      <c r="M71" s="280" t="s">
        <v>13080</v>
      </c>
      <c r="N71" s="273">
        <v>2200000</v>
      </c>
      <c r="O71" s="280">
        <v>1250000</v>
      </c>
      <c r="P71" s="280">
        <v>750000</v>
      </c>
      <c r="Q71" s="260" t="s">
        <v>13080</v>
      </c>
      <c r="R71" s="263" t="str">
        <f t="shared" ref="R71" si="67">IF(Q71=E71,"1", "kác")</f>
        <v>kác</v>
      </c>
      <c r="S71" s="263">
        <f t="shared" ref="S71:S134" si="68">IF(M71=C71,0,1)</f>
        <v>0</v>
      </c>
    </row>
    <row r="72" spans="1:19" s="260" customFormat="1" ht="19.5" customHeight="1" x14ac:dyDescent="0.3">
      <c r="A72" s="271" t="s">
        <v>12745</v>
      </c>
      <c r="B72" s="215" t="s">
        <v>14985</v>
      </c>
      <c r="C72" s="215" t="s">
        <v>12867</v>
      </c>
      <c r="D72" s="215" t="str">
        <f t="shared" si="66"/>
        <v>DKG&lt;-&gt;Nam Đàn, Nghệ An</v>
      </c>
      <c r="E72" s="272">
        <v>720</v>
      </c>
      <c r="F72" s="273">
        <v>850</v>
      </c>
      <c r="G72" s="273">
        <v>5800</v>
      </c>
      <c r="H72" s="273">
        <v>5700</v>
      </c>
      <c r="I72" s="273">
        <v>100</v>
      </c>
      <c r="J72" s="273">
        <v>0</v>
      </c>
      <c r="K72" s="273">
        <v>0</v>
      </c>
      <c r="L72" s="274"/>
      <c r="M72" s="280" t="s">
        <v>12867</v>
      </c>
      <c r="N72" s="273">
        <v>2300000</v>
      </c>
      <c r="O72" s="280">
        <v>1300000</v>
      </c>
      <c r="P72" s="280">
        <v>800000</v>
      </c>
      <c r="Q72" s="260" t="s">
        <v>12867</v>
      </c>
      <c r="R72" s="263" t="str">
        <f t="shared" ref="R72" si="69">IF(Q72=E72,"1", "kác")</f>
        <v>kác</v>
      </c>
      <c r="S72" s="263">
        <f t="shared" si="68"/>
        <v>0</v>
      </c>
    </row>
    <row r="73" spans="1:19" s="260" customFormat="1" ht="19.5" customHeight="1" x14ac:dyDescent="0.3">
      <c r="A73" s="271" t="s">
        <v>12745</v>
      </c>
      <c r="B73" s="215" t="s">
        <v>14985</v>
      </c>
      <c r="C73" s="215" t="s">
        <v>12871</v>
      </c>
      <c r="D73" s="215" t="str">
        <f t="shared" si="66"/>
        <v>DKG&lt;-&gt;Đô Lương, Nghệ An</v>
      </c>
      <c r="E73" s="272">
        <v>660</v>
      </c>
      <c r="F73" s="273">
        <v>850</v>
      </c>
      <c r="G73" s="273">
        <v>5800</v>
      </c>
      <c r="H73" s="273">
        <v>5700</v>
      </c>
      <c r="I73" s="273">
        <v>100</v>
      </c>
      <c r="J73" s="273">
        <v>0</v>
      </c>
      <c r="K73" s="273">
        <v>0</v>
      </c>
      <c r="L73" s="274"/>
      <c r="M73" s="280" t="s">
        <v>12871</v>
      </c>
      <c r="N73" s="273">
        <v>2100000</v>
      </c>
      <c r="O73" s="280">
        <v>1250000</v>
      </c>
      <c r="P73" s="280">
        <v>750000</v>
      </c>
      <c r="Q73" s="260" t="s">
        <v>12871</v>
      </c>
      <c r="R73" s="263" t="str">
        <f t="shared" ref="R73" si="70">IF(Q73=E73,"1", "kác")</f>
        <v>kác</v>
      </c>
      <c r="S73" s="263">
        <f t="shared" si="68"/>
        <v>0</v>
      </c>
    </row>
    <row r="74" spans="1:19" s="260" customFormat="1" ht="19.5" customHeight="1" x14ac:dyDescent="0.3">
      <c r="A74" s="271" t="s">
        <v>12745</v>
      </c>
      <c r="B74" s="215" t="s">
        <v>14985</v>
      </c>
      <c r="C74" s="215" t="s">
        <v>13081</v>
      </c>
      <c r="D74" s="215" t="str">
        <f t="shared" si="66"/>
        <v>DKG&lt;-&gt;Thanh Chương, Nghệ An</v>
      </c>
      <c r="E74" s="272">
        <v>710</v>
      </c>
      <c r="F74" s="273">
        <v>850</v>
      </c>
      <c r="G74" s="273">
        <v>5800</v>
      </c>
      <c r="H74" s="273">
        <v>5700</v>
      </c>
      <c r="I74" s="273">
        <v>100</v>
      </c>
      <c r="J74" s="273">
        <v>0</v>
      </c>
      <c r="K74" s="273">
        <v>0</v>
      </c>
      <c r="L74" s="274"/>
      <c r="M74" s="280" t="s">
        <v>13081</v>
      </c>
      <c r="N74" s="273">
        <v>2300000</v>
      </c>
      <c r="O74" s="280">
        <v>1350000</v>
      </c>
      <c r="P74" s="280">
        <v>850000</v>
      </c>
      <c r="Q74" s="260" t="s">
        <v>13081</v>
      </c>
      <c r="R74" s="263" t="str">
        <f t="shared" ref="R74" si="71">IF(Q74=E74,"1", "kác")</f>
        <v>kác</v>
      </c>
      <c r="S74" s="263">
        <f t="shared" si="68"/>
        <v>0</v>
      </c>
    </row>
    <row r="75" spans="1:19" s="260" customFormat="1" ht="19.5" customHeight="1" x14ac:dyDescent="0.3">
      <c r="A75" s="271" t="s">
        <v>12745</v>
      </c>
      <c r="B75" s="215" t="s">
        <v>14986</v>
      </c>
      <c r="C75" s="215" t="s">
        <v>12872</v>
      </c>
      <c r="D75" s="215" t="str">
        <f t="shared" si="66"/>
        <v>DKG&lt;-&gt;Hồng Lĩnh, Hà Tĩnh</v>
      </c>
      <c r="E75" s="272">
        <v>730</v>
      </c>
      <c r="F75" s="273">
        <v>1000</v>
      </c>
      <c r="G75" s="273">
        <v>6400</v>
      </c>
      <c r="H75" s="273">
        <v>6300</v>
      </c>
      <c r="I75" s="273">
        <v>100</v>
      </c>
      <c r="J75" s="273">
        <v>0</v>
      </c>
      <c r="K75" s="273">
        <v>0</v>
      </c>
      <c r="L75" s="274"/>
      <c r="M75" s="280" t="s">
        <v>12872</v>
      </c>
      <c r="N75" s="273">
        <v>2500000</v>
      </c>
      <c r="O75" s="280">
        <v>1400000</v>
      </c>
      <c r="P75" s="280">
        <v>850000</v>
      </c>
      <c r="Q75" s="260" t="s">
        <v>12872</v>
      </c>
      <c r="R75" s="263" t="str">
        <f t="shared" ref="R75" si="72">IF(Q75=E75,"1", "kác")</f>
        <v>kác</v>
      </c>
      <c r="S75" s="263">
        <f t="shared" si="68"/>
        <v>0</v>
      </c>
    </row>
    <row r="76" spans="1:19" s="260" customFormat="1" ht="19.5" customHeight="1" x14ac:dyDescent="0.3">
      <c r="A76" s="271" t="s">
        <v>12745</v>
      </c>
      <c r="B76" s="215" t="s">
        <v>14986</v>
      </c>
      <c r="C76" s="215" t="s">
        <v>12876</v>
      </c>
      <c r="D76" s="215" t="str">
        <f t="shared" si="66"/>
        <v>DKG&lt;-&gt;Can Lộc, Hà Tĩnh</v>
      </c>
      <c r="E76" s="272">
        <v>780</v>
      </c>
      <c r="F76" s="273">
        <v>1000</v>
      </c>
      <c r="G76" s="273">
        <v>6400</v>
      </c>
      <c r="H76" s="273">
        <v>6300</v>
      </c>
      <c r="I76" s="273">
        <v>100</v>
      </c>
      <c r="J76" s="273">
        <v>0</v>
      </c>
      <c r="K76" s="273">
        <v>0</v>
      </c>
      <c r="L76" s="274"/>
      <c r="M76" s="280" t="s">
        <v>12876</v>
      </c>
      <c r="N76" s="273">
        <v>2500000</v>
      </c>
      <c r="O76" s="280">
        <v>1400000</v>
      </c>
      <c r="P76" s="280">
        <v>850000</v>
      </c>
      <c r="Q76" s="260" t="s">
        <v>12876</v>
      </c>
      <c r="R76" s="263" t="str">
        <f t="shared" ref="R76" si="73">IF(Q76=E76,"1", "kác")</f>
        <v>kác</v>
      </c>
      <c r="S76" s="263">
        <f t="shared" si="68"/>
        <v>0</v>
      </c>
    </row>
    <row r="77" spans="1:19" s="260" customFormat="1" ht="19.5" customHeight="1" x14ac:dyDescent="0.3">
      <c r="A77" s="271" t="s">
        <v>12745</v>
      </c>
      <c r="B77" s="215" t="s">
        <v>14986</v>
      </c>
      <c r="C77" s="215" t="s">
        <v>12877</v>
      </c>
      <c r="D77" s="215" t="str">
        <f t="shared" si="66"/>
        <v>DKG&lt;-&gt;Đức Thọ, Hà Tĩnh</v>
      </c>
      <c r="E77" s="272">
        <v>765</v>
      </c>
      <c r="F77" s="273">
        <v>1000</v>
      </c>
      <c r="G77" s="273">
        <v>6400</v>
      </c>
      <c r="H77" s="273">
        <v>6300</v>
      </c>
      <c r="I77" s="273">
        <v>100</v>
      </c>
      <c r="J77" s="273">
        <v>0</v>
      </c>
      <c r="K77" s="273">
        <v>0</v>
      </c>
      <c r="L77" s="274"/>
      <c r="M77" s="280" t="s">
        <v>12877</v>
      </c>
      <c r="N77" s="273">
        <v>2400000</v>
      </c>
      <c r="O77" s="280">
        <v>1450000</v>
      </c>
      <c r="P77" s="280">
        <v>900000</v>
      </c>
      <c r="Q77" s="260" t="s">
        <v>12877</v>
      </c>
      <c r="R77" s="263" t="str">
        <f t="shared" ref="R77" si="74">IF(Q77=E77,"1", "kác")</f>
        <v>kác</v>
      </c>
      <c r="S77" s="263">
        <f t="shared" si="68"/>
        <v>0</v>
      </c>
    </row>
    <row r="78" spans="1:19" s="260" customFormat="1" ht="19.5" customHeight="1" x14ac:dyDescent="0.3">
      <c r="A78" s="271" t="s">
        <v>12745</v>
      </c>
      <c r="B78" s="215" t="s">
        <v>14986</v>
      </c>
      <c r="C78" s="215" t="s">
        <v>13082</v>
      </c>
      <c r="D78" s="215" t="str">
        <f t="shared" si="66"/>
        <v>DKG&lt;-&gt;Xuân An, Nghi Xuân, Hà Tĩnh</v>
      </c>
      <c r="E78" s="272">
        <v>720</v>
      </c>
      <c r="F78" s="273">
        <v>1000</v>
      </c>
      <c r="G78" s="273">
        <v>6400</v>
      </c>
      <c r="H78" s="273">
        <v>6300</v>
      </c>
      <c r="I78" s="273">
        <v>100</v>
      </c>
      <c r="J78" s="273">
        <v>0</v>
      </c>
      <c r="K78" s="273">
        <v>0</v>
      </c>
      <c r="L78" s="274"/>
      <c r="M78" s="280" t="s">
        <v>13082</v>
      </c>
      <c r="N78" s="273">
        <v>2500000</v>
      </c>
      <c r="O78" s="280">
        <v>1450000</v>
      </c>
      <c r="P78" s="280">
        <v>900000</v>
      </c>
      <c r="Q78" s="260" t="s">
        <v>13082</v>
      </c>
      <c r="R78" s="263" t="str">
        <f t="shared" ref="R78" si="75">IF(Q78=E78,"1", "kác")</f>
        <v>kác</v>
      </c>
      <c r="S78" s="263">
        <f t="shared" si="68"/>
        <v>0</v>
      </c>
    </row>
    <row r="79" spans="1:19" s="260" customFormat="1" ht="19.5" customHeight="1" x14ac:dyDescent="0.3">
      <c r="A79" s="271" t="s">
        <v>12745</v>
      </c>
      <c r="B79" s="215" t="s">
        <v>14986</v>
      </c>
      <c r="C79" s="215" t="s">
        <v>12878</v>
      </c>
      <c r="D79" s="215" t="str">
        <f t="shared" si="66"/>
        <v>DKG&lt;-&gt;Kỳ Anh, Hà Tĩnh</v>
      </c>
      <c r="E79" s="272">
        <v>890</v>
      </c>
      <c r="F79" s="273">
        <v>1000</v>
      </c>
      <c r="G79" s="273">
        <v>6400</v>
      </c>
      <c r="H79" s="273">
        <v>6300</v>
      </c>
      <c r="I79" s="273">
        <v>100</v>
      </c>
      <c r="J79" s="273">
        <v>0</v>
      </c>
      <c r="K79" s="273">
        <v>0</v>
      </c>
      <c r="L79" s="274"/>
      <c r="M79" s="280" t="s">
        <v>12878</v>
      </c>
      <c r="N79" s="273">
        <v>2800000</v>
      </c>
      <c r="O79" s="280">
        <v>1700000</v>
      </c>
      <c r="P79" s="280">
        <v>1000000</v>
      </c>
      <c r="Q79" s="260" t="s">
        <v>12878</v>
      </c>
      <c r="R79" s="263" t="str">
        <f t="shared" ref="R79" si="76">IF(Q79=E79,"1", "kác")</f>
        <v>kác</v>
      </c>
      <c r="S79" s="263">
        <f t="shared" si="68"/>
        <v>0</v>
      </c>
    </row>
    <row r="80" spans="1:19" s="260" customFormat="1" ht="19.5" customHeight="1" x14ac:dyDescent="0.3">
      <c r="A80" s="271" t="s">
        <v>12745</v>
      </c>
      <c r="B80" s="215" t="s">
        <v>14986</v>
      </c>
      <c r="C80" s="215" t="s">
        <v>13083</v>
      </c>
      <c r="D80" s="215" t="str">
        <f t="shared" si="66"/>
        <v>DKG&lt;-&gt;Hương Khê, Hà Tĩnh</v>
      </c>
      <c r="E80" s="272">
        <v>874</v>
      </c>
      <c r="F80" s="273">
        <v>1000</v>
      </c>
      <c r="G80" s="273">
        <v>6900</v>
      </c>
      <c r="H80" s="273">
        <v>6800</v>
      </c>
      <c r="I80" s="273">
        <v>100</v>
      </c>
      <c r="J80" s="273">
        <v>0</v>
      </c>
      <c r="K80" s="273">
        <v>0</v>
      </c>
      <c r="L80" s="274"/>
      <c r="M80" s="280" t="s">
        <v>13083</v>
      </c>
      <c r="N80" s="273">
        <v>2800000</v>
      </c>
      <c r="O80" s="280">
        <v>1700000</v>
      </c>
      <c r="P80" s="280">
        <v>1000000</v>
      </c>
      <c r="Q80" s="260" t="s">
        <v>13083</v>
      </c>
      <c r="R80" s="263" t="str">
        <f t="shared" ref="R80" si="77">IF(Q80=E80,"1", "kác")</f>
        <v>kác</v>
      </c>
      <c r="S80" s="263">
        <f t="shared" si="68"/>
        <v>0</v>
      </c>
    </row>
    <row r="81" spans="1:19" s="260" customFormat="1" ht="19.5" customHeight="1" x14ac:dyDescent="0.3">
      <c r="A81" s="271" t="s">
        <v>12745</v>
      </c>
      <c r="B81" s="215" t="s">
        <v>14987</v>
      </c>
      <c r="C81" s="215" t="s">
        <v>12879</v>
      </c>
      <c r="D81" s="215" t="str">
        <f t="shared" si="66"/>
        <v>DKG&lt;-&gt;Ba Đồn, Quảng Bình</v>
      </c>
      <c r="E81" s="272">
        <v>1030</v>
      </c>
      <c r="F81" s="273">
        <v>1100</v>
      </c>
      <c r="G81" s="273">
        <v>8400</v>
      </c>
      <c r="H81" s="273">
        <v>8300</v>
      </c>
      <c r="I81" s="273">
        <v>100</v>
      </c>
      <c r="J81" s="273">
        <v>0</v>
      </c>
      <c r="K81" s="273">
        <v>0</v>
      </c>
      <c r="L81" s="274"/>
      <c r="M81" s="280" t="s">
        <v>12879</v>
      </c>
      <c r="N81" s="273">
        <v>3200000</v>
      </c>
      <c r="O81" s="280">
        <v>2000000</v>
      </c>
      <c r="P81" s="280">
        <v>1250000</v>
      </c>
      <c r="Q81" s="260" t="s">
        <v>12879</v>
      </c>
      <c r="R81" s="263" t="str">
        <f t="shared" ref="R81" si="78">IF(Q81=E81,"1", "kác")</f>
        <v>kác</v>
      </c>
      <c r="S81" s="263">
        <f t="shared" si="68"/>
        <v>0</v>
      </c>
    </row>
    <row r="82" spans="1:19" s="260" customFormat="1" ht="19.5" customHeight="1" x14ac:dyDescent="0.3">
      <c r="A82" s="271" t="s">
        <v>12745</v>
      </c>
      <c r="B82" s="215" t="s">
        <v>14987</v>
      </c>
      <c r="C82" s="215" t="s">
        <v>13045</v>
      </c>
      <c r="D82" s="215" t="str">
        <f t="shared" si="66"/>
        <v>DKG&lt;-&gt;Tp. Quảng Bình</v>
      </c>
      <c r="E82" s="272">
        <v>1095</v>
      </c>
      <c r="F82" s="273">
        <v>1100</v>
      </c>
      <c r="G82" s="273">
        <v>8400</v>
      </c>
      <c r="H82" s="273">
        <v>8300</v>
      </c>
      <c r="I82" s="273">
        <v>100</v>
      </c>
      <c r="J82" s="273">
        <v>0</v>
      </c>
      <c r="K82" s="273">
        <v>0</v>
      </c>
      <c r="L82" s="274"/>
      <c r="M82" s="280" t="s">
        <v>13062</v>
      </c>
      <c r="N82" s="273">
        <v>3500000</v>
      </c>
      <c r="O82" s="280">
        <v>2000000</v>
      </c>
      <c r="P82" s="280">
        <v>1200000</v>
      </c>
      <c r="Q82" s="260" t="s">
        <v>13062</v>
      </c>
      <c r="R82" s="263" t="str">
        <f t="shared" ref="R82" si="79">IF(Q82=E82,"1", "kác")</f>
        <v>kác</v>
      </c>
      <c r="S82" s="263">
        <f t="shared" si="68"/>
        <v>1</v>
      </c>
    </row>
    <row r="83" spans="1:19" s="260" customFormat="1" ht="19.5" customHeight="1" x14ac:dyDescent="0.3">
      <c r="A83" s="271" t="s">
        <v>12745</v>
      </c>
      <c r="B83" s="215" t="s">
        <v>14987</v>
      </c>
      <c r="C83" s="215" t="s">
        <v>13084</v>
      </c>
      <c r="D83" s="215" t="str">
        <f t="shared" si="66"/>
        <v>DKG&lt;-&gt;Bố Trạch, Quảng Bình</v>
      </c>
      <c r="E83" s="272">
        <v>1060</v>
      </c>
      <c r="F83" s="273">
        <v>1100</v>
      </c>
      <c r="G83" s="273">
        <v>8400</v>
      </c>
      <c r="H83" s="273">
        <v>8300</v>
      </c>
      <c r="I83" s="273">
        <v>100</v>
      </c>
      <c r="J83" s="273">
        <v>0</v>
      </c>
      <c r="K83" s="273">
        <v>0</v>
      </c>
      <c r="L83" s="274"/>
      <c r="M83" s="280" t="s">
        <v>13084</v>
      </c>
      <c r="N83" s="273">
        <v>3200000</v>
      </c>
      <c r="O83" s="280">
        <v>2000000</v>
      </c>
      <c r="P83" s="280">
        <v>1250000</v>
      </c>
      <c r="Q83" s="260" t="s">
        <v>13084</v>
      </c>
      <c r="R83" s="263" t="str">
        <f t="shared" ref="R83" si="80">IF(Q83=E83,"1", "kác")</f>
        <v>kác</v>
      </c>
      <c r="S83" s="263">
        <f t="shared" si="68"/>
        <v>0</v>
      </c>
    </row>
    <row r="84" spans="1:19" s="270" customFormat="1" ht="19.5" customHeight="1" x14ac:dyDescent="0.3">
      <c r="A84" s="267" t="s">
        <v>12784</v>
      </c>
      <c r="B84" s="268"/>
      <c r="C84" s="268"/>
      <c r="D84" s="215" t="str">
        <f t="shared" si="66"/>
        <v xml:space="preserve">DKG&lt;-&gt;, </v>
      </c>
      <c r="E84" s="268"/>
      <c r="F84" s="268"/>
      <c r="G84" s="268"/>
      <c r="H84" s="268"/>
      <c r="I84" s="268"/>
      <c r="J84" s="268"/>
      <c r="K84" s="268"/>
      <c r="L84" s="268"/>
      <c r="M84" s="282"/>
      <c r="N84" s="309"/>
      <c r="O84" s="282"/>
      <c r="P84" s="282"/>
      <c r="R84" s="263" t="str">
        <f t="shared" ref="R84" si="81">IF(Q84=E84,"1", "kác")</f>
        <v>1</v>
      </c>
      <c r="S84" s="263">
        <f t="shared" si="68"/>
        <v>0</v>
      </c>
    </row>
    <row r="85" spans="1:19" s="260" customFormat="1" ht="19.5" customHeight="1" x14ac:dyDescent="0.3">
      <c r="A85" s="271" t="s">
        <v>12745</v>
      </c>
      <c r="B85" s="215" t="s">
        <v>10317</v>
      </c>
      <c r="C85" s="215" t="s">
        <v>13085</v>
      </c>
      <c r="D85" s="215" t="str">
        <f t="shared" si="66"/>
        <v>DKG&lt;-&gt;KCN Vĩnh Niệm, Hải Phòng</v>
      </c>
      <c r="E85" s="272">
        <v>32</v>
      </c>
      <c r="F85" s="273">
        <v>230</v>
      </c>
      <c r="G85" s="273">
        <v>400</v>
      </c>
      <c r="H85" s="273">
        <v>300</v>
      </c>
      <c r="I85" s="273">
        <v>100</v>
      </c>
      <c r="J85" s="273">
        <v>0</v>
      </c>
      <c r="K85" s="273">
        <v>0</v>
      </c>
      <c r="L85" s="274"/>
      <c r="M85" s="280" t="s">
        <v>13085</v>
      </c>
      <c r="N85" s="273">
        <v>600000</v>
      </c>
      <c r="O85" s="280">
        <v>100000</v>
      </c>
      <c r="P85" s="280">
        <v>100000</v>
      </c>
      <c r="Q85" s="260" t="s">
        <v>13085</v>
      </c>
      <c r="R85" s="263" t="str">
        <f t="shared" ref="R85" si="82">IF(Q85=E85,"1", "kác")</f>
        <v>kác</v>
      </c>
      <c r="S85" s="263">
        <f t="shared" si="68"/>
        <v>0</v>
      </c>
    </row>
    <row r="86" spans="1:19" s="260" customFormat="1" ht="19.5" customHeight="1" x14ac:dyDescent="0.3">
      <c r="A86" s="271" t="s">
        <v>12745</v>
      </c>
      <c r="B86" s="215" t="s">
        <v>10317</v>
      </c>
      <c r="C86" s="215" t="s">
        <v>12883</v>
      </c>
      <c r="D86" s="215" t="str">
        <f t="shared" si="66"/>
        <v>DKG&lt;-&gt;Hồng Bàng, Hải Phòng</v>
      </c>
      <c r="E86" s="272">
        <v>42</v>
      </c>
      <c r="F86" s="273">
        <v>230</v>
      </c>
      <c r="G86" s="273">
        <v>400</v>
      </c>
      <c r="H86" s="273">
        <v>300</v>
      </c>
      <c r="I86" s="273">
        <v>100</v>
      </c>
      <c r="J86" s="273">
        <v>0</v>
      </c>
      <c r="K86" s="273">
        <v>0</v>
      </c>
      <c r="L86" s="274"/>
      <c r="M86" s="280" t="s">
        <v>12883</v>
      </c>
      <c r="N86" s="273">
        <v>600000</v>
      </c>
      <c r="O86" s="280">
        <v>150000</v>
      </c>
      <c r="P86" s="280">
        <v>100000</v>
      </c>
      <c r="Q86" s="260" t="s">
        <v>12883</v>
      </c>
      <c r="R86" s="263" t="str">
        <f t="shared" ref="R86" si="83">IF(Q86=E86,"1", "kác")</f>
        <v>kác</v>
      </c>
      <c r="S86" s="263">
        <f t="shared" si="68"/>
        <v>0</v>
      </c>
    </row>
    <row r="87" spans="1:19" s="260" customFormat="1" ht="19.5" customHeight="1" x14ac:dyDescent="0.3">
      <c r="A87" s="271" t="s">
        <v>12745</v>
      </c>
      <c r="B87" s="215" t="s">
        <v>10317</v>
      </c>
      <c r="C87" s="215" t="s">
        <v>13086</v>
      </c>
      <c r="D87" s="215" t="str">
        <f t="shared" si="66"/>
        <v>DKG&lt;-&gt;An Dương (nhà ông Hữu), Hải Phòng</v>
      </c>
      <c r="E87" s="272">
        <v>38</v>
      </c>
      <c r="F87" s="273">
        <v>230</v>
      </c>
      <c r="G87" s="273">
        <v>400</v>
      </c>
      <c r="H87" s="273">
        <v>300</v>
      </c>
      <c r="I87" s="273">
        <v>100</v>
      </c>
      <c r="J87" s="273">
        <v>0</v>
      </c>
      <c r="K87" s="273">
        <v>0</v>
      </c>
      <c r="L87" s="274"/>
      <c r="M87" s="280" t="s">
        <v>13086</v>
      </c>
      <c r="N87" s="273">
        <v>600000</v>
      </c>
      <c r="O87" s="280">
        <v>150000</v>
      </c>
      <c r="P87" s="280">
        <v>100000</v>
      </c>
      <c r="Q87" s="260" t="s">
        <v>13086</v>
      </c>
      <c r="R87" s="263" t="str">
        <f t="shared" ref="R87" si="84">IF(Q87=E87,"1", "kác")</f>
        <v>kác</v>
      </c>
      <c r="S87" s="263">
        <f t="shared" si="68"/>
        <v>0</v>
      </c>
    </row>
    <row r="88" spans="1:19" s="260" customFormat="1" ht="19.5" customHeight="1" x14ac:dyDescent="0.3">
      <c r="A88" s="271" t="s">
        <v>12745</v>
      </c>
      <c r="B88" s="215" t="s">
        <v>10317</v>
      </c>
      <c r="C88" s="215" t="s">
        <v>13087</v>
      </c>
      <c r="D88" s="215" t="str">
        <f t="shared" si="66"/>
        <v>DKG&lt;-&gt;An Dương (đi lối Quán Toan), Hải Phòng</v>
      </c>
      <c r="E88" s="272">
        <v>55</v>
      </c>
      <c r="F88" s="273">
        <v>230</v>
      </c>
      <c r="G88" s="273">
        <v>500</v>
      </c>
      <c r="H88" s="273">
        <v>400</v>
      </c>
      <c r="I88" s="273">
        <v>100</v>
      </c>
      <c r="J88" s="273">
        <v>0</v>
      </c>
      <c r="K88" s="273">
        <v>0</v>
      </c>
      <c r="L88" s="274"/>
      <c r="M88" s="280" t="s">
        <v>13087</v>
      </c>
      <c r="N88" s="273">
        <v>600000</v>
      </c>
      <c r="O88" s="280">
        <v>150000</v>
      </c>
      <c r="P88" s="280">
        <v>100000</v>
      </c>
      <c r="Q88" s="260" t="s">
        <v>13087</v>
      </c>
      <c r="R88" s="263" t="str">
        <f t="shared" ref="R88" si="85">IF(Q88=E88,"1", "kác")</f>
        <v>kác</v>
      </c>
      <c r="S88" s="263">
        <f t="shared" si="68"/>
        <v>0</v>
      </c>
    </row>
    <row r="89" spans="1:19" s="260" customFormat="1" ht="19.5" customHeight="1" x14ac:dyDescent="0.3">
      <c r="A89" s="271" t="s">
        <v>12745</v>
      </c>
      <c r="B89" s="215" t="s">
        <v>10317</v>
      </c>
      <c r="C89" s="215" t="s">
        <v>13088</v>
      </c>
      <c r="D89" s="215" t="str">
        <f t="shared" si="66"/>
        <v>DKG&lt;-&gt;Quan toan (không phí), Hải Phòng</v>
      </c>
      <c r="E89" s="272">
        <v>43</v>
      </c>
      <c r="F89" s="273">
        <v>230</v>
      </c>
      <c r="G89" s="273">
        <v>400</v>
      </c>
      <c r="H89" s="273">
        <v>300</v>
      </c>
      <c r="I89" s="273">
        <v>100</v>
      </c>
      <c r="J89" s="273">
        <v>0</v>
      </c>
      <c r="K89" s="273">
        <v>0</v>
      </c>
      <c r="L89" s="274"/>
      <c r="M89" s="280" t="s">
        <v>13088</v>
      </c>
      <c r="N89" s="273">
        <v>600000</v>
      </c>
      <c r="O89" s="280">
        <v>150000</v>
      </c>
      <c r="P89" s="280">
        <v>100000</v>
      </c>
      <c r="Q89" s="260" t="s">
        <v>13088</v>
      </c>
      <c r="R89" s="263" t="str">
        <f t="shared" ref="R89" si="86">IF(Q89=E89,"1", "kác")</f>
        <v>kác</v>
      </c>
      <c r="S89" s="263">
        <f t="shared" si="68"/>
        <v>0</v>
      </c>
    </row>
    <row r="90" spans="1:19" s="260" customFormat="1" ht="19.5" customHeight="1" x14ac:dyDescent="0.3">
      <c r="A90" s="271" t="s">
        <v>12745</v>
      </c>
      <c r="B90" s="215" t="s">
        <v>10317</v>
      </c>
      <c r="C90" s="215" t="s">
        <v>13089</v>
      </c>
      <c r="D90" s="215" t="str">
        <f t="shared" si="66"/>
        <v>DKG&lt;-&gt;Quan Toan (có phí), Hải Phòng</v>
      </c>
      <c r="E90" s="272">
        <v>55</v>
      </c>
      <c r="F90" s="273">
        <v>250</v>
      </c>
      <c r="G90" s="273">
        <v>890</v>
      </c>
      <c r="H90" s="273">
        <v>790</v>
      </c>
      <c r="I90" s="273">
        <v>100</v>
      </c>
      <c r="J90" s="273">
        <v>0</v>
      </c>
      <c r="K90" s="273">
        <v>0</v>
      </c>
      <c r="L90" s="274"/>
      <c r="M90" s="280" t="s">
        <v>13089</v>
      </c>
      <c r="N90" s="273">
        <v>600000</v>
      </c>
      <c r="O90" s="280">
        <v>150000</v>
      </c>
      <c r="P90" s="280">
        <v>100000</v>
      </c>
      <c r="Q90" s="260" t="s">
        <v>13089</v>
      </c>
      <c r="R90" s="263" t="str">
        <f t="shared" ref="R90" si="87">IF(Q90=E90,"1", "kác")</f>
        <v>kác</v>
      </c>
      <c r="S90" s="263">
        <f t="shared" si="68"/>
        <v>0</v>
      </c>
    </row>
    <row r="91" spans="1:19" s="260" customFormat="1" ht="19.5" customHeight="1" x14ac:dyDescent="0.3">
      <c r="A91" s="271" t="s">
        <v>12745</v>
      </c>
      <c r="B91" s="215" t="s">
        <v>10317</v>
      </c>
      <c r="C91" s="215" t="s">
        <v>13090</v>
      </c>
      <c r="D91" s="215" t="str">
        <f t="shared" si="66"/>
        <v>DKG&lt;-&gt;Đại Bản, Hải Phòng</v>
      </c>
      <c r="E91" s="272">
        <v>56</v>
      </c>
      <c r="F91" s="273">
        <v>250</v>
      </c>
      <c r="G91" s="273">
        <v>890</v>
      </c>
      <c r="H91" s="273">
        <v>790</v>
      </c>
      <c r="I91" s="273">
        <v>100</v>
      </c>
      <c r="J91" s="273">
        <v>0</v>
      </c>
      <c r="K91" s="273">
        <v>0</v>
      </c>
      <c r="L91" s="274"/>
      <c r="M91" s="280" t="s">
        <v>13090</v>
      </c>
      <c r="N91" s="273">
        <v>600000</v>
      </c>
      <c r="O91" s="280">
        <v>150000</v>
      </c>
      <c r="P91" s="280">
        <v>100000</v>
      </c>
      <c r="Q91" s="260" t="s">
        <v>13090</v>
      </c>
      <c r="R91" s="263" t="str">
        <f t="shared" ref="R91" si="88">IF(Q91=E91,"1", "kác")</f>
        <v>kác</v>
      </c>
      <c r="S91" s="263">
        <f t="shared" si="68"/>
        <v>0</v>
      </c>
    </row>
    <row r="92" spans="1:19" s="260" customFormat="1" ht="19.5" customHeight="1" x14ac:dyDescent="0.3">
      <c r="A92" s="271" t="s">
        <v>12745</v>
      </c>
      <c r="B92" s="215" t="s">
        <v>14980</v>
      </c>
      <c r="C92" s="215" t="s">
        <v>13091</v>
      </c>
      <c r="D92" s="215" t="str">
        <f t="shared" si="66"/>
        <v>DKG&lt;-&gt;Phú Thái gần, Hải Dương</v>
      </c>
      <c r="E92" s="272">
        <v>68</v>
      </c>
      <c r="F92" s="273">
        <v>280</v>
      </c>
      <c r="G92" s="273">
        <v>1250</v>
      </c>
      <c r="H92" s="273">
        <v>1150</v>
      </c>
      <c r="I92" s="273">
        <v>100</v>
      </c>
      <c r="J92" s="273">
        <v>0</v>
      </c>
      <c r="K92" s="273">
        <v>0</v>
      </c>
      <c r="L92" s="274"/>
      <c r="M92" s="280" t="s">
        <v>13091</v>
      </c>
      <c r="N92" s="273">
        <v>700000</v>
      </c>
      <c r="O92" s="280">
        <v>150000</v>
      </c>
      <c r="P92" s="280">
        <v>100000</v>
      </c>
      <c r="Q92" s="260" t="s">
        <v>13091</v>
      </c>
      <c r="R92" s="263" t="str">
        <f t="shared" ref="R92" si="89">IF(Q92=E92,"1", "kác")</f>
        <v>kác</v>
      </c>
      <c r="S92" s="263">
        <f t="shared" si="68"/>
        <v>0</v>
      </c>
    </row>
    <row r="93" spans="1:19" s="260" customFormat="1" ht="19.5" customHeight="1" x14ac:dyDescent="0.3">
      <c r="A93" s="271" t="s">
        <v>12745</v>
      </c>
      <c r="B93" s="215" t="s">
        <v>14980</v>
      </c>
      <c r="C93" s="215" t="s">
        <v>13092</v>
      </c>
      <c r="D93" s="215" t="str">
        <f t="shared" si="66"/>
        <v>DKG&lt;-&gt;Phú Thái xa, Hải Dương</v>
      </c>
      <c r="E93" s="272">
        <v>75</v>
      </c>
      <c r="F93" s="273">
        <v>300</v>
      </c>
      <c r="G93" s="273">
        <v>1250</v>
      </c>
      <c r="H93" s="273">
        <v>1150</v>
      </c>
      <c r="I93" s="273">
        <v>100</v>
      </c>
      <c r="J93" s="273">
        <v>0</v>
      </c>
      <c r="K93" s="273">
        <v>0</v>
      </c>
      <c r="L93" s="274"/>
      <c r="M93" s="280" t="s">
        <v>13092</v>
      </c>
      <c r="N93" s="273">
        <v>800000</v>
      </c>
      <c r="O93" s="280">
        <v>150000</v>
      </c>
      <c r="P93" s="280">
        <v>100000</v>
      </c>
      <c r="Q93" s="260" t="s">
        <v>13092</v>
      </c>
      <c r="R93" s="263" t="str">
        <f t="shared" ref="R93" si="90">IF(Q93=E93,"1", "kác")</f>
        <v>kác</v>
      </c>
      <c r="S93" s="263">
        <f t="shared" si="68"/>
        <v>0</v>
      </c>
    </row>
    <row r="94" spans="1:19" s="260" customFormat="1" ht="19.5" customHeight="1" x14ac:dyDescent="0.3">
      <c r="A94" s="271" t="s">
        <v>12745</v>
      </c>
      <c r="B94" s="215" t="s">
        <v>14980</v>
      </c>
      <c r="C94" s="215" t="s">
        <v>13093</v>
      </c>
      <c r="D94" s="215" t="str">
        <f t="shared" si="66"/>
        <v>DKG&lt;-&gt;Kim Thành (Phạm Xá, Lai Khê), Hải Dương</v>
      </c>
      <c r="E94" s="272">
        <v>100</v>
      </c>
      <c r="F94" s="273">
        <v>300</v>
      </c>
      <c r="G94" s="273">
        <v>1250</v>
      </c>
      <c r="H94" s="273">
        <v>1150</v>
      </c>
      <c r="I94" s="273">
        <v>100</v>
      </c>
      <c r="J94" s="273">
        <v>0</v>
      </c>
      <c r="K94" s="273">
        <v>0</v>
      </c>
      <c r="L94" s="274"/>
      <c r="M94" s="280" t="s">
        <v>13093</v>
      </c>
      <c r="N94" s="273">
        <v>800000</v>
      </c>
      <c r="O94" s="280">
        <v>200000</v>
      </c>
      <c r="P94" s="280">
        <v>150000</v>
      </c>
      <c r="Q94" s="260" t="s">
        <v>13093</v>
      </c>
      <c r="R94" s="263" t="str">
        <f t="shared" ref="R94" si="91">IF(Q94=E94,"1", "kác")</f>
        <v>kác</v>
      </c>
      <c r="S94" s="263">
        <f t="shared" si="68"/>
        <v>0</v>
      </c>
    </row>
    <row r="95" spans="1:19" s="260" customFormat="1" ht="19.5" customHeight="1" x14ac:dyDescent="0.3">
      <c r="A95" s="271" t="s">
        <v>12745</v>
      </c>
      <c r="B95" s="215" t="s">
        <v>14980</v>
      </c>
      <c r="C95" s="215" t="s">
        <v>13094</v>
      </c>
      <c r="D95" s="215" t="str">
        <f t="shared" si="66"/>
        <v>DKG&lt;-&gt;Kinh môn, Hải Dương</v>
      </c>
      <c r="E95" s="272">
        <v>85</v>
      </c>
      <c r="F95" s="273">
        <v>310</v>
      </c>
      <c r="G95" s="273">
        <v>1550</v>
      </c>
      <c r="H95" s="273">
        <v>1450</v>
      </c>
      <c r="I95" s="273">
        <v>100</v>
      </c>
      <c r="J95" s="273">
        <v>0</v>
      </c>
      <c r="K95" s="273">
        <v>0</v>
      </c>
      <c r="L95" s="274"/>
      <c r="M95" s="280" t="s">
        <v>13094</v>
      </c>
      <c r="N95" s="273">
        <v>800000</v>
      </c>
      <c r="O95" s="280">
        <v>200000</v>
      </c>
      <c r="P95" s="280">
        <v>150000</v>
      </c>
      <c r="Q95" s="260" t="s">
        <v>13094</v>
      </c>
      <c r="R95" s="263" t="str">
        <f t="shared" ref="R95" si="92">IF(Q95=E95,"1", "kác")</f>
        <v>kác</v>
      </c>
      <c r="S95" s="263">
        <f t="shared" si="68"/>
        <v>0</v>
      </c>
    </row>
    <row r="96" spans="1:19" s="260" customFormat="1" ht="19.5" customHeight="1" x14ac:dyDescent="0.3">
      <c r="A96" s="271" t="s">
        <v>12745</v>
      </c>
      <c r="B96" s="215" t="s">
        <v>14980</v>
      </c>
      <c r="C96" s="215" t="s">
        <v>12889</v>
      </c>
      <c r="D96" s="215" t="str">
        <f t="shared" si="66"/>
        <v>DKG&lt;-&gt;Nam Sách, Hải Dương</v>
      </c>
      <c r="E96" s="272">
        <v>114</v>
      </c>
      <c r="F96" s="273">
        <v>300</v>
      </c>
      <c r="G96" s="273">
        <v>1400</v>
      </c>
      <c r="H96" s="273">
        <v>1300</v>
      </c>
      <c r="I96" s="273">
        <v>100</v>
      </c>
      <c r="J96" s="273">
        <v>0</v>
      </c>
      <c r="K96" s="273">
        <v>0</v>
      </c>
      <c r="L96" s="274"/>
      <c r="M96" s="280" t="s">
        <v>12889</v>
      </c>
      <c r="N96" s="273">
        <v>800000</v>
      </c>
      <c r="O96" s="280">
        <v>200000</v>
      </c>
      <c r="P96" s="280">
        <v>150000</v>
      </c>
      <c r="Q96" s="260" t="s">
        <v>12889</v>
      </c>
      <c r="R96" s="263" t="str">
        <f t="shared" ref="R96" si="93">IF(Q96=E96,"1", "kác")</f>
        <v>kác</v>
      </c>
      <c r="S96" s="263">
        <f t="shared" si="68"/>
        <v>0</v>
      </c>
    </row>
    <row r="97" spans="1:19" s="260" customFormat="1" ht="19.5" customHeight="1" x14ac:dyDescent="0.3">
      <c r="A97" s="271" t="s">
        <v>12745</v>
      </c>
      <c r="B97" s="215" t="s">
        <v>14980</v>
      </c>
      <c r="C97" s="215" t="s">
        <v>12890</v>
      </c>
      <c r="D97" s="215" t="str">
        <f t="shared" si="66"/>
        <v>DKG&lt;-&gt;Thanh Hà, Hải Dương</v>
      </c>
      <c r="E97" s="272">
        <v>130</v>
      </c>
      <c r="F97" s="273">
        <v>300</v>
      </c>
      <c r="G97" s="273">
        <v>1250</v>
      </c>
      <c r="H97" s="273">
        <v>1150</v>
      </c>
      <c r="I97" s="273">
        <v>100</v>
      </c>
      <c r="J97" s="273">
        <v>0</v>
      </c>
      <c r="K97" s="273">
        <v>0</v>
      </c>
      <c r="L97" s="274"/>
      <c r="M97" s="280" t="s">
        <v>12890</v>
      </c>
      <c r="N97" s="273">
        <v>800000</v>
      </c>
      <c r="O97" s="280">
        <v>250000</v>
      </c>
      <c r="P97" s="280">
        <v>150000</v>
      </c>
      <c r="Q97" s="260" t="s">
        <v>12890</v>
      </c>
      <c r="R97" s="263" t="str">
        <f t="shared" ref="R97" si="94">IF(Q97=E97,"1", "kác")</f>
        <v>kác</v>
      </c>
      <c r="S97" s="263">
        <f t="shared" si="68"/>
        <v>0</v>
      </c>
    </row>
    <row r="98" spans="1:19" s="260" customFormat="1" ht="19.5" customHeight="1" x14ac:dyDescent="0.3">
      <c r="A98" s="271" t="s">
        <v>12745</v>
      </c>
      <c r="B98" s="215" t="s">
        <v>14980</v>
      </c>
      <c r="C98" s="215" t="s">
        <v>13045</v>
      </c>
      <c r="D98" s="215" t="str">
        <f t="shared" si="66"/>
        <v>DKG&lt;-&gt;Tp. Hải Dương</v>
      </c>
      <c r="E98" s="272">
        <v>125</v>
      </c>
      <c r="F98" s="273">
        <v>300</v>
      </c>
      <c r="G98" s="273">
        <v>1250</v>
      </c>
      <c r="H98" s="273">
        <v>1150</v>
      </c>
      <c r="I98" s="273">
        <v>100</v>
      </c>
      <c r="J98" s="273">
        <v>0</v>
      </c>
      <c r="K98" s="273">
        <v>0</v>
      </c>
      <c r="L98" s="274"/>
      <c r="M98" s="280" t="s">
        <v>13062</v>
      </c>
      <c r="N98" s="273">
        <v>800000</v>
      </c>
      <c r="O98" s="280">
        <v>200000</v>
      </c>
      <c r="P98" s="280">
        <v>150000</v>
      </c>
      <c r="Q98" s="260" t="s">
        <v>13062</v>
      </c>
      <c r="R98" s="263" t="str">
        <f t="shared" ref="R98" si="95">IF(Q98=E98,"1", "kác")</f>
        <v>kác</v>
      </c>
      <c r="S98" s="263">
        <f t="shared" si="68"/>
        <v>1</v>
      </c>
    </row>
    <row r="99" spans="1:19" s="260" customFormat="1" ht="19.5" customHeight="1" x14ac:dyDescent="0.3">
      <c r="A99" s="271" t="s">
        <v>12745</v>
      </c>
      <c r="B99" s="215" t="s">
        <v>14980</v>
      </c>
      <c r="C99" s="215" t="s">
        <v>13095</v>
      </c>
      <c r="D99" s="215" t="str">
        <f t="shared" si="66"/>
        <v>DKG&lt;-&gt;Lai Cách (Cẩm Giàng), Hải Dương</v>
      </c>
      <c r="E99" s="272">
        <v>135</v>
      </c>
      <c r="F99" s="273">
        <v>350</v>
      </c>
      <c r="G99" s="273">
        <v>1250</v>
      </c>
      <c r="H99" s="273">
        <v>1150</v>
      </c>
      <c r="I99" s="273">
        <v>100</v>
      </c>
      <c r="J99" s="273">
        <v>0</v>
      </c>
      <c r="K99" s="273">
        <v>0</v>
      </c>
      <c r="L99" s="274"/>
      <c r="M99" s="280" t="s">
        <v>13095</v>
      </c>
      <c r="N99" s="273">
        <v>900000</v>
      </c>
      <c r="O99" s="280">
        <v>250000</v>
      </c>
      <c r="P99" s="280">
        <v>150000</v>
      </c>
      <c r="Q99" s="260" t="s">
        <v>13095</v>
      </c>
      <c r="R99" s="263" t="str">
        <f t="shared" ref="R99" si="96">IF(Q99=E99,"1", "kác")</f>
        <v>kác</v>
      </c>
      <c r="S99" s="263">
        <f t="shared" si="68"/>
        <v>0</v>
      </c>
    </row>
    <row r="100" spans="1:19" s="260" customFormat="1" ht="19.5" customHeight="1" x14ac:dyDescent="0.3">
      <c r="A100" s="271" t="s">
        <v>12745</v>
      </c>
      <c r="B100" s="215" t="s">
        <v>14980</v>
      </c>
      <c r="C100" s="215" t="s">
        <v>13096</v>
      </c>
      <c r="D100" s="215" t="str">
        <f t="shared" si="66"/>
        <v>DKG&lt;-&gt;Quán Gỏi (Bình Giang), Hải Dương</v>
      </c>
      <c r="E100" s="272">
        <v>157</v>
      </c>
      <c r="F100" s="273">
        <v>350</v>
      </c>
      <c r="G100" s="273">
        <v>1250</v>
      </c>
      <c r="H100" s="273">
        <v>1150</v>
      </c>
      <c r="I100" s="273">
        <v>100</v>
      </c>
      <c r="J100" s="273">
        <v>0</v>
      </c>
      <c r="K100" s="273">
        <v>0</v>
      </c>
      <c r="L100" s="274"/>
      <c r="M100" s="280" t="s">
        <v>13096</v>
      </c>
      <c r="N100" s="273">
        <v>900000</v>
      </c>
      <c r="O100" s="280">
        <v>300000</v>
      </c>
      <c r="P100" s="280">
        <v>200000</v>
      </c>
      <c r="Q100" s="260" t="s">
        <v>13096</v>
      </c>
      <c r="R100" s="263" t="str">
        <f t="shared" ref="R100" si="97">IF(Q100=E100,"1", "kác")</f>
        <v>kác</v>
      </c>
      <c r="S100" s="263">
        <f t="shared" si="68"/>
        <v>0</v>
      </c>
    </row>
    <row r="101" spans="1:19" s="260" customFormat="1" ht="19.5" customHeight="1" x14ac:dyDescent="0.3">
      <c r="A101" s="271" t="s">
        <v>12745</v>
      </c>
      <c r="B101" s="215" t="s">
        <v>14980</v>
      </c>
      <c r="C101" s="215" t="s">
        <v>12892</v>
      </c>
      <c r="D101" s="215" t="str">
        <f t="shared" si="66"/>
        <v>DKG&lt;-&gt;Bình Giang, Hải Dương</v>
      </c>
      <c r="E101" s="272">
        <v>157</v>
      </c>
      <c r="F101" s="273">
        <v>350</v>
      </c>
      <c r="G101" s="273">
        <v>1250</v>
      </c>
      <c r="H101" s="273">
        <v>1150</v>
      </c>
      <c r="I101" s="273">
        <v>100</v>
      </c>
      <c r="J101" s="273">
        <v>0</v>
      </c>
      <c r="K101" s="273">
        <v>0</v>
      </c>
      <c r="L101" s="274"/>
      <c r="M101" s="280" t="s">
        <v>12892</v>
      </c>
      <c r="N101" s="273">
        <v>900000</v>
      </c>
      <c r="O101" s="280">
        <v>300000</v>
      </c>
      <c r="P101" s="280">
        <v>200000</v>
      </c>
      <c r="Q101" s="260" t="s">
        <v>12892</v>
      </c>
      <c r="R101" s="263" t="str">
        <f t="shared" ref="R101" si="98">IF(Q101=E101,"1", "kác")</f>
        <v>kác</v>
      </c>
      <c r="S101" s="263">
        <f t="shared" si="68"/>
        <v>0</v>
      </c>
    </row>
    <row r="102" spans="1:19" s="260" customFormat="1" ht="19.5" customHeight="1" x14ac:dyDescent="0.3">
      <c r="A102" s="271" t="s">
        <v>12745</v>
      </c>
      <c r="B102" s="215" t="s">
        <v>14980</v>
      </c>
      <c r="C102" s="215" t="s">
        <v>13097</v>
      </c>
      <c r="D102" s="215" t="str">
        <f t="shared" si="66"/>
        <v>DKG&lt;-&gt;Bình Xuyên (Bình Giang), Hải Dương</v>
      </c>
      <c r="E102" s="272">
        <v>185</v>
      </c>
      <c r="F102" s="273">
        <v>350</v>
      </c>
      <c r="G102" s="273">
        <v>1250</v>
      </c>
      <c r="H102" s="273">
        <v>1150</v>
      </c>
      <c r="I102" s="273">
        <v>100</v>
      </c>
      <c r="J102" s="273">
        <v>0</v>
      </c>
      <c r="K102" s="273">
        <v>0</v>
      </c>
      <c r="L102" s="274"/>
      <c r="M102" s="280" t="s">
        <v>13097</v>
      </c>
      <c r="N102" s="273">
        <v>900000</v>
      </c>
      <c r="O102" s="280">
        <v>350000</v>
      </c>
      <c r="P102" s="280">
        <v>200000</v>
      </c>
      <c r="Q102" s="260" t="s">
        <v>13097</v>
      </c>
      <c r="R102" s="263" t="str">
        <f t="shared" ref="R102" si="99">IF(Q102=E102,"1", "kác")</f>
        <v>kác</v>
      </c>
      <c r="S102" s="263">
        <f t="shared" si="68"/>
        <v>0</v>
      </c>
    </row>
    <row r="103" spans="1:19" s="260" customFormat="1" ht="19.5" customHeight="1" x14ac:dyDescent="0.3">
      <c r="A103" s="271" t="s">
        <v>12745</v>
      </c>
      <c r="B103" s="215" t="s">
        <v>14980</v>
      </c>
      <c r="C103" s="215" t="s">
        <v>13098</v>
      </c>
      <c r="D103" s="215" t="str">
        <f t="shared" si="66"/>
        <v>DKG&lt;-&gt;Kẻ Sặt (Bình Giang), Hải Dương</v>
      </c>
      <c r="E103" s="272">
        <v>160</v>
      </c>
      <c r="F103" s="273">
        <v>350</v>
      </c>
      <c r="G103" s="273">
        <v>1250</v>
      </c>
      <c r="H103" s="273">
        <v>1150</v>
      </c>
      <c r="I103" s="273">
        <v>100</v>
      </c>
      <c r="J103" s="273">
        <v>0</v>
      </c>
      <c r="K103" s="273">
        <v>0</v>
      </c>
      <c r="L103" s="274"/>
      <c r="M103" s="280" t="s">
        <v>13098</v>
      </c>
      <c r="N103" s="273">
        <v>900000</v>
      </c>
      <c r="O103" s="280">
        <v>300000</v>
      </c>
      <c r="P103" s="280">
        <v>200000</v>
      </c>
      <c r="Q103" s="260" t="s">
        <v>13098</v>
      </c>
      <c r="R103" s="263" t="str">
        <f t="shared" ref="R103" si="100">IF(Q103=E103,"1", "kác")</f>
        <v>kác</v>
      </c>
      <c r="S103" s="263">
        <f t="shared" si="68"/>
        <v>0</v>
      </c>
    </row>
    <row r="104" spans="1:19" s="260" customFormat="1" ht="19.5" customHeight="1" x14ac:dyDescent="0.3">
      <c r="A104" s="271" t="s">
        <v>12745</v>
      </c>
      <c r="B104" s="215" t="s">
        <v>14980</v>
      </c>
      <c r="C104" s="215" t="s">
        <v>13099</v>
      </c>
      <c r="D104" s="215" t="str">
        <f t="shared" si="66"/>
        <v>DKG&lt;-&gt;Cẩm Giàng (rẽ QL38), Hải Dương</v>
      </c>
      <c r="E104" s="272">
        <v>176</v>
      </c>
      <c r="F104" s="273">
        <v>360</v>
      </c>
      <c r="G104" s="273">
        <v>1400</v>
      </c>
      <c r="H104" s="273">
        <v>1300</v>
      </c>
      <c r="I104" s="273">
        <v>100</v>
      </c>
      <c r="J104" s="273">
        <v>0</v>
      </c>
      <c r="K104" s="273">
        <v>0</v>
      </c>
      <c r="L104" s="274"/>
      <c r="M104" s="280" t="s">
        <v>13099</v>
      </c>
      <c r="N104" s="273">
        <v>900000</v>
      </c>
      <c r="O104" s="280">
        <v>350000</v>
      </c>
      <c r="P104" s="280">
        <v>200000</v>
      </c>
      <c r="Q104" s="260" t="s">
        <v>13099</v>
      </c>
      <c r="R104" s="263" t="str">
        <f t="shared" ref="R104" si="101">IF(Q104=E104,"1", "kác")</f>
        <v>kác</v>
      </c>
      <c r="S104" s="263">
        <f t="shared" si="68"/>
        <v>0</v>
      </c>
    </row>
    <row r="105" spans="1:19" s="260" customFormat="1" ht="19.5" customHeight="1" x14ac:dyDescent="0.3">
      <c r="A105" s="271" t="s">
        <v>12745</v>
      </c>
      <c r="B105" s="215" t="s">
        <v>14980</v>
      </c>
      <c r="C105" s="215" t="s">
        <v>13100</v>
      </c>
      <c r="D105" s="215" t="str">
        <f t="shared" si="66"/>
        <v>DKG&lt;-&gt;Cầu Bình, Hải Dương</v>
      </c>
      <c r="E105" s="272">
        <v>134</v>
      </c>
      <c r="F105" s="273">
        <v>310</v>
      </c>
      <c r="G105" s="273">
        <v>1450</v>
      </c>
      <c r="H105" s="273">
        <v>1350</v>
      </c>
      <c r="I105" s="273">
        <v>100</v>
      </c>
      <c r="J105" s="273">
        <v>0</v>
      </c>
      <c r="K105" s="273">
        <v>0</v>
      </c>
      <c r="L105" s="274"/>
      <c r="M105" s="280" t="s">
        <v>13100</v>
      </c>
      <c r="N105" s="273">
        <v>800000</v>
      </c>
      <c r="O105" s="280">
        <v>250000</v>
      </c>
      <c r="P105" s="280">
        <v>150000</v>
      </c>
      <c r="Q105" s="260" t="s">
        <v>13100</v>
      </c>
      <c r="R105" s="263" t="str">
        <f t="shared" ref="R105" si="102">IF(Q105=E105,"1", "kác")</f>
        <v>kác</v>
      </c>
      <c r="S105" s="263">
        <f t="shared" si="68"/>
        <v>0</v>
      </c>
    </row>
    <row r="106" spans="1:19" s="260" customFormat="1" ht="19.5" customHeight="1" x14ac:dyDescent="0.3">
      <c r="A106" s="271" t="s">
        <v>12745</v>
      </c>
      <c r="B106" s="215" t="s">
        <v>14980</v>
      </c>
      <c r="C106" s="215" t="s">
        <v>13101</v>
      </c>
      <c r="D106" s="215" t="str">
        <f t="shared" si="66"/>
        <v>DKG&lt;-&gt;Chí Linh, Sao đỏ, Hải Dương</v>
      </c>
      <c r="E106" s="272">
        <v>158</v>
      </c>
      <c r="F106" s="273">
        <v>350</v>
      </c>
      <c r="G106" s="273">
        <v>1450</v>
      </c>
      <c r="H106" s="273">
        <v>1350</v>
      </c>
      <c r="I106" s="273">
        <v>100</v>
      </c>
      <c r="J106" s="273">
        <v>0</v>
      </c>
      <c r="K106" s="273">
        <v>0</v>
      </c>
      <c r="L106" s="274"/>
      <c r="M106" s="280" t="s">
        <v>13101</v>
      </c>
      <c r="N106" s="273">
        <v>900000</v>
      </c>
      <c r="O106" s="280">
        <v>300000</v>
      </c>
      <c r="P106" s="280">
        <v>200000</v>
      </c>
      <c r="Q106" s="260" t="s">
        <v>13101</v>
      </c>
      <c r="R106" s="263" t="str">
        <f t="shared" ref="R106" si="103">IF(Q106=E106,"1", "kác")</f>
        <v>kác</v>
      </c>
      <c r="S106" s="263">
        <f t="shared" si="68"/>
        <v>0</v>
      </c>
    </row>
    <row r="107" spans="1:19" s="260" customFormat="1" ht="19.5" customHeight="1" x14ac:dyDescent="0.3">
      <c r="A107" s="271" t="s">
        <v>12745</v>
      </c>
      <c r="B107" s="215" t="s">
        <v>14980</v>
      </c>
      <c r="C107" s="215" t="s">
        <v>13102</v>
      </c>
      <c r="D107" s="215" t="str">
        <f t="shared" si="66"/>
        <v>DKG&lt;-&gt;Phả Lại, Hải Dương</v>
      </c>
      <c r="E107" s="272">
        <v>157</v>
      </c>
      <c r="F107" s="273">
        <v>400</v>
      </c>
      <c r="G107" s="273">
        <v>1600</v>
      </c>
      <c r="H107" s="273">
        <v>1500</v>
      </c>
      <c r="I107" s="273">
        <v>100</v>
      </c>
      <c r="J107" s="273">
        <v>0</v>
      </c>
      <c r="K107" s="273">
        <v>0</v>
      </c>
      <c r="L107" s="274"/>
      <c r="M107" s="280" t="s">
        <v>13102</v>
      </c>
      <c r="N107" s="273">
        <v>1000000</v>
      </c>
      <c r="O107" s="280">
        <v>300000</v>
      </c>
      <c r="P107" s="280">
        <v>200000</v>
      </c>
      <c r="Q107" s="260" t="s">
        <v>13102</v>
      </c>
      <c r="R107" s="263" t="str">
        <f t="shared" ref="R107" si="104">IF(Q107=E107,"1", "kác")</f>
        <v>kác</v>
      </c>
      <c r="S107" s="263">
        <f t="shared" si="68"/>
        <v>0</v>
      </c>
    </row>
    <row r="108" spans="1:19" s="260" customFormat="1" ht="19.5" customHeight="1" x14ac:dyDescent="0.3">
      <c r="A108" s="271" t="s">
        <v>12745</v>
      </c>
      <c r="B108" s="215" t="s">
        <v>14980</v>
      </c>
      <c r="C108" s="215" t="s">
        <v>12895</v>
      </c>
      <c r="D108" s="215" t="str">
        <f t="shared" si="66"/>
        <v>DKG&lt;-&gt;Gia Lộc, Hải Dương</v>
      </c>
      <c r="E108" s="272">
        <v>128</v>
      </c>
      <c r="F108" s="273">
        <v>330</v>
      </c>
      <c r="G108" s="273">
        <v>1400</v>
      </c>
      <c r="H108" s="273">
        <v>1300</v>
      </c>
      <c r="I108" s="273">
        <v>100</v>
      </c>
      <c r="J108" s="273">
        <v>0</v>
      </c>
      <c r="K108" s="273">
        <v>0</v>
      </c>
      <c r="L108" s="274"/>
      <c r="M108" s="280" t="s">
        <v>12895</v>
      </c>
      <c r="N108" s="273">
        <v>800000</v>
      </c>
      <c r="O108" s="280">
        <v>250000</v>
      </c>
      <c r="P108" s="280">
        <v>150000</v>
      </c>
      <c r="Q108" s="260" t="s">
        <v>12895</v>
      </c>
      <c r="R108" s="263" t="str">
        <f t="shared" ref="R108" si="105">IF(Q108=E108,"1", "kác")</f>
        <v>kác</v>
      </c>
      <c r="S108" s="263">
        <f t="shared" si="68"/>
        <v>0</v>
      </c>
    </row>
    <row r="109" spans="1:19" s="260" customFormat="1" ht="19.5" customHeight="1" x14ac:dyDescent="0.3">
      <c r="A109" s="271" t="s">
        <v>12745</v>
      </c>
      <c r="B109" s="215" t="s">
        <v>14980</v>
      </c>
      <c r="C109" s="215" t="s">
        <v>12894</v>
      </c>
      <c r="D109" s="215" t="str">
        <f t="shared" si="66"/>
        <v>DKG&lt;-&gt;Ninh Giang, Hải Dương</v>
      </c>
      <c r="E109" s="272">
        <v>170</v>
      </c>
      <c r="F109" s="273">
        <v>350</v>
      </c>
      <c r="G109" s="273">
        <v>1400</v>
      </c>
      <c r="H109" s="273">
        <v>1300</v>
      </c>
      <c r="I109" s="273">
        <v>100</v>
      </c>
      <c r="J109" s="273">
        <v>0</v>
      </c>
      <c r="K109" s="273">
        <v>0</v>
      </c>
      <c r="L109" s="274"/>
      <c r="M109" s="280" t="s">
        <v>12894</v>
      </c>
      <c r="N109" s="273">
        <v>800000</v>
      </c>
      <c r="O109" s="280">
        <v>250000</v>
      </c>
      <c r="P109" s="280">
        <v>150000</v>
      </c>
      <c r="Q109" s="260" t="s">
        <v>12894</v>
      </c>
      <c r="R109" s="263" t="str">
        <f t="shared" ref="R109" si="106">IF(Q109=E109,"1", "kác")</f>
        <v>kác</v>
      </c>
      <c r="S109" s="263">
        <f t="shared" si="68"/>
        <v>0</v>
      </c>
    </row>
    <row r="110" spans="1:19" s="260" customFormat="1" ht="19.5" customHeight="1" x14ac:dyDescent="0.3">
      <c r="A110" s="271" t="s">
        <v>12745</v>
      </c>
      <c r="B110" s="215" t="s">
        <v>14980</v>
      </c>
      <c r="C110" s="215" t="s">
        <v>12896</v>
      </c>
      <c r="D110" s="215" t="str">
        <f t="shared" si="66"/>
        <v>DKG&lt;-&gt;Thanh Miện, Hải Dương</v>
      </c>
      <c r="E110" s="272">
        <v>154</v>
      </c>
      <c r="F110" s="273">
        <v>350</v>
      </c>
      <c r="G110" s="273">
        <v>1400</v>
      </c>
      <c r="H110" s="273">
        <v>1300</v>
      </c>
      <c r="I110" s="273">
        <v>100</v>
      </c>
      <c r="J110" s="273">
        <v>0</v>
      </c>
      <c r="K110" s="273">
        <v>0</v>
      </c>
      <c r="L110" s="274"/>
      <c r="M110" s="280" t="s">
        <v>12896</v>
      </c>
      <c r="N110" s="273">
        <v>800000</v>
      </c>
      <c r="O110" s="280">
        <v>300000</v>
      </c>
      <c r="P110" s="280">
        <v>200000</v>
      </c>
      <c r="Q110" s="260" t="s">
        <v>12896</v>
      </c>
      <c r="R110" s="263" t="str">
        <f t="shared" ref="R110" si="107">IF(Q110=E110,"1", "kác")</f>
        <v>kác</v>
      </c>
      <c r="S110" s="263">
        <f t="shared" si="68"/>
        <v>0</v>
      </c>
    </row>
    <row r="111" spans="1:19" s="260" customFormat="1" ht="19.5" customHeight="1" x14ac:dyDescent="0.3">
      <c r="A111" s="271" t="s">
        <v>12745</v>
      </c>
      <c r="B111" s="215" t="s">
        <v>14989</v>
      </c>
      <c r="C111" s="215" t="s">
        <v>12899</v>
      </c>
      <c r="D111" s="215" t="str">
        <f t="shared" si="66"/>
        <v>DKG&lt;-&gt;Mỹ Hào, Hưng Yên</v>
      </c>
      <c r="E111" s="272">
        <v>200</v>
      </c>
      <c r="F111" s="273">
        <v>380</v>
      </c>
      <c r="G111" s="273">
        <v>1500</v>
      </c>
      <c r="H111" s="273">
        <v>1400</v>
      </c>
      <c r="I111" s="273">
        <v>100</v>
      </c>
      <c r="J111" s="273">
        <v>0</v>
      </c>
      <c r="K111" s="273">
        <v>0</v>
      </c>
      <c r="L111" s="274"/>
      <c r="M111" s="280" t="s">
        <v>12899</v>
      </c>
      <c r="N111" s="273">
        <v>1000000</v>
      </c>
      <c r="O111" s="280">
        <v>400000</v>
      </c>
      <c r="P111" s="280">
        <v>250000</v>
      </c>
      <c r="Q111" s="260" t="s">
        <v>12899</v>
      </c>
      <c r="R111" s="263" t="str">
        <f t="shared" ref="R111" si="108">IF(Q111=E111,"1", "kác")</f>
        <v>kác</v>
      </c>
      <c r="S111" s="263">
        <f t="shared" si="68"/>
        <v>0</v>
      </c>
    </row>
    <row r="112" spans="1:19" s="260" customFormat="1" ht="19.5" customHeight="1" x14ac:dyDescent="0.3">
      <c r="A112" s="271" t="s">
        <v>12745</v>
      </c>
      <c r="B112" s="215" t="s">
        <v>14989</v>
      </c>
      <c r="C112" s="215" t="s">
        <v>12898</v>
      </c>
      <c r="D112" s="215" t="str">
        <f t="shared" si="66"/>
        <v>DKG&lt;-&gt;Yên Mỹ, Hưng Yên</v>
      </c>
      <c r="E112" s="272">
        <v>185</v>
      </c>
      <c r="F112" s="273">
        <v>380</v>
      </c>
      <c r="G112" s="273">
        <v>1650</v>
      </c>
      <c r="H112" s="273">
        <v>1550</v>
      </c>
      <c r="I112" s="273">
        <v>100</v>
      </c>
      <c r="J112" s="273">
        <v>0</v>
      </c>
      <c r="K112" s="273">
        <v>0</v>
      </c>
      <c r="L112" s="274"/>
      <c r="M112" s="280" t="s">
        <v>12898</v>
      </c>
      <c r="N112" s="273">
        <v>1000000</v>
      </c>
      <c r="O112" s="280">
        <v>400000</v>
      </c>
      <c r="P112" s="280">
        <v>250000</v>
      </c>
      <c r="Q112" s="260" t="s">
        <v>12898</v>
      </c>
      <c r="R112" s="263" t="str">
        <f t="shared" ref="R112" si="109">IF(Q112=E112,"1", "kác")</f>
        <v>kác</v>
      </c>
      <c r="S112" s="263">
        <f t="shared" si="68"/>
        <v>0</v>
      </c>
    </row>
    <row r="113" spans="1:19" s="260" customFormat="1" ht="19.5" customHeight="1" x14ac:dyDescent="0.3">
      <c r="A113" s="271" t="s">
        <v>12745</v>
      </c>
      <c r="B113" s="215" t="s">
        <v>14989</v>
      </c>
      <c r="C113" s="215" t="s">
        <v>13103</v>
      </c>
      <c r="D113" s="215" t="str">
        <f t="shared" si="66"/>
        <v>DKG&lt;-&gt;Khoái Châu, Hưng Yên</v>
      </c>
      <c r="E113" s="272">
        <v>210</v>
      </c>
      <c r="F113" s="273">
        <v>380</v>
      </c>
      <c r="G113" s="273">
        <v>1650</v>
      </c>
      <c r="H113" s="273">
        <v>1550</v>
      </c>
      <c r="I113" s="273">
        <v>100</v>
      </c>
      <c r="J113" s="273">
        <v>0</v>
      </c>
      <c r="K113" s="273">
        <v>0</v>
      </c>
      <c r="L113" s="274"/>
      <c r="M113" s="280" t="s">
        <v>13103</v>
      </c>
      <c r="N113" s="273">
        <v>1000000</v>
      </c>
      <c r="O113" s="280">
        <v>400000</v>
      </c>
      <c r="P113" s="280">
        <v>250000</v>
      </c>
      <c r="Q113" s="260" t="s">
        <v>13103</v>
      </c>
      <c r="R113" s="263" t="str">
        <f t="shared" ref="R113" si="110">IF(Q113=E113,"1", "kác")</f>
        <v>kác</v>
      </c>
      <c r="S113" s="263">
        <f t="shared" si="68"/>
        <v>0</v>
      </c>
    </row>
    <row r="114" spans="1:19" s="260" customFormat="1" ht="19.5" customHeight="1" x14ac:dyDescent="0.3">
      <c r="A114" s="271" t="s">
        <v>12745</v>
      </c>
      <c r="B114" s="215" t="s">
        <v>14989</v>
      </c>
      <c r="C114" s="215" t="s">
        <v>13104</v>
      </c>
      <c r="D114" s="215" t="str">
        <f t="shared" si="66"/>
        <v>DKG&lt;-&gt;Chợ đường cái (Văn Lâm), Hưng Yên</v>
      </c>
      <c r="E114" s="272">
        <v>190</v>
      </c>
      <c r="F114" s="273">
        <v>380</v>
      </c>
      <c r="G114" s="273">
        <v>1900</v>
      </c>
      <c r="H114" s="273">
        <v>1800</v>
      </c>
      <c r="I114" s="273">
        <v>100</v>
      </c>
      <c r="J114" s="273">
        <v>0</v>
      </c>
      <c r="K114" s="273">
        <v>0</v>
      </c>
      <c r="L114" s="274"/>
      <c r="M114" s="280" t="s">
        <v>13104</v>
      </c>
      <c r="N114" s="273">
        <v>1000000</v>
      </c>
      <c r="O114" s="280">
        <v>350000</v>
      </c>
      <c r="P114" s="280">
        <v>200000</v>
      </c>
      <c r="Q114" s="260" t="s">
        <v>13104</v>
      </c>
      <c r="R114" s="263" t="str">
        <f t="shared" ref="R114" si="111">IF(Q114=E114,"1", "kác")</f>
        <v>kác</v>
      </c>
      <c r="S114" s="263">
        <f t="shared" si="68"/>
        <v>0</v>
      </c>
    </row>
    <row r="115" spans="1:19" s="260" customFormat="1" ht="19.5" customHeight="1" x14ac:dyDescent="0.3">
      <c r="A115" s="271" t="s">
        <v>12745</v>
      </c>
      <c r="B115" s="215" t="s">
        <v>14989</v>
      </c>
      <c r="C115" s="215" t="s">
        <v>13105</v>
      </c>
      <c r="D115" s="215" t="str">
        <f t="shared" si="66"/>
        <v>DKG&lt;-&gt;Lạc Đạo (Văn Lâm), Hưng Yên</v>
      </c>
      <c r="E115" s="272">
        <v>200</v>
      </c>
      <c r="F115" s="273">
        <v>380</v>
      </c>
      <c r="G115" s="273">
        <v>1500</v>
      </c>
      <c r="H115" s="273">
        <v>1400</v>
      </c>
      <c r="I115" s="273">
        <v>100</v>
      </c>
      <c r="J115" s="273">
        <v>0</v>
      </c>
      <c r="K115" s="273">
        <v>0</v>
      </c>
      <c r="L115" s="274"/>
      <c r="M115" s="280" t="s">
        <v>13105</v>
      </c>
      <c r="N115" s="273">
        <v>1000000</v>
      </c>
      <c r="O115" s="280">
        <v>400000</v>
      </c>
      <c r="P115" s="280">
        <v>250000</v>
      </c>
      <c r="Q115" s="260" t="s">
        <v>13105</v>
      </c>
      <c r="R115" s="263" t="str">
        <f t="shared" ref="R115" si="112">IF(Q115=E115,"1", "kác")</f>
        <v>kác</v>
      </c>
      <c r="S115" s="263">
        <f t="shared" si="68"/>
        <v>0</v>
      </c>
    </row>
    <row r="116" spans="1:19" s="260" customFormat="1" ht="19.5" customHeight="1" x14ac:dyDescent="0.3">
      <c r="A116" s="271" t="s">
        <v>12745</v>
      </c>
      <c r="B116" s="215" t="s">
        <v>14989</v>
      </c>
      <c r="C116" s="215" t="s">
        <v>13106</v>
      </c>
      <c r="D116" s="215" t="str">
        <f t="shared" si="66"/>
        <v>DKG&lt;-&gt;Văn Lâm (không phí), Hưng Yên</v>
      </c>
      <c r="E116" s="272">
        <v>226</v>
      </c>
      <c r="F116" s="273">
        <v>400</v>
      </c>
      <c r="G116" s="273">
        <v>1500</v>
      </c>
      <c r="H116" s="273">
        <v>1400</v>
      </c>
      <c r="I116" s="273">
        <v>100</v>
      </c>
      <c r="J116" s="273">
        <v>0</v>
      </c>
      <c r="K116" s="273">
        <v>0</v>
      </c>
      <c r="L116" s="274"/>
      <c r="M116" s="280" t="s">
        <v>13106</v>
      </c>
      <c r="N116" s="273">
        <v>1000000</v>
      </c>
      <c r="O116" s="280">
        <v>450000</v>
      </c>
      <c r="P116" s="280">
        <v>300000</v>
      </c>
      <c r="Q116" s="260" t="s">
        <v>13106</v>
      </c>
      <c r="R116" s="263" t="str">
        <f t="shared" ref="R116" si="113">IF(Q116=E116,"1", "kác")</f>
        <v>kác</v>
      </c>
      <c r="S116" s="263">
        <f t="shared" si="68"/>
        <v>0</v>
      </c>
    </row>
    <row r="117" spans="1:19" s="260" customFormat="1" ht="19.5" customHeight="1" x14ac:dyDescent="0.3">
      <c r="A117" s="271" t="s">
        <v>12745</v>
      </c>
      <c r="B117" s="215" t="s">
        <v>14989</v>
      </c>
      <c r="C117" s="215" t="s">
        <v>13107</v>
      </c>
      <c r="D117" s="215" t="str">
        <f t="shared" si="66"/>
        <v>DKG&lt;-&gt;Văn Lâm (có phí), Hưng Yên</v>
      </c>
      <c r="E117" s="272">
        <v>226</v>
      </c>
      <c r="F117" s="273">
        <v>400</v>
      </c>
      <c r="G117" s="273">
        <v>1900</v>
      </c>
      <c r="H117" s="273">
        <v>1800</v>
      </c>
      <c r="I117" s="273">
        <v>100</v>
      </c>
      <c r="J117" s="273">
        <v>0</v>
      </c>
      <c r="K117" s="273">
        <v>0</v>
      </c>
      <c r="L117" s="274"/>
      <c r="M117" s="280" t="s">
        <v>13107</v>
      </c>
      <c r="N117" s="273">
        <v>1000000</v>
      </c>
      <c r="O117" s="280">
        <v>450000</v>
      </c>
      <c r="P117" s="280">
        <v>300000</v>
      </c>
      <c r="Q117" s="260" t="s">
        <v>13107</v>
      </c>
      <c r="R117" s="263" t="str">
        <f t="shared" ref="R117" si="114">IF(Q117=E117,"1", "kác")</f>
        <v>kác</v>
      </c>
      <c r="S117" s="263">
        <f t="shared" si="68"/>
        <v>0</v>
      </c>
    </row>
    <row r="118" spans="1:19" s="260" customFormat="1" ht="19.5" customHeight="1" x14ac:dyDescent="0.3">
      <c r="A118" s="271" t="s">
        <v>12745</v>
      </c>
      <c r="B118" s="215" t="s">
        <v>14989</v>
      </c>
      <c r="C118" s="215" t="s">
        <v>13108</v>
      </c>
      <c r="D118" s="215" t="str">
        <f t="shared" si="66"/>
        <v>DKG&lt;-&gt;Văn Giang, Hưng Yên</v>
      </c>
      <c r="E118" s="272">
        <v>210</v>
      </c>
      <c r="F118" s="273">
        <v>400</v>
      </c>
      <c r="G118" s="273">
        <v>1650</v>
      </c>
      <c r="H118" s="273">
        <v>1550</v>
      </c>
      <c r="I118" s="273">
        <v>100</v>
      </c>
      <c r="J118" s="273">
        <v>0</v>
      </c>
      <c r="K118" s="273">
        <v>0</v>
      </c>
      <c r="L118" s="274"/>
      <c r="M118" s="280" t="s">
        <v>13108</v>
      </c>
      <c r="N118" s="273">
        <v>1000000</v>
      </c>
      <c r="O118" s="280">
        <v>400000</v>
      </c>
      <c r="P118" s="280">
        <v>250000</v>
      </c>
      <c r="Q118" s="260" t="s">
        <v>13108</v>
      </c>
      <c r="R118" s="263" t="str">
        <f t="shared" ref="R118" si="115">IF(Q118=E118,"1", "kác")</f>
        <v>kác</v>
      </c>
      <c r="S118" s="263">
        <f t="shared" si="68"/>
        <v>0</v>
      </c>
    </row>
    <row r="119" spans="1:19" s="260" customFormat="1" ht="19.5" customHeight="1" x14ac:dyDescent="0.3">
      <c r="A119" s="271" t="s">
        <v>12745</v>
      </c>
      <c r="B119" s="215" t="s">
        <v>14989</v>
      </c>
      <c r="C119" s="215" t="s">
        <v>12904</v>
      </c>
      <c r="D119" s="215" t="str">
        <f t="shared" si="66"/>
        <v>DKG&lt;-&gt;Phủ Cừ, Hưng Yên</v>
      </c>
      <c r="E119" s="272">
        <v>180</v>
      </c>
      <c r="F119" s="273">
        <v>380</v>
      </c>
      <c r="G119" s="273">
        <v>1650</v>
      </c>
      <c r="H119" s="273">
        <v>1550</v>
      </c>
      <c r="I119" s="273">
        <v>100</v>
      </c>
      <c r="J119" s="273">
        <v>0</v>
      </c>
      <c r="K119" s="273">
        <v>0</v>
      </c>
      <c r="L119" s="274"/>
      <c r="M119" s="280" t="s">
        <v>12904</v>
      </c>
      <c r="N119" s="273">
        <v>1000000</v>
      </c>
      <c r="O119" s="280">
        <v>400000</v>
      </c>
      <c r="P119" s="280">
        <v>250000</v>
      </c>
      <c r="Q119" s="260" t="s">
        <v>12904</v>
      </c>
      <c r="R119" s="263" t="str">
        <f t="shared" ref="R119" si="116">IF(Q119=E119,"1", "kác")</f>
        <v>kác</v>
      </c>
      <c r="S119" s="263">
        <f t="shared" si="68"/>
        <v>0</v>
      </c>
    </row>
    <row r="120" spans="1:19" s="260" customFormat="1" ht="19.5" customHeight="1" x14ac:dyDescent="0.3">
      <c r="A120" s="271" t="s">
        <v>12745</v>
      </c>
      <c r="B120" s="215" t="s">
        <v>14989</v>
      </c>
      <c r="C120" s="215" t="s">
        <v>12897</v>
      </c>
      <c r="D120" s="215" t="str">
        <f t="shared" si="66"/>
        <v>DKG&lt;-&gt;Ân Thi, Hưng Yên</v>
      </c>
      <c r="E120" s="272">
        <v>184</v>
      </c>
      <c r="F120" s="273">
        <v>380</v>
      </c>
      <c r="G120" s="273">
        <v>1650</v>
      </c>
      <c r="H120" s="273">
        <v>1550</v>
      </c>
      <c r="I120" s="273">
        <v>100</v>
      </c>
      <c r="J120" s="273">
        <v>0</v>
      </c>
      <c r="K120" s="273">
        <v>0</v>
      </c>
      <c r="L120" s="274"/>
      <c r="M120" s="280" t="s">
        <v>12897</v>
      </c>
      <c r="N120" s="273">
        <v>1000000</v>
      </c>
      <c r="O120" s="280">
        <v>350000</v>
      </c>
      <c r="P120" s="280">
        <v>200000</v>
      </c>
      <c r="Q120" s="260" t="s">
        <v>12897</v>
      </c>
      <c r="R120" s="263" t="str">
        <f t="shared" ref="R120" si="117">IF(Q120=E120,"1", "kác")</f>
        <v>kác</v>
      </c>
      <c r="S120" s="263">
        <f t="shared" si="68"/>
        <v>0</v>
      </c>
    </row>
    <row r="121" spans="1:19" s="260" customFormat="1" ht="19.5" customHeight="1" x14ac:dyDescent="0.3">
      <c r="A121" s="271" t="s">
        <v>12745</v>
      </c>
      <c r="B121" s="215" t="s">
        <v>14989</v>
      </c>
      <c r="C121" s="215" t="s">
        <v>12902</v>
      </c>
      <c r="D121" s="215" t="str">
        <f t="shared" si="66"/>
        <v>DKG&lt;-&gt;Tiên Lữ, Hưng Yên</v>
      </c>
      <c r="E121" s="272">
        <v>186</v>
      </c>
      <c r="F121" s="273">
        <v>380</v>
      </c>
      <c r="G121" s="273">
        <v>1650</v>
      </c>
      <c r="H121" s="273">
        <v>1550</v>
      </c>
      <c r="I121" s="273">
        <v>100</v>
      </c>
      <c r="J121" s="273">
        <v>0</v>
      </c>
      <c r="K121" s="273">
        <v>0</v>
      </c>
      <c r="L121" s="274"/>
      <c r="M121" s="280" t="s">
        <v>12902</v>
      </c>
      <c r="N121" s="273">
        <v>1000000</v>
      </c>
      <c r="O121" s="280">
        <v>400000</v>
      </c>
      <c r="P121" s="280">
        <v>250000</v>
      </c>
      <c r="Q121" s="260" t="s">
        <v>12902</v>
      </c>
      <c r="R121" s="263" t="str">
        <f t="shared" ref="R121" si="118">IF(Q121=E121,"1", "kác")</f>
        <v>kác</v>
      </c>
      <c r="S121" s="263">
        <f t="shared" si="68"/>
        <v>0</v>
      </c>
    </row>
    <row r="122" spans="1:19" s="260" customFormat="1" ht="19.5" customHeight="1" x14ac:dyDescent="0.3">
      <c r="A122" s="271" t="s">
        <v>12745</v>
      </c>
      <c r="B122" s="215" t="s">
        <v>14989</v>
      </c>
      <c r="C122" s="215" t="s">
        <v>13109</v>
      </c>
      <c r="D122" s="215" t="str">
        <f t="shared" si="66"/>
        <v>DKG&lt;-&gt;Chợ Gạo, TP. Hưng Yên, Hưng Yên</v>
      </c>
      <c r="E122" s="272">
        <v>195</v>
      </c>
      <c r="F122" s="273">
        <v>380</v>
      </c>
      <c r="G122" s="273">
        <v>1650</v>
      </c>
      <c r="H122" s="273">
        <v>1550</v>
      </c>
      <c r="I122" s="273">
        <v>100</v>
      </c>
      <c r="J122" s="273">
        <v>0</v>
      </c>
      <c r="K122" s="273">
        <v>0</v>
      </c>
      <c r="L122" s="274"/>
      <c r="M122" s="280" t="s">
        <v>13109</v>
      </c>
      <c r="N122" s="273">
        <v>1000000</v>
      </c>
      <c r="O122" s="280">
        <v>400000</v>
      </c>
      <c r="P122" s="280">
        <v>250000</v>
      </c>
      <c r="Q122" s="260" t="s">
        <v>13109</v>
      </c>
      <c r="R122" s="263" t="str">
        <f t="shared" ref="R122" si="119">IF(Q122=E122,"1", "kác")</f>
        <v>kác</v>
      </c>
      <c r="S122" s="263">
        <f t="shared" si="68"/>
        <v>0</v>
      </c>
    </row>
    <row r="123" spans="1:19" s="260" customFormat="1" ht="19.5" customHeight="1" x14ac:dyDescent="0.3">
      <c r="A123" s="271" t="s">
        <v>12745</v>
      </c>
      <c r="B123" s="215" t="s">
        <v>14989</v>
      </c>
      <c r="C123" s="215" t="s">
        <v>13110</v>
      </c>
      <c r="D123" s="215" t="str">
        <f t="shared" si="66"/>
        <v>DKG&lt;-&gt;Chợ Dốc Lã, TP. Hưng Yên, Hưng Yên</v>
      </c>
      <c r="E123" s="272">
        <v>200</v>
      </c>
      <c r="F123" s="273">
        <v>380</v>
      </c>
      <c r="G123" s="273">
        <v>1650</v>
      </c>
      <c r="H123" s="273">
        <v>1550</v>
      </c>
      <c r="I123" s="273">
        <v>100</v>
      </c>
      <c r="J123" s="273">
        <v>0</v>
      </c>
      <c r="K123" s="273">
        <v>0</v>
      </c>
      <c r="L123" s="274"/>
      <c r="M123" s="280" t="s">
        <v>13110</v>
      </c>
      <c r="N123" s="273">
        <v>1000000</v>
      </c>
      <c r="O123" s="280">
        <v>400000</v>
      </c>
      <c r="P123" s="280">
        <v>250000</v>
      </c>
      <c r="Q123" s="260" t="s">
        <v>13110</v>
      </c>
      <c r="R123" s="263" t="str">
        <f t="shared" ref="R123" si="120">IF(Q123=E123,"1", "kác")</f>
        <v>kác</v>
      </c>
      <c r="S123" s="263">
        <f t="shared" si="68"/>
        <v>0</v>
      </c>
    </row>
    <row r="124" spans="1:19" s="260" customFormat="1" ht="19.5" customHeight="1" x14ac:dyDescent="0.3">
      <c r="A124" s="271" t="s">
        <v>12745</v>
      </c>
      <c r="B124" s="215" t="s">
        <v>14989</v>
      </c>
      <c r="C124" s="215" t="s">
        <v>13045</v>
      </c>
      <c r="D124" s="215" t="str">
        <f t="shared" si="66"/>
        <v>DKG&lt;-&gt;Tp. Hưng Yên</v>
      </c>
      <c r="E124" s="272">
        <v>200</v>
      </c>
      <c r="F124" s="273">
        <v>380</v>
      </c>
      <c r="G124" s="273">
        <v>1650</v>
      </c>
      <c r="H124" s="273">
        <v>1550</v>
      </c>
      <c r="I124" s="273">
        <v>100</v>
      </c>
      <c r="J124" s="273">
        <v>0</v>
      </c>
      <c r="K124" s="273">
        <v>0</v>
      </c>
      <c r="L124" s="274"/>
      <c r="M124" s="280" t="s">
        <v>13062</v>
      </c>
      <c r="N124" s="273">
        <v>1000000</v>
      </c>
      <c r="O124" s="280">
        <v>400000</v>
      </c>
      <c r="P124" s="280">
        <v>250000</v>
      </c>
      <c r="Q124" s="260" t="s">
        <v>13062</v>
      </c>
      <c r="R124" s="263" t="str">
        <f t="shared" ref="R124" si="121">IF(Q124=E124,"1", "kác")</f>
        <v>kác</v>
      </c>
      <c r="S124" s="263">
        <f t="shared" si="68"/>
        <v>1</v>
      </c>
    </row>
    <row r="125" spans="1:19" s="260" customFormat="1" ht="19.5" customHeight="1" x14ac:dyDescent="0.3">
      <c r="A125" s="271" t="s">
        <v>12745</v>
      </c>
      <c r="B125" s="215" t="s">
        <v>14989</v>
      </c>
      <c r="C125" s="215" t="s">
        <v>12903</v>
      </c>
      <c r="D125" s="215" t="str">
        <f t="shared" si="66"/>
        <v>DKG&lt;-&gt;Kim Động, Hưng Yên</v>
      </c>
      <c r="E125" s="272">
        <v>220</v>
      </c>
      <c r="F125" s="273">
        <v>380</v>
      </c>
      <c r="G125" s="273">
        <v>1650</v>
      </c>
      <c r="H125" s="273">
        <v>1550</v>
      </c>
      <c r="I125" s="273">
        <v>100</v>
      </c>
      <c r="J125" s="273">
        <v>0</v>
      </c>
      <c r="K125" s="273">
        <v>0</v>
      </c>
      <c r="L125" s="274"/>
      <c r="M125" s="280" t="s">
        <v>12903</v>
      </c>
      <c r="N125" s="273">
        <v>1000000</v>
      </c>
      <c r="O125" s="280">
        <v>450000</v>
      </c>
      <c r="P125" s="280">
        <v>300000</v>
      </c>
      <c r="Q125" s="260" t="s">
        <v>12903</v>
      </c>
      <c r="R125" s="263" t="str">
        <f t="shared" ref="R125" si="122">IF(Q125=E125,"1", "kác")</f>
        <v>kác</v>
      </c>
      <c r="S125" s="263">
        <f t="shared" si="68"/>
        <v>0</v>
      </c>
    </row>
    <row r="126" spans="1:19" s="260" customFormat="1" ht="19.5" customHeight="1" x14ac:dyDescent="0.3">
      <c r="A126" s="271" t="s">
        <v>12745</v>
      </c>
      <c r="B126" s="215" t="s">
        <v>10493</v>
      </c>
      <c r="C126" s="215" t="s">
        <v>12931</v>
      </c>
      <c r="D126" s="215" t="str">
        <f t="shared" si="66"/>
        <v>DKG&lt;-&gt;Gia Lâm, Hà Nội</v>
      </c>
      <c r="E126" s="272">
        <v>226</v>
      </c>
      <c r="F126" s="273">
        <v>400</v>
      </c>
      <c r="G126" s="273">
        <v>1900</v>
      </c>
      <c r="H126" s="273">
        <v>1800</v>
      </c>
      <c r="I126" s="273">
        <v>100</v>
      </c>
      <c r="J126" s="273">
        <v>0</v>
      </c>
      <c r="K126" s="273">
        <v>0</v>
      </c>
      <c r="L126" s="274"/>
      <c r="M126" s="280" t="s">
        <v>12931</v>
      </c>
      <c r="N126" s="273">
        <v>1000000</v>
      </c>
      <c r="O126" s="280">
        <v>450000</v>
      </c>
      <c r="P126" s="280">
        <v>300000</v>
      </c>
      <c r="Q126" s="260" t="s">
        <v>12931</v>
      </c>
      <c r="R126" s="263" t="str">
        <f t="shared" ref="R126" si="123">IF(Q126=E126,"1", "kác")</f>
        <v>kác</v>
      </c>
      <c r="S126" s="263">
        <f t="shared" si="68"/>
        <v>0</v>
      </c>
    </row>
    <row r="127" spans="1:19" s="260" customFormat="1" ht="19.5" customHeight="1" x14ac:dyDescent="0.3">
      <c r="A127" s="271" t="s">
        <v>12745</v>
      </c>
      <c r="B127" s="215" t="s">
        <v>10493</v>
      </c>
      <c r="C127" s="215" t="s">
        <v>13111</v>
      </c>
      <c r="D127" s="215" t="str">
        <f t="shared" si="66"/>
        <v>DKG&lt;-&gt;Ông Toản (Gia Lâm), Hà Nội</v>
      </c>
      <c r="E127" s="272">
        <v>226</v>
      </c>
      <c r="F127" s="273">
        <v>350</v>
      </c>
      <c r="G127" s="273">
        <v>1900</v>
      </c>
      <c r="H127" s="273">
        <v>1800</v>
      </c>
      <c r="I127" s="273">
        <v>100</v>
      </c>
      <c r="J127" s="273">
        <v>0</v>
      </c>
      <c r="K127" s="273">
        <v>0</v>
      </c>
      <c r="L127" s="274"/>
      <c r="M127" s="280" t="s">
        <v>13111</v>
      </c>
      <c r="N127" s="273">
        <v>900000</v>
      </c>
      <c r="O127" s="280">
        <v>450000</v>
      </c>
      <c r="P127" s="280">
        <v>300000</v>
      </c>
      <c r="Q127" s="260" t="s">
        <v>13111</v>
      </c>
      <c r="R127" s="263" t="str">
        <f t="shared" ref="R127" si="124">IF(Q127=E127,"1", "kác")</f>
        <v>kác</v>
      </c>
      <c r="S127" s="263">
        <f t="shared" si="68"/>
        <v>0</v>
      </c>
    </row>
    <row r="128" spans="1:19" s="260" customFormat="1" ht="19.5" customHeight="1" x14ac:dyDescent="0.3">
      <c r="A128" s="271" t="s">
        <v>12745</v>
      </c>
      <c r="B128" s="215" t="s">
        <v>10493</v>
      </c>
      <c r="C128" s="215" t="s">
        <v>12932</v>
      </c>
      <c r="D128" s="215" t="str">
        <f t="shared" si="66"/>
        <v>DKG&lt;-&gt;Đông Anh, Hà Nội</v>
      </c>
      <c r="E128" s="272">
        <v>268</v>
      </c>
      <c r="F128" s="273">
        <v>400</v>
      </c>
      <c r="G128" s="273">
        <v>2100</v>
      </c>
      <c r="H128" s="273">
        <v>2000</v>
      </c>
      <c r="I128" s="273">
        <v>100</v>
      </c>
      <c r="J128" s="273">
        <v>0</v>
      </c>
      <c r="K128" s="273">
        <v>0</v>
      </c>
      <c r="L128" s="274"/>
      <c r="M128" s="280" t="s">
        <v>12932</v>
      </c>
      <c r="N128" s="273">
        <v>1000000</v>
      </c>
      <c r="O128" s="280">
        <v>500000</v>
      </c>
      <c r="P128" s="280">
        <v>300000</v>
      </c>
      <c r="Q128" s="260" t="s">
        <v>12932</v>
      </c>
      <c r="R128" s="263" t="str">
        <f t="shared" ref="R128" si="125">IF(Q128=E128,"1", "kác")</f>
        <v>kác</v>
      </c>
      <c r="S128" s="263">
        <f t="shared" si="68"/>
        <v>0</v>
      </c>
    </row>
    <row r="129" spans="1:19" s="260" customFormat="1" ht="19.5" customHeight="1" x14ac:dyDescent="0.3">
      <c r="A129" s="271" t="s">
        <v>12745</v>
      </c>
      <c r="B129" s="215" t="s">
        <v>10493</v>
      </c>
      <c r="C129" s="215" t="s">
        <v>12936</v>
      </c>
      <c r="D129" s="215" t="str">
        <f t="shared" si="66"/>
        <v>DKG&lt;-&gt;Thanh Trì, Hà Nội</v>
      </c>
      <c r="E129" s="272">
        <v>248</v>
      </c>
      <c r="F129" s="273">
        <v>400</v>
      </c>
      <c r="G129" s="273">
        <v>2100</v>
      </c>
      <c r="H129" s="273">
        <v>2000</v>
      </c>
      <c r="I129" s="273">
        <v>100</v>
      </c>
      <c r="J129" s="273">
        <v>0</v>
      </c>
      <c r="K129" s="273">
        <v>0</v>
      </c>
      <c r="L129" s="274"/>
      <c r="M129" s="280" t="s">
        <v>12936</v>
      </c>
      <c r="N129" s="273">
        <v>1000000</v>
      </c>
      <c r="O129" s="280">
        <v>500000</v>
      </c>
      <c r="P129" s="280">
        <v>300000</v>
      </c>
      <c r="Q129" s="260" t="s">
        <v>12936</v>
      </c>
      <c r="R129" s="263" t="str">
        <f t="shared" ref="R129" si="126">IF(Q129=E129,"1", "kác")</f>
        <v>kác</v>
      </c>
      <c r="S129" s="263">
        <f t="shared" si="68"/>
        <v>0</v>
      </c>
    </row>
    <row r="130" spans="1:19" s="260" customFormat="1" ht="19.5" customHeight="1" x14ac:dyDescent="0.3">
      <c r="A130" s="271" t="s">
        <v>12745</v>
      </c>
      <c r="B130" s="215" t="s">
        <v>10493</v>
      </c>
      <c r="C130" s="215" t="s">
        <v>13112</v>
      </c>
      <c r="D130" s="215" t="str">
        <f t="shared" si="66"/>
        <v>DKG&lt;-&gt;Văn Điển (Thanh Trì), Hà Nội</v>
      </c>
      <c r="E130" s="272">
        <v>242</v>
      </c>
      <c r="F130" s="273">
        <v>400</v>
      </c>
      <c r="G130" s="273">
        <v>2100</v>
      </c>
      <c r="H130" s="273">
        <v>2000</v>
      </c>
      <c r="I130" s="273">
        <v>100</v>
      </c>
      <c r="J130" s="273">
        <v>0</v>
      </c>
      <c r="K130" s="273">
        <v>0</v>
      </c>
      <c r="L130" s="274"/>
      <c r="M130" s="280" t="s">
        <v>13112</v>
      </c>
      <c r="N130" s="273">
        <v>1000000</v>
      </c>
      <c r="O130" s="280">
        <v>450000</v>
      </c>
      <c r="P130" s="280">
        <v>300000</v>
      </c>
      <c r="Q130" s="260" t="s">
        <v>13112</v>
      </c>
      <c r="R130" s="263" t="str">
        <f t="shared" ref="R130" si="127">IF(Q130=E130,"1", "kác")</f>
        <v>kác</v>
      </c>
      <c r="S130" s="263">
        <f t="shared" si="68"/>
        <v>0</v>
      </c>
    </row>
    <row r="131" spans="1:19" s="260" customFormat="1" ht="19.5" customHeight="1" x14ac:dyDescent="0.3">
      <c r="A131" s="271" t="s">
        <v>12745</v>
      </c>
      <c r="B131" s="215" t="s">
        <v>10493</v>
      </c>
      <c r="C131" s="215" t="s">
        <v>13113</v>
      </c>
      <c r="D131" s="215" t="str">
        <f t="shared" si="66"/>
        <v>DKG&lt;-&gt;Ngọc Hồi (Thanh Trì), Hà Nội</v>
      </c>
      <c r="E131" s="272">
        <v>244</v>
      </c>
      <c r="F131" s="273">
        <v>400</v>
      </c>
      <c r="G131" s="273">
        <v>2100</v>
      </c>
      <c r="H131" s="273">
        <v>2000</v>
      </c>
      <c r="I131" s="273">
        <v>100</v>
      </c>
      <c r="J131" s="273">
        <v>0</v>
      </c>
      <c r="K131" s="273">
        <v>0</v>
      </c>
      <c r="L131" s="274"/>
      <c r="M131" s="280" t="s">
        <v>13113</v>
      </c>
      <c r="N131" s="273">
        <v>1000000</v>
      </c>
      <c r="O131" s="280">
        <v>500000</v>
      </c>
      <c r="P131" s="280">
        <v>300000</v>
      </c>
      <c r="Q131" s="260" t="s">
        <v>13113</v>
      </c>
      <c r="R131" s="263" t="str">
        <f t="shared" ref="R131" si="128">IF(Q131=E131,"1", "kác")</f>
        <v>kác</v>
      </c>
      <c r="S131" s="263">
        <f t="shared" si="68"/>
        <v>0</v>
      </c>
    </row>
    <row r="132" spans="1:19" s="260" customFormat="1" ht="19.5" customHeight="1" x14ac:dyDescent="0.3">
      <c r="A132" s="271" t="s">
        <v>12745</v>
      </c>
      <c r="B132" s="215" t="s">
        <v>10493</v>
      </c>
      <c r="C132" s="215" t="s">
        <v>12937</v>
      </c>
      <c r="D132" s="215" t="str">
        <f t="shared" si="66"/>
        <v>DKG&lt;-&gt;Trường Chinh, Hà Nội</v>
      </c>
      <c r="E132" s="272">
        <v>246</v>
      </c>
      <c r="F132" s="273">
        <v>400</v>
      </c>
      <c r="G132" s="273">
        <v>2100</v>
      </c>
      <c r="H132" s="273">
        <v>2000</v>
      </c>
      <c r="I132" s="273">
        <v>100</v>
      </c>
      <c r="J132" s="273">
        <v>0</v>
      </c>
      <c r="K132" s="273">
        <v>0</v>
      </c>
      <c r="L132" s="274"/>
      <c r="M132" s="280" t="s">
        <v>12937</v>
      </c>
      <c r="N132" s="273">
        <v>1000000</v>
      </c>
      <c r="O132" s="280">
        <v>500000</v>
      </c>
      <c r="P132" s="280">
        <v>300000</v>
      </c>
      <c r="Q132" s="260" t="s">
        <v>12937</v>
      </c>
      <c r="R132" s="263" t="str">
        <f t="shared" ref="R132" si="129">IF(Q132=E132,"1", "kác")</f>
        <v>kác</v>
      </c>
      <c r="S132" s="263">
        <f t="shared" si="68"/>
        <v>0</v>
      </c>
    </row>
    <row r="133" spans="1:19" s="260" customFormat="1" ht="19.5" customHeight="1" x14ac:dyDescent="0.3">
      <c r="A133" s="271" t="s">
        <v>12745</v>
      </c>
      <c r="B133" s="215" t="s">
        <v>10493</v>
      </c>
      <c r="C133" s="215" t="s">
        <v>12944</v>
      </c>
      <c r="D133" s="215" t="str">
        <f t="shared" si="66"/>
        <v>DKG&lt;-&gt;Hà Đông, Hà Nội</v>
      </c>
      <c r="E133" s="272">
        <v>280</v>
      </c>
      <c r="F133" s="273">
        <v>400</v>
      </c>
      <c r="G133" s="273">
        <v>2100</v>
      </c>
      <c r="H133" s="273">
        <v>2000</v>
      </c>
      <c r="I133" s="273">
        <v>100</v>
      </c>
      <c r="J133" s="273">
        <v>0</v>
      </c>
      <c r="K133" s="273">
        <v>0</v>
      </c>
      <c r="L133" s="274"/>
      <c r="M133" s="280" t="s">
        <v>12944</v>
      </c>
      <c r="N133" s="273">
        <v>1000000</v>
      </c>
      <c r="O133" s="280">
        <v>550000</v>
      </c>
      <c r="P133" s="280">
        <v>350000</v>
      </c>
      <c r="Q133" s="260" t="s">
        <v>12944</v>
      </c>
      <c r="R133" s="263" t="str">
        <f t="shared" ref="R133" si="130">IF(Q133=E133,"1", "kác")</f>
        <v>kác</v>
      </c>
      <c r="S133" s="263">
        <f t="shared" si="68"/>
        <v>0</v>
      </c>
    </row>
    <row r="134" spans="1:19" s="260" customFormat="1" ht="19.5" customHeight="1" x14ac:dyDescent="0.3">
      <c r="A134" s="271" t="s">
        <v>12745</v>
      </c>
      <c r="B134" s="215" t="s">
        <v>10493</v>
      </c>
      <c r="C134" s="215" t="s">
        <v>12995</v>
      </c>
      <c r="D134" s="215" t="str">
        <f t="shared" si="66"/>
        <v>DKG&lt;-&gt;Hoài Đức, Hà Nội</v>
      </c>
      <c r="E134" s="272">
        <v>276</v>
      </c>
      <c r="F134" s="273">
        <v>400</v>
      </c>
      <c r="G134" s="273">
        <v>2100</v>
      </c>
      <c r="H134" s="273">
        <v>2000</v>
      </c>
      <c r="I134" s="273">
        <v>100</v>
      </c>
      <c r="J134" s="273">
        <v>0</v>
      </c>
      <c r="K134" s="273">
        <v>0</v>
      </c>
      <c r="L134" s="274"/>
      <c r="M134" s="280" t="s">
        <v>12995</v>
      </c>
      <c r="N134" s="273">
        <v>1000000</v>
      </c>
      <c r="O134" s="280">
        <v>550000</v>
      </c>
      <c r="P134" s="280">
        <v>350000</v>
      </c>
      <c r="Q134" s="260" t="s">
        <v>12995</v>
      </c>
      <c r="R134" s="263" t="str">
        <f t="shared" ref="R134" si="131">IF(Q134=E134,"1", "kác")</f>
        <v>kác</v>
      </c>
      <c r="S134" s="263">
        <f t="shared" si="68"/>
        <v>0</v>
      </c>
    </row>
    <row r="135" spans="1:19" s="260" customFormat="1" ht="19.5" customHeight="1" x14ac:dyDescent="0.3">
      <c r="A135" s="271" t="s">
        <v>12745</v>
      </c>
      <c r="B135" s="215" t="s">
        <v>10493</v>
      </c>
      <c r="C135" s="215" t="s">
        <v>12945</v>
      </c>
      <c r="D135" s="215" t="str">
        <f t="shared" ref="D135:D198" si="132">CONCATENATE("DKG&lt;-&gt;",C135,IF(C135="TP",". ",", "),B135)</f>
        <v>DKG&lt;-&gt;Quốc Oai, Hà Nội</v>
      </c>
      <c r="E135" s="272">
        <v>300</v>
      </c>
      <c r="F135" s="273">
        <v>430</v>
      </c>
      <c r="G135" s="273">
        <v>2200</v>
      </c>
      <c r="H135" s="273">
        <v>2100</v>
      </c>
      <c r="I135" s="273">
        <v>100</v>
      </c>
      <c r="J135" s="273">
        <v>0</v>
      </c>
      <c r="K135" s="273">
        <v>0</v>
      </c>
      <c r="L135" s="274"/>
      <c r="M135" s="280" t="s">
        <v>12945</v>
      </c>
      <c r="N135" s="273">
        <v>1100000</v>
      </c>
      <c r="O135" s="280">
        <v>550000</v>
      </c>
      <c r="P135" s="280">
        <v>350000</v>
      </c>
      <c r="Q135" s="260" t="s">
        <v>12945</v>
      </c>
      <c r="R135" s="263" t="str">
        <f t="shared" ref="R135" si="133">IF(Q135=E135,"1", "kác")</f>
        <v>kác</v>
      </c>
      <c r="S135" s="263">
        <f t="shared" ref="S135:S198" si="134">IF(M135=C135,0,1)</f>
        <v>0</v>
      </c>
    </row>
    <row r="136" spans="1:19" s="260" customFormat="1" ht="19.5" customHeight="1" x14ac:dyDescent="0.3">
      <c r="A136" s="271" t="s">
        <v>12745</v>
      </c>
      <c r="B136" s="215" t="s">
        <v>10493</v>
      </c>
      <c r="C136" s="215" t="s">
        <v>12946</v>
      </c>
      <c r="D136" s="215" t="str">
        <f t="shared" si="132"/>
        <v>DKG&lt;-&gt;Thạch Thất, Hà Nội</v>
      </c>
      <c r="E136" s="272">
        <v>314</v>
      </c>
      <c r="F136" s="273">
        <v>450</v>
      </c>
      <c r="G136" s="273">
        <v>2200</v>
      </c>
      <c r="H136" s="273">
        <v>2100</v>
      </c>
      <c r="I136" s="273">
        <v>100</v>
      </c>
      <c r="J136" s="273">
        <v>0</v>
      </c>
      <c r="K136" s="273">
        <v>0</v>
      </c>
      <c r="L136" s="274"/>
      <c r="M136" s="280" t="s">
        <v>12946</v>
      </c>
      <c r="N136" s="273">
        <v>1100000</v>
      </c>
      <c r="O136" s="280">
        <v>600000</v>
      </c>
      <c r="P136" s="280">
        <v>400000</v>
      </c>
      <c r="Q136" s="260" t="s">
        <v>12946</v>
      </c>
      <c r="R136" s="263" t="str">
        <f t="shared" ref="R136" si="135">IF(Q136=E136,"1", "kác")</f>
        <v>kác</v>
      </c>
      <c r="S136" s="263">
        <f t="shared" si="134"/>
        <v>0</v>
      </c>
    </row>
    <row r="137" spans="1:19" s="260" customFormat="1" ht="19.5" customHeight="1" x14ac:dyDescent="0.3">
      <c r="A137" s="271" t="s">
        <v>12745</v>
      </c>
      <c r="B137" s="215" t="s">
        <v>10493</v>
      </c>
      <c r="C137" s="215" t="s">
        <v>13114</v>
      </c>
      <c r="D137" s="215" t="str">
        <f t="shared" si="132"/>
        <v>DKG&lt;-&gt;Canh Nậu (Thạch Thất), Hà Nội</v>
      </c>
      <c r="E137" s="272">
        <v>315</v>
      </c>
      <c r="F137" s="273">
        <v>450</v>
      </c>
      <c r="G137" s="273">
        <v>2200</v>
      </c>
      <c r="H137" s="273">
        <v>2100</v>
      </c>
      <c r="I137" s="273">
        <v>100</v>
      </c>
      <c r="J137" s="273">
        <v>0</v>
      </c>
      <c r="K137" s="273">
        <v>0</v>
      </c>
      <c r="L137" s="274"/>
      <c r="M137" s="280" t="s">
        <v>13114</v>
      </c>
      <c r="N137" s="273">
        <v>1100000</v>
      </c>
      <c r="O137" s="280">
        <v>600000</v>
      </c>
      <c r="P137" s="280">
        <v>400000</v>
      </c>
      <c r="Q137" s="260" t="s">
        <v>13114</v>
      </c>
      <c r="R137" s="263" t="str">
        <f t="shared" ref="R137" si="136">IF(Q137=E137,"1", "kác")</f>
        <v>kác</v>
      </c>
      <c r="S137" s="263">
        <f t="shared" si="134"/>
        <v>0</v>
      </c>
    </row>
    <row r="138" spans="1:19" s="260" customFormat="1" ht="19.5" customHeight="1" x14ac:dyDescent="0.3">
      <c r="A138" s="271" t="s">
        <v>12745</v>
      </c>
      <c r="B138" s="215" t="s">
        <v>10493</v>
      </c>
      <c r="C138" s="215" t="s">
        <v>12940</v>
      </c>
      <c r="D138" s="215" t="str">
        <f t="shared" si="132"/>
        <v>DKG&lt;-&gt;Đan Phượng, Hà Nội</v>
      </c>
      <c r="E138" s="272">
        <v>316</v>
      </c>
      <c r="F138" s="273">
        <v>450</v>
      </c>
      <c r="G138" s="273">
        <v>2200</v>
      </c>
      <c r="H138" s="273">
        <v>2100</v>
      </c>
      <c r="I138" s="273">
        <v>100</v>
      </c>
      <c r="J138" s="273">
        <v>0</v>
      </c>
      <c r="K138" s="273">
        <v>0</v>
      </c>
      <c r="L138" s="274"/>
      <c r="M138" s="280" t="s">
        <v>12940</v>
      </c>
      <c r="N138" s="273">
        <v>1100000</v>
      </c>
      <c r="O138" s="280">
        <v>600000</v>
      </c>
      <c r="P138" s="280">
        <v>400000</v>
      </c>
      <c r="Q138" s="260" t="s">
        <v>12940</v>
      </c>
      <c r="R138" s="263" t="str">
        <f t="shared" ref="R138" si="137">IF(Q138=E138,"1", "kác")</f>
        <v>kác</v>
      </c>
      <c r="S138" s="263">
        <f t="shared" si="134"/>
        <v>0</v>
      </c>
    </row>
    <row r="139" spans="1:19" s="260" customFormat="1" ht="19.5" customHeight="1" x14ac:dyDescent="0.3">
      <c r="A139" s="271" t="s">
        <v>12745</v>
      </c>
      <c r="B139" s="215" t="s">
        <v>10493</v>
      </c>
      <c r="C139" s="215" t="s">
        <v>12941</v>
      </c>
      <c r="D139" s="215" t="str">
        <f t="shared" si="132"/>
        <v>DKG&lt;-&gt;Phúc Thọ, Hà Nội</v>
      </c>
      <c r="E139" s="272">
        <v>304</v>
      </c>
      <c r="F139" s="273">
        <v>450</v>
      </c>
      <c r="G139" s="273">
        <v>2200</v>
      </c>
      <c r="H139" s="273">
        <v>2100</v>
      </c>
      <c r="I139" s="273">
        <v>100</v>
      </c>
      <c r="J139" s="273">
        <v>0</v>
      </c>
      <c r="K139" s="273">
        <v>0</v>
      </c>
      <c r="L139" s="274"/>
      <c r="M139" s="280" t="s">
        <v>12941</v>
      </c>
      <c r="N139" s="273">
        <v>1100000</v>
      </c>
      <c r="O139" s="280">
        <v>600000</v>
      </c>
      <c r="P139" s="280">
        <v>400000</v>
      </c>
      <c r="Q139" s="260" t="s">
        <v>12941</v>
      </c>
      <c r="R139" s="263" t="str">
        <f t="shared" ref="R139" si="138">IF(Q139=E139,"1", "kác")</f>
        <v>kác</v>
      </c>
      <c r="S139" s="263">
        <f t="shared" si="134"/>
        <v>0</v>
      </c>
    </row>
    <row r="140" spans="1:19" s="260" customFormat="1" ht="19.5" customHeight="1" x14ac:dyDescent="0.3">
      <c r="A140" s="271" t="s">
        <v>12745</v>
      </c>
      <c r="B140" s="215" t="s">
        <v>10493</v>
      </c>
      <c r="C140" s="215" t="s">
        <v>13115</v>
      </c>
      <c r="D140" s="215" t="str">
        <f t="shared" si="132"/>
        <v>DKG&lt;-&gt;Sơn Tây (Ba Vì), Hà Nội</v>
      </c>
      <c r="E140" s="272">
        <v>352</v>
      </c>
      <c r="F140" s="273">
        <v>500</v>
      </c>
      <c r="G140" s="273">
        <v>2500</v>
      </c>
      <c r="H140" s="273">
        <v>2400</v>
      </c>
      <c r="I140" s="273">
        <v>100</v>
      </c>
      <c r="J140" s="273">
        <v>0</v>
      </c>
      <c r="K140" s="273">
        <v>0</v>
      </c>
      <c r="L140" s="274"/>
      <c r="M140" s="280" t="s">
        <v>13115</v>
      </c>
      <c r="N140" s="273">
        <v>1300000</v>
      </c>
      <c r="O140" s="280">
        <v>650000</v>
      </c>
      <c r="P140" s="280">
        <v>400000</v>
      </c>
      <c r="Q140" s="260" t="s">
        <v>13115</v>
      </c>
      <c r="R140" s="263" t="str">
        <f t="shared" ref="R140" si="139">IF(Q140=E140,"1", "kác")</f>
        <v>kác</v>
      </c>
      <c r="S140" s="263">
        <f t="shared" si="134"/>
        <v>0</v>
      </c>
    </row>
    <row r="141" spans="1:19" s="260" customFormat="1" ht="19.5" customHeight="1" x14ac:dyDescent="0.3">
      <c r="A141" s="271" t="s">
        <v>12745</v>
      </c>
      <c r="B141" s="215" t="s">
        <v>10493</v>
      </c>
      <c r="C141" s="215" t="s">
        <v>12949</v>
      </c>
      <c r="D141" s="215" t="str">
        <f t="shared" si="132"/>
        <v>DKG&lt;-&gt;Ứng Hòa, Hà Nội</v>
      </c>
      <c r="E141" s="272">
        <v>330</v>
      </c>
      <c r="F141" s="273">
        <v>450</v>
      </c>
      <c r="G141" s="273">
        <v>2200</v>
      </c>
      <c r="H141" s="273">
        <v>2100</v>
      </c>
      <c r="I141" s="273">
        <v>100</v>
      </c>
      <c r="J141" s="273">
        <v>0</v>
      </c>
      <c r="K141" s="273">
        <v>0</v>
      </c>
      <c r="L141" s="274"/>
      <c r="M141" s="280" t="s">
        <v>12949</v>
      </c>
      <c r="N141" s="273">
        <v>1100000</v>
      </c>
      <c r="O141" s="280">
        <v>650000</v>
      </c>
      <c r="P141" s="280">
        <v>400000</v>
      </c>
      <c r="Q141" s="260" t="s">
        <v>12949</v>
      </c>
      <c r="R141" s="263" t="str">
        <f t="shared" ref="R141" si="140">IF(Q141=E141,"1", "kác")</f>
        <v>kác</v>
      </c>
      <c r="S141" s="263">
        <f t="shared" si="134"/>
        <v>0</v>
      </c>
    </row>
    <row r="142" spans="1:19" s="260" customFormat="1" ht="19.5" customHeight="1" x14ac:dyDescent="0.3">
      <c r="A142" s="271" t="s">
        <v>12745</v>
      </c>
      <c r="B142" s="215" t="s">
        <v>10493</v>
      </c>
      <c r="C142" s="215" t="s">
        <v>12952</v>
      </c>
      <c r="D142" s="215" t="str">
        <f t="shared" si="132"/>
        <v>DKG&lt;-&gt;Mỹ Đức, Hà Nội</v>
      </c>
      <c r="E142" s="272">
        <v>414</v>
      </c>
      <c r="F142" s="273">
        <v>480</v>
      </c>
      <c r="G142" s="273">
        <v>2200</v>
      </c>
      <c r="H142" s="273">
        <v>2100</v>
      </c>
      <c r="I142" s="273">
        <v>100</v>
      </c>
      <c r="J142" s="273">
        <v>0</v>
      </c>
      <c r="K142" s="273">
        <v>0</v>
      </c>
      <c r="L142" s="274"/>
      <c r="M142" s="280" t="s">
        <v>12952</v>
      </c>
      <c r="N142" s="273">
        <v>1200000</v>
      </c>
      <c r="O142" s="280">
        <v>650000</v>
      </c>
      <c r="P142" s="280">
        <v>400000</v>
      </c>
      <c r="Q142" s="260" t="s">
        <v>12952</v>
      </c>
      <c r="R142" s="263" t="str">
        <f t="shared" ref="R142" si="141">IF(Q142=E142,"1", "kác")</f>
        <v>kác</v>
      </c>
      <c r="S142" s="263">
        <f t="shared" si="134"/>
        <v>0</v>
      </c>
    </row>
    <row r="143" spans="1:19" s="260" customFormat="1" ht="19.5" customHeight="1" x14ac:dyDescent="0.3">
      <c r="A143" s="271" t="s">
        <v>12745</v>
      </c>
      <c r="B143" s="215" t="s">
        <v>10493</v>
      </c>
      <c r="C143" s="215" t="s">
        <v>13116</v>
      </c>
      <c r="D143" s="215" t="str">
        <f t="shared" si="132"/>
        <v>DKG&lt;-&gt;Ba La, Hà Nội</v>
      </c>
      <c r="E143" s="272">
        <v>285</v>
      </c>
      <c r="F143" s="273">
        <v>450</v>
      </c>
      <c r="G143" s="273">
        <v>2200</v>
      </c>
      <c r="H143" s="273">
        <v>2100</v>
      </c>
      <c r="I143" s="273">
        <v>100</v>
      </c>
      <c r="J143" s="273">
        <v>0</v>
      </c>
      <c r="K143" s="273">
        <v>0</v>
      </c>
      <c r="L143" s="274"/>
      <c r="M143" s="280" t="s">
        <v>13116</v>
      </c>
      <c r="N143" s="273">
        <v>1100000</v>
      </c>
      <c r="O143" s="280">
        <v>550000</v>
      </c>
      <c r="P143" s="280">
        <v>450000</v>
      </c>
      <c r="Q143" s="260" t="s">
        <v>13116</v>
      </c>
      <c r="R143" s="263" t="str">
        <f t="shared" ref="R143" si="142">IF(Q143=E143,"1", "kác")</f>
        <v>kác</v>
      </c>
      <c r="S143" s="263">
        <f t="shared" si="134"/>
        <v>0</v>
      </c>
    </row>
    <row r="144" spans="1:19" s="260" customFormat="1" ht="19.5" customHeight="1" x14ac:dyDescent="0.3">
      <c r="A144" s="271" t="s">
        <v>12745</v>
      </c>
      <c r="B144" s="215" t="s">
        <v>10493</v>
      </c>
      <c r="C144" s="215" t="s">
        <v>13117</v>
      </c>
      <c r="D144" s="215" t="str">
        <f t="shared" si="132"/>
        <v>DKG&lt;-&gt;Xuân Mai (Chương Mỹ), Hà Nội</v>
      </c>
      <c r="E144" s="272">
        <v>296</v>
      </c>
      <c r="F144" s="273">
        <v>500</v>
      </c>
      <c r="G144" s="273">
        <v>2200</v>
      </c>
      <c r="H144" s="273">
        <v>2100</v>
      </c>
      <c r="I144" s="273">
        <v>100</v>
      </c>
      <c r="J144" s="273">
        <v>0</v>
      </c>
      <c r="K144" s="273">
        <v>0</v>
      </c>
      <c r="L144" s="274"/>
      <c r="M144" s="280" t="s">
        <v>13117</v>
      </c>
      <c r="N144" s="273">
        <v>1300000</v>
      </c>
      <c r="O144" s="280">
        <v>600000</v>
      </c>
      <c r="P144" s="280">
        <v>400000</v>
      </c>
      <c r="Q144" s="260" t="s">
        <v>13117</v>
      </c>
      <c r="R144" s="263" t="str">
        <f t="shared" ref="R144" si="143">IF(Q144=E144,"1", "kác")</f>
        <v>kác</v>
      </c>
      <c r="S144" s="263">
        <f t="shared" si="134"/>
        <v>0</v>
      </c>
    </row>
    <row r="145" spans="1:19" s="260" customFormat="1" ht="19.5" customHeight="1" x14ac:dyDescent="0.3">
      <c r="A145" s="271" t="s">
        <v>12745</v>
      </c>
      <c r="B145" s="215" t="s">
        <v>10493</v>
      </c>
      <c r="C145" s="215" t="s">
        <v>13118</v>
      </c>
      <c r="D145" s="215" t="str">
        <f t="shared" si="132"/>
        <v>DKG&lt;-&gt;Trúc Sơn (Chương Mỹ), Hà Nội</v>
      </c>
      <c r="E145" s="272">
        <v>295</v>
      </c>
      <c r="F145" s="273">
        <v>450</v>
      </c>
      <c r="G145" s="273">
        <v>2200</v>
      </c>
      <c r="H145" s="273">
        <v>2100</v>
      </c>
      <c r="I145" s="273">
        <v>100</v>
      </c>
      <c r="J145" s="273">
        <v>0</v>
      </c>
      <c r="K145" s="273">
        <v>0</v>
      </c>
      <c r="L145" s="274"/>
      <c r="M145" s="280" t="s">
        <v>13118</v>
      </c>
      <c r="N145" s="273">
        <v>1100000</v>
      </c>
      <c r="O145" s="280">
        <v>600000</v>
      </c>
      <c r="P145" s="280">
        <v>400000</v>
      </c>
      <c r="Q145" s="260" t="s">
        <v>13118</v>
      </c>
      <c r="R145" s="263" t="str">
        <f t="shared" ref="R145" si="144">IF(Q145=E145,"1", "kác")</f>
        <v>kác</v>
      </c>
      <c r="S145" s="263">
        <f t="shared" si="134"/>
        <v>0</v>
      </c>
    </row>
    <row r="146" spans="1:19" s="260" customFormat="1" ht="19.5" customHeight="1" x14ac:dyDescent="0.3">
      <c r="A146" s="271" t="s">
        <v>12745</v>
      </c>
      <c r="B146" s="215" t="s">
        <v>10493</v>
      </c>
      <c r="C146" s="215" t="s">
        <v>13119</v>
      </c>
      <c r="D146" s="215" t="str">
        <f t="shared" si="132"/>
        <v>DKG&lt;-&gt;Ông Hanh (Trúc Sơn, Chương Mỹ), Hà Nội</v>
      </c>
      <c r="E146" s="272">
        <v>280</v>
      </c>
      <c r="F146" s="273">
        <v>420</v>
      </c>
      <c r="G146" s="273">
        <v>2200</v>
      </c>
      <c r="H146" s="273">
        <v>2100</v>
      </c>
      <c r="I146" s="273">
        <v>100</v>
      </c>
      <c r="J146" s="273">
        <v>0</v>
      </c>
      <c r="K146" s="273">
        <v>0</v>
      </c>
      <c r="L146" s="274"/>
      <c r="M146" s="280" t="s">
        <v>13119</v>
      </c>
      <c r="N146" s="273">
        <v>1000000</v>
      </c>
      <c r="O146" s="280">
        <v>600000</v>
      </c>
      <c r="P146" s="280">
        <v>400000</v>
      </c>
      <c r="Q146" s="260" t="s">
        <v>13119</v>
      </c>
      <c r="R146" s="263" t="str">
        <f t="shared" ref="R146" si="145">IF(Q146=E146,"1", "kác")</f>
        <v>kác</v>
      </c>
      <c r="S146" s="263">
        <f t="shared" si="134"/>
        <v>0</v>
      </c>
    </row>
    <row r="147" spans="1:19" s="260" customFormat="1" ht="19.5" customHeight="1" x14ac:dyDescent="0.3">
      <c r="A147" s="271" t="s">
        <v>12745</v>
      </c>
      <c r="B147" s="215" t="s">
        <v>10493</v>
      </c>
      <c r="C147" s="215" t="s">
        <v>13120</v>
      </c>
      <c r="D147" s="215" t="str">
        <f t="shared" si="132"/>
        <v>DKG&lt;-&gt;Văn Võ (Chương Mỹ), Hà Nội</v>
      </c>
      <c r="E147" s="272">
        <v>296</v>
      </c>
      <c r="F147" s="273">
        <v>500</v>
      </c>
      <c r="G147" s="273">
        <v>2200</v>
      </c>
      <c r="H147" s="273">
        <v>2100</v>
      </c>
      <c r="I147" s="273">
        <v>100</v>
      </c>
      <c r="J147" s="273">
        <v>0</v>
      </c>
      <c r="K147" s="273">
        <v>0</v>
      </c>
      <c r="L147" s="274"/>
      <c r="M147" s="280" t="s">
        <v>13120</v>
      </c>
      <c r="N147" s="273">
        <v>1300000</v>
      </c>
      <c r="O147" s="280">
        <v>600000</v>
      </c>
      <c r="P147" s="280">
        <v>400000</v>
      </c>
      <c r="Q147" s="260" t="s">
        <v>13120</v>
      </c>
      <c r="R147" s="263" t="str">
        <f t="shared" ref="R147" si="146">IF(Q147=E147,"1", "kác")</f>
        <v>kác</v>
      </c>
      <c r="S147" s="263">
        <f t="shared" si="134"/>
        <v>0</v>
      </c>
    </row>
    <row r="148" spans="1:19" s="260" customFormat="1" ht="19.5" customHeight="1" x14ac:dyDescent="0.3">
      <c r="A148" s="271" t="s">
        <v>12745</v>
      </c>
      <c r="B148" s="215" t="s">
        <v>10493</v>
      </c>
      <c r="C148" s="215" t="s">
        <v>12951</v>
      </c>
      <c r="D148" s="215" t="str">
        <f t="shared" si="132"/>
        <v>DKG&lt;-&gt;Ba Thá (Ứng Hòa), Hà Nội</v>
      </c>
      <c r="E148" s="272">
        <v>375</v>
      </c>
      <c r="F148" s="273">
        <v>480</v>
      </c>
      <c r="G148" s="273">
        <v>2200</v>
      </c>
      <c r="H148" s="273">
        <v>2100</v>
      </c>
      <c r="I148" s="273">
        <v>100</v>
      </c>
      <c r="J148" s="273">
        <v>0</v>
      </c>
      <c r="K148" s="273">
        <v>0</v>
      </c>
      <c r="L148" s="274"/>
      <c r="M148" s="280" t="s">
        <v>12951</v>
      </c>
      <c r="N148" s="273">
        <v>1200000</v>
      </c>
      <c r="O148" s="280">
        <v>600000</v>
      </c>
      <c r="P148" s="280">
        <v>400000</v>
      </c>
      <c r="Q148" s="260" t="s">
        <v>12951</v>
      </c>
      <c r="R148" s="263" t="str">
        <f t="shared" ref="R148" si="147">IF(Q148=E148,"1", "kác")</f>
        <v>kác</v>
      </c>
      <c r="S148" s="263">
        <f t="shared" si="134"/>
        <v>0</v>
      </c>
    </row>
    <row r="149" spans="1:19" s="260" customFormat="1" ht="19.5" customHeight="1" x14ac:dyDescent="0.3">
      <c r="A149" s="271" t="s">
        <v>12745</v>
      </c>
      <c r="B149" s="215" t="s">
        <v>10493</v>
      </c>
      <c r="C149" s="215" t="s">
        <v>12950</v>
      </c>
      <c r="D149" s="215" t="str">
        <f t="shared" si="132"/>
        <v>DKG&lt;-&gt;Vân Đình (Ứng Hòa), Hà Nội</v>
      </c>
      <c r="E149" s="272">
        <v>330</v>
      </c>
      <c r="F149" s="273">
        <v>450</v>
      </c>
      <c r="G149" s="273">
        <v>2200</v>
      </c>
      <c r="H149" s="273">
        <v>2100</v>
      </c>
      <c r="I149" s="273">
        <v>100</v>
      </c>
      <c r="J149" s="273">
        <v>0</v>
      </c>
      <c r="K149" s="273">
        <v>0</v>
      </c>
      <c r="L149" s="274"/>
      <c r="M149" s="280" t="s">
        <v>12950</v>
      </c>
      <c r="N149" s="273">
        <v>1100000</v>
      </c>
      <c r="O149" s="280">
        <v>600000</v>
      </c>
      <c r="P149" s="280">
        <v>400000</v>
      </c>
      <c r="Q149" s="260" t="s">
        <v>12950</v>
      </c>
      <c r="R149" s="263" t="str">
        <f t="shared" ref="R149" si="148">IF(Q149=E149,"1", "kác")</f>
        <v>kác</v>
      </c>
      <c r="S149" s="263">
        <f t="shared" si="134"/>
        <v>0</v>
      </c>
    </row>
    <row r="150" spans="1:19" s="260" customFormat="1" ht="19.5" customHeight="1" x14ac:dyDescent="0.3">
      <c r="A150" s="271" t="s">
        <v>12745</v>
      </c>
      <c r="B150" s="215" t="s">
        <v>10493</v>
      </c>
      <c r="C150" s="215" t="s">
        <v>13121</v>
      </c>
      <c r="D150" s="215" t="str">
        <f t="shared" si="132"/>
        <v>DKG&lt;-&gt;Bình Đà (Thanh Oai), Hà Nội</v>
      </c>
      <c r="E150" s="272">
        <v>270</v>
      </c>
      <c r="F150" s="273">
        <v>450</v>
      </c>
      <c r="G150" s="273">
        <v>2200</v>
      </c>
      <c r="H150" s="273">
        <v>2100</v>
      </c>
      <c r="I150" s="273">
        <v>100</v>
      </c>
      <c r="J150" s="273">
        <v>0</v>
      </c>
      <c r="K150" s="273">
        <v>0</v>
      </c>
      <c r="L150" s="274"/>
      <c r="M150" s="280" t="s">
        <v>13121</v>
      </c>
      <c r="N150" s="273">
        <v>1100000</v>
      </c>
      <c r="O150" s="280">
        <v>550000</v>
      </c>
      <c r="P150" s="280">
        <v>350000</v>
      </c>
      <c r="Q150" s="260" t="s">
        <v>13121</v>
      </c>
      <c r="R150" s="263" t="str">
        <f t="shared" ref="R150" si="149">IF(Q150=E150,"1", "kác")</f>
        <v>kác</v>
      </c>
      <c r="S150" s="263">
        <f t="shared" si="134"/>
        <v>0</v>
      </c>
    </row>
    <row r="151" spans="1:19" s="260" customFormat="1" ht="19.5" customHeight="1" x14ac:dyDescent="0.3">
      <c r="A151" s="271" t="s">
        <v>12745</v>
      </c>
      <c r="B151" s="215" t="s">
        <v>10493</v>
      </c>
      <c r="C151" s="215" t="s">
        <v>12948</v>
      </c>
      <c r="D151" s="215" t="str">
        <f t="shared" si="132"/>
        <v>DKG&lt;-&gt;Thanh Oai, Hà Nội</v>
      </c>
      <c r="E151" s="272">
        <v>298</v>
      </c>
      <c r="F151" s="273">
        <v>450</v>
      </c>
      <c r="G151" s="273">
        <v>2200</v>
      </c>
      <c r="H151" s="273">
        <v>2100</v>
      </c>
      <c r="I151" s="273">
        <v>100</v>
      </c>
      <c r="J151" s="273">
        <v>0</v>
      </c>
      <c r="K151" s="273">
        <v>0</v>
      </c>
      <c r="L151" s="274"/>
      <c r="M151" s="280" t="s">
        <v>12948</v>
      </c>
      <c r="N151" s="273">
        <v>1100000</v>
      </c>
      <c r="O151" s="280">
        <v>600000</v>
      </c>
      <c r="P151" s="280">
        <v>400000</v>
      </c>
      <c r="Q151" s="260" t="s">
        <v>12948</v>
      </c>
      <c r="R151" s="263" t="str">
        <f t="shared" ref="R151" si="150">IF(Q151=E151,"1", "kác")</f>
        <v>kác</v>
      </c>
      <c r="S151" s="263">
        <f t="shared" si="134"/>
        <v>0</v>
      </c>
    </row>
    <row r="152" spans="1:19" s="260" customFormat="1" ht="19.5" customHeight="1" x14ac:dyDescent="0.3">
      <c r="A152" s="271" t="s">
        <v>12745</v>
      </c>
      <c r="B152" s="215" t="s">
        <v>10493</v>
      </c>
      <c r="C152" s="215" t="s">
        <v>12933</v>
      </c>
      <c r="D152" s="215" t="str">
        <f t="shared" si="132"/>
        <v>DKG&lt;-&gt;Sóc Sơn, Hà Nội</v>
      </c>
      <c r="E152" s="272">
        <v>300</v>
      </c>
      <c r="F152" s="273">
        <v>450</v>
      </c>
      <c r="G152" s="273">
        <v>2300</v>
      </c>
      <c r="H152" s="273">
        <v>2200</v>
      </c>
      <c r="I152" s="273">
        <v>100</v>
      </c>
      <c r="J152" s="273">
        <v>0</v>
      </c>
      <c r="K152" s="273">
        <v>0</v>
      </c>
      <c r="L152" s="274"/>
      <c r="M152" s="280" t="s">
        <v>12933</v>
      </c>
      <c r="N152" s="273">
        <v>1100000</v>
      </c>
      <c r="O152" s="280">
        <v>550000</v>
      </c>
      <c r="P152" s="280">
        <v>350000</v>
      </c>
      <c r="Q152" s="260" t="s">
        <v>12933</v>
      </c>
      <c r="R152" s="263" t="str">
        <f t="shared" ref="R152" si="151">IF(Q152=E152,"1", "kác")</f>
        <v>kác</v>
      </c>
      <c r="S152" s="263">
        <f t="shared" si="134"/>
        <v>0</v>
      </c>
    </row>
    <row r="153" spans="1:19" s="260" customFormat="1" ht="19.5" customHeight="1" x14ac:dyDescent="0.3">
      <c r="A153" s="271" t="s">
        <v>12745</v>
      </c>
      <c r="B153" s="215" t="s">
        <v>10493</v>
      </c>
      <c r="C153" s="215" t="s">
        <v>13122</v>
      </c>
      <c r="D153" s="215" t="str">
        <f t="shared" si="132"/>
        <v>DKG&lt;-&gt;Ninh Sở (Thường Tín), Hà Nội</v>
      </c>
      <c r="E153" s="272">
        <v>254</v>
      </c>
      <c r="F153" s="273">
        <v>400</v>
      </c>
      <c r="G153" s="273">
        <v>2100</v>
      </c>
      <c r="H153" s="273">
        <v>2000</v>
      </c>
      <c r="I153" s="273">
        <v>100</v>
      </c>
      <c r="J153" s="273">
        <v>0</v>
      </c>
      <c r="K153" s="273">
        <v>0</v>
      </c>
      <c r="L153" s="274"/>
      <c r="M153" s="280" t="s">
        <v>13122</v>
      </c>
      <c r="N153" s="273">
        <v>1000000</v>
      </c>
      <c r="O153" s="280">
        <v>600000</v>
      </c>
      <c r="P153" s="280">
        <v>400000</v>
      </c>
      <c r="Q153" s="260" t="s">
        <v>13122</v>
      </c>
      <c r="R153" s="263" t="str">
        <f t="shared" ref="R153" si="152">IF(Q153=E153,"1", "kác")</f>
        <v>kác</v>
      </c>
      <c r="S153" s="263">
        <f t="shared" si="134"/>
        <v>0</v>
      </c>
    </row>
    <row r="154" spans="1:19" s="260" customFormat="1" ht="19.5" customHeight="1" x14ac:dyDescent="0.3">
      <c r="A154" s="271" t="s">
        <v>12745</v>
      </c>
      <c r="B154" s="215" t="s">
        <v>10493</v>
      </c>
      <c r="C154" s="215" t="s">
        <v>12939</v>
      </c>
      <c r="D154" s="215" t="str">
        <f t="shared" si="132"/>
        <v>DKG&lt;-&gt;Thường Tín, Hà Nội</v>
      </c>
      <c r="E154" s="272">
        <v>254</v>
      </c>
      <c r="F154" s="273">
        <v>400</v>
      </c>
      <c r="G154" s="273">
        <v>2100</v>
      </c>
      <c r="H154" s="273">
        <v>2000</v>
      </c>
      <c r="I154" s="273">
        <v>100</v>
      </c>
      <c r="J154" s="273">
        <v>0</v>
      </c>
      <c r="K154" s="273">
        <v>0</v>
      </c>
      <c r="L154" s="274"/>
      <c r="M154" s="280" t="s">
        <v>12939</v>
      </c>
      <c r="N154" s="273">
        <v>1000000</v>
      </c>
      <c r="O154" s="280">
        <v>600000</v>
      </c>
      <c r="P154" s="280">
        <v>400000</v>
      </c>
      <c r="Q154" s="260" t="s">
        <v>12939</v>
      </c>
      <c r="R154" s="263" t="str">
        <f t="shared" ref="R154" si="153">IF(Q154=E154,"1", "kác")</f>
        <v>kác</v>
      </c>
      <c r="S154" s="263">
        <f t="shared" si="134"/>
        <v>0</v>
      </c>
    </row>
    <row r="155" spans="1:19" s="260" customFormat="1" ht="19.5" customHeight="1" x14ac:dyDescent="0.3">
      <c r="A155" s="271" t="s">
        <v>12745</v>
      </c>
      <c r="B155" s="215" t="s">
        <v>10493</v>
      </c>
      <c r="C155" s="215" t="s">
        <v>13123</v>
      </c>
      <c r="D155" s="215" t="str">
        <f t="shared" si="132"/>
        <v>DKG&lt;-&gt;Đỗ Xá (Thường Tín), Hà Nội</v>
      </c>
      <c r="E155" s="272">
        <v>280</v>
      </c>
      <c r="F155" s="273">
        <v>400</v>
      </c>
      <c r="G155" s="273">
        <v>2100</v>
      </c>
      <c r="H155" s="273">
        <v>2000</v>
      </c>
      <c r="I155" s="273">
        <v>100</v>
      </c>
      <c r="J155" s="273">
        <v>0</v>
      </c>
      <c r="K155" s="273">
        <v>0</v>
      </c>
      <c r="L155" s="274"/>
      <c r="M155" s="280" t="s">
        <v>13123</v>
      </c>
      <c r="N155" s="273">
        <v>1000000</v>
      </c>
      <c r="O155" s="280">
        <v>600000</v>
      </c>
      <c r="P155" s="280">
        <v>400000</v>
      </c>
      <c r="Q155" s="260" t="s">
        <v>13123</v>
      </c>
      <c r="R155" s="263" t="str">
        <f t="shared" ref="R155" si="154">IF(Q155=E155,"1", "kác")</f>
        <v>kác</v>
      </c>
      <c r="S155" s="263">
        <f t="shared" si="134"/>
        <v>0</v>
      </c>
    </row>
    <row r="156" spans="1:19" s="260" customFormat="1" ht="19.5" customHeight="1" x14ac:dyDescent="0.3">
      <c r="A156" s="271" t="s">
        <v>12745</v>
      </c>
      <c r="B156" s="215" t="s">
        <v>10493</v>
      </c>
      <c r="C156" s="215" t="s">
        <v>10318</v>
      </c>
      <c r="D156" s="215" t="str">
        <f t="shared" si="132"/>
        <v>DKG&lt;-&gt;Phú Xuyên, Hà Nội</v>
      </c>
      <c r="E156" s="272">
        <v>290</v>
      </c>
      <c r="F156" s="273">
        <v>450</v>
      </c>
      <c r="G156" s="273">
        <v>2200</v>
      </c>
      <c r="H156" s="273">
        <v>2100</v>
      </c>
      <c r="I156" s="273">
        <v>100</v>
      </c>
      <c r="J156" s="273">
        <v>0</v>
      </c>
      <c r="K156" s="273">
        <v>0</v>
      </c>
      <c r="L156" s="274"/>
      <c r="M156" s="280" t="s">
        <v>10318</v>
      </c>
      <c r="N156" s="273">
        <v>1100000</v>
      </c>
      <c r="O156" s="280">
        <v>600000</v>
      </c>
      <c r="P156" s="280">
        <v>400000</v>
      </c>
      <c r="Q156" s="260" t="s">
        <v>10318</v>
      </c>
      <c r="R156" s="263" t="str">
        <f t="shared" ref="R156" si="155">IF(Q156=E156,"1", "kác")</f>
        <v>kác</v>
      </c>
      <c r="S156" s="263">
        <f t="shared" si="134"/>
        <v>0</v>
      </c>
    </row>
    <row r="157" spans="1:19" s="260" customFormat="1" ht="19.5" customHeight="1" x14ac:dyDescent="0.3">
      <c r="A157" s="271" t="s">
        <v>12745</v>
      </c>
      <c r="B157" s="215" t="s">
        <v>15002</v>
      </c>
      <c r="C157" s="215" t="s">
        <v>13045</v>
      </c>
      <c r="D157" s="215" t="str">
        <f t="shared" si="132"/>
        <v>DKG&lt;-&gt;Tp. Hoà Bình</v>
      </c>
      <c r="E157" s="272">
        <v>380</v>
      </c>
      <c r="F157" s="273">
        <v>600</v>
      </c>
      <c r="G157" s="273">
        <v>3350</v>
      </c>
      <c r="H157" s="273">
        <v>3250</v>
      </c>
      <c r="I157" s="273">
        <v>100</v>
      </c>
      <c r="J157" s="273">
        <v>0</v>
      </c>
      <c r="K157" s="273">
        <v>0</v>
      </c>
      <c r="L157" s="274" t="s">
        <v>14943</v>
      </c>
      <c r="M157" s="280" t="s">
        <v>13062</v>
      </c>
      <c r="N157" s="273">
        <v>1500000</v>
      </c>
      <c r="O157" s="280">
        <v>700000</v>
      </c>
      <c r="P157" s="280">
        <v>400000</v>
      </c>
      <c r="Q157" s="260" t="s">
        <v>13062</v>
      </c>
      <c r="R157" s="263" t="str">
        <f t="shared" ref="R157" si="156">IF(Q157=E157,"1", "kác")</f>
        <v>kác</v>
      </c>
      <c r="S157" s="263">
        <f t="shared" si="134"/>
        <v>1</v>
      </c>
    </row>
    <row r="158" spans="1:19" s="260" customFormat="1" ht="19.5" customHeight="1" x14ac:dyDescent="0.3">
      <c r="A158" s="271" t="s">
        <v>12745</v>
      </c>
      <c r="B158" s="215" t="s">
        <v>14983</v>
      </c>
      <c r="C158" s="215" t="s">
        <v>12907</v>
      </c>
      <c r="D158" s="215" t="str">
        <f t="shared" si="132"/>
        <v>DKG&lt;-&gt;Yên Lệnh, Hà Nam</v>
      </c>
      <c r="E158" s="272">
        <v>214</v>
      </c>
      <c r="F158" s="273">
        <v>420</v>
      </c>
      <c r="G158" s="273">
        <v>2450</v>
      </c>
      <c r="H158" s="273">
        <v>2350</v>
      </c>
      <c r="I158" s="273">
        <v>100</v>
      </c>
      <c r="J158" s="273">
        <v>0</v>
      </c>
      <c r="K158" s="273">
        <v>0</v>
      </c>
      <c r="L158" s="274" t="s">
        <v>13042</v>
      </c>
      <c r="M158" s="280" t="s">
        <v>12907</v>
      </c>
      <c r="N158" s="273">
        <v>1100000</v>
      </c>
      <c r="O158" s="280">
        <v>450000</v>
      </c>
      <c r="P158" s="280">
        <v>250000</v>
      </c>
      <c r="Q158" s="260" t="s">
        <v>12907</v>
      </c>
      <c r="R158" s="263" t="str">
        <f t="shared" ref="R158" si="157">IF(Q158=E158,"1", "kác")</f>
        <v>kác</v>
      </c>
      <c r="S158" s="263">
        <f t="shared" si="134"/>
        <v>0</v>
      </c>
    </row>
    <row r="159" spans="1:19" s="260" customFormat="1" ht="19.5" customHeight="1" x14ac:dyDescent="0.3">
      <c r="A159" s="271" t="s">
        <v>12745</v>
      </c>
      <c r="B159" s="215" t="s">
        <v>14983</v>
      </c>
      <c r="C159" s="215" t="s">
        <v>13124</v>
      </c>
      <c r="D159" s="215" t="str">
        <f t="shared" si="132"/>
        <v>DKG&lt;-&gt;Hòa Mạc (Duy Tiên), Hà Nam</v>
      </c>
      <c r="E159" s="272">
        <v>216</v>
      </c>
      <c r="F159" s="273">
        <v>420</v>
      </c>
      <c r="G159" s="273">
        <v>2450</v>
      </c>
      <c r="H159" s="273">
        <v>2350</v>
      </c>
      <c r="I159" s="273">
        <v>100</v>
      </c>
      <c r="J159" s="273">
        <v>0</v>
      </c>
      <c r="K159" s="273">
        <v>0</v>
      </c>
      <c r="L159" s="274"/>
      <c r="M159" s="280" t="s">
        <v>13124</v>
      </c>
      <c r="N159" s="273">
        <v>1100000</v>
      </c>
      <c r="O159" s="280">
        <v>500000</v>
      </c>
      <c r="P159" s="280">
        <v>300000</v>
      </c>
      <c r="Q159" s="260" t="s">
        <v>13124</v>
      </c>
      <c r="R159" s="263" t="str">
        <f t="shared" ref="R159" si="158">IF(Q159=E159,"1", "kác")</f>
        <v>kác</v>
      </c>
      <c r="S159" s="263">
        <f t="shared" si="134"/>
        <v>0</v>
      </c>
    </row>
    <row r="160" spans="1:19" s="260" customFormat="1" ht="19.5" customHeight="1" x14ac:dyDescent="0.3">
      <c r="A160" s="271" t="s">
        <v>12745</v>
      </c>
      <c r="B160" s="215" t="s">
        <v>14983</v>
      </c>
      <c r="C160" s="215" t="s">
        <v>12905</v>
      </c>
      <c r="D160" s="215" t="str">
        <f t="shared" si="132"/>
        <v>DKG&lt;-&gt;Duy Tiên, Hà Nam</v>
      </c>
      <c r="E160" s="272">
        <v>218</v>
      </c>
      <c r="F160" s="273">
        <v>450</v>
      </c>
      <c r="G160" s="273">
        <v>2450</v>
      </c>
      <c r="H160" s="273">
        <v>2350</v>
      </c>
      <c r="I160" s="273">
        <v>100</v>
      </c>
      <c r="J160" s="273">
        <v>0</v>
      </c>
      <c r="K160" s="273">
        <v>0</v>
      </c>
      <c r="L160" s="274"/>
      <c r="M160" s="280" t="s">
        <v>12905</v>
      </c>
      <c r="N160" s="273">
        <v>1100000</v>
      </c>
      <c r="O160" s="280">
        <v>500000</v>
      </c>
      <c r="P160" s="280">
        <v>300000</v>
      </c>
      <c r="Q160" s="260" t="s">
        <v>12905</v>
      </c>
      <c r="R160" s="263" t="str">
        <f t="shared" ref="R160" si="159">IF(Q160=E160,"1", "kác")</f>
        <v>kác</v>
      </c>
      <c r="S160" s="263">
        <f t="shared" si="134"/>
        <v>0</v>
      </c>
    </row>
    <row r="161" spans="1:19" s="260" customFormat="1" ht="19.5" customHeight="1" x14ac:dyDescent="0.3">
      <c r="A161" s="271" t="s">
        <v>12745</v>
      </c>
      <c r="B161" s="215" t="s">
        <v>14983</v>
      </c>
      <c r="C161" s="215" t="s">
        <v>13125</v>
      </c>
      <c r="D161" s="215" t="str">
        <f t="shared" si="132"/>
        <v>DKG&lt;-&gt;Đồng Văn (Duy Tiên), Hà Nam</v>
      </c>
      <c r="E161" s="272">
        <v>236</v>
      </c>
      <c r="F161" s="273">
        <v>450</v>
      </c>
      <c r="G161" s="273">
        <v>2450</v>
      </c>
      <c r="H161" s="273">
        <v>2350</v>
      </c>
      <c r="I161" s="273">
        <v>100</v>
      </c>
      <c r="J161" s="273">
        <v>0</v>
      </c>
      <c r="K161" s="273">
        <v>0</v>
      </c>
      <c r="L161" s="274"/>
      <c r="M161" s="280" t="s">
        <v>13125</v>
      </c>
      <c r="N161" s="273">
        <v>1100000</v>
      </c>
      <c r="O161" s="280">
        <v>500000</v>
      </c>
      <c r="P161" s="280">
        <v>300000</v>
      </c>
      <c r="Q161" s="260" t="s">
        <v>13125</v>
      </c>
      <c r="R161" s="263" t="str">
        <f t="shared" ref="R161" si="160">IF(Q161=E161,"1", "kác")</f>
        <v>kác</v>
      </c>
      <c r="S161" s="263">
        <f t="shared" si="134"/>
        <v>0</v>
      </c>
    </row>
    <row r="162" spans="1:19" s="260" customFormat="1" ht="19.5" customHeight="1" x14ac:dyDescent="0.3">
      <c r="A162" s="271" t="s">
        <v>12745</v>
      </c>
      <c r="B162" s="215" t="s">
        <v>14983</v>
      </c>
      <c r="C162" s="215" t="s">
        <v>12906</v>
      </c>
      <c r="D162" s="215" t="str">
        <f t="shared" si="132"/>
        <v>DKG&lt;-&gt;Lý Nhân, Hà Nam</v>
      </c>
      <c r="E162" s="272">
        <v>236</v>
      </c>
      <c r="F162" s="273">
        <v>420</v>
      </c>
      <c r="G162" s="273">
        <v>2450</v>
      </c>
      <c r="H162" s="273">
        <v>2350</v>
      </c>
      <c r="I162" s="273">
        <v>100</v>
      </c>
      <c r="J162" s="273">
        <v>0</v>
      </c>
      <c r="K162" s="273">
        <v>0</v>
      </c>
      <c r="L162" s="274"/>
      <c r="M162" s="280" t="s">
        <v>12906</v>
      </c>
      <c r="N162" s="273">
        <v>1100000</v>
      </c>
      <c r="O162" s="280">
        <v>500000</v>
      </c>
      <c r="P162" s="280">
        <v>300000</v>
      </c>
      <c r="Q162" s="260" t="s">
        <v>12906</v>
      </c>
      <c r="R162" s="263" t="str">
        <f t="shared" ref="R162" si="161">IF(Q162=E162,"1", "kác")</f>
        <v>kác</v>
      </c>
      <c r="S162" s="263">
        <f t="shared" si="134"/>
        <v>0</v>
      </c>
    </row>
    <row r="163" spans="1:19" s="260" customFormat="1" ht="19.5" customHeight="1" x14ac:dyDescent="0.3">
      <c r="A163" s="271" t="s">
        <v>12745</v>
      </c>
      <c r="B163" s="215" t="s">
        <v>14983</v>
      </c>
      <c r="C163" s="215" t="s">
        <v>12910</v>
      </c>
      <c r="D163" s="215" t="str">
        <f t="shared" si="132"/>
        <v>DKG&lt;-&gt;Phủ Lý, Hà Nam</v>
      </c>
      <c r="E163" s="272">
        <v>250</v>
      </c>
      <c r="F163" s="273">
        <v>500</v>
      </c>
      <c r="G163" s="273">
        <v>2450</v>
      </c>
      <c r="H163" s="273">
        <v>2350</v>
      </c>
      <c r="I163" s="273">
        <v>100</v>
      </c>
      <c r="J163" s="273">
        <v>0</v>
      </c>
      <c r="K163" s="273">
        <v>0</v>
      </c>
      <c r="L163" s="274"/>
      <c r="M163" s="280" t="s">
        <v>12910</v>
      </c>
      <c r="N163" s="273">
        <v>1300000</v>
      </c>
      <c r="O163" s="280">
        <v>550000</v>
      </c>
      <c r="P163" s="280">
        <v>350000</v>
      </c>
      <c r="Q163" s="260" t="s">
        <v>12910</v>
      </c>
      <c r="R163" s="263" t="str">
        <f t="shared" ref="R163" si="162">IF(Q163=E163,"1", "kác")</f>
        <v>kác</v>
      </c>
      <c r="S163" s="263">
        <f t="shared" si="134"/>
        <v>0</v>
      </c>
    </row>
    <row r="164" spans="1:19" s="260" customFormat="1" ht="19.5" customHeight="1" x14ac:dyDescent="0.3">
      <c r="A164" s="271" t="s">
        <v>12745</v>
      </c>
      <c r="B164" s="215" t="s">
        <v>14983</v>
      </c>
      <c r="C164" s="215" t="s">
        <v>12908</v>
      </c>
      <c r="D164" s="215" t="str">
        <f t="shared" si="132"/>
        <v>DKG&lt;-&gt;Kim Bảng, Hà Nam</v>
      </c>
      <c r="E164" s="272">
        <v>275</v>
      </c>
      <c r="F164" s="273">
        <v>450</v>
      </c>
      <c r="G164" s="273">
        <v>2450</v>
      </c>
      <c r="H164" s="273">
        <v>2350</v>
      </c>
      <c r="I164" s="273">
        <v>100</v>
      </c>
      <c r="J164" s="273">
        <v>0</v>
      </c>
      <c r="K164" s="273">
        <v>0</v>
      </c>
      <c r="L164" s="274"/>
      <c r="M164" s="280" t="s">
        <v>12908</v>
      </c>
      <c r="N164" s="273">
        <v>1100000</v>
      </c>
      <c r="O164" s="280">
        <v>550000</v>
      </c>
      <c r="P164" s="280">
        <v>350000</v>
      </c>
      <c r="Q164" s="260" t="s">
        <v>12908</v>
      </c>
      <c r="R164" s="263" t="str">
        <f t="shared" ref="R164" si="163">IF(Q164=E164,"1", "kác")</f>
        <v>kác</v>
      </c>
      <c r="S164" s="263">
        <f t="shared" si="134"/>
        <v>0</v>
      </c>
    </row>
    <row r="165" spans="1:19" s="260" customFormat="1" ht="19.5" customHeight="1" x14ac:dyDescent="0.3">
      <c r="A165" s="271" t="s">
        <v>12745</v>
      </c>
      <c r="B165" s="215" t="s">
        <v>14983</v>
      </c>
      <c r="C165" s="215" t="s">
        <v>12911</v>
      </c>
      <c r="D165" s="215" t="str">
        <f t="shared" si="132"/>
        <v>DKG&lt;-&gt;Thanh Liêm, Hà Nam</v>
      </c>
      <c r="E165" s="272">
        <v>285</v>
      </c>
      <c r="F165" s="273">
        <v>500</v>
      </c>
      <c r="G165" s="273">
        <v>2450</v>
      </c>
      <c r="H165" s="273">
        <v>2350</v>
      </c>
      <c r="I165" s="273">
        <v>100</v>
      </c>
      <c r="J165" s="273">
        <v>0</v>
      </c>
      <c r="K165" s="273">
        <v>0</v>
      </c>
      <c r="L165" s="274"/>
      <c r="M165" s="280" t="s">
        <v>12911</v>
      </c>
      <c r="N165" s="273">
        <v>1300000</v>
      </c>
      <c r="O165" s="280">
        <v>550000</v>
      </c>
      <c r="P165" s="280">
        <v>350000</v>
      </c>
      <c r="Q165" s="260" t="s">
        <v>12911</v>
      </c>
      <c r="R165" s="263" t="str">
        <f t="shared" ref="R165" si="164">IF(Q165=E165,"1", "kác")</f>
        <v>kác</v>
      </c>
      <c r="S165" s="263">
        <f t="shared" si="134"/>
        <v>0</v>
      </c>
    </row>
    <row r="166" spans="1:19" s="260" customFormat="1" ht="19.5" customHeight="1" x14ac:dyDescent="0.3">
      <c r="A166" s="271" t="s">
        <v>12745</v>
      </c>
      <c r="B166" s="215" t="s">
        <v>14990</v>
      </c>
      <c r="C166" s="215" t="s">
        <v>13126</v>
      </c>
      <c r="D166" s="215" t="str">
        <f t="shared" si="132"/>
        <v>DKG&lt;-&gt;Lương Tài, Bắc Ninh</v>
      </c>
      <c r="E166" s="272">
        <v>180</v>
      </c>
      <c r="F166" s="273">
        <v>380</v>
      </c>
      <c r="G166" s="273">
        <v>1700</v>
      </c>
      <c r="H166" s="273">
        <v>1600</v>
      </c>
      <c r="I166" s="273">
        <v>100</v>
      </c>
      <c r="J166" s="273">
        <v>0</v>
      </c>
      <c r="K166" s="273">
        <v>0</v>
      </c>
      <c r="L166" s="274" t="s">
        <v>14944</v>
      </c>
      <c r="M166" s="280" t="s">
        <v>13126</v>
      </c>
      <c r="N166" s="273">
        <v>1000000</v>
      </c>
      <c r="O166" s="280">
        <v>350000</v>
      </c>
      <c r="P166" s="280">
        <v>200000</v>
      </c>
      <c r="Q166" s="260" t="s">
        <v>13126</v>
      </c>
      <c r="R166" s="263" t="str">
        <f t="shared" ref="R166" si="165">IF(Q166=E166,"1", "kác")</f>
        <v>kác</v>
      </c>
      <c r="S166" s="263">
        <f t="shared" si="134"/>
        <v>0</v>
      </c>
    </row>
    <row r="167" spans="1:19" s="260" customFormat="1" ht="19.5" customHeight="1" x14ac:dyDescent="0.3">
      <c r="A167" s="271" t="s">
        <v>12745</v>
      </c>
      <c r="B167" s="215" t="s">
        <v>14990</v>
      </c>
      <c r="C167" s="215" t="s">
        <v>13127</v>
      </c>
      <c r="D167" s="215" t="str">
        <f t="shared" si="132"/>
        <v>DKG&lt;-&gt;Gia Bình, Bắc Ninh</v>
      </c>
      <c r="E167" s="272">
        <v>200</v>
      </c>
      <c r="F167" s="273">
        <v>400</v>
      </c>
      <c r="G167" s="273">
        <v>1750</v>
      </c>
      <c r="H167" s="273">
        <v>1650</v>
      </c>
      <c r="I167" s="273">
        <v>100</v>
      </c>
      <c r="J167" s="273">
        <v>0</v>
      </c>
      <c r="K167" s="273">
        <v>0</v>
      </c>
      <c r="L167" s="274"/>
      <c r="M167" s="280" t="s">
        <v>13127</v>
      </c>
      <c r="N167" s="273">
        <v>1000000</v>
      </c>
      <c r="O167" s="280">
        <v>400000</v>
      </c>
      <c r="P167" s="280">
        <v>250000</v>
      </c>
      <c r="Q167" s="260" t="s">
        <v>13127</v>
      </c>
      <c r="R167" s="263" t="str">
        <f t="shared" ref="R167:R230" si="166">IF(Q167=E167,"1", "kác")</f>
        <v>kác</v>
      </c>
      <c r="S167" s="263">
        <f t="shared" si="134"/>
        <v>0</v>
      </c>
    </row>
    <row r="168" spans="1:19" s="260" customFormat="1" ht="19.5" customHeight="1" x14ac:dyDescent="0.3">
      <c r="A168" s="271" t="s">
        <v>12745</v>
      </c>
      <c r="B168" s="215" t="s">
        <v>14990</v>
      </c>
      <c r="C168" s="215" t="s">
        <v>12912</v>
      </c>
      <c r="D168" s="215" t="str">
        <f t="shared" si="132"/>
        <v>DKG&lt;-&gt;Thuận Thành, Bắc Ninh</v>
      </c>
      <c r="E168" s="272">
        <v>193</v>
      </c>
      <c r="F168" s="273">
        <v>380</v>
      </c>
      <c r="G168" s="273">
        <v>1750</v>
      </c>
      <c r="H168" s="273">
        <v>1650</v>
      </c>
      <c r="I168" s="273">
        <v>100</v>
      </c>
      <c r="J168" s="273">
        <v>0</v>
      </c>
      <c r="K168" s="273">
        <v>0</v>
      </c>
      <c r="L168" s="274"/>
      <c r="M168" s="280" t="s">
        <v>12912</v>
      </c>
      <c r="N168" s="273">
        <v>1000000</v>
      </c>
      <c r="O168" s="280">
        <v>350000</v>
      </c>
      <c r="P168" s="280">
        <v>200000</v>
      </c>
      <c r="Q168" s="260" t="s">
        <v>12912</v>
      </c>
      <c r="R168" s="263" t="str">
        <f t="shared" si="166"/>
        <v>kác</v>
      </c>
      <c r="S168" s="263">
        <f t="shared" si="134"/>
        <v>0</v>
      </c>
    </row>
    <row r="169" spans="1:19" s="260" customFormat="1" ht="19.5" customHeight="1" x14ac:dyDescent="0.3">
      <c r="A169" s="271" t="s">
        <v>12745</v>
      </c>
      <c r="B169" s="215" t="s">
        <v>14990</v>
      </c>
      <c r="C169" s="215" t="s">
        <v>13128</v>
      </c>
      <c r="D169" s="215" t="str">
        <f t="shared" si="132"/>
        <v>DKG&lt;-&gt;Cầu Hồ (Thuận Thành), Bắc Ninh</v>
      </c>
      <c r="E169" s="272">
        <v>197</v>
      </c>
      <c r="F169" s="273">
        <v>400</v>
      </c>
      <c r="G169" s="273">
        <v>1750</v>
      </c>
      <c r="H169" s="273">
        <v>1650</v>
      </c>
      <c r="I169" s="273">
        <v>100</v>
      </c>
      <c r="J169" s="273">
        <v>0</v>
      </c>
      <c r="K169" s="273">
        <v>0</v>
      </c>
      <c r="L169" s="274"/>
      <c r="M169" s="280" t="s">
        <v>13128</v>
      </c>
      <c r="N169" s="273">
        <v>1000000</v>
      </c>
      <c r="O169" s="280">
        <v>350000</v>
      </c>
      <c r="P169" s="280">
        <v>200000</v>
      </c>
      <c r="Q169" s="260" t="s">
        <v>13128</v>
      </c>
      <c r="R169" s="263" t="str">
        <f t="shared" si="166"/>
        <v>kác</v>
      </c>
      <c r="S169" s="263">
        <f t="shared" si="134"/>
        <v>0</v>
      </c>
    </row>
    <row r="170" spans="1:19" s="260" customFormat="1" ht="19.5" customHeight="1" x14ac:dyDescent="0.3">
      <c r="A170" s="271" t="s">
        <v>12745</v>
      </c>
      <c r="B170" s="215" t="s">
        <v>14990</v>
      </c>
      <c r="C170" s="215" t="s">
        <v>13129</v>
      </c>
      <c r="D170" s="215" t="str">
        <f t="shared" si="132"/>
        <v>DKG&lt;-&gt;Cầu Hồ (Tiên Du), Bắc Ninh</v>
      </c>
      <c r="E170" s="272">
        <v>197</v>
      </c>
      <c r="F170" s="273">
        <v>400</v>
      </c>
      <c r="G170" s="273">
        <v>2050</v>
      </c>
      <c r="H170" s="273">
        <v>1950</v>
      </c>
      <c r="I170" s="273">
        <v>100</v>
      </c>
      <c r="J170" s="273">
        <v>0</v>
      </c>
      <c r="K170" s="273">
        <v>0</v>
      </c>
      <c r="L170" s="274"/>
      <c r="M170" s="280" t="s">
        <v>13129</v>
      </c>
      <c r="N170" s="273">
        <v>1000000</v>
      </c>
      <c r="O170" s="280">
        <v>400000</v>
      </c>
      <c r="P170" s="280">
        <v>250000</v>
      </c>
      <c r="Q170" s="260" t="s">
        <v>13129</v>
      </c>
      <c r="R170" s="263" t="str">
        <f t="shared" si="166"/>
        <v>kác</v>
      </c>
      <c r="S170" s="263">
        <f t="shared" si="134"/>
        <v>0</v>
      </c>
    </row>
    <row r="171" spans="1:19" s="260" customFormat="1" ht="19.5" customHeight="1" x14ac:dyDescent="0.3">
      <c r="A171" s="271" t="s">
        <v>12745</v>
      </c>
      <c r="B171" s="215" t="s">
        <v>14990</v>
      </c>
      <c r="C171" s="215" t="s">
        <v>13130</v>
      </c>
      <c r="D171" s="215" t="str">
        <f t="shared" si="132"/>
        <v>DKG&lt;-&gt;Phật Tích (Tiên Du), Bắc Ninh</v>
      </c>
      <c r="E171" s="272">
        <v>212</v>
      </c>
      <c r="F171" s="273">
        <v>400</v>
      </c>
      <c r="G171" s="273">
        <v>2050</v>
      </c>
      <c r="H171" s="273">
        <v>1950</v>
      </c>
      <c r="I171" s="273">
        <v>100</v>
      </c>
      <c r="J171" s="273">
        <v>0</v>
      </c>
      <c r="K171" s="273">
        <v>0</v>
      </c>
      <c r="L171" s="274"/>
      <c r="M171" s="280" t="s">
        <v>13130</v>
      </c>
      <c r="N171" s="273">
        <v>1000000</v>
      </c>
      <c r="O171" s="280">
        <v>450000</v>
      </c>
      <c r="P171" s="280">
        <v>250000</v>
      </c>
      <c r="Q171" s="260" t="s">
        <v>13130</v>
      </c>
      <c r="R171" s="263" t="str">
        <f t="shared" si="166"/>
        <v>kác</v>
      </c>
      <c r="S171" s="263">
        <f t="shared" si="134"/>
        <v>0</v>
      </c>
    </row>
    <row r="172" spans="1:19" s="260" customFormat="1" ht="19.5" customHeight="1" x14ac:dyDescent="0.3">
      <c r="A172" s="271" t="s">
        <v>12745</v>
      </c>
      <c r="B172" s="215" t="s">
        <v>14990</v>
      </c>
      <c r="C172" s="215" t="s">
        <v>12914</v>
      </c>
      <c r="D172" s="215" t="str">
        <f t="shared" si="132"/>
        <v>DKG&lt;-&gt;Tiên Du, Bắc Ninh</v>
      </c>
      <c r="E172" s="272">
        <v>222</v>
      </c>
      <c r="F172" s="273">
        <v>400</v>
      </c>
      <c r="G172" s="273">
        <v>2050</v>
      </c>
      <c r="H172" s="273">
        <v>1950</v>
      </c>
      <c r="I172" s="273">
        <v>100</v>
      </c>
      <c r="J172" s="273">
        <v>0</v>
      </c>
      <c r="K172" s="273">
        <v>0</v>
      </c>
      <c r="L172" s="274"/>
      <c r="M172" s="280" t="s">
        <v>12914</v>
      </c>
      <c r="N172" s="273">
        <v>1000000</v>
      </c>
      <c r="O172" s="280">
        <v>450000</v>
      </c>
      <c r="P172" s="280">
        <v>300000</v>
      </c>
      <c r="Q172" s="260" t="s">
        <v>12914</v>
      </c>
      <c r="R172" s="263" t="str">
        <f t="shared" si="166"/>
        <v>kác</v>
      </c>
      <c r="S172" s="263">
        <f t="shared" si="134"/>
        <v>0</v>
      </c>
    </row>
    <row r="173" spans="1:19" s="260" customFormat="1" ht="19.5" customHeight="1" x14ac:dyDescent="0.3">
      <c r="A173" s="271" t="s">
        <v>12745</v>
      </c>
      <c r="B173" s="215" t="s">
        <v>14990</v>
      </c>
      <c r="C173" s="215" t="s">
        <v>13045</v>
      </c>
      <c r="D173" s="215" t="str">
        <f t="shared" si="132"/>
        <v>DKG&lt;-&gt;Tp. Bắc Ninh</v>
      </c>
      <c r="E173" s="272">
        <v>236</v>
      </c>
      <c r="F173" s="273">
        <v>400</v>
      </c>
      <c r="G173" s="273">
        <v>2050</v>
      </c>
      <c r="H173" s="273">
        <v>1950</v>
      </c>
      <c r="I173" s="273">
        <v>100</v>
      </c>
      <c r="J173" s="273">
        <v>0</v>
      </c>
      <c r="K173" s="273">
        <v>0</v>
      </c>
      <c r="L173" s="274"/>
      <c r="M173" s="280" t="s">
        <v>13062</v>
      </c>
      <c r="N173" s="273">
        <v>1000000</v>
      </c>
      <c r="O173" s="280">
        <v>450000</v>
      </c>
      <c r="P173" s="280">
        <v>300000</v>
      </c>
      <c r="Q173" s="260" t="s">
        <v>13062</v>
      </c>
      <c r="R173" s="263" t="str">
        <f t="shared" si="166"/>
        <v>kác</v>
      </c>
      <c r="S173" s="263">
        <f t="shared" si="134"/>
        <v>1</v>
      </c>
    </row>
    <row r="174" spans="1:19" s="260" customFormat="1" ht="19.5" customHeight="1" x14ac:dyDescent="0.3">
      <c r="A174" s="271" t="s">
        <v>12745</v>
      </c>
      <c r="B174" s="215" t="s">
        <v>14990</v>
      </c>
      <c r="C174" s="215" t="s">
        <v>13131</v>
      </c>
      <c r="D174" s="215" t="str">
        <f t="shared" si="132"/>
        <v>DKG&lt;-&gt;Thị Cầu (Thành phố), Bắc Ninh</v>
      </c>
      <c r="E174" s="272">
        <v>228</v>
      </c>
      <c r="F174" s="273">
        <v>400</v>
      </c>
      <c r="G174" s="273">
        <v>2050</v>
      </c>
      <c r="H174" s="273">
        <v>1950</v>
      </c>
      <c r="I174" s="273">
        <v>100</v>
      </c>
      <c r="J174" s="273">
        <v>0</v>
      </c>
      <c r="K174" s="273">
        <v>0</v>
      </c>
      <c r="L174" s="274"/>
      <c r="M174" s="280" t="s">
        <v>13131</v>
      </c>
      <c r="N174" s="273">
        <v>1000000</v>
      </c>
      <c r="O174" s="280">
        <v>450000</v>
      </c>
      <c r="P174" s="280">
        <v>300000</v>
      </c>
      <c r="Q174" s="260" t="s">
        <v>13131</v>
      </c>
      <c r="R174" s="263" t="str">
        <f t="shared" si="166"/>
        <v>kác</v>
      </c>
      <c r="S174" s="263">
        <f t="shared" si="134"/>
        <v>0</v>
      </c>
    </row>
    <row r="175" spans="1:19" s="260" customFormat="1" ht="19.5" customHeight="1" x14ac:dyDescent="0.3">
      <c r="A175" s="271" t="s">
        <v>12745</v>
      </c>
      <c r="B175" s="215" t="s">
        <v>14990</v>
      </c>
      <c r="C175" s="215" t="s">
        <v>12915</v>
      </c>
      <c r="D175" s="215" t="str">
        <f t="shared" si="132"/>
        <v>DKG&lt;-&gt;Từ Sơn, Bắc Ninh</v>
      </c>
      <c r="E175" s="272">
        <v>246</v>
      </c>
      <c r="F175" s="273">
        <v>400</v>
      </c>
      <c r="G175" s="273">
        <v>2050</v>
      </c>
      <c r="H175" s="273">
        <v>1950</v>
      </c>
      <c r="I175" s="273">
        <v>100</v>
      </c>
      <c r="J175" s="273">
        <v>0</v>
      </c>
      <c r="K175" s="273">
        <v>0</v>
      </c>
      <c r="L175" s="274"/>
      <c r="M175" s="280" t="s">
        <v>12915</v>
      </c>
      <c r="N175" s="273">
        <v>1000000</v>
      </c>
      <c r="O175" s="280">
        <v>450000</v>
      </c>
      <c r="P175" s="280">
        <v>300000</v>
      </c>
      <c r="Q175" s="260" t="s">
        <v>12915</v>
      </c>
      <c r="R175" s="263" t="str">
        <f t="shared" si="166"/>
        <v>kác</v>
      </c>
      <c r="S175" s="263">
        <f t="shared" si="134"/>
        <v>0</v>
      </c>
    </row>
    <row r="176" spans="1:19" s="260" customFormat="1" ht="19.5" customHeight="1" x14ac:dyDescent="0.3">
      <c r="A176" s="271" t="s">
        <v>12745</v>
      </c>
      <c r="B176" s="215" t="s">
        <v>14990</v>
      </c>
      <c r="C176" s="215" t="s">
        <v>13132</v>
      </c>
      <c r="D176" s="215" t="str">
        <f t="shared" si="132"/>
        <v>DKG&lt;-&gt;Phố Chờ (Yên Phong), Bắc Ninh</v>
      </c>
      <c r="E176" s="272">
        <v>250</v>
      </c>
      <c r="F176" s="273">
        <v>400</v>
      </c>
      <c r="G176" s="273">
        <v>2250</v>
      </c>
      <c r="H176" s="273">
        <v>2150</v>
      </c>
      <c r="I176" s="273">
        <v>100</v>
      </c>
      <c r="J176" s="273">
        <v>0</v>
      </c>
      <c r="K176" s="273">
        <v>0</v>
      </c>
      <c r="L176" s="274"/>
      <c r="M176" s="280" t="s">
        <v>13132</v>
      </c>
      <c r="N176" s="273">
        <v>1000000</v>
      </c>
      <c r="O176" s="280">
        <v>500000</v>
      </c>
      <c r="P176" s="280">
        <v>300000</v>
      </c>
      <c r="Q176" s="260" t="s">
        <v>13132</v>
      </c>
      <c r="R176" s="263" t="str">
        <f t="shared" si="166"/>
        <v>kác</v>
      </c>
      <c r="S176" s="263">
        <f t="shared" si="134"/>
        <v>0</v>
      </c>
    </row>
    <row r="177" spans="1:19" s="260" customFormat="1" ht="19.5" customHeight="1" x14ac:dyDescent="0.3">
      <c r="A177" s="271" t="s">
        <v>12745</v>
      </c>
      <c r="B177" s="215" t="s">
        <v>14990</v>
      </c>
      <c r="C177" s="215" t="s">
        <v>12917</v>
      </c>
      <c r="D177" s="215" t="str">
        <f t="shared" si="132"/>
        <v>DKG&lt;-&gt;Yên Phong, Bắc Ninh</v>
      </c>
      <c r="E177" s="272">
        <v>245</v>
      </c>
      <c r="F177" s="273">
        <v>400</v>
      </c>
      <c r="G177" s="273">
        <v>2250</v>
      </c>
      <c r="H177" s="273">
        <v>2150</v>
      </c>
      <c r="I177" s="273">
        <v>100</v>
      </c>
      <c r="J177" s="273">
        <v>0</v>
      </c>
      <c r="K177" s="273">
        <v>0</v>
      </c>
      <c r="L177" s="274"/>
      <c r="M177" s="280" t="s">
        <v>12917</v>
      </c>
      <c r="N177" s="273">
        <v>1000000</v>
      </c>
      <c r="O177" s="280">
        <v>450000</v>
      </c>
      <c r="P177" s="280">
        <v>200000</v>
      </c>
      <c r="Q177" s="260" t="s">
        <v>12917</v>
      </c>
      <c r="R177" s="263" t="str">
        <f t="shared" si="166"/>
        <v>kác</v>
      </c>
      <c r="S177" s="263">
        <f t="shared" si="134"/>
        <v>0</v>
      </c>
    </row>
    <row r="178" spans="1:19" s="260" customFormat="1" ht="19.5" customHeight="1" x14ac:dyDescent="0.3">
      <c r="A178" s="271" t="s">
        <v>12745</v>
      </c>
      <c r="B178" s="215" t="s">
        <v>14990</v>
      </c>
      <c r="C178" s="215" t="s">
        <v>12918</v>
      </c>
      <c r="D178" s="215" t="str">
        <f t="shared" si="132"/>
        <v>DKG&lt;-&gt;Quế Võ, Bắc Ninh</v>
      </c>
      <c r="E178" s="272">
        <v>190</v>
      </c>
      <c r="F178" s="273">
        <v>400</v>
      </c>
      <c r="G178" s="273">
        <v>2250</v>
      </c>
      <c r="H178" s="273">
        <v>2150</v>
      </c>
      <c r="I178" s="273">
        <v>100</v>
      </c>
      <c r="J178" s="273">
        <v>0</v>
      </c>
      <c r="K178" s="273">
        <v>0</v>
      </c>
      <c r="L178" s="274"/>
      <c r="M178" s="280" t="s">
        <v>12918</v>
      </c>
      <c r="N178" s="273">
        <v>1000000</v>
      </c>
      <c r="O178" s="280">
        <v>350000</v>
      </c>
      <c r="P178" s="280">
        <v>200000</v>
      </c>
      <c r="Q178" s="260" t="s">
        <v>12918</v>
      </c>
      <c r="R178" s="263" t="str">
        <f t="shared" si="166"/>
        <v>kác</v>
      </c>
      <c r="S178" s="263">
        <f t="shared" si="134"/>
        <v>0</v>
      </c>
    </row>
    <row r="179" spans="1:19" s="260" customFormat="1" ht="19.5" customHeight="1" x14ac:dyDescent="0.3">
      <c r="A179" s="271" t="s">
        <v>12745</v>
      </c>
      <c r="B179" s="215" t="s">
        <v>14991</v>
      </c>
      <c r="C179" s="215" t="s">
        <v>12921</v>
      </c>
      <c r="D179" s="215" t="str">
        <f t="shared" si="132"/>
        <v>DKG&lt;-&gt;Việt Yên, Bắc Giang</v>
      </c>
      <c r="E179" s="272">
        <v>255</v>
      </c>
      <c r="F179" s="273">
        <v>450</v>
      </c>
      <c r="G179" s="273">
        <v>2250</v>
      </c>
      <c r="H179" s="273">
        <v>2150</v>
      </c>
      <c r="I179" s="273">
        <v>100</v>
      </c>
      <c r="J179" s="273">
        <v>0</v>
      </c>
      <c r="K179" s="273">
        <v>0</v>
      </c>
      <c r="L179" s="274"/>
      <c r="M179" s="280" t="s">
        <v>12921</v>
      </c>
      <c r="N179" s="273">
        <v>1100000</v>
      </c>
      <c r="O179" s="280">
        <v>500000</v>
      </c>
      <c r="P179" s="280">
        <v>300000</v>
      </c>
      <c r="Q179" s="260" t="s">
        <v>12921</v>
      </c>
      <c r="R179" s="263" t="str">
        <f t="shared" si="166"/>
        <v>kác</v>
      </c>
      <c r="S179" s="263">
        <f t="shared" si="134"/>
        <v>0</v>
      </c>
    </row>
    <row r="180" spans="1:19" s="260" customFormat="1" ht="19.5" customHeight="1" x14ac:dyDescent="0.3">
      <c r="A180" s="271" t="s">
        <v>12745</v>
      </c>
      <c r="B180" s="215" t="s">
        <v>14991</v>
      </c>
      <c r="C180" s="215" t="s">
        <v>13045</v>
      </c>
      <c r="D180" s="215" t="str">
        <f t="shared" si="132"/>
        <v>DKG&lt;-&gt;Tp. Bắc Giang</v>
      </c>
      <c r="E180" s="272">
        <v>268</v>
      </c>
      <c r="F180" s="273">
        <v>450</v>
      </c>
      <c r="G180" s="273">
        <v>2250</v>
      </c>
      <c r="H180" s="273">
        <v>2150</v>
      </c>
      <c r="I180" s="273">
        <v>100</v>
      </c>
      <c r="J180" s="273">
        <v>0</v>
      </c>
      <c r="K180" s="273">
        <v>0</v>
      </c>
      <c r="L180" s="274"/>
      <c r="M180" s="280" t="s">
        <v>13062</v>
      </c>
      <c r="N180" s="273">
        <v>1100000</v>
      </c>
      <c r="O180" s="280">
        <v>550000</v>
      </c>
      <c r="P180" s="280">
        <v>350000</v>
      </c>
      <c r="Q180" s="260" t="s">
        <v>13062</v>
      </c>
      <c r="R180" s="263" t="str">
        <f t="shared" si="166"/>
        <v>kác</v>
      </c>
      <c r="S180" s="263">
        <f t="shared" si="134"/>
        <v>1</v>
      </c>
    </row>
    <row r="181" spans="1:19" s="260" customFormat="1" ht="19.5" customHeight="1" x14ac:dyDescent="0.3">
      <c r="A181" s="271" t="s">
        <v>12745</v>
      </c>
      <c r="B181" s="215" t="s">
        <v>14991</v>
      </c>
      <c r="C181" s="215" t="s">
        <v>12919</v>
      </c>
      <c r="D181" s="215" t="str">
        <f t="shared" si="132"/>
        <v>DKG&lt;-&gt;Dĩnh Kế (Thành Phố), Bắc Giang</v>
      </c>
      <c r="E181" s="272">
        <v>270</v>
      </c>
      <c r="F181" s="273">
        <v>450</v>
      </c>
      <c r="G181" s="273">
        <v>2250</v>
      </c>
      <c r="H181" s="273">
        <v>2150</v>
      </c>
      <c r="I181" s="273">
        <v>100</v>
      </c>
      <c r="J181" s="273">
        <v>0</v>
      </c>
      <c r="K181" s="273">
        <v>0</v>
      </c>
      <c r="L181" s="274"/>
      <c r="M181" s="280" t="s">
        <v>12919</v>
      </c>
      <c r="N181" s="273">
        <v>1100000</v>
      </c>
      <c r="O181" s="280">
        <v>500000</v>
      </c>
      <c r="P181" s="280">
        <v>300000</v>
      </c>
      <c r="Q181" s="260" t="s">
        <v>12919</v>
      </c>
      <c r="R181" s="263" t="str">
        <f t="shared" si="166"/>
        <v>kác</v>
      </c>
      <c r="S181" s="263">
        <f t="shared" si="134"/>
        <v>0</v>
      </c>
    </row>
    <row r="182" spans="1:19" s="260" customFormat="1" ht="19.5" customHeight="1" x14ac:dyDescent="0.3">
      <c r="A182" s="271" t="s">
        <v>12745</v>
      </c>
      <c r="B182" s="215" t="s">
        <v>14991</v>
      </c>
      <c r="C182" s="215" t="s">
        <v>13133</v>
      </c>
      <c r="D182" s="215" t="str">
        <f t="shared" si="132"/>
        <v>DKG&lt;-&gt;Bố Hạ (Yên Thế), Bắc Giang</v>
      </c>
      <c r="E182" s="272">
        <v>320</v>
      </c>
      <c r="F182" s="273">
        <v>450</v>
      </c>
      <c r="G182" s="273">
        <v>2250</v>
      </c>
      <c r="H182" s="273">
        <v>2150</v>
      </c>
      <c r="I182" s="273">
        <v>100</v>
      </c>
      <c r="J182" s="273">
        <v>0</v>
      </c>
      <c r="K182" s="273">
        <v>0</v>
      </c>
      <c r="L182" s="274"/>
      <c r="M182" s="280" t="s">
        <v>13133</v>
      </c>
      <c r="N182" s="273">
        <v>1100000</v>
      </c>
      <c r="O182" s="280">
        <v>550000</v>
      </c>
      <c r="P182" s="280">
        <v>300000</v>
      </c>
      <c r="Q182" s="260" t="s">
        <v>13133</v>
      </c>
      <c r="R182" s="263" t="str">
        <f t="shared" si="166"/>
        <v>kác</v>
      </c>
      <c r="S182" s="263">
        <f t="shared" si="134"/>
        <v>0</v>
      </c>
    </row>
    <row r="183" spans="1:19" s="260" customFormat="1" ht="19.5" customHeight="1" x14ac:dyDescent="0.3">
      <c r="A183" s="271" t="s">
        <v>12745</v>
      </c>
      <c r="B183" s="215" t="s">
        <v>14991</v>
      </c>
      <c r="C183" s="215" t="s">
        <v>12920</v>
      </c>
      <c r="D183" s="215" t="str">
        <f t="shared" si="132"/>
        <v>DKG&lt;-&gt;Hiệp Hòa, Bắc Giang</v>
      </c>
      <c r="E183" s="272">
        <v>324</v>
      </c>
      <c r="F183" s="273">
        <v>450</v>
      </c>
      <c r="G183" s="273">
        <v>2250</v>
      </c>
      <c r="H183" s="273">
        <v>2150</v>
      </c>
      <c r="I183" s="273">
        <v>100</v>
      </c>
      <c r="J183" s="273">
        <v>0</v>
      </c>
      <c r="K183" s="273">
        <v>0</v>
      </c>
      <c r="L183" s="274"/>
      <c r="M183" s="280" t="s">
        <v>12920</v>
      </c>
      <c r="N183" s="273">
        <v>1100000</v>
      </c>
      <c r="O183" s="280">
        <v>650000</v>
      </c>
      <c r="P183" s="280">
        <v>400000</v>
      </c>
      <c r="Q183" s="260" t="s">
        <v>12920</v>
      </c>
      <c r="R183" s="263" t="str">
        <f t="shared" si="166"/>
        <v>kác</v>
      </c>
      <c r="S183" s="263">
        <f t="shared" si="134"/>
        <v>0</v>
      </c>
    </row>
    <row r="184" spans="1:19" s="260" customFormat="1" ht="19.5" customHeight="1" x14ac:dyDescent="0.3">
      <c r="A184" s="271" t="s">
        <v>12745</v>
      </c>
      <c r="B184" s="215" t="s">
        <v>14991</v>
      </c>
      <c r="C184" s="215" t="s">
        <v>13134</v>
      </c>
      <c r="D184" s="215" t="str">
        <f t="shared" si="132"/>
        <v>DKG&lt;-&gt;Thị trấn Vôi (Lạng Giang), Bắc Giang</v>
      </c>
      <c r="E184" s="272">
        <v>292</v>
      </c>
      <c r="F184" s="273">
        <v>450</v>
      </c>
      <c r="G184" s="273">
        <v>2250</v>
      </c>
      <c r="H184" s="273">
        <v>2150</v>
      </c>
      <c r="I184" s="273">
        <v>100</v>
      </c>
      <c r="J184" s="273">
        <v>0</v>
      </c>
      <c r="K184" s="273">
        <v>0</v>
      </c>
      <c r="L184" s="274"/>
      <c r="M184" s="280" t="s">
        <v>13134</v>
      </c>
      <c r="N184" s="273">
        <v>1100000</v>
      </c>
      <c r="O184" s="280">
        <v>550000</v>
      </c>
      <c r="P184" s="280">
        <v>350000</v>
      </c>
      <c r="Q184" s="260" t="s">
        <v>13134</v>
      </c>
      <c r="R184" s="263" t="str">
        <f t="shared" si="166"/>
        <v>kác</v>
      </c>
      <c r="S184" s="263">
        <f t="shared" si="134"/>
        <v>0</v>
      </c>
    </row>
    <row r="185" spans="1:19" s="260" customFormat="1" ht="19.5" customHeight="1" x14ac:dyDescent="0.3">
      <c r="A185" s="271" t="s">
        <v>12745</v>
      </c>
      <c r="B185" s="215" t="s">
        <v>14991</v>
      </c>
      <c r="C185" s="215" t="s">
        <v>12922</v>
      </c>
      <c r="D185" s="215" t="str">
        <f t="shared" si="132"/>
        <v>DKG&lt;-&gt;Yên Dũng, Bắc Giang</v>
      </c>
      <c r="E185" s="272">
        <v>315</v>
      </c>
      <c r="F185" s="273">
        <v>450</v>
      </c>
      <c r="G185" s="273">
        <v>2250</v>
      </c>
      <c r="H185" s="273">
        <v>2150</v>
      </c>
      <c r="I185" s="273">
        <v>100</v>
      </c>
      <c r="J185" s="273">
        <v>0</v>
      </c>
      <c r="K185" s="273">
        <v>0</v>
      </c>
      <c r="L185" s="274"/>
      <c r="M185" s="280" t="s">
        <v>12922</v>
      </c>
      <c r="N185" s="273">
        <v>1100000</v>
      </c>
      <c r="O185" s="280">
        <v>600000</v>
      </c>
      <c r="P185" s="280">
        <v>400000</v>
      </c>
      <c r="Q185" s="260" t="s">
        <v>12922</v>
      </c>
      <c r="R185" s="263" t="str">
        <f t="shared" si="166"/>
        <v>kác</v>
      </c>
      <c r="S185" s="263">
        <f t="shared" si="134"/>
        <v>0</v>
      </c>
    </row>
    <row r="186" spans="1:19" s="260" customFormat="1" ht="19.5" customHeight="1" x14ac:dyDescent="0.3">
      <c r="A186" s="271" t="s">
        <v>12745</v>
      </c>
      <c r="B186" s="215" t="s">
        <v>14991</v>
      </c>
      <c r="C186" s="215" t="s">
        <v>12927</v>
      </c>
      <c r="D186" s="215" t="str">
        <f t="shared" si="132"/>
        <v>DKG&lt;-&gt;Lục Nam, Bắc Giang</v>
      </c>
      <c r="E186" s="272">
        <v>235</v>
      </c>
      <c r="F186" s="273">
        <v>450</v>
      </c>
      <c r="G186" s="273">
        <v>2250</v>
      </c>
      <c r="H186" s="273">
        <v>2150</v>
      </c>
      <c r="I186" s="273">
        <v>100</v>
      </c>
      <c r="J186" s="273">
        <v>0</v>
      </c>
      <c r="K186" s="273">
        <v>0</v>
      </c>
      <c r="L186" s="274"/>
      <c r="M186" s="280" t="s">
        <v>12927</v>
      </c>
      <c r="N186" s="273">
        <v>1100000</v>
      </c>
      <c r="O186" s="280">
        <v>450000</v>
      </c>
      <c r="P186" s="280">
        <v>300000</v>
      </c>
      <c r="Q186" s="260" t="s">
        <v>12927</v>
      </c>
      <c r="R186" s="263" t="str">
        <f t="shared" si="166"/>
        <v>kác</v>
      </c>
      <c r="S186" s="263">
        <f t="shared" si="134"/>
        <v>0</v>
      </c>
    </row>
    <row r="187" spans="1:19" s="260" customFormat="1" ht="19.5" customHeight="1" x14ac:dyDescent="0.3">
      <c r="A187" s="271" t="s">
        <v>12745</v>
      </c>
      <c r="B187" s="215" t="s">
        <v>14991</v>
      </c>
      <c r="C187" s="215" t="s">
        <v>12923</v>
      </c>
      <c r="D187" s="215" t="str">
        <f t="shared" si="132"/>
        <v>DKG&lt;-&gt;Lục Ngạn, Bắc Giang</v>
      </c>
      <c r="E187" s="272">
        <v>305</v>
      </c>
      <c r="F187" s="273">
        <v>450</v>
      </c>
      <c r="G187" s="273">
        <v>2250</v>
      </c>
      <c r="H187" s="273">
        <v>2150</v>
      </c>
      <c r="I187" s="273">
        <v>100</v>
      </c>
      <c r="J187" s="273">
        <v>0</v>
      </c>
      <c r="K187" s="273">
        <v>0</v>
      </c>
      <c r="L187" s="274"/>
      <c r="M187" s="280" t="s">
        <v>12923</v>
      </c>
      <c r="N187" s="273">
        <v>1100000</v>
      </c>
      <c r="O187" s="280">
        <v>600000</v>
      </c>
      <c r="P187" s="280">
        <v>400000</v>
      </c>
      <c r="Q187" s="260" t="s">
        <v>12923</v>
      </c>
      <c r="R187" s="263" t="str">
        <f t="shared" si="166"/>
        <v>kác</v>
      </c>
      <c r="S187" s="263">
        <f t="shared" si="134"/>
        <v>0</v>
      </c>
    </row>
    <row r="188" spans="1:19" s="260" customFormat="1" ht="19.5" customHeight="1" x14ac:dyDescent="0.3">
      <c r="A188" s="271" t="s">
        <v>12745</v>
      </c>
      <c r="B188" s="215" t="s">
        <v>14997</v>
      </c>
      <c r="C188" s="215" t="s">
        <v>13135</v>
      </c>
      <c r="D188" s="215" t="str">
        <f t="shared" si="132"/>
        <v>DKG&lt;-&gt;Mẹt (Hữu Lũng), Lạng Sơn</v>
      </c>
      <c r="E188" s="272">
        <v>312</v>
      </c>
      <c r="F188" s="273">
        <v>500</v>
      </c>
      <c r="G188" s="273">
        <v>3000</v>
      </c>
      <c r="H188" s="273">
        <v>2700</v>
      </c>
      <c r="I188" s="273">
        <v>100</v>
      </c>
      <c r="J188" s="273">
        <v>200</v>
      </c>
      <c r="K188" s="273">
        <v>0</v>
      </c>
      <c r="L188" s="274"/>
      <c r="M188" s="280" t="s">
        <v>13135</v>
      </c>
      <c r="N188" s="273">
        <v>1300000</v>
      </c>
      <c r="O188" s="280">
        <v>600000</v>
      </c>
      <c r="P188" s="280">
        <v>400000</v>
      </c>
      <c r="Q188" s="260" t="s">
        <v>13135</v>
      </c>
      <c r="R188" s="263" t="str">
        <f t="shared" si="166"/>
        <v>kác</v>
      </c>
      <c r="S188" s="263">
        <f t="shared" si="134"/>
        <v>0</v>
      </c>
    </row>
    <row r="189" spans="1:19" s="260" customFormat="1" ht="19.5" customHeight="1" x14ac:dyDescent="0.3">
      <c r="A189" s="271" t="s">
        <v>12745</v>
      </c>
      <c r="B189" s="215" t="s">
        <v>14997</v>
      </c>
      <c r="C189" s="215" t="s">
        <v>13045</v>
      </c>
      <c r="D189" s="215" t="str">
        <f t="shared" si="132"/>
        <v>DKG&lt;-&gt;Tp. Lạng Sơn</v>
      </c>
      <c r="E189" s="272">
        <v>430</v>
      </c>
      <c r="F189" s="273">
        <v>700</v>
      </c>
      <c r="G189" s="273">
        <v>3550</v>
      </c>
      <c r="H189" s="273">
        <v>2800</v>
      </c>
      <c r="I189" s="273">
        <v>100</v>
      </c>
      <c r="J189" s="273">
        <v>650</v>
      </c>
      <c r="K189" s="273">
        <v>0</v>
      </c>
      <c r="L189" s="274"/>
      <c r="M189" s="280" t="s">
        <v>13062</v>
      </c>
      <c r="N189" s="273">
        <v>1800000</v>
      </c>
      <c r="O189" s="280">
        <v>850000</v>
      </c>
      <c r="P189" s="280">
        <v>550000</v>
      </c>
      <c r="Q189" s="260" t="s">
        <v>13062</v>
      </c>
      <c r="R189" s="263" t="str">
        <f t="shared" si="166"/>
        <v>kác</v>
      </c>
      <c r="S189" s="263">
        <f t="shared" si="134"/>
        <v>1</v>
      </c>
    </row>
    <row r="190" spans="1:19" s="260" customFormat="1" ht="19.5" customHeight="1" x14ac:dyDescent="0.3">
      <c r="A190" s="271" t="s">
        <v>12745</v>
      </c>
      <c r="B190" s="215" t="s">
        <v>14997</v>
      </c>
      <c r="C190" s="215" t="s">
        <v>13136</v>
      </c>
      <c r="D190" s="215" t="str">
        <f t="shared" si="132"/>
        <v>DKG&lt;-&gt;Lộc Bình, Lạng Sơn</v>
      </c>
      <c r="E190" s="272">
        <v>500</v>
      </c>
      <c r="F190" s="273">
        <v>750</v>
      </c>
      <c r="G190" s="273">
        <v>3850</v>
      </c>
      <c r="H190" s="273">
        <v>2800</v>
      </c>
      <c r="I190" s="273">
        <v>100</v>
      </c>
      <c r="J190" s="273">
        <v>950</v>
      </c>
      <c r="K190" s="273">
        <v>0</v>
      </c>
      <c r="L190" s="274"/>
      <c r="M190" s="280" t="s">
        <v>13136</v>
      </c>
      <c r="N190" s="273">
        <v>1900000</v>
      </c>
      <c r="O190" s="280">
        <v>1000000</v>
      </c>
      <c r="P190" s="280">
        <v>650000</v>
      </c>
      <c r="Q190" s="260" t="s">
        <v>13136</v>
      </c>
      <c r="R190" s="263" t="str">
        <f t="shared" si="166"/>
        <v>kác</v>
      </c>
      <c r="S190" s="263">
        <f t="shared" si="134"/>
        <v>0</v>
      </c>
    </row>
    <row r="191" spans="1:19" s="260" customFormat="1" ht="19.5" customHeight="1" x14ac:dyDescent="0.3">
      <c r="A191" s="271" t="s">
        <v>12745</v>
      </c>
      <c r="B191" s="215" t="s">
        <v>14994</v>
      </c>
      <c r="C191" s="215" t="s">
        <v>13137</v>
      </c>
      <c r="D191" s="215" t="str">
        <f t="shared" si="132"/>
        <v>DKG&lt;-&gt;Phúc Yên, Vĩnh Phúc</v>
      </c>
      <c r="E191" s="272">
        <v>305</v>
      </c>
      <c r="F191" s="273">
        <v>480</v>
      </c>
      <c r="G191" s="273">
        <v>2600</v>
      </c>
      <c r="H191" s="273">
        <v>2500</v>
      </c>
      <c r="I191" s="273">
        <v>100</v>
      </c>
      <c r="J191" s="273">
        <v>0</v>
      </c>
      <c r="K191" s="273">
        <v>0</v>
      </c>
      <c r="L191" s="274"/>
      <c r="M191" s="280" t="s">
        <v>13137</v>
      </c>
      <c r="N191" s="273">
        <v>1200000</v>
      </c>
      <c r="O191" s="280">
        <v>600000</v>
      </c>
      <c r="P191" s="280">
        <v>400000</v>
      </c>
      <c r="Q191" s="260" t="s">
        <v>13137</v>
      </c>
      <c r="R191" s="263" t="str">
        <f t="shared" si="166"/>
        <v>kác</v>
      </c>
      <c r="S191" s="263">
        <f t="shared" si="134"/>
        <v>0</v>
      </c>
    </row>
    <row r="192" spans="1:19" s="260" customFormat="1" ht="19.5" customHeight="1" x14ac:dyDescent="0.3">
      <c r="A192" s="271" t="s">
        <v>12745</v>
      </c>
      <c r="B192" s="215" t="s">
        <v>14994</v>
      </c>
      <c r="C192" s="215" t="s">
        <v>13138</v>
      </c>
      <c r="D192" s="215" t="str">
        <f t="shared" si="132"/>
        <v>DKG&lt;-&gt;Hương Canh (Bình Xuyên), Vĩnh Phúc</v>
      </c>
      <c r="E192" s="272">
        <v>300</v>
      </c>
      <c r="F192" s="273">
        <v>480</v>
      </c>
      <c r="G192" s="273">
        <v>2600</v>
      </c>
      <c r="H192" s="273">
        <v>2500</v>
      </c>
      <c r="I192" s="273">
        <v>100</v>
      </c>
      <c r="J192" s="273">
        <v>0</v>
      </c>
      <c r="K192" s="273">
        <v>0</v>
      </c>
      <c r="L192" s="274"/>
      <c r="M192" s="280" t="s">
        <v>13138</v>
      </c>
      <c r="N192" s="273">
        <v>1200000</v>
      </c>
      <c r="O192" s="280">
        <v>600000</v>
      </c>
      <c r="P192" s="280">
        <v>400000</v>
      </c>
      <c r="Q192" s="260" t="s">
        <v>13138</v>
      </c>
      <c r="R192" s="263" t="str">
        <f t="shared" si="166"/>
        <v>kác</v>
      </c>
      <c r="S192" s="263">
        <f t="shared" si="134"/>
        <v>0</v>
      </c>
    </row>
    <row r="193" spans="1:19" s="260" customFormat="1" ht="19.5" customHeight="1" x14ac:dyDescent="0.3">
      <c r="A193" s="271" t="s">
        <v>12745</v>
      </c>
      <c r="B193" s="215" t="s">
        <v>14994</v>
      </c>
      <c r="C193" s="215" t="s">
        <v>13139</v>
      </c>
      <c r="D193" s="215" t="str">
        <f t="shared" si="132"/>
        <v>DKG&lt;-&gt;Bình Xuyên, Vĩnh Phúc</v>
      </c>
      <c r="E193" s="272">
        <v>320</v>
      </c>
      <c r="F193" s="273">
        <v>480</v>
      </c>
      <c r="G193" s="273">
        <v>2600</v>
      </c>
      <c r="H193" s="273">
        <v>2500</v>
      </c>
      <c r="I193" s="273">
        <v>100</v>
      </c>
      <c r="J193" s="273">
        <v>0</v>
      </c>
      <c r="K193" s="273">
        <v>0</v>
      </c>
      <c r="L193" s="274"/>
      <c r="M193" s="280" t="s">
        <v>13139</v>
      </c>
      <c r="N193" s="273">
        <v>1200000</v>
      </c>
      <c r="O193" s="280">
        <v>650000</v>
      </c>
      <c r="P193" s="280">
        <v>400000</v>
      </c>
      <c r="Q193" s="260" t="s">
        <v>13139</v>
      </c>
      <c r="R193" s="263" t="str">
        <f t="shared" si="166"/>
        <v>kác</v>
      </c>
      <c r="S193" s="263">
        <f t="shared" si="134"/>
        <v>0</v>
      </c>
    </row>
    <row r="194" spans="1:19" s="260" customFormat="1" ht="19.5" customHeight="1" x14ac:dyDescent="0.3">
      <c r="A194" s="271" t="s">
        <v>12745</v>
      </c>
      <c r="B194" s="215" t="s">
        <v>14994</v>
      </c>
      <c r="C194" s="215" t="s">
        <v>13140</v>
      </c>
      <c r="D194" s="215" t="str">
        <f t="shared" si="132"/>
        <v>DKG&lt;-&gt;Thanh Lãng (Vĩnh Yên), Vĩnh Phúc</v>
      </c>
      <c r="E194" s="272">
        <v>310</v>
      </c>
      <c r="F194" s="273">
        <v>480</v>
      </c>
      <c r="G194" s="273">
        <v>2600</v>
      </c>
      <c r="H194" s="273">
        <v>2500</v>
      </c>
      <c r="I194" s="273">
        <v>100</v>
      </c>
      <c r="J194" s="273">
        <v>0</v>
      </c>
      <c r="K194" s="273">
        <v>0</v>
      </c>
      <c r="L194" s="274"/>
      <c r="M194" s="280" t="s">
        <v>13140</v>
      </c>
      <c r="N194" s="273">
        <v>1200000</v>
      </c>
      <c r="O194" s="280">
        <v>650000</v>
      </c>
      <c r="P194" s="280">
        <v>400000</v>
      </c>
      <c r="Q194" s="260" t="s">
        <v>13140</v>
      </c>
      <c r="R194" s="263" t="str">
        <f t="shared" si="166"/>
        <v>kác</v>
      </c>
      <c r="S194" s="263">
        <f t="shared" si="134"/>
        <v>0</v>
      </c>
    </row>
    <row r="195" spans="1:19" s="260" customFormat="1" ht="19.5" customHeight="1" x14ac:dyDescent="0.3">
      <c r="A195" s="271" t="s">
        <v>12745</v>
      </c>
      <c r="B195" s="215" t="s">
        <v>14994</v>
      </c>
      <c r="C195" s="215" t="s">
        <v>13141</v>
      </c>
      <c r="D195" s="215" t="str">
        <f t="shared" si="132"/>
        <v>DKG&lt;-&gt;Vĩnh Yên, Vĩnh Phúc</v>
      </c>
      <c r="E195" s="272">
        <v>320</v>
      </c>
      <c r="F195" s="273">
        <v>500</v>
      </c>
      <c r="G195" s="273">
        <v>2600</v>
      </c>
      <c r="H195" s="273">
        <v>2500</v>
      </c>
      <c r="I195" s="273">
        <v>100</v>
      </c>
      <c r="J195" s="273">
        <v>0</v>
      </c>
      <c r="K195" s="273">
        <v>0</v>
      </c>
      <c r="L195" s="274"/>
      <c r="M195" s="280" t="s">
        <v>13141</v>
      </c>
      <c r="N195" s="273">
        <v>1300000</v>
      </c>
      <c r="O195" s="280">
        <v>650000</v>
      </c>
      <c r="P195" s="280">
        <v>400000</v>
      </c>
      <c r="Q195" s="260" t="s">
        <v>13141</v>
      </c>
      <c r="R195" s="263" t="str">
        <f t="shared" si="166"/>
        <v>kác</v>
      </c>
      <c r="S195" s="263">
        <f t="shared" si="134"/>
        <v>0</v>
      </c>
    </row>
    <row r="196" spans="1:19" s="260" customFormat="1" ht="19.5" customHeight="1" x14ac:dyDescent="0.3">
      <c r="A196" s="271" t="s">
        <v>12745</v>
      </c>
      <c r="B196" s="215" t="s">
        <v>14994</v>
      </c>
      <c r="C196" s="215" t="s">
        <v>12962</v>
      </c>
      <c r="D196" s="215" t="str">
        <f t="shared" si="132"/>
        <v>DKG&lt;-&gt;Lập Thạch, Vĩnh Phúc</v>
      </c>
      <c r="E196" s="272">
        <v>380</v>
      </c>
      <c r="F196" s="273">
        <v>530</v>
      </c>
      <c r="G196" s="273">
        <v>2600</v>
      </c>
      <c r="H196" s="273">
        <v>2500</v>
      </c>
      <c r="I196" s="273">
        <v>100</v>
      </c>
      <c r="J196" s="273">
        <v>0</v>
      </c>
      <c r="K196" s="273">
        <v>0</v>
      </c>
      <c r="L196" s="274"/>
      <c r="M196" s="280" t="s">
        <v>12962</v>
      </c>
      <c r="N196" s="273">
        <v>1300000</v>
      </c>
      <c r="O196" s="280">
        <v>700000</v>
      </c>
      <c r="P196" s="280">
        <v>400000</v>
      </c>
      <c r="Q196" s="260" t="s">
        <v>12962</v>
      </c>
      <c r="R196" s="263" t="str">
        <f t="shared" si="166"/>
        <v>kác</v>
      </c>
      <c r="S196" s="263">
        <f t="shared" si="134"/>
        <v>0</v>
      </c>
    </row>
    <row r="197" spans="1:19" s="260" customFormat="1" ht="19.5" customHeight="1" x14ac:dyDescent="0.3">
      <c r="A197" s="271" t="s">
        <v>12745</v>
      </c>
      <c r="B197" s="215" t="s">
        <v>14994</v>
      </c>
      <c r="C197" s="215" t="s">
        <v>13142</v>
      </c>
      <c r="D197" s="215" t="str">
        <f t="shared" si="132"/>
        <v>DKG&lt;-&gt;Yên Lạc, Vĩnh Phúc</v>
      </c>
      <c r="E197" s="272">
        <v>360</v>
      </c>
      <c r="F197" s="273">
        <v>500</v>
      </c>
      <c r="G197" s="273">
        <v>2600</v>
      </c>
      <c r="H197" s="273">
        <v>2500</v>
      </c>
      <c r="I197" s="273">
        <v>100</v>
      </c>
      <c r="J197" s="273">
        <v>0</v>
      </c>
      <c r="K197" s="273">
        <v>0</v>
      </c>
      <c r="L197" s="274"/>
      <c r="M197" s="280" t="s">
        <v>13142</v>
      </c>
      <c r="N197" s="273">
        <v>1200000</v>
      </c>
      <c r="O197" s="280">
        <v>650000</v>
      </c>
      <c r="P197" s="280">
        <v>400000</v>
      </c>
      <c r="Q197" s="260" t="s">
        <v>13142</v>
      </c>
      <c r="R197" s="263" t="str">
        <f t="shared" si="166"/>
        <v>kác</v>
      </c>
      <c r="S197" s="263">
        <f t="shared" si="134"/>
        <v>0</v>
      </c>
    </row>
    <row r="198" spans="1:19" s="260" customFormat="1" ht="19.5" customHeight="1" x14ac:dyDescent="0.3">
      <c r="A198" s="271" t="s">
        <v>12745</v>
      </c>
      <c r="B198" s="215" t="s">
        <v>14994</v>
      </c>
      <c r="C198" s="215" t="s">
        <v>12963</v>
      </c>
      <c r="D198" s="215" t="str">
        <f t="shared" si="132"/>
        <v>DKG&lt;-&gt;Vĩnh Tường, Vĩnh Phúc</v>
      </c>
      <c r="E198" s="272">
        <v>375</v>
      </c>
      <c r="F198" s="273">
        <v>500</v>
      </c>
      <c r="G198" s="273">
        <v>2600</v>
      </c>
      <c r="H198" s="273">
        <v>2500</v>
      </c>
      <c r="I198" s="273">
        <v>100</v>
      </c>
      <c r="J198" s="273">
        <v>0</v>
      </c>
      <c r="K198" s="273">
        <v>0</v>
      </c>
      <c r="L198" s="274"/>
      <c r="M198" s="280" t="s">
        <v>12963</v>
      </c>
      <c r="N198" s="273">
        <v>1200000</v>
      </c>
      <c r="O198" s="280">
        <v>700000</v>
      </c>
      <c r="P198" s="280">
        <v>400000</v>
      </c>
      <c r="Q198" s="260" t="s">
        <v>12963</v>
      </c>
      <c r="R198" s="263" t="str">
        <f t="shared" si="166"/>
        <v>kác</v>
      </c>
      <c r="S198" s="263">
        <f t="shared" si="134"/>
        <v>0</v>
      </c>
    </row>
    <row r="199" spans="1:19" s="260" customFormat="1" ht="19.5" customHeight="1" x14ac:dyDescent="0.3">
      <c r="A199" s="271" t="s">
        <v>12745</v>
      </c>
      <c r="B199" s="215" t="s">
        <v>14995</v>
      </c>
      <c r="C199" s="215" t="s">
        <v>13143</v>
      </c>
      <c r="D199" s="215" t="str">
        <f t="shared" ref="D199:D230" si="167">CONCATENATE("DKG&lt;-&gt;",C199,IF(C199="TP",". ",", "),B199)</f>
        <v>DKG&lt;-&gt;TP. Việt Trì, Phú Thọ</v>
      </c>
      <c r="E199" s="272">
        <v>380</v>
      </c>
      <c r="F199" s="273">
        <v>600</v>
      </c>
      <c r="G199" s="273">
        <v>3300</v>
      </c>
      <c r="H199" s="273">
        <v>3200</v>
      </c>
      <c r="I199" s="273">
        <v>100</v>
      </c>
      <c r="J199" s="273">
        <v>0</v>
      </c>
      <c r="K199" s="273">
        <v>0</v>
      </c>
      <c r="L199" s="274"/>
      <c r="M199" s="280" t="s">
        <v>13143</v>
      </c>
      <c r="N199" s="273">
        <v>1500000</v>
      </c>
      <c r="O199" s="280">
        <v>700000</v>
      </c>
      <c r="P199" s="280">
        <v>400000</v>
      </c>
      <c r="Q199" s="260" t="s">
        <v>13143</v>
      </c>
      <c r="R199" s="263" t="str">
        <f t="shared" si="166"/>
        <v>kác</v>
      </c>
      <c r="S199" s="263">
        <f t="shared" ref="S199:S229" si="168">IF(M199=C199,0,1)</f>
        <v>0</v>
      </c>
    </row>
    <row r="200" spans="1:19" s="260" customFormat="1" ht="19.5" customHeight="1" x14ac:dyDescent="0.3">
      <c r="A200" s="271" t="s">
        <v>12745</v>
      </c>
      <c r="B200" s="215" t="s">
        <v>14995</v>
      </c>
      <c r="C200" s="215" t="s">
        <v>13144</v>
      </c>
      <c r="D200" s="215" t="str">
        <f t="shared" si="167"/>
        <v>DKG&lt;-&gt;Thanh Ba, Phú Thọ</v>
      </c>
      <c r="E200" s="272">
        <v>445</v>
      </c>
      <c r="F200" s="273">
        <v>650</v>
      </c>
      <c r="G200" s="273">
        <v>3300</v>
      </c>
      <c r="H200" s="273">
        <v>3200</v>
      </c>
      <c r="I200" s="273">
        <v>100</v>
      </c>
      <c r="J200" s="273">
        <v>0</v>
      </c>
      <c r="K200" s="273">
        <v>0</v>
      </c>
      <c r="L200" s="274"/>
      <c r="M200" s="280" t="s">
        <v>13144</v>
      </c>
      <c r="N200" s="273">
        <v>1600000</v>
      </c>
      <c r="O200" s="280">
        <v>850000</v>
      </c>
      <c r="P200" s="280">
        <v>550000</v>
      </c>
      <c r="Q200" s="260" t="s">
        <v>13144</v>
      </c>
      <c r="R200" s="263" t="str">
        <f t="shared" si="166"/>
        <v>kác</v>
      </c>
      <c r="S200" s="263">
        <f t="shared" si="168"/>
        <v>0</v>
      </c>
    </row>
    <row r="201" spans="1:19" s="260" customFormat="1" ht="19.5" customHeight="1" x14ac:dyDescent="0.3">
      <c r="A201" s="271" t="s">
        <v>12745</v>
      </c>
      <c r="B201" s="215" t="s">
        <v>14995</v>
      </c>
      <c r="C201" s="215" t="s">
        <v>12970</v>
      </c>
      <c r="D201" s="215" t="str">
        <f t="shared" si="167"/>
        <v>DKG&lt;-&gt;Đoan Hùng, Phú Thọ</v>
      </c>
      <c r="E201" s="272">
        <v>470</v>
      </c>
      <c r="F201" s="273">
        <v>650</v>
      </c>
      <c r="G201" s="273">
        <v>3300</v>
      </c>
      <c r="H201" s="273">
        <v>3200</v>
      </c>
      <c r="I201" s="273">
        <v>100</v>
      </c>
      <c r="J201" s="273">
        <v>0</v>
      </c>
      <c r="K201" s="273">
        <v>0</v>
      </c>
      <c r="L201" s="274"/>
      <c r="M201" s="280" t="s">
        <v>12970</v>
      </c>
      <c r="N201" s="273">
        <v>1600000</v>
      </c>
      <c r="O201" s="280">
        <v>900000</v>
      </c>
      <c r="P201" s="280">
        <v>550000</v>
      </c>
      <c r="Q201" s="260" t="s">
        <v>12970</v>
      </c>
      <c r="R201" s="263" t="str">
        <f t="shared" si="166"/>
        <v>kác</v>
      </c>
      <c r="S201" s="263">
        <f t="shared" si="168"/>
        <v>0</v>
      </c>
    </row>
    <row r="202" spans="1:19" s="260" customFormat="1" ht="19.5" customHeight="1" x14ac:dyDescent="0.3">
      <c r="A202" s="271" t="s">
        <v>12745</v>
      </c>
      <c r="B202" s="215" t="s">
        <v>14993</v>
      </c>
      <c r="C202" s="215" t="s">
        <v>13145</v>
      </c>
      <c r="D202" s="215" t="str">
        <f t="shared" si="167"/>
        <v>DKG&lt;-&gt;Thái Nguyên (gần), Thái Nguyên</v>
      </c>
      <c r="E202" s="272">
        <v>400</v>
      </c>
      <c r="F202" s="273">
        <v>550</v>
      </c>
      <c r="G202" s="273">
        <v>2700</v>
      </c>
      <c r="H202" s="273">
        <v>2600</v>
      </c>
      <c r="I202" s="273">
        <v>100</v>
      </c>
      <c r="J202" s="273">
        <v>0</v>
      </c>
      <c r="K202" s="273">
        <v>0</v>
      </c>
      <c r="L202" s="274"/>
      <c r="M202" s="280" t="s">
        <v>13145</v>
      </c>
      <c r="N202" s="273">
        <v>1400000</v>
      </c>
      <c r="O202" s="280">
        <v>750000</v>
      </c>
      <c r="P202" s="280">
        <v>450000</v>
      </c>
      <c r="Q202" s="260" t="s">
        <v>13145</v>
      </c>
      <c r="R202" s="263" t="str">
        <f t="shared" si="166"/>
        <v>kác</v>
      </c>
      <c r="S202" s="263">
        <f t="shared" si="168"/>
        <v>0</v>
      </c>
    </row>
    <row r="203" spans="1:19" s="260" customFormat="1" ht="19.5" customHeight="1" x14ac:dyDescent="0.3">
      <c r="A203" s="271" t="s">
        <v>12745</v>
      </c>
      <c r="B203" s="215" t="s">
        <v>14993</v>
      </c>
      <c r="C203" s="215" t="s">
        <v>13146</v>
      </c>
      <c r="D203" s="215" t="str">
        <f t="shared" si="167"/>
        <v>DKG&lt;-&gt;Thái Nguyên (xa), Thái Nguyên</v>
      </c>
      <c r="E203" s="272">
        <v>450</v>
      </c>
      <c r="F203" s="273">
        <v>570</v>
      </c>
      <c r="G203" s="273">
        <v>2700</v>
      </c>
      <c r="H203" s="273">
        <v>2600</v>
      </c>
      <c r="I203" s="273">
        <v>100</v>
      </c>
      <c r="J203" s="273">
        <v>0</v>
      </c>
      <c r="K203" s="273">
        <v>0</v>
      </c>
      <c r="L203" s="274"/>
      <c r="M203" s="280" t="s">
        <v>13146</v>
      </c>
      <c r="N203" s="273">
        <v>1400000</v>
      </c>
      <c r="O203" s="280">
        <v>850000</v>
      </c>
      <c r="P203" s="280">
        <v>550000</v>
      </c>
      <c r="Q203" s="260" t="s">
        <v>13146</v>
      </c>
      <c r="R203" s="263" t="str">
        <f t="shared" si="166"/>
        <v>kác</v>
      </c>
      <c r="S203" s="263">
        <f t="shared" si="168"/>
        <v>0</v>
      </c>
    </row>
    <row r="204" spans="1:19" s="260" customFormat="1" ht="19.5" customHeight="1" x14ac:dyDescent="0.3">
      <c r="A204" s="271" t="s">
        <v>12745</v>
      </c>
      <c r="B204" s="215" t="s">
        <v>12980</v>
      </c>
      <c r="C204" s="215" t="s">
        <v>12980</v>
      </c>
      <c r="D204" s="215" t="str">
        <f t="shared" si="167"/>
        <v>DKG&lt;-&gt;Tuyên Quang, Tuyên Quang</v>
      </c>
      <c r="E204" s="272">
        <v>0</v>
      </c>
      <c r="F204" s="273">
        <v>800</v>
      </c>
      <c r="G204" s="273">
        <v>5600</v>
      </c>
      <c r="H204" s="273">
        <v>5500</v>
      </c>
      <c r="I204" s="273">
        <v>100</v>
      </c>
      <c r="J204" s="273">
        <v>0</v>
      </c>
      <c r="K204" s="273">
        <v>0</v>
      </c>
      <c r="L204" s="274" t="s">
        <v>13043</v>
      </c>
      <c r="M204" s="280" t="s">
        <v>12980</v>
      </c>
      <c r="N204" s="273">
        <v>2000000</v>
      </c>
      <c r="O204" s="280">
        <v>900000</v>
      </c>
      <c r="P204" s="280">
        <v>550000</v>
      </c>
      <c r="Q204" s="260" t="s">
        <v>12980</v>
      </c>
      <c r="R204" s="263" t="str">
        <f t="shared" si="166"/>
        <v>kác</v>
      </c>
      <c r="S204" s="263">
        <f t="shared" si="168"/>
        <v>0</v>
      </c>
    </row>
    <row r="205" spans="1:19" s="260" customFormat="1" ht="19.5" customHeight="1" x14ac:dyDescent="0.3">
      <c r="A205" s="271" t="s">
        <v>12745</v>
      </c>
      <c r="B205" s="215" t="s">
        <v>12980</v>
      </c>
      <c r="C205" s="215" t="s">
        <v>13147</v>
      </c>
      <c r="D205" s="215" t="str">
        <f t="shared" si="167"/>
        <v>DKG&lt;-&gt;Na Hang, Tuyên Quang</v>
      </c>
      <c r="E205" s="272">
        <v>0</v>
      </c>
      <c r="F205" s="273">
        <v>1300</v>
      </c>
      <c r="G205" s="273">
        <v>5600</v>
      </c>
      <c r="H205" s="273">
        <v>5500</v>
      </c>
      <c r="I205" s="273">
        <v>100</v>
      </c>
      <c r="J205" s="273">
        <v>0</v>
      </c>
      <c r="K205" s="273">
        <v>0</v>
      </c>
      <c r="L205" s="274" t="s">
        <v>13043</v>
      </c>
      <c r="M205" s="280" t="s">
        <v>13147</v>
      </c>
      <c r="N205" s="273"/>
      <c r="O205" s="280">
        <v>1800000</v>
      </c>
      <c r="P205" s="280">
        <v>1000000</v>
      </c>
      <c r="Q205" s="260" t="s">
        <v>13147</v>
      </c>
      <c r="R205" s="263" t="str">
        <f t="shared" si="166"/>
        <v>kác</v>
      </c>
      <c r="S205" s="263">
        <f t="shared" si="168"/>
        <v>0</v>
      </c>
    </row>
    <row r="206" spans="1:19" s="260" customFormat="1" ht="19.5" customHeight="1" x14ac:dyDescent="0.3">
      <c r="A206" s="271" t="s">
        <v>12745</v>
      </c>
      <c r="B206" s="215" t="s">
        <v>15000</v>
      </c>
      <c r="C206" s="215" t="s">
        <v>13148</v>
      </c>
      <c r="D206" s="215" t="str">
        <f t="shared" si="167"/>
        <v>DKG&lt;-&gt;Quảng Uyên, Cao Bằng</v>
      </c>
      <c r="E206" s="272">
        <v>0</v>
      </c>
      <c r="F206" s="273">
        <v>1700</v>
      </c>
      <c r="G206" s="273">
        <v>6000</v>
      </c>
      <c r="H206" s="273">
        <v>5900</v>
      </c>
      <c r="I206" s="273">
        <v>100</v>
      </c>
      <c r="J206" s="273">
        <v>0</v>
      </c>
      <c r="K206" s="273">
        <v>0</v>
      </c>
      <c r="L206" s="274" t="s">
        <v>13043</v>
      </c>
      <c r="M206" s="280" t="s">
        <v>13148</v>
      </c>
      <c r="N206" s="273"/>
      <c r="O206" s="280">
        <v>1800000</v>
      </c>
      <c r="P206" s="280">
        <v>1000000</v>
      </c>
      <c r="Q206" s="260" t="s">
        <v>13148</v>
      </c>
      <c r="R206" s="263" t="str">
        <f t="shared" si="166"/>
        <v>kác</v>
      </c>
      <c r="S206" s="263">
        <f t="shared" si="168"/>
        <v>0</v>
      </c>
    </row>
    <row r="207" spans="1:19" s="260" customFormat="1" ht="19.5" customHeight="1" x14ac:dyDescent="0.3">
      <c r="A207" s="271" t="s">
        <v>12745</v>
      </c>
      <c r="B207" s="215" t="s">
        <v>14999</v>
      </c>
      <c r="C207" s="215" t="s">
        <v>13045</v>
      </c>
      <c r="D207" s="215" t="str">
        <f t="shared" si="167"/>
        <v>DKG&lt;-&gt;Tp. Lào Cai</v>
      </c>
      <c r="E207" s="272">
        <v>0</v>
      </c>
      <c r="F207" s="273">
        <v>1200</v>
      </c>
      <c r="G207" s="273">
        <v>5550</v>
      </c>
      <c r="H207" s="273">
        <v>5450</v>
      </c>
      <c r="I207" s="273">
        <v>100</v>
      </c>
      <c r="J207" s="273">
        <v>0</v>
      </c>
      <c r="K207" s="273">
        <v>0</v>
      </c>
      <c r="L207" s="274" t="s">
        <v>13043</v>
      </c>
      <c r="M207" s="280" t="s">
        <v>13149</v>
      </c>
      <c r="N207" s="273">
        <v>3000000</v>
      </c>
      <c r="O207" s="280">
        <v>1600000</v>
      </c>
      <c r="P207" s="280">
        <v>1000000</v>
      </c>
      <c r="Q207" s="260" t="s">
        <v>13149</v>
      </c>
      <c r="R207" s="263" t="str">
        <f t="shared" si="166"/>
        <v>kác</v>
      </c>
      <c r="S207" s="263">
        <f t="shared" si="168"/>
        <v>1</v>
      </c>
    </row>
    <row r="208" spans="1:19" s="270" customFormat="1" ht="19.5" customHeight="1" x14ac:dyDescent="0.3">
      <c r="A208" s="267" t="s">
        <v>12785</v>
      </c>
      <c r="B208" s="268"/>
      <c r="C208" s="268"/>
      <c r="D208" s="215" t="str">
        <f t="shared" si="167"/>
        <v xml:space="preserve">DKG&lt;-&gt;, </v>
      </c>
      <c r="E208" s="268"/>
      <c r="F208" s="268"/>
      <c r="G208" s="268"/>
      <c r="H208" s="268"/>
      <c r="I208" s="268"/>
      <c r="J208" s="268"/>
      <c r="K208" s="268"/>
      <c r="L208" s="268"/>
      <c r="M208" s="282"/>
      <c r="N208" s="309"/>
      <c r="O208" s="282"/>
      <c r="P208" s="282"/>
      <c r="R208" s="263" t="str">
        <f t="shared" si="166"/>
        <v>1</v>
      </c>
      <c r="S208" s="263">
        <f t="shared" si="168"/>
        <v>0</v>
      </c>
    </row>
    <row r="209" spans="1:19" s="260" customFormat="1" ht="19.5" customHeight="1" x14ac:dyDescent="0.3">
      <c r="A209" s="271" t="s">
        <v>12745</v>
      </c>
      <c r="B209" s="215" t="s">
        <v>10317</v>
      </c>
      <c r="C209" s="215" t="s">
        <v>12982</v>
      </c>
      <c r="D209" s="215" t="str">
        <f t="shared" si="167"/>
        <v>DKG&lt;-&gt;Sở Dầu, Hải Phòng</v>
      </c>
      <c r="E209" s="272">
        <v>0</v>
      </c>
      <c r="F209" s="273">
        <v>230</v>
      </c>
      <c r="G209" s="273">
        <v>550</v>
      </c>
      <c r="H209" s="273">
        <v>450</v>
      </c>
      <c r="I209" s="273">
        <v>100</v>
      </c>
      <c r="J209" s="273">
        <v>0</v>
      </c>
      <c r="K209" s="273">
        <v>0</v>
      </c>
      <c r="L209" s="274"/>
      <c r="M209" s="280" t="s">
        <v>12982</v>
      </c>
      <c r="N209" s="273">
        <v>600000</v>
      </c>
      <c r="O209" s="280">
        <v>100000</v>
      </c>
      <c r="P209" s="280">
        <v>100000</v>
      </c>
      <c r="Q209" s="260" t="s">
        <v>12982</v>
      </c>
      <c r="R209" s="263" t="str">
        <f t="shared" si="166"/>
        <v>kác</v>
      </c>
      <c r="S209" s="263">
        <f t="shared" si="168"/>
        <v>0</v>
      </c>
    </row>
    <row r="210" spans="1:19" s="260" customFormat="1" ht="19.5" customHeight="1" x14ac:dyDescent="0.3">
      <c r="A210" s="271" t="s">
        <v>12745</v>
      </c>
      <c r="B210" s="215" t="s">
        <v>10317</v>
      </c>
      <c r="C210" s="215" t="s">
        <v>12983</v>
      </c>
      <c r="D210" s="215" t="str">
        <f t="shared" si="167"/>
        <v>DKG&lt;-&gt;Cầu Kiền (bên Quán Toán), Hải Phòng</v>
      </c>
      <c r="E210" s="272">
        <v>0</v>
      </c>
      <c r="F210" s="273">
        <v>230</v>
      </c>
      <c r="G210" s="273">
        <v>500</v>
      </c>
      <c r="H210" s="273">
        <v>400</v>
      </c>
      <c r="I210" s="273">
        <v>100</v>
      </c>
      <c r="J210" s="273">
        <v>0</v>
      </c>
      <c r="K210" s="273">
        <v>0</v>
      </c>
      <c r="L210" s="274"/>
      <c r="M210" s="280" t="s">
        <v>12983</v>
      </c>
      <c r="N210" s="273">
        <v>600000</v>
      </c>
      <c r="O210" s="280">
        <v>150000</v>
      </c>
      <c r="P210" s="280">
        <v>100000</v>
      </c>
      <c r="Q210" s="260" t="s">
        <v>12983</v>
      </c>
      <c r="R210" s="263" t="str">
        <f t="shared" si="166"/>
        <v>kác</v>
      </c>
      <c r="S210" s="263">
        <f t="shared" si="168"/>
        <v>0</v>
      </c>
    </row>
    <row r="211" spans="1:19" s="260" customFormat="1" ht="19.5" customHeight="1" x14ac:dyDescent="0.3">
      <c r="A211" s="271" t="s">
        <v>12745</v>
      </c>
      <c r="B211" s="215" t="s">
        <v>10317</v>
      </c>
      <c r="C211" s="215" t="s">
        <v>13150</v>
      </c>
      <c r="D211" s="215" t="str">
        <f t="shared" si="167"/>
        <v>DKG&lt;-&gt;Thuỷ Nguyên (gần), Hải Phòng</v>
      </c>
      <c r="E211" s="272">
        <v>0</v>
      </c>
      <c r="F211" s="273">
        <v>230</v>
      </c>
      <c r="G211" s="273">
        <v>650</v>
      </c>
      <c r="H211" s="273">
        <v>550</v>
      </c>
      <c r="I211" s="273">
        <v>100</v>
      </c>
      <c r="J211" s="273">
        <v>0</v>
      </c>
      <c r="K211" s="273">
        <v>0</v>
      </c>
      <c r="L211" s="274"/>
      <c r="M211" s="280" t="s">
        <v>13150</v>
      </c>
      <c r="N211" s="273">
        <v>600000</v>
      </c>
      <c r="O211" s="280">
        <v>200000</v>
      </c>
      <c r="P211" s="280">
        <v>150000</v>
      </c>
      <c r="Q211" s="260" t="s">
        <v>13150</v>
      </c>
      <c r="R211" s="263" t="str">
        <f t="shared" si="166"/>
        <v>kác</v>
      </c>
      <c r="S211" s="263">
        <f t="shared" si="168"/>
        <v>0</v>
      </c>
    </row>
    <row r="212" spans="1:19" s="260" customFormat="1" ht="19.5" customHeight="1" x14ac:dyDescent="0.3">
      <c r="A212" s="271" t="s">
        <v>12745</v>
      </c>
      <c r="B212" s="215" t="s">
        <v>10317</v>
      </c>
      <c r="C212" s="215" t="s">
        <v>13151</v>
      </c>
      <c r="D212" s="215" t="str">
        <f t="shared" si="167"/>
        <v>DKG&lt;-&gt;Thuỷ Nguyên (xa), Hải Phòng</v>
      </c>
      <c r="E212" s="272">
        <v>0</v>
      </c>
      <c r="F212" s="273">
        <v>250</v>
      </c>
      <c r="G212" s="273">
        <v>650</v>
      </c>
      <c r="H212" s="273">
        <v>550</v>
      </c>
      <c r="I212" s="273">
        <v>100</v>
      </c>
      <c r="J212" s="273">
        <v>0</v>
      </c>
      <c r="K212" s="273">
        <v>0</v>
      </c>
      <c r="L212" s="274"/>
      <c r="M212" s="280" t="s">
        <v>13151</v>
      </c>
      <c r="N212" s="273">
        <v>600000</v>
      </c>
      <c r="O212" s="280">
        <v>200000</v>
      </c>
      <c r="P212" s="280">
        <v>150000</v>
      </c>
      <c r="Q212" s="260" t="s">
        <v>13151</v>
      </c>
      <c r="R212" s="263" t="str">
        <f t="shared" si="166"/>
        <v>kác</v>
      </c>
      <c r="S212" s="263">
        <f t="shared" si="168"/>
        <v>0</v>
      </c>
    </row>
    <row r="213" spans="1:19" s="260" customFormat="1" ht="19.5" customHeight="1" x14ac:dyDescent="0.3">
      <c r="A213" s="271" t="s">
        <v>12745</v>
      </c>
      <c r="B213" s="215" t="s">
        <v>15001</v>
      </c>
      <c r="C213" s="215" t="s">
        <v>13152</v>
      </c>
      <c r="D213" s="215" t="str">
        <f t="shared" si="167"/>
        <v>DKG&lt;-&gt;Yên Tử, Quảng Ninh</v>
      </c>
      <c r="E213" s="272">
        <v>0</v>
      </c>
      <c r="F213" s="273">
        <v>300</v>
      </c>
      <c r="G213" s="273">
        <v>1150</v>
      </c>
      <c r="H213" s="273">
        <v>700</v>
      </c>
      <c r="I213" s="273">
        <v>100</v>
      </c>
      <c r="J213" s="273">
        <v>350</v>
      </c>
      <c r="K213" s="273">
        <v>0</v>
      </c>
      <c r="L213" s="274"/>
      <c r="M213" s="280" t="s">
        <v>13152</v>
      </c>
      <c r="N213" s="273">
        <v>800000</v>
      </c>
      <c r="O213" s="280">
        <v>200000</v>
      </c>
      <c r="P213" s="280">
        <v>150000</v>
      </c>
      <c r="Q213" s="260" t="s">
        <v>13152</v>
      </c>
      <c r="R213" s="263" t="str">
        <f t="shared" si="166"/>
        <v>kác</v>
      </c>
      <c r="S213" s="263">
        <f t="shared" si="168"/>
        <v>0</v>
      </c>
    </row>
    <row r="214" spans="1:19" s="260" customFormat="1" ht="19.5" customHeight="1" x14ac:dyDescent="0.3">
      <c r="A214" s="271" t="s">
        <v>12745</v>
      </c>
      <c r="B214" s="215" t="s">
        <v>15001</v>
      </c>
      <c r="C214" s="215" t="s">
        <v>13153</v>
      </c>
      <c r="D214" s="215" t="str">
        <f t="shared" si="167"/>
        <v>DKG&lt;-&gt;Mạo Khê, Quảng Ninh</v>
      </c>
      <c r="E214" s="272">
        <v>0</v>
      </c>
      <c r="F214" s="273">
        <v>300</v>
      </c>
      <c r="G214" s="273">
        <v>1150</v>
      </c>
      <c r="H214" s="273">
        <v>700</v>
      </c>
      <c r="I214" s="273">
        <v>100</v>
      </c>
      <c r="J214" s="273">
        <v>350</v>
      </c>
      <c r="K214" s="273">
        <v>0</v>
      </c>
      <c r="L214" s="274"/>
      <c r="M214" s="280" t="s">
        <v>13153</v>
      </c>
      <c r="N214" s="273">
        <v>800000</v>
      </c>
      <c r="O214" s="280">
        <v>200000</v>
      </c>
      <c r="P214" s="280">
        <v>150000</v>
      </c>
      <c r="Q214" s="260" t="s">
        <v>13153</v>
      </c>
      <c r="R214" s="263" t="str">
        <f t="shared" si="166"/>
        <v>kác</v>
      </c>
      <c r="S214" s="263">
        <f t="shared" si="168"/>
        <v>0</v>
      </c>
    </row>
    <row r="215" spans="1:19" s="260" customFormat="1" ht="19.5" customHeight="1" x14ac:dyDescent="0.3">
      <c r="A215" s="271" t="s">
        <v>12745</v>
      </c>
      <c r="B215" s="215" t="s">
        <v>15001</v>
      </c>
      <c r="C215" s="215" t="s">
        <v>13154</v>
      </c>
      <c r="D215" s="215" t="str">
        <f t="shared" si="167"/>
        <v>DKG&lt;-&gt;Đông Triều, Quảng Ninh</v>
      </c>
      <c r="E215" s="272">
        <v>0</v>
      </c>
      <c r="F215" s="273">
        <v>300</v>
      </c>
      <c r="G215" s="273">
        <v>1150</v>
      </c>
      <c r="H215" s="273">
        <v>700</v>
      </c>
      <c r="I215" s="273">
        <v>100</v>
      </c>
      <c r="J215" s="273">
        <v>350</v>
      </c>
      <c r="K215" s="273">
        <v>0</v>
      </c>
      <c r="L215" s="274"/>
      <c r="M215" s="280" t="s">
        <v>13154</v>
      </c>
      <c r="N215" s="273">
        <v>800000</v>
      </c>
      <c r="O215" s="280">
        <v>200000</v>
      </c>
      <c r="P215" s="280">
        <v>150000</v>
      </c>
      <c r="Q215" s="260" t="s">
        <v>13154</v>
      </c>
      <c r="R215" s="263" t="str">
        <f t="shared" si="166"/>
        <v>kác</v>
      </c>
      <c r="S215" s="263">
        <f t="shared" si="168"/>
        <v>0</v>
      </c>
    </row>
    <row r="216" spans="1:19" s="260" customFormat="1" ht="19.5" customHeight="1" x14ac:dyDescent="0.3">
      <c r="A216" s="271" t="s">
        <v>12745</v>
      </c>
      <c r="B216" s="215" t="s">
        <v>15001</v>
      </c>
      <c r="C216" s="215" t="s">
        <v>12984</v>
      </c>
      <c r="D216" s="215" t="str">
        <f t="shared" si="167"/>
        <v>DKG&lt;-&gt;Uông Bí, Quảng Ninh</v>
      </c>
      <c r="E216" s="272">
        <v>0</v>
      </c>
      <c r="F216" s="273">
        <v>300</v>
      </c>
      <c r="G216" s="273">
        <v>1150</v>
      </c>
      <c r="H216" s="273">
        <v>700</v>
      </c>
      <c r="I216" s="273">
        <v>100</v>
      </c>
      <c r="J216" s="273">
        <v>350</v>
      </c>
      <c r="K216" s="273">
        <v>0</v>
      </c>
      <c r="L216" s="274"/>
      <c r="M216" s="280" t="s">
        <v>12984</v>
      </c>
      <c r="N216" s="273">
        <v>800000</v>
      </c>
      <c r="O216" s="280">
        <v>200000</v>
      </c>
      <c r="P216" s="280">
        <v>150000</v>
      </c>
      <c r="Q216" s="260" t="s">
        <v>12984</v>
      </c>
      <c r="R216" s="263" t="str">
        <f t="shared" si="166"/>
        <v>kác</v>
      </c>
      <c r="S216" s="263">
        <f t="shared" si="168"/>
        <v>0</v>
      </c>
    </row>
    <row r="217" spans="1:19" s="260" customFormat="1" ht="19.5" customHeight="1" x14ac:dyDescent="0.3">
      <c r="A217" s="271" t="s">
        <v>12745</v>
      </c>
      <c r="B217" s="215" t="s">
        <v>15001</v>
      </c>
      <c r="C217" s="215" t="s">
        <v>13155</v>
      </c>
      <c r="D217" s="215" t="str">
        <f t="shared" si="167"/>
        <v>DKG&lt;-&gt;Quảng Yên (đi lối Thủy Nguyên), Quảng Ninh</v>
      </c>
      <c r="E217" s="272">
        <v>0</v>
      </c>
      <c r="F217" s="273">
        <v>400</v>
      </c>
      <c r="G217" s="273">
        <v>1350</v>
      </c>
      <c r="H217" s="273">
        <v>900</v>
      </c>
      <c r="I217" s="273">
        <v>100</v>
      </c>
      <c r="J217" s="273">
        <v>350</v>
      </c>
      <c r="K217" s="273">
        <v>0</v>
      </c>
      <c r="L217" s="274"/>
      <c r="M217" s="280" t="s">
        <v>13155</v>
      </c>
      <c r="N217" s="273">
        <v>1000000</v>
      </c>
      <c r="O217" s="280">
        <v>200000</v>
      </c>
      <c r="P217" s="280">
        <v>150000</v>
      </c>
      <c r="Q217" s="260" t="s">
        <v>13155</v>
      </c>
      <c r="R217" s="263" t="str">
        <f t="shared" si="166"/>
        <v>kác</v>
      </c>
      <c r="S217" s="263">
        <f t="shared" si="168"/>
        <v>0</v>
      </c>
    </row>
    <row r="218" spans="1:19" s="260" customFormat="1" ht="19.5" customHeight="1" x14ac:dyDescent="0.3">
      <c r="A218" s="271" t="s">
        <v>12745</v>
      </c>
      <c r="B218" s="215" t="s">
        <v>15001</v>
      </c>
      <c r="C218" s="215" t="s">
        <v>13156</v>
      </c>
      <c r="D218" s="215" t="str">
        <f t="shared" si="167"/>
        <v>DKG&lt;-&gt;Quảng Yên (đi lối cao tốc), Quảng Ninh</v>
      </c>
      <c r="E218" s="272">
        <v>0</v>
      </c>
      <c r="F218" s="273">
        <v>400</v>
      </c>
      <c r="G218" s="273">
        <v>800</v>
      </c>
      <c r="H218" s="273">
        <v>700</v>
      </c>
      <c r="I218" s="273">
        <v>100</v>
      </c>
      <c r="J218" s="273">
        <v>0</v>
      </c>
      <c r="K218" s="273">
        <v>0</v>
      </c>
      <c r="L218" s="274"/>
      <c r="M218" s="280" t="s">
        <v>13156</v>
      </c>
      <c r="N218" s="273">
        <v>1000000</v>
      </c>
      <c r="O218" s="280">
        <v>150000</v>
      </c>
      <c r="P218" s="280">
        <v>100000</v>
      </c>
      <c r="Q218" s="260" t="s">
        <v>13156</v>
      </c>
      <c r="R218" s="263" t="str">
        <f t="shared" si="166"/>
        <v>kác</v>
      </c>
      <c r="S218" s="263">
        <f t="shared" si="168"/>
        <v>0</v>
      </c>
    </row>
    <row r="219" spans="1:19" s="260" customFormat="1" ht="19.5" customHeight="1" x14ac:dyDescent="0.3">
      <c r="A219" s="271" t="s">
        <v>12745</v>
      </c>
      <c r="B219" s="215" t="s">
        <v>15001</v>
      </c>
      <c r="C219" s="215" t="s">
        <v>13157</v>
      </c>
      <c r="D219" s="215" t="str">
        <f t="shared" si="167"/>
        <v>DKG&lt;-&gt;Hà Khẩu (đi lối cao tốc), Quảng Ninh</v>
      </c>
      <c r="E219" s="272">
        <v>0</v>
      </c>
      <c r="F219" s="273">
        <v>500</v>
      </c>
      <c r="G219" s="273">
        <v>1850</v>
      </c>
      <c r="H219" s="273">
        <v>900</v>
      </c>
      <c r="I219" s="273">
        <v>100</v>
      </c>
      <c r="J219" s="273">
        <v>850</v>
      </c>
      <c r="K219" s="273">
        <v>0</v>
      </c>
      <c r="L219" s="274"/>
      <c r="M219" s="280" t="s">
        <v>13157</v>
      </c>
      <c r="N219" s="273">
        <v>1300000</v>
      </c>
      <c r="O219" s="280">
        <v>200000</v>
      </c>
      <c r="P219" s="280">
        <v>150000</v>
      </c>
      <c r="Q219" s="260" t="s">
        <v>13157</v>
      </c>
      <c r="R219" s="263" t="str">
        <f t="shared" si="166"/>
        <v>kác</v>
      </c>
      <c r="S219" s="263">
        <f t="shared" si="168"/>
        <v>0</v>
      </c>
    </row>
    <row r="220" spans="1:19" s="260" customFormat="1" ht="19.5" customHeight="1" x14ac:dyDescent="0.3">
      <c r="A220" s="271" t="s">
        <v>12745</v>
      </c>
      <c r="B220" s="215" t="s">
        <v>15001</v>
      </c>
      <c r="C220" s="215" t="s">
        <v>13158</v>
      </c>
      <c r="D220" s="215" t="str">
        <f t="shared" si="167"/>
        <v>DKG&lt;-&gt;Giếng Đáy (đi lối cao tốc), Quảng Ninh</v>
      </c>
      <c r="E220" s="272">
        <v>0</v>
      </c>
      <c r="F220" s="273">
        <v>500</v>
      </c>
      <c r="G220" s="273">
        <v>1850</v>
      </c>
      <c r="H220" s="273">
        <v>900</v>
      </c>
      <c r="I220" s="273">
        <v>100</v>
      </c>
      <c r="J220" s="273">
        <v>850</v>
      </c>
      <c r="K220" s="273">
        <v>0</v>
      </c>
      <c r="L220" s="274"/>
      <c r="M220" s="280" t="s">
        <v>13158</v>
      </c>
      <c r="N220" s="273">
        <v>1300000</v>
      </c>
      <c r="O220" s="280">
        <v>200000</v>
      </c>
      <c r="P220" s="280">
        <v>150000</v>
      </c>
      <c r="Q220" s="260" t="s">
        <v>13158</v>
      </c>
      <c r="R220" s="263" t="str">
        <f t="shared" si="166"/>
        <v>kác</v>
      </c>
      <c r="S220" s="263">
        <f t="shared" si="168"/>
        <v>0</v>
      </c>
    </row>
    <row r="221" spans="1:19" s="260" customFormat="1" ht="19.5" customHeight="1" x14ac:dyDescent="0.3">
      <c r="A221" s="271" t="s">
        <v>12745</v>
      </c>
      <c r="B221" s="215" t="s">
        <v>15001</v>
      </c>
      <c r="C221" s="215" t="s">
        <v>13159</v>
      </c>
      <c r="D221" s="215" t="str">
        <f t="shared" si="167"/>
        <v>DKG&lt;-&gt;Hạ Long (đi lối cao tốc), Quảng Ninh</v>
      </c>
      <c r="E221" s="272">
        <v>0</v>
      </c>
      <c r="F221" s="273">
        <v>500</v>
      </c>
      <c r="G221" s="273">
        <v>1850</v>
      </c>
      <c r="H221" s="273">
        <v>900</v>
      </c>
      <c r="I221" s="273">
        <v>100</v>
      </c>
      <c r="J221" s="273">
        <v>850</v>
      </c>
      <c r="K221" s="273">
        <v>0</v>
      </c>
      <c r="L221" s="274"/>
      <c r="M221" s="280" t="s">
        <v>13159</v>
      </c>
      <c r="N221" s="273">
        <v>1300000</v>
      </c>
      <c r="O221" s="280">
        <v>200000</v>
      </c>
      <c r="P221" s="280">
        <v>150000</v>
      </c>
      <c r="Q221" s="260" t="s">
        <v>13159</v>
      </c>
      <c r="R221" s="263" t="str">
        <f t="shared" si="166"/>
        <v>kác</v>
      </c>
      <c r="S221" s="263">
        <f t="shared" si="168"/>
        <v>0</v>
      </c>
    </row>
    <row r="222" spans="1:19" s="260" customFormat="1" ht="19.5" customHeight="1" x14ac:dyDescent="0.3">
      <c r="A222" s="271" t="s">
        <v>12745</v>
      </c>
      <c r="B222" s="215" t="s">
        <v>15001</v>
      </c>
      <c r="C222" s="215" t="s">
        <v>13160</v>
      </c>
      <c r="D222" s="215" t="str">
        <f t="shared" si="167"/>
        <v>DKG&lt;-&gt;Hòn Gai (đi lối cao tốc), Quảng Ninh</v>
      </c>
      <c r="E222" s="272">
        <v>0</v>
      </c>
      <c r="F222" s="273">
        <v>500</v>
      </c>
      <c r="G222" s="273">
        <v>1850</v>
      </c>
      <c r="H222" s="273">
        <v>900</v>
      </c>
      <c r="I222" s="273">
        <v>100</v>
      </c>
      <c r="J222" s="273">
        <v>850</v>
      </c>
      <c r="K222" s="273">
        <v>0</v>
      </c>
      <c r="L222" s="274"/>
      <c r="M222" s="280" t="s">
        <v>13160</v>
      </c>
      <c r="N222" s="273">
        <v>1300000</v>
      </c>
      <c r="O222" s="280">
        <v>200000</v>
      </c>
      <c r="P222" s="280">
        <v>150000</v>
      </c>
      <c r="Q222" s="260" t="s">
        <v>13160</v>
      </c>
      <c r="R222" s="263" t="str">
        <f t="shared" si="166"/>
        <v>kác</v>
      </c>
      <c r="S222" s="263">
        <f t="shared" si="168"/>
        <v>0</v>
      </c>
    </row>
    <row r="223" spans="1:19" s="260" customFormat="1" ht="19.5" customHeight="1" x14ac:dyDescent="0.3">
      <c r="A223" s="271" t="s">
        <v>12745</v>
      </c>
      <c r="B223" s="215" t="s">
        <v>15001</v>
      </c>
      <c r="C223" s="215" t="s">
        <v>13161</v>
      </c>
      <c r="D223" s="215" t="str">
        <f t="shared" si="167"/>
        <v>DKG&lt;-&gt;Hà Tu (đi lối cao tốc), Quảng Ninh</v>
      </c>
      <c r="E223" s="272">
        <v>0</v>
      </c>
      <c r="F223" s="273">
        <v>500</v>
      </c>
      <c r="G223" s="273">
        <v>1850</v>
      </c>
      <c r="H223" s="273">
        <v>900</v>
      </c>
      <c r="I223" s="273">
        <v>100</v>
      </c>
      <c r="J223" s="273">
        <v>850</v>
      </c>
      <c r="K223" s="273">
        <v>0</v>
      </c>
      <c r="L223" s="274"/>
      <c r="M223" s="280" t="s">
        <v>13161</v>
      </c>
      <c r="N223" s="273">
        <v>1300000</v>
      </c>
      <c r="O223" s="280">
        <v>200000</v>
      </c>
      <c r="P223" s="280">
        <v>150000</v>
      </c>
      <c r="Q223" s="260" t="s">
        <v>13161</v>
      </c>
      <c r="R223" s="263" t="str">
        <f t="shared" si="166"/>
        <v>kác</v>
      </c>
      <c r="S223" s="263">
        <f t="shared" si="168"/>
        <v>0</v>
      </c>
    </row>
    <row r="224" spans="1:19" s="260" customFormat="1" ht="19.5" customHeight="1" x14ac:dyDescent="0.3">
      <c r="A224" s="271" t="s">
        <v>12745</v>
      </c>
      <c r="B224" s="215" t="s">
        <v>15001</v>
      </c>
      <c r="C224" s="215" t="s">
        <v>13162</v>
      </c>
      <c r="D224" s="215" t="str">
        <f t="shared" si="167"/>
        <v>DKG&lt;-&gt;Hoành Bồ (đi lối cao tốc), Quảng Ninh</v>
      </c>
      <c r="E224" s="272">
        <v>0</v>
      </c>
      <c r="F224" s="273">
        <v>500</v>
      </c>
      <c r="G224" s="273">
        <v>1850</v>
      </c>
      <c r="H224" s="273">
        <v>900</v>
      </c>
      <c r="I224" s="273">
        <v>100</v>
      </c>
      <c r="J224" s="273">
        <v>850</v>
      </c>
      <c r="K224" s="273">
        <v>0</v>
      </c>
      <c r="L224" s="274"/>
      <c r="M224" s="280" t="s">
        <v>13162</v>
      </c>
      <c r="N224" s="273">
        <v>1300000</v>
      </c>
      <c r="O224" s="280">
        <v>250000</v>
      </c>
      <c r="P224" s="280">
        <v>150000</v>
      </c>
      <c r="Q224" s="260" t="s">
        <v>13162</v>
      </c>
      <c r="R224" s="263" t="str">
        <f t="shared" si="166"/>
        <v>kác</v>
      </c>
      <c r="S224" s="263">
        <f t="shared" si="168"/>
        <v>0</v>
      </c>
    </row>
    <row r="225" spans="1:19" s="260" customFormat="1" ht="19.5" customHeight="1" x14ac:dyDescent="0.3">
      <c r="A225" s="271" t="s">
        <v>12745</v>
      </c>
      <c r="B225" s="215" t="s">
        <v>15001</v>
      </c>
      <c r="C225" s="215" t="s">
        <v>13163</v>
      </c>
      <c r="D225" s="215" t="str">
        <f t="shared" si="167"/>
        <v>DKG&lt;-&gt;Cẩm Phả (đi lối cao tốc), Quảng Ninh</v>
      </c>
      <c r="E225" s="272">
        <v>0</v>
      </c>
      <c r="F225" s="273">
        <v>550</v>
      </c>
      <c r="G225" s="273">
        <v>2200</v>
      </c>
      <c r="H225" s="273">
        <v>1250</v>
      </c>
      <c r="I225" s="273">
        <v>100</v>
      </c>
      <c r="J225" s="273">
        <v>850</v>
      </c>
      <c r="K225" s="273">
        <v>0</v>
      </c>
      <c r="L225" s="274"/>
      <c r="M225" s="280" t="s">
        <v>13163</v>
      </c>
      <c r="N225" s="273">
        <v>1400000</v>
      </c>
      <c r="O225" s="280">
        <v>300000</v>
      </c>
      <c r="P225" s="280">
        <v>200000</v>
      </c>
      <c r="Q225" s="260" t="s">
        <v>13163</v>
      </c>
      <c r="R225" s="263" t="str">
        <f t="shared" si="166"/>
        <v>kác</v>
      </c>
      <c r="S225" s="263">
        <f t="shared" si="168"/>
        <v>0</v>
      </c>
    </row>
    <row r="226" spans="1:19" s="260" customFormat="1" ht="19.5" customHeight="1" x14ac:dyDescent="0.3">
      <c r="A226" s="271" t="s">
        <v>12745</v>
      </c>
      <c r="B226" s="215" t="s">
        <v>15001</v>
      </c>
      <c r="C226" s="215" t="s">
        <v>13164</v>
      </c>
      <c r="D226" s="215" t="str">
        <f t="shared" si="167"/>
        <v>DKG&lt;-&gt;Linh - Cẩm Phả (đi lối cao tốc), Quảng Ninh</v>
      </c>
      <c r="E226" s="272">
        <v>0</v>
      </c>
      <c r="F226" s="273">
        <v>560</v>
      </c>
      <c r="G226" s="273">
        <v>2400</v>
      </c>
      <c r="H226" s="273">
        <v>1450</v>
      </c>
      <c r="I226" s="273">
        <v>100</v>
      </c>
      <c r="J226" s="273">
        <v>850</v>
      </c>
      <c r="K226" s="273">
        <v>0</v>
      </c>
      <c r="L226" s="274"/>
      <c r="M226" s="280" t="s">
        <v>13164</v>
      </c>
      <c r="N226" s="273">
        <v>1400000</v>
      </c>
      <c r="O226" s="280">
        <v>300000</v>
      </c>
      <c r="P226" s="280">
        <v>200000</v>
      </c>
      <c r="Q226" s="260" t="s">
        <v>13164</v>
      </c>
      <c r="R226" s="263" t="str">
        <f t="shared" si="166"/>
        <v>kác</v>
      </c>
      <c r="S226" s="263">
        <f t="shared" si="168"/>
        <v>0</v>
      </c>
    </row>
    <row r="227" spans="1:19" s="260" customFormat="1" ht="19.5" customHeight="1" x14ac:dyDescent="0.3">
      <c r="A227" s="271" t="s">
        <v>12745</v>
      </c>
      <c r="B227" s="215" t="s">
        <v>15001</v>
      </c>
      <c r="C227" s="215" t="s">
        <v>13165</v>
      </c>
      <c r="D227" s="215" t="str">
        <f t="shared" si="167"/>
        <v>DKG&lt;-&gt;Tùng - Cẩm Phả (đi lối cao tốc), Quảng Ninh</v>
      </c>
      <c r="E227" s="272">
        <v>0</v>
      </c>
      <c r="F227" s="273">
        <v>570</v>
      </c>
      <c r="G227" s="273">
        <v>2600</v>
      </c>
      <c r="H227" s="273">
        <v>1650</v>
      </c>
      <c r="I227" s="273">
        <v>100</v>
      </c>
      <c r="J227" s="273">
        <v>850</v>
      </c>
      <c r="K227" s="273">
        <v>0</v>
      </c>
      <c r="L227" s="274"/>
      <c r="M227" s="280" t="s">
        <v>13165</v>
      </c>
      <c r="N227" s="273">
        <v>1400000</v>
      </c>
      <c r="O227" s="280">
        <v>300000</v>
      </c>
      <c r="P227" s="280">
        <v>200000</v>
      </c>
      <c r="Q227" s="260" t="s">
        <v>13165</v>
      </c>
      <c r="R227" s="263" t="str">
        <f t="shared" si="166"/>
        <v>kác</v>
      </c>
      <c r="S227" s="263">
        <f t="shared" si="168"/>
        <v>0</v>
      </c>
    </row>
    <row r="228" spans="1:19" s="260" customFormat="1" ht="19.5" customHeight="1" x14ac:dyDescent="0.3">
      <c r="A228" s="271" t="s">
        <v>12745</v>
      </c>
      <c r="B228" s="215" t="s">
        <v>15001</v>
      </c>
      <c r="C228" s="215" t="s">
        <v>13166</v>
      </c>
      <c r="D228" s="215" t="str">
        <f t="shared" si="167"/>
        <v>DKG&lt;-&gt;Hải Hà (đi lối cao tốc), Quảng Ninh</v>
      </c>
      <c r="E228" s="272">
        <v>0</v>
      </c>
      <c r="F228" s="273">
        <v>900</v>
      </c>
      <c r="G228" s="273">
        <v>3450</v>
      </c>
      <c r="H228" s="273">
        <v>2150</v>
      </c>
      <c r="I228" s="273">
        <v>100</v>
      </c>
      <c r="J228" s="273">
        <v>1200</v>
      </c>
      <c r="K228" s="273">
        <v>0</v>
      </c>
      <c r="L228" s="274"/>
      <c r="M228" s="280" t="s">
        <v>13166</v>
      </c>
      <c r="N228" s="273">
        <v>2300000</v>
      </c>
      <c r="O228" s="280">
        <v>600000</v>
      </c>
      <c r="P228" s="280">
        <v>350000</v>
      </c>
      <c r="Q228" s="260" t="s">
        <v>13166</v>
      </c>
      <c r="R228" s="263" t="str">
        <f t="shared" si="166"/>
        <v>kác</v>
      </c>
      <c r="S228" s="263">
        <f t="shared" si="168"/>
        <v>0</v>
      </c>
    </row>
    <row r="229" spans="1:19" s="260" customFormat="1" ht="19.5" customHeight="1" x14ac:dyDescent="0.3">
      <c r="A229" s="271" t="s">
        <v>12745</v>
      </c>
      <c r="B229" s="215" t="s">
        <v>15001</v>
      </c>
      <c r="C229" s="215" t="s">
        <v>13167</v>
      </c>
      <c r="D229" s="215" t="str">
        <f t="shared" si="167"/>
        <v>DKG&lt;-&gt;Móng Cái (đi lối cao tốc), Quảng Ninh</v>
      </c>
      <c r="E229" s="272">
        <v>0</v>
      </c>
      <c r="F229" s="273">
        <v>900</v>
      </c>
      <c r="G229" s="273">
        <v>3450</v>
      </c>
      <c r="H229" s="273">
        <v>2150</v>
      </c>
      <c r="I229" s="273">
        <v>100</v>
      </c>
      <c r="J229" s="273">
        <v>1200</v>
      </c>
      <c r="K229" s="273">
        <v>0</v>
      </c>
      <c r="L229" s="274"/>
      <c r="M229" s="280" t="s">
        <v>13167</v>
      </c>
      <c r="N229" s="273">
        <v>2300000</v>
      </c>
      <c r="O229" s="280">
        <v>800000</v>
      </c>
      <c r="P229" s="280">
        <v>500000</v>
      </c>
      <c r="Q229" s="260" t="s">
        <v>13167</v>
      </c>
      <c r="R229" s="263" t="str">
        <f t="shared" si="166"/>
        <v>kác</v>
      </c>
      <c r="S229" s="263">
        <f t="shared" si="168"/>
        <v>0</v>
      </c>
    </row>
    <row r="230" spans="1:19" s="260" customFormat="1" ht="19.5" customHeight="1" x14ac:dyDescent="0.3">
      <c r="A230" s="271">
        <v>0</v>
      </c>
      <c r="B230" s="215">
        <v>0</v>
      </c>
      <c r="C230" s="215">
        <v>0</v>
      </c>
      <c r="D230" s="215" t="str">
        <f t="shared" si="167"/>
        <v>DKG&lt;-&gt;0, 0</v>
      </c>
      <c r="E230" s="272">
        <v>0</v>
      </c>
      <c r="F230" s="273">
        <v>0</v>
      </c>
      <c r="G230" s="273">
        <v>0</v>
      </c>
      <c r="H230" s="273">
        <v>0</v>
      </c>
      <c r="I230" s="273">
        <v>0</v>
      </c>
      <c r="J230" s="273">
        <v>0</v>
      </c>
      <c r="K230" s="273">
        <v>0</v>
      </c>
      <c r="L230" s="274"/>
      <c r="M230" s="275">
        <v>0</v>
      </c>
      <c r="Q230" s="260">
        <v>0</v>
      </c>
      <c r="R230" s="263" t="str">
        <f t="shared" si="166"/>
        <v>1</v>
      </c>
    </row>
    <row r="231" spans="1:19" s="260" customFormat="1" ht="21.9" customHeight="1" x14ac:dyDescent="0.3">
      <c r="A231" s="443" t="s">
        <v>13044</v>
      </c>
      <c r="B231" s="443"/>
      <c r="C231" s="444"/>
      <c r="D231" s="444"/>
      <c r="E231" s="444"/>
      <c r="F231" s="444"/>
      <c r="G231" s="444"/>
      <c r="I231" s="276"/>
      <c r="J231" s="276"/>
      <c r="K231" s="276"/>
      <c r="L231" s="276"/>
    </row>
    <row r="232" spans="1:19" s="260" customFormat="1" ht="21.9" customHeight="1" x14ac:dyDescent="0.3">
      <c r="A232" s="335"/>
      <c r="B232" s="335"/>
      <c r="C232" s="336"/>
      <c r="D232" s="113" t="s">
        <v>13615</v>
      </c>
      <c r="E232" s="337">
        <f>+E180</f>
        <v>268</v>
      </c>
      <c r="F232" s="337">
        <f t="shared" ref="F232:S232" si="169">+F180</f>
        <v>450</v>
      </c>
      <c r="G232" s="337">
        <f t="shared" si="169"/>
        <v>2250</v>
      </c>
      <c r="H232" s="337">
        <f t="shared" si="169"/>
        <v>2150</v>
      </c>
      <c r="I232" s="337">
        <f t="shared" si="169"/>
        <v>100</v>
      </c>
      <c r="J232" s="337">
        <f t="shared" si="169"/>
        <v>0</v>
      </c>
      <c r="K232" s="337">
        <f t="shared" si="169"/>
        <v>0</v>
      </c>
      <c r="L232" s="337">
        <f t="shared" si="169"/>
        <v>0</v>
      </c>
      <c r="M232" s="337" t="str">
        <f t="shared" si="169"/>
        <v>Thành Phố</v>
      </c>
      <c r="N232" s="337">
        <f t="shared" si="169"/>
        <v>1100000</v>
      </c>
      <c r="O232" s="337">
        <f t="shared" si="169"/>
        <v>550000</v>
      </c>
      <c r="P232" s="337">
        <f t="shared" si="169"/>
        <v>350000</v>
      </c>
      <c r="Q232" s="337" t="str">
        <f t="shared" si="169"/>
        <v>Thành Phố</v>
      </c>
      <c r="R232" s="337" t="str">
        <f t="shared" si="169"/>
        <v>kác</v>
      </c>
      <c r="S232" s="337">
        <f t="shared" si="169"/>
        <v>1</v>
      </c>
    </row>
    <row r="233" spans="1:19" s="260" customFormat="1" ht="21.9" customHeight="1" x14ac:dyDescent="0.3">
      <c r="A233" s="335"/>
      <c r="B233" s="335"/>
      <c r="C233" s="336"/>
      <c r="D233" s="113" t="s">
        <v>13616</v>
      </c>
      <c r="E233" s="338">
        <f>+E173</f>
        <v>236</v>
      </c>
      <c r="F233" s="338">
        <f t="shared" ref="F233:S233" si="170">+F173</f>
        <v>400</v>
      </c>
      <c r="G233" s="338">
        <f t="shared" si="170"/>
        <v>2050</v>
      </c>
      <c r="H233" s="338">
        <f t="shared" si="170"/>
        <v>1950</v>
      </c>
      <c r="I233" s="338">
        <f t="shared" si="170"/>
        <v>100</v>
      </c>
      <c r="J233" s="338">
        <f t="shared" si="170"/>
        <v>0</v>
      </c>
      <c r="K233" s="338">
        <f t="shared" si="170"/>
        <v>0</v>
      </c>
      <c r="L233" s="338">
        <f t="shared" si="170"/>
        <v>0</v>
      </c>
      <c r="M233" s="338" t="str">
        <f t="shared" si="170"/>
        <v>Thành Phố</v>
      </c>
      <c r="N233" s="338">
        <f t="shared" si="170"/>
        <v>1000000</v>
      </c>
      <c r="O233" s="338">
        <f t="shared" si="170"/>
        <v>450000</v>
      </c>
      <c r="P233" s="338">
        <f t="shared" si="170"/>
        <v>300000</v>
      </c>
      <c r="Q233" s="338" t="str">
        <f t="shared" si="170"/>
        <v>Thành Phố</v>
      </c>
      <c r="R233" s="338" t="str">
        <f t="shared" si="170"/>
        <v>kác</v>
      </c>
      <c r="S233" s="338">
        <f t="shared" si="170"/>
        <v>1</v>
      </c>
    </row>
    <row r="234" spans="1:19" s="260" customFormat="1" ht="21.9" customHeight="1" x14ac:dyDescent="0.3">
      <c r="A234" s="335"/>
      <c r="B234" s="335"/>
      <c r="C234" s="336"/>
      <c r="D234" s="113" t="s">
        <v>13617</v>
      </c>
      <c r="E234" s="336"/>
      <c r="F234" s="336"/>
      <c r="G234" s="336"/>
      <c r="H234" s="336"/>
      <c r="I234" s="336"/>
      <c r="J234" s="336"/>
      <c r="K234" s="336"/>
      <c r="L234" s="336"/>
      <c r="M234" s="336"/>
      <c r="N234" s="336"/>
      <c r="O234" s="336"/>
      <c r="P234" s="336"/>
      <c r="Q234" s="336"/>
      <c r="R234" s="336"/>
      <c r="S234" s="336"/>
    </row>
    <row r="235" spans="1:19" s="260" customFormat="1" ht="21.9" customHeight="1" x14ac:dyDescent="0.3">
      <c r="A235" s="335"/>
      <c r="B235" s="335"/>
      <c r="C235" s="336"/>
      <c r="D235" s="113" t="s">
        <v>13618</v>
      </c>
      <c r="E235" s="338">
        <f>E157</f>
        <v>380</v>
      </c>
      <c r="F235" s="338">
        <f t="shared" ref="F235:S235" si="171">F157</f>
        <v>600</v>
      </c>
      <c r="G235" s="338">
        <f t="shared" si="171"/>
        <v>3350</v>
      </c>
      <c r="H235" s="338">
        <f t="shared" si="171"/>
        <v>3250</v>
      </c>
      <c r="I235" s="338">
        <f t="shared" si="171"/>
        <v>100</v>
      </c>
      <c r="J235" s="338">
        <f t="shared" si="171"/>
        <v>0</v>
      </c>
      <c r="K235" s="338">
        <f t="shared" si="171"/>
        <v>0</v>
      </c>
      <c r="L235" s="338" t="str">
        <f t="shared" si="171"/>
        <v>Lạc Sơn HB 700 PT1000, TD3650, lương sơn 600</v>
      </c>
      <c r="M235" s="338" t="str">
        <f t="shared" si="171"/>
        <v>Thành Phố</v>
      </c>
      <c r="N235" s="338">
        <f t="shared" si="171"/>
        <v>1500000</v>
      </c>
      <c r="O235" s="338">
        <f t="shared" si="171"/>
        <v>700000</v>
      </c>
      <c r="P235" s="338">
        <f t="shared" si="171"/>
        <v>400000</v>
      </c>
      <c r="Q235" s="338" t="str">
        <f t="shared" si="171"/>
        <v>Thành Phố</v>
      </c>
      <c r="R235" s="338" t="str">
        <f t="shared" si="171"/>
        <v>kác</v>
      </c>
      <c r="S235" s="338">
        <f t="shared" si="171"/>
        <v>1</v>
      </c>
    </row>
    <row r="236" spans="1:19" s="260" customFormat="1" ht="21.9" customHeight="1" x14ac:dyDescent="0.3">
      <c r="A236" s="335"/>
      <c r="B236" s="335"/>
      <c r="C236" s="336"/>
      <c r="D236" s="113" t="s">
        <v>13619</v>
      </c>
      <c r="E236" s="338">
        <f>E98</f>
        <v>125</v>
      </c>
      <c r="F236" s="338">
        <f t="shared" ref="F236:N236" si="172">F98</f>
        <v>300</v>
      </c>
      <c r="G236" s="338">
        <f t="shared" si="172"/>
        <v>1250</v>
      </c>
      <c r="H236" s="338">
        <f t="shared" si="172"/>
        <v>1150</v>
      </c>
      <c r="I236" s="338">
        <f t="shared" si="172"/>
        <v>100</v>
      </c>
      <c r="J236" s="338">
        <f t="shared" si="172"/>
        <v>0</v>
      </c>
      <c r="K236" s="338">
        <f t="shared" si="172"/>
        <v>0</v>
      </c>
      <c r="L236" s="338">
        <f t="shared" si="172"/>
        <v>0</v>
      </c>
      <c r="M236" s="338" t="str">
        <f t="shared" si="172"/>
        <v>Thành Phố</v>
      </c>
      <c r="N236" s="338">
        <f t="shared" si="172"/>
        <v>800000</v>
      </c>
      <c r="O236" s="336"/>
      <c r="P236" s="336"/>
      <c r="Q236" s="336"/>
      <c r="R236" s="336"/>
      <c r="S236" s="338">
        <f t="shared" ref="S236" si="173">S98</f>
        <v>1</v>
      </c>
    </row>
    <row r="237" spans="1:19" s="260" customFormat="1" ht="21.9" customHeight="1" x14ac:dyDescent="0.3">
      <c r="A237" s="335"/>
      <c r="B237" s="335"/>
      <c r="C237" s="336"/>
      <c r="D237" s="113" t="s">
        <v>13620</v>
      </c>
      <c r="E237" s="336"/>
      <c r="F237" s="336"/>
      <c r="G237" s="336"/>
      <c r="H237" s="336"/>
      <c r="I237" s="336"/>
      <c r="J237" s="336"/>
      <c r="K237" s="336"/>
      <c r="L237" s="336"/>
      <c r="M237" s="336"/>
      <c r="N237" s="336"/>
      <c r="O237" s="336"/>
      <c r="P237" s="336"/>
      <c r="Q237" s="336"/>
      <c r="R237" s="336"/>
      <c r="S237" s="336"/>
    </row>
    <row r="238" spans="1:19" s="260" customFormat="1" ht="21.9" customHeight="1" x14ac:dyDescent="0.3">
      <c r="A238" s="335"/>
      <c r="B238" s="335"/>
      <c r="C238" s="336"/>
      <c r="D238" s="113" t="s">
        <v>13621</v>
      </c>
      <c r="E238" s="336"/>
      <c r="F238" s="336"/>
      <c r="G238" s="336"/>
      <c r="H238" s="336"/>
      <c r="I238" s="336"/>
      <c r="J238" s="336"/>
      <c r="K238" s="336"/>
      <c r="L238" s="336"/>
      <c r="M238" s="336"/>
      <c r="N238" s="336"/>
      <c r="O238" s="336"/>
      <c r="P238" s="336"/>
      <c r="Q238" s="336"/>
      <c r="R238" s="336"/>
      <c r="S238" s="336"/>
    </row>
    <row r="239" spans="1:19" s="260" customFormat="1" ht="21.9" customHeight="1" x14ac:dyDescent="0.3">
      <c r="A239" s="335"/>
      <c r="B239" s="335"/>
      <c r="C239" s="336"/>
      <c r="D239" s="113" t="s">
        <v>13622</v>
      </c>
      <c r="E239" s="336"/>
      <c r="F239" s="336"/>
      <c r="G239" s="336"/>
      <c r="H239" s="336"/>
      <c r="I239" s="336"/>
      <c r="J239" s="336"/>
      <c r="K239" s="336"/>
      <c r="L239" s="336"/>
      <c r="M239" s="336"/>
      <c r="N239" s="336"/>
      <c r="O239" s="336"/>
      <c r="P239" s="336"/>
      <c r="Q239" s="336"/>
      <c r="R239" s="336"/>
      <c r="S239" s="336"/>
    </row>
    <row r="240" spans="1:19" s="260" customFormat="1" ht="21.9" customHeight="1" x14ac:dyDescent="0.3">
      <c r="A240" s="335"/>
      <c r="B240" s="335"/>
      <c r="C240" s="336"/>
      <c r="D240" s="113" t="s">
        <v>13711</v>
      </c>
      <c r="E240" s="338">
        <f>E124</f>
        <v>200</v>
      </c>
      <c r="F240" s="338">
        <f t="shared" ref="F240:S240" si="174">F124</f>
        <v>380</v>
      </c>
      <c r="G240" s="338">
        <f t="shared" si="174"/>
        <v>1650</v>
      </c>
      <c r="H240" s="338">
        <f t="shared" si="174"/>
        <v>1550</v>
      </c>
      <c r="I240" s="338">
        <f t="shared" si="174"/>
        <v>100</v>
      </c>
      <c r="J240" s="338">
        <f t="shared" si="174"/>
        <v>0</v>
      </c>
      <c r="K240" s="338">
        <f t="shared" si="174"/>
        <v>0</v>
      </c>
      <c r="L240" s="338">
        <f t="shared" si="174"/>
        <v>0</v>
      </c>
      <c r="M240" s="338" t="str">
        <f t="shared" si="174"/>
        <v>Thành Phố</v>
      </c>
      <c r="N240" s="338">
        <f t="shared" si="174"/>
        <v>1000000</v>
      </c>
      <c r="O240" s="338">
        <f t="shared" si="174"/>
        <v>400000</v>
      </c>
      <c r="P240" s="338">
        <f t="shared" si="174"/>
        <v>250000</v>
      </c>
      <c r="Q240" s="338" t="str">
        <f t="shared" si="174"/>
        <v>Thành Phố</v>
      </c>
      <c r="R240" s="338" t="str">
        <f t="shared" si="174"/>
        <v>kác</v>
      </c>
      <c r="S240" s="338">
        <f t="shared" si="174"/>
        <v>1</v>
      </c>
    </row>
    <row r="241" spans="1:19" s="260" customFormat="1" ht="21.9" customHeight="1" x14ac:dyDescent="0.3">
      <c r="A241" s="335"/>
      <c r="B241" s="335"/>
      <c r="C241" s="336"/>
      <c r="D241" s="113" t="s">
        <v>13624</v>
      </c>
      <c r="E241" s="338">
        <f>E207</f>
        <v>0</v>
      </c>
      <c r="F241" s="338">
        <f t="shared" ref="F241:S241" si="175">F207</f>
        <v>1200</v>
      </c>
      <c r="G241" s="338">
        <f t="shared" si="175"/>
        <v>5550</v>
      </c>
      <c r="H241" s="338">
        <f t="shared" si="175"/>
        <v>5450</v>
      </c>
      <c r="I241" s="338">
        <f t="shared" si="175"/>
        <v>100</v>
      </c>
      <c r="J241" s="338">
        <f t="shared" si="175"/>
        <v>0</v>
      </c>
      <c r="K241" s="338">
        <f t="shared" si="175"/>
        <v>0</v>
      </c>
      <c r="L241" s="338" t="str">
        <f t="shared" si="175"/>
        <v>Chưa chính xác</v>
      </c>
      <c r="M241" s="338" t="str">
        <f t="shared" si="175"/>
        <v>Thành phố</v>
      </c>
      <c r="N241" s="338">
        <f t="shared" si="175"/>
        <v>3000000</v>
      </c>
      <c r="O241" s="338">
        <f t="shared" si="175"/>
        <v>1600000</v>
      </c>
      <c r="P241" s="338">
        <f t="shared" si="175"/>
        <v>1000000</v>
      </c>
      <c r="Q241" s="338" t="str">
        <f t="shared" si="175"/>
        <v>Thành phố</v>
      </c>
      <c r="R241" s="338" t="str">
        <f t="shared" si="175"/>
        <v>kác</v>
      </c>
      <c r="S241" s="338">
        <f t="shared" si="175"/>
        <v>1</v>
      </c>
    </row>
    <row r="242" spans="1:19" s="260" customFormat="1" ht="21.9" customHeight="1" x14ac:dyDescent="0.3">
      <c r="A242" s="335"/>
      <c r="B242" s="335"/>
      <c r="C242" s="336"/>
      <c r="D242" s="113" t="s">
        <v>13625</v>
      </c>
      <c r="E242" s="338">
        <f>E189</f>
        <v>430</v>
      </c>
      <c r="F242" s="338">
        <f t="shared" ref="F242:S242" si="176">F189</f>
        <v>700</v>
      </c>
      <c r="G242" s="338">
        <f t="shared" si="176"/>
        <v>3550</v>
      </c>
      <c r="H242" s="338">
        <f t="shared" si="176"/>
        <v>2800</v>
      </c>
      <c r="I242" s="338">
        <f t="shared" si="176"/>
        <v>100</v>
      </c>
      <c r="J242" s="338">
        <f t="shared" si="176"/>
        <v>650</v>
      </c>
      <c r="K242" s="338">
        <f t="shared" si="176"/>
        <v>0</v>
      </c>
      <c r="L242" s="338">
        <f t="shared" si="176"/>
        <v>0</v>
      </c>
      <c r="M242" s="338" t="str">
        <f t="shared" si="176"/>
        <v>Thành Phố</v>
      </c>
      <c r="N242" s="338">
        <f t="shared" si="176"/>
        <v>1800000</v>
      </c>
      <c r="O242" s="338">
        <f t="shared" si="176"/>
        <v>850000</v>
      </c>
      <c r="P242" s="338">
        <f t="shared" si="176"/>
        <v>550000</v>
      </c>
      <c r="Q242" s="338" t="str">
        <f t="shared" si="176"/>
        <v>Thành Phố</v>
      </c>
      <c r="R242" s="338" t="str">
        <f t="shared" si="176"/>
        <v>kác</v>
      </c>
      <c r="S242" s="338">
        <f t="shared" si="176"/>
        <v>1</v>
      </c>
    </row>
    <row r="243" spans="1:19" s="260" customFormat="1" ht="21.9" customHeight="1" x14ac:dyDescent="0.3">
      <c r="A243" s="335"/>
      <c r="B243" s="335"/>
      <c r="C243" s="336"/>
      <c r="D243" s="113" t="s">
        <v>13626</v>
      </c>
      <c r="E243" s="338">
        <f>+E38</f>
        <v>295</v>
      </c>
      <c r="F243" s="338">
        <f t="shared" ref="F243:S243" si="177">+F38</f>
        <v>480</v>
      </c>
      <c r="G243" s="338">
        <f t="shared" si="177"/>
        <v>2950</v>
      </c>
      <c r="H243" s="338">
        <f t="shared" si="177"/>
        <v>2850</v>
      </c>
      <c r="I243" s="338">
        <f t="shared" si="177"/>
        <v>100</v>
      </c>
      <c r="J243" s="338">
        <f t="shared" si="177"/>
        <v>0</v>
      </c>
      <c r="K243" s="338">
        <f t="shared" si="177"/>
        <v>0</v>
      </c>
      <c r="L243" s="338">
        <f t="shared" si="177"/>
        <v>0</v>
      </c>
      <c r="M243" s="338" t="str">
        <f t="shared" si="177"/>
        <v>Thành Phố</v>
      </c>
      <c r="N243" s="338">
        <f t="shared" si="177"/>
        <v>1200000</v>
      </c>
      <c r="O243" s="338">
        <f t="shared" si="177"/>
        <v>600000</v>
      </c>
      <c r="P243" s="338">
        <f t="shared" si="177"/>
        <v>400000</v>
      </c>
      <c r="Q243" s="338" t="str">
        <f t="shared" si="177"/>
        <v>Thành Phố</v>
      </c>
      <c r="R243" s="338" t="str">
        <f t="shared" si="177"/>
        <v>kác</v>
      </c>
      <c r="S243" s="338">
        <f t="shared" si="177"/>
        <v>1</v>
      </c>
    </row>
    <row r="244" spans="1:19" s="260" customFormat="1" ht="21.9" customHeight="1" x14ac:dyDescent="0.3">
      <c r="A244" s="335"/>
      <c r="B244" s="335"/>
      <c r="C244" s="336"/>
      <c r="D244" s="113" t="s">
        <v>13627</v>
      </c>
      <c r="E244" s="338">
        <f>+E25</f>
        <v>215</v>
      </c>
      <c r="F244" s="338">
        <f t="shared" ref="F244:S244" si="178">+F25</f>
        <v>400</v>
      </c>
      <c r="G244" s="338">
        <f t="shared" si="178"/>
        <v>2250</v>
      </c>
      <c r="H244" s="338">
        <f t="shared" si="178"/>
        <v>2150</v>
      </c>
      <c r="I244" s="338">
        <f t="shared" si="178"/>
        <v>100</v>
      </c>
      <c r="J244" s="338">
        <f t="shared" si="178"/>
        <v>0</v>
      </c>
      <c r="K244" s="338">
        <f t="shared" si="178"/>
        <v>0</v>
      </c>
      <c r="L244" s="338">
        <f t="shared" si="178"/>
        <v>0</v>
      </c>
      <c r="M244" s="338" t="str">
        <f t="shared" si="178"/>
        <v>Thành Phố</v>
      </c>
      <c r="N244" s="338">
        <f t="shared" si="178"/>
        <v>1000000</v>
      </c>
      <c r="O244" s="338">
        <f t="shared" si="178"/>
        <v>400000</v>
      </c>
      <c r="P244" s="338">
        <f t="shared" si="178"/>
        <v>250000</v>
      </c>
      <c r="Q244" s="338" t="str">
        <f t="shared" si="178"/>
        <v>Thành Phố</v>
      </c>
      <c r="R244" s="338" t="str">
        <f t="shared" si="178"/>
        <v>kác</v>
      </c>
      <c r="S244" s="338">
        <f t="shared" si="178"/>
        <v>1</v>
      </c>
    </row>
    <row r="245" spans="1:19" s="260" customFormat="1" ht="21.9" customHeight="1" x14ac:dyDescent="0.3">
      <c r="A245" s="335"/>
      <c r="B245" s="335"/>
      <c r="C245" s="336"/>
      <c r="D245" s="113" t="s">
        <v>13628</v>
      </c>
      <c r="E245" s="338">
        <f>E82</f>
        <v>1095</v>
      </c>
      <c r="F245" s="338">
        <f t="shared" ref="F245:S245" si="179">F82</f>
        <v>1100</v>
      </c>
      <c r="G245" s="338">
        <f t="shared" si="179"/>
        <v>8400</v>
      </c>
      <c r="H245" s="338">
        <f t="shared" si="179"/>
        <v>8300</v>
      </c>
      <c r="I245" s="338">
        <f t="shared" si="179"/>
        <v>100</v>
      </c>
      <c r="J245" s="338">
        <f t="shared" si="179"/>
        <v>0</v>
      </c>
      <c r="K245" s="338">
        <f t="shared" si="179"/>
        <v>0</v>
      </c>
      <c r="L245" s="338">
        <f t="shared" si="179"/>
        <v>0</v>
      </c>
      <c r="M245" s="338" t="str">
        <f t="shared" si="179"/>
        <v>Thành Phố</v>
      </c>
      <c r="N245" s="338">
        <f t="shared" si="179"/>
        <v>3500000</v>
      </c>
      <c r="O245" s="338">
        <f t="shared" si="179"/>
        <v>2000000</v>
      </c>
      <c r="P245" s="338">
        <f t="shared" si="179"/>
        <v>1200000</v>
      </c>
      <c r="Q245" s="338" t="str">
        <f t="shared" si="179"/>
        <v>Thành Phố</v>
      </c>
      <c r="R245" s="338" t="str">
        <f t="shared" si="179"/>
        <v>kác</v>
      </c>
      <c r="S245" s="338">
        <f t="shared" si="179"/>
        <v>1</v>
      </c>
    </row>
    <row r="246" spans="1:19" s="260" customFormat="1" ht="21.9" customHeight="1" x14ac:dyDescent="0.3">
      <c r="A246" s="335"/>
      <c r="B246" s="335"/>
      <c r="C246" s="336"/>
      <c r="D246" s="113" t="s">
        <v>13629</v>
      </c>
      <c r="E246" s="338"/>
      <c r="F246" s="338"/>
      <c r="G246" s="338"/>
      <c r="H246" s="338"/>
      <c r="I246" s="338"/>
      <c r="J246" s="338"/>
      <c r="K246" s="338"/>
      <c r="L246" s="338"/>
      <c r="M246" s="338"/>
      <c r="N246" s="338"/>
      <c r="O246" s="338"/>
      <c r="P246" s="338"/>
      <c r="Q246" s="338"/>
      <c r="R246" s="338"/>
      <c r="S246" s="338"/>
    </row>
    <row r="247" spans="1:19" s="260" customFormat="1" ht="21.9" customHeight="1" x14ac:dyDescent="0.3">
      <c r="A247" s="335"/>
      <c r="B247" s="335"/>
      <c r="C247" s="336"/>
      <c r="D247" s="113" t="s">
        <v>13630</v>
      </c>
      <c r="E247" s="336"/>
      <c r="F247" s="336"/>
      <c r="G247" s="336"/>
      <c r="H247" s="336"/>
      <c r="I247" s="336"/>
      <c r="J247" s="336"/>
      <c r="K247" s="336"/>
      <c r="L247" s="336"/>
      <c r="M247" s="336"/>
      <c r="N247" s="336"/>
      <c r="O247" s="336"/>
      <c r="P247" s="336"/>
      <c r="Q247" s="336"/>
      <c r="R247" s="336"/>
      <c r="S247" s="336"/>
    </row>
    <row r="248" spans="1:19" s="260" customFormat="1" ht="21.9" customHeight="1" x14ac:dyDescent="0.3">
      <c r="A248" s="335"/>
      <c r="B248" s="335"/>
      <c r="C248" s="336"/>
      <c r="D248" s="113" t="s">
        <v>13631</v>
      </c>
      <c r="E248" s="338">
        <f>E18</f>
        <v>165</v>
      </c>
      <c r="F248" s="338">
        <f t="shared" ref="F248:S248" si="180">F18</f>
        <v>370</v>
      </c>
      <c r="G248" s="338">
        <f t="shared" si="180"/>
        <v>1900</v>
      </c>
      <c r="H248" s="338">
        <f t="shared" si="180"/>
        <v>1800</v>
      </c>
      <c r="I248" s="338">
        <f t="shared" si="180"/>
        <v>100</v>
      </c>
      <c r="J248" s="338">
        <f t="shared" si="180"/>
        <v>0</v>
      </c>
      <c r="K248" s="338">
        <f t="shared" si="180"/>
        <v>0</v>
      </c>
      <c r="L248" s="338">
        <f t="shared" si="180"/>
        <v>0</v>
      </c>
      <c r="M248" s="338" t="str">
        <f t="shared" si="180"/>
        <v>Thành Phố</v>
      </c>
      <c r="N248" s="338">
        <f t="shared" si="180"/>
        <v>900000</v>
      </c>
      <c r="O248" s="338">
        <f t="shared" si="180"/>
        <v>300000</v>
      </c>
      <c r="P248" s="338">
        <f t="shared" si="180"/>
        <v>200000</v>
      </c>
      <c r="Q248" s="338" t="str">
        <f t="shared" si="180"/>
        <v>Thành Phố</v>
      </c>
      <c r="R248" s="338" t="str">
        <f t="shared" si="180"/>
        <v>kác</v>
      </c>
      <c r="S248" s="338">
        <f t="shared" si="180"/>
        <v>1</v>
      </c>
    </row>
    <row r="249" spans="1:19" s="260" customFormat="1" ht="21.9" customHeight="1" x14ac:dyDescent="0.3">
      <c r="A249" s="335"/>
      <c r="B249" s="335"/>
      <c r="C249" s="336"/>
      <c r="D249" s="113" t="s">
        <v>13632</v>
      </c>
      <c r="E249" s="338">
        <f>E51</f>
        <v>410</v>
      </c>
      <c r="F249" s="338">
        <f t="shared" ref="F249:S249" si="181">F51</f>
        <v>550</v>
      </c>
      <c r="G249" s="338">
        <f t="shared" si="181"/>
        <v>4000</v>
      </c>
      <c r="H249" s="338">
        <f t="shared" si="181"/>
        <v>3900</v>
      </c>
      <c r="I249" s="338">
        <f t="shared" si="181"/>
        <v>100</v>
      </c>
      <c r="J249" s="338">
        <f t="shared" si="181"/>
        <v>0</v>
      </c>
      <c r="K249" s="338">
        <f t="shared" si="181"/>
        <v>0</v>
      </c>
      <c r="L249" s="338">
        <f t="shared" si="181"/>
        <v>0</v>
      </c>
      <c r="M249" s="338" t="str">
        <f t="shared" si="181"/>
        <v>Thành Phố</v>
      </c>
      <c r="N249" s="338">
        <f t="shared" si="181"/>
        <v>1400000</v>
      </c>
      <c r="O249" s="338">
        <f t="shared" si="181"/>
        <v>800000</v>
      </c>
      <c r="P249" s="338">
        <f t="shared" si="181"/>
        <v>500000</v>
      </c>
      <c r="Q249" s="338" t="str">
        <f t="shared" si="181"/>
        <v>Thành Phố</v>
      </c>
      <c r="R249" s="338" t="str">
        <f t="shared" si="181"/>
        <v>kác</v>
      </c>
      <c r="S249" s="338">
        <f t="shared" si="181"/>
        <v>1</v>
      </c>
    </row>
    <row r="250" spans="1:19" s="260" customFormat="1" ht="21.9" customHeight="1" x14ac:dyDescent="0.3">
      <c r="A250" s="335"/>
      <c r="B250" s="335"/>
      <c r="C250" s="336"/>
      <c r="D250" s="113" t="s">
        <v>13633</v>
      </c>
      <c r="E250" s="338">
        <f>E202</f>
        <v>400</v>
      </c>
      <c r="F250" s="338">
        <f t="shared" ref="F250:S250" si="182">F202</f>
        <v>550</v>
      </c>
      <c r="G250" s="338">
        <f t="shared" si="182"/>
        <v>2700</v>
      </c>
      <c r="H250" s="338">
        <f t="shared" si="182"/>
        <v>2600</v>
      </c>
      <c r="I250" s="338">
        <f t="shared" si="182"/>
        <v>100</v>
      </c>
      <c r="J250" s="338">
        <f t="shared" si="182"/>
        <v>0</v>
      </c>
      <c r="K250" s="338">
        <f t="shared" si="182"/>
        <v>0</v>
      </c>
      <c r="L250" s="338">
        <f t="shared" si="182"/>
        <v>0</v>
      </c>
      <c r="M250" s="338" t="str">
        <f t="shared" si="182"/>
        <v>Thái Nguyên (gần)</v>
      </c>
      <c r="N250" s="338">
        <f t="shared" si="182"/>
        <v>1400000</v>
      </c>
      <c r="O250" s="338">
        <f t="shared" si="182"/>
        <v>750000</v>
      </c>
      <c r="P250" s="338">
        <f t="shared" si="182"/>
        <v>450000</v>
      </c>
      <c r="Q250" s="338" t="str">
        <f t="shared" si="182"/>
        <v>Thái Nguyên (gần)</v>
      </c>
      <c r="R250" s="338" t="str">
        <f t="shared" si="182"/>
        <v>kác</v>
      </c>
      <c r="S250" s="338">
        <f t="shared" si="182"/>
        <v>0</v>
      </c>
    </row>
    <row r="251" spans="1:19" s="260" customFormat="1" ht="21.9" customHeight="1" x14ac:dyDescent="0.3">
      <c r="A251" s="335"/>
      <c r="B251" s="335"/>
      <c r="C251" s="336"/>
      <c r="D251" s="113" t="s">
        <v>13634</v>
      </c>
      <c r="E251" s="338">
        <f>E204</f>
        <v>0</v>
      </c>
      <c r="F251" s="338">
        <f t="shared" ref="F251:S251" si="183">F204</f>
        <v>800</v>
      </c>
      <c r="G251" s="338">
        <f t="shared" si="183"/>
        <v>5600</v>
      </c>
      <c r="H251" s="338">
        <f t="shared" si="183"/>
        <v>5500</v>
      </c>
      <c r="I251" s="338">
        <f t="shared" si="183"/>
        <v>100</v>
      </c>
      <c r="J251" s="338">
        <f t="shared" si="183"/>
        <v>0</v>
      </c>
      <c r="K251" s="338">
        <f t="shared" si="183"/>
        <v>0</v>
      </c>
      <c r="L251" s="338" t="str">
        <f t="shared" si="183"/>
        <v>Chưa chính xác</v>
      </c>
      <c r="M251" s="338" t="str">
        <f t="shared" si="183"/>
        <v>Tuyên Quang</v>
      </c>
      <c r="N251" s="338">
        <f t="shared" si="183"/>
        <v>2000000</v>
      </c>
      <c r="O251" s="338">
        <f t="shared" si="183"/>
        <v>900000</v>
      </c>
      <c r="P251" s="338">
        <f t="shared" si="183"/>
        <v>550000</v>
      </c>
      <c r="Q251" s="338" t="str">
        <f t="shared" si="183"/>
        <v>Tuyên Quang</v>
      </c>
      <c r="R251" s="338" t="str">
        <f t="shared" si="183"/>
        <v>kác</v>
      </c>
      <c r="S251" s="338">
        <f t="shared" si="183"/>
        <v>0</v>
      </c>
    </row>
    <row r="252" spans="1:19" s="260" customFormat="1" ht="14.25" customHeight="1" x14ac:dyDescent="0.3">
      <c r="A252" s="263"/>
      <c r="B252" s="336"/>
      <c r="C252" s="336"/>
      <c r="D252" s="113" t="s">
        <v>13635</v>
      </c>
      <c r="E252" s="336"/>
      <c r="F252" s="336"/>
      <c r="G252" s="336"/>
      <c r="H252" s="336"/>
      <c r="I252" s="336"/>
      <c r="J252" s="336"/>
      <c r="K252" s="336"/>
      <c r="L252" s="336"/>
      <c r="M252" s="336"/>
      <c r="N252" s="336"/>
      <c r="O252" s="336"/>
      <c r="P252" s="336"/>
      <c r="Q252" s="336"/>
      <c r="R252" s="336"/>
      <c r="S252" s="336"/>
    </row>
    <row r="253" spans="1:19" s="260" customFormat="1" ht="14.25" customHeight="1" x14ac:dyDescent="0.3">
      <c r="A253" s="263"/>
      <c r="B253" s="336"/>
      <c r="C253" s="336"/>
      <c r="D253" s="113" t="s">
        <v>13636</v>
      </c>
      <c r="E253" s="336"/>
      <c r="F253" s="336"/>
      <c r="G253" s="336"/>
      <c r="H253" s="336"/>
      <c r="I253" s="336"/>
      <c r="J253" s="336"/>
      <c r="K253" s="336"/>
      <c r="L253" s="336"/>
      <c r="M253" s="336"/>
      <c r="N253" s="336"/>
      <c r="O253" s="336"/>
      <c r="P253" s="336"/>
      <c r="Q253" s="336"/>
      <c r="R253" s="336"/>
      <c r="S253" s="336"/>
    </row>
    <row r="254" spans="1:19" s="260" customFormat="1" ht="14.25" customHeight="1" x14ac:dyDescent="0.3">
      <c r="A254" s="263"/>
      <c r="B254" s="336"/>
      <c r="C254" s="336"/>
      <c r="D254" s="113" t="s">
        <v>13637</v>
      </c>
      <c r="E254" s="338">
        <f>E66</f>
        <v>690</v>
      </c>
      <c r="F254" s="338">
        <f t="shared" ref="F254:S254" si="184">F66</f>
        <v>900</v>
      </c>
      <c r="G254" s="338">
        <f t="shared" si="184"/>
        <v>5300</v>
      </c>
      <c r="H254" s="338">
        <f t="shared" si="184"/>
        <v>5200</v>
      </c>
      <c r="I254" s="338">
        <f t="shared" si="184"/>
        <v>100</v>
      </c>
      <c r="J254" s="338">
        <f t="shared" si="184"/>
        <v>0</v>
      </c>
      <c r="K254" s="338">
        <f t="shared" si="184"/>
        <v>0</v>
      </c>
      <c r="L254" s="338">
        <f t="shared" si="184"/>
        <v>0</v>
      </c>
      <c r="M254" s="338" t="str">
        <f t="shared" si="184"/>
        <v>Vinh</v>
      </c>
      <c r="N254" s="338">
        <f t="shared" si="184"/>
        <v>2200000</v>
      </c>
      <c r="O254" s="338">
        <f t="shared" si="184"/>
        <v>1250000</v>
      </c>
      <c r="P254" s="338">
        <f t="shared" si="184"/>
        <v>750000</v>
      </c>
      <c r="Q254" s="338" t="str">
        <f t="shared" si="184"/>
        <v>Vinh</v>
      </c>
      <c r="R254" s="338" t="str">
        <f t="shared" si="184"/>
        <v>kác</v>
      </c>
      <c r="S254" s="338">
        <f t="shared" si="184"/>
        <v>0</v>
      </c>
    </row>
    <row r="255" spans="1:19" s="260" customFormat="1" ht="14.25" customHeight="1" x14ac:dyDescent="0.3">
      <c r="A255" s="263"/>
      <c r="B255" s="336"/>
      <c r="C255" s="336"/>
      <c r="D255" s="336"/>
      <c r="E255" s="336"/>
      <c r="F255" s="336"/>
      <c r="G255" s="336"/>
      <c r="H255" s="336"/>
      <c r="I255" s="336"/>
      <c r="J255" s="336"/>
      <c r="K255" s="336"/>
      <c r="L255" s="336"/>
    </row>
    <row r="256" spans="1:19" s="260" customFormat="1" ht="14.25" customHeight="1" x14ac:dyDescent="0.3">
      <c r="A256" s="263"/>
      <c r="B256" s="336"/>
      <c r="C256" s="336"/>
      <c r="D256" s="336"/>
      <c r="E256" s="336"/>
      <c r="F256" s="336"/>
      <c r="G256" s="336"/>
      <c r="H256" s="336"/>
      <c r="I256" s="336"/>
      <c r="J256" s="336"/>
      <c r="K256" s="336"/>
      <c r="L256" s="336"/>
    </row>
    <row r="257" spans="1:12" s="260" customFormat="1" ht="14.25" customHeight="1" x14ac:dyDescent="0.3">
      <c r="A257" s="263"/>
      <c r="B257" s="336"/>
      <c r="C257" s="336"/>
      <c r="D257" s="336"/>
      <c r="E257" s="336"/>
      <c r="F257" s="336"/>
      <c r="G257" s="336"/>
      <c r="H257" s="336"/>
      <c r="I257" s="336"/>
      <c r="J257" s="336"/>
      <c r="K257" s="336"/>
      <c r="L257" s="336"/>
    </row>
    <row r="258" spans="1:12" s="260" customFormat="1" ht="14.25" customHeight="1" x14ac:dyDescent="0.3">
      <c r="A258" s="263"/>
      <c r="B258" s="336"/>
      <c r="C258" s="336"/>
      <c r="D258" s="336"/>
      <c r="E258" s="336"/>
      <c r="F258" s="336"/>
      <c r="G258" s="336"/>
      <c r="H258" s="336"/>
      <c r="I258" s="336"/>
      <c r="J258" s="336"/>
      <c r="K258" s="336"/>
      <c r="L258" s="336"/>
    </row>
    <row r="259" spans="1:12" s="260" customFormat="1" ht="14.25" customHeight="1" x14ac:dyDescent="0.3">
      <c r="A259" s="263"/>
      <c r="B259" s="336"/>
      <c r="C259" s="336"/>
      <c r="D259" s="336"/>
      <c r="E259" s="336"/>
      <c r="F259" s="336"/>
      <c r="G259" s="336"/>
      <c r="H259" s="336"/>
      <c r="I259" s="336"/>
      <c r="J259" s="336"/>
      <c r="K259" s="336"/>
      <c r="L259" s="336"/>
    </row>
    <row r="260" spans="1:12" s="260" customFormat="1" ht="14.25" customHeight="1" x14ac:dyDescent="0.3">
      <c r="A260" s="263"/>
      <c r="B260" s="336"/>
      <c r="C260" s="336"/>
      <c r="D260" s="336"/>
      <c r="E260" s="336"/>
      <c r="F260" s="336"/>
      <c r="G260" s="336"/>
      <c r="H260" s="336"/>
      <c r="I260" s="336"/>
      <c r="J260" s="336"/>
      <c r="K260" s="336"/>
      <c r="L260" s="336"/>
    </row>
    <row r="261" spans="1:12" s="260" customFormat="1" ht="14.25" customHeight="1" x14ac:dyDescent="0.3">
      <c r="A261" s="263"/>
      <c r="B261" s="336"/>
      <c r="C261" s="336"/>
      <c r="D261" s="336"/>
      <c r="E261" s="336"/>
      <c r="F261" s="336"/>
      <c r="G261" s="336"/>
      <c r="H261" s="336"/>
      <c r="I261" s="336"/>
      <c r="J261" s="336"/>
      <c r="K261" s="336"/>
      <c r="L261" s="336"/>
    </row>
    <row r="262" spans="1:12" s="260" customFormat="1" ht="14.25" customHeight="1" x14ac:dyDescent="0.3">
      <c r="A262" s="263"/>
      <c r="B262" s="336"/>
      <c r="C262" s="336"/>
      <c r="D262" s="336"/>
      <c r="E262" s="336"/>
      <c r="F262" s="336"/>
      <c r="G262" s="336"/>
      <c r="H262" s="336"/>
      <c r="I262" s="336"/>
      <c r="J262" s="336"/>
      <c r="K262" s="336"/>
      <c r="L262" s="336"/>
    </row>
    <row r="263" spans="1:12" s="260" customFormat="1" ht="14.25" customHeight="1" x14ac:dyDescent="0.3">
      <c r="A263" s="263"/>
      <c r="B263" s="336"/>
      <c r="C263" s="336"/>
      <c r="D263" s="336"/>
      <c r="E263" s="336"/>
      <c r="F263" s="336"/>
      <c r="G263" s="336"/>
      <c r="H263" s="336"/>
      <c r="I263" s="336"/>
      <c r="J263" s="336"/>
      <c r="K263" s="336"/>
      <c r="L263" s="336"/>
    </row>
    <row r="264" spans="1:12" s="260" customFormat="1" ht="14.25" customHeight="1" x14ac:dyDescent="0.3">
      <c r="A264" s="263"/>
      <c r="B264" s="336"/>
      <c r="C264" s="336"/>
      <c r="D264" s="336"/>
      <c r="E264" s="336"/>
      <c r="F264" s="336"/>
      <c r="G264" s="336"/>
      <c r="H264" s="336"/>
      <c r="I264" s="336"/>
      <c r="J264" s="336"/>
      <c r="K264" s="336"/>
      <c r="L264" s="336"/>
    </row>
    <row r="265" spans="1:12" s="260" customFormat="1" ht="14.25" customHeight="1" x14ac:dyDescent="0.3">
      <c r="A265" s="263"/>
      <c r="B265" s="336"/>
      <c r="C265" s="336"/>
      <c r="D265" s="336"/>
      <c r="E265" s="336"/>
      <c r="F265" s="336"/>
      <c r="G265" s="336"/>
      <c r="H265" s="336"/>
      <c r="I265" s="336"/>
      <c r="J265" s="336"/>
      <c r="K265" s="336"/>
      <c r="L265" s="336"/>
    </row>
    <row r="266" spans="1:12" s="260" customFormat="1" ht="14.25" customHeight="1" x14ac:dyDescent="0.3">
      <c r="A266" s="263"/>
      <c r="B266" s="336"/>
      <c r="C266" s="336"/>
      <c r="D266" s="336"/>
      <c r="E266" s="336"/>
      <c r="F266" s="336"/>
      <c r="G266" s="336"/>
      <c r="H266" s="336"/>
      <c r="I266" s="336"/>
      <c r="J266" s="336"/>
      <c r="K266" s="336"/>
      <c r="L266" s="336"/>
    </row>
    <row r="267" spans="1:12" s="260" customFormat="1" ht="14.25" customHeight="1" x14ac:dyDescent="0.3">
      <c r="A267" s="263"/>
      <c r="B267" s="336"/>
      <c r="C267" s="336"/>
      <c r="D267" s="336"/>
      <c r="E267" s="336"/>
      <c r="F267" s="336"/>
      <c r="G267" s="336"/>
      <c r="H267" s="336"/>
      <c r="I267" s="336"/>
      <c r="J267" s="336"/>
      <c r="K267" s="336"/>
      <c r="L267" s="336"/>
    </row>
    <row r="268" spans="1:12" s="260" customFormat="1" ht="14.25" customHeight="1" x14ac:dyDescent="0.3">
      <c r="A268" s="263"/>
      <c r="B268" s="336"/>
      <c r="C268" s="336"/>
      <c r="D268" s="336"/>
      <c r="E268" s="336"/>
      <c r="F268" s="336"/>
      <c r="G268" s="336"/>
      <c r="H268" s="336"/>
      <c r="I268" s="336"/>
      <c r="J268" s="336"/>
      <c r="K268" s="336"/>
      <c r="L268" s="336"/>
    </row>
    <row r="269" spans="1:12" s="260" customFormat="1" ht="14.25" customHeight="1" x14ac:dyDescent="0.3">
      <c r="A269" s="263"/>
      <c r="B269" s="336"/>
      <c r="C269" s="336"/>
      <c r="D269" s="336"/>
      <c r="E269" s="336"/>
      <c r="F269" s="336"/>
      <c r="G269" s="336"/>
      <c r="H269" s="336"/>
      <c r="I269" s="336"/>
      <c r="J269" s="336"/>
      <c r="K269" s="336"/>
      <c r="L269" s="336"/>
    </row>
    <row r="270" spans="1:12" s="260" customFormat="1" ht="14.25" customHeight="1" x14ac:dyDescent="0.3">
      <c r="A270" s="263"/>
      <c r="B270" s="336"/>
      <c r="C270" s="336"/>
      <c r="D270" s="336"/>
      <c r="E270" s="336"/>
      <c r="F270" s="336"/>
      <c r="G270" s="336"/>
      <c r="H270" s="336"/>
      <c r="I270" s="336"/>
      <c r="J270" s="336"/>
      <c r="K270" s="336"/>
      <c r="L270" s="336"/>
    </row>
    <row r="271" spans="1:12" s="260" customFormat="1" ht="14.25" customHeight="1" x14ac:dyDescent="0.3">
      <c r="A271" s="263"/>
      <c r="B271" s="336"/>
      <c r="C271" s="336"/>
      <c r="D271" s="336"/>
      <c r="E271" s="336"/>
      <c r="F271" s="336"/>
      <c r="G271" s="336"/>
      <c r="H271" s="336"/>
      <c r="I271" s="336"/>
      <c r="J271" s="336"/>
      <c r="K271" s="336"/>
      <c r="L271" s="336"/>
    </row>
    <row r="272" spans="1:12" ht="21.9" customHeight="1" x14ac:dyDescent="0.3">
      <c r="B272" s="286"/>
      <c r="C272" s="286"/>
      <c r="D272" s="286"/>
      <c r="E272" s="286"/>
      <c r="F272" s="286"/>
      <c r="G272" s="286"/>
      <c r="H272" s="442" t="s">
        <v>13242</v>
      </c>
      <c r="I272" s="442" t="s">
        <v>13243</v>
      </c>
      <c r="J272" s="442" t="s">
        <v>13244</v>
      </c>
    </row>
    <row r="273" spans="1:11" ht="21.9" customHeight="1" x14ac:dyDescent="0.3">
      <c r="B273" s="286"/>
      <c r="C273" s="286"/>
      <c r="D273" s="286"/>
      <c r="E273" s="286"/>
      <c r="F273" s="286"/>
      <c r="G273" s="286"/>
      <c r="H273" s="442"/>
      <c r="I273" s="442"/>
      <c r="J273" s="442"/>
    </row>
    <row r="274" spans="1:11" ht="21.9" customHeight="1" x14ac:dyDescent="0.3">
      <c r="B274" s="287"/>
      <c r="C274" s="287"/>
      <c r="D274" s="287"/>
      <c r="E274" s="287"/>
      <c r="F274" s="287"/>
      <c r="G274" s="287"/>
      <c r="H274" s="442"/>
      <c r="I274" s="442"/>
      <c r="J274" s="442"/>
    </row>
    <row r="275" spans="1:11" ht="21.9" customHeight="1" x14ac:dyDescent="0.3">
      <c r="B275" s="288"/>
      <c r="C275" s="288"/>
      <c r="D275" s="289" t="s">
        <v>13233</v>
      </c>
      <c r="E275" s="288"/>
      <c r="F275" s="289" t="s">
        <v>13234</v>
      </c>
      <c r="G275" s="287"/>
      <c r="H275" s="442"/>
      <c r="I275" s="442"/>
      <c r="J275" s="442"/>
    </row>
    <row r="276" spans="1:11" ht="21.9" customHeight="1" x14ac:dyDescent="0.3">
      <c r="B276" s="288"/>
      <c r="C276" s="288"/>
      <c r="D276" s="288"/>
      <c r="E276" s="288"/>
      <c r="F276" s="288"/>
      <c r="G276" s="287"/>
      <c r="H276" s="287"/>
      <c r="I276" s="287"/>
      <c r="J276" s="286"/>
    </row>
    <row r="277" spans="1:11" ht="21.9" customHeight="1" x14ac:dyDescent="0.3">
      <c r="B277" s="289" t="s">
        <v>12984</v>
      </c>
      <c r="C277" s="288">
        <v>350</v>
      </c>
      <c r="D277" s="288"/>
      <c r="E277" s="288"/>
      <c r="F277" s="288"/>
      <c r="G277" s="287"/>
      <c r="H277" s="287"/>
      <c r="I277" s="287"/>
      <c r="J277" s="286"/>
    </row>
    <row r="278" spans="1:11" ht="21.9" customHeight="1" x14ac:dyDescent="0.3">
      <c r="B278" s="289"/>
      <c r="C278" s="288"/>
      <c r="D278" s="288"/>
      <c r="E278" s="288"/>
      <c r="F278" s="288"/>
      <c r="G278" s="287"/>
      <c r="H278" s="287"/>
      <c r="I278" s="287"/>
      <c r="J278" s="286"/>
    </row>
    <row r="279" spans="1:11" ht="21.9" customHeight="1" x14ac:dyDescent="0.3">
      <c r="A279" s="214"/>
      <c r="B279" s="289" t="s">
        <v>13235</v>
      </c>
      <c r="C279" s="288">
        <v>550</v>
      </c>
      <c r="D279" s="288">
        <v>550</v>
      </c>
      <c r="E279" s="289" t="s">
        <v>13236</v>
      </c>
      <c r="F279" s="288">
        <v>550</v>
      </c>
      <c r="G279" s="287">
        <v>1500</v>
      </c>
      <c r="H279" s="290" t="s">
        <v>13</v>
      </c>
      <c r="I279" s="287"/>
      <c r="J279" s="286"/>
      <c r="K279" s="214"/>
    </row>
    <row r="280" spans="1:11" ht="21.9" customHeight="1" x14ac:dyDescent="0.3">
      <c r="A280" s="214"/>
      <c r="B280" s="289" t="s">
        <v>13237</v>
      </c>
      <c r="C280" s="440" t="s">
        <v>15003</v>
      </c>
      <c r="D280" s="288">
        <v>300</v>
      </c>
      <c r="E280" s="288"/>
      <c r="F280" s="288">
        <v>300</v>
      </c>
      <c r="G280" s="287"/>
      <c r="H280" s="287"/>
      <c r="I280" s="287"/>
      <c r="J280" s="286"/>
      <c r="K280" s="214"/>
    </row>
    <row r="281" spans="1:11" ht="21.9" customHeight="1" x14ac:dyDescent="0.3">
      <c r="A281" s="214"/>
      <c r="B281" s="289" t="s">
        <v>12989</v>
      </c>
      <c r="C281" s="441"/>
      <c r="D281" s="288">
        <v>250</v>
      </c>
      <c r="E281" s="288"/>
      <c r="F281" s="288"/>
      <c r="G281" s="287"/>
      <c r="H281" s="287"/>
      <c r="I281" s="287"/>
      <c r="J281" s="286"/>
      <c r="K281" s="214"/>
    </row>
    <row r="282" spans="1:11" ht="21.9" customHeight="1" x14ac:dyDescent="0.3">
      <c r="A282" s="214"/>
      <c r="B282" s="289" t="s">
        <v>12990</v>
      </c>
      <c r="C282" s="288"/>
      <c r="D282" s="288">
        <v>300</v>
      </c>
      <c r="E282" s="288"/>
      <c r="F282" s="288">
        <v>300</v>
      </c>
      <c r="G282" s="287"/>
      <c r="H282" s="287"/>
      <c r="I282" s="287"/>
      <c r="J282" s="286"/>
      <c r="K282" s="214"/>
    </row>
    <row r="283" spans="1:11" ht="21.9" customHeight="1" x14ac:dyDescent="0.3">
      <c r="A283" s="214"/>
      <c r="B283" s="289" t="s">
        <v>13238</v>
      </c>
      <c r="C283" s="288"/>
      <c r="D283" s="288"/>
      <c r="E283" s="288"/>
      <c r="F283" s="288">
        <v>350</v>
      </c>
      <c r="G283" s="287"/>
      <c r="H283" s="290" t="s">
        <v>13</v>
      </c>
      <c r="I283" s="287"/>
      <c r="J283" s="286"/>
      <c r="K283" s="214"/>
    </row>
    <row r="284" spans="1:11" ht="21.9" customHeight="1" x14ac:dyDescent="0.3">
      <c r="A284" s="214"/>
      <c r="B284" s="289" t="s">
        <v>13239</v>
      </c>
      <c r="C284" s="288"/>
      <c r="D284" s="288"/>
      <c r="E284" s="288"/>
      <c r="F284" s="288">
        <v>300</v>
      </c>
      <c r="G284" s="287"/>
      <c r="H284" s="287"/>
      <c r="I284" s="287"/>
      <c r="J284" s="286"/>
      <c r="K284" s="214"/>
    </row>
    <row r="285" spans="1:11" ht="21.9" customHeight="1" x14ac:dyDescent="0.3">
      <c r="A285" s="214"/>
      <c r="B285" s="289" t="s">
        <v>13240</v>
      </c>
      <c r="C285" s="288"/>
      <c r="D285" s="288"/>
      <c r="E285" s="288"/>
      <c r="F285" s="288">
        <v>300</v>
      </c>
      <c r="G285" s="290" t="s">
        <v>13241</v>
      </c>
      <c r="H285" s="290" t="s">
        <v>13</v>
      </c>
      <c r="I285" s="305">
        <v>4260000</v>
      </c>
      <c r="J285" s="306" t="s">
        <v>13575</v>
      </c>
      <c r="K285" s="214"/>
    </row>
    <row r="286" spans="1:11" ht="21.9" customHeight="1" x14ac:dyDescent="0.3">
      <c r="A286" s="214"/>
      <c r="B286" s="287"/>
      <c r="C286" s="287"/>
      <c r="D286" s="287"/>
      <c r="E286" s="287"/>
      <c r="F286" s="287">
        <v>2160</v>
      </c>
      <c r="G286" s="287"/>
      <c r="H286" s="287"/>
      <c r="I286" s="287"/>
      <c r="J286" s="286"/>
      <c r="K286" s="214"/>
    </row>
    <row r="287" spans="1:11" ht="21.9" customHeight="1" x14ac:dyDescent="0.3">
      <c r="A287" s="214"/>
      <c r="B287" s="287"/>
      <c r="C287" s="287"/>
      <c r="D287" s="287"/>
      <c r="E287" s="287"/>
      <c r="F287" s="287"/>
      <c r="G287" s="287"/>
      <c r="H287" s="287"/>
      <c r="I287" s="287"/>
      <c r="J287" s="291"/>
      <c r="K287" s="214"/>
    </row>
    <row r="288" spans="1:11" ht="21.9" customHeight="1" x14ac:dyDescent="0.3">
      <c r="A288" s="214"/>
      <c r="B288" s="214"/>
      <c r="C288" s="214"/>
      <c r="D288" s="214"/>
      <c r="F288" s="214"/>
      <c r="G288" s="214"/>
      <c r="H288" s="214"/>
      <c r="I288" s="214"/>
      <c r="J288" s="214"/>
      <c r="K288" s="214"/>
    </row>
    <row r="289" spans="2:5" s="214" customFormat="1" ht="21.9" customHeight="1" x14ac:dyDescent="0.3">
      <c r="B289" t="s">
        <v>13572</v>
      </c>
      <c r="C289" t="s">
        <v>13573</v>
      </c>
      <c r="D289" t="s">
        <v>13574</v>
      </c>
      <c r="E289" s="216"/>
    </row>
    <row r="290" spans="2:5" s="214" customFormat="1" ht="21.9" customHeight="1" x14ac:dyDescent="0.3">
      <c r="B290" s="303">
        <v>44652</v>
      </c>
      <c r="C290">
        <v>25080</v>
      </c>
      <c r="D290">
        <f>+C290-C291</f>
        <v>1450</v>
      </c>
      <c r="E290" s="216"/>
    </row>
    <row r="291" spans="2:5" s="214" customFormat="1" ht="21.9" customHeight="1" x14ac:dyDescent="0.3">
      <c r="B291" s="303">
        <v>44641</v>
      </c>
      <c r="C291">
        <v>23630</v>
      </c>
      <c r="D291">
        <f t="shared" ref="D291:D298" si="185">+C291-C292</f>
        <v>-1630</v>
      </c>
      <c r="E291" s="216"/>
    </row>
    <row r="292" spans="2:5" s="214" customFormat="1" ht="21.9" customHeight="1" x14ac:dyDescent="0.3">
      <c r="B292" s="303">
        <v>44631</v>
      </c>
      <c r="C292">
        <v>25260</v>
      </c>
      <c r="D292">
        <f t="shared" si="185"/>
        <v>3950</v>
      </c>
      <c r="E292" s="216"/>
    </row>
    <row r="293" spans="2:5" s="214" customFormat="1" ht="21.9" customHeight="1" x14ac:dyDescent="0.3">
      <c r="B293" s="303">
        <v>44621</v>
      </c>
      <c r="C293">
        <v>21310</v>
      </c>
      <c r="D293">
        <f t="shared" si="185"/>
        <v>510</v>
      </c>
      <c r="E293" s="216"/>
    </row>
    <row r="294" spans="2:5" s="214" customFormat="1" ht="21.9" customHeight="1" x14ac:dyDescent="0.3">
      <c r="B294" s="303">
        <v>44613</v>
      </c>
      <c r="C294">
        <v>20800</v>
      </c>
      <c r="D294">
        <f t="shared" si="185"/>
        <v>940</v>
      </c>
      <c r="E294" s="216"/>
    </row>
    <row r="295" spans="2:5" s="214" customFormat="1" ht="21.9" customHeight="1" x14ac:dyDescent="0.3">
      <c r="B295" s="303">
        <v>44603</v>
      </c>
      <c r="C295">
        <v>19860</v>
      </c>
      <c r="D295">
        <f t="shared" si="185"/>
        <v>960</v>
      </c>
      <c r="E295" s="216"/>
    </row>
    <row r="296" spans="2:5" s="214" customFormat="1" ht="21.9" customHeight="1" x14ac:dyDescent="0.3">
      <c r="B296" s="303">
        <v>44582</v>
      </c>
      <c r="C296">
        <v>18900</v>
      </c>
      <c r="D296">
        <f t="shared" si="185"/>
        <v>670</v>
      </c>
      <c r="E296" s="216"/>
    </row>
    <row r="297" spans="2:5" s="214" customFormat="1" ht="21.9" customHeight="1" x14ac:dyDescent="0.3">
      <c r="B297" s="303">
        <v>44572</v>
      </c>
      <c r="C297">
        <v>18230</v>
      </c>
      <c r="D297">
        <f t="shared" si="185"/>
        <v>660</v>
      </c>
      <c r="E297" s="216"/>
    </row>
    <row r="298" spans="2:5" s="214" customFormat="1" ht="21.9" customHeight="1" x14ac:dyDescent="0.3">
      <c r="B298" s="304">
        <v>44555</v>
      </c>
      <c r="C298">
        <v>17570</v>
      </c>
      <c r="D298">
        <f t="shared" si="185"/>
        <v>17570</v>
      </c>
      <c r="E298" s="216"/>
    </row>
    <row r="299" spans="2:5" s="214" customFormat="1" ht="21.9" customHeight="1" x14ac:dyDescent="0.3">
      <c r="E299" s="216"/>
    </row>
    <row r="300" spans="2:5" s="214" customFormat="1" ht="21.9" customHeight="1" x14ac:dyDescent="0.3">
      <c r="E300" s="216"/>
    </row>
    <row r="301" spans="2:5" s="214" customFormat="1" ht="21.9" customHeight="1" x14ac:dyDescent="0.3">
      <c r="E301" s="216"/>
    </row>
    <row r="302" spans="2:5" s="214" customFormat="1" ht="21.9" customHeight="1" x14ac:dyDescent="0.3">
      <c r="E302" s="216"/>
    </row>
    <row r="303" spans="2:5" s="214" customFormat="1" ht="21.9" customHeight="1" x14ac:dyDescent="0.3">
      <c r="E303" s="216"/>
    </row>
    <row r="304" spans="2:5" s="214" customFormat="1" ht="21.9" customHeight="1" x14ac:dyDescent="0.3">
      <c r="E304" s="216"/>
    </row>
    <row r="305" spans="5:5" s="214" customFormat="1" ht="21.9" customHeight="1" x14ac:dyDescent="0.3">
      <c r="E305" s="216"/>
    </row>
    <row r="306" spans="5:5" s="214" customFormat="1" ht="21.9" customHeight="1" x14ac:dyDescent="0.3">
      <c r="E306" s="216"/>
    </row>
    <row r="307" spans="5:5" s="214" customFormat="1" ht="21.9" customHeight="1" x14ac:dyDescent="0.3">
      <c r="E307" s="216"/>
    </row>
    <row r="308" spans="5:5" s="214" customFormat="1" ht="21.9" customHeight="1" x14ac:dyDescent="0.3">
      <c r="E308" s="216"/>
    </row>
    <row r="309" spans="5:5" s="214" customFormat="1" ht="21.9" customHeight="1" x14ac:dyDescent="0.3">
      <c r="E309" s="216"/>
    </row>
    <row r="310" spans="5:5" s="214" customFormat="1" ht="21.9" customHeight="1" x14ac:dyDescent="0.3">
      <c r="E310" s="216"/>
    </row>
    <row r="311" spans="5:5" s="214" customFormat="1" ht="21.9" customHeight="1" x14ac:dyDescent="0.3">
      <c r="E311" s="216"/>
    </row>
    <row r="312" spans="5:5" s="214" customFormat="1" ht="21.9" customHeight="1" x14ac:dyDescent="0.3">
      <c r="E312" s="216"/>
    </row>
    <row r="313" spans="5:5" s="214" customFormat="1" ht="21.9" customHeight="1" x14ac:dyDescent="0.3">
      <c r="E313" s="216"/>
    </row>
    <row r="314" spans="5:5" s="214" customFormat="1" ht="21.9" customHeight="1" x14ac:dyDescent="0.3">
      <c r="E314" s="216"/>
    </row>
    <row r="315" spans="5:5" s="214" customFormat="1" ht="21.9" customHeight="1" x14ac:dyDescent="0.3">
      <c r="E315" s="216"/>
    </row>
    <row r="316" spans="5:5" s="214" customFormat="1" ht="21.9" customHeight="1" x14ac:dyDescent="0.3">
      <c r="E316" s="216"/>
    </row>
    <row r="317" spans="5:5" s="214" customFormat="1" ht="21.9" customHeight="1" x14ac:dyDescent="0.3">
      <c r="E317" s="216"/>
    </row>
    <row r="318" spans="5:5" s="214" customFormat="1" ht="21.9" customHeight="1" x14ac:dyDescent="0.3">
      <c r="E318" s="216"/>
    </row>
    <row r="319" spans="5:5" s="214" customFormat="1" ht="21.9" customHeight="1" x14ac:dyDescent="0.3">
      <c r="E319" s="216"/>
    </row>
    <row r="320" spans="5:5" s="214" customFormat="1" ht="21.9" customHeight="1" x14ac:dyDescent="0.3">
      <c r="E320" s="216"/>
    </row>
    <row r="321" spans="5:5" s="214" customFormat="1" ht="21.9" customHeight="1" x14ac:dyDescent="0.3">
      <c r="E321" s="216"/>
    </row>
    <row r="322" spans="5:5" s="214" customFormat="1" ht="21.9" customHeight="1" x14ac:dyDescent="0.3">
      <c r="E322" s="216"/>
    </row>
    <row r="323" spans="5:5" s="214" customFormat="1" ht="21.9" customHeight="1" x14ac:dyDescent="0.3">
      <c r="E323" s="216"/>
    </row>
    <row r="324" spans="5:5" s="214" customFormat="1" ht="21.9" customHeight="1" x14ac:dyDescent="0.3">
      <c r="E324" s="216"/>
    </row>
    <row r="325" spans="5:5" s="214" customFormat="1" ht="21.9" customHeight="1" x14ac:dyDescent="0.3">
      <c r="E325" s="216"/>
    </row>
    <row r="326" spans="5:5" s="214" customFormat="1" ht="21.9" customHeight="1" x14ac:dyDescent="0.3">
      <c r="E326" s="216"/>
    </row>
    <row r="327" spans="5:5" s="214" customFormat="1" ht="21.9" customHeight="1" x14ac:dyDescent="0.3">
      <c r="E327" s="216"/>
    </row>
    <row r="328" spans="5:5" s="214" customFormat="1" ht="21.9" customHeight="1" x14ac:dyDescent="0.3">
      <c r="E328" s="216"/>
    </row>
    <row r="329" spans="5:5" s="214" customFormat="1" ht="21.9" customHeight="1" x14ac:dyDescent="0.3">
      <c r="E329" s="216"/>
    </row>
    <row r="330" spans="5:5" s="214" customFormat="1" ht="21.9" customHeight="1" x14ac:dyDescent="0.3">
      <c r="E330" s="216"/>
    </row>
    <row r="331" spans="5:5" s="214" customFormat="1" ht="21.9" customHeight="1" x14ac:dyDescent="0.3">
      <c r="E331" s="216"/>
    </row>
    <row r="332" spans="5:5" s="214" customFormat="1" ht="21.9" customHeight="1" x14ac:dyDescent="0.3">
      <c r="E332" s="216"/>
    </row>
    <row r="333" spans="5:5" s="214" customFormat="1" ht="21.9" customHeight="1" x14ac:dyDescent="0.3">
      <c r="E333" s="216"/>
    </row>
    <row r="334" spans="5:5" s="214" customFormat="1" ht="21.9" customHeight="1" x14ac:dyDescent="0.3">
      <c r="E334" s="216"/>
    </row>
    <row r="335" spans="5:5" s="214" customFormat="1" ht="21.9" customHeight="1" x14ac:dyDescent="0.3">
      <c r="E335" s="216"/>
    </row>
    <row r="336" spans="5:5" s="214" customFormat="1" ht="21.9" customHeight="1" x14ac:dyDescent="0.3">
      <c r="E336" s="216"/>
    </row>
    <row r="337" spans="5:5" s="214" customFormat="1" ht="21.9" customHeight="1" x14ac:dyDescent="0.3">
      <c r="E337" s="216"/>
    </row>
    <row r="338" spans="5:5" s="214" customFormat="1" ht="21.9" customHeight="1" x14ac:dyDescent="0.3">
      <c r="E338" s="216"/>
    </row>
    <row r="339" spans="5:5" s="214" customFormat="1" ht="21.9" customHeight="1" x14ac:dyDescent="0.3">
      <c r="E339" s="216"/>
    </row>
    <row r="340" spans="5:5" s="214" customFormat="1" ht="21.9" customHeight="1" x14ac:dyDescent="0.3">
      <c r="E340" s="216"/>
    </row>
    <row r="341" spans="5:5" s="214" customFormat="1" ht="21.9" customHeight="1" x14ac:dyDescent="0.3">
      <c r="E341" s="216"/>
    </row>
    <row r="342" spans="5:5" s="214" customFormat="1" ht="21.9" customHeight="1" x14ac:dyDescent="0.3">
      <c r="E342" s="216"/>
    </row>
    <row r="343" spans="5:5" s="214" customFormat="1" ht="21.9" customHeight="1" x14ac:dyDescent="0.3">
      <c r="E343" s="216"/>
    </row>
    <row r="344" spans="5:5" s="214" customFormat="1" ht="21.9" customHeight="1" x14ac:dyDescent="0.3">
      <c r="E344" s="216"/>
    </row>
    <row r="345" spans="5:5" s="214" customFormat="1" ht="21.9" customHeight="1" x14ac:dyDescent="0.3">
      <c r="E345" s="216"/>
    </row>
    <row r="346" spans="5:5" s="214" customFormat="1" ht="21.9" customHeight="1" x14ac:dyDescent="0.3">
      <c r="E346" s="216"/>
    </row>
    <row r="347" spans="5:5" s="214" customFormat="1" ht="21.9" customHeight="1" x14ac:dyDescent="0.3">
      <c r="E347" s="216"/>
    </row>
    <row r="348" spans="5:5" s="214" customFormat="1" ht="21.9" customHeight="1" x14ac:dyDescent="0.3">
      <c r="E348" s="216"/>
    </row>
    <row r="349" spans="5:5" s="214" customFormat="1" ht="21.9" customHeight="1" x14ac:dyDescent="0.3">
      <c r="E349" s="216"/>
    </row>
    <row r="350" spans="5:5" s="214" customFormat="1" ht="21.9" customHeight="1" x14ac:dyDescent="0.3">
      <c r="E350" s="216"/>
    </row>
    <row r="351" spans="5:5" s="214" customFormat="1" ht="21.9" customHeight="1" x14ac:dyDescent="0.3">
      <c r="E351" s="216"/>
    </row>
    <row r="352" spans="5:5" s="214" customFormat="1" ht="21.9" customHeight="1" x14ac:dyDescent="0.3">
      <c r="E352" s="216"/>
    </row>
    <row r="353" spans="5:5" s="214" customFormat="1" ht="21.9" customHeight="1" x14ac:dyDescent="0.3">
      <c r="E353" s="216"/>
    </row>
    <row r="354" spans="5:5" s="214" customFormat="1" ht="21.9" customHeight="1" x14ac:dyDescent="0.3">
      <c r="E354" s="216"/>
    </row>
    <row r="355" spans="5:5" s="214" customFormat="1" ht="21.9" customHeight="1" x14ac:dyDescent="0.3">
      <c r="E355" s="216"/>
    </row>
    <row r="356" spans="5:5" s="214" customFormat="1" ht="21.9" customHeight="1" x14ac:dyDescent="0.3">
      <c r="E356" s="216"/>
    </row>
    <row r="357" spans="5:5" s="214" customFormat="1" ht="21.9" customHeight="1" x14ac:dyDescent="0.3">
      <c r="E357" s="216"/>
    </row>
    <row r="358" spans="5:5" s="214" customFormat="1" ht="21.9" customHeight="1" x14ac:dyDescent="0.3">
      <c r="E358" s="216"/>
    </row>
    <row r="359" spans="5:5" s="214" customFormat="1" ht="21.9" customHeight="1" x14ac:dyDescent="0.3">
      <c r="E359" s="216"/>
    </row>
    <row r="360" spans="5:5" s="214" customFormat="1" ht="21.9" customHeight="1" x14ac:dyDescent="0.3">
      <c r="E360" s="216"/>
    </row>
    <row r="361" spans="5:5" s="214" customFormat="1" ht="21.9" customHeight="1" x14ac:dyDescent="0.3">
      <c r="E361" s="216"/>
    </row>
    <row r="362" spans="5:5" s="214" customFormat="1" ht="21.9" customHeight="1" x14ac:dyDescent="0.3">
      <c r="E362" s="216"/>
    </row>
    <row r="363" spans="5:5" s="214" customFormat="1" ht="21.9" customHeight="1" x14ac:dyDescent="0.3">
      <c r="E363" s="216"/>
    </row>
    <row r="364" spans="5:5" s="214" customFormat="1" ht="21.9" customHeight="1" x14ac:dyDescent="0.3">
      <c r="E364" s="216"/>
    </row>
    <row r="365" spans="5:5" s="214" customFormat="1" ht="21.9" customHeight="1" x14ac:dyDescent="0.3">
      <c r="E365" s="216"/>
    </row>
    <row r="366" spans="5:5" s="214" customFormat="1" ht="21.9" customHeight="1" x14ac:dyDescent="0.3">
      <c r="E366" s="216"/>
    </row>
    <row r="367" spans="5:5" s="214" customFormat="1" ht="21.9" customHeight="1" x14ac:dyDescent="0.3">
      <c r="E367" s="216"/>
    </row>
    <row r="368" spans="5:5" s="214" customFormat="1" ht="21.9" customHeight="1" x14ac:dyDescent="0.3">
      <c r="E368" s="216"/>
    </row>
    <row r="369" spans="5:5" s="214" customFormat="1" ht="21.9" customHeight="1" x14ac:dyDescent="0.3">
      <c r="E369" s="216"/>
    </row>
    <row r="370" spans="5:5" s="214" customFormat="1" ht="21.9" customHeight="1" x14ac:dyDescent="0.3">
      <c r="E370" s="216"/>
    </row>
    <row r="371" spans="5:5" s="214" customFormat="1" ht="21.9" customHeight="1" x14ac:dyDescent="0.3">
      <c r="E371" s="216"/>
    </row>
    <row r="372" spans="5:5" s="214" customFormat="1" ht="21.9" customHeight="1" x14ac:dyDescent="0.3">
      <c r="E372" s="216"/>
    </row>
    <row r="373" spans="5:5" s="214" customFormat="1" ht="21.9" customHeight="1" x14ac:dyDescent="0.3">
      <c r="E373" s="216"/>
    </row>
    <row r="374" spans="5:5" s="214" customFormat="1" ht="21.9" customHeight="1" x14ac:dyDescent="0.3">
      <c r="E374" s="216"/>
    </row>
    <row r="375" spans="5:5" s="214" customFormat="1" ht="21.9" customHeight="1" x14ac:dyDescent="0.3">
      <c r="E375" s="216"/>
    </row>
    <row r="376" spans="5:5" s="214" customFormat="1" ht="21.9" customHeight="1" x14ac:dyDescent="0.3">
      <c r="E376" s="216"/>
    </row>
    <row r="377" spans="5:5" s="214" customFormat="1" ht="21.9" customHeight="1" x14ac:dyDescent="0.3">
      <c r="E377" s="216"/>
    </row>
    <row r="378" spans="5:5" s="214" customFormat="1" ht="21.9" customHeight="1" x14ac:dyDescent="0.3">
      <c r="E378" s="216"/>
    </row>
    <row r="379" spans="5:5" s="214" customFormat="1" ht="21.9" customHeight="1" x14ac:dyDescent="0.3">
      <c r="E379" s="216"/>
    </row>
    <row r="380" spans="5:5" s="214" customFormat="1" ht="21.9" customHeight="1" x14ac:dyDescent="0.3">
      <c r="E380" s="216"/>
    </row>
    <row r="381" spans="5:5" s="214" customFormat="1" ht="21.9" customHeight="1" x14ac:dyDescent="0.3">
      <c r="E381" s="216"/>
    </row>
    <row r="382" spans="5:5" s="214" customFormat="1" ht="21.9" customHeight="1" x14ac:dyDescent="0.3">
      <c r="E382" s="216"/>
    </row>
    <row r="383" spans="5:5" s="214" customFormat="1" ht="21.9" customHeight="1" x14ac:dyDescent="0.3">
      <c r="E383" s="216"/>
    </row>
    <row r="384" spans="5:5" s="214" customFormat="1" ht="21.9" customHeight="1" x14ac:dyDescent="0.3">
      <c r="E384" s="216"/>
    </row>
    <row r="385" spans="5:5" s="214" customFormat="1" ht="21.9" customHeight="1" x14ac:dyDescent="0.3">
      <c r="E385" s="216"/>
    </row>
    <row r="386" spans="5:5" s="214" customFormat="1" ht="21.9" customHeight="1" x14ac:dyDescent="0.3">
      <c r="E386" s="216"/>
    </row>
    <row r="387" spans="5:5" s="214" customFormat="1" ht="21.9" customHeight="1" x14ac:dyDescent="0.3">
      <c r="E387" s="216"/>
    </row>
    <row r="388" spans="5:5" s="214" customFormat="1" ht="21.9" customHeight="1" x14ac:dyDescent="0.3">
      <c r="E388" s="216"/>
    </row>
    <row r="389" spans="5:5" s="214" customFormat="1" ht="21.9" customHeight="1" x14ac:dyDescent="0.3">
      <c r="E389" s="216"/>
    </row>
    <row r="390" spans="5:5" s="214" customFormat="1" ht="21.9" customHeight="1" x14ac:dyDescent="0.3">
      <c r="E390" s="216"/>
    </row>
    <row r="391" spans="5:5" s="214" customFormat="1" ht="21.9" customHeight="1" x14ac:dyDescent="0.3">
      <c r="E391" s="216"/>
    </row>
    <row r="392" spans="5:5" s="214" customFormat="1" ht="21.9" customHeight="1" x14ac:dyDescent="0.3">
      <c r="E392" s="216"/>
    </row>
    <row r="393" spans="5:5" s="214" customFormat="1" ht="21.9" customHeight="1" x14ac:dyDescent="0.3">
      <c r="E393" s="216"/>
    </row>
    <row r="394" spans="5:5" s="214" customFormat="1" ht="21.9" customHeight="1" x14ac:dyDescent="0.3">
      <c r="E394" s="216"/>
    </row>
    <row r="395" spans="5:5" s="214" customFormat="1" ht="21.9" customHeight="1" x14ac:dyDescent="0.3">
      <c r="E395" s="216"/>
    </row>
    <row r="396" spans="5:5" s="214" customFormat="1" ht="21.9" customHeight="1" x14ac:dyDescent="0.3">
      <c r="E396" s="216"/>
    </row>
    <row r="397" spans="5:5" s="214" customFormat="1" ht="21.9" customHeight="1" x14ac:dyDescent="0.3">
      <c r="E397" s="216"/>
    </row>
    <row r="398" spans="5:5" s="214" customFormat="1" ht="21.9" customHeight="1" x14ac:dyDescent="0.3">
      <c r="E398" s="216"/>
    </row>
    <row r="399" spans="5:5" s="214" customFormat="1" ht="21.9" customHeight="1" x14ac:dyDescent="0.3">
      <c r="E399" s="216"/>
    </row>
    <row r="400" spans="5:5" s="214" customFormat="1" ht="21.9" customHeight="1" x14ac:dyDescent="0.3">
      <c r="E400" s="216"/>
    </row>
    <row r="401" spans="5:5" s="214" customFormat="1" ht="21.9" customHeight="1" x14ac:dyDescent="0.3">
      <c r="E401" s="216"/>
    </row>
    <row r="402" spans="5:5" s="214" customFormat="1" ht="21.9" customHeight="1" x14ac:dyDescent="0.3">
      <c r="E402" s="216"/>
    </row>
    <row r="403" spans="5:5" s="214" customFormat="1" ht="21.9" customHeight="1" x14ac:dyDescent="0.3">
      <c r="E403" s="216"/>
    </row>
    <row r="404" spans="5:5" s="214" customFormat="1" ht="21.9" customHeight="1" x14ac:dyDescent="0.3">
      <c r="E404" s="216"/>
    </row>
    <row r="405" spans="5:5" s="214" customFormat="1" ht="21.9" customHeight="1" x14ac:dyDescent="0.3">
      <c r="E405" s="216"/>
    </row>
    <row r="406" spans="5:5" s="214" customFormat="1" ht="21.9" customHeight="1" x14ac:dyDescent="0.3">
      <c r="E406" s="216"/>
    </row>
    <row r="407" spans="5:5" s="214" customFormat="1" ht="21.9" customHeight="1" x14ac:dyDescent="0.3">
      <c r="E407" s="216"/>
    </row>
    <row r="408" spans="5:5" s="214" customFormat="1" ht="21.9" customHeight="1" x14ac:dyDescent="0.3">
      <c r="E408" s="216"/>
    </row>
    <row r="409" spans="5:5" s="214" customFormat="1" ht="21.9" customHeight="1" x14ac:dyDescent="0.3">
      <c r="E409" s="216"/>
    </row>
    <row r="410" spans="5:5" s="214" customFormat="1" ht="21.9" customHeight="1" x14ac:dyDescent="0.3">
      <c r="E410" s="216"/>
    </row>
    <row r="411" spans="5:5" s="214" customFormat="1" ht="21.9" customHeight="1" x14ac:dyDescent="0.3">
      <c r="E411" s="216"/>
    </row>
    <row r="412" spans="5:5" s="214" customFormat="1" ht="21.9" customHeight="1" x14ac:dyDescent="0.3">
      <c r="E412" s="216"/>
    </row>
    <row r="413" spans="5:5" s="214" customFormat="1" ht="21.9" customHeight="1" x14ac:dyDescent="0.3">
      <c r="E413" s="216"/>
    </row>
    <row r="414" spans="5:5" s="214" customFormat="1" ht="21.9" customHeight="1" x14ac:dyDescent="0.3">
      <c r="E414" s="216"/>
    </row>
    <row r="415" spans="5:5" s="214" customFormat="1" ht="21.9" customHeight="1" x14ac:dyDescent="0.3">
      <c r="E415" s="216"/>
    </row>
    <row r="416" spans="5:5" s="214" customFormat="1" ht="21.9" customHeight="1" x14ac:dyDescent="0.3">
      <c r="E416" s="216"/>
    </row>
    <row r="417" spans="5:5" s="214" customFormat="1" ht="21.9" customHeight="1" x14ac:dyDescent="0.3">
      <c r="E417" s="216"/>
    </row>
    <row r="418" spans="5:5" s="214" customFormat="1" ht="21.9" customHeight="1" x14ac:dyDescent="0.3">
      <c r="E418" s="216"/>
    </row>
    <row r="419" spans="5:5" s="214" customFormat="1" ht="21.9" customHeight="1" x14ac:dyDescent="0.3">
      <c r="E419" s="216"/>
    </row>
    <row r="420" spans="5:5" s="214" customFormat="1" ht="21.9" customHeight="1" x14ac:dyDescent="0.3">
      <c r="E420" s="216"/>
    </row>
    <row r="421" spans="5:5" s="214" customFormat="1" ht="21.9" customHeight="1" x14ac:dyDescent="0.3">
      <c r="E421" s="216"/>
    </row>
    <row r="422" spans="5:5" s="214" customFormat="1" ht="21.9" customHeight="1" x14ac:dyDescent="0.3">
      <c r="E422" s="216"/>
    </row>
    <row r="423" spans="5:5" s="214" customFormat="1" ht="21.9" customHeight="1" x14ac:dyDescent="0.3">
      <c r="E423" s="216"/>
    </row>
    <row r="424" spans="5:5" s="214" customFormat="1" ht="21.9" customHeight="1" x14ac:dyDescent="0.3">
      <c r="E424" s="216"/>
    </row>
    <row r="425" spans="5:5" s="214" customFormat="1" ht="21.9" customHeight="1" x14ac:dyDescent="0.3">
      <c r="E425" s="216"/>
    </row>
    <row r="426" spans="5:5" s="214" customFormat="1" ht="21.9" customHeight="1" x14ac:dyDescent="0.3">
      <c r="E426" s="216"/>
    </row>
    <row r="427" spans="5:5" s="214" customFormat="1" ht="21.9" customHeight="1" x14ac:dyDescent="0.3">
      <c r="E427" s="216"/>
    </row>
    <row r="428" spans="5:5" s="214" customFormat="1" ht="21.9" customHeight="1" x14ac:dyDescent="0.3">
      <c r="E428" s="216"/>
    </row>
    <row r="429" spans="5:5" s="214" customFormat="1" ht="21.9" customHeight="1" x14ac:dyDescent="0.3">
      <c r="E429" s="216"/>
    </row>
    <row r="430" spans="5:5" s="214" customFormat="1" ht="21.9" customHeight="1" x14ac:dyDescent="0.3">
      <c r="E430" s="216"/>
    </row>
    <row r="431" spans="5:5" s="214" customFormat="1" ht="21.9" customHeight="1" x14ac:dyDescent="0.3">
      <c r="E431" s="216"/>
    </row>
    <row r="432" spans="5:5" s="214" customFormat="1" ht="21.9" customHeight="1" x14ac:dyDescent="0.3">
      <c r="E432" s="216"/>
    </row>
    <row r="433" spans="5:5" s="214" customFormat="1" ht="21.9" customHeight="1" x14ac:dyDescent="0.3">
      <c r="E433" s="216"/>
    </row>
    <row r="434" spans="5:5" s="214" customFormat="1" ht="21.9" customHeight="1" x14ac:dyDescent="0.3">
      <c r="E434" s="216"/>
    </row>
    <row r="435" spans="5:5" s="214" customFormat="1" ht="21.9" customHeight="1" x14ac:dyDescent="0.3">
      <c r="E435" s="216"/>
    </row>
    <row r="436" spans="5:5" s="214" customFormat="1" ht="21.9" customHeight="1" x14ac:dyDescent="0.3">
      <c r="E436" s="216"/>
    </row>
    <row r="437" spans="5:5" s="214" customFormat="1" ht="21.9" customHeight="1" x14ac:dyDescent="0.3">
      <c r="E437" s="216"/>
    </row>
    <row r="438" spans="5:5" s="214" customFormat="1" ht="21.9" customHeight="1" x14ac:dyDescent="0.3">
      <c r="E438" s="216"/>
    </row>
    <row r="439" spans="5:5" s="214" customFormat="1" ht="21.9" customHeight="1" x14ac:dyDescent="0.3">
      <c r="E439" s="216"/>
    </row>
    <row r="440" spans="5:5" s="214" customFormat="1" ht="21.9" customHeight="1" x14ac:dyDescent="0.3">
      <c r="E440" s="216"/>
    </row>
    <row r="441" spans="5:5" s="214" customFormat="1" ht="21.9" customHeight="1" x14ac:dyDescent="0.3">
      <c r="E441" s="216"/>
    </row>
    <row r="442" spans="5:5" s="214" customFormat="1" ht="21.9" customHeight="1" x14ac:dyDescent="0.3">
      <c r="E442" s="216"/>
    </row>
    <row r="443" spans="5:5" s="214" customFormat="1" ht="21.9" customHeight="1" x14ac:dyDescent="0.3">
      <c r="E443" s="216"/>
    </row>
    <row r="444" spans="5:5" s="214" customFormat="1" ht="21.9" customHeight="1" x14ac:dyDescent="0.3">
      <c r="E444" s="216"/>
    </row>
    <row r="445" spans="5:5" s="214" customFormat="1" ht="21.9" customHeight="1" x14ac:dyDescent="0.3">
      <c r="E445" s="216"/>
    </row>
    <row r="446" spans="5:5" s="214" customFormat="1" ht="21.9" customHeight="1" x14ac:dyDescent="0.3">
      <c r="E446" s="216"/>
    </row>
    <row r="447" spans="5:5" s="214" customFormat="1" ht="21.9" customHeight="1" x14ac:dyDescent="0.3">
      <c r="E447" s="216"/>
    </row>
    <row r="448" spans="5:5" s="214" customFormat="1" ht="21.9" customHeight="1" x14ac:dyDescent="0.3">
      <c r="E448" s="216"/>
    </row>
    <row r="449" spans="5:5" s="214" customFormat="1" ht="21.9" customHeight="1" x14ac:dyDescent="0.3">
      <c r="E449" s="216"/>
    </row>
    <row r="450" spans="5:5" s="214" customFormat="1" ht="21.9" customHeight="1" x14ac:dyDescent="0.3">
      <c r="E450" s="216"/>
    </row>
    <row r="451" spans="5:5" s="214" customFormat="1" ht="21.9" customHeight="1" x14ac:dyDescent="0.3">
      <c r="E451" s="216"/>
    </row>
    <row r="452" spans="5:5" s="214" customFormat="1" ht="21.9" customHeight="1" x14ac:dyDescent="0.3">
      <c r="E452" s="216"/>
    </row>
    <row r="453" spans="5:5" s="214" customFormat="1" ht="21.9" customHeight="1" x14ac:dyDescent="0.3">
      <c r="E453" s="216"/>
    </row>
    <row r="454" spans="5:5" s="214" customFormat="1" ht="21.9" customHeight="1" x14ac:dyDescent="0.3">
      <c r="E454" s="216"/>
    </row>
    <row r="455" spans="5:5" s="214" customFormat="1" ht="21.9" customHeight="1" x14ac:dyDescent="0.3">
      <c r="E455" s="216"/>
    </row>
    <row r="456" spans="5:5" s="214" customFormat="1" ht="21.9" customHeight="1" x14ac:dyDescent="0.3">
      <c r="E456" s="216"/>
    </row>
    <row r="457" spans="5:5" s="214" customFormat="1" ht="21.9" customHeight="1" x14ac:dyDescent="0.3">
      <c r="E457" s="216"/>
    </row>
    <row r="458" spans="5:5" s="214" customFormat="1" ht="21.9" customHeight="1" x14ac:dyDescent="0.3">
      <c r="E458" s="216"/>
    </row>
    <row r="459" spans="5:5" s="214" customFormat="1" ht="21.9" customHeight="1" x14ac:dyDescent="0.3">
      <c r="E459" s="216"/>
    </row>
    <row r="460" spans="5:5" s="214" customFormat="1" ht="21.9" customHeight="1" x14ac:dyDescent="0.3">
      <c r="E460" s="216"/>
    </row>
    <row r="461" spans="5:5" s="214" customFormat="1" ht="21.9" customHeight="1" x14ac:dyDescent="0.3">
      <c r="E461" s="216"/>
    </row>
    <row r="462" spans="5:5" s="214" customFormat="1" ht="21.9" customHeight="1" x14ac:dyDescent="0.3">
      <c r="E462" s="216"/>
    </row>
    <row r="463" spans="5:5" s="214" customFormat="1" ht="21.9" customHeight="1" x14ac:dyDescent="0.3">
      <c r="E463" s="216"/>
    </row>
    <row r="464" spans="5:5" s="214" customFormat="1" ht="21.9" customHeight="1" x14ac:dyDescent="0.3">
      <c r="E464" s="216"/>
    </row>
    <row r="465" spans="5:5" s="214" customFormat="1" ht="21.9" customHeight="1" x14ac:dyDescent="0.3">
      <c r="E465" s="216"/>
    </row>
    <row r="466" spans="5:5" s="214" customFormat="1" ht="21.9" customHeight="1" x14ac:dyDescent="0.3">
      <c r="E466" s="216"/>
    </row>
    <row r="467" spans="5:5" s="214" customFormat="1" ht="21.9" customHeight="1" x14ac:dyDescent="0.3">
      <c r="E467" s="216"/>
    </row>
    <row r="468" spans="5:5" s="214" customFormat="1" ht="21.9" customHeight="1" x14ac:dyDescent="0.3">
      <c r="E468" s="216"/>
    </row>
    <row r="469" spans="5:5" s="214" customFormat="1" ht="21.9" customHeight="1" x14ac:dyDescent="0.3">
      <c r="E469" s="216"/>
    </row>
    <row r="470" spans="5:5" s="214" customFormat="1" ht="21.9" customHeight="1" x14ac:dyDescent="0.3">
      <c r="E470" s="216"/>
    </row>
    <row r="471" spans="5:5" s="214" customFormat="1" ht="21.9" customHeight="1" x14ac:dyDescent="0.3">
      <c r="E471" s="216"/>
    </row>
    <row r="472" spans="5:5" s="214" customFormat="1" ht="21.9" customHeight="1" x14ac:dyDescent="0.3">
      <c r="E472" s="216"/>
    </row>
    <row r="473" spans="5:5" s="214" customFormat="1" ht="21.9" customHeight="1" x14ac:dyDescent="0.3">
      <c r="E473" s="216"/>
    </row>
    <row r="474" spans="5:5" s="214" customFormat="1" ht="21.9" customHeight="1" x14ac:dyDescent="0.3">
      <c r="E474" s="216"/>
    </row>
    <row r="475" spans="5:5" s="214" customFormat="1" ht="21.9" customHeight="1" x14ac:dyDescent="0.3">
      <c r="E475" s="216"/>
    </row>
    <row r="476" spans="5:5" s="214" customFormat="1" ht="21.9" customHeight="1" x14ac:dyDescent="0.3">
      <c r="E476" s="216"/>
    </row>
    <row r="477" spans="5:5" s="214" customFormat="1" ht="21.9" customHeight="1" x14ac:dyDescent="0.3">
      <c r="E477" s="216"/>
    </row>
    <row r="478" spans="5:5" s="214" customFormat="1" ht="21.9" customHeight="1" x14ac:dyDescent="0.3">
      <c r="E478" s="216"/>
    </row>
    <row r="479" spans="5:5" s="214" customFormat="1" ht="21.9" customHeight="1" x14ac:dyDescent="0.3">
      <c r="E479" s="216"/>
    </row>
    <row r="480" spans="5:5" s="214" customFormat="1" ht="21.9" customHeight="1" x14ac:dyDescent="0.3">
      <c r="E480" s="216"/>
    </row>
    <row r="481" spans="5:5" s="214" customFormat="1" ht="21.9" customHeight="1" x14ac:dyDescent="0.3">
      <c r="E481" s="216"/>
    </row>
    <row r="482" spans="5:5" s="214" customFormat="1" ht="21.9" customHeight="1" x14ac:dyDescent="0.3">
      <c r="E482" s="216"/>
    </row>
    <row r="483" spans="5:5" s="214" customFormat="1" ht="21.9" customHeight="1" x14ac:dyDescent="0.3">
      <c r="E483" s="216"/>
    </row>
    <row r="484" spans="5:5" s="214" customFormat="1" ht="21.9" customHeight="1" x14ac:dyDescent="0.3">
      <c r="E484" s="216"/>
    </row>
    <row r="485" spans="5:5" s="214" customFormat="1" ht="21.9" customHeight="1" x14ac:dyDescent="0.3">
      <c r="E485" s="216"/>
    </row>
    <row r="486" spans="5:5" s="214" customFormat="1" ht="21.9" customHeight="1" x14ac:dyDescent="0.3">
      <c r="E486" s="216"/>
    </row>
    <row r="487" spans="5:5" s="214" customFormat="1" ht="21.9" customHeight="1" x14ac:dyDescent="0.3">
      <c r="E487" s="216"/>
    </row>
    <row r="488" spans="5:5" s="214" customFormat="1" ht="21.9" customHeight="1" x14ac:dyDescent="0.3">
      <c r="E488" s="216"/>
    </row>
    <row r="489" spans="5:5" s="214" customFormat="1" ht="21.9" customHeight="1" x14ac:dyDescent="0.3">
      <c r="E489" s="216"/>
    </row>
    <row r="490" spans="5:5" s="214" customFormat="1" ht="21.9" customHeight="1" x14ac:dyDescent="0.3">
      <c r="E490" s="216"/>
    </row>
    <row r="491" spans="5:5" s="214" customFormat="1" ht="21.9" customHeight="1" x14ac:dyDescent="0.3">
      <c r="E491" s="216"/>
    </row>
    <row r="492" spans="5:5" s="214" customFormat="1" ht="21.9" customHeight="1" x14ac:dyDescent="0.3">
      <c r="E492" s="216"/>
    </row>
    <row r="493" spans="5:5" s="214" customFormat="1" ht="21.9" customHeight="1" x14ac:dyDescent="0.3">
      <c r="E493" s="216"/>
    </row>
    <row r="494" spans="5:5" s="214" customFormat="1" ht="21.9" customHeight="1" x14ac:dyDescent="0.3">
      <c r="E494" s="216"/>
    </row>
    <row r="495" spans="5:5" s="214" customFormat="1" ht="21.9" customHeight="1" x14ac:dyDescent="0.3">
      <c r="E495" s="216"/>
    </row>
    <row r="496" spans="5:5" s="214" customFormat="1" ht="21.9" customHeight="1" x14ac:dyDescent="0.3">
      <c r="E496" s="216"/>
    </row>
    <row r="497" spans="5:5" s="214" customFormat="1" ht="21.9" customHeight="1" x14ac:dyDescent="0.3">
      <c r="E497" s="216"/>
    </row>
    <row r="498" spans="5:5" s="214" customFormat="1" ht="21.9" customHeight="1" x14ac:dyDescent="0.3">
      <c r="E498" s="216"/>
    </row>
    <row r="499" spans="5:5" s="214" customFormat="1" ht="21.9" customHeight="1" x14ac:dyDescent="0.3">
      <c r="E499" s="216"/>
    </row>
    <row r="500" spans="5:5" s="214" customFormat="1" ht="21.9" customHeight="1" x14ac:dyDescent="0.3">
      <c r="E500" s="216"/>
    </row>
    <row r="501" spans="5:5" s="214" customFormat="1" ht="21.9" customHeight="1" x14ac:dyDescent="0.3">
      <c r="E501" s="216"/>
    </row>
    <row r="502" spans="5:5" s="214" customFormat="1" ht="21.9" customHeight="1" x14ac:dyDescent="0.3">
      <c r="E502" s="216"/>
    </row>
    <row r="503" spans="5:5" s="214" customFormat="1" ht="21.9" customHeight="1" x14ac:dyDescent="0.3">
      <c r="E503" s="216"/>
    </row>
    <row r="504" spans="5:5" s="214" customFormat="1" ht="21.9" customHeight="1" x14ac:dyDescent="0.3">
      <c r="E504" s="216"/>
    </row>
    <row r="505" spans="5:5" s="214" customFormat="1" ht="21.9" customHeight="1" x14ac:dyDescent="0.3">
      <c r="E505" s="216"/>
    </row>
    <row r="506" spans="5:5" s="214" customFormat="1" ht="21.9" customHeight="1" x14ac:dyDescent="0.3">
      <c r="E506" s="216"/>
    </row>
    <row r="507" spans="5:5" s="214" customFormat="1" ht="21.9" customHeight="1" x14ac:dyDescent="0.3">
      <c r="E507" s="216"/>
    </row>
    <row r="508" spans="5:5" s="214" customFormat="1" ht="21.9" customHeight="1" x14ac:dyDescent="0.3">
      <c r="E508" s="216"/>
    </row>
    <row r="509" spans="5:5" s="214" customFormat="1" ht="21.9" customHeight="1" x14ac:dyDescent="0.3">
      <c r="E509" s="216"/>
    </row>
    <row r="510" spans="5:5" s="214" customFormat="1" ht="21.9" customHeight="1" x14ac:dyDescent="0.3">
      <c r="E510" s="216"/>
    </row>
    <row r="511" spans="5:5" s="214" customFormat="1" ht="21.9" customHeight="1" x14ac:dyDescent="0.3">
      <c r="E511" s="216"/>
    </row>
    <row r="512" spans="5:5" s="214" customFormat="1" ht="21.9" customHeight="1" x14ac:dyDescent="0.3">
      <c r="E512" s="216"/>
    </row>
    <row r="513" spans="5:5" s="214" customFormat="1" ht="21.9" customHeight="1" x14ac:dyDescent="0.3">
      <c r="E513" s="216"/>
    </row>
    <row r="514" spans="5:5" s="214" customFormat="1" ht="21.9" customHeight="1" x14ac:dyDescent="0.3">
      <c r="E514" s="216"/>
    </row>
    <row r="515" spans="5:5" s="214" customFormat="1" ht="21.9" customHeight="1" x14ac:dyDescent="0.3">
      <c r="E515" s="216"/>
    </row>
    <row r="516" spans="5:5" s="214" customFormat="1" ht="21.9" customHeight="1" x14ac:dyDescent="0.3">
      <c r="E516" s="216"/>
    </row>
    <row r="517" spans="5:5" s="214" customFormat="1" ht="21.9" customHeight="1" x14ac:dyDescent="0.3">
      <c r="E517" s="216"/>
    </row>
    <row r="518" spans="5:5" s="214" customFormat="1" ht="21.9" customHeight="1" x14ac:dyDescent="0.3">
      <c r="E518" s="216"/>
    </row>
    <row r="519" spans="5:5" s="214" customFormat="1" ht="21.9" customHeight="1" x14ac:dyDescent="0.3">
      <c r="E519" s="216"/>
    </row>
    <row r="520" spans="5:5" s="214" customFormat="1" ht="21.9" customHeight="1" x14ac:dyDescent="0.3">
      <c r="E520" s="216"/>
    </row>
    <row r="521" spans="5:5" s="214" customFormat="1" ht="21.9" customHeight="1" x14ac:dyDescent="0.3">
      <c r="E521" s="216"/>
    </row>
    <row r="522" spans="5:5" s="214" customFormat="1" ht="21.9" customHeight="1" x14ac:dyDescent="0.3">
      <c r="E522" s="216"/>
    </row>
    <row r="523" spans="5:5" s="214" customFormat="1" ht="21.9" customHeight="1" x14ac:dyDescent="0.3">
      <c r="E523" s="216"/>
    </row>
    <row r="524" spans="5:5" s="214" customFormat="1" ht="21.9" customHeight="1" x14ac:dyDescent="0.3">
      <c r="E524" s="216"/>
    </row>
    <row r="525" spans="5:5" s="214" customFormat="1" ht="21.9" customHeight="1" x14ac:dyDescent="0.3">
      <c r="E525" s="216"/>
    </row>
    <row r="526" spans="5:5" s="214" customFormat="1" ht="21.9" customHeight="1" x14ac:dyDescent="0.3">
      <c r="E526" s="216"/>
    </row>
    <row r="527" spans="5:5" s="214" customFormat="1" ht="21.9" customHeight="1" x14ac:dyDescent="0.3">
      <c r="E527" s="216"/>
    </row>
    <row r="528" spans="5:5" s="214" customFormat="1" ht="21.9" customHeight="1" x14ac:dyDescent="0.3">
      <c r="E528" s="216"/>
    </row>
    <row r="529" spans="5:5" s="214" customFormat="1" ht="21.9" customHeight="1" x14ac:dyDescent="0.3">
      <c r="E529" s="216"/>
    </row>
    <row r="530" spans="5:5" s="214" customFormat="1" ht="21.9" customHeight="1" x14ac:dyDescent="0.3">
      <c r="E530" s="216"/>
    </row>
    <row r="531" spans="5:5" s="214" customFormat="1" ht="21.9" customHeight="1" x14ac:dyDescent="0.3">
      <c r="E531" s="216"/>
    </row>
    <row r="532" spans="5:5" s="214" customFormat="1" ht="21.9" customHeight="1" x14ac:dyDescent="0.3">
      <c r="E532" s="216"/>
    </row>
    <row r="533" spans="5:5" s="214" customFormat="1" ht="21.9" customHeight="1" x14ac:dyDescent="0.3">
      <c r="E533" s="216"/>
    </row>
    <row r="534" spans="5:5" s="214" customFormat="1" ht="21.9" customHeight="1" x14ac:dyDescent="0.3">
      <c r="E534" s="216"/>
    </row>
    <row r="535" spans="5:5" s="214" customFormat="1" ht="21.9" customHeight="1" x14ac:dyDescent="0.3">
      <c r="E535" s="216"/>
    </row>
    <row r="536" spans="5:5" s="214" customFormat="1" ht="21.9" customHeight="1" x14ac:dyDescent="0.3">
      <c r="E536" s="216"/>
    </row>
    <row r="537" spans="5:5" s="214" customFormat="1" ht="21.9" customHeight="1" x14ac:dyDescent="0.3">
      <c r="E537" s="216"/>
    </row>
    <row r="538" spans="5:5" s="214" customFormat="1" ht="21.9" customHeight="1" x14ac:dyDescent="0.3">
      <c r="E538" s="216"/>
    </row>
    <row r="539" spans="5:5" s="214" customFormat="1" ht="21.9" customHeight="1" x14ac:dyDescent="0.3">
      <c r="E539" s="216"/>
    </row>
    <row r="540" spans="5:5" s="214" customFormat="1" ht="21.9" customHeight="1" x14ac:dyDescent="0.3">
      <c r="E540" s="216"/>
    </row>
    <row r="541" spans="5:5" s="214" customFormat="1" ht="21.9" customHeight="1" x14ac:dyDescent="0.3">
      <c r="E541" s="216"/>
    </row>
    <row r="542" spans="5:5" s="214" customFormat="1" ht="21.9" customHeight="1" x14ac:dyDescent="0.3">
      <c r="E542" s="216"/>
    </row>
    <row r="543" spans="5:5" s="214" customFormat="1" ht="21.9" customHeight="1" x14ac:dyDescent="0.3">
      <c r="E543" s="216"/>
    </row>
    <row r="544" spans="5:5" s="214" customFormat="1" ht="21.9" customHeight="1" x14ac:dyDescent="0.3">
      <c r="E544" s="216"/>
    </row>
    <row r="545" spans="5:5" s="214" customFormat="1" ht="21.9" customHeight="1" x14ac:dyDescent="0.3">
      <c r="E545" s="216"/>
    </row>
    <row r="546" spans="5:5" s="214" customFormat="1" ht="21.9" customHeight="1" x14ac:dyDescent="0.3">
      <c r="E546" s="216"/>
    </row>
    <row r="547" spans="5:5" s="214" customFormat="1" ht="21.9" customHeight="1" x14ac:dyDescent="0.3">
      <c r="E547" s="216"/>
    </row>
    <row r="548" spans="5:5" s="214" customFormat="1" ht="21.9" customHeight="1" x14ac:dyDescent="0.3">
      <c r="E548" s="216"/>
    </row>
    <row r="549" spans="5:5" s="214" customFormat="1" ht="21.9" customHeight="1" x14ac:dyDescent="0.3">
      <c r="E549" s="216"/>
    </row>
    <row r="550" spans="5:5" s="214" customFormat="1" ht="21.9" customHeight="1" x14ac:dyDescent="0.3">
      <c r="E550" s="216"/>
    </row>
    <row r="551" spans="5:5" s="214" customFormat="1" ht="21.9" customHeight="1" x14ac:dyDescent="0.3">
      <c r="E551" s="216"/>
    </row>
    <row r="552" spans="5:5" s="214" customFormat="1" ht="21.9" customHeight="1" x14ac:dyDescent="0.3">
      <c r="E552" s="216"/>
    </row>
    <row r="553" spans="5:5" s="214" customFormat="1" ht="21.9" customHeight="1" x14ac:dyDescent="0.3">
      <c r="E553" s="216"/>
    </row>
    <row r="554" spans="5:5" s="214" customFormat="1" ht="21.9" customHeight="1" x14ac:dyDescent="0.3">
      <c r="E554" s="216"/>
    </row>
    <row r="555" spans="5:5" s="214" customFormat="1" ht="21.9" customHeight="1" x14ac:dyDescent="0.3">
      <c r="E555" s="216"/>
    </row>
    <row r="556" spans="5:5" s="214" customFormat="1" ht="21.9" customHeight="1" x14ac:dyDescent="0.3">
      <c r="E556" s="216"/>
    </row>
    <row r="557" spans="5:5" s="214" customFormat="1" ht="21.9" customHeight="1" x14ac:dyDescent="0.3">
      <c r="E557" s="216"/>
    </row>
    <row r="558" spans="5:5" s="214" customFormat="1" ht="21.9" customHeight="1" x14ac:dyDescent="0.3">
      <c r="E558" s="216"/>
    </row>
    <row r="559" spans="5:5" s="214" customFormat="1" ht="21.9" customHeight="1" x14ac:dyDescent="0.3">
      <c r="E559" s="216"/>
    </row>
    <row r="560" spans="5:5" s="214" customFormat="1" ht="21.9" customHeight="1" x14ac:dyDescent="0.3">
      <c r="E560" s="216"/>
    </row>
    <row r="561" spans="5:5" s="214" customFormat="1" ht="21.9" customHeight="1" x14ac:dyDescent="0.3">
      <c r="E561" s="216"/>
    </row>
    <row r="562" spans="5:5" s="214" customFormat="1" ht="21.9" customHeight="1" x14ac:dyDescent="0.3">
      <c r="E562" s="216"/>
    </row>
    <row r="563" spans="5:5" s="214" customFormat="1" ht="21.9" customHeight="1" x14ac:dyDescent="0.3">
      <c r="E563" s="216"/>
    </row>
    <row r="564" spans="5:5" s="214" customFormat="1" ht="21.9" customHeight="1" x14ac:dyDescent="0.3">
      <c r="E564" s="216"/>
    </row>
    <row r="565" spans="5:5" s="214" customFormat="1" ht="21.9" customHeight="1" x14ac:dyDescent="0.3">
      <c r="E565" s="216"/>
    </row>
    <row r="566" spans="5:5" s="214" customFormat="1" ht="21.9" customHeight="1" x14ac:dyDescent="0.3">
      <c r="E566" s="216"/>
    </row>
    <row r="567" spans="5:5" s="214" customFormat="1" ht="21.9" customHeight="1" x14ac:dyDescent="0.3">
      <c r="E567" s="216"/>
    </row>
    <row r="568" spans="5:5" s="214" customFormat="1" ht="21.9" customHeight="1" x14ac:dyDescent="0.3">
      <c r="E568" s="216"/>
    </row>
    <row r="569" spans="5:5" s="214" customFormat="1" ht="21.9" customHeight="1" x14ac:dyDescent="0.3">
      <c r="E569" s="216"/>
    </row>
    <row r="570" spans="5:5" s="214" customFormat="1" ht="21.9" customHeight="1" x14ac:dyDescent="0.3">
      <c r="E570" s="216"/>
    </row>
    <row r="571" spans="5:5" s="214" customFormat="1" ht="21.9" customHeight="1" x14ac:dyDescent="0.3">
      <c r="E571" s="216"/>
    </row>
    <row r="572" spans="5:5" s="214" customFormat="1" ht="21.9" customHeight="1" x14ac:dyDescent="0.3">
      <c r="E572" s="216"/>
    </row>
    <row r="573" spans="5:5" s="214" customFormat="1" ht="21.9" customHeight="1" x14ac:dyDescent="0.3">
      <c r="E573" s="216"/>
    </row>
    <row r="574" spans="5:5" s="214" customFormat="1" ht="21.9" customHeight="1" x14ac:dyDescent="0.3">
      <c r="E574" s="216"/>
    </row>
    <row r="575" spans="5:5" s="214" customFormat="1" ht="21.9" customHeight="1" x14ac:dyDescent="0.3">
      <c r="E575" s="216"/>
    </row>
    <row r="576" spans="5:5" s="214" customFormat="1" ht="21.9" customHeight="1" x14ac:dyDescent="0.3">
      <c r="E576" s="216"/>
    </row>
    <row r="577" spans="5:5" s="214" customFormat="1" ht="21.9" customHeight="1" x14ac:dyDescent="0.3">
      <c r="E577" s="216"/>
    </row>
    <row r="578" spans="5:5" s="214" customFormat="1" ht="21.9" customHeight="1" x14ac:dyDescent="0.3">
      <c r="E578" s="216"/>
    </row>
    <row r="579" spans="5:5" s="214" customFormat="1" ht="21.9" customHeight="1" x14ac:dyDescent="0.3">
      <c r="E579" s="216"/>
    </row>
    <row r="580" spans="5:5" s="214" customFormat="1" ht="21.9" customHeight="1" x14ac:dyDescent="0.3">
      <c r="E580" s="216"/>
    </row>
    <row r="581" spans="5:5" s="214" customFormat="1" ht="21.9" customHeight="1" x14ac:dyDescent="0.3">
      <c r="E581" s="216"/>
    </row>
    <row r="582" spans="5:5" s="214" customFormat="1" ht="21.9" customHeight="1" x14ac:dyDescent="0.3">
      <c r="E582" s="216"/>
    </row>
    <row r="583" spans="5:5" s="214" customFormat="1" ht="21.9" customHeight="1" x14ac:dyDescent="0.3">
      <c r="E583" s="216"/>
    </row>
    <row r="584" spans="5:5" s="214" customFormat="1" ht="21.9" customHeight="1" x14ac:dyDescent="0.3">
      <c r="E584" s="216"/>
    </row>
  </sheetData>
  <autoFilter ref="A3:S231" xr:uid="{00000000-0009-0000-0000-000005000000}">
    <filterColumn colId="6" showButton="0"/>
    <filterColumn colId="7" showButton="0"/>
    <filterColumn colId="8" showButton="0"/>
    <filterColumn colId="9" showButton="0"/>
  </autoFilter>
  <mergeCells count="15">
    <mergeCell ref="A1:L1"/>
    <mergeCell ref="A2:L2"/>
    <mergeCell ref="A3:A4"/>
    <mergeCell ref="B3:B4"/>
    <mergeCell ref="C3:C4"/>
    <mergeCell ref="E3:E4"/>
    <mergeCell ref="F3:F4"/>
    <mergeCell ref="G3:K3"/>
    <mergeCell ref="L3:L4"/>
    <mergeCell ref="C280:C281"/>
    <mergeCell ref="H272:H275"/>
    <mergeCell ref="I272:I275"/>
    <mergeCell ref="J272:J275"/>
    <mergeCell ref="A231:B231"/>
    <mergeCell ref="C231:G231"/>
  </mergeCells>
  <printOptions horizontalCentered="1"/>
  <pageMargins left="0" right="0" top="0.5" bottom="0.5"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Y508"/>
  <sheetViews>
    <sheetView zoomScale="80" zoomScaleNormal="80" workbookViewId="0">
      <pane ySplit="5" topLeftCell="A50" activePane="bottomLeft" state="frozen"/>
      <selection pane="bottomLeft" activeCell="I53" sqref="I53"/>
    </sheetView>
  </sheetViews>
  <sheetFormatPr defaultColWidth="8" defaultRowHeight="21.9" customHeight="1" x14ac:dyDescent="0.3"/>
  <cols>
    <col min="1" max="1" width="3.59765625" style="218" bestFit="1" customWidth="1"/>
    <col min="2" max="2" width="10.09765625" style="219" customWidth="1"/>
    <col min="3" max="3" width="18.59765625" style="219" bestFit="1" customWidth="1"/>
    <col min="4" max="4" width="18.59765625" style="219" customWidth="1"/>
    <col min="5" max="5" width="4.59765625" style="216" customWidth="1"/>
    <col min="6" max="6" width="8.3984375" style="217" customWidth="1"/>
    <col min="7" max="16" width="8.3984375" style="220" customWidth="1"/>
    <col min="17" max="17" width="8.5" style="214" customWidth="1"/>
    <col min="18" max="18" width="7.59765625" style="214" customWidth="1"/>
    <col min="19" max="19" width="10.69921875" style="214" customWidth="1"/>
    <col min="20" max="20" width="6.8984375" style="214" bestFit="1" customWidth="1"/>
    <col min="21" max="21" width="9.69921875" style="214" bestFit="1" customWidth="1"/>
    <col min="22" max="22" width="8.09765625" style="214" bestFit="1" customWidth="1"/>
    <col min="23" max="23" width="11" style="214" bestFit="1" customWidth="1"/>
    <col min="24" max="16384" width="8" style="214"/>
  </cols>
  <sheetData>
    <row r="1" spans="1:25" ht="24.9" customHeight="1" x14ac:dyDescent="0.3">
      <c r="A1" s="454" t="s">
        <v>12800</v>
      </c>
      <c r="B1" s="454"/>
      <c r="C1" s="454"/>
      <c r="D1" s="454"/>
      <c r="E1" s="454"/>
      <c r="F1" s="454"/>
      <c r="G1" s="454"/>
      <c r="H1" s="454"/>
      <c r="I1" s="454"/>
      <c r="J1" s="454"/>
      <c r="K1" s="454"/>
      <c r="L1" s="454"/>
      <c r="M1" s="454"/>
      <c r="N1" s="454"/>
      <c r="O1" s="454"/>
      <c r="P1" s="454"/>
      <c r="Q1" s="454"/>
    </row>
    <row r="2" spans="1:25" s="228" customFormat="1" ht="21.9" customHeight="1" x14ac:dyDescent="0.3">
      <c r="A2" s="455" t="s">
        <v>12775</v>
      </c>
      <c r="B2" s="455"/>
      <c r="C2" s="455"/>
      <c r="D2" s="455"/>
      <c r="E2" s="455"/>
      <c r="F2" s="455"/>
      <c r="G2" s="455"/>
      <c r="H2" s="455"/>
      <c r="I2" s="455"/>
      <c r="J2" s="455"/>
      <c r="K2" s="455"/>
      <c r="L2" s="455"/>
      <c r="M2" s="455"/>
      <c r="N2" s="455"/>
      <c r="O2" s="455"/>
      <c r="P2" s="455"/>
      <c r="Q2" s="455"/>
    </row>
    <row r="3" spans="1:25" s="229" customFormat="1" ht="20.100000000000001" customHeight="1" x14ac:dyDescent="0.3">
      <c r="A3" s="456" t="s">
        <v>12690</v>
      </c>
      <c r="B3" s="456" t="s">
        <v>12776</v>
      </c>
      <c r="C3" s="456" t="s">
        <v>12777</v>
      </c>
      <c r="D3" s="255"/>
      <c r="E3" s="457" t="s">
        <v>12778</v>
      </c>
      <c r="F3" s="459" t="s">
        <v>12779</v>
      </c>
      <c r="G3" s="461" t="s">
        <v>13028</v>
      </c>
      <c r="H3" s="462"/>
      <c r="I3" s="461" t="s">
        <v>13602</v>
      </c>
      <c r="J3" s="462"/>
      <c r="K3" s="461" t="s">
        <v>13029</v>
      </c>
      <c r="L3" s="462"/>
      <c r="M3" s="461" t="s">
        <v>13030</v>
      </c>
      <c r="N3" s="462"/>
      <c r="O3" s="461" t="s">
        <v>12780</v>
      </c>
      <c r="P3" s="462"/>
      <c r="Q3" s="456" t="s">
        <v>13262</v>
      </c>
    </row>
    <row r="4" spans="1:25" s="229" customFormat="1" ht="63.6" customHeight="1" x14ac:dyDescent="0.3">
      <c r="A4" s="456"/>
      <c r="B4" s="456"/>
      <c r="C4" s="456"/>
      <c r="D4" s="256"/>
      <c r="E4" s="458"/>
      <c r="F4" s="460"/>
      <c r="G4" s="463"/>
      <c r="H4" s="464"/>
      <c r="I4" s="463"/>
      <c r="J4" s="464"/>
      <c r="K4" s="463"/>
      <c r="L4" s="464"/>
      <c r="M4" s="463"/>
      <c r="N4" s="464"/>
      <c r="O4" s="463"/>
      <c r="P4" s="464"/>
      <c r="Q4" s="456"/>
    </row>
    <row r="5" spans="1:25" s="229" customFormat="1" ht="51.6" customHeight="1" x14ac:dyDescent="0.3">
      <c r="A5" s="253" t="s">
        <v>12690</v>
      </c>
      <c r="B5" s="253" t="s">
        <v>12776</v>
      </c>
      <c r="C5" s="253" t="s">
        <v>12777</v>
      </c>
      <c r="D5" s="253"/>
      <c r="E5" s="253" t="s">
        <v>12778</v>
      </c>
      <c r="F5" s="230" t="s">
        <v>12779</v>
      </c>
      <c r="G5" s="231" t="s">
        <v>12781</v>
      </c>
      <c r="H5" s="231" t="s">
        <v>12782</v>
      </c>
      <c r="I5" s="231" t="s">
        <v>12781</v>
      </c>
      <c r="J5" s="231" t="s">
        <v>12782</v>
      </c>
      <c r="K5" s="231" t="s">
        <v>12781</v>
      </c>
      <c r="L5" s="231" t="s">
        <v>12782</v>
      </c>
      <c r="M5" s="231" t="s">
        <v>12781</v>
      </c>
      <c r="N5" s="231" t="s">
        <v>12782</v>
      </c>
      <c r="O5" s="231" t="s">
        <v>12781</v>
      </c>
      <c r="P5" s="231" t="s">
        <v>12782</v>
      </c>
      <c r="Q5" s="253"/>
    </row>
    <row r="6" spans="1:25" s="232" customFormat="1" ht="19.5" customHeight="1" x14ac:dyDescent="0.3">
      <c r="A6" s="257" t="s">
        <v>12783</v>
      </c>
      <c r="B6" s="258"/>
      <c r="C6" s="258"/>
      <c r="D6" s="258"/>
      <c r="E6" s="258"/>
      <c r="F6" s="258"/>
      <c r="G6" s="258"/>
      <c r="H6" s="258"/>
      <c r="I6" s="258"/>
      <c r="J6" s="258"/>
      <c r="K6" s="258"/>
      <c r="L6" s="258"/>
      <c r="M6" s="258"/>
      <c r="N6" s="258"/>
      <c r="O6" s="258"/>
      <c r="P6" s="258"/>
      <c r="Q6" s="259"/>
    </row>
    <row r="7" spans="1:25" s="229" customFormat="1" ht="19.5" customHeight="1" x14ac:dyDescent="0.3">
      <c r="A7" s="253">
        <v>1</v>
      </c>
      <c r="B7" s="233" t="s">
        <v>10317</v>
      </c>
      <c r="C7" s="233" t="s">
        <v>12820</v>
      </c>
      <c r="D7" s="215" t="str">
        <f>CONCATENATE("DKG&lt;-&gt;",C7,IF(C7="TP",". ",", "),B7)</f>
        <v>DKG&lt;-&gt;Kiến Thụy, Hải Phòng</v>
      </c>
      <c r="E7" s="234">
        <v>61</v>
      </c>
      <c r="F7" s="235">
        <v>250000</v>
      </c>
      <c r="G7" s="294">
        <v>2800000</v>
      </c>
      <c r="H7" s="294">
        <v>2100000</v>
      </c>
      <c r="I7" s="236">
        <v>1950000</v>
      </c>
      <c r="J7" s="236">
        <v>1850000</v>
      </c>
      <c r="K7" s="236">
        <v>1950000</v>
      </c>
      <c r="L7" s="236">
        <v>1850000</v>
      </c>
      <c r="M7" s="236">
        <v>2300000</v>
      </c>
      <c r="N7" s="236">
        <v>1850000</v>
      </c>
      <c r="O7" s="236"/>
      <c r="P7" s="236"/>
      <c r="Q7" s="295">
        <v>2300000</v>
      </c>
      <c r="R7" s="294">
        <v>1850000</v>
      </c>
      <c r="S7" s="237" t="s">
        <v>12820</v>
      </c>
      <c r="T7" s="254" t="str">
        <f>IF(S7=C7,"=","saiiii")</f>
        <v>=</v>
      </c>
      <c r="X7" s="237"/>
      <c r="Y7" s="237"/>
    </row>
    <row r="8" spans="1:25" s="229" customFormat="1" ht="19.5" customHeight="1" x14ac:dyDescent="0.3">
      <c r="A8" s="253">
        <v>2</v>
      </c>
      <c r="B8" s="233" t="s">
        <v>10317</v>
      </c>
      <c r="C8" s="233" t="s">
        <v>12821</v>
      </c>
      <c r="D8" s="215" t="str">
        <f t="shared" ref="D8:D71" si="0">CONCATENATE("DKG&lt;-&gt;",C8,IF(C8="TP",". ",", "),B8)</f>
        <v>DKG&lt;-&gt;Kiến An, Hải Phòng</v>
      </c>
      <c r="E8" s="234">
        <v>65</v>
      </c>
      <c r="F8" s="235">
        <v>250000</v>
      </c>
      <c r="G8" s="294">
        <v>2800000</v>
      </c>
      <c r="H8" s="294">
        <v>2100000</v>
      </c>
      <c r="I8" s="236">
        <v>1950000</v>
      </c>
      <c r="J8" s="236">
        <v>1850000</v>
      </c>
      <c r="K8" s="236">
        <v>1950000</v>
      </c>
      <c r="L8" s="236">
        <v>1850000</v>
      </c>
      <c r="M8" s="236">
        <v>2300000</v>
      </c>
      <c r="N8" s="236">
        <v>1850000</v>
      </c>
      <c r="O8" s="236">
        <v>1800000</v>
      </c>
      <c r="P8" s="236"/>
      <c r="Q8" s="295">
        <v>2300000</v>
      </c>
      <c r="R8" s="294">
        <v>1850000</v>
      </c>
      <c r="S8" s="237" t="s">
        <v>12821</v>
      </c>
      <c r="T8" s="254" t="str">
        <f t="shared" ref="T8:T71" si="1">IF(S8=C8,"=","saiiii")</f>
        <v>=</v>
      </c>
      <c r="X8" s="237"/>
      <c r="Y8" s="237"/>
    </row>
    <row r="9" spans="1:25" s="229" customFormat="1" ht="19.5" customHeight="1" x14ac:dyDescent="0.3">
      <c r="A9" s="253">
        <v>3</v>
      </c>
      <c r="B9" s="233" t="s">
        <v>10317</v>
      </c>
      <c r="C9" s="233" t="s">
        <v>12822</v>
      </c>
      <c r="D9" s="215" t="str">
        <f t="shared" si="0"/>
        <v>DKG&lt;-&gt;An Lão, Hải Phòng</v>
      </c>
      <c r="E9" s="234">
        <v>74</v>
      </c>
      <c r="F9" s="235">
        <v>250000</v>
      </c>
      <c r="G9" s="294">
        <v>2750000</v>
      </c>
      <c r="H9" s="294">
        <v>2050000</v>
      </c>
      <c r="I9" s="236">
        <v>2250000</v>
      </c>
      <c r="J9" s="236">
        <v>2100000</v>
      </c>
      <c r="K9" s="236">
        <v>2250000</v>
      </c>
      <c r="L9" s="236">
        <v>2100000</v>
      </c>
      <c r="M9" s="236">
        <v>2600000</v>
      </c>
      <c r="N9" s="236">
        <v>2100000</v>
      </c>
      <c r="O9" s="236"/>
      <c r="P9" s="236"/>
      <c r="Q9" s="295">
        <v>2600000</v>
      </c>
      <c r="R9" s="294">
        <v>2100000</v>
      </c>
      <c r="S9" s="237" t="s">
        <v>12822</v>
      </c>
      <c r="T9" s="254" t="str">
        <f t="shared" si="1"/>
        <v>=</v>
      </c>
      <c r="X9" s="237"/>
      <c r="Y9" s="237"/>
    </row>
    <row r="10" spans="1:25" s="229" customFormat="1" ht="19.5" customHeight="1" x14ac:dyDescent="0.3">
      <c r="A10" s="253">
        <v>4</v>
      </c>
      <c r="B10" s="233" t="s">
        <v>10317</v>
      </c>
      <c r="C10" s="233" t="s">
        <v>12823</v>
      </c>
      <c r="D10" s="215" t="str">
        <f t="shared" si="0"/>
        <v>DKG&lt;-&gt;Tiên Lãng (chưa phí), Hải Phòng</v>
      </c>
      <c r="E10" s="234">
        <v>80</v>
      </c>
      <c r="F10" s="235">
        <v>250000</v>
      </c>
      <c r="G10" s="294">
        <v>2800000</v>
      </c>
      <c r="H10" s="294">
        <v>2250000</v>
      </c>
      <c r="I10" s="236">
        <v>2300000</v>
      </c>
      <c r="J10" s="236">
        <v>2100000</v>
      </c>
      <c r="K10" s="236">
        <v>2300000</v>
      </c>
      <c r="L10" s="236">
        <v>2100000</v>
      </c>
      <c r="M10" s="236">
        <v>2650000</v>
      </c>
      <c r="N10" s="236">
        <v>2100000</v>
      </c>
      <c r="O10" s="236"/>
      <c r="P10" s="236"/>
      <c r="Q10" s="295">
        <v>2650000</v>
      </c>
      <c r="R10" s="294">
        <v>2100000</v>
      </c>
      <c r="S10" s="237" t="s">
        <v>12823</v>
      </c>
      <c r="T10" s="254" t="str">
        <f t="shared" si="1"/>
        <v>=</v>
      </c>
      <c r="X10" s="237"/>
      <c r="Y10" s="237"/>
    </row>
    <row r="11" spans="1:25" s="229" customFormat="1" ht="19.5" customHeight="1" x14ac:dyDescent="0.3">
      <c r="A11" s="253">
        <v>5</v>
      </c>
      <c r="B11" s="233" t="s">
        <v>10317</v>
      </c>
      <c r="C11" s="233" t="s">
        <v>12824</v>
      </c>
      <c r="D11" s="215" t="str">
        <f t="shared" si="0"/>
        <v>DKG&lt;-&gt;Tiên Lãng (có phí), Hải Phòng</v>
      </c>
      <c r="E11" s="234">
        <v>100</v>
      </c>
      <c r="F11" s="235">
        <v>650000</v>
      </c>
      <c r="G11" s="294">
        <v>3100000</v>
      </c>
      <c r="H11" s="294">
        <v>2850000</v>
      </c>
      <c r="I11" s="236">
        <v>3000000</v>
      </c>
      <c r="J11" s="236">
        <v>2700000</v>
      </c>
      <c r="K11" s="236">
        <v>3000000</v>
      </c>
      <c r="L11" s="236">
        <v>2700000</v>
      </c>
      <c r="M11" s="236">
        <v>2950000</v>
      </c>
      <c r="N11" s="236">
        <v>2700000</v>
      </c>
      <c r="O11" s="236"/>
      <c r="P11" s="236"/>
      <c r="Q11" s="295">
        <v>2950000</v>
      </c>
      <c r="R11" s="294">
        <v>2700000</v>
      </c>
      <c r="S11" s="237" t="s">
        <v>12824</v>
      </c>
      <c r="T11" s="254" t="str">
        <f t="shared" si="1"/>
        <v>=</v>
      </c>
      <c r="X11" s="237"/>
      <c r="Y11" s="237"/>
    </row>
    <row r="12" spans="1:25" s="229" customFormat="1" ht="19.5" customHeight="1" x14ac:dyDescent="0.3">
      <c r="A12" s="253">
        <v>6</v>
      </c>
      <c r="B12" s="233" t="s">
        <v>10317</v>
      </c>
      <c r="C12" s="233" t="s">
        <v>12825</v>
      </c>
      <c r="D12" s="215" t="str">
        <f t="shared" si="0"/>
        <v>DKG&lt;-&gt;Vĩnh Bảo, Hải Phòng</v>
      </c>
      <c r="E12" s="234">
        <v>110</v>
      </c>
      <c r="F12" s="235">
        <v>650000</v>
      </c>
      <c r="G12" s="294">
        <v>3300000</v>
      </c>
      <c r="H12" s="294">
        <v>3050000</v>
      </c>
      <c r="I12" s="236">
        <v>3100000</v>
      </c>
      <c r="J12" s="236">
        <v>2800000</v>
      </c>
      <c r="K12" s="236">
        <v>3100000</v>
      </c>
      <c r="L12" s="236">
        <v>2800000</v>
      </c>
      <c r="M12" s="236">
        <v>3050000</v>
      </c>
      <c r="N12" s="236">
        <v>2800000</v>
      </c>
      <c r="O12" s="236"/>
      <c r="P12" s="236"/>
      <c r="Q12" s="295">
        <v>3050000</v>
      </c>
      <c r="R12" s="294">
        <v>2800000</v>
      </c>
      <c r="S12" s="237" t="s">
        <v>12825</v>
      </c>
      <c r="T12" s="254" t="str">
        <f t="shared" si="1"/>
        <v>=</v>
      </c>
      <c r="X12" s="237"/>
      <c r="Y12" s="237"/>
    </row>
    <row r="13" spans="1:25" s="229" customFormat="1" ht="19.5" customHeight="1" x14ac:dyDescent="0.3">
      <c r="A13" s="253">
        <v>7</v>
      </c>
      <c r="B13" s="233" t="s">
        <v>14980</v>
      </c>
      <c r="C13" s="233" t="s">
        <v>12826</v>
      </c>
      <c r="D13" s="215" t="str">
        <f t="shared" si="0"/>
        <v>DKG&lt;-&gt;Tứ Kỳ, Hải Dương</v>
      </c>
      <c r="E13" s="234">
        <v>115</v>
      </c>
      <c r="F13" s="235">
        <v>700000</v>
      </c>
      <c r="G13" s="294">
        <v>3700000</v>
      </c>
      <c r="H13" s="294">
        <v>3500000</v>
      </c>
      <c r="I13" s="236">
        <v>3500000</v>
      </c>
      <c r="J13" s="236">
        <v>3200000</v>
      </c>
      <c r="K13" s="236">
        <v>3500000</v>
      </c>
      <c r="L13" s="236">
        <v>3200000</v>
      </c>
      <c r="M13" s="236">
        <v>3700000</v>
      </c>
      <c r="N13" s="236">
        <v>3200000</v>
      </c>
      <c r="O13" s="236"/>
      <c r="P13" s="236"/>
      <c r="Q13" s="295">
        <v>3700000</v>
      </c>
      <c r="R13" s="294">
        <v>3200000</v>
      </c>
      <c r="S13" s="237" t="s">
        <v>12826</v>
      </c>
      <c r="T13" s="254" t="str">
        <f t="shared" si="1"/>
        <v>=</v>
      </c>
      <c r="X13" s="237"/>
      <c r="Y13" s="237"/>
    </row>
    <row r="14" spans="1:25" s="229" customFormat="1" ht="19.5" customHeight="1" x14ac:dyDescent="0.3">
      <c r="A14" s="253">
        <v>8</v>
      </c>
      <c r="B14" s="233" t="s">
        <v>14981</v>
      </c>
      <c r="C14" s="233" t="s">
        <v>12827</v>
      </c>
      <c r="D14" s="215" t="str">
        <f t="shared" si="0"/>
        <v>DKG&lt;-&gt;Quỳnh Phụ, Thái Bình</v>
      </c>
      <c r="E14" s="234">
        <v>135</v>
      </c>
      <c r="F14" s="235">
        <v>750000</v>
      </c>
      <c r="G14" s="294">
        <v>4000000</v>
      </c>
      <c r="H14" s="294">
        <v>3550000</v>
      </c>
      <c r="I14" s="236">
        <v>3700000</v>
      </c>
      <c r="J14" s="236">
        <v>3350000</v>
      </c>
      <c r="K14" s="236">
        <v>3700000</v>
      </c>
      <c r="L14" s="236">
        <v>3350000</v>
      </c>
      <c r="M14" s="236">
        <v>3700000</v>
      </c>
      <c r="N14" s="236">
        <v>3350000</v>
      </c>
      <c r="O14" s="236"/>
      <c r="P14" s="236"/>
      <c r="Q14" s="294">
        <v>3700000</v>
      </c>
      <c r="R14" s="294">
        <v>3350000</v>
      </c>
      <c r="S14" s="237" t="s">
        <v>12827</v>
      </c>
      <c r="T14" s="254" t="str">
        <f t="shared" si="1"/>
        <v>=</v>
      </c>
      <c r="X14" s="237"/>
      <c r="Y14" s="237"/>
    </row>
    <row r="15" spans="1:25" s="229" customFormat="1" ht="19.5" customHeight="1" x14ac:dyDescent="0.3">
      <c r="A15" s="253">
        <v>9</v>
      </c>
      <c r="B15" s="233" t="s">
        <v>14981</v>
      </c>
      <c r="C15" s="233" t="s">
        <v>12828</v>
      </c>
      <c r="D15" s="215" t="str">
        <f t="shared" si="0"/>
        <v>DKG&lt;-&gt;Quỳnh Côi, Thái Bình</v>
      </c>
      <c r="E15" s="234">
        <v>160</v>
      </c>
      <c r="F15" s="235">
        <v>750000</v>
      </c>
      <c r="G15" s="294">
        <v>4100000</v>
      </c>
      <c r="H15" s="294">
        <v>3650000</v>
      </c>
      <c r="I15" s="236">
        <v>3800000</v>
      </c>
      <c r="J15" s="236">
        <v>3450000</v>
      </c>
      <c r="K15" s="236">
        <v>3800000</v>
      </c>
      <c r="L15" s="236">
        <v>3450000</v>
      </c>
      <c r="M15" s="236">
        <v>3750000</v>
      </c>
      <c r="N15" s="236">
        <v>3400000</v>
      </c>
      <c r="O15" s="236"/>
      <c r="P15" s="236"/>
      <c r="Q15" s="294">
        <v>3750000</v>
      </c>
      <c r="R15" s="294">
        <v>3400000</v>
      </c>
      <c r="S15" s="237" t="s">
        <v>12828</v>
      </c>
      <c r="T15" s="254" t="str">
        <f t="shared" si="1"/>
        <v>=</v>
      </c>
      <c r="X15" s="237"/>
      <c r="Y15" s="237"/>
    </row>
    <row r="16" spans="1:25" s="229" customFormat="1" ht="19.5" customHeight="1" x14ac:dyDescent="0.3">
      <c r="A16" s="253">
        <v>10</v>
      </c>
      <c r="B16" s="233" t="s">
        <v>14981</v>
      </c>
      <c r="C16" s="233" t="s">
        <v>12829</v>
      </c>
      <c r="D16" s="215" t="str">
        <f t="shared" si="0"/>
        <v>DKG&lt;-&gt;Hưng Hà, Thái Bình</v>
      </c>
      <c r="E16" s="234">
        <v>200</v>
      </c>
      <c r="F16" s="235">
        <v>750000</v>
      </c>
      <c r="G16" s="294">
        <v>4250000</v>
      </c>
      <c r="H16" s="294">
        <v>3750000</v>
      </c>
      <c r="I16" s="236">
        <v>3850000</v>
      </c>
      <c r="J16" s="236">
        <v>3450000</v>
      </c>
      <c r="K16" s="236">
        <v>3850000</v>
      </c>
      <c r="L16" s="236">
        <v>3450000</v>
      </c>
      <c r="M16" s="236">
        <v>3850000</v>
      </c>
      <c r="N16" s="236">
        <v>3450000</v>
      </c>
      <c r="O16" s="236"/>
      <c r="P16" s="236"/>
      <c r="Q16" s="294">
        <v>3850000</v>
      </c>
      <c r="R16" s="294">
        <v>3450000</v>
      </c>
      <c r="S16" s="237" t="s">
        <v>12829</v>
      </c>
      <c r="T16" s="254" t="str">
        <f t="shared" si="1"/>
        <v>=</v>
      </c>
      <c r="X16" s="237"/>
      <c r="Y16" s="237"/>
    </row>
    <row r="17" spans="1:25" s="229" customFormat="1" ht="19.5" customHeight="1" x14ac:dyDescent="0.3">
      <c r="A17" s="253">
        <v>11</v>
      </c>
      <c r="B17" s="233" t="s">
        <v>14981</v>
      </c>
      <c r="C17" s="233" t="s">
        <v>12830</v>
      </c>
      <c r="D17" s="215" t="str">
        <f t="shared" si="0"/>
        <v>DKG&lt;-&gt;Đông Hưng (chưa phí), Thái Bình</v>
      </c>
      <c r="E17" s="234">
        <v>140</v>
      </c>
      <c r="F17" s="235">
        <v>750000</v>
      </c>
      <c r="G17" s="294">
        <v>4000000</v>
      </c>
      <c r="H17" s="294">
        <v>3550000</v>
      </c>
      <c r="I17" s="236">
        <v>3700000</v>
      </c>
      <c r="J17" s="236">
        <v>3350000</v>
      </c>
      <c r="K17" s="236">
        <v>3700000</v>
      </c>
      <c r="L17" s="236">
        <v>3350000</v>
      </c>
      <c r="M17" s="236">
        <v>3700000</v>
      </c>
      <c r="N17" s="236">
        <v>3350000</v>
      </c>
      <c r="O17" s="236"/>
      <c r="P17" s="236"/>
      <c r="Q17" s="294">
        <v>3700000</v>
      </c>
      <c r="R17" s="294">
        <v>3350000</v>
      </c>
      <c r="S17" s="237" t="s">
        <v>12830</v>
      </c>
      <c r="T17" s="254" t="str">
        <f t="shared" si="1"/>
        <v>=</v>
      </c>
      <c r="X17" s="237"/>
      <c r="Y17" s="237"/>
    </row>
    <row r="18" spans="1:25" s="229" customFormat="1" ht="19.5" customHeight="1" x14ac:dyDescent="0.3">
      <c r="A18" s="253">
        <v>12</v>
      </c>
      <c r="B18" s="233" t="s">
        <v>14981</v>
      </c>
      <c r="C18" s="233" t="s">
        <v>12831</v>
      </c>
      <c r="D18" s="215" t="str">
        <f t="shared" si="0"/>
        <v>DKG&lt;-&gt;Đông Hưng (có phí), Thái Bình</v>
      </c>
      <c r="E18" s="234">
        <v>140</v>
      </c>
      <c r="F18" s="235">
        <v>1000000</v>
      </c>
      <c r="G18" s="294">
        <v>4250000</v>
      </c>
      <c r="H18" s="294">
        <v>3800000</v>
      </c>
      <c r="I18" s="236">
        <v>3950000</v>
      </c>
      <c r="J18" s="236">
        <v>3700000</v>
      </c>
      <c r="K18" s="236">
        <v>3950000</v>
      </c>
      <c r="L18" s="236">
        <v>3700000</v>
      </c>
      <c r="M18" s="236">
        <v>3950000</v>
      </c>
      <c r="N18" s="236">
        <v>3700000</v>
      </c>
      <c r="O18" s="236"/>
      <c r="P18" s="236"/>
      <c r="Q18" s="295">
        <v>3950000</v>
      </c>
      <c r="R18" s="294">
        <v>3700000</v>
      </c>
      <c r="S18" s="237" t="s">
        <v>12831</v>
      </c>
      <c r="T18" s="254" t="str">
        <f t="shared" si="1"/>
        <v>=</v>
      </c>
      <c r="X18" s="237"/>
      <c r="Y18" s="237"/>
    </row>
    <row r="19" spans="1:25" s="229" customFormat="1" ht="19.5" customHeight="1" x14ac:dyDescent="0.3">
      <c r="A19" s="253">
        <v>13</v>
      </c>
      <c r="B19" s="233" t="s">
        <v>14981</v>
      </c>
      <c r="C19" s="233" t="s">
        <v>12832</v>
      </c>
      <c r="D19" s="215" t="str">
        <f t="shared" si="0"/>
        <v>DKG&lt;-&gt;TP. Thái Bình</v>
      </c>
      <c r="E19" s="234">
        <v>175</v>
      </c>
      <c r="F19" s="235">
        <v>1000000</v>
      </c>
      <c r="G19" s="294">
        <v>4450000</v>
      </c>
      <c r="H19" s="294">
        <v>3800000</v>
      </c>
      <c r="I19" s="236">
        <v>4150000</v>
      </c>
      <c r="J19" s="236">
        <v>3900000</v>
      </c>
      <c r="K19" s="236">
        <v>4150000</v>
      </c>
      <c r="L19" s="236">
        <v>3900000</v>
      </c>
      <c r="M19" s="236">
        <v>4150000</v>
      </c>
      <c r="N19" s="236">
        <v>3900000</v>
      </c>
      <c r="O19" s="236">
        <v>3240000</v>
      </c>
      <c r="P19" s="236"/>
      <c r="Q19" s="295">
        <v>4150000</v>
      </c>
      <c r="R19" s="294">
        <v>3900000</v>
      </c>
      <c r="S19" s="237" t="s">
        <v>8995</v>
      </c>
      <c r="T19" s="254" t="str">
        <f t="shared" si="1"/>
        <v>saiiii</v>
      </c>
      <c r="X19" s="237"/>
      <c r="Y19" s="237"/>
    </row>
    <row r="20" spans="1:25" s="229" customFormat="1" ht="19.5" customHeight="1" x14ac:dyDescent="0.3">
      <c r="A20" s="253">
        <v>14</v>
      </c>
      <c r="B20" s="233" t="s">
        <v>14981</v>
      </c>
      <c r="C20" s="233" t="s">
        <v>12833</v>
      </c>
      <c r="D20" s="215" t="str">
        <f t="shared" si="0"/>
        <v>DKG&lt;-&gt;Diêm Điền (Thái Thụy), Thái Bình</v>
      </c>
      <c r="E20" s="234">
        <v>210</v>
      </c>
      <c r="F20" s="235">
        <v>1000000</v>
      </c>
      <c r="G20" s="294">
        <v>4550000</v>
      </c>
      <c r="H20" s="294">
        <v>3850000</v>
      </c>
      <c r="I20" s="236">
        <v>4150000</v>
      </c>
      <c r="J20" s="236">
        <v>3850000</v>
      </c>
      <c r="K20" s="236">
        <v>4150000</v>
      </c>
      <c r="L20" s="236">
        <v>3850000</v>
      </c>
      <c r="M20" s="236">
        <v>4150000</v>
      </c>
      <c r="N20" s="236">
        <v>3800000</v>
      </c>
      <c r="O20" s="236"/>
      <c r="P20" s="236"/>
      <c r="Q20" s="294">
        <v>4150000</v>
      </c>
      <c r="R20" s="294">
        <v>3800000</v>
      </c>
      <c r="S20" s="237" t="s">
        <v>12833</v>
      </c>
      <c r="T20" s="254" t="str">
        <f t="shared" si="1"/>
        <v>=</v>
      </c>
      <c r="X20" s="237"/>
      <c r="Y20" s="237"/>
    </row>
    <row r="21" spans="1:25" s="229" customFormat="1" ht="19.5" customHeight="1" x14ac:dyDescent="0.3">
      <c r="A21" s="253">
        <v>15</v>
      </c>
      <c r="B21" s="233" t="s">
        <v>14981</v>
      </c>
      <c r="C21" s="233" t="s">
        <v>12834</v>
      </c>
      <c r="D21" s="215" t="str">
        <f t="shared" si="0"/>
        <v>DKG&lt;-&gt;Vũ Thư, Thái Bình</v>
      </c>
      <c r="E21" s="234">
        <v>185</v>
      </c>
      <c r="F21" s="235">
        <v>1000000</v>
      </c>
      <c r="G21" s="294">
        <v>4500000</v>
      </c>
      <c r="H21" s="294">
        <v>3800000</v>
      </c>
      <c r="I21" s="236">
        <v>4200000</v>
      </c>
      <c r="J21" s="236">
        <v>3900000</v>
      </c>
      <c r="K21" s="236">
        <v>4200000</v>
      </c>
      <c r="L21" s="236">
        <v>3900000</v>
      </c>
      <c r="M21" s="236">
        <v>4250000</v>
      </c>
      <c r="N21" s="236">
        <v>3900000</v>
      </c>
      <c r="O21" s="236"/>
      <c r="P21" s="236"/>
      <c r="Q21" s="294">
        <v>4250000</v>
      </c>
      <c r="R21" s="294">
        <v>3900000</v>
      </c>
      <c r="S21" s="237" t="s">
        <v>12834</v>
      </c>
      <c r="T21" s="254" t="str">
        <f t="shared" si="1"/>
        <v>=</v>
      </c>
      <c r="X21" s="237"/>
      <c r="Y21" s="237"/>
    </row>
    <row r="22" spans="1:25" s="229" customFormat="1" ht="19.5" customHeight="1" x14ac:dyDescent="0.3">
      <c r="A22" s="253">
        <v>16</v>
      </c>
      <c r="B22" s="233" t="s">
        <v>14981</v>
      </c>
      <c r="C22" s="233" t="s">
        <v>12835</v>
      </c>
      <c r="D22" s="215" t="str">
        <f t="shared" si="0"/>
        <v>DKG&lt;-&gt;Kiến Xương (chưa phí), Thái Bình</v>
      </c>
      <c r="E22" s="234">
        <v>190</v>
      </c>
      <c r="F22" s="235">
        <v>1000000</v>
      </c>
      <c r="G22" s="294">
        <v>4750000</v>
      </c>
      <c r="H22" s="294">
        <v>3550000</v>
      </c>
      <c r="I22" s="236">
        <v>4100000</v>
      </c>
      <c r="J22" s="236">
        <v>3800000</v>
      </c>
      <c r="K22" s="236">
        <v>4100000</v>
      </c>
      <c r="L22" s="236">
        <v>3800000</v>
      </c>
      <c r="M22" s="236">
        <v>4150000</v>
      </c>
      <c r="N22" s="236">
        <v>3800000</v>
      </c>
      <c r="O22" s="236"/>
      <c r="P22" s="236"/>
      <c r="Q22" s="294">
        <v>4150000</v>
      </c>
      <c r="R22" s="294">
        <v>3800000</v>
      </c>
      <c r="S22" s="237" t="s">
        <v>12835</v>
      </c>
      <c r="T22" s="254" t="str">
        <f t="shared" si="1"/>
        <v>=</v>
      </c>
      <c r="X22" s="237"/>
      <c r="Y22" s="237"/>
    </row>
    <row r="23" spans="1:25" s="229" customFormat="1" ht="19.5" customHeight="1" x14ac:dyDescent="0.3">
      <c r="A23" s="253">
        <v>17</v>
      </c>
      <c r="B23" s="233" t="s">
        <v>14981</v>
      </c>
      <c r="C23" s="233" t="s">
        <v>12836</v>
      </c>
      <c r="D23" s="215" t="str">
        <f t="shared" si="0"/>
        <v>DKG&lt;-&gt;Kiến xương (có phí), Thái Bình</v>
      </c>
      <c r="E23" s="234">
        <v>200</v>
      </c>
      <c r="F23" s="235">
        <v>1400000</v>
      </c>
      <c r="G23" s="294">
        <v>4850000</v>
      </c>
      <c r="H23" s="294">
        <v>4050000</v>
      </c>
      <c r="I23" s="236">
        <v>4450000</v>
      </c>
      <c r="J23" s="236">
        <v>4200000</v>
      </c>
      <c r="K23" s="236">
        <v>4450000</v>
      </c>
      <c r="L23" s="236">
        <v>4200000</v>
      </c>
      <c r="M23" s="236">
        <v>4600000</v>
      </c>
      <c r="N23" s="236">
        <v>4200000</v>
      </c>
      <c r="O23" s="236"/>
      <c r="P23" s="236"/>
      <c r="Q23" s="295">
        <v>4600000</v>
      </c>
      <c r="R23" s="294">
        <v>4200000</v>
      </c>
      <c r="S23" s="237" t="s">
        <v>12836</v>
      </c>
      <c r="T23" s="254" t="str">
        <f t="shared" si="1"/>
        <v>=</v>
      </c>
      <c r="X23" s="237"/>
      <c r="Y23" s="237"/>
    </row>
    <row r="24" spans="1:25" s="229" customFormat="1" ht="19.5" customHeight="1" x14ac:dyDescent="0.3">
      <c r="A24" s="253">
        <v>18</v>
      </c>
      <c r="B24" s="233" t="s">
        <v>14981</v>
      </c>
      <c r="C24" s="233" t="s">
        <v>12837</v>
      </c>
      <c r="D24" s="215" t="str">
        <f t="shared" si="0"/>
        <v>DKG&lt;-&gt;Tiền Hải, Thái Bình</v>
      </c>
      <c r="E24" s="234">
        <v>220</v>
      </c>
      <c r="F24" s="235">
        <v>1400000</v>
      </c>
      <c r="G24" s="294">
        <v>5100000</v>
      </c>
      <c r="H24" s="294">
        <v>4300000</v>
      </c>
      <c r="I24" s="236">
        <v>4650000</v>
      </c>
      <c r="J24" s="236">
        <v>4400000</v>
      </c>
      <c r="K24" s="236">
        <v>4650000</v>
      </c>
      <c r="L24" s="236">
        <v>4400000</v>
      </c>
      <c r="M24" s="236">
        <v>4900000</v>
      </c>
      <c r="N24" s="236">
        <v>4350000</v>
      </c>
      <c r="O24" s="236"/>
      <c r="P24" s="236"/>
      <c r="Q24" s="294">
        <v>4900000</v>
      </c>
      <c r="R24" s="294">
        <v>4350000</v>
      </c>
      <c r="S24" s="237" t="s">
        <v>12837</v>
      </c>
      <c r="T24" s="254" t="str">
        <f t="shared" si="1"/>
        <v>=</v>
      </c>
      <c r="X24" s="237"/>
      <c r="Y24" s="237"/>
    </row>
    <row r="25" spans="1:25" s="229" customFormat="1" ht="19.5" customHeight="1" x14ac:dyDescent="0.3">
      <c r="A25" s="253">
        <v>19</v>
      </c>
      <c r="B25" s="233" t="s">
        <v>14982</v>
      </c>
      <c r="C25" s="233" t="s">
        <v>12832</v>
      </c>
      <c r="D25" s="215" t="str">
        <f t="shared" si="0"/>
        <v>DKG&lt;-&gt;TP. Nam Định</v>
      </c>
      <c r="E25" s="234">
        <v>215</v>
      </c>
      <c r="F25" s="235">
        <v>1050000</v>
      </c>
      <c r="G25" s="294">
        <v>5050000</v>
      </c>
      <c r="H25" s="294">
        <v>4750000</v>
      </c>
      <c r="I25" s="236">
        <v>4750000</v>
      </c>
      <c r="J25" s="236">
        <v>4500000</v>
      </c>
      <c r="K25" s="236">
        <v>4750000</v>
      </c>
      <c r="L25" s="236">
        <v>4500000</v>
      </c>
      <c r="M25" s="236">
        <v>4650000</v>
      </c>
      <c r="N25" s="236">
        <v>4450000</v>
      </c>
      <c r="O25" s="236"/>
      <c r="P25" s="236"/>
      <c r="Q25" s="295">
        <v>4650000</v>
      </c>
      <c r="R25" s="294">
        <v>4450000</v>
      </c>
      <c r="S25" s="237" t="s">
        <v>8752</v>
      </c>
      <c r="T25" s="254" t="str">
        <f t="shared" si="1"/>
        <v>saiiii</v>
      </c>
      <c r="X25" s="237"/>
      <c r="Y25" s="237"/>
    </row>
    <row r="26" spans="1:25" s="229" customFormat="1" ht="19.5" customHeight="1" x14ac:dyDescent="0.3">
      <c r="A26" s="253">
        <v>20</v>
      </c>
      <c r="B26" s="233" t="s">
        <v>14982</v>
      </c>
      <c r="C26" s="233" t="s">
        <v>12838</v>
      </c>
      <c r="D26" s="215" t="str">
        <f t="shared" si="0"/>
        <v>DKG&lt;-&gt;Cổ Lễ, Nam Định</v>
      </c>
      <c r="E26" s="234">
        <v>240</v>
      </c>
      <c r="F26" s="235">
        <v>1050000</v>
      </c>
      <c r="G26" s="294">
        <v>5450000</v>
      </c>
      <c r="H26" s="294">
        <v>4700000</v>
      </c>
      <c r="I26" s="236">
        <v>5000000</v>
      </c>
      <c r="J26" s="236">
        <v>4650000</v>
      </c>
      <c r="K26" s="236">
        <v>5000000</v>
      </c>
      <c r="L26" s="236">
        <v>4650000</v>
      </c>
      <c r="M26" s="236">
        <v>5000000</v>
      </c>
      <c r="N26" s="236">
        <v>4650000</v>
      </c>
      <c r="O26" s="236"/>
      <c r="P26" s="236"/>
      <c r="Q26" s="294">
        <v>5000000</v>
      </c>
      <c r="R26" s="294">
        <v>4650000</v>
      </c>
      <c r="S26" s="237" t="s">
        <v>12838</v>
      </c>
      <c r="T26" s="254" t="str">
        <f t="shared" si="1"/>
        <v>=</v>
      </c>
      <c r="X26" s="237"/>
      <c r="Y26" s="237"/>
    </row>
    <row r="27" spans="1:25" s="229" customFormat="1" ht="19.5" customHeight="1" x14ac:dyDescent="0.3">
      <c r="A27" s="253">
        <v>21</v>
      </c>
      <c r="B27" s="233" t="s">
        <v>14982</v>
      </c>
      <c r="C27" s="233" t="s">
        <v>12839</v>
      </c>
      <c r="D27" s="215" t="str">
        <f t="shared" si="0"/>
        <v>DKG&lt;-&gt;Hải Hậu, Nam Định</v>
      </c>
      <c r="E27" s="234">
        <v>300</v>
      </c>
      <c r="F27" s="235">
        <v>1050000</v>
      </c>
      <c r="G27" s="294">
        <v>5400000</v>
      </c>
      <c r="H27" s="294">
        <v>4600000</v>
      </c>
      <c r="I27" s="236">
        <v>5000000</v>
      </c>
      <c r="J27" s="236">
        <v>4700000</v>
      </c>
      <c r="K27" s="236">
        <v>5000000</v>
      </c>
      <c r="L27" s="236">
        <v>4700000</v>
      </c>
      <c r="M27" s="236">
        <v>5050000</v>
      </c>
      <c r="N27" s="236">
        <v>4650000</v>
      </c>
      <c r="O27" s="236">
        <v>4140000</v>
      </c>
      <c r="P27" s="236"/>
      <c r="Q27" s="295">
        <v>5050000</v>
      </c>
      <c r="R27" s="294">
        <v>4650000</v>
      </c>
      <c r="S27" s="237" t="s">
        <v>12839</v>
      </c>
      <c r="T27" s="254" t="str">
        <f t="shared" si="1"/>
        <v>=</v>
      </c>
      <c r="X27" s="237"/>
      <c r="Y27" s="237"/>
    </row>
    <row r="28" spans="1:25" s="229" customFormat="1" ht="19.5" customHeight="1" x14ac:dyDescent="0.3">
      <c r="A28" s="253">
        <v>22</v>
      </c>
      <c r="B28" s="233" t="s">
        <v>14982</v>
      </c>
      <c r="C28" s="233" t="s">
        <v>12840</v>
      </c>
      <c r="D28" s="215" t="str">
        <f t="shared" si="0"/>
        <v>DKG&lt;-&gt;Nghĩa Hưng, Nam Định</v>
      </c>
      <c r="E28" s="234">
        <v>292</v>
      </c>
      <c r="F28" s="235">
        <v>1050000</v>
      </c>
      <c r="G28" s="294">
        <v>5550000</v>
      </c>
      <c r="H28" s="294">
        <v>4750000</v>
      </c>
      <c r="I28" s="236">
        <v>5150000</v>
      </c>
      <c r="J28" s="236">
        <v>4850000</v>
      </c>
      <c r="K28" s="236">
        <v>5150000</v>
      </c>
      <c r="L28" s="236">
        <v>4850000</v>
      </c>
      <c r="M28" s="236">
        <v>5200000</v>
      </c>
      <c r="N28" s="236">
        <v>4800000</v>
      </c>
      <c r="O28" s="236"/>
      <c r="P28" s="236"/>
      <c r="Q28" s="295">
        <v>5200000</v>
      </c>
      <c r="R28" s="294">
        <v>4800000</v>
      </c>
      <c r="S28" s="237" t="s">
        <v>12840</v>
      </c>
      <c r="T28" s="254" t="str">
        <f t="shared" si="1"/>
        <v>=</v>
      </c>
      <c r="X28" s="237"/>
      <c r="Y28" s="237"/>
    </row>
    <row r="29" spans="1:25" s="229" customFormat="1" ht="19.5" customHeight="1" x14ac:dyDescent="0.3">
      <c r="A29" s="253">
        <v>23</v>
      </c>
      <c r="B29" s="233" t="s">
        <v>14982</v>
      </c>
      <c r="C29" s="233" t="s">
        <v>12841</v>
      </c>
      <c r="D29" s="215" t="str">
        <f t="shared" si="0"/>
        <v>DKG&lt;-&gt;Xuân Trường, Nam Định</v>
      </c>
      <c r="E29" s="234">
        <v>270</v>
      </c>
      <c r="F29" s="235">
        <v>1050000</v>
      </c>
      <c r="G29" s="294">
        <v>5400000</v>
      </c>
      <c r="H29" s="294">
        <v>4650000</v>
      </c>
      <c r="I29" s="236">
        <v>4950000</v>
      </c>
      <c r="J29" s="236">
        <v>4700000</v>
      </c>
      <c r="K29" s="236">
        <v>4950000</v>
      </c>
      <c r="L29" s="236">
        <v>4700000</v>
      </c>
      <c r="M29" s="236">
        <v>5050000</v>
      </c>
      <c r="N29" s="236">
        <v>4700000</v>
      </c>
      <c r="O29" s="236">
        <v>4240000</v>
      </c>
      <c r="P29" s="236"/>
      <c r="Q29" s="295">
        <v>5050000</v>
      </c>
      <c r="R29" s="294">
        <v>4700000</v>
      </c>
      <c r="S29" s="237" t="s">
        <v>12841</v>
      </c>
      <c r="T29" s="254" t="str">
        <f t="shared" si="1"/>
        <v>=</v>
      </c>
      <c r="X29" s="237"/>
      <c r="Y29" s="237"/>
    </row>
    <row r="30" spans="1:25" s="229" customFormat="1" ht="19.5" customHeight="1" x14ac:dyDescent="0.3">
      <c r="A30" s="253">
        <v>24</v>
      </c>
      <c r="B30" s="233" t="s">
        <v>14982</v>
      </c>
      <c r="C30" s="233" t="s">
        <v>12842</v>
      </c>
      <c r="D30" s="215" t="str">
        <f t="shared" si="0"/>
        <v>DKG&lt;-&gt;Ý Yên, Nam Định</v>
      </c>
      <c r="E30" s="234">
        <v>270</v>
      </c>
      <c r="F30" s="235">
        <v>1050000</v>
      </c>
      <c r="G30" s="294">
        <v>5400000</v>
      </c>
      <c r="H30" s="294">
        <v>4650000</v>
      </c>
      <c r="I30" s="236">
        <v>4950000</v>
      </c>
      <c r="J30" s="236">
        <v>4700000</v>
      </c>
      <c r="K30" s="236">
        <v>4950000</v>
      </c>
      <c r="L30" s="236">
        <v>4700000</v>
      </c>
      <c r="M30" s="236">
        <v>4750000</v>
      </c>
      <c r="N30" s="236">
        <v>4500000</v>
      </c>
      <c r="O30" s="236"/>
      <c r="P30" s="236"/>
      <c r="Q30" s="295">
        <v>4750000</v>
      </c>
      <c r="R30" s="294">
        <v>4500000</v>
      </c>
      <c r="S30" s="237" t="s">
        <v>12842</v>
      </c>
      <c r="T30" s="254" t="str">
        <f t="shared" si="1"/>
        <v>=</v>
      </c>
      <c r="X30" s="237"/>
      <c r="Y30" s="237"/>
    </row>
    <row r="31" spans="1:25" s="228" customFormat="1" ht="19.5" customHeight="1" x14ac:dyDescent="0.3">
      <c r="A31" s="253">
        <v>25</v>
      </c>
      <c r="B31" s="233" t="s">
        <v>14983</v>
      </c>
      <c r="C31" s="233" t="s">
        <v>12843</v>
      </c>
      <c r="D31" s="215" t="str">
        <f t="shared" si="0"/>
        <v>DKG&lt;-&gt;Bình Lục, Hà Nam</v>
      </c>
      <c r="E31" s="234">
        <v>250</v>
      </c>
      <c r="F31" s="235">
        <v>1150000</v>
      </c>
      <c r="G31" s="294">
        <v>5500000</v>
      </c>
      <c r="H31" s="294">
        <v>4750000</v>
      </c>
      <c r="I31" s="236">
        <v>4950000</v>
      </c>
      <c r="J31" s="236">
        <v>4700000</v>
      </c>
      <c r="K31" s="236">
        <v>4950000</v>
      </c>
      <c r="L31" s="236">
        <v>4700000</v>
      </c>
      <c r="M31" s="236">
        <v>5150000</v>
      </c>
      <c r="N31" s="236">
        <v>4700000</v>
      </c>
      <c r="O31" s="236"/>
      <c r="P31" s="236"/>
      <c r="Q31" s="295">
        <v>5150000</v>
      </c>
      <c r="R31" s="294">
        <v>4700000</v>
      </c>
      <c r="S31" s="237" t="s">
        <v>12843</v>
      </c>
      <c r="T31" s="254" t="str">
        <f t="shared" si="1"/>
        <v>=</v>
      </c>
      <c r="X31" s="237"/>
      <c r="Y31" s="237"/>
    </row>
    <row r="32" spans="1:25" s="228" customFormat="1" ht="19.5" customHeight="1" x14ac:dyDescent="0.3">
      <c r="A32" s="253">
        <v>26</v>
      </c>
      <c r="B32" s="233" t="s">
        <v>14984</v>
      </c>
      <c r="C32" s="233" t="s">
        <v>12832</v>
      </c>
      <c r="D32" s="215" t="str">
        <f t="shared" si="0"/>
        <v>DKG&lt;-&gt;TP. Ninh Bình</v>
      </c>
      <c r="E32" s="234">
        <v>295</v>
      </c>
      <c r="F32" s="235">
        <v>1100000</v>
      </c>
      <c r="G32" s="294">
        <v>5600000</v>
      </c>
      <c r="H32" s="294">
        <v>5200000</v>
      </c>
      <c r="I32" s="236">
        <v>5300000</v>
      </c>
      <c r="J32" s="236">
        <v>4900000</v>
      </c>
      <c r="K32" s="236">
        <v>5300000</v>
      </c>
      <c r="L32" s="236">
        <v>4900000</v>
      </c>
      <c r="M32" s="236">
        <v>5150000</v>
      </c>
      <c r="N32" s="236">
        <v>4600000</v>
      </c>
      <c r="O32" s="236"/>
      <c r="P32" s="236"/>
      <c r="Q32" s="295">
        <v>5150000</v>
      </c>
      <c r="R32" s="294">
        <v>4600000</v>
      </c>
      <c r="S32" s="237" t="s">
        <v>8700</v>
      </c>
      <c r="T32" s="254" t="str">
        <f t="shared" si="1"/>
        <v>saiiii</v>
      </c>
      <c r="X32" s="237"/>
      <c r="Y32" s="237"/>
    </row>
    <row r="33" spans="1:25" s="228" customFormat="1" ht="19.5" customHeight="1" x14ac:dyDescent="0.3">
      <c r="A33" s="253">
        <v>27</v>
      </c>
      <c r="B33" s="233" t="s">
        <v>14984</v>
      </c>
      <c r="C33" s="233" t="s">
        <v>12844</v>
      </c>
      <c r="D33" s="215" t="str">
        <f t="shared" si="0"/>
        <v>DKG&lt;-&gt;Nho Quan, Ninh Bình</v>
      </c>
      <c r="E33" s="234">
        <v>355</v>
      </c>
      <c r="F33" s="235">
        <v>1100000</v>
      </c>
      <c r="G33" s="294">
        <v>6150000</v>
      </c>
      <c r="H33" s="294">
        <v>5700000</v>
      </c>
      <c r="I33" s="236">
        <v>5650000</v>
      </c>
      <c r="J33" s="236">
        <v>5300000</v>
      </c>
      <c r="K33" s="236">
        <v>5650000</v>
      </c>
      <c r="L33" s="236">
        <v>5300000</v>
      </c>
      <c r="M33" s="236">
        <v>5900000</v>
      </c>
      <c r="N33" s="236">
        <v>5250000</v>
      </c>
      <c r="O33" s="236"/>
      <c r="P33" s="236"/>
      <c r="Q33" s="295">
        <v>5900000</v>
      </c>
      <c r="R33" s="294">
        <v>5250000</v>
      </c>
      <c r="S33" s="237" t="s">
        <v>12844</v>
      </c>
      <c r="T33" s="254" t="str">
        <f t="shared" si="1"/>
        <v>=</v>
      </c>
      <c r="X33" s="237"/>
      <c r="Y33" s="237"/>
    </row>
    <row r="34" spans="1:25" s="228" customFormat="1" ht="19.5" customHeight="1" x14ac:dyDescent="0.3">
      <c r="A34" s="253">
        <v>28</v>
      </c>
      <c r="B34" s="233" t="s">
        <v>14984</v>
      </c>
      <c r="C34" s="233" t="s">
        <v>12845</v>
      </c>
      <c r="D34" s="215" t="str">
        <f t="shared" si="0"/>
        <v>DKG&lt;-&gt;Kim Sơn, Ninh Bình</v>
      </c>
      <c r="E34" s="234">
        <v>327</v>
      </c>
      <c r="F34" s="235">
        <v>1100000</v>
      </c>
      <c r="G34" s="294">
        <v>6050000</v>
      </c>
      <c r="H34" s="294">
        <v>5650000</v>
      </c>
      <c r="I34" s="236">
        <v>5600000</v>
      </c>
      <c r="J34" s="236">
        <v>5300000</v>
      </c>
      <c r="K34" s="236">
        <v>5600000</v>
      </c>
      <c r="L34" s="236">
        <v>5300000</v>
      </c>
      <c r="M34" s="236">
        <v>5900000</v>
      </c>
      <c r="N34" s="236">
        <v>5300000</v>
      </c>
      <c r="O34" s="236"/>
      <c r="P34" s="236"/>
      <c r="Q34" s="295">
        <v>5900000</v>
      </c>
      <c r="R34" s="294">
        <v>5300000</v>
      </c>
      <c r="S34" s="237" t="s">
        <v>12845</v>
      </c>
      <c r="T34" s="254" t="str">
        <f t="shared" si="1"/>
        <v>=</v>
      </c>
      <c r="X34" s="237"/>
      <c r="Y34" s="237"/>
    </row>
    <row r="35" spans="1:25" s="228" customFormat="1" ht="19.5" customHeight="1" x14ac:dyDescent="0.3">
      <c r="A35" s="253">
        <v>29</v>
      </c>
      <c r="B35" s="233" t="s">
        <v>14984</v>
      </c>
      <c r="C35" s="233" t="s">
        <v>12846</v>
      </c>
      <c r="D35" s="215" t="str">
        <f t="shared" si="0"/>
        <v>DKG&lt;-&gt;Khánh Phú, Ninh Bình</v>
      </c>
      <c r="E35" s="234">
        <v>280</v>
      </c>
      <c r="F35" s="235">
        <v>1100000</v>
      </c>
      <c r="G35" s="294">
        <v>0</v>
      </c>
      <c r="H35" s="294">
        <v>0</v>
      </c>
      <c r="I35" s="236">
        <v>0</v>
      </c>
      <c r="J35" s="236">
        <v>0</v>
      </c>
      <c r="K35" s="236">
        <v>0</v>
      </c>
      <c r="L35" s="236">
        <v>0</v>
      </c>
      <c r="M35" s="236">
        <v>0</v>
      </c>
      <c r="N35" s="236">
        <v>0</v>
      </c>
      <c r="O35" s="236">
        <v>4140000</v>
      </c>
      <c r="P35" s="236"/>
      <c r="Q35" s="294">
        <v>0</v>
      </c>
      <c r="R35" s="294">
        <v>0</v>
      </c>
      <c r="S35" s="237" t="s">
        <v>12846</v>
      </c>
      <c r="T35" s="254" t="str">
        <f t="shared" si="1"/>
        <v>=</v>
      </c>
      <c r="X35" s="237"/>
      <c r="Y35" s="237"/>
    </row>
    <row r="36" spans="1:25" s="228" customFormat="1" ht="19.5" customHeight="1" x14ac:dyDescent="0.3">
      <c r="A36" s="253">
        <v>30</v>
      </c>
      <c r="B36" s="233" t="s">
        <v>14984</v>
      </c>
      <c r="C36" s="233" t="s">
        <v>12847</v>
      </c>
      <c r="D36" s="215" t="str">
        <f t="shared" si="0"/>
        <v>DKG&lt;-&gt;Ninh Phong, Ninh Bình</v>
      </c>
      <c r="E36" s="234">
        <v>290</v>
      </c>
      <c r="F36" s="235">
        <v>1100000</v>
      </c>
      <c r="G36" s="294">
        <v>0</v>
      </c>
      <c r="H36" s="294">
        <v>0</v>
      </c>
      <c r="I36" s="236">
        <v>0</v>
      </c>
      <c r="J36" s="236">
        <v>0</v>
      </c>
      <c r="K36" s="236">
        <v>0</v>
      </c>
      <c r="L36" s="236">
        <v>0</v>
      </c>
      <c r="M36" s="236">
        <v>0</v>
      </c>
      <c r="N36" s="236">
        <v>0</v>
      </c>
      <c r="O36" s="236">
        <v>4140000</v>
      </c>
      <c r="P36" s="236"/>
      <c r="Q36" s="294">
        <v>0</v>
      </c>
      <c r="R36" s="294">
        <v>0</v>
      </c>
      <c r="S36" s="237" t="s">
        <v>12847</v>
      </c>
      <c r="T36" s="254" t="str">
        <f t="shared" si="1"/>
        <v>=</v>
      </c>
      <c r="X36" s="237"/>
      <c r="Y36" s="237"/>
    </row>
    <row r="37" spans="1:25" s="228" customFormat="1" ht="19.5" customHeight="1" x14ac:dyDescent="0.3">
      <c r="A37" s="253">
        <v>31</v>
      </c>
      <c r="B37" s="233" t="s">
        <v>14984</v>
      </c>
      <c r="C37" s="233" t="s">
        <v>12848</v>
      </c>
      <c r="D37" s="215" t="str">
        <f t="shared" si="0"/>
        <v>DKG&lt;-&gt;Yên Khánh, Ninh Bình</v>
      </c>
      <c r="E37" s="234">
        <v>295</v>
      </c>
      <c r="F37" s="235">
        <v>1100000</v>
      </c>
      <c r="G37" s="294">
        <v>0</v>
      </c>
      <c r="H37" s="294">
        <v>0</v>
      </c>
      <c r="I37" s="236">
        <v>0</v>
      </c>
      <c r="J37" s="236">
        <v>0</v>
      </c>
      <c r="K37" s="236">
        <v>0</v>
      </c>
      <c r="L37" s="236">
        <v>0</v>
      </c>
      <c r="M37" s="236">
        <v>0</v>
      </c>
      <c r="N37" s="236">
        <v>0</v>
      </c>
      <c r="O37" s="236">
        <v>4140000</v>
      </c>
      <c r="P37" s="236"/>
      <c r="Q37" s="294">
        <v>0</v>
      </c>
      <c r="R37" s="294">
        <v>0</v>
      </c>
      <c r="S37" s="237" t="s">
        <v>12848</v>
      </c>
      <c r="T37" s="254" t="str">
        <f t="shared" si="1"/>
        <v>=</v>
      </c>
      <c r="X37" s="237"/>
      <c r="Y37" s="237"/>
    </row>
    <row r="38" spans="1:25" s="228" customFormat="1" ht="19.5" customHeight="1" x14ac:dyDescent="0.3">
      <c r="A38" s="253">
        <v>32</v>
      </c>
      <c r="B38" s="233" t="s">
        <v>13721</v>
      </c>
      <c r="C38" s="233" t="s">
        <v>12849</v>
      </c>
      <c r="D38" s="215" t="str">
        <f t="shared" si="0"/>
        <v>DKG&lt;-&gt;Bỉm Sơn, Thanh Hóa</v>
      </c>
      <c r="E38" s="234">
        <v>326</v>
      </c>
      <c r="F38" s="235">
        <v>1450000</v>
      </c>
      <c r="G38" s="294">
        <v>6950000</v>
      </c>
      <c r="H38" s="294">
        <v>6550000</v>
      </c>
      <c r="I38" s="236">
        <v>6600000</v>
      </c>
      <c r="J38" s="236">
        <v>6300000</v>
      </c>
      <c r="K38" s="236">
        <v>6600000</v>
      </c>
      <c r="L38" s="236">
        <v>6300000</v>
      </c>
      <c r="M38" s="236">
        <v>6900000</v>
      </c>
      <c r="N38" s="236">
        <v>6300000</v>
      </c>
      <c r="O38" s="236"/>
      <c r="P38" s="236"/>
      <c r="Q38" s="295">
        <v>6900000</v>
      </c>
      <c r="R38" s="294">
        <v>6300000</v>
      </c>
      <c r="S38" s="237" t="s">
        <v>12849</v>
      </c>
      <c r="T38" s="254" t="str">
        <f t="shared" si="1"/>
        <v>=</v>
      </c>
      <c r="X38" s="237"/>
      <c r="Y38" s="237"/>
    </row>
    <row r="39" spans="1:25" s="228" customFormat="1" ht="19.5" customHeight="1" x14ac:dyDescent="0.3">
      <c r="A39" s="253">
        <v>33</v>
      </c>
      <c r="B39" s="233" t="s">
        <v>13721</v>
      </c>
      <c r="C39" s="233" t="s">
        <v>12850</v>
      </c>
      <c r="D39" s="215" t="str">
        <f t="shared" si="0"/>
        <v>DKG&lt;-&gt;Hoằng Hóa, Thanh Hóa</v>
      </c>
      <c r="E39" s="234">
        <v>410</v>
      </c>
      <c r="F39" s="235">
        <v>1450000</v>
      </c>
      <c r="G39" s="294">
        <v>7400000</v>
      </c>
      <c r="H39" s="294">
        <v>6900000</v>
      </c>
      <c r="I39" s="236">
        <v>6900000</v>
      </c>
      <c r="J39" s="236">
        <v>6500000</v>
      </c>
      <c r="K39" s="236">
        <v>6900000</v>
      </c>
      <c r="L39" s="236">
        <v>6500000</v>
      </c>
      <c r="M39" s="236">
        <v>7050000</v>
      </c>
      <c r="N39" s="236">
        <v>6500000</v>
      </c>
      <c r="O39" s="236"/>
      <c r="P39" s="236" t="s">
        <v>14589</v>
      </c>
      <c r="Q39" s="295">
        <v>7050000</v>
      </c>
      <c r="R39" s="294">
        <v>6500000</v>
      </c>
      <c r="S39" s="237" t="s">
        <v>12850</v>
      </c>
      <c r="T39" s="254" t="str">
        <f t="shared" si="1"/>
        <v>=</v>
      </c>
      <c r="X39" s="237"/>
      <c r="Y39" s="237"/>
    </row>
    <row r="40" spans="1:25" s="228" customFormat="1" ht="19.5" customHeight="1" x14ac:dyDescent="0.3">
      <c r="A40" s="253">
        <v>34</v>
      </c>
      <c r="B40" s="233" t="s">
        <v>13721</v>
      </c>
      <c r="C40" s="233" t="s">
        <v>12851</v>
      </c>
      <c r="D40" s="215" t="str">
        <f t="shared" si="0"/>
        <v>DKG&lt;-&gt;Đông Sơn, Thanh Hóa</v>
      </c>
      <c r="E40" s="234">
        <v>440</v>
      </c>
      <c r="F40" s="235">
        <v>1450000</v>
      </c>
      <c r="G40" s="294">
        <v>7400000</v>
      </c>
      <c r="H40" s="294">
        <v>6900000</v>
      </c>
      <c r="I40" s="236">
        <v>7000000</v>
      </c>
      <c r="J40" s="236">
        <v>6600000</v>
      </c>
      <c r="K40" s="236">
        <v>7000000</v>
      </c>
      <c r="L40" s="236">
        <v>6600000</v>
      </c>
      <c r="M40" s="236">
        <v>7450000</v>
      </c>
      <c r="N40" s="236">
        <v>6550000</v>
      </c>
      <c r="O40" s="236"/>
      <c r="P40" s="236"/>
      <c r="Q40" s="295">
        <v>7450000</v>
      </c>
      <c r="R40" s="294">
        <v>6550000</v>
      </c>
      <c r="S40" s="237" t="s">
        <v>12851</v>
      </c>
      <c r="T40" s="254" t="str">
        <f t="shared" si="1"/>
        <v>=</v>
      </c>
      <c r="X40" s="237"/>
      <c r="Y40" s="237"/>
    </row>
    <row r="41" spans="1:25" s="228" customFormat="1" ht="19.5" customHeight="1" x14ac:dyDescent="0.3">
      <c r="A41" s="253">
        <v>35</v>
      </c>
      <c r="B41" s="233" t="s">
        <v>13721</v>
      </c>
      <c r="C41" s="233" t="s">
        <v>12832</v>
      </c>
      <c r="D41" s="215" t="str">
        <f t="shared" si="0"/>
        <v>DKG&lt;-&gt;TP. Thanh Hóa</v>
      </c>
      <c r="E41" s="234">
        <v>410</v>
      </c>
      <c r="F41" s="235">
        <v>1450000</v>
      </c>
      <c r="G41" s="294">
        <v>7400000</v>
      </c>
      <c r="H41" s="294">
        <v>6900000</v>
      </c>
      <c r="I41" s="236">
        <v>6900000</v>
      </c>
      <c r="J41" s="236">
        <v>6500000</v>
      </c>
      <c r="K41" s="236">
        <v>6900000</v>
      </c>
      <c r="L41" s="236">
        <v>6500000</v>
      </c>
      <c r="M41" s="236">
        <v>7300000</v>
      </c>
      <c r="N41" s="236">
        <v>6500000</v>
      </c>
      <c r="O41" s="236"/>
      <c r="P41" s="236"/>
      <c r="Q41" s="295">
        <v>7300000</v>
      </c>
      <c r="R41" s="294">
        <v>6500000</v>
      </c>
      <c r="S41" s="237" t="s">
        <v>13268</v>
      </c>
      <c r="T41" s="254" t="str">
        <f t="shared" si="1"/>
        <v>saiiii</v>
      </c>
      <c r="X41" s="237"/>
      <c r="Y41" s="237"/>
    </row>
    <row r="42" spans="1:25" s="228" customFormat="1" ht="19.5" customHeight="1" x14ac:dyDescent="0.3">
      <c r="A42" s="253">
        <v>36</v>
      </c>
      <c r="B42" s="233" t="s">
        <v>13721</v>
      </c>
      <c r="C42" s="233" t="s">
        <v>12852</v>
      </c>
      <c r="D42" s="215" t="str">
        <f t="shared" si="0"/>
        <v>DKG&lt;-&gt;Hà Trung, Thanh Hóa</v>
      </c>
      <c r="E42" s="234">
        <v>350</v>
      </c>
      <c r="F42" s="235">
        <v>1450000</v>
      </c>
      <c r="G42" s="294">
        <v>7100000</v>
      </c>
      <c r="H42" s="294">
        <v>6650000</v>
      </c>
      <c r="I42" s="236">
        <v>6600000</v>
      </c>
      <c r="J42" s="236">
        <v>6250000</v>
      </c>
      <c r="K42" s="236">
        <v>6600000</v>
      </c>
      <c r="L42" s="236">
        <v>6250000</v>
      </c>
      <c r="M42" s="236">
        <v>6850000</v>
      </c>
      <c r="N42" s="236">
        <v>6200000</v>
      </c>
      <c r="O42" s="236"/>
      <c r="P42" s="236"/>
      <c r="Q42" s="295">
        <v>6850000</v>
      </c>
      <c r="R42" s="294">
        <v>6200000</v>
      </c>
      <c r="S42" s="237" t="s">
        <v>12852</v>
      </c>
      <c r="T42" s="254" t="str">
        <f t="shared" si="1"/>
        <v>=</v>
      </c>
      <c r="X42" s="237"/>
      <c r="Y42" s="237"/>
    </row>
    <row r="43" spans="1:25" s="228" customFormat="1" ht="19.5" customHeight="1" x14ac:dyDescent="0.3">
      <c r="A43" s="253">
        <v>37</v>
      </c>
      <c r="B43" s="233" t="s">
        <v>13721</v>
      </c>
      <c r="C43" s="233" t="s">
        <v>12853</v>
      </c>
      <c r="D43" s="215" t="str">
        <f t="shared" si="0"/>
        <v>DKG&lt;-&gt;Hậu Lộc, Thanh Hóa</v>
      </c>
      <c r="E43" s="234">
        <v>384</v>
      </c>
      <c r="F43" s="235">
        <v>1450000</v>
      </c>
      <c r="G43" s="294">
        <v>7300000</v>
      </c>
      <c r="H43" s="294">
        <v>6850000</v>
      </c>
      <c r="I43" s="236">
        <v>6750000</v>
      </c>
      <c r="J43" s="236">
        <v>6400000</v>
      </c>
      <c r="K43" s="236">
        <v>6750000</v>
      </c>
      <c r="L43" s="236">
        <v>6400000</v>
      </c>
      <c r="M43" s="236">
        <v>7000000</v>
      </c>
      <c r="N43" s="236">
        <v>6400000</v>
      </c>
      <c r="O43" s="236"/>
      <c r="P43" s="236"/>
      <c r="Q43" s="295">
        <v>7000000</v>
      </c>
      <c r="R43" s="294">
        <v>6400000</v>
      </c>
      <c r="S43" s="237" t="s">
        <v>12853</v>
      </c>
      <c r="T43" s="254" t="str">
        <f t="shared" si="1"/>
        <v>=</v>
      </c>
      <c r="X43" s="237"/>
      <c r="Y43" s="237"/>
    </row>
    <row r="44" spans="1:25" s="228" customFormat="1" ht="19.5" customHeight="1" x14ac:dyDescent="0.3">
      <c r="A44" s="253">
        <v>38</v>
      </c>
      <c r="B44" s="233" t="s">
        <v>13721</v>
      </c>
      <c r="C44" s="233" t="s">
        <v>12854</v>
      </c>
      <c r="D44" s="215" t="str">
        <f t="shared" si="0"/>
        <v>DKG&lt;-&gt;Tĩnh Gia, Thanh Hóa</v>
      </c>
      <c r="E44" s="234">
        <v>490</v>
      </c>
      <c r="F44" s="235">
        <v>1450000</v>
      </c>
      <c r="G44" s="294">
        <v>8000000</v>
      </c>
      <c r="H44" s="294">
        <v>7450000</v>
      </c>
      <c r="I44" s="236">
        <v>7350000</v>
      </c>
      <c r="J44" s="236">
        <v>6850000</v>
      </c>
      <c r="K44" s="236">
        <v>7350000</v>
      </c>
      <c r="L44" s="236">
        <v>6850000</v>
      </c>
      <c r="M44" s="236">
        <v>7950000</v>
      </c>
      <c r="N44" s="236">
        <v>6800000</v>
      </c>
      <c r="O44" s="236">
        <v>6650000</v>
      </c>
      <c r="P44" s="236"/>
      <c r="Q44" s="295">
        <v>7950000</v>
      </c>
      <c r="R44" s="294">
        <v>6800000</v>
      </c>
      <c r="S44" s="237" t="s">
        <v>12854</v>
      </c>
      <c r="T44" s="254" t="str">
        <f t="shared" si="1"/>
        <v>=</v>
      </c>
      <c r="X44" s="237"/>
      <c r="Y44" s="237"/>
    </row>
    <row r="45" spans="1:25" s="228" customFormat="1" ht="19.5" customHeight="1" x14ac:dyDescent="0.3">
      <c r="A45" s="253">
        <v>39</v>
      </c>
      <c r="B45" s="233" t="s">
        <v>13721</v>
      </c>
      <c r="C45" s="233" t="s">
        <v>12855</v>
      </c>
      <c r="D45" s="215" t="str">
        <f t="shared" si="0"/>
        <v>DKG&lt;-&gt;Thọ Xuân, Thanh Hóa</v>
      </c>
      <c r="E45" s="234">
        <v>500</v>
      </c>
      <c r="F45" s="235">
        <v>1450000</v>
      </c>
      <c r="G45" s="294">
        <v>8150000</v>
      </c>
      <c r="H45" s="294">
        <v>7550000</v>
      </c>
      <c r="I45" s="236">
        <v>7450000</v>
      </c>
      <c r="J45" s="236">
        <v>6900000</v>
      </c>
      <c r="K45" s="236">
        <v>7450000</v>
      </c>
      <c r="L45" s="236">
        <v>6900000</v>
      </c>
      <c r="M45" s="236">
        <v>8100000</v>
      </c>
      <c r="N45" s="236">
        <v>6900000</v>
      </c>
      <c r="O45" s="236"/>
      <c r="P45" s="236" t="s">
        <v>13641</v>
      </c>
      <c r="Q45" s="295">
        <v>8100000</v>
      </c>
      <c r="R45" s="294">
        <v>6900000</v>
      </c>
      <c r="S45" s="237" t="s">
        <v>12855</v>
      </c>
      <c r="T45" s="254" t="str">
        <f t="shared" si="1"/>
        <v>=</v>
      </c>
      <c r="X45" s="237"/>
      <c r="Y45" s="237"/>
    </row>
    <row r="46" spans="1:25" s="228" customFormat="1" ht="19.5" customHeight="1" x14ac:dyDescent="0.3">
      <c r="A46" s="253">
        <v>40</v>
      </c>
      <c r="B46" s="233" t="s">
        <v>13721</v>
      </c>
      <c r="C46" s="233" t="s">
        <v>12856</v>
      </c>
      <c r="D46" s="215" t="str">
        <f t="shared" si="0"/>
        <v>DKG&lt;-&gt;Triệu Sơn, Thanh Hóa</v>
      </c>
      <c r="E46" s="234">
        <v>470</v>
      </c>
      <c r="F46" s="235">
        <v>1450000</v>
      </c>
      <c r="G46" s="294">
        <v>8100000</v>
      </c>
      <c r="H46" s="294">
        <v>7550000</v>
      </c>
      <c r="I46" s="236">
        <v>7450000</v>
      </c>
      <c r="J46" s="236">
        <v>6950000</v>
      </c>
      <c r="K46" s="236">
        <v>7450000</v>
      </c>
      <c r="L46" s="236">
        <v>6950000</v>
      </c>
      <c r="M46" s="236">
        <v>8050000</v>
      </c>
      <c r="N46" s="236">
        <v>6900000</v>
      </c>
      <c r="O46" s="236">
        <v>6000000</v>
      </c>
      <c r="P46" s="236"/>
      <c r="Q46" s="295">
        <v>8050000</v>
      </c>
      <c r="R46" s="294">
        <v>6900000</v>
      </c>
      <c r="S46" s="237" t="s">
        <v>12856</v>
      </c>
      <c r="T46" s="254" t="str">
        <f t="shared" si="1"/>
        <v>=</v>
      </c>
      <c r="X46" s="237"/>
      <c r="Y46" s="237"/>
    </row>
    <row r="47" spans="1:25" s="228" customFormat="1" ht="19.5" customHeight="1" x14ac:dyDescent="0.3">
      <c r="A47" s="253">
        <v>41</v>
      </c>
      <c r="B47" s="233" t="s">
        <v>13721</v>
      </c>
      <c r="C47" s="233" t="s">
        <v>12857</v>
      </c>
      <c r="D47" s="215" t="str">
        <f t="shared" si="0"/>
        <v>DKG&lt;-&gt;Yên Định, Thanh Hóa</v>
      </c>
      <c r="E47" s="234">
        <v>425</v>
      </c>
      <c r="F47" s="235">
        <v>1450000</v>
      </c>
      <c r="G47" s="294">
        <v>7800000</v>
      </c>
      <c r="H47" s="294">
        <v>7300000</v>
      </c>
      <c r="I47" s="236">
        <v>7150000</v>
      </c>
      <c r="J47" s="236">
        <v>6750000</v>
      </c>
      <c r="K47" s="236">
        <v>7150000</v>
      </c>
      <c r="L47" s="236">
        <v>6750000</v>
      </c>
      <c r="M47" s="236">
        <v>7400000</v>
      </c>
      <c r="N47" s="236">
        <v>6700000</v>
      </c>
      <c r="O47" s="236"/>
      <c r="P47" s="236"/>
      <c r="Q47" s="295">
        <v>7400000</v>
      </c>
      <c r="R47" s="294">
        <v>6700000</v>
      </c>
      <c r="S47" s="237" t="s">
        <v>12857</v>
      </c>
      <c r="T47" s="254" t="str">
        <f t="shared" si="1"/>
        <v>=</v>
      </c>
      <c r="X47" s="237"/>
      <c r="Y47" s="237"/>
    </row>
    <row r="48" spans="1:25" s="228" customFormat="1" ht="19.5" customHeight="1" x14ac:dyDescent="0.3">
      <c r="A48" s="253">
        <v>42</v>
      </c>
      <c r="B48" s="233" t="s">
        <v>13721</v>
      </c>
      <c r="C48" s="233" t="s">
        <v>12858</v>
      </c>
      <c r="D48" s="215" t="str">
        <f t="shared" si="0"/>
        <v>DKG&lt;-&gt;Quảng Xương, Thanh Hóa</v>
      </c>
      <c r="E48" s="234">
        <v>445</v>
      </c>
      <c r="F48" s="235">
        <v>1450000</v>
      </c>
      <c r="G48" s="294">
        <v>7950000</v>
      </c>
      <c r="H48" s="294">
        <v>7400000</v>
      </c>
      <c r="I48" s="236">
        <v>7300000</v>
      </c>
      <c r="J48" s="236">
        <v>6850000</v>
      </c>
      <c r="K48" s="236">
        <v>7300000</v>
      </c>
      <c r="L48" s="236">
        <v>6850000</v>
      </c>
      <c r="M48" s="236">
        <v>7600000</v>
      </c>
      <c r="N48" s="236">
        <v>6850000</v>
      </c>
      <c r="O48" s="236"/>
      <c r="P48" s="236"/>
      <c r="Q48" s="295">
        <v>7600000</v>
      </c>
      <c r="R48" s="294">
        <v>6850000</v>
      </c>
      <c r="S48" s="237" t="s">
        <v>12858</v>
      </c>
      <c r="T48" s="254" t="str">
        <f t="shared" si="1"/>
        <v>=</v>
      </c>
      <c r="X48" s="237"/>
      <c r="Y48" s="237"/>
    </row>
    <row r="49" spans="1:25" s="228" customFormat="1" ht="19.5" customHeight="1" x14ac:dyDescent="0.3">
      <c r="A49" s="253">
        <v>43</v>
      </c>
      <c r="B49" s="233" t="s">
        <v>13721</v>
      </c>
      <c r="C49" s="233" t="s">
        <v>12859</v>
      </c>
      <c r="D49" s="215" t="str">
        <f t="shared" si="0"/>
        <v>DKG&lt;-&gt;Sầm Sơn, Thanh Hóa</v>
      </c>
      <c r="E49" s="234">
        <v>430</v>
      </c>
      <c r="F49" s="235">
        <v>1450000</v>
      </c>
      <c r="G49" s="294">
        <v>7850000</v>
      </c>
      <c r="H49" s="294">
        <v>7350000</v>
      </c>
      <c r="I49" s="236">
        <v>7200000</v>
      </c>
      <c r="J49" s="236">
        <v>6800000</v>
      </c>
      <c r="K49" s="236">
        <v>7200000</v>
      </c>
      <c r="L49" s="236">
        <v>6800000</v>
      </c>
      <c r="M49" s="236">
        <v>7450000</v>
      </c>
      <c r="N49" s="236">
        <v>6750000</v>
      </c>
      <c r="O49" s="236"/>
      <c r="P49" s="236"/>
      <c r="Q49" s="295">
        <v>7450000</v>
      </c>
      <c r="R49" s="294">
        <v>6750000</v>
      </c>
      <c r="S49" s="237" t="s">
        <v>12859</v>
      </c>
      <c r="T49" s="254" t="str">
        <f t="shared" si="1"/>
        <v>=</v>
      </c>
      <c r="X49" s="237"/>
      <c r="Y49" s="237"/>
    </row>
    <row r="50" spans="1:25" s="228" customFormat="1" ht="21.9" customHeight="1" x14ac:dyDescent="0.3">
      <c r="A50" s="253">
        <v>44</v>
      </c>
      <c r="B50" s="233" t="s">
        <v>13721</v>
      </c>
      <c r="C50" s="233" t="s">
        <v>12860</v>
      </c>
      <c r="D50" s="215" t="str">
        <f t="shared" si="0"/>
        <v>DKG&lt;-&gt;Thiệu Hóa, Thanh Hóa</v>
      </c>
      <c r="E50" s="234">
        <v>450</v>
      </c>
      <c r="F50" s="235">
        <v>1450000</v>
      </c>
      <c r="G50" s="294">
        <v>7950000</v>
      </c>
      <c r="H50" s="294">
        <v>7400000</v>
      </c>
      <c r="I50" s="236">
        <v>7350000</v>
      </c>
      <c r="J50" s="236">
        <v>6850000</v>
      </c>
      <c r="K50" s="236">
        <v>7350000</v>
      </c>
      <c r="L50" s="236">
        <v>6850000</v>
      </c>
      <c r="M50" s="236">
        <v>8000000</v>
      </c>
      <c r="N50" s="236">
        <v>6850000</v>
      </c>
      <c r="O50" s="236"/>
      <c r="P50" s="236"/>
      <c r="Q50" s="295">
        <v>8000000</v>
      </c>
      <c r="R50" s="294">
        <v>6850000</v>
      </c>
      <c r="S50" s="237" t="s">
        <v>12860</v>
      </c>
      <c r="T50" s="254" t="str">
        <f t="shared" si="1"/>
        <v>=</v>
      </c>
      <c r="X50" s="237"/>
      <c r="Y50" s="237"/>
    </row>
    <row r="51" spans="1:25" s="228" customFormat="1" ht="19.5" customHeight="1" x14ac:dyDescent="0.3">
      <c r="A51" s="253">
        <v>45</v>
      </c>
      <c r="B51" s="233" t="s">
        <v>13721</v>
      </c>
      <c r="C51" s="233" t="s">
        <v>12861</v>
      </c>
      <c r="D51" s="215" t="str">
        <f t="shared" si="0"/>
        <v>DKG&lt;-&gt;Nông Cống, Thanh Hóa</v>
      </c>
      <c r="E51" s="234">
        <v>490</v>
      </c>
      <c r="F51" s="235">
        <v>1450000</v>
      </c>
      <c r="G51" s="294">
        <v>8000000</v>
      </c>
      <c r="H51" s="294">
        <v>7450000</v>
      </c>
      <c r="I51" s="236">
        <v>7750000</v>
      </c>
      <c r="J51" s="236">
        <v>7250000</v>
      </c>
      <c r="K51" s="236">
        <v>7750000</v>
      </c>
      <c r="L51" s="236">
        <v>7250000</v>
      </c>
      <c r="M51" s="236">
        <v>7950000</v>
      </c>
      <c r="N51" s="236">
        <v>7200000</v>
      </c>
      <c r="O51" s="236"/>
      <c r="P51" s="236" t="s">
        <v>13603</v>
      </c>
      <c r="Q51" s="295">
        <v>7950000</v>
      </c>
      <c r="R51" s="294">
        <v>7200000</v>
      </c>
      <c r="S51" s="237" t="s">
        <v>12861</v>
      </c>
      <c r="T51" s="254" t="str">
        <f t="shared" si="1"/>
        <v>=</v>
      </c>
      <c r="X51" s="237"/>
      <c r="Y51" s="237"/>
    </row>
    <row r="52" spans="1:25" s="228" customFormat="1" ht="19.5" customHeight="1" x14ac:dyDescent="0.3">
      <c r="A52" s="253">
        <v>46</v>
      </c>
      <c r="B52" s="233" t="s">
        <v>14985</v>
      </c>
      <c r="C52" s="233" t="s">
        <v>12862</v>
      </c>
      <c r="D52" s="215" t="str">
        <f t="shared" si="0"/>
        <v>DKG&lt;-&gt;Quỳnh Lưu, Nghệ An</v>
      </c>
      <c r="E52" s="234">
        <v>550</v>
      </c>
      <c r="F52" s="235">
        <v>1900000</v>
      </c>
      <c r="G52" s="391">
        <v>9500000</v>
      </c>
      <c r="H52" s="392">
        <v>8500000</v>
      </c>
      <c r="I52" s="236">
        <v>9000000</v>
      </c>
      <c r="J52" s="236">
        <v>8350000</v>
      </c>
      <c r="K52" s="236">
        <v>9000000</v>
      </c>
      <c r="L52" s="236">
        <v>8350000</v>
      </c>
      <c r="M52" s="236">
        <v>9500000</v>
      </c>
      <c r="N52" s="236">
        <v>8300000</v>
      </c>
      <c r="O52" s="236"/>
      <c r="P52" s="236"/>
      <c r="Q52" s="295">
        <v>9500000</v>
      </c>
      <c r="R52" s="294">
        <v>8300000</v>
      </c>
      <c r="S52" s="237" t="s">
        <v>12862</v>
      </c>
      <c r="T52" s="254" t="str">
        <f t="shared" si="1"/>
        <v>=</v>
      </c>
      <c r="U52" s="390" t="s">
        <v>12862</v>
      </c>
      <c r="V52" s="390">
        <v>550</v>
      </c>
      <c r="W52" s="390">
        <v>9500000</v>
      </c>
      <c r="X52" s="237"/>
      <c r="Y52" s="237"/>
    </row>
    <row r="53" spans="1:25" s="228" customFormat="1" ht="19.5" customHeight="1" x14ac:dyDescent="0.3">
      <c r="A53" s="253">
        <v>47</v>
      </c>
      <c r="B53" s="233" t="s">
        <v>14985</v>
      </c>
      <c r="C53" s="233" t="s">
        <v>12863</v>
      </c>
      <c r="D53" s="215" t="str">
        <f t="shared" si="0"/>
        <v>DKG&lt;-&gt;Diễn Châu, Nghệ An</v>
      </c>
      <c r="E53" s="234">
        <v>612</v>
      </c>
      <c r="F53" s="235">
        <v>1900000</v>
      </c>
      <c r="G53" s="391">
        <v>9500000</v>
      </c>
      <c r="H53" s="392">
        <v>8500000</v>
      </c>
      <c r="I53" s="236">
        <v>9700000</v>
      </c>
      <c r="J53" s="236">
        <v>9000000</v>
      </c>
      <c r="K53" s="236">
        <v>9700000</v>
      </c>
      <c r="L53" s="236">
        <v>9000000</v>
      </c>
      <c r="M53" s="236">
        <v>10300000</v>
      </c>
      <c r="N53" s="236">
        <v>8950000</v>
      </c>
      <c r="O53" s="236"/>
      <c r="P53" s="236"/>
      <c r="Q53" s="295">
        <v>10300000</v>
      </c>
      <c r="R53" s="294">
        <v>8950000</v>
      </c>
      <c r="S53" s="237" t="s">
        <v>12863</v>
      </c>
      <c r="T53" s="254" t="str">
        <f t="shared" si="1"/>
        <v>=</v>
      </c>
      <c r="U53" s="390" t="s">
        <v>12863</v>
      </c>
      <c r="V53" s="390">
        <v>612</v>
      </c>
      <c r="W53" s="390">
        <v>9500000</v>
      </c>
      <c r="X53" s="237"/>
      <c r="Y53" s="237"/>
    </row>
    <row r="54" spans="1:25" s="228" customFormat="1" ht="19.5" customHeight="1" x14ac:dyDescent="0.3">
      <c r="A54" s="253">
        <v>48</v>
      </c>
      <c r="B54" s="233" t="s">
        <v>14985</v>
      </c>
      <c r="C54" s="233" t="s">
        <v>12864</v>
      </c>
      <c r="D54" s="215" t="str">
        <f t="shared" si="0"/>
        <v>DKG&lt;-&gt;Yên Thành, Nghệ An</v>
      </c>
      <c r="E54" s="234">
        <v>640</v>
      </c>
      <c r="F54" s="235">
        <v>1900000</v>
      </c>
      <c r="G54" s="391">
        <v>10000000</v>
      </c>
      <c r="H54" s="392">
        <v>9000000</v>
      </c>
      <c r="I54" s="236">
        <v>9650000</v>
      </c>
      <c r="J54" s="236">
        <v>8950000</v>
      </c>
      <c r="K54" s="236">
        <v>9650000</v>
      </c>
      <c r="L54" s="236">
        <v>8950000</v>
      </c>
      <c r="M54" s="236">
        <v>10250000</v>
      </c>
      <c r="N54" s="236">
        <v>8900000</v>
      </c>
      <c r="O54" s="236"/>
      <c r="P54" s="236"/>
      <c r="Q54" s="295">
        <v>10250000</v>
      </c>
      <c r="R54" s="294">
        <v>8900000</v>
      </c>
      <c r="S54" s="237" t="s">
        <v>12864</v>
      </c>
      <c r="T54" s="254" t="str">
        <f t="shared" si="1"/>
        <v>=</v>
      </c>
      <c r="U54" s="390" t="s">
        <v>15051</v>
      </c>
      <c r="V54" s="390">
        <v>640</v>
      </c>
      <c r="W54" s="390">
        <v>10000000</v>
      </c>
      <c r="X54" s="237"/>
      <c r="Y54" s="237"/>
    </row>
    <row r="55" spans="1:25" s="228" customFormat="1" ht="19.5" customHeight="1" x14ac:dyDescent="0.3">
      <c r="A55" s="253">
        <v>49</v>
      </c>
      <c r="B55" s="233" t="s">
        <v>14985</v>
      </c>
      <c r="C55" s="233" t="s">
        <v>12865</v>
      </c>
      <c r="D55" s="215" t="str">
        <f t="shared" si="0"/>
        <v>DKG&lt;-&gt;Cầu Bến Thủy, Nghệ An</v>
      </c>
      <c r="E55" s="234">
        <v>700</v>
      </c>
      <c r="F55" s="235">
        <v>1900000</v>
      </c>
      <c r="G55" s="391">
        <v>10600000</v>
      </c>
      <c r="H55" s="392">
        <v>9600000</v>
      </c>
      <c r="I55" s="236">
        <v>10950000</v>
      </c>
      <c r="J55" s="236">
        <v>10200000</v>
      </c>
      <c r="K55" s="236">
        <v>10950000</v>
      </c>
      <c r="L55" s="236">
        <v>10200000</v>
      </c>
      <c r="M55" s="236">
        <v>11500000</v>
      </c>
      <c r="N55" s="236">
        <v>10150000</v>
      </c>
      <c r="O55" s="236"/>
      <c r="P55" s="236"/>
      <c r="Q55" s="295">
        <v>11500000</v>
      </c>
      <c r="R55" s="294">
        <v>10150000</v>
      </c>
      <c r="S55" s="237" t="s">
        <v>12865</v>
      </c>
      <c r="T55" s="254" t="str">
        <f t="shared" si="1"/>
        <v>=</v>
      </c>
      <c r="U55" s="390" t="s">
        <v>12865</v>
      </c>
      <c r="V55" s="390">
        <v>700</v>
      </c>
      <c r="W55" s="390">
        <v>10600000</v>
      </c>
      <c r="X55" s="237"/>
      <c r="Y55" s="237"/>
    </row>
    <row r="56" spans="1:25" s="228" customFormat="1" ht="19.5" customHeight="1" x14ac:dyDescent="0.3">
      <c r="A56" s="253">
        <v>50</v>
      </c>
      <c r="B56" s="233" t="s">
        <v>14985</v>
      </c>
      <c r="C56" s="233" t="s">
        <v>12866</v>
      </c>
      <c r="D56" s="215" t="str">
        <f t="shared" si="0"/>
        <v>DKG&lt;-&gt;Hưng Nguyên, Nghệ An</v>
      </c>
      <c r="E56" s="234">
        <v>690</v>
      </c>
      <c r="F56" s="235">
        <v>1900000</v>
      </c>
      <c r="G56" s="391">
        <v>10500000</v>
      </c>
      <c r="H56" s="392">
        <v>9500000</v>
      </c>
      <c r="I56" s="236">
        <v>10850000</v>
      </c>
      <c r="J56" s="236">
        <v>10100000</v>
      </c>
      <c r="K56" s="236">
        <v>10850000</v>
      </c>
      <c r="L56" s="236">
        <v>10100000</v>
      </c>
      <c r="M56" s="236">
        <v>11400000</v>
      </c>
      <c r="N56" s="236">
        <v>10050000</v>
      </c>
      <c r="O56" s="236"/>
      <c r="P56" s="236"/>
      <c r="Q56" s="295">
        <v>11400000</v>
      </c>
      <c r="R56" s="294">
        <v>10050000</v>
      </c>
      <c r="S56" s="237" t="s">
        <v>12866</v>
      </c>
      <c r="T56" s="254" t="str">
        <f t="shared" si="1"/>
        <v>=</v>
      </c>
      <c r="U56" s="390" t="s">
        <v>12866</v>
      </c>
      <c r="V56" s="390">
        <v>690</v>
      </c>
      <c r="W56" s="390">
        <v>10500000</v>
      </c>
      <c r="X56" s="237"/>
      <c r="Y56" s="237"/>
    </row>
    <row r="57" spans="1:25" s="228" customFormat="1" ht="19.5" customHeight="1" x14ac:dyDescent="0.3">
      <c r="A57" s="253">
        <v>51</v>
      </c>
      <c r="B57" s="233" t="s">
        <v>14985</v>
      </c>
      <c r="C57" s="233" t="s">
        <v>12867</v>
      </c>
      <c r="D57" s="215" t="str">
        <f t="shared" si="0"/>
        <v>DKG&lt;-&gt;Nam Đàn, Nghệ An</v>
      </c>
      <c r="E57" s="234">
        <v>720</v>
      </c>
      <c r="F57" s="235">
        <v>1900000</v>
      </c>
      <c r="G57" s="391">
        <v>10500000</v>
      </c>
      <c r="H57" s="392">
        <v>9500000</v>
      </c>
      <c r="I57" s="236">
        <v>11000000</v>
      </c>
      <c r="J57" s="236">
        <v>10200000</v>
      </c>
      <c r="K57" s="236">
        <v>11000000</v>
      </c>
      <c r="L57" s="236">
        <v>10200000</v>
      </c>
      <c r="M57" s="236">
        <v>11550000</v>
      </c>
      <c r="N57" s="236">
        <v>10150000</v>
      </c>
      <c r="O57" s="236"/>
      <c r="P57" s="236"/>
      <c r="Q57" s="295">
        <v>11550000</v>
      </c>
      <c r="R57" s="294">
        <v>10150000</v>
      </c>
      <c r="S57" s="237" t="s">
        <v>12867</v>
      </c>
      <c r="T57" s="254" t="str">
        <f t="shared" si="1"/>
        <v>=</v>
      </c>
      <c r="U57" s="390" t="s">
        <v>12867</v>
      </c>
      <c r="V57" s="390">
        <v>720</v>
      </c>
      <c r="W57" s="390">
        <v>10500000</v>
      </c>
      <c r="X57" s="237"/>
      <c r="Y57" s="237"/>
    </row>
    <row r="58" spans="1:25" s="228" customFormat="1" ht="19.5" customHeight="1" x14ac:dyDescent="0.3">
      <c r="A58" s="253">
        <v>52</v>
      </c>
      <c r="B58" s="233" t="s">
        <v>14985</v>
      </c>
      <c r="C58" s="233" t="s">
        <v>12868</v>
      </c>
      <c r="D58" s="215" t="str">
        <f t="shared" si="0"/>
        <v>DKG&lt;-&gt;Nghi Lộc, Nghệ An</v>
      </c>
      <c r="E58" s="234">
        <v>685</v>
      </c>
      <c r="F58" s="235">
        <v>1900000</v>
      </c>
      <c r="G58" s="391">
        <v>10200000</v>
      </c>
      <c r="H58" s="392">
        <v>9200000</v>
      </c>
      <c r="I58" s="236">
        <v>10800000</v>
      </c>
      <c r="J58" s="236">
        <v>10050000</v>
      </c>
      <c r="K58" s="236">
        <v>10800000</v>
      </c>
      <c r="L58" s="236">
        <v>10050000</v>
      </c>
      <c r="M58" s="236">
        <v>10750000</v>
      </c>
      <c r="N58" s="236">
        <v>10000000</v>
      </c>
      <c r="O58" s="236"/>
      <c r="P58" s="236"/>
      <c r="Q58" s="294">
        <v>10750000</v>
      </c>
      <c r="R58" s="294">
        <v>10000000</v>
      </c>
      <c r="S58" s="237" t="s">
        <v>12868</v>
      </c>
      <c r="T58" s="254" t="str">
        <f t="shared" si="1"/>
        <v>=</v>
      </c>
      <c r="U58" s="390" t="s">
        <v>12868</v>
      </c>
      <c r="V58" s="390">
        <v>685</v>
      </c>
      <c r="W58" s="390">
        <v>10200000</v>
      </c>
      <c r="X58" s="237"/>
      <c r="Y58" s="237"/>
    </row>
    <row r="59" spans="1:25" s="228" customFormat="1" ht="19.5" customHeight="1" x14ac:dyDescent="0.3">
      <c r="A59" s="253">
        <v>53</v>
      </c>
      <c r="B59" s="233" t="s">
        <v>14985</v>
      </c>
      <c r="C59" s="233" t="s">
        <v>12869</v>
      </c>
      <c r="D59" s="215" t="str">
        <f t="shared" si="0"/>
        <v>DKG&lt;-&gt;Cửa Lò, Nghệ An</v>
      </c>
      <c r="E59" s="234">
        <v>665</v>
      </c>
      <c r="F59" s="235">
        <v>1900000</v>
      </c>
      <c r="G59" s="391">
        <v>10500000</v>
      </c>
      <c r="H59" s="392">
        <v>9500000</v>
      </c>
      <c r="I59" s="236">
        <v>10900000</v>
      </c>
      <c r="J59" s="236">
        <v>10150000</v>
      </c>
      <c r="K59" s="236">
        <v>10900000</v>
      </c>
      <c r="L59" s="236">
        <v>10150000</v>
      </c>
      <c r="M59" s="236">
        <v>11500000</v>
      </c>
      <c r="N59" s="236">
        <v>10150000</v>
      </c>
      <c r="O59" s="236"/>
      <c r="P59" s="236"/>
      <c r="Q59" s="295">
        <v>11500000</v>
      </c>
      <c r="R59" s="294">
        <v>10150000</v>
      </c>
      <c r="S59" s="237" t="s">
        <v>12869</v>
      </c>
      <c r="T59" s="254" t="str">
        <f t="shared" si="1"/>
        <v>=</v>
      </c>
      <c r="U59" s="390" t="s">
        <v>12869</v>
      </c>
      <c r="V59" s="390">
        <v>665</v>
      </c>
      <c r="W59" s="390">
        <v>10500000</v>
      </c>
      <c r="X59" s="237"/>
      <c r="Y59" s="237"/>
    </row>
    <row r="60" spans="1:25" s="228" customFormat="1" ht="19.5" customHeight="1" x14ac:dyDescent="0.3">
      <c r="A60" s="253">
        <v>54</v>
      </c>
      <c r="B60" s="233" t="s">
        <v>14985</v>
      </c>
      <c r="C60" s="233" t="s">
        <v>12832</v>
      </c>
      <c r="D60" s="215" t="str">
        <f t="shared" si="0"/>
        <v>DKG&lt;-&gt;TP. Nghệ An</v>
      </c>
      <c r="E60" s="234">
        <v>690</v>
      </c>
      <c r="F60" s="235">
        <v>1900000</v>
      </c>
      <c r="G60" s="391">
        <v>10500000</v>
      </c>
      <c r="H60" s="392">
        <v>9500000</v>
      </c>
      <c r="I60" s="236">
        <v>10850000</v>
      </c>
      <c r="J60" s="236">
        <v>10100000</v>
      </c>
      <c r="K60" s="236">
        <v>10850000</v>
      </c>
      <c r="L60" s="236">
        <v>10100000</v>
      </c>
      <c r="M60" s="236">
        <v>11400000</v>
      </c>
      <c r="N60" s="236">
        <v>10050000</v>
      </c>
      <c r="O60" s="236"/>
      <c r="P60" s="236"/>
      <c r="Q60" s="295">
        <v>11400000</v>
      </c>
      <c r="R60" s="294">
        <v>10050000</v>
      </c>
      <c r="S60" s="237" t="s">
        <v>12870</v>
      </c>
      <c r="T60" s="254" t="str">
        <f t="shared" si="1"/>
        <v>saiiii</v>
      </c>
      <c r="U60" s="390" t="s">
        <v>12870</v>
      </c>
      <c r="V60" s="390">
        <v>690</v>
      </c>
      <c r="W60" s="390">
        <v>10500000</v>
      </c>
      <c r="X60" s="237"/>
      <c r="Y60" s="237"/>
    </row>
    <row r="61" spans="1:25" s="228" customFormat="1" ht="19.5" customHeight="1" x14ac:dyDescent="0.3">
      <c r="A61" s="253">
        <v>55</v>
      </c>
      <c r="B61" s="233" t="s">
        <v>14985</v>
      </c>
      <c r="C61" s="233" t="s">
        <v>12871</v>
      </c>
      <c r="D61" s="215" t="str">
        <f t="shared" si="0"/>
        <v>DKG&lt;-&gt;Đô Lương, Nghệ An</v>
      </c>
      <c r="E61" s="234">
        <v>660</v>
      </c>
      <c r="F61" s="235">
        <v>1900000</v>
      </c>
      <c r="G61" s="391">
        <v>10200000</v>
      </c>
      <c r="H61" s="392">
        <v>9200000</v>
      </c>
      <c r="I61" s="236">
        <v>10900000</v>
      </c>
      <c r="J61" s="236">
        <v>10150000</v>
      </c>
      <c r="K61" s="236">
        <v>10900000</v>
      </c>
      <c r="L61" s="236">
        <v>10150000</v>
      </c>
      <c r="M61" s="236">
        <v>10900000</v>
      </c>
      <c r="N61" s="236">
        <v>10150000</v>
      </c>
      <c r="O61" s="236"/>
      <c r="P61" s="236"/>
      <c r="Q61" s="294">
        <v>10900000</v>
      </c>
      <c r="R61" s="294">
        <v>10150000</v>
      </c>
      <c r="S61" s="237" t="s">
        <v>12871</v>
      </c>
      <c r="T61" s="254" t="str">
        <f t="shared" si="1"/>
        <v>=</v>
      </c>
      <c r="U61" s="390" t="s">
        <v>12871</v>
      </c>
      <c r="V61" s="390">
        <v>660</v>
      </c>
      <c r="W61" s="390">
        <v>10200000</v>
      </c>
      <c r="X61" s="237"/>
      <c r="Y61" s="237"/>
    </row>
    <row r="62" spans="1:25" s="228" customFormat="1" ht="19.5" customHeight="1" x14ac:dyDescent="0.3">
      <c r="A62" s="253">
        <v>56</v>
      </c>
      <c r="B62" s="233" t="s">
        <v>14986</v>
      </c>
      <c r="C62" s="233" t="s">
        <v>12872</v>
      </c>
      <c r="D62" s="215" t="str">
        <f t="shared" si="0"/>
        <v>DKG&lt;-&gt;Hồng Lĩnh, Hà Tĩnh</v>
      </c>
      <c r="E62" s="234">
        <v>730</v>
      </c>
      <c r="F62" s="235">
        <v>2400000</v>
      </c>
      <c r="G62" s="294">
        <v>14200000</v>
      </c>
      <c r="H62" s="294">
        <v>12550000</v>
      </c>
      <c r="I62" s="236">
        <v>13900000</v>
      </c>
      <c r="J62" s="236">
        <v>12450000</v>
      </c>
      <c r="K62" s="236">
        <v>13900000</v>
      </c>
      <c r="L62" s="236">
        <v>12450000</v>
      </c>
      <c r="M62" s="236">
        <v>13900000</v>
      </c>
      <c r="N62" s="236">
        <v>12400000</v>
      </c>
      <c r="O62" s="236"/>
      <c r="P62" s="236"/>
      <c r="Q62" s="295">
        <v>13900000</v>
      </c>
      <c r="R62" s="294">
        <v>12400000</v>
      </c>
      <c r="S62" s="237" t="s">
        <v>12872</v>
      </c>
      <c r="T62" s="254" t="str">
        <f t="shared" si="1"/>
        <v>=</v>
      </c>
      <c r="X62" s="237"/>
      <c r="Y62" s="237"/>
    </row>
    <row r="63" spans="1:25" s="228" customFormat="1" ht="19.5" customHeight="1" x14ac:dyDescent="0.3">
      <c r="A63" s="253">
        <v>57</v>
      </c>
      <c r="B63" s="233" t="s">
        <v>14986</v>
      </c>
      <c r="C63" s="233" t="s">
        <v>12873</v>
      </c>
      <c r="D63" s="215" t="str">
        <f t="shared" si="0"/>
        <v>DKG&lt;-&gt;Nghi Xuân, Hà Tĩnh</v>
      </c>
      <c r="E63" s="234">
        <v>735</v>
      </c>
      <c r="F63" s="235">
        <v>2400000</v>
      </c>
      <c r="G63" s="294">
        <v>14250000</v>
      </c>
      <c r="H63" s="294">
        <v>12600000</v>
      </c>
      <c r="I63" s="236">
        <v>13950000</v>
      </c>
      <c r="J63" s="236">
        <v>12500000</v>
      </c>
      <c r="K63" s="236">
        <v>13950000</v>
      </c>
      <c r="L63" s="236">
        <v>12500000</v>
      </c>
      <c r="M63" s="236">
        <v>13950000</v>
      </c>
      <c r="N63" s="236">
        <v>12450000</v>
      </c>
      <c r="O63" s="236"/>
      <c r="P63" s="236"/>
      <c r="Q63" s="295">
        <v>13950000</v>
      </c>
      <c r="R63" s="294">
        <v>12450000</v>
      </c>
      <c r="S63" s="237" t="s">
        <v>12873</v>
      </c>
      <c r="T63" s="254" t="str">
        <f t="shared" si="1"/>
        <v>=</v>
      </c>
      <c r="X63" s="237"/>
      <c r="Y63" s="237"/>
    </row>
    <row r="64" spans="1:25" s="228" customFormat="1" ht="19.5" customHeight="1" x14ac:dyDescent="0.3">
      <c r="A64" s="253">
        <v>58</v>
      </c>
      <c r="B64" s="233" t="s">
        <v>14986</v>
      </c>
      <c r="C64" s="233" t="s">
        <v>12832</v>
      </c>
      <c r="D64" s="215" t="str">
        <f t="shared" si="0"/>
        <v>DKG&lt;-&gt;TP. Hà Tĩnh</v>
      </c>
      <c r="E64" s="234">
        <v>790</v>
      </c>
      <c r="F64" s="235">
        <v>2400000</v>
      </c>
      <c r="G64" s="294">
        <v>14800000</v>
      </c>
      <c r="H64" s="294">
        <v>13100000</v>
      </c>
      <c r="I64" s="236">
        <v>14000000</v>
      </c>
      <c r="J64" s="236">
        <v>12500000</v>
      </c>
      <c r="K64" s="236">
        <v>14000000</v>
      </c>
      <c r="L64" s="236">
        <v>12500000</v>
      </c>
      <c r="M64" s="236">
        <v>14050000</v>
      </c>
      <c r="N64" s="236">
        <v>12500000</v>
      </c>
      <c r="O64" s="236"/>
      <c r="P64" s="236" t="s">
        <v>14580</v>
      </c>
      <c r="Q64" s="295">
        <v>14050000</v>
      </c>
      <c r="R64" s="294">
        <v>12500000</v>
      </c>
      <c r="S64" s="237" t="s">
        <v>13269</v>
      </c>
      <c r="T64" s="254" t="str">
        <f t="shared" si="1"/>
        <v>saiiii</v>
      </c>
      <c r="X64" s="237"/>
      <c r="Y64" s="237"/>
    </row>
    <row r="65" spans="1:25" s="228" customFormat="1" ht="19.5" customHeight="1" x14ac:dyDescent="0.3">
      <c r="A65" s="253">
        <v>59</v>
      </c>
      <c r="B65" s="233" t="s">
        <v>14986</v>
      </c>
      <c r="C65" s="233" t="s">
        <v>12874</v>
      </c>
      <c r="D65" s="215" t="str">
        <f t="shared" si="0"/>
        <v>DKG&lt;-&gt;Thạch Hà, Hà Tĩnh</v>
      </c>
      <c r="E65" s="234">
        <v>815</v>
      </c>
      <c r="F65" s="235">
        <v>2400000</v>
      </c>
      <c r="G65" s="294">
        <v>15050000</v>
      </c>
      <c r="H65" s="294">
        <v>13100000</v>
      </c>
      <c r="I65" s="236">
        <v>14400000</v>
      </c>
      <c r="J65" s="236">
        <v>12850000</v>
      </c>
      <c r="K65" s="236">
        <v>14400000</v>
      </c>
      <c r="L65" s="236">
        <v>12850000</v>
      </c>
      <c r="M65" s="236">
        <v>15100000</v>
      </c>
      <c r="N65" s="236">
        <v>12800000</v>
      </c>
      <c r="O65" s="236"/>
      <c r="P65" s="236"/>
      <c r="Q65" s="295">
        <v>15100000</v>
      </c>
      <c r="R65" s="294">
        <v>12800000</v>
      </c>
      <c r="S65" s="237" t="s">
        <v>12874</v>
      </c>
      <c r="T65" s="254" t="str">
        <f t="shared" si="1"/>
        <v>=</v>
      </c>
      <c r="X65" s="237"/>
      <c r="Y65" s="237"/>
    </row>
    <row r="66" spans="1:25" s="228" customFormat="1" ht="19.5" customHeight="1" x14ac:dyDescent="0.3">
      <c r="A66" s="253">
        <v>60</v>
      </c>
      <c r="B66" s="233" t="s">
        <v>14986</v>
      </c>
      <c r="C66" s="233" t="s">
        <v>12875</v>
      </c>
      <c r="D66" s="215" t="str">
        <f t="shared" si="0"/>
        <v>DKG&lt;-&gt;Cẩm Xuyên, Hà Tĩnh</v>
      </c>
      <c r="E66" s="234">
        <v>825</v>
      </c>
      <c r="F66" s="235">
        <v>2400000</v>
      </c>
      <c r="G66" s="294">
        <v>15250000</v>
      </c>
      <c r="H66" s="294">
        <v>13300000</v>
      </c>
      <c r="I66" s="236">
        <v>14450000</v>
      </c>
      <c r="J66" s="236">
        <v>12900000</v>
      </c>
      <c r="K66" s="236">
        <v>14450000</v>
      </c>
      <c r="L66" s="236">
        <v>12900000</v>
      </c>
      <c r="M66" s="236">
        <v>15150000</v>
      </c>
      <c r="N66" s="236">
        <v>12850000</v>
      </c>
      <c r="O66" s="236"/>
      <c r="P66" s="236"/>
      <c r="Q66" s="295">
        <v>15150000</v>
      </c>
      <c r="R66" s="294">
        <v>12850000</v>
      </c>
      <c r="S66" s="237" t="s">
        <v>12875</v>
      </c>
      <c r="T66" s="254" t="str">
        <f t="shared" si="1"/>
        <v>=</v>
      </c>
      <c r="X66" s="237"/>
      <c r="Y66" s="237"/>
    </row>
    <row r="67" spans="1:25" s="228" customFormat="1" ht="19.5" customHeight="1" x14ac:dyDescent="0.3">
      <c r="A67" s="253">
        <v>61</v>
      </c>
      <c r="B67" s="233" t="s">
        <v>14986</v>
      </c>
      <c r="C67" s="233" t="s">
        <v>12876</v>
      </c>
      <c r="D67" s="215" t="str">
        <f t="shared" si="0"/>
        <v>DKG&lt;-&gt;Can Lộc, Hà Tĩnh</v>
      </c>
      <c r="E67" s="234">
        <v>777</v>
      </c>
      <c r="F67" s="235">
        <v>2400000</v>
      </c>
      <c r="G67" s="294">
        <v>14700000</v>
      </c>
      <c r="H67" s="294">
        <v>12800000</v>
      </c>
      <c r="I67" s="236">
        <v>14300000</v>
      </c>
      <c r="J67" s="236">
        <v>12800000</v>
      </c>
      <c r="K67" s="236">
        <v>14300000</v>
      </c>
      <c r="L67" s="236">
        <v>12800000</v>
      </c>
      <c r="M67" s="236">
        <v>14550000</v>
      </c>
      <c r="N67" s="236">
        <v>12800000</v>
      </c>
      <c r="O67" s="236"/>
      <c r="P67" s="236"/>
      <c r="Q67" s="295">
        <v>14550000</v>
      </c>
      <c r="R67" s="294">
        <v>12800000</v>
      </c>
      <c r="S67" s="237" t="s">
        <v>12876</v>
      </c>
      <c r="T67" s="254" t="str">
        <f t="shared" si="1"/>
        <v>=</v>
      </c>
      <c r="X67" s="237"/>
      <c r="Y67" s="237"/>
    </row>
    <row r="68" spans="1:25" s="228" customFormat="1" ht="19.5" customHeight="1" x14ac:dyDescent="0.3">
      <c r="A68" s="253">
        <v>62</v>
      </c>
      <c r="B68" s="233" t="s">
        <v>14986</v>
      </c>
      <c r="C68" s="233" t="s">
        <v>12877</v>
      </c>
      <c r="D68" s="215" t="str">
        <f t="shared" si="0"/>
        <v>DKG&lt;-&gt;Đức Thọ, Hà Tĩnh</v>
      </c>
      <c r="E68" s="234">
        <v>750</v>
      </c>
      <c r="F68" s="235">
        <v>2400000</v>
      </c>
      <c r="G68" s="294">
        <v>14350000</v>
      </c>
      <c r="H68" s="294">
        <v>12500000</v>
      </c>
      <c r="I68" s="236">
        <v>14200000</v>
      </c>
      <c r="J68" s="236">
        <v>12750000</v>
      </c>
      <c r="K68" s="236">
        <v>14200000</v>
      </c>
      <c r="L68" s="236">
        <v>12750000</v>
      </c>
      <c r="M68" s="236">
        <v>12100000</v>
      </c>
      <c r="N68" s="236">
        <v>10400000</v>
      </c>
      <c r="O68" s="236"/>
      <c r="P68" s="236"/>
      <c r="Q68" s="295">
        <v>12100000</v>
      </c>
      <c r="R68" s="294">
        <v>10400000</v>
      </c>
      <c r="S68" s="237" t="s">
        <v>12877</v>
      </c>
      <c r="T68" s="254" t="str">
        <f t="shared" si="1"/>
        <v>=</v>
      </c>
      <c r="X68" s="237"/>
      <c r="Y68" s="237"/>
    </row>
    <row r="69" spans="1:25" s="228" customFormat="1" ht="19.5" customHeight="1" x14ac:dyDescent="0.3">
      <c r="A69" s="253">
        <v>63</v>
      </c>
      <c r="B69" s="233" t="s">
        <v>14986</v>
      </c>
      <c r="C69" s="233" t="s">
        <v>12878</v>
      </c>
      <c r="D69" s="215" t="str">
        <f t="shared" si="0"/>
        <v>DKG&lt;-&gt;Kỳ Anh, Hà Tĩnh</v>
      </c>
      <c r="E69" s="234">
        <v>890</v>
      </c>
      <c r="F69" s="235">
        <v>2500000</v>
      </c>
      <c r="G69" s="294">
        <v>16000000</v>
      </c>
      <c r="H69" s="294">
        <v>13600000</v>
      </c>
      <c r="I69" s="236">
        <v>14850000</v>
      </c>
      <c r="J69" s="236">
        <v>13000000</v>
      </c>
      <c r="K69" s="236">
        <v>14850000</v>
      </c>
      <c r="L69" s="236">
        <v>13000000</v>
      </c>
      <c r="M69" s="236">
        <v>14950000</v>
      </c>
      <c r="N69" s="236">
        <v>12100000</v>
      </c>
      <c r="O69" s="236"/>
      <c r="P69" s="236" t="s">
        <v>14588</v>
      </c>
      <c r="Q69" s="295">
        <v>14950000</v>
      </c>
      <c r="R69" s="294">
        <v>12100000</v>
      </c>
      <c r="S69" s="237" t="s">
        <v>12878</v>
      </c>
      <c r="T69" s="254" t="str">
        <f t="shared" si="1"/>
        <v>=</v>
      </c>
      <c r="X69" s="237"/>
      <c r="Y69" s="237"/>
    </row>
    <row r="70" spans="1:25" s="228" customFormat="1" ht="19.5" customHeight="1" x14ac:dyDescent="0.3">
      <c r="A70" s="253">
        <v>64</v>
      </c>
      <c r="B70" s="233" t="s">
        <v>14987</v>
      </c>
      <c r="C70" s="233" t="s">
        <v>12879</v>
      </c>
      <c r="D70" s="215" t="str">
        <f t="shared" si="0"/>
        <v>DKG&lt;-&gt;Ba Đồn, Quảng Bình</v>
      </c>
      <c r="E70" s="234">
        <v>1015</v>
      </c>
      <c r="F70" s="235">
        <v>3200000</v>
      </c>
      <c r="G70" s="294">
        <v>18800000</v>
      </c>
      <c r="H70" s="294">
        <v>16800000</v>
      </c>
      <c r="I70" s="236">
        <v>17800000</v>
      </c>
      <c r="J70" s="236">
        <v>16700000</v>
      </c>
      <c r="K70" s="236">
        <v>17800000</v>
      </c>
      <c r="L70" s="236">
        <v>16700000</v>
      </c>
      <c r="M70" s="236">
        <v>18550000</v>
      </c>
      <c r="N70" s="236">
        <v>16650000</v>
      </c>
      <c r="O70" s="236"/>
      <c r="P70" s="236"/>
      <c r="Q70" s="295">
        <v>18550000</v>
      </c>
      <c r="R70" s="294">
        <v>16650000</v>
      </c>
      <c r="S70" s="237" t="s">
        <v>12879</v>
      </c>
      <c r="T70" s="254" t="str">
        <f t="shared" si="1"/>
        <v>=</v>
      </c>
      <c r="X70" s="237"/>
      <c r="Y70" s="237"/>
    </row>
    <row r="71" spans="1:25" s="228" customFormat="1" ht="19.5" customHeight="1" x14ac:dyDescent="0.3">
      <c r="A71" s="253">
        <v>65</v>
      </c>
      <c r="B71" s="233" t="s">
        <v>14987</v>
      </c>
      <c r="C71" s="233" t="s">
        <v>12880</v>
      </c>
      <c r="D71" s="215" t="str">
        <f t="shared" si="0"/>
        <v>DKG&lt;-&gt;Quảng Trạch, Quảng Bình</v>
      </c>
      <c r="E71" s="234">
        <v>1015</v>
      </c>
      <c r="F71" s="235">
        <v>3200000</v>
      </c>
      <c r="G71" s="294">
        <v>18800000</v>
      </c>
      <c r="H71" s="294">
        <v>16800000</v>
      </c>
      <c r="I71" s="236">
        <v>18300000</v>
      </c>
      <c r="J71" s="236">
        <v>17200000</v>
      </c>
      <c r="K71" s="236">
        <v>18300000</v>
      </c>
      <c r="L71" s="236">
        <v>17200000</v>
      </c>
      <c r="M71" s="236">
        <v>19550000</v>
      </c>
      <c r="N71" s="236">
        <v>17150000</v>
      </c>
      <c r="O71" s="236"/>
      <c r="P71" s="236"/>
      <c r="Q71" s="295">
        <v>19550000</v>
      </c>
      <c r="R71" s="294">
        <v>17150000</v>
      </c>
      <c r="S71" s="237" t="s">
        <v>12880</v>
      </c>
      <c r="T71" s="254" t="str">
        <f t="shared" si="1"/>
        <v>=</v>
      </c>
      <c r="X71" s="237"/>
      <c r="Y71" s="237"/>
    </row>
    <row r="72" spans="1:25" s="228" customFormat="1" ht="43.5" customHeight="1" x14ac:dyDescent="0.3">
      <c r="A72" s="253">
        <v>66</v>
      </c>
      <c r="B72" s="233" t="s">
        <v>14987</v>
      </c>
      <c r="C72" s="233" t="s">
        <v>12881</v>
      </c>
      <c r="D72" s="215" t="str">
        <f t="shared" ref="D72:D135" si="2">CONCATENATE("DKG&lt;-&gt;",C72,IF(C72="TP",". ",", "),B72)</f>
        <v>DKG&lt;-&gt;Vạn Ninh, Quảng Bình</v>
      </c>
      <c r="E72" s="234">
        <v>1150</v>
      </c>
      <c r="F72" s="235">
        <v>3550000</v>
      </c>
      <c r="G72" s="294">
        <v>20650000</v>
      </c>
      <c r="H72" s="294">
        <v>18550000</v>
      </c>
      <c r="I72" s="236">
        <v>18750000</v>
      </c>
      <c r="J72" s="236">
        <v>17550000</v>
      </c>
      <c r="K72" s="236">
        <v>18750000</v>
      </c>
      <c r="L72" s="236">
        <v>17550000</v>
      </c>
      <c r="M72" s="236">
        <v>20000000</v>
      </c>
      <c r="N72" s="236">
        <v>17500000</v>
      </c>
      <c r="O72" s="236"/>
      <c r="P72" s="236" t="s">
        <v>14590</v>
      </c>
      <c r="Q72" s="295">
        <v>20000000</v>
      </c>
      <c r="R72" s="294">
        <v>17500000</v>
      </c>
      <c r="S72" s="237" t="s">
        <v>12881</v>
      </c>
      <c r="T72" s="254" t="str">
        <f t="shared" ref="T72:T135" si="3">IF(S72=C72,"=","saiiii")</f>
        <v>=</v>
      </c>
      <c r="X72" s="237"/>
      <c r="Y72" s="237"/>
    </row>
    <row r="73" spans="1:25" s="228" customFormat="1" ht="19.5" customHeight="1" x14ac:dyDescent="0.3">
      <c r="A73" s="253">
        <v>67</v>
      </c>
      <c r="B73" s="233" t="s">
        <v>14988</v>
      </c>
      <c r="C73" s="233" t="s">
        <v>12882</v>
      </c>
      <c r="D73" s="215" t="str">
        <f t="shared" si="2"/>
        <v>DKG&lt;-&gt;Vĩnh Linh, Quảng Trị</v>
      </c>
      <c r="E73" s="234">
        <v>1225</v>
      </c>
      <c r="F73" s="235">
        <v>5200000</v>
      </c>
      <c r="G73" s="294">
        <v>24750000</v>
      </c>
      <c r="H73" s="294">
        <v>22550000</v>
      </c>
      <c r="I73" s="236">
        <v>23750000</v>
      </c>
      <c r="J73" s="236">
        <v>22450000</v>
      </c>
      <c r="K73" s="236">
        <v>23750000</v>
      </c>
      <c r="L73" s="236">
        <v>22450000</v>
      </c>
      <c r="M73" s="236">
        <v>24200000</v>
      </c>
      <c r="N73" s="236">
        <v>22350000</v>
      </c>
      <c r="O73" s="236"/>
      <c r="P73" s="236"/>
      <c r="Q73" s="295">
        <v>24200000</v>
      </c>
      <c r="R73" s="294">
        <v>22350000</v>
      </c>
      <c r="S73" s="237" t="s">
        <v>12882</v>
      </c>
      <c r="T73" s="254" t="str">
        <f t="shared" si="3"/>
        <v>=</v>
      </c>
      <c r="X73" s="237"/>
      <c r="Y73" s="237"/>
    </row>
    <row r="74" spans="1:25" s="232" customFormat="1" ht="19.5" customHeight="1" x14ac:dyDescent="0.3">
      <c r="A74" s="242" t="s">
        <v>12784</v>
      </c>
      <c r="B74" s="243"/>
      <c r="C74" s="243"/>
      <c r="D74" s="215" t="str">
        <f t="shared" si="2"/>
        <v xml:space="preserve">DKG&lt;-&gt;, </v>
      </c>
      <c r="E74" s="243"/>
      <c r="F74" s="243">
        <v>0</v>
      </c>
      <c r="G74" s="243"/>
      <c r="H74" s="243"/>
      <c r="I74" s="243"/>
      <c r="J74" s="243"/>
      <c r="K74" s="243"/>
      <c r="L74" s="243"/>
      <c r="M74" s="243"/>
      <c r="N74" s="243"/>
      <c r="O74" s="243"/>
      <c r="P74" s="243"/>
      <c r="Q74" s="296"/>
      <c r="R74" s="296"/>
      <c r="S74" s="237"/>
      <c r="T74" s="254" t="str">
        <f t="shared" si="3"/>
        <v>=</v>
      </c>
      <c r="X74" s="237"/>
      <c r="Y74" s="237"/>
    </row>
    <row r="75" spans="1:25" s="228" customFormat="1" ht="19.5" customHeight="1" x14ac:dyDescent="0.3">
      <c r="A75" s="253">
        <v>1</v>
      </c>
      <c r="B75" s="233" t="s">
        <v>10317</v>
      </c>
      <c r="C75" s="233" t="s">
        <v>12883</v>
      </c>
      <c r="D75" s="215" t="str">
        <f t="shared" si="2"/>
        <v>DKG&lt;-&gt;Hồng Bàng, Hải Phòng</v>
      </c>
      <c r="E75" s="234">
        <v>55</v>
      </c>
      <c r="F75" s="235">
        <v>250000</v>
      </c>
      <c r="G75" s="294">
        <v>2800000</v>
      </c>
      <c r="H75" s="294">
        <v>2100000</v>
      </c>
      <c r="I75" s="236">
        <v>1950000</v>
      </c>
      <c r="J75" s="236">
        <v>1850000</v>
      </c>
      <c r="K75" s="236">
        <v>1950000</v>
      </c>
      <c r="L75" s="236">
        <v>1850000</v>
      </c>
      <c r="M75" s="236">
        <v>2300000</v>
      </c>
      <c r="N75" s="236">
        <v>1850000</v>
      </c>
      <c r="O75" s="236"/>
      <c r="P75" s="236"/>
      <c r="Q75" s="295">
        <v>2300000</v>
      </c>
      <c r="R75" s="294">
        <v>1850000</v>
      </c>
      <c r="S75" s="237" t="s">
        <v>12883</v>
      </c>
      <c r="T75" s="254" t="str">
        <f t="shared" si="3"/>
        <v>=</v>
      </c>
      <c r="X75" s="237"/>
      <c r="Y75" s="237"/>
    </row>
    <row r="76" spans="1:25" s="228" customFormat="1" ht="19.5" customHeight="1" x14ac:dyDescent="0.3">
      <c r="A76" s="253">
        <v>2</v>
      </c>
      <c r="B76" s="233" t="s">
        <v>10317</v>
      </c>
      <c r="C76" s="233" t="s">
        <v>12884</v>
      </c>
      <c r="D76" s="215" t="str">
        <f t="shared" si="2"/>
        <v>DKG&lt;-&gt;An Dương, Hải Phòng</v>
      </c>
      <c r="E76" s="234">
        <v>55</v>
      </c>
      <c r="F76" s="235">
        <v>250000</v>
      </c>
      <c r="G76" s="294">
        <v>2800000</v>
      </c>
      <c r="H76" s="294">
        <v>2100000</v>
      </c>
      <c r="I76" s="236">
        <v>1950000</v>
      </c>
      <c r="J76" s="236">
        <v>1850000</v>
      </c>
      <c r="K76" s="236">
        <v>1950000</v>
      </c>
      <c r="L76" s="236">
        <v>1850000</v>
      </c>
      <c r="M76" s="236">
        <v>2300000</v>
      </c>
      <c r="N76" s="236">
        <v>1850000</v>
      </c>
      <c r="O76" s="236"/>
      <c r="P76" s="236"/>
      <c r="Q76" s="295">
        <v>2300000</v>
      </c>
      <c r="R76" s="294">
        <v>1850000</v>
      </c>
      <c r="S76" s="237" t="s">
        <v>12884</v>
      </c>
      <c r="T76" s="254" t="str">
        <f t="shared" si="3"/>
        <v>=</v>
      </c>
      <c r="X76" s="237"/>
      <c r="Y76" s="237"/>
    </row>
    <row r="77" spans="1:25" s="228" customFormat="1" ht="19.5" customHeight="1" x14ac:dyDescent="0.3">
      <c r="A77" s="253">
        <v>3</v>
      </c>
      <c r="B77" s="233" t="s">
        <v>10317</v>
      </c>
      <c r="C77" s="233" t="s">
        <v>12885</v>
      </c>
      <c r="D77" s="215" t="str">
        <f t="shared" si="2"/>
        <v>DKG&lt;-&gt;Quán Toan (chưa phí), Hải Phòng</v>
      </c>
      <c r="E77" s="234">
        <v>60</v>
      </c>
      <c r="F77" s="235">
        <v>250000</v>
      </c>
      <c r="G77" s="294">
        <v>2800000</v>
      </c>
      <c r="H77" s="294">
        <v>2300000</v>
      </c>
      <c r="I77" s="236">
        <v>2150000</v>
      </c>
      <c r="J77" s="236">
        <v>2050000</v>
      </c>
      <c r="K77" s="236">
        <v>2150000</v>
      </c>
      <c r="L77" s="236">
        <v>2050000</v>
      </c>
      <c r="M77" s="236">
        <v>2500000</v>
      </c>
      <c r="N77" s="236">
        <v>2050000</v>
      </c>
      <c r="O77" s="236"/>
      <c r="P77" s="236"/>
      <c r="Q77" s="295">
        <v>2500000</v>
      </c>
      <c r="R77" s="294">
        <v>2050000</v>
      </c>
      <c r="S77" s="237" t="s">
        <v>12885</v>
      </c>
      <c r="T77" s="254" t="str">
        <f t="shared" si="3"/>
        <v>=</v>
      </c>
      <c r="X77" s="237"/>
      <c r="Y77" s="237"/>
    </row>
    <row r="78" spans="1:25" s="228" customFormat="1" ht="19.5" customHeight="1" x14ac:dyDescent="0.3">
      <c r="A78" s="253">
        <v>4</v>
      </c>
      <c r="B78" s="233" t="s">
        <v>10317</v>
      </c>
      <c r="C78" s="233" t="s">
        <v>12886</v>
      </c>
      <c r="D78" s="215" t="str">
        <f t="shared" si="2"/>
        <v>DKG&lt;-&gt;Quán Toan (có phí), Hải Phòng</v>
      </c>
      <c r="E78" s="234">
        <v>70</v>
      </c>
      <c r="F78" s="235">
        <v>700000</v>
      </c>
      <c r="G78" s="294">
        <v>2900000</v>
      </c>
      <c r="H78" s="294">
        <v>2700000</v>
      </c>
      <c r="I78" s="236">
        <v>2400000</v>
      </c>
      <c r="J78" s="236">
        <v>2300000</v>
      </c>
      <c r="K78" s="236">
        <v>2400000</v>
      </c>
      <c r="L78" s="236">
        <v>2300000</v>
      </c>
      <c r="M78" s="236">
        <v>2800000</v>
      </c>
      <c r="N78" s="236">
        <v>2300000</v>
      </c>
      <c r="O78" s="236"/>
      <c r="P78" s="236"/>
      <c r="Q78" s="295">
        <v>2800000</v>
      </c>
      <c r="R78" s="294">
        <v>2300000</v>
      </c>
      <c r="S78" s="237" t="s">
        <v>12886</v>
      </c>
      <c r="T78" s="254" t="str">
        <f t="shared" si="3"/>
        <v>=</v>
      </c>
      <c r="X78" s="237"/>
      <c r="Y78" s="237"/>
    </row>
    <row r="79" spans="1:25" s="228" customFormat="1" ht="19.5" customHeight="1" x14ac:dyDescent="0.3">
      <c r="A79" s="253">
        <v>5</v>
      </c>
      <c r="B79" s="233" t="s">
        <v>14980</v>
      </c>
      <c r="C79" s="233" t="s">
        <v>12887</v>
      </c>
      <c r="D79" s="215" t="str">
        <f t="shared" si="2"/>
        <v>DKG&lt;-&gt;Kinh Môn, Hải Dương</v>
      </c>
      <c r="E79" s="234">
        <v>85</v>
      </c>
      <c r="F79" s="235">
        <v>950000</v>
      </c>
      <c r="G79" s="294">
        <v>3450000</v>
      </c>
      <c r="H79" s="294">
        <v>3150000</v>
      </c>
      <c r="I79" s="236">
        <v>3300000</v>
      </c>
      <c r="J79" s="236">
        <v>3150000</v>
      </c>
      <c r="K79" s="236">
        <v>3300000</v>
      </c>
      <c r="L79" s="236">
        <v>3150000</v>
      </c>
      <c r="M79" s="236">
        <v>3500000</v>
      </c>
      <c r="N79" s="236">
        <v>3100000</v>
      </c>
      <c r="O79" s="236"/>
      <c r="P79" s="236"/>
      <c r="Q79" s="295">
        <v>3500000</v>
      </c>
      <c r="R79" s="294">
        <v>3100000</v>
      </c>
      <c r="S79" s="237" t="s">
        <v>12887</v>
      </c>
      <c r="T79" s="254" t="str">
        <f t="shared" si="3"/>
        <v>=</v>
      </c>
      <c r="X79" s="237"/>
      <c r="Y79" s="237"/>
    </row>
    <row r="80" spans="1:25" s="228" customFormat="1" ht="19.5" customHeight="1" x14ac:dyDescent="0.3">
      <c r="A80" s="253">
        <v>6</v>
      </c>
      <c r="B80" s="233" t="s">
        <v>14980</v>
      </c>
      <c r="C80" s="233" t="s">
        <v>12888</v>
      </c>
      <c r="D80" s="215" t="str">
        <f t="shared" si="2"/>
        <v>DKG&lt;-&gt;Phú Thái, Kim Thành, Hải Dương</v>
      </c>
      <c r="E80" s="234">
        <v>75</v>
      </c>
      <c r="F80" s="235">
        <v>700000</v>
      </c>
      <c r="G80" s="294">
        <v>3400000</v>
      </c>
      <c r="H80" s="294">
        <v>3150000</v>
      </c>
      <c r="I80" s="236">
        <v>3200000</v>
      </c>
      <c r="J80" s="236">
        <v>3100000</v>
      </c>
      <c r="K80" s="236">
        <v>3200000</v>
      </c>
      <c r="L80" s="236">
        <v>3100000</v>
      </c>
      <c r="M80" s="236">
        <v>3450000</v>
      </c>
      <c r="N80" s="236">
        <v>3100000</v>
      </c>
      <c r="O80" s="236"/>
      <c r="P80" s="236"/>
      <c r="Q80" s="295">
        <v>3450000</v>
      </c>
      <c r="R80" s="294">
        <v>3100000</v>
      </c>
      <c r="S80" s="237" t="s">
        <v>12888</v>
      </c>
      <c r="T80" s="254" t="str">
        <f t="shared" si="3"/>
        <v>=</v>
      </c>
      <c r="X80" s="237"/>
      <c r="Y80" s="237"/>
    </row>
    <row r="81" spans="1:25" s="228" customFormat="1" ht="19.5" customHeight="1" x14ac:dyDescent="0.3">
      <c r="A81" s="253">
        <v>7</v>
      </c>
      <c r="B81" s="233" t="s">
        <v>14980</v>
      </c>
      <c r="C81" s="233" t="s">
        <v>12889</v>
      </c>
      <c r="D81" s="215" t="str">
        <f t="shared" si="2"/>
        <v>DKG&lt;-&gt;Nam Sách, Hải Dương</v>
      </c>
      <c r="E81" s="234">
        <v>125</v>
      </c>
      <c r="F81" s="235">
        <v>700000</v>
      </c>
      <c r="G81" s="294">
        <v>3500000</v>
      </c>
      <c r="H81" s="294">
        <v>3300000</v>
      </c>
      <c r="I81" s="236">
        <v>3300000</v>
      </c>
      <c r="J81" s="236">
        <v>3150000</v>
      </c>
      <c r="K81" s="236">
        <v>3300000</v>
      </c>
      <c r="L81" s="236">
        <v>3150000</v>
      </c>
      <c r="M81" s="236">
        <v>3550000</v>
      </c>
      <c r="N81" s="236">
        <v>3150000</v>
      </c>
      <c r="O81" s="236">
        <v>2900000</v>
      </c>
      <c r="P81" s="236"/>
      <c r="Q81" s="295">
        <v>3550000</v>
      </c>
      <c r="R81" s="294">
        <v>3150000</v>
      </c>
      <c r="S81" s="237" t="s">
        <v>12889</v>
      </c>
      <c r="T81" s="254" t="str">
        <f t="shared" si="3"/>
        <v>=</v>
      </c>
      <c r="X81" s="237"/>
      <c r="Y81" s="237"/>
    </row>
    <row r="82" spans="1:25" s="228" customFormat="1" ht="19.5" customHeight="1" x14ac:dyDescent="0.3">
      <c r="A82" s="253">
        <v>8</v>
      </c>
      <c r="B82" s="233" t="s">
        <v>14980</v>
      </c>
      <c r="C82" s="233" t="s">
        <v>12890</v>
      </c>
      <c r="D82" s="215" t="str">
        <f t="shared" si="2"/>
        <v>DKG&lt;-&gt;Thanh Hà, Hải Dương</v>
      </c>
      <c r="E82" s="234">
        <v>135</v>
      </c>
      <c r="F82" s="235">
        <v>700000</v>
      </c>
      <c r="G82" s="294">
        <v>3600000</v>
      </c>
      <c r="H82" s="294">
        <v>3350000</v>
      </c>
      <c r="I82" s="236">
        <v>3400000</v>
      </c>
      <c r="J82" s="236">
        <v>3200000</v>
      </c>
      <c r="K82" s="236">
        <v>3400000</v>
      </c>
      <c r="L82" s="236">
        <v>3200000</v>
      </c>
      <c r="M82" s="236">
        <v>3650000</v>
      </c>
      <c r="N82" s="236">
        <v>3200000</v>
      </c>
      <c r="O82" s="236"/>
      <c r="P82" s="236"/>
      <c r="Q82" s="295">
        <v>3650000</v>
      </c>
      <c r="R82" s="294">
        <v>3200000</v>
      </c>
      <c r="S82" s="237" t="s">
        <v>12890</v>
      </c>
      <c r="T82" s="254" t="str">
        <f t="shared" si="3"/>
        <v>=</v>
      </c>
      <c r="X82" s="237"/>
      <c r="Y82" s="237"/>
    </row>
    <row r="83" spans="1:25" s="228" customFormat="1" ht="19.5" customHeight="1" x14ac:dyDescent="0.3">
      <c r="A83" s="253">
        <v>9</v>
      </c>
      <c r="B83" s="233" t="s">
        <v>14980</v>
      </c>
      <c r="C83" s="233" t="s">
        <v>12832</v>
      </c>
      <c r="D83" s="215" t="str">
        <f t="shared" si="2"/>
        <v>DKG&lt;-&gt;TP. Hải Dương</v>
      </c>
      <c r="E83" s="234">
        <v>125</v>
      </c>
      <c r="F83" s="235">
        <v>700000</v>
      </c>
      <c r="G83" s="294">
        <v>3500000</v>
      </c>
      <c r="H83" s="294">
        <v>3300000</v>
      </c>
      <c r="I83" s="236">
        <v>3300000</v>
      </c>
      <c r="J83" s="236">
        <v>3150000</v>
      </c>
      <c r="K83" s="236">
        <v>3300000</v>
      </c>
      <c r="L83" s="236">
        <v>3150000</v>
      </c>
      <c r="M83" s="236">
        <v>3550000</v>
      </c>
      <c r="N83" s="236">
        <v>3150000</v>
      </c>
      <c r="O83" s="236">
        <v>2900000</v>
      </c>
      <c r="P83" s="236"/>
      <c r="Q83" s="295">
        <v>3550000</v>
      </c>
      <c r="R83" s="294">
        <v>3150000</v>
      </c>
      <c r="S83" s="237" t="s">
        <v>13270</v>
      </c>
      <c r="T83" s="254" t="str">
        <f t="shared" si="3"/>
        <v>saiiii</v>
      </c>
      <c r="X83" s="237"/>
      <c r="Y83" s="237"/>
    </row>
    <row r="84" spans="1:25" s="228" customFormat="1" ht="19.5" customHeight="1" x14ac:dyDescent="0.3">
      <c r="A84" s="253">
        <v>10</v>
      </c>
      <c r="B84" s="233" t="s">
        <v>14980</v>
      </c>
      <c r="C84" s="233" t="s">
        <v>12891</v>
      </c>
      <c r="D84" s="215" t="str">
        <f t="shared" si="2"/>
        <v>DKG&lt;-&gt;Quán Gỏi, Hải Dương</v>
      </c>
      <c r="E84" s="234">
        <v>158</v>
      </c>
      <c r="F84" s="235">
        <v>700000</v>
      </c>
      <c r="G84" s="294">
        <v>3800000</v>
      </c>
      <c r="H84" s="294">
        <v>3450000</v>
      </c>
      <c r="I84" s="236">
        <v>3600000</v>
      </c>
      <c r="J84" s="236">
        <v>3350000</v>
      </c>
      <c r="K84" s="236">
        <v>3600000</v>
      </c>
      <c r="L84" s="236">
        <v>3350000</v>
      </c>
      <c r="M84" s="236">
        <v>3800000</v>
      </c>
      <c r="N84" s="236">
        <v>3350000</v>
      </c>
      <c r="O84" s="236"/>
      <c r="P84" s="236"/>
      <c r="Q84" s="294">
        <v>3800000</v>
      </c>
      <c r="R84" s="294">
        <v>3350000</v>
      </c>
      <c r="S84" s="237" t="s">
        <v>12891</v>
      </c>
      <c r="T84" s="254" t="str">
        <f t="shared" si="3"/>
        <v>=</v>
      </c>
      <c r="X84" s="237"/>
      <c r="Y84" s="237"/>
    </row>
    <row r="85" spans="1:25" s="228" customFormat="1" ht="19.5" customHeight="1" x14ac:dyDescent="0.3">
      <c r="A85" s="253">
        <v>11</v>
      </c>
      <c r="B85" s="233" t="s">
        <v>14980</v>
      </c>
      <c r="C85" s="233" t="s">
        <v>12892</v>
      </c>
      <c r="D85" s="215" t="str">
        <f t="shared" si="2"/>
        <v>DKG&lt;-&gt;Bình Giang, Hải Dương</v>
      </c>
      <c r="E85" s="234">
        <v>155</v>
      </c>
      <c r="F85" s="235">
        <v>700000</v>
      </c>
      <c r="G85" s="294">
        <v>3800000</v>
      </c>
      <c r="H85" s="294">
        <v>3450000</v>
      </c>
      <c r="I85" s="236">
        <v>3600000</v>
      </c>
      <c r="J85" s="236">
        <v>3350000</v>
      </c>
      <c r="K85" s="236">
        <v>3600000</v>
      </c>
      <c r="L85" s="236">
        <v>3350000</v>
      </c>
      <c r="M85" s="236">
        <v>3800000</v>
      </c>
      <c r="N85" s="236">
        <v>3350000</v>
      </c>
      <c r="O85" s="236"/>
      <c r="P85" s="236"/>
      <c r="Q85" s="294">
        <v>3800000</v>
      </c>
      <c r="R85" s="294">
        <v>3350000</v>
      </c>
      <c r="S85" s="237" t="s">
        <v>12892</v>
      </c>
      <c r="T85" s="254" t="str">
        <f t="shared" si="3"/>
        <v>=</v>
      </c>
      <c r="X85" s="237"/>
      <c r="Y85" s="237"/>
    </row>
    <row r="86" spans="1:25" s="228" customFormat="1" ht="19.5" customHeight="1" x14ac:dyDescent="0.3">
      <c r="A86" s="253">
        <v>12</v>
      </c>
      <c r="B86" s="233" t="s">
        <v>14980</v>
      </c>
      <c r="C86" s="233" t="s">
        <v>12893</v>
      </c>
      <c r="D86" s="215" t="str">
        <f t="shared" si="2"/>
        <v>DKG&lt;-&gt;Cẩm Giàng, Hải Dương</v>
      </c>
      <c r="E86" s="234">
        <v>170</v>
      </c>
      <c r="F86" s="235">
        <v>700000</v>
      </c>
      <c r="G86" s="294">
        <v>3850000</v>
      </c>
      <c r="H86" s="294">
        <v>3500000</v>
      </c>
      <c r="I86" s="236">
        <v>3650000</v>
      </c>
      <c r="J86" s="236">
        <v>3400000</v>
      </c>
      <c r="K86" s="236">
        <v>3650000</v>
      </c>
      <c r="L86" s="236">
        <v>3400000</v>
      </c>
      <c r="M86" s="236">
        <v>3800000</v>
      </c>
      <c r="N86" s="236">
        <v>3350000</v>
      </c>
      <c r="O86" s="236"/>
      <c r="P86" s="236"/>
      <c r="Q86" s="294">
        <v>3800000</v>
      </c>
      <c r="R86" s="294">
        <v>3350000</v>
      </c>
      <c r="S86" s="237" t="s">
        <v>12893</v>
      </c>
      <c r="T86" s="254" t="str">
        <f t="shared" si="3"/>
        <v>=</v>
      </c>
      <c r="X86" s="237"/>
      <c r="Y86" s="237"/>
    </row>
    <row r="87" spans="1:25" s="228" customFormat="1" ht="19.5" customHeight="1" x14ac:dyDescent="0.3">
      <c r="A87" s="253">
        <v>13</v>
      </c>
      <c r="B87" s="233" t="s">
        <v>14980</v>
      </c>
      <c r="C87" s="233" t="s">
        <v>12894</v>
      </c>
      <c r="D87" s="215" t="str">
        <f t="shared" si="2"/>
        <v>DKG&lt;-&gt;Ninh Giang, Hải Dương</v>
      </c>
      <c r="E87" s="234">
        <v>130</v>
      </c>
      <c r="F87" s="235">
        <v>700000</v>
      </c>
      <c r="G87" s="294">
        <v>3750000</v>
      </c>
      <c r="H87" s="294">
        <v>3400000</v>
      </c>
      <c r="I87" s="236">
        <v>3550000</v>
      </c>
      <c r="J87" s="236">
        <v>3300000</v>
      </c>
      <c r="K87" s="236">
        <v>3550000</v>
      </c>
      <c r="L87" s="236">
        <v>3300000</v>
      </c>
      <c r="M87" s="236">
        <v>3750000</v>
      </c>
      <c r="N87" s="236">
        <v>3300000</v>
      </c>
      <c r="O87" s="236"/>
      <c r="P87" s="236"/>
      <c r="Q87" s="294">
        <v>3750000</v>
      </c>
      <c r="R87" s="294">
        <v>3300000</v>
      </c>
      <c r="S87" s="237" t="s">
        <v>12894</v>
      </c>
      <c r="T87" s="254" t="str">
        <f t="shared" si="3"/>
        <v>=</v>
      </c>
      <c r="X87" s="237"/>
      <c r="Y87" s="237"/>
    </row>
    <row r="88" spans="1:25" s="228" customFormat="1" ht="19.5" customHeight="1" x14ac:dyDescent="0.3">
      <c r="A88" s="253">
        <v>14</v>
      </c>
      <c r="B88" s="233" t="s">
        <v>14980</v>
      </c>
      <c r="C88" s="233" t="s">
        <v>12895</v>
      </c>
      <c r="D88" s="215" t="str">
        <f t="shared" si="2"/>
        <v>DKG&lt;-&gt;Gia Lộc, Hải Dương</v>
      </c>
      <c r="E88" s="234">
        <v>145</v>
      </c>
      <c r="F88" s="235">
        <v>700000</v>
      </c>
      <c r="G88" s="294">
        <v>3750000</v>
      </c>
      <c r="H88" s="294">
        <v>3400000</v>
      </c>
      <c r="I88" s="236">
        <v>3550000</v>
      </c>
      <c r="J88" s="236">
        <v>3300000</v>
      </c>
      <c r="K88" s="236">
        <v>3550000</v>
      </c>
      <c r="L88" s="236">
        <v>3300000</v>
      </c>
      <c r="M88" s="236">
        <v>3750000</v>
      </c>
      <c r="N88" s="236">
        <v>3300000</v>
      </c>
      <c r="O88" s="236"/>
      <c r="P88" s="236"/>
      <c r="Q88" s="294">
        <v>3750000</v>
      </c>
      <c r="R88" s="294">
        <v>3300000</v>
      </c>
      <c r="S88" s="237" t="s">
        <v>12895</v>
      </c>
      <c r="T88" s="254" t="str">
        <f t="shared" si="3"/>
        <v>=</v>
      </c>
      <c r="X88" s="237"/>
      <c r="Y88" s="237"/>
    </row>
    <row r="89" spans="1:25" s="228" customFormat="1" ht="19.5" customHeight="1" x14ac:dyDescent="0.3">
      <c r="A89" s="253">
        <v>15</v>
      </c>
      <c r="B89" s="233" t="s">
        <v>14980</v>
      </c>
      <c r="C89" s="233" t="s">
        <v>12896</v>
      </c>
      <c r="D89" s="215" t="str">
        <f t="shared" si="2"/>
        <v>DKG&lt;-&gt;Thanh Miện, Hải Dương</v>
      </c>
      <c r="E89" s="234">
        <v>160</v>
      </c>
      <c r="F89" s="235">
        <v>700000</v>
      </c>
      <c r="G89" s="294">
        <v>3850000</v>
      </c>
      <c r="H89" s="294">
        <v>3500000</v>
      </c>
      <c r="I89" s="236">
        <v>3650000</v>
      </c>
      <c r="J89" s="236">
        <v>3400000</v>
      </c>
      <c r="K89" s="236">
        <v>3650000</v>
      </c>
      <c r="L89" s="236">
        <v>3400000</v>
      </c>
      <c r="M89" s="236">
        <v>3800000</v>
      </c>
      <c r="N89" s="236">
        <v>3350000</v>
      </c>
      <c r="O89" s="236"/>
      <c r="P89" s="236"/>
      <c r="Q89" s="294">
        <v>3800000</v>
      </c>
      <c r="R89" s="294">
        <v>3350000</v>
      </c>
      <c r="S89" s="237" t="s">
        <v>12896</v>
      </c>
      <c r="T89" s="254" t="str">
        <f t="shared" si="3"/>
        <v>=</v>
      </c>
      <c r="X89" s="237"/>
      <c r="Y89" s="237"/>
    </row>
    <row r="90" spans="1:25" s="228" customFormat="1" ht="19.5" customHeight="1" x14ac:dyDescent="0.3">
      <c r="A90" s="253">
        <v>16</v>
      </c>
      <c r="B90" s="233" t="s">
        <v>14989</v>
      </c>
      <c r="C90" s="233" t="s">
        <v>12897</v>
      </c>
      <c r="D90" s="215" t="str">
        <f t="shared" si="2"/>
        <v>DKG&lt;-&gt;Ân Thi, Hưng Yên</v>
      </c>
      <c r="E90" s="234">
        <v>190</v>
      </c>
      <c r="F90" s="235">
        <v>750000</v>
      </c>
      <c r="G90" s="294">
        <v>4200000</v>
      </c>
      <c r="H90" s="294">
        <v>3800000</v>
      </c>
      <c r="I90" s="236">
        <v>3950000</v>
      </c>
      <c r="J90" s="236">
        <v>3750000</v>
      </c>
      <c r="K90" s="236">
        <v>3950000</v>
      </c>
      <c r="L90" s="236">
        <v>3750000</v>
      </c>
      <c r="M90" s="236">
        <v>4300000</v>
      </c>
      <c r="N90" s="236">
        <v>3750000</v>
      </c>
      <c r="O90" s="236"/>
      <c r="P90" s="236"/>
      <c r="Q90" s="295">
        <v>4300000</v>
      </c>
      <c r="R90" s="294">
        <v>3750000</v>
      </c>
      <c r="S90" s="237" t="s">
        <v>12897</v>
      </c>
      <c r="T90" s="254" t="str">
        <f t="shared" si="3"/>
        <v>=</v>
      </c>
      <c r="X90" s="237"/>
      <c r="Y90" s="237"/>
    </row>
    <row r="91" spans="1:25" s="228" customFormat="1" ht="19.5" customHeight="1" x14ac:dyDescent="0.3">
      <c r="A91" s="253">
        <v>17</v>
      </c>
      <c r="B91" s="233" t="s">
        <v>14989</v>
      </c>
      <c r="C91" s="233" t="s">
        <v>12898</v>
      </c>
      <c r="D91" s="215" t="str">
        <f t="shared" si="2"/>
        <v>DKG&lt;-&gt;Yên Mỹ, Hưng Yên</v>
      </c>
      <c r="E91" s="234">
        <v>210</v>
      </c>
      <c r="F91" s="235">
        <v>750000</v>
      </c>
      <c r="G91" s="294">
        <v>4250000</v>
      </c>
      <c r="H91" s="294">
        <v>3850000</v>
      </c>
      <c r="I91" s="236">
        <v>4000000</v>
      </c>
      <c r="J91" s="236">
        <v>3800000</v>
      </c>
      <c r="K91" s="236">
        <v>4000000</v>
      </c>
      <c r="L91" s="236">
        <v>3800000</v>
      </c>
      <c r="M91" s="236">
        <v>4300000</v>
      </c>
      <c r="N91" s="236">
        <v>3750000</v>
      </c>
      <c r="O91" s="236"/>
      <c r="P91" s="236"/>
      <c r="Q91" s="295">
        <v>4300000</v>
      </c>
      <c r="R91" s="294">
        <v>3750000</v>
      </c>
      <c r="S91" s="237" t="s">
        <v>12898</v>
      </c>
      <c r="T91" s="254" t="str">
        <f t="shared" si="3"/>
        <v>=</v>
      </c>
      <c r="X91" s="237"/>
      <c r="Y91" s="237"/>
    </row>
    <row r="92" spans="1:25" s="228" customFormat="1" ht="19.5" customHeight="1" x14ac:dyDescent="0.3">
      <c r="A92" s="253">
        <v>18</v>
      </c>
      <c r="B92" s="233" t="s">
        <v>14989</v>
      </c>
      <c r="C92" s="233" t="s">
        <v>12899</v>
      </c>
      <c r="D92" s="215" t="str">
        <f t="shared" si="2"/>
        <v>DKG&lt;-&gt;Mỹ Hào, Hưng Yên</v>
      </c>
      <c r="E92" s="234">
        <v>200</v>
      </c>
      <c r="F92" s="235">
        <v>750000</v>
      </c>
      <c r="G92" s="294">
        <v>4200000</v>
      </c>
      <c r="H92" s="294">
        <v>3800000</v>
      </c>
      <c r="I92" s="236">
        <v>3950000</v>
      </c>
      <c r="J92" s="236">
        <v>3750000</v>
      </c>
      <c r="K92" s="236">
        <v>3950000</v>
      </c>
      <c r="L92" s="236">
        <v>3750000</v>
      </c>
      <c r="M92" s="236">
        <v>4300000</v>
      </c>
      <c r="N92" s="236">
        <v>3750000</v>
      </c>
      <c r="O92" s="236"/>
      <c r="P92" s="236"/>
      <c r="Q92" s="295">
        <v>4300000</v>
      </c>
      <c r="R92" s="294">
        <v>3750000</v>
      </c>
      <c r="S92" s="237" t="s">
        <v>12899</v>
      </c>
      <c r="T92" s="254" t="str">
        <f t="shared" si="3"/>
        <v>=</v>
      </c>
      <c r="X92" s="237"/>
      <c r="Y92" s="237"/>
    </row>
    <row r="93" spans="1:25" s="228" customFormat="1" ht="19.5" customHeight="1" x14ac:dyDescent="0.3">
      <c r="A93" s="253">
        <v>19</v>
      </c>
      <c r="B93" s="233" t="s">
        <v>14989</v>
      </c>
      <c r="C93" s="233" t="s">
        <v>12900</v>
      </c>
      <c r="D93" s="215" t="str">
        <f t="shared" si="2"/>
        <v>DKG&lt;-&gt;Văn Lâm, Hưng Yên</v>
      </c>
      <c r="E93" s="234">
        <v>195</v>
      </c>
      <c r="F93" s="235">
        <v>1150000</v>
      </c>
      <c r="G93" s="294">
        <v>4500000</v>
      </c>
      <c r="H93" s="294">
        <v>4300000</v>
      </c>
      <c r="I93" s="236">
        <v>4250000</v>
      </c>
      <c r="J93" s="236">
        <v>4050000</v>
      </c>
      <c r="K93" s="236">
        <v>4250000</v>
      </c>
      <c r="L93" s="236">
        <v>4050000</v>
      </c>
      <c r="M93" s="236">
        <v>4600000</v>
      </c>
      <c r="N93" s="236">
        <v>4050000</v>
      </c>
      <c r="O93" s="236">
        <v>3780000</v>
      </c>
      <c r="P93" s="236"/>
      <c r="Q93" s="295">
        <v>4600000</v>
      </c>
      <c r="R93" s="294">
        <v>4050000</v>
      </c>
      <c r="S93" s="237" t="s">
        <v>12900</v>
      </c>
      <c r="T93" s="254" t="str">
        <f t="shared" si="3"/>
        <v>=</v>
      </c>
      <c r="X93" s="237"/>
      <c r="Y93" s="237"/>
    </row>
    <row r="94" spans="1:25" s="228" customFormat="1" ht="19.5" customHeight="1" x14ac:dyDescent="0.3">
      <c r="A94" s="253">
        <v>20</v>
      </c>
      <c r="B94" s="233" t="s">
        <v>14989</v>
      </c>
      <c r="C94" s="233" t="s">
        <v>12901</v>
      </c>
      <c r="D94" s="215" t="str">
        <f t="shared" si="2"/>
        <v>DKG&lt;-&gt;Chợ Gạo, Hưng Yên</v>
      </c>
      <c r="E94" s="234">
        <v>210</v>
      </c>
      <c r="F94" s="235">
        <v>750000</v>
      </c>
      <c r="G94" s="294">
        <v>4250000</v>
      </c>
      <c r="H94" s="294">
        <v>3850000</v>
      </c>
      <c r="I94" s="236">
        <v>4000000</v>
      </c>
      <c r="J94" s="236">
        <v>3800000</v>
      </c>
      <c r="K94" s="236">
        <v>4000000</v>
      </c>
      <c r="L94" s="236">
        <v>3800000</v>
      </c>
      <c r="M94" s="236">
        <v>4300000</v>
      </c>
      <c r="N94" s="236">
        <v>3750000</v>
      </c>
      <c r="O94" s="236"/>
      <c r="P94" s="236" t="s">
        <v>12832</v>
      </c>
      <c r="Q94" s="295">
        <v>4300000</v>
      </c>
      <c r="R94" s="294">
        <v>3750000</v>
      </c>
      <c r="S94" s="237" t="s">
        <v>12901</v>
      </c>
      <c r="T94" s="254" t="str">
        <f t="shared" si="3"/>
        <v>=</v>
      </c>
      <c r="X94" s="237"/>
      <c r="Y94" s="237"/>
    </row>
    <row r="95" spans="1:25" s="228" customFormat="1" ht="19.5" customHeight="1" x14ac:dyDescent="0.3">
      <c r="A95" s="253">
        <v>21</v>
      </c>
      <c r="B95" s="233" t="s">
        <v>14989</v>
      </c>
      <c r="C95" s="233" t="s">
        <v>12902</v>
      </c>
      <c r="D95" s="215" t="str">
        <f t="shared" si="2"/>
        <v>DKG&lt;-&gt;Tiên Lữ, Hưng Yên</v>
      </c>
      <c r="E95" s="234">
        <v>200</v>
      </c>
      <c r="F95" s="235">
        <v>750000</v>
      </c>
      <c r="G95" s="294">
        <v>4200000</v>
      </c>
      <c r="H95" s="294">
        <v>3800000</v>
      </c>
      <c r="I95" s="236">
        <v>3950000</v>
      </c>
      <c r="J95" s="236">
        <v>3750000</v>
      </c>
      <c r="K95" s="236">
        <v>3950000</v>
      </c>
      <c r="L95" s="236">
        <v>3750000</v>
      </c>
      <c r="M95" s="236">
        <v>4100000</v>
      </c>
      <c r="N95" s="236">
        <v>3750000</v>
      </c>
      <c r="O95" s="236"/>
      <c r="P95" s="236"/>
      <c r="Q95" s="295">
        <v>4100000</v>
      </c>
      <c r="R95" s="294">
        <v>3750000</v>
      </c>
      <c r="S95" s="237" t="s">
        <v>12902</v>
      </c>
      <c r="T95" s="254" t="str">
        <f t="shared" si="3"/>
        <v>=</v>
      </c>
      <c r="X95" s="237"/>
      <c r="Y95" s="237"/>
    </row>
    <row r="96" spans="1:25" s="228" customFormat="1" ht="19.5" customHeight="1" x14ac:dyDescent="0.3">
      <c r="A96" s="253">
        <v>22</v>
      </c>
      <c r="B96" s="233" t="s">
        <v>14989</v>
      </c>
      <c r="C96" s="233" t="s">
        <v>12903</v>
      </c>
      <c r="D96" s="215" t="str">
        <f t="shared" si="2"/>
        <v>DKG&lt;-&gt;Kim Động, Hưng Yên</v>
      </c>
      <c r="E96" s="234">
        <v>230</v>
      </c>
      <c r="F96" s="235">
        <v>750000</v>
      </c>
      <c r="G96" s="294">
        <v>4500000</v>
      </c>
      <c r="H96" s="294">
        <v>4100000</v>
      </c>
      <c r="I96" s="236">
        <v>4000000</v>
      </c>
      <c r="J96" s="236">
        <v>3800000</v>
      </c>
      <c r="K96" s="236">
        <v>4000000</v>
      </c>
      <c r="L96" s="236">
        <v>3800000</v>
      </c>
      <c r="M96" s="236">
        <v>4350000</v>
      </c>
      <c r="N96" s="236">
        <v>3800000</v>
      </c>
      <c r="O96" s="236"/>
      <c r="P96" s="236" t="s">
        <v>13712</v>
      </c>
      <c r="Q96" s="295">
        <v>4350000</v>
      </c>
      <c r="R96" s="294">
        <v>3800000</v>
      </c>
      <c r="S96" s="237" t="s">
        <v>12903</v>
      </c>
      <c r="T96" s="254" t="str">
        <f t="shared" si="3"/>
        <v>=</v>
      </c>
      <c r="X96" s="237"/>
      <c r="Y96" s="237"/>
    </row>
    <row r="97" spans="1:25" s="228" customFormat="1" ht="19.5" customHeight="1" x14ac:dyDescent="0.3">
      <c r="A97" s="253">
        <v>23</v>
      </c>
      <c r="B97" s="233" t="s">
        <v>14989</v>
      </c>
      <c r="C97" s="233" t="s">
        <v>12904</v>
      </c>
      <c r="D97" s="215" t="str">
        <f t="shared" si="2"/>
        <v>DKG&lt;-&gt;Phủ Cừ, Hưng Yên</v>
      </c>
      <c r="E97" s="234">
        <v>200</v>
      </c>
      <c r="F97" s="235">
        <v>750000</v>
      </c>
      <c r="G97" s="294">
        <v>4200000</v>
      </c>
      <c r="H97" s="294">
        <v>3800000</v>
      </c>
      <c r="I97" s="236">
        <v>3950000</v>
      </c>
      <c r="J97" s="236">
        <v>3750000</v>
      </c>
      <c r="K97" s="236">
        <v>3950000</v>
      </c>
      <c r="L97" s="236">
        <v>3750000</v>
      </c>
      <c r="M97" s="236">
        <v>4300000</v>
      </c>
      <c r="N97" s="236">
        <v>3750000</v>
      </c>
      <c r="O97" s="236"/>
      <c r="P97" s="236"/>
      <c r="Q97" s="295">
        <v>4300000</v>
      </c>
      <c r="R97" s="294">
        <v>3750000</v>
      </c>
      <c r="S97" s="237" t="s">
        <v>12904</v>
      </c>
      <c r="T97" s="254" t="str">
        <f t="shared" si="3"/>
        <v>=</v>
      </c>
      <c r="X97" s="237"/>
      <c r="Y97" s="237"/>
    </row>
    <row r="98" spans="1:25" s="228" customFormat="1" ht="19.5" customHeight="1" x14ac:dyDescent="0.3">
      <c r="A98" s="253">
        <v>24</v>
      </c>
      <c r="B98" s="233" t="s">
        <v>14983</v>
      </c>
      <c r="C98" s="233" t="s">
        <v>12905</v>
      </c>
      <c r="D98" s="215" t="str">
        <f t="shared" si="2"/>
        <v>DKG&lt;-&gt;Duy Tiên, Hà Nam</v>
      </c>
      <c r="E98" s="234">
        <v>260</v>
      </c>
      <c r="F98" s="235">
        <v>1200000</v>
      </c>
      <c r="G98" s="294">
        <v>5250000</v>
      </c>
      <c r="H98" s="294">
        <v>4900000</v>
      </c>
      <c r="I98" s="236">
        <v>4900000</v>
      </c>
      <c r="J98" s="236">
        <v>4650000</v>
      </c>
      <c r="K98" s="236">
        <v>4900000</v>
      </c>
      <c r="L98" s="236">
        <v>4650000</v>
      </c>
      <c r="M98" s="236">
        <v>4900000</v>
      </c>
      <c r="N98" s="236">
        <v>4650000</v>
      </c>
      <c r="O98" s="236">
        <v>3900000</v>
      </c>
      <c r="P98" s="236"/>
      <c r="Q98" s="294">
        <v>4900000</v>
      </c>
      <c r="R98" s="294">
        <v>4650000</v>
      </c>
      <c r="S98" s="237" t="s">
        <v>12905</v>
      </c>
      <c r="T98" s="254" t="str">
        <f t="shared" si="3"/>
        <v>=</v>
      </c>
      <c r="X98" s="237"/>
      <c r="Y98" s="237"/>
    </row>
    <row r="99" spans="1:25" s="228" customFormat="1" ht="19.5" customHeight="1" x14ac:dyDescent="0.3">
      <c r="A99" s="253">
        <v>25</v>
      </c>
      <c r="B99" s="233" t="s">
        <v>14983</v>
      </c>
      <c r="C99" s="233" t="s">
        <v>12906</v>
      </c>
      <c r="D99" s="215" t="str">
        <f t="shared" si="2"/>
        <v>DKG&lt;-&gt;Lý Nhân, Hà Nam</v>
      </c>
      <c r="E99" s="234">
        <v>265</v>
      </c>
      <c r="F99" s="235">
        <v>1200000</v>
      </c>
      <c r="G99" s="294">
        <v>5300000</v>
      </c>
      <c r="H99" s="294">
        <v>4950000</v>
      </c>
      <c r="I99" s="236">
        <v>4850000</v>
      </c>
      <c r="J99" s="236">
        <v>4600000</v>
      </c>
      <c r="K99" s="236">
        <v>4850000</v>
      </c>
      <c r="L99" s="236">
        <v>4600000</v>
      </c>
      <c r="M99" s="236">
        <v>4850000</v>
      </c>
      <c r="N99" s="236">
        <v>4600000</v>
      </c>
      <c r="O99" s="236">
        <v>4000000</v>
      </c>
      <c r="P99" s="236"/>
      <c r="Q99" s="294">
        <v>4850000</v>
      </c>
      <c r="R99" s="294">
        <v>4600000</v>
      </c>
      <c r="S99" s="237" t="s">
        <v>12906</v>
      </c>
      <c r="T99" s="254" t="str">
        <f t="shared" si="3"/>
        <v>=</v>
      </c>
      <c r="X99" s="237"/>
      <c r="Y99" s="237"/>
    </row>
    <row r="100" spans="1:25" s="228" customFormat="1" ht="19.5" customHeight="1" x14ac:dyDescent="0.3">
      <c r="A100" s="253">
        <v>26</v>
      </c>
      <c r="B100" s="233" t="s">
        <v>14983</v>
      </c>
      <c r="C100" s="233" t="s">
        <v>12907</v>
      </c>
      <c r="D100" s="215" t="str">
        <f t="shared" si="2"/>
        <v>DKG&lt;-&gt;Yên Lệnh, Hà Nam</v>
      </c>
      <c r="E100" s="234">
        <v>245</v>
      </c>
      <c r="F100" s="235">
        <v>1200000</v>
      </c>
      <c r="G100" s="294">
        <v>5200000</v>
      </c>
      <c r="H100" s="294">
        <v>4850000</v>
      </c>
      <c r="I100" s="236">
        <v>4950000</v>
      </c>
      <c r="J100" s="236">
        <v>4700000</v>
      </c>
      <c r="K100" s="236">
        <v>4950000</v>
      </c>
      <c r="L100" s="236">
        <v>4700000</v>
      </c>
      <c r="M100" s="236">
        <v>4950000</v>
      </c>
      <c r="N100" s="236">
        <v>4700000</v>
      </c>
      <c r="O100" s="236"/>
      <c r="P100" s="236"/>
      <c r="Q100" s="294">
        <v>4950000</v>
      </c>
      <c r="R100" s="294">
        <v>4700000</v>
      </c>
      <c r="S100" s="237" t="s">
        <v>12907</v>
      </c>
      <c r="T100" s="254" t="str">
        <f t="shared" si="3"/>
        <v>=</v>
      </c>
      <c r="X100" s="237"/>
      <c r="Y100" s="237"/>
    </row>
    <row r="101" spans="1:25" s="228" customFormat="1" ht="19.5" customHeight="1" x14ac:dyDescent="0.3">
      <c r="A101" s="253">
        <v>27</v>
      </c>
      <c r="B101" s="233" t="s">
        <v>14983</v>
      </c>
      <c r="C101" s="233" t="s">
        <v>12908</v>
      </c>
      <c r="D101" s="215" t="str">
        <f t="shared" si="2"/>
        <v>DKG&lt;-&gt;Kim Bảng, Hà Nam</v>
      </c>
      <c r="E101" s="234">
        <v>280</v>
      </c>
      <c r="F101" s="235">
        <v>1200000</v>
      </c>
      <c r="G101" s="294">
        <v>5450000</v>
      </c>
      <c r="H101" s="294">
        <v>4700000</v>
      </c>
      <c r="I101" s="236">
        <v>5000000</v>
      </c>
      <c r="J101" s="236">
        <v>4650000</v>
      </c>
      <c r="K101" s="236">
        <v>5000000</v>
      </c>
      <c r="L101" s="236">
        <v>4650000</v>
      </c>
      <c r="M101" s="236">
        <v>5100000</v>
      </c>
      <c r="N101" s="236">
        <v>4650000</v>
      </c>
      <c r="O101" s="236"/>
      <c r="P101" s="236"/>
      <c r="Q101" s="295">
        <v>5100000</v>
      </c>
      <c r="R101" s="294">
        <v>4650000</v>
      </c>
      <c r="S101" s="237" t="s">
        <v>12908</v>
      </c>
      <c r="T101" s="254" t="str">
        <f t="shared" si="3"/>
        <v>=</v>
      </c>
      <c r="X101" s="237"/>
      <c r="Y101" s="237"/>
    </row>
    <row r="102" spans="1:25" s="228" customFormat="1" ht="19.5" customHeight="1" x14ac:dyDescent="0.3">
      <c r="A102" s="253">
        <v>28</v>
      </c>
      <c r="B102" s="233" t="s">
        <v>14983</v>
      </c>
      <c r="C102" s="233" t="s">
        <v>12909</v>
      </c>
      <c r="D102" s="215" t="str">
        <f t="shared" si="2"/>
        <v>DKG&lt;-&gt;Vĩnh Trụ, Hà Nam</v>
      </c>
      <c r="E102" s="234">
        <v>260</v>
      </c>
      <c r="F102" s="235">
        <v>1200000</v>
      </c>
      <c r="G102" s="294">
        <v>5250000</v>
      </c>
      <c r="H102" s="294">
        <v>4500000</v>
      </c>
      <c r="I102" s="236">
        <v>5000000</v>
      </c>
      <c r="J102" s="236">
        <v>4750000</v>
      </c>
      <c r="K102" s="236">
        <v>5000000</v>
      </c>
      <c r="L102" s="236">
        <v>4750000</v>
      </c>
      <c r="M102" s="236">
        <v>5000000</v>
      </c>
      <c r="N102" s="236">
        <v>4750000</v>
      </c>
      <c r="O102" s="236"/>
      <c r="P102" s="236"/>
      <c r="Q102" s="294">
        <v>5000000</v>
      </c>
      <c r="R102" s="294">
        <v>4750000</v>
      </c>
      <c r="S102" s="237" t="s">
        <v>12909</v>
      </c>
      <c r="T102" s="254" t="str">
        <f t="shared" si="3"/>
        <v>=</v>
      </c>
      <c r="X102" s="237"/>
      <c r="Y102" s="237"/>
    </row>
    <row r="103" spans="1:25" s="228" customFormat="1" ht="19.5" customHeight="1" x14ac:dyDescent="0.3">
      <c r="A103" s="253">
        <v>29</v>
      </c>
      <c r="B103" s="233" t="s">
        <v>14983</v>
      </c>
      <c r="C103" s="233" t="s">
        <v>12910</v>
      </c>
      <c r="D103" s="215" t="str">
        <f t="shared" si="2"/>
        <v>DKG&lt;-&gt;Phủ Lý, Hà Nam</v>
      </c>
      <c r="E103" s="234">
        <v>280</v>
      </c>
      <c r="F103" s="235">
        <v>1200000</v>
      </c>
      <c r="G103" s="294">
        <v>5450000</v>
      </c>
      <c r="H103" s="294">
        <v>4700000</v>
      </c>
      <c r="I103" s="236">
        <v>5000000</v>
      </c>
      <c r="J103" s="236">
        <v>4650000</v>
      </c>
      <c r="K103" s="236">
        <v>5000000</v>
      </c>
      <c r="L103" s="236">
        <v>4650000</v>
      </c>
      <c r="M103" s="236">
        <v>5100000</v>
      </c>
      <c r="N103" s="236">
        <v>4650000</v>
      </c>
      <c r="O103" s="236"/>
      <c r="P103" s="236"/>
      <c r="Q103" s="295">
        <v>5100000</v>
      </c>
      <c r="R103" s="294">
        <v>4650000</v>
      </c>
      <c r="S103" s="237" t="s">
        <v>12910</v>
      </c>
      <c r="T103" s="254" t="str">
        <f t="shared" si="3"/>
        <v>=</v>
      </c>
      <c r="X103" s="237"/>
      <c r="Y103" s="237"/>
    </row>
    <row r="104" spans="1:25" s="228" customFormat="1" ht="19.5" customHeight="1" x14ac:dyDescent="0.3">
      <c r="A104" s="253">
        <v>30</v>
      </c>
      <c r="B104" s="233" t="s">
        <v>14983</v>
      </c>
      <c r="C104" s="233" t="s">
        <v>12911</v>
      </c>
      <c r="D104" s="215" t="str">
        <f t="shared" si="2"/>
        <v>DKG&lt;-&gt;Thanh Liêm, Hà Nam</v>
      </c>
      <c r="E104" s="234">
        <v>290</v>
      </c>
      <c r="F104" s="235">
        <v>1200000</v>
      </c>
      <c r="G104" s="294">
        <v>5650000</v>
      </c>
      <c r="H104" s="294">
        <v>5050000</v>
      </c>
      <c r="I104" s="236">
        <v>5300000</v>
      </c>
      <c r="J104" s="236">
        <v>4950000</v>
      </c>
      <c r="K104" s="236">
        <v>5300000</v>
      </c>
      <c r="L104" s="236">
        <v>4950000</v>
      </c>
      <c r="M104" s="236">
        <v>5300000</v>
      </c>
      <c r="N104" s="236">
        <v>4900000</v>
      </c>
      <c r="O104" s="236"/>
      <c r="P104" s="236"/>
      <c r="Q104" s="295">
        <v>5300000</v>
      </c>
      <c r="R104" s="294">
        <v>4900000</v>
      </c>
      <c r="S104" s="237" t="s">
        <v>12911</v>
      </c>
      <c r="T104" s="254" t="str">
        <f t="shared" si="3"/>
        <v>=</v>
      </c>
      <c r="X104" s="237"/>
      <c r="Y104" s="237"/>
    </row>
    <row r="105" spans="1:25" s="228" customFormat="1" ht="19.5" customHeight="1" x14ac:dyDescent="0.3">
      <c r="A105" s="253">
        <v>31</v>
      </c>
      <c r="B105" s="233" t="s">
        <v>14990</v>
      </c>
      <c r="C105" s="233" t="s">
        <v>12912</v>
      </c>
      <c r="D105" s="215" t="str">
        <f t="shared" si="2"/>
        <v>DKG&lt;-&gt;Thuận Thành, Bắc Ninh</v>
      </c>
      <c r="E105" s="234">
        <v>190</v>
      </c>
      <c r="F105" s="235">
        <v>800000</v>
      </c>
      <c r="G105" s="294">
        <v>4550000</v>
      </c>
      <c r="H105" s="294">
        <v>4250000</v>
      </c>
      <c r="I105" s="236">
        <v>4550000</v>
      </c>
      <c r="J105" s="236">
        <v>4200000</v>
      </c>
      <c r="K105" s="236">
        <v>4550000</v>
      </c>
      <c r="L105" s="236">
        <v>4200000</v>
      </c>
      <c r="M105" s="236">
        <v>4550000</v>
      </c>
      <c r="N105" s="236">
        <v>4200000</v>
      </c>
      <c r="O105" s="236"/>
      <c r="P105" s="236"/>
      <c r="Q105" s="294">
        <v>4550000</v>
      </c>
      <c r="R105" s="294">
        <v>4200000</v>
      </c>
      <c r="S105" s="237" t="s">
        <v>12912</v>
      </c>
      <c r="T105" s="254" t="str">
        <f t="shared" si="3"/>
        <v>=</v>
      </c>
      <c r="X105" s="237"/>
      <c r="Y105" s="237"/>
    </row>
    <row r="106" spans="1:25" s="228" customFormat="1" ht="19.5" customHeight="1" x14ac:dyDescent="0.3">
      <c r="A106" s="253">
        <v>32</v>
      </c>
      <c r="B106" s="233" t="s">
        <v>14990</v>
      </c>
      <c r="C106" s="233" t="s">
        <v>12913</v>
      </c>
      <c r="D106" s="215" t="str">
        <f t="shared" si="2"/>
        <v>DKG&lt;-&gt;Phật Tích, Bắc Ninh</v>
      </c>
      <c r="E106" s="234">
        <v>244</v>
      </c>
      <c r="F106" s="235">
        <v>1200000</v>
      </c>
      <c r="G106" s="294">
        <v>5150000</v>
      </c>
      <c r="H106" s="294">
        <v>4800000</v>
      </c>
      <c r="I106" s="236">
        <v>5050000</v>
      </c>
      <c r="J106" s="236">
        <v>4600000</v>
      </c>
      <c r="K106" s="236">
        <v>5050000</v>
      </c>
      <c r="L106" s="236">
        <v>4600000</v>
      </c>
      <c r="M106" s="236">
        <v>5050000</v>
      </c>
      <c r="N106" s="236">
        <v>4600000</v>
      </c>
      <c r="O106" s="236"/>
      <c r="P106" s="236"/>
      <c r="Q106" s="294">
        <v>5050000</v>
      </c>
      <c r="R106" s="294">
        <v>4600000</v>
      </c>
      <c r="S106" s="237" t="s">
        <v>12913</v>
      </c>
      <c r="T106" s="254" t="str">
        <f t="shared" si="3"/>
        <v>=</v>
      </c>
      <c r="X106" s="237"/>
      <c r="Y106" s="237"/>
    </row>
    <row r="107" spans="1:25" s="228" customFormat="1" ht="19.5" customHeight="1" x14ac:dyDescent="0.3">
      <c r="A107" s="253">
        <v>33</v>
      </c>
      <c r="B107" s="233" t="s">
        <v>14990</v>
      </c>
      <c r="C107" s="233" t="s">
        <v>12914</v>
      </c>
      <c r="D107" s="215" t="str">
        <f t="shared" si="2"/>
        <v>DKG&lt;-&gt;Tiên Du, Bắc Ninh</v>
      </c>
      <c r="E107" s="234">
        <v>230</v>
      </c>
      <c r="F107" s="235">
        <v>1200000</v>
      </c>
      <c r="G107" s="294">
        <v>4850000</v>
      </c>
      <c r="H107" s="294">
        <v>4550000</v>
      </c>
      <c r="I107" s="236">
        <v>4850000</v>
      </c>
      <c r="J107" s="236">
        <v>4450000</v>
      </c>
      <c r="K107" s="236">
        <v>4850000</v>
      </c>
      <c r="L107" s="236">
        <v>4450000</v>
      </c>
      <c r="M107" s="236">
        <v>4850000</v>
      </c>
      <c r="N107" s="236">
        <v>4450000</v>
      </c>
      <c r="O107" s="236"/>
      <c r="P107" s="236"/>
      <c r="Q107" s="294">
        <v>4850000</v>
      </c>
      <c r="R107" s="294">
        <v>4450000</v>
      </c>
      <c r="S107" s="237" t="s">
        <v>12914</v>
      </c>
      <c r="T107" s="254" t="str">
        <f t="shared" si="3"/>
        <v>=</v>
      </c>
      <c r="X107" s="237"/>
      <c r="Y107" s="237"/>
    </row>
    <row r="108" spans="1:25" s="228" customFormat="1" ht="19.5" customHeight="1" x14ac:dyDescent="0.3">
      <c r="A108" s="253">
        <v>34</v>
      </c>
      <c r="B108" s="233" t="s">
        <v>14990</v>
      </c>
      <c r="C108" s="233" t="s">
        <v>12832</v>
      </c>
      <c r="D108" s="215" t="str">
        <f t="shared" si="2"/>
        <v>DKG&lt;-&gt;TP. Bắc Ninh</v>
      </c>
      <c r="E108" s="234">
        <v>230</v>
      </c>
      <c r="F108" s="235">
        <v>1200000</v>
      </c>
      <c r="G108" s="294">
        <v>4850000</v>
      </c>
      <c r="H108" s="294">
        <v>4550000</v>
      </c>
      <c r="I108" s="236">
        <v>4850000</v>
      </c>
      <c r="J108" s="236">
        <v>4450000</v>
      </c>
      <c r="K108" s="236">
        <v>4850000</v>
      </c>
      <c r="L108" s="236">
        <v>4450000</v>
      </c>
      <c r="M108" s="236">
        <v>4850000</v>
      </c>
      <c r="N108" s="236">
        <v>4450000</v>
      </c>
      <c r="O108" s="236"/>
      <c r="P108" s="236"/>
      <c r="Q108" s="294">
        <v>4850000</v>
      </c>
      <c r="R108" s="294">
        <v>4450000</v>
      </c>
      <c r="S108" s="237" t="s">
        <v>13271</v>
      </c>
      <c r="T108" s="254" t="str">
        <f t="shared" si="3"/>
        <v>saiiii</v>
      </c>
      <c r="X108" s="237"/>
      <c r="Y108" s="237"/>
    </row>
    <row r="109" spans="1:25" s="228" customFormat="1" ht="19.5" customHeight="1" x14ac:dyDescent="0.3">
      <c r="A109" s="253">
        <v>35</v>
      </c>
      <c r="B109" s="233" t="s">
        <v>14990</v>
      </c>
      <c r="C109" s="233" t="s">
        <v>12915</v>
      </c>
      <c r="D109" s="215" t="str">
        <f t="shared" si="2"/>
        <v>DKG&lt;-&gt;Từ Sơn, Bắc Ninh</v>
      </c>
      <c r="E109" s="234">
        <v>240</v>
      </c>
      <c r="F109" s="235">
        <v>1200000</v>
      </c>
      <c r="G109" s="294">
        <v>5100000</v>
      </c>
      <c r="H109" s="294">
        <v>4750000</v>
      </c>
      <c r="I109" s="236">
        <v>5000000</v>
      </c>
      <c r="J109" s="236">
        <v>4550000</v>
      </c>
      <c r="K109" s="236">
        <v>5000000</v>
      </c>
      <c r="L109" s="236">
        <v>4550000</v>
      </c>
      <c r="M109" s="236">
        <v>4750000</v>
      </c>
      <c r="N109" s="236">
        <v>4300000</v>
      </c>
      <c r="O109" s="236">
        <v>3980000</v>
      </c>
      <c r="P109" s="236"/>
      <c r="Q109" s="294">
        <v>4750000</v>
      </c>
      <c r="R109" s="294">
        <v>4300000</v>
      </c>
      <c r="S109" s="237" t="s">
        <v>12915</v>
      </c>
      <c r="T109" s="254" t="str">
        <f t="shared" si="3"/>
        <v>=</v>
      </c>
      <c r="X109" s="237"/>
      <c r="Y109" s="237"/>
    </row>
    <row r="110" spans="1:25" s="228" customFormat="1" ht="19.5" customHeight="1" x14ac:dyDescent="0.3">
      <c r="A110" s="253">
        <v>36</v>
      </c>
      <c r="B110" s="233" t="s">
        <v>14990</v>
      </c>
      <c r="C110" s="233" t="s">
        <v>12916</v>
      </c>
      <c r="D110" s="215" t="str">
        <f t="shared" si="2"/>
        <v>DKG&lt;-&gt;Phố Chờ, Bắc Ninh</v>
      </c>
      <c r="E110" s="234">
        <v>250</v>
      </c>
      <c r="F110" s="235">
        <v>1200000</v>
      </c>
      <c r="G110" s="294">
        <v>5250000</v>
      </c>
      <c r="H110" s="294">
        <v>4900000</v>
      </c>
      <c r="I110" s="236">
        <v>5050000</v>
      </c>
      <c r="J110" s="236">
        <v>4600000</v>
      </c>
      <c r="K110" s="236">
        <v>5050000</v>
      </c>
      <c r="L110" s="236">
        <v>4600000</v>
      </c>
      <c r="M110" s="236">
        <v>5050000</v>
      </c>
      <c r="N110" s="236">
        <v>4600000</v>
      </c>
      <c r="O110" s="236"/>
      <c r="P110" s="236"/>
      <c r="Q110" s="294">
        <v>5050000</v>
      </c>
      <c r="R110" s="294">
        <v>4600000</v>
      </c>
      <c r="S110" s="237" t="s">
        <v>12916</v>
      </c>
      <c r="T110" s="254" t="str">
        <f t="shared" si="3"/>
        <v>=</v>
      </c>
      <c r="X110" s="237"/>
      <c r="Y110" s="237"/>
    </row>
    <row r="111" spans="1:25" s="228" customFormat="1" ht="19.5" customHeight="1" x14ac:dyDescent="0.3">
      <c r="A111" s="253">
        <v>37</v>
      </c>
      <c r="B111" s="233" t="s">
        <v>14990</v>
      </c>
      <c r="C111" s="233" t="s">
        <v>12917</v>
      </c>
      <c r="D111" s="215" t="str">
        <f t="shared" si="2"/>
        <v>DKG&lt;-&gt;Yên Phong, Bắc Ninh</v>
      </c>
      <c r="E111" s="234">
        <v>245</v>
      </c>
      <c r="F111" s="235">
        <v>1200000</v>
      </c>
      <c r="G111" s="294">
        <v>5150000</v>
      </c>
      <c r="H111" s="294">
        <v>4800000</v>
      </c>
      <c r="I111" s="236">
        <v>5050000</v>
      </c>
      <c r="J111" s="236">
        <v>4600000</v>
      </c>
      <c r="K111" s="236">
        <v>5050000</v>
      </c>
      <c r="L111" s="236">
        <v>4600000</v>
      </c>
      <c r="M111" s="236">
        <v>4750000</v>
      </c>
      <c r="N111" s="236">
        <v>4400000</v>
      </c>
      <c r="O111" s="236">
        <v>3980000</v>
      </c>
      <c r="P111" s="236"/>
      <c r="Q111" s="294">
        <v>4750000</v>
      </c>
      <c r="R111" s="294">
        <v>4400000</v>
      </c>
      <c r="S111" s="237" t="s">
        <v>12917</v>
      </c>
      <c r="T111" s="254" t="str">
        <f t="shared" si="3"/>
        <v>=</v>
      </c>
      <c r="X111" s="237"/>
      <c r="Y111" s="237"/>
    </row>
    <row r="112" spans="1:25" s="228" customFormat="1" ht="19.5" customHeight="1" x14ac:dyDescent="0.3">
      <c r="A112" s="253">
        <v>38</v>
      </c>
      <c r="B112" s="233" t="s">
        <v>14990</v>
      </c>
      <c r="C112" s="233" t="s">
        <v>12918</v>
      </c>
      <c r="D112" s="215" t="str">
        <f t="shared" si="2"/>
        <v>DKG&lt;-&gt;Quế Võ, Bắc Ninh</v>
      </c>
      <c r="E112" s="234">
        <v>185</v>
      </c>
      <c r="F112" s="235">
        <v>1200000</v>
      </c>
      <c r="G112" s="294">
        <v>4900000</v>
      </c>
      <c r="H112" s="294">
        <v>4600000</v>
      </c>
      <c r="I112" s="236">
        <v>4900000</v>
      </c>
      <c r="J112" s="236">
        <v>4500000</v>
      </c>
      <c r="K112" s="236">
        <v>4900000</v>
      </c>
      <c r="L112" s="236">
        <v>4500000</v>
      </c>
      <c r="M112" s="236">
        <v>4900000</v>
      </c>
      <c r="N112" s="236">
        <v>4500000</v>
      </c>
      <c r="O112" s="236">
        <v>3980000</v>
      </c>
      <c r="P112" s="236"/>
      <c r="Q112" s="294">
        <v>4900000</v>
      </c>
      <c r="R112" s="294">
        <v>4500000</v>
      </c>
      <c r="S112" s="237" t="s">
        <v>12918</v>
      </c>
      <c r="T112" s="254" t="str">
        <f t="shared" si="3"/>
        <v>=</v>
      </c>
      <c r="X112" s="237"/>
      <c r="Y112" s="237"/>
    </row>
    <row r="113" spans="1:25" s="228" customFormat="1" ht="19.5" customHeight="1" x14ac:dyDescent="0.3">
      <c r="A113" s="253">
        <v>39</v>
      </c>
      <c r="B113" s="233" t="s">
        <v>14991</v>
      </c>
      <c r="C113" s="233" t="s">
        <v>12832</v>
      </c>
      <c r="D113" s="215" t="str">
        <f t="shared" si="2"/>
        <v>DKG&lt;-&gt;TP. Bắc Giang</v>
      </c>
      <c r="E113" s="234">
        <v>265</v>
      </c>
      <c r="F113" s="235">
        <v>1250000</v>
      </c>
      <c r="G113" s="294">
        <v>5300000</v>
      </c>
      <c r="H113" s="294">
        <v>4950000</v>
      </c>
      <c r="I113" s="236">
        <v>5150000</v>
      </c>
      <c r="J113" s="236">
        <v>4700000</v>
      </c>
      <c r="K113" s="236">
        <v>5150000</v>
      </c>
      <c r="L113" s="236">
        <v>4700000</v>
      </c>
      <c r="M113" s="236">
        <v>5150000</v>
      </c>
      <c r="N113" s="236">
        <v>4700000</v>
      </c>
      <c r="O113" s="236"/>
      <c r="P113" s="236"/>
      <c r="Q113" s="294">
        <v>5150000</v>
      </c>
      <c r="R113" s="294">
        <v>4700000</v>
      </c>
      <c r="S113" s="237" t="s">
        <v>9661</v>
      </c>
      <c r="T113" s="254" t="str">
        <f t="shared" si="3"/>
        <v>saiiii</v>
      </c>
      <c r="X113" s="237"/>
      <c r="Y113" s="237"/>
    </row>
    <row r="114" spans="1:25" s="228" customFormat="1" ht="19.5" customHeight="1" x14ac:dyDescent="0.3">
      <c r="A114" s="253">
        <v>40</v>
      </c>
      <c r="B114" s="233" t="s">
        <v>14991</v>
      </c>
      <c r="C114" s="233" t="s">
        <v>13051</v>
      </c>
      <c r="D114" s="215" t="str">
        <f t="shared" si="2"/>
        <v>DKG&lt;-&gt;Dĩnh Kế, Bắc Giang</v>
      </c>
      <c r="E114" s="234">
        <v>255</v>
      </c>
      <c r="F114" s="235">
        <v>1250000</v>
      </c>
      <c r="G114" s="294">
        <v>5250000</v>
      </c>
      <c r="H114" s="294">
        <v>4900000</v>
      </c>
      <c r="I114" s="236">
        <v>5200000</v>
      </c>
      <c r="J114" s="236">
        <v>4750000</v>
      </c>
      <c r="K114" s="236">
        <v>5200000</v>
      </c>
      <c r="L114" s="236">
        <v>4750000</v>
      </c>
      <c r="M114" s="236">
        <v>5200000</v>
      </c>
      <c r="N114" s="236">
        <v>4750000</v>
      </c>
      <c r="O114" s="236"/>
      <c r="P114" s="236"/>
      <c r="Q114" s="294">
        <v>5200000</v>
      </c>
      <c r="R114" s="294">
        <v>4750000</v>
      </c>
      <c r="S114" s="237" t="s">
        <v>13051</v>
      </c>
      <c r="T114" s="254" t="str">
        <f t="shared" si="3"/>
        <v>=</v>
      </c>
      <c r="X114" s="237"/>
      <c r="Y114" s="237"/>
    </row>
    <row r="115" spans="1:25" s="228" customFormat="1" ht="19.5" customHeight="1" x14ac:dyDescent="0.3">
      <c r="A115" s="253">
        <v>41</v>
      </c>
      <c r="B115" s="233" t="s">
        <v>14991</v>
      </c>
      <c r="C115" s="233" t="s">
        <v>12920</v>
      </c>
      <c r="D115" s="215" t="str">
        <f t="shared" si="2"/>
        <v>DKG&lt;-&gt;Hiệp Hòa, Bắc Giang</v>
      </c>
      <c r="E115" s="234">
        <v>280</v>
      </c>
      <c r="F115" s="235">
        <v>1250000</v>
      </c>
      <c r="G115" s="294">
        <v>5500000</v>
      </c>
      <c r="H115" s="294">
        <v>5150000</v>
      </c>
      <c r="I115" s="236">
        <v>5200000</v>
      </c>
      <c r="J115" s="236">
        <v>4950000</v>
      </c>
      <c r="K115" s="236">
        <v>5200000</v>
      </c>
      <c r="L115" s="236">
        <v>4950000</v>
      </c>
      <c r="M115" s="236">
        <v>5200000</v>
      </c>
      <c r="N115" s="236">
        <v>4950000</v>
      </c>
      <c r="O115" s="236"/>
      <c r="P115" s="236" t="s">
        <v>12925</v>
      </c>
      <c r="Q115" s="294">
        <v>5200000</v>
      </c>
      <c r="R115" s="294">
        <v>4950000</v>
      </c>
      <c r="S115" s="237" t="s">
        <v>12920</v>
      </c>
      <c r="T115" s="254" t="str">
        <f t="shared" si="3"/>
        <v>=</v>
      </c>
      <c r="X115" s="237"/>
      <c r="Y115" s="237"/>
    </row>
    <row r="116" spans="1:25" s="228" customFormat="1" ht="19.5" customHeight="1" x14ac:dyDescent="0.3">
      <c r="A116" s="253">
        <v>42</v>
      </c>
      <c r="B116" s="233" t="s">
        <v>14991</v>
      </c>
      <c r="C116" s="233" t="s">
        <v>12921</v>
      </c>
      <c r="D116" s="215" t="str">
        <f t="shared" si="2"/>
        <v>DKG&lt;-&gt;Việt Yên, Bắc Giang</v>
      </c>
      <c r="E116" s="234">
        <v>250</v>
      </c>
      <c r="F116" s="235">
        <v>1250000</v>
      </c>
      <c r="G116" s="294">
        <v>5250000</v>
      </c>
      <c r="H116" s="294">
        <v>4900000</v>
      </c>
      <c r="I116" s="236">
        <v>5250000</v>
      </c>
      <c r="J116" s="236">
        <v>5000000</v>
      </c>
      <c r="K116" s="236">
        <v>5250000</v>
      </c>
      <c r="L116" s="236">
        <v>5000000</v>
      </c>
      <c r="M116" s="236">
        <v>5250000</v>
      </c>
      <c r="N116" s="236">
        <v>5000000</v>
      </c>
      <c r="O116" s="236"/>
      <c r="P116" s="236"/>
      <c r="Q116" s="294">
        <v>5250000</v>
      </c>
      <c r="R116" s="294">
        <v>5000000</v>
      </c>
      <c r="S116" s="237" t="s">
        <v>12921</v>
      </c>
      <c r="T116" s="254" t="str">
        <f t="shared" si="3"/>
        <v>=</v>
      </c>
      <c r="X116" s="237"/>
      <c r="Y116" s="237"/>
    </row>
    <row r="117" spans="1:25" s="228" customFormat="1" ht="19.5" customHeight="1" x14ac:dyDescent="0.3">
      <c r="A117" s="253">
        <v>43</v>
      </c>
      <c r="B117" s="233" t="s">
        <v>14991</v>
      </c>
      <c r="C117" s="233" t="s">
        <v>12922</v>
      </c>
      <c r="D117" s="215" t="str">
        <f t="shared" si="2"/>
        <v>DKG&lt;-&gt;Yên Dũng, Bắc Giang</v>
      </c>
      <c r="E117" s="234">
        <v>255</v>
      </c>
      <c r="F117" s="235">
        <v>1250000</v>
      </c>
      <c r="G117" s="294">
        <v>5300000</v>
      </c>
      <c r="H117" s="294">
        <v>4950000</v>
      </c>
      <c r="I117" s="236">
        <v>5200000</v>
      </c>
      <c r="J117" s="236">
        <v>4950000</v>
      </c>
      <c r="K117" s="236">
        <v>5200000</v>
      </c>
      <c r="L117" s="236">
        <v>4950000</v>
      </c>
      <c r="M117" s="236">
        <v>5200000</v>
      </c>
      <c r="N117" s="236">
        <v>4950000</v>
      </c>
      <c r="O117" s="236"/>
      <c r="P117" s="236"/>
      <c r="Q117" s="294">
        <v>5200000</v>
      </c>
      <c r="R117" s="294">
        <v>4950000</v>
      </c>
      <c r="S117" s="237" t="s">
        <v>12922</v>
      </c>
      <c r="T117" s="254" t="str">
        <f t="shared" si="3"/>
        <v>=</v>
      </c>
      <c r="X117" s="237"/>
      <c r="Y117" s="237"/>
    </row>
    <row r="118" spans="1:25" s="228" customFormat="1" ht="19.5" customHeight="1" x14ac:dyDescent="0.3">
      <c r="A118" s="253">
        <v>44</v>
      </c>
      <c r="B118" s="233" t="s">
        <v>14991</v>
      </c>
      <c r="C118" s="233" t="s">
        <v>12923</v>
      </c>
      <c r="D118" s="215" t="str">
        <f t="shared" si="2"/>
        <v>DKG&lt;-&gt;Lục Ngạn, Bắc Giang</v>
      </c>
      <c r="E118" s="234">
        <v>285</v>
      </c>
      <c r="F118" s="235">
        <v>1250000</v>
      </c>
      <c r="G118" s="294">
        <v>5550000</v>
      </c>
      <c r="H118" s="294">
        <v>5200000</v>
      </c>
      <c r="I118" s="236">
        <v>5250000</v>
      </c>
      <c r="J118" s="236">
        <v>5000000</v>
      </c>
      <c r="K118" s="236">
        <v>5250000</v>
      </c>
      <c r="L118" s="236">
        <v>5000000</v>
      </c>
      <c r="M118" s="236">
        <v>5250000</v>
      </c>
      <c r="N118" s="236">
        <v>5000000</v>
      </c>
      <c r="O118" s="236"/>
      <c r="P118" s="236" t="s">
        <v>12928</v>
      </c>
      <c r="Q118" s="294">
        <v>5250000</v>
      </c>
      <c r="R118" s="294">
        <v>5000000</v>
      </c>
      <c r="S118" s="237" t="s">
        <v>12923</v>
      </c>
      <c r="T118" s="254" t="str">
        <f t="shared" si="3"/>
        <v>=</v>
      </c>
      <c r="X118" s="237"/>
      <c r="Y118" s="237"/>
    </row>
    <row r="119" spans="1:25" s="228" customFormat="1" ht="19.5" customHeight="1" x14ac:dyDescent="0.3">
      <c r="A119" s="253">
        <v>45</v>
      </c>
      <c r="B119" s="233" t="s">
        <v>14991</v>
      </c>
      <c r="C119" s="233" t="s">
        <v>12924</v>
      </c>
      <c r="D119" s="215" t="str">
        <f t="shared" si="2"/>
        <v>DKG&lt;-&gt;Kép, Bắc Giang</v>
      </c>
      <c r="E119" s="234">
        <v>250</v>
      </c>
      <c r="F119" s="235">
        <v>1250000</v>
      </c>
      <c r="G119" s="294">
        <v>0</v>
      </c>
      <c r="H119" s="294">
        <v>0</v>
      </c>
      <c r="I119" s="236">
        <v>0</v>
      </c>
      <c r="J119" s="236">
        <v>0</v>
      </c>
      <c r="K119" s="236">
        <v>0</v>
      </c>
      <c r="L119" s="236">
        <v>0</v>
      </c>
      <c r="M119" s="236">
        <v>0</v>
      </c>
      <c r="N119" s="236">
        <v>0</v>
      </c>
      <c r="O119" s="236">
        <v>4400000</v>
      </c>
      <c r="P119" s="236"/>
      <c r="Q119" s="294">
        <v>0</v>
      </c>
      <c r="R119" s="294">
        <v>0</v>
      </c>
      <c r="S119" s="237" t="s">
        <v>12924</v>
      </c>
      <c r="T119" s="254" t="str">
        <f t="shared" si="3"/>
        <v>=</v>
      </c>
      <c r="X119" s="237"/>
      <c r="Y119" s="237"/>
    </row>
    <row r="120" spans="1:25" s="228" customFormat="1" ht="19.5" customHeight="1" x14ac:dyDescent="0.3">
      <c r="A120" s="253">
        <v>46</v>
      </c>
      <c r="B120" s="233" t="s">
        <v>14991</v>
      </c>
      <c r="C120" s="233" t="s">
        <v>12925</v>
      </c>
      <c r="D120" s="215" t="str">
        <f t="shared" si="2"/>
        <v>DKG&lt;-&gt;Vôi, Bắc Giang</v>
      </c>
      <c r="E120" s="234">
        <v>245</v>
      </c>
      <c r="F120" s="235">
        <v>1250000</v>
      </c>
      <c r="G120" s="294">
        <v>0</v>
      </c>
      <c r="H120" s="294">
        <v>0</v>
      </c>
      <c r="I120" s="236">
        <v>0</v>
      </c>
      <c r="J120" s="236">
        <v>0</v>
      </c>
      <c r="K120" s="236">
        <v>0</v>
      </c>
      <c r="L120" s="236">
        <v>0</v>
      </c>
      <c r="M120" s="236">
        <v>0</v>
      </c>
      <c r="N120" s="236">
        <v>0</v>
      </c>
      <c r="O120" s="236">
        <v>4400000</v>
      </c>
      <c r="P120" s="236"/>
      <c r="Q120" s="294">
        <v>0</v>
      </c>
      <c r="R120" s="294">
        <v>0</v>
      </c>
      <c r="S120" s="237" t="s">
        <v>12925</v>
      </c>
      <c r="T120" s="254" t="str">
        <f t="shared" si="3"/>
        <v>=</v>
      </c>
      <c r="X120" s="237"/>
      <c r="Y120" s="237"/>
    </row>
    <row r="121" spans="1:25" s="228" customFormat="1" ht="19.5" customHeight="1" x14ac:dyDescent="0.3">
      <c r="A121" s="253">
        <v>47</v>
      </c>
      <c r="B121" s="233" t="s">
        <v>14991</v>
      </c>
      <c r="C121" s="233" t="s">
        <v>12926</v>
      </c>
      <c r="D121" s="215" t="str">
        <f t="shared" si="2"/>
        <v>DKG&lt;-&gt;Đồi Ngô, Bắc Giang</v>
      </c>
      <c r="E121" s="234">
        <v>215</v>
      </c>
      <c r="F121" s="235">
        <v>1250000</v>
      </c>
      <c r="G121" s="294">
        <v>0</v>
      </c>
      <c r="H121" s="294">
        <v>0</v>
      </c>
      <c r="I121" s="236">
        <v>0</v>
      </c>
      <c r="J121" s="236">
        <v>0</v>
      </c>
      <c r="K121" s="236">
        <v>0</v>
      </c>
      <c r="L121" s="236">
        <v>0</v>
      </c>
      <c r="M121" s="236">
        <v>0</v>
      </c>
      <c r="N121" s="236">
        <v>0</v>
      </c>
      <c r="O121" s="236">
        <v>4400000</v>
      </c>
      <c r="P121" s="236"/>
      <c r="Q121" s="294">
        <v>0</v>
      </c>
      <c r="R121" s="294">
        <v>0</v>
      </c>
      <c r="S121" s="237" t="s">
        <v>12926</v>
      </c>
      <c r="T121" s="254" t="str">
        <f t="shared" si="3"/>
        <v>=</v>
      </c>
      <c r="X121" s="237"/>
      <c r="Y121" s="237"/>
    </row>
    <row r="122" spans="1:25" s="228" customFormat="1" ht="19.5" customHeight="1" x14ac:dyDescent="0.3">
      <c r="A122" s="253">
        <v>48</v>
      </c>
      <c r="B122" s="233" t="s">
        <v>14991</v>
      </c>
      <c r="C122" s="233" t="s">
        <v>12927</v>
      </c>
      <c r="D122" s="215" t="str">
        <f t="shared" si="2"/>
        <v>DKG&lt;-&gt;Lục Nam, Bắc Giang</v>
      </c>
      <c r="E122" s="234">
        <v>220</v>
      </c>
      <c r="F122" s="235">
        <v>1250000</v>
      </c>
      <c r="G122" s="294">
        <v>0</v>
      </c>
      <c r="H122" s="294">
        <v>0</v>
      </c>
      <c r="I122" s="236">
        <v>0</v>
      </c>
      <c r="J122" s="236">
        <v>0</v>
      </c>
      <c r="K122" s="236">
        <v>0</v>
      </c>
      <c r="L122" s="236">
        <v>0</v>
      </c>
      <c r="M122" s="236">
        <v>0</v>
      </c>
      <c r="N122" s="236">
        <v>0</v>
      </c>
      <c r="O122" s="236">
        <v>4400000</v>
      </c>
      <c r="P122" s="236"/>
      <c r="Q122" s="294">
        <v>0</v>
      </c>
      <c r="R122" s="294">
        <v>0</v>
      </c>
      <c r="S122" s="237" t="s">
        <v>12927</v>
      </c>
      <c r="T122" s="254" t="str">
        <f t="shared" si="3"/>
        <v>=</v>
      </c>
      <c r="X122" s="237"/>
      <c r="Y122" s="237"/>
    </row>
    <row r="123" spans="1:25" s="228" customFormat="1" ht="19.5" customHeight="1" x14ac:dyDescent="0.3">
      <c r="A123" s="253">
        <v>49</v>
      </c>
      <c r="B123" s="233" t="s">
        <v>14991</v>
      </c>
      <c r="C123" s="233" t="s">
        <v>12928</v>
      </c>
      <c r="D123" s="215" t="str">
        <f t="shared" si="2"/>
        <v>DKG&lt;-&gt;Lạng Giang, Bắc Giang</v>
      </c>
      <c r="E123" s="234">
        <v>250</v>
      </c>
      <c r="F123" s="235">
        <v>1250000</v>
      </c>
      <c r="G123" s="294">
        <v>0</v>
      </c>
      <c r="H123" s="294">
        <v>0</v>
      </c>
      <c r="I123" s="294">
        <v>0</v>
      </c>
      <c r="J123" s="294">
        <v>0</v>
      </c>
      <c r="K123" s="294">
        <v>0</v>
      </c>
      <c r="L123" s="294">
        <v>0</v>
      </c>
      <c r="M123" s="294">
        <v>0</v>
      </c>
      <c r="N123" s="294">
        <v>0</v>
      </c>
      <c r="O123" s="236">
        <v>4400000</v>
      </c>
      <c r="P123" s="236"/>
      <c r="Q123" s="294">
        <v>0</v>
      </c>
      <c r="R123" s="294">
        <v>0</v>
      </c>
      <c r="S123" s="237" t="s">
        <v>12928</v>
      </c>
      <c r="T123" s="254" t="str">
        <f t="shared" si="3"/>
        <v>=</v>
      </c>
      <c r="X123" s="237"/>
      <c r="Y123" s="237"/>
    </row>
    <row r="124" spans="1:25" s="228" customFormat="1" ht="19.5" customHeight="1" x14ac:dyDescent="0.3">
      <c r="A124" s="253">
        <v>50</v>
      </c>
      <c r="B124" s="233" t="s">
        <v>14991</v>
      </c>
      <c r="C124" s="233" t="s">
        <v>12929</v>
      </c>
      <c r="D124" s="215" t="str">
        <f t="shared" si="2"/>
        <v>DKG&lt;-&gt;Yên Thế, Bắc Giang</v>
      </c>
      <c r="E124" s="234">
        <v>290</v>
      </c>
      <c r="F124" s="235">
        <v>1250000</v>
      </c>
      <c r="G124" s="294">
        <v>0</v>
      </c>
      <c r="H124" s="294">
        <v>0</v>
      </c>
      <c r="I124" s="236">
        <v>0</v>
      </c>
      <c r="J124" s="236">
        <v>0</v>
      </c>
      <c r="K124" s="236">
        <v>0</v>
      </c>
      <c r="L124" s="236">
        <v>0</v>
      </c>
      <c r="M124" s="236">
        <v>0</v>
      </c>
      <c r="N124" s="236">
        <v>0</v>
      </c>
      <c r="O124" s="236">
        <v>4900000</v>
      </c>
      <c r="P124" s="236"/>
      <c r="Q124" s="294">
        <v>0</v>
      </c>
      <c r="R124" s="294">
        <v>0</v>
      </c>
      <c r="S124" s="237" t="s">
        <v>12929</v>
      </c>
      <c r="T124" s="254" t="str">
        <f t="shared" si="3"/>
        <v>=</v>
      </c>
      <c r="X124" s="237"/>
      <c r="Y124" s="237"/>
    </row>
    <row r="125" spans="1:25" s="228" customFormat="1" ht="19.5" customHeight="1" x14ac:dyDescent="0.3">
      <c r="A125" s="253">
        <v>51</v>
      </c>
      <c r="B125" s="233" t="s">
        <v>14991</v>
      </c>
      <c r="C125" s="233" t="s">
        <v>12921</v>
      </c>
      <c r="D125" s="215" t="str">
        <f t="shared" si="2"/>
        <v>DKG&lt;-&gt;Việt Yên, Bắc Giang</v>
      </c>
      <c r="E125" s="234">
        <v>250</v>
      </c>
      <c r="F125" s="235">
        <v>1250000</v>
      </c>
      <c r="G125" s="294">
        <v>0</v>
      </c>
      <c r="H125" s="294">
        <v>0</v>
      </c>
      <c r="I125" s="236">
        <v>0</v>
      </c>
      <c r="J125" s="236">
        <v>0</v>
      </c>
      <c r="K125" s="236">
        <v>0</v>
      </c>
      <c r="L125" s="236">
        <v>0</v>
      </c>
      <c r="M125" s="236">
        <v>0</v>
      </c>
      <c r="N125" s="236">
        <v>0</v>
      </c>
      <c r="O125" s="236">
        <v>4400000</v>
      </c>
      <c r="P125" s="236"/>
      <c r="Q125" s="294">
        <v>0</v>
      </c>
      <c r="R125" s="294">
        <v>0</v>
      </c>
      <c r="S125" s="237" t="s">
        <v>12921</v>
      </c>
      <c r="T125" s="254" t="str">
        <f t="shared" si="3"/>
        <v>=</v>
      </c>
      <c r="X125" s="237"/>
      <c r="Y125" s="237"/>
    </row>
    <row r="126" spans="1:25" s="228" customFormat="1" ht="19.5" customHeight="1" x14ac:dyDescent="0.3">
      <c r="A126" s="253">
        <v>52</v>
      </c>
      <c r="B126" s="233" t="s">
        <v>14991</v>
      </c>
      <c r="C126" s="233" t="s">
        <v>12930</v>
      </c>
      <c r="D126" s="215" t="str">
        <f t="shared" si="2"/>
        <v>DKG&lt;-&gt;Bố Hạ, Bắc Giang</v>
      </c>
      <c r="E126" s="234">
        <v>275</v>
      </c>
      <c r="F126" s="235">
        <v>1250000</v>
      </c>
      <c r="G126" s="294">
        <v>0</v>
      </c>
      <c r="H126" s="294">
        <v>0</v>
      </c>
      <c r="I126" s="236">
        <v>0</v>
      </c>
      <c r="J126" s="236">
        <v>0</v>
      </c>
      <c r="K126" s="236">
        <v>0</v>
      </c>
      <c r="L126" s="236">
        <v>0</v>
      </c>
      <c r="M126" s="236">
        <v>0</v>
      </c>
      <c r="N126" s="236">
        <v>0</v>
      </c>
      <c r="O126" s="236">
        <v>4900000</v>
      </c>
      <c r="P126" s="236"/>
      <c r="Q126" s="294">
        <v>0</v>
      </c>
      <c r="R126" s="294">
        <v>0</v>
      </c>
      <c r="S126" s="237" t="s">
        <v>12930</v>
      </c>
      <c r="T126" s="254" t="str">
        <f t="shared" si="3"/>
        <v>=</v>
      </c>
      <c r="X126" s="237"/>
      <c r="Y126" s="237"/>
    </row>
    <row r="127" spans="1:25" s="228" customFormat="1" ht="19.5" customHeight="1" x14ac:dyDescent="0.3">
      <c r="A127" s="253">
        <v>53</v>
      </c>
      <c r="B127" s="233" t="s">
        <v>10493</v>
      </c>
      <c r="C127" s="233" t="s">
        <v>12931</v>
      </c>
      <c r="D127" s="215" t="str">
        <f t="shared" si="2"/>
        <v>DKG&lt;-&gt;Gia Lâm, Hà Nội</v>
      </c>
      <c r="E127" s="234">
        <v>196</v>
      </c>
      <c r="F127" s="235">
        <v>1200000</v>
      </c>
      <c r="G127" s="294">
        <v>4650000</v>
      </c>
      <c r="H127" s="294">
        <v>4400000</v>
      </c>
      <c r="I127" s="236">
        <v>4650000</v>
      </c>
      <c r="J127" s="236">
        <v>4300000</v>
      </c>
      <c r="K127" s="236">
        <v>4650000</v>
      </c>
      <c r="L127" s="236">
        <v>4300000</v>
      </c>
      <c r="M127" s="236">
        <v>4700000</v>
      </c>
      <c r="N127" s="236">
        <v>4300000</v>
      </c>
      <c r="O127" s="236">
        <v>3980000</v>
      </c>
      <c r="P127" s="236"/>
      <c r="Q127" s="295">
        <v>4700000</v>
      </c>
      <c r="R127" s="294">
        <v>4300000</v>
      </c>
      <c r="S127" s="237" t="s">
        <v>12931</v>
      </c>
      <c r="T127" s="254" t="str">
        <f t="shared" si="3"/>
        <v>=</v>
      </c>
      <c r="X127" s="237"/>
      <c r="Y127" s="237"/>
    </row>
    <row r="128" spans="1:25" s="228" customFormat="1" ht="19.5" customHeight="1" x14ac:dyDescent="0.3">
      <c r="A128" s="253">
        <v>54</v>
      </c>
      <c r="B128" s="233" t="s">
        <v>10493</v>
      </c>
      <c r="C128" s="233" t="s">
        <v>12932</v>
      </c>
      <c r="D128" s="215" t="str">
        <f t="shared" si="2"/>
        <v>DKG&lt;-&gt;Đông Anh, Hà Nội</v>
      </c>
      <c r="E128" s="234">
        <v>260</v>
      </c>
      <c r="F128" s="235">
        <v>1200000</v>
      </c>
      <c r="G128" s="294">
        <v>5050000</v>
      </c>
      <c r="H128" s="294">
        <v>4800000</v>
      </c>
      <c r="I128" s="236">
        <v>4900000</v>
      </c>
      <c r="J128" s="236">
        <v>4550000</v>
      </c>
      <c r="K128" s="236">
        <v>4900000</v>
      </c>
      <c r="L128" s="236">
        <v>4550000</v>
      </c>
      <c r="M128" s="236">
        <v>4850000</v>
      </c>
      <c r="N128" s="236">
        <v>4450000</v>
      </c>
      <c r="O128" s="236">
        <v>3980000</v>
      </c>
      <c r="P128" s="236"/>
      <c r="Q128" s="295">
        <v>4850000</v>
      </c>
      <c r="R128" s="294">
        <v>4450000</v>
      </c>
      <c r="S128" s="237" t="s">
        <v>12932</v>
      </c>
      <c r="T128" s="254" t="str">
        <f t="shared" si="3"/>
        <v>=</v>
      </c>
      <c r="X128" s="237"/>
      <c r="Y128" s="237"/>
    </row>
    <row r="129" spans="1:25" s="228" customFormat="1" ht="19.5" customHeight="1" x14ac:dyDescent="0.3">
      <c r="A129" s="253">
        <v>55</v>
      </c>
      <c r="B129" s="233" t="s">
        <v>10493</v>
      </c>
      <c r="C129" s="233" t="s">
        <v>12933</v>
      </c>
      <c r="D129" s="215" t="str">
        <f t="shared" si="2"/>
        <v>DKG&lt;-&gt;Sóc Sơn, Hà Nội</v>
      </c>
      <c r="E129" s="234">
        <v>285</v>
      </c>
      <c r="F129" s="235">
        <v>1200000</v>
      </c>
      <c r="G129" s="294">
        <v>5300000</v>
      </c>
      <c r="H129" s="294">
        <v>4650000</v>
      </c>
      <c r="I129" s="236">
        <v>5050000</v>
      </c>
      <c r="J129" s="236">
        <v>4800000</v>
      </c>
      <c r="K129" s="236">
        <v>5050000</v>
      </c>
      <c r="L129" s="236">
        <v>4800000</v>
      </c>
      <c r="M129" s="236">
        <v>5150000</v>
      </c>
      <c r="N129" s="236">
        <v>4800000</v>
      </c>
      <c r="O129" s="236">
        <v>4100000</v>
      </c>
      <c r="P129" s="236"/>
      <c r="Q129" s="295">
        <v>5150000</v>
      </c>
      <c r="R129" s="294">
        <v>4800000</v>
      </c>
      <c r="S129" s="237" t="s">
        <v>12933</v>
      </c>
      <c r="T129" s="254" t="str">
        <f t="shared" si="3"/>
        <v>=</v>
      </c>
      <c r="X129" s="237"/>
      <c r="Y129" s="237"/>
    </row>
    <row r="130" spans="1:25" s="228" customFormat="1" ht="19.5" customHeight="1" x14ac:dyDescent="0.3">
      <c r="A130" s="253">
        <v>56</v>
      </c>
      <c r="B130" s="233" t="s">
        <v>10493</v>
      </c>
      <c r="C130" s="233" t="s">
        <v>12934</v>
      </c>
      <c r="D130" s="215" t="str">
        <f t="shared" si="2"/>
        <v>DKG&lt;-&gt;Ngọc Hồi, Hà Nội</v>
      </c>
      <c r="E130" s="234">
        <v>250</v>
      </c>
      <c r="F130" s="235">
        <v>1200000</v>
      </c>
      <c r="G130" s="294">
        <v>5050000</v>
      </c>
      <c r="H130" s="294">
        <v>4700000</v>
      </c>
      <c r="I130" s="236">
        <v>5050000</v>
      </c>
      <c r="J130" s="236">
        <v>4600000</v>
      </c>
      <c r="K130" s="236">
        <v>5050000</v>
      </c>
      <c r="L130" s="236">
        <v>4600000</v>
      </c>
      <c r="M130" s="236">
        <v>5050000</v>
      </c>
      <c r="N130" s="236">
        <v>4600000</v>
      </c>
      <c r="O130" s="236"/>
      <c r="P130" s="236"/>
      <c r="Q130" s="294">
        <v>5050000</v>
      </c>
      <c r="R130" s="294">
        <v>4600000</v>
      </c>
      <c r="S130" s="237" t="s">
        <v>12934</v>
      </c>
      <c r="T130" s="254" t="str">
        <f t="shared" si="3"/>
        <v>=</v>
      </c>
      <c r="X130" s="237"/>
      <c r="Y130" s="237"/>
    </row>
    <row r="131" spans="1:25" s="228" customFormat="1" ht="19.5" customHeight="1" x14ac:dyDescent="0.3">
      <c r="A131" s="253">
        <v>57</v>
      </c>
      <c r="B131" s="233" t="s">
        <v>10493</v>
      </c>
      <c r="C131" s="233" t="s">
        <v>12935</v>
      </c>
      <c r="D131" s="215" t="str">
        <f t="shared" si="2"/>
        <v>DKG&lt;-&gt;Văn Điển, Hà Nội</v>
      </c>
      <c r="E131" s="234">
        <v>240</v>
      </c>
      <c r="F131" s="235">
        <v>1200000</v>
      </c>
      <c r="G131" s="294">
        <v>5000000</v>
      </c>
      <c r="H131" s="294">
        <v>4650000</v>
      </c>
      <c r="I131" s="236">
        <v>5000000</v>
      </c>
      <c r="J131" s="236">
        <v>4550000</v>
      </c>
      <c r="K131" s="236">
        <v>5000000</v>
      </c>
      <c r="L131" s="236">
        <v>4550000</v>
      </c>
      <c r="M131" s="236">
        <v>5000000</v>
      </c>
      <c r="N131" s="236">
        <v>4550000</v>
      </c>
      <c r="O131" s="236"/>
      <c r="P131" s="236"/>
      <c r="Q131" s="294">
        <v>5000000</v>
      </c>
      <c r="R131" s="294">
        <v>4550000</v>
      </c>
      <c r="S131" s="237" t="s">
        <v>12935</v>
      </c>
      <c r="T131" s="254" t="str">
        <f t="shared" si="3"/>
        <v>=</v>
      </c>
      <c r="X131" s="237"/>
      <c r="Y131" s="237"/>
    </row>
    <row r="132" spans="1:25" s="228" customFormat="1" ht="19.5" customHeight="1" x14ac:dyDescent="0.3">
      <c r="A132" s="253">
        <v>58</v>
      </c>
      <c r="B132" s="233" t="s">
        <v>10493</v>
      </c>
      <c r="C132" s="233" t="s">
        <v>12936</v>
      </c>
      <c r="D132" s="215" t="str">
        <f t="shared" si="2"/>
        <v>DKG&lt;-&gt;Thanh Trì, Hà Nội</v>
      </c>
      <c r="E132" s="234">
        <v>260</v>
      </c>
      <c r="F132" s="235">
        <v>1200000</v>
      </c>
      <c r="G132" s="294">
        <v>5050000</v>
      </c>
      <c r="H132" s="294">
        <v>4700000</v>
      </c>
      <c r="I132" s="236">
        <v>5000000</v>
      </c>
      <c r="J132" s="236">
        <v>4550000</v>
      </c>
      <c r="K132" s="236">
        <v>5000000</v>
      </c>
      <c r="L132" s="236">
        <v>4550000</v>
      </c>
      <c r="M132" s="236">
        <v>5000000</v>
      </c>
      <c r="N132" s="236">
        <v>4550000</v>
      </c>
      <c r="O132" s="236">
        <v>4000000</v>
      </c>
      <c r="P132" s="236"/>
      <c r="Q132" s="294">
        <v>5000000</v>
      </c>
      <c r="R132" s="294">
        <v>4550000</v>
      </c>
      <c r="S132" s="237" t="s">
        <v>12936</v>
      </c>
      <c r="T132" s="254" t="str">
        <f t="shared" si="3"/>
        <v>=</v>
      </c>
      <c r="X132" s="237"/>
      <c r="Y132" s="237"/>
    </row>
    <row r="133" spans="1:25" s="228" customFormat="1" ht="19.5" customHeight="1" x14ac:dyDescent="0.3">
      <c r="A133" s="253">
        <v>59</v>
      </c>
      <c r="B133" s="233" t="s">
        <v>10493</v>
      </c>
      <c r="C133" s="233" t="s">
        <v>12937</v>
      </c>
      <c r="D133" s="215" t="str">
        <f t="shared" si="2"/>
        <v>DKG&lt;-&gt;Trường Chinh, Hà Nội</v>
      </c>
      <c r="E133" s="234">
        <v>250</v>
      </c>
      <c r="F133" s="235">
        <v>1200000</v>
      </c>
      <c r="G133" s="294">
        <v>5050000</v>
      </c>
      <c r="H133" s="294">
        <v>4700000</v>
      </c>
      <c r="I133" s="236">
        <v>5050000</v>
      </c>
      <c r="J133" s="236">
        <v>4600000</v>
      </c>
      <c r="K133" s="236">
        <v>5050000</v>
      </c>
      <c r="L133" s="236">
        <v>4600000</v>
      </c>
      <c r="M133" s="236">
        <v>5050000</v>
      </c>
      <c r="N133" s="236">
        <v>4600000</v>
      </c>
      <c r="O133" s="236"/>
      <c r="P133" s="236"/>
      <c r="Q133" s="294">
        <v>5050000</v>
      </c>
      <c r="R133" s="294">
        <v>4600000</v>
      </c>
      <c r="S133" s="237" t="s">
        <v>12937</v>
      </c>
      <c r="T133" s="254" t="str">
        <f t="shared" si="3"/>
        <v>=</v>
      </c>
      <c r="X133" s="237"/>
      <c r="Y133" s="237"/>
    </row>
    <row r="134" spans="1:25" s="228" customFormat="1" ht="19.5" customHeight="1" x14ac:dyDescent="0.3">
      <c r="A134" s="253">
        <v>60</v>
      </c>
      <c r="B134" s="233" t="s">
        <v>10493</v>
      </c>
      <c r="C134" s="233" t="s">
        <v>12938</v>
      </c>
      <c r="D134" s="215" t="str">
        <f t="shared" si="2"/>
        <v>DKG&lt;-&gt;Đỗ Xá, Hà Nội</v>
      </c>
      <c r="E134" s="234">
        <v>296</v>
      </c>
      <c r="F134" s="235">
        <v>1200000</v>
      </c>
      <c r="G134" s="294">
        <v>5400000</v>
      </c>
      <c r="H134" s="294">
        <v>4700000</v>
      </c>
      <c r="I134" s="236">
        <v>5200000</v>
      </c>
      <c r="J134" s="236">
        <v>4750000</v>
      </c>
      <c r="K134" s="236">
        <v>5200000</v>
      </c>
      <c r="L134" s="236">
        <v>4750000</v>
      </c>
      <c r="M134" s="236">
        <v>5100000</v>
      </c>
      <c r="N134" s="236">
        <v>4700000</v>
      </c>
      <c r="O134" s="236"/>
      <c r="P134" s="236"/>
      <c r="Q134" s="295">
        <v>5100000</v>
      </c>
      <c r="R134" s="294">
        <v>4700000</v>
      </c>
      <c r="S134" s="237" t="s">
        <v>12938</v>
      </c>
      <c r="T134" s="254" t="str">
        <f t="shared" si="3"/>
        <v>=</v>
      </c>
      <c r="X134" s="237"/>
      <c r="Y134" s="237"/>
    </row>
    <row r="135" spans="1:25" s="228" customFormat="1" ht="19.5" customHeight="1" x14ac:dyDescent="0.3">
      <c r="A135" s="253">
        <v>61</v>
      </c>
      <c r="B135" s="233" t="s">
        <v>10493</v>
      </c>
      <c r="C135" s="233" t="s">
        <v>12939</v>
      </c>
      <c r="D135" s="215" t="str">
        <f t="shared" si="2"/>
        <v>DKG&lt;-&gt;Thường Tín, Hà Nội</v>
      </c>
      <c r="E135" s="234">
        <v>296</v>
      </c>
      <c r="F135" s="235">
        <v>1200000</v>
      </c>
      <c r="G135" s="294">
        <v>5400000</v>
      </c>
      <c r="H135" s="294">
        <v>4700000</v>
      </c>
      <c r="I135" s="236">
        <v>5200000</v>
      </c>
      <c r="J135" s="236">
        <v>4850000</v>
      </c>
      <c r="K135" s="236">
        <v>5200000</v>
      </c>
      <c r="L135" s="236">
        <v>4850000</v>
      </c>
      <c r="M135" s="236">
        <v>5100000</v>
      </c>
      <c r="N135" s="236">
        <v>4800000</v>
      </c>
      <c r="O135" s="236"/>
      <c r="P135" s="236"/>
      <c r="Q135" s="295">
        <v>5100000</v>
      </c>
      <c r="R135" s="294">
        <v>4800000</v>
      </c>
      <c r="S135" s="237" t="s">
        <v>12939</v>
      </c>
      <c r="T135" s="254" t="str">
        <f t="shared" si="3"/>
        <v>=</v>
      </c>
      <c r="X135" s="237"/>
      <c r="Y135" s="237"/>
    </row>
    <row r="136" spans="1:25" s="228" customFormat="1" ht="19.5" customHeight="1" x14ac:dyDescent="0.3">
      <c r="A136" s="253">
        <v>62</v>
      </c>
      <c r="B136" s="233" t="s">
        <v>10493</v>
      </c>
      <c r="C136" s="233" t="s">
        <v>12940</v>
      </c>
      <c r="D136" s="215" t="str">
        <f t="shared" ref="D136:D199" si="4">CONCATENATE("DKG&lt;-&gt;",C136,IF(C136="TP",". ",", "),B136)</f>
        <v>DKG&lt;-&gt;Đan Phượng, Hà Nội</v>
      </c>
      <c r="E136" s="234">
        <v>300</v>
      </c>
      <c r="F136" s="235">
        <v>1200000</v>
      </c>
      <c r="G136" s="294">
        <v>5350000</v>
      </c>
      <c r="H136" s="294">
        <v>4750000</v>
      </c>
      <c r="I136" s="236">
        <v>5150000</v>
      </c>
      <c r="J136" s="236">
        <v>4800000</v>
      </c>
      <c r="K136" s="236">
        <v>5150000</v>
      </c>
      <c r="L136" s="236">
        <v>4800000</v>
      </c>
      <c r="M136" s="236">
        <v>5050000</v>
      </c>
      <c r="N136" s="236">
        <v>4750000</v>
      </c>
      <c r="O136" s="236">
        <v>4100000</v>
      </c>
      <c r="P136" s="236"/>
      <c r="Q136" s="295">
        <v>5050000</v>
      </c>
      <c r="R136" s="294">
        <v>4750000</v>
      </c>
      <c r="S136" s="237" t="s">
        <v>12940</v>
      </c>
      <c r="T136" s="254" t="str">
        <f t="shared" ref="T136:T199" si="5">IF(S136=C136,"=","saiiii")</f>
        <v>=</v>
      </c>
      <c r="X136" s="237"/>
      <c r="Y136" s="237"/>
    </row>
    <row r="137" spans="1:25" s="228" customFormat="1" ht="19.5" customHeight="1" x14ac:dyDescent="0.3">
      <c r="A137" s="253">
        <v>63</v>
      </c>
      <c r="B137" s="233" t="s">
        <v>10493</v>
      </c>
      <c r="C137" s="233" t="s">
        <v>12941</v>
      </c>
      <c r="D137" s="215" t="str">
        <f t="shared" si="4"/>
        <v>DKG&lt;-&gt;Phúc Thọ, Hà Nội</v>
      </c>
      <c r="E137" s="234">
        <v>315</v>
      </c>
      <c r="F137" s="235">
        <v>1200000</v>
      </c>
      <c r="G137" s="294">
        <v>5550000</v>
      </c>
      <c r="H137" s="294">
        <v>4950000</v>
      </c>
      <c r="I137" s="236">
        <v>5350000</v>
      </c>
      <c r="J137" s="236">
        <v>4900000</v>
      </c>
      <c r="K137" s="236">
        <v>5350000</v>
      </c>
      <c r="L137" s="236">
        <v>4900000</v>
      </c>
      <c r="M137" s="236">
        <v>5800000</v>
      </c>
      <c r="N137" s="236">
        <v>4900000</v>
      </c>
      <c r="O137" s="236">
        <v>4100000</v>
      </c>
      <c r="P137" s="236"/>
      <c r="Q137" s="295">
        <v>5800000</v>
      </c>
      <c r="R137" s="294">
        <v>4900000</v>
      </c>
      <c r="S137" s="237" t="s">
        <v>12941</v>
      </c>
      <c r="T137" s="254" t="str">
        <f t="shared" si="5"/>
        <v>=</v>
      </c>
      <c r="X137" s="237"/>
      <c r="Y137" s="237"/>
    </row>
    <row r="138" spans="1:25" s="228" customFormat="1" ht="19.5" customHeight="1" x14ac:dyDescent="0.3">
      <c r="A138" s="253">
        <v>64</v>
      </c>
      <c r="B138" s="233" t="s">
        <v>10493</v>
      </c>
      <c r="C138" s="233" t="s">
        <v>12942</v>
      </c>
      <c r="D138" s="215" t="str">
        <f t="shared" si="4"/>
        <v>DKG&lt;-&gt;Sơn Tây, Hà Nội</v>
      </c>
      <c r="E138" s="234">
        <v>325</v>
      </c>
      <c r="F138" s="235">
        <v>1300000</v>
      </c>
      <c r="G138" s="294">
        <v>6000000</v>
      </c>
      <c r="H138" s="294">
        <v>5250000</v>
      </c>
      <c r="I138" s="236">
        <v>5800000</v>
      </c>
      <c r="J138" s="236">
        <v>5200000</v>
      </c>
      <c r="K138" s="236">
        <v>5800000</v>
      </c>
      <c r="L138" s="236">
        <v>5200000</v>
      </c>
      <c r="M138" s="236">
        <v>5800000</v>
      </c>
      <c r="N138" s="236">
        <v>5200000</v>
      </c>
      <c r="O138" s="236"/>
      <c r="P138" s="236"/>
      <c r="Q138" s="294">
        <v>5800000</v>
      </c>
      <c r="R138" s="294">
        <v>5200000</v>
      </c>
      <c r="S138" s="237" t="s">
        <v>12942</v>
      </c>
      <c r="T138" s="254" t="str">
        <f t="shared" si="5"/>
        <v>=</v>
      </c>
      <c r="X138" s="237"/>
      <c r="Y138" s="237"/>
    </row>
    <row r="139" spans="1:25" s="228" customFormat="1" ht="19.5" customHeight="1" x14ac:dyDescent="0.3">
      <c r="A139" s="253">
        <v>65</v>
      </c>
      <c r="B139" s="233" t="s">
        <v>10493</v>
      </c>
      <c r="C139" s="233" t="s">
        <v>12943</v>
      </c>
      <c r="D139" s="215" t="str">
        <f t="shared" si="4"/>
        <v>DKG&lt;-&gt;Ba Vì, Hà Nội</v>
      </c>
      <c r="E139" s="234">
        <v>350</v>
      </c>
      <c r="F139" s="235">
        <v>1300000</v>
      </c>
      <c r="G139" s="294">
        <v>6000000</v>
      </c>
      <c r="H139" s="294">
        <v>4900000</v>
      </c>
      <c r="I139" s="236">
        <v>5800000</v>
      </c>
      <c r="J139" s="236">
        <v>5250000</v>
      </c>
      <c r="K139" s="236">
        <v>5800000</v>
      </c>
      <c r="L139" s="236">
        <v>5250000</v>
      </c>
      <c r="M139" s="236">
        <v>5750000</v>
      </c>
      <c r="N139" s="236">
        <v>5200000</v>
      </c>
      <c r="O139" s="236">
        <v>4500000</v>
      </c>
      <c r="P139" s="236"/>
      <c r="Q139" s="294">
        <v>5750000</v>
      </c>
      <c r="R139" s="294">
        <v>5200000</v>
      </c>
      <c r="S139" s="237" t="s">
        <v>12943</v>
      </c>
      <c r="T139" s="254" t="str">
        <f t="shared" si="5"/>
        <v>=</v>
      </c>
      <c r="X139" s="237"/>
      <c r="Y139" s="237"/>
    </row>
    <row r="140" spans="1:25" s="228" customFormat="1" ht="19.5" customHeight="1" x14ac:dyDescent="0.3">
      <c r="A140" s="253">
        <v>66</v>
      </c>
      <c r="B140" s="233" t="s">
        <v>10493</v>
      </c>
      <c r="C140" s="233" t="s">
        <v>12944</v>
      </c>
      <c r="D140" s="215" t="str">
        <f t="shared" si="4"/>
        <v>DKG&lt;-&gt;Hà Đông, Hà Nội</v>
      </c>
      <c r="E140" s="234">
        <v>280</v>
      </c>
      <c r="F140" s="235">
        <v>1200000</v>
      </c>
      <c r="G140" s="294">
        <v>5200000</v>
      </c>
      <c r="H140" s="294">
        <v>4550000</v>
      </c>
      <c r="I140" s="236">
        <v>5000000</v>
      </c>
      <c r="J140" s="236">
        <v>4750000</v>
      </c>
      <c r="K140" s="236">
        <v>5000000</v>
      </c>
      <c r="L140" s="236">
        <v>4750000</v>
      </c>
      <c r="M140" s="236">
        <v>5100000</v>
      </c>
      <c r="N140" s="236">
        <v>4750000</v>
      </c>
      <c r="O140" s="236"/>
      <c r="P140" s="236" t="s">
        <v>13639</v>
      </c>
      <c r="Q140" s="295">
        <v>5100000</v>
      </c>
      <c r="R140" s="294">
        <v>4750000</v>
      </c>
      <c r="S140" s="237" t="s">
        <v>12944</v>
      </c>
      <c r="T140" s="254" t="str">
        <f t="shared" si="5"/>
        <v>=</v>
      </c>
      <c r="X140" s="237"/>
      <c r="Y140" s="237"/>
    </row>
    <row r="141" spans="1:25" s="228" customFormat="1" ht="19.5" customHeight="1" x14ac:dyDescent="0.3">
      <c r="A141" s="253">
        <v>67</v>
      </c>
      <c r="B141" s="233" t="s">
        <v>10493</v>
      </c>
      <c r="C141" s="233" t="s">
        <v>12945</v>
      </c>
      <c r="D141" s="215" t="str">
        <f t="shared" si="4"/>
        <v>DKG&lt;-&gt;Quốc Oai, Hà Nội</v>
      </c>
      <c r="E141" s="234">
        <v>286</v>
      </c>
      <c r="F141" s="235">
        <v>1200000</v>
      </c>
      <c r="G141" s="294">
        <v>5500000</v>
      </c>
      <c r="H141" s="294">
        <v>4800000</v>
      </c>
      <c r="I141" s="236">
        <v>5300000</v>
      </c>
      <c r="J141" s="236">
        <v>4850000</v>
      </c>
      <c r="K141" s="236">
        <v>5300000</v>
      </c>
      <c r="L141" s="236">
        <v>4850000</v>
      </c>
      <c r="M141" s="236">
        <v>5200000</v>
      </c>
      <c r="N141" s="236">
        <v>4800000</v>
      </c>
      <c r="O141" s="236">
        <v>4000000</v>
      </c>
      <c r="P141" s="236"/>
      <c r="Q141" s="295">
        <v>5200000</v>
      </c>
      <c r="R141" s="294">
        <v>4800000</v>
      </c>
      <c r="S141" s="237" t="s">
        <v>12945</v>
      </c>
      <c r="T141" s="254" t="str">
        <f t="shared" si="5"/>
        <v>=</v>
      </c>
      <c r="X141" s="237"/>
      <c r="Y141" s="237"/>
    </row>
    <row r="142" spans="1:25" s="228" customFormat="1" ht="19.5" customHeight="1" x14ac:dyDescent="0.3">
      <c r="A142" s="253">
        <v>68</v>
      </c>
      <c r="B142" s="233" t="s">
        <v>10493</v>
      </c>
      <c r="C142" s="233" t="s">
        <v>12946</v>
      </c>
      <c r="D142" s="215" t="str">
        <f t="shared" si="4"/>
        <v>DKG&lt;-&gt;Thạch Thất, Hà Nội</v>
      </c>
      <c r="E142" s="234">
        <v>300</v>
      </c>
      <c r="F142" s="235">
        <v>1200000</v>
      </c>
      <c r="G142" s="294">
        <v>5350000</v>
      </c>
      <c r="H142" s="294">
        <v>4750000</v>
      </c>
      <c r="I142" s="236">
        <v>5150000</v>
      </c>
      <c r="J142" s="236">
        <v>4800000</v>
      </c>
      <c r="K142" s="236">
        <v>5150000</v>
      </c>
      <c r="L142" s="236">
        <v>4800000</v>
      </c>
      <c r="M142" s="236">
        <v>5050000</v>
      </c>
      <c r="N142" s="236">
        <v>4750000</v>
      </c>
      <c r="O142" s="236">
        <v>4000000</v>
      </c>
      <c r="P142" s="236" t="s">
        <v>13638</v>
      </c>
      <c r="Q142" s="295">
        <v>5050000</v>
      </c>
      <c r="R142" s="294">
        <v>4750000</v>
      </c>
      <c r="S142" s="237" t="s">
        <v>12946</v>
      </c>
      <c r="T142" s="254" t="str">
        <f t="shared" si="5"/>
        <v>=</v>
      </c>
      <c r="X142" s="237"/>
      <c r="Y142" s="237"/>
    </row>
    <row r="143" spans="1:25" s="228" customFormat="1" ht="19.5" customHeight="1" x14ac:dyDescent="0.3">
      <c r="A143" s="253">
        <v>69</v>
      </c>
      <c r="B143" s="233" t="s">
        <v>10493</v>
      </c>
      <c r="C143" s="233" t="s">
        <v>12947</v>
      </c>
      <c r="D143" s="215" t="str">
        <f t="shared" si="4"/>
        <v>DKG&lt;-&gt;Trúc Sơn, Hà Nội</v>
      </c>
      <c r="E143" s="234">
        <v>294</v>
      </c>
      <c r="F143" s="235">
        <v>1200000</v>
      </c>
      <c r="G143" s="294">
        <v>5400000</v>
      </c>
      <c r="H143" s="294">
        <v>4700000</v>
      </c>
      <c r="I143" s="236">
        <v>5200000</v>
      </c>
      <c r="J143" s="236">
        <v>4750000</v>
      </c>
      <c r="K143" s="236">
        <v>5200000</v>
      </c>
      <c r="L143" s="236">
        <v>4750000</v>
      </c>
      <c r="M143" s="236">
        <v>5100000</v>
      </c>
      <c r="N143" s="236">
        <v>4700000</v>
      </c>
      <c r="O143" s="236">
        <v>4200000</v>
      </c>
      <c r="P143" s="236"/>
      <c r="Q143" s="295">
        <v>5100000</v>
      </c>
      <c r="R143" s="294">
        <v>4700000</v>
      </c>
      <c r="S143" s="237" t="s">
        <v>12947</v>
      </c>
      <c r="T143" s="254" t="str">
        <f t="shared" si="5"/>
        <v>=</v>
      </c>
      <c r="X143" s="237"/>
      <c r="Y143" s="237"/>
    </row>
    <row r="144" spans="1:25" s="228" customFormat="1" ht="19.5" customHeight="1" x14ac:dyDescent="0.3">
      <c r="A144" s="253">
        <v>70</v>
      </c>
      <c r="B144" s="233" t="s">
        <v>10493</v>
      </c>
      <c r="C144" s="233" t="s">
        <v>12948</v>
      </c>
      <c r="D144" s="215" t="str">
        <f t="shared" si="4"/>
        <v>DKG&lt;-&gt;Thanh Oai, Hà Nội</v>
      </c>
      <c r="E144" s="234">
        <v>314</v>
      </c>
      <c r="F144" s="235">
        <v>1200000</v>
      </c>
      <c r="G144" s="294">
        <v>5550000</v>
      </c>
      <c r="H144" s="294">
        <v>4950000</v>
      </c>
      <c r="I144" s="236">
        <v>5350000</v>
      </c>
      <c r="J144" s="236">
        <v>4900000</v>
      </c>
      <c r="K144" s="236">
        <v>5350000</v>
      </c>
      <c r="L144" s="236">
        <v>4900000</v>
      </c>
      <c r="M144" s="236">
        <v>5800000</v>
      </c>
      <c r="N144" s="236">
        <v>4900000</v>
      </c>
      <c r="O144" s="236"/>
      <c r="P144" s="236" t="s">
        <v>10318</v>
      </c>
      <c r="Q144" s="295">
        <v>5800000</v>
      </c>
      <c r="R144" s="294">
        <v>4900000</v>
      </c>
      <c r="S144" s="237" t="s">
        <v>12948</v>
      </c>
      <c r="T144" s="254" t="str">
        <f t="shared" si="5"/>
        <v>=</v>
      </c>
      <c r="X144" s="237"/>
      <c r="Y144" s="237"/>
    </row>
    <row r="145" spans="1:25" s="228" customFormat="1" ht="19.5" customHeight="1" x14ac:dyDescent="0.3">
      <c r="A145" s="253">
        <v>71</v>
      </c>
      <c r="B145" s="233" t="s">
        <v>10493</v>
      </c>
      <c r="C145" s="233" t="s">
        <v>12949</v>
      </c>
      <c r="D145" s="215" t="str">
        <f t="shared" si="4"/>
        <v>DKG&lt;-&gt;Ứng Hòa, Hà Nội</v>
      </c>
      <c r="E145" s="234">
        <v>345</v>
      </c>
      <c r="F145" s="235">
        <v>1200000</v>
      </c>
      <c r="G145" s="294">
        <v>6050000</v>
      </c>
      <c r="H145" s="294">
        <v>5350000</v>
      </c>
      <c r="I145" s="236">
        <v>5850000</v>
      </c>
      <c r="J145" s="236">
        <v>5300000</v>
      </c>
      <c r="K145" s="236">
        <v>5850000</v>
      </c>
      <c r="L145" s="236">
        <v>5300000</v>
      </c>
      <c r="M145" s="236">
        <v>5800000</v>
      </c>
      <c r="N145" s="236">
        <v>5250000</v>
      </c>
      <c r="O145" s="236"/>
      <c r="P145" s="236"/>
      <c r="Q145" s="294">
        <v>5800000</v>
      </c>
      <c r="R145" s="294">
        <v>5250000</v>
      </c>
      <c r="S145" s="237" t="s">
        <v>12949</v>
      </c>
      <c r="T145" s="254" t="str">
        <f t="shared" si="5"/>
        <v>=</v>
      </c>
      <c r="X145" s="237"/>
      <c r="Y145" s="237"/>
    </row>
    <row r="146" spans="1:25" s="228" customFormat="1" ht="19.5" customHeight="1" x14ac:dyDescent="0.3">
      <c r="A146" s="253">
        <v>72</v>
      </c>
      <c r="B146" s="233" t="s">
        <v>10493</v>
      </c>
      <c r="C146" s="233" t="s">
        <v>13046</v>
      </c>
      <c r="D146" s="215" t="str">
        <f t="shared" si="4"/>
        <v>DKG&lt;-&gt;Vân Đình, Hà Nội</v>
      </c>
      <c r="E146" s="234">
        <v>325</v>
      </c>
      <c r="F146" s="235">
        <v>1200000</v>
      </c>
      <c r="G146" s="294">
        <v>5950000</v>
      </c>
      <c r="H146" s="294">
        <v>5300000</v>
      </c>
      <c r="I146" s="236">
        <v>5800000</v>
      </c>
      <c r="J146" s="236">
        <v>5300000</v>
      </c>
      <c r="K146" s="236">
        <v>5800000</v>
      </c>
      <c r="L146" s="236">
        <v>5300000</v>
      </c>
      <c r="M146" s="236">
        <v>5800000</v>
      </c>
      <c r="N146" s="236">
        <v>5300000</v>
      </c>
      <c r="O146" s="236"/>
      <c r="P146" s="236"/>
      <c r="Q146" s="294">
        <v>5800000</v>
      </c>
      <c r="R146" s="294">
        <v>5300000</v>
      </c>
      <c r="S146" s="237" t="s">
        <v>12950</v>
      </c>
      <c r="T146" s="254" t="str">
        <f t="shared" si="5"/>
        <v>saiiii</v>
      </c>
      <c r="X146" s="237"/>
      <c r="Y146" s="237"/>
    </row>
    <row r="147" spans="1:25" s="228" customFormat="1" ht="19.5" customHeight="1" x14ac:dyDescent="0.3">
      <c r="A147" s="253">
        <v>73</v>
      </c>
      <c r="B147" s="233" t="s">
        <v>10493</v>
      </c>
      <c r="C147" s="233" t="s">
        <v>13047</v>
      </c>
      <c r="D147" s="215" t="str">
        <f t="shared" si="4"/>
        <v>DKG&lt;-&gt;Ba Thá, Hà Nội</v>
      </c>
      <c r="E147" s="234">
        <v>330</v>
      </c>
      <c r="F147" s="235">
        <v>1200000</v>
      </c>
      <c r="G147" s="294">
        <v>5950000</v>
      </c>
      <c r="H147" s="294">
        <v>5300000</v>
      </c>
      <c r="I147" s="236">
        <v>5800000</v>
      </c>
      <c r="J147" s="236">
        <v>5300000</v>
      </c>
      <c r="K147" s="236">
        <v>5800000</v>
      </c>
      <c r="L147" s="236">
        <v>5300000</v>
      </c>
      <c r="M147" s="236">
        <v>5650000</v>
      </c>
      <c r="N147" s="236">
        <v>5300000</v>
      </c>
      <c r="O147" s="236"/>
      <c r="P147" s="236"/>
      <c r="Q147" s="294">
        <v>5650000</v>
      </c>
      <c r="R147" s="294">
        <v>5300000</v>
      </c>
      <c r="S147" s="237" t="s">
        <v>12951</v>
      </c>
      <c r="T147" s="254" t="str">
        <f t="shared" si="5"/>
        <v>saiiii</v>
      </c>
      <c r="X147" s="237"/>
      <c r="Y147" s="237"/>
    </row>
    <row r="148" spans="1:25" s="228" customFormat="1" ht="19.5" customHeight="1" x14ac:dyDescent="0.3">
      <c r="A148" s="253">
        <v>74</v>
      </c>
      <c r="B148" s="233" t="s">
        <v>10493</v>
      </c>
      <c r="C148" s="233" t="s">
        <v>12952</v>
      </c>
      <c r="D148" s="215" t="str">
        <f t="shared" si="4"/>
        <v>DKG&lt;-&gt;Mỹ Đức, Hà Nội</v>
      </c>
      <c r="E148" s="234">
        <v>360</v>
      </c>
      <c r="F148" s="235">
        <v>1200000</v>
      </c>
      <c r="G148" s="294">
        <v>6000000</v>
      </c>
      <c r="H148" s="294">
        <v>5300000</v>
      </c>
      <c r="I148" s="236">
        <v>5800000</v>
      </c>
      <c r="J148" s="236">
        <v>5250000</v>
      </c>
      <c r="K148" s="236">
        <v>5800000</v>
      </c>
      <c r="L148" s="236">
        <v>5250000</v>
      </c>
      <c r="M148" s="236">
        <v>5850000</v>
      </c>
      <c r="N148" s="236">
        <v>5200000</v>
      </c>
      <c r="O148" s="236"/>
      <c r="P148" s="236"/>
      <c r="Q148" s="295">
        <v>5850000</v>
      </c>
      <c r="R148" s="294">
        <v>5200000</v>
      </c>
      <c r="S148" s="237" t="s">
        <v>12952</v>
      </c>
      <c r="T148" s="254" t="str">
        <f t="shared" si="5"/>
        <v>=</v>
      </c>
      <c r="X148" s="237"/>
      <c r="Y148" s="237"/>
    </row>
    <row r="149" spans="1:25" s="228" customFormat="1" ht="19.5" customHeight="1" x14ac:dyDescent="0.3">
      <c r="A149" s="253">
        <v>75</v>
      </c>
      <c r="B149" s="233" t="s">
        <v>14992</v>
      </c>
      <c r="C149" s="233" t="s">
        <v>12953</v>
      </c>
      <c r="D149" s="215" t="str">
        <f t="shared" si="4"/>
        <v>DKG&lt;-&gt;Kỳ Sơn, Hòa Bình</v>
      </c>
      <c r="E149" s="234">
        <v>360</v>
      </c>
      <c r="F149" s="235">
        <v>1650000</v>
      </c>
      <c r="G149" s="294">
        <v>0</v>
      </c>
      <c r="H149" s="294">
        <v>0</v>
      </c>
      <c r="I149" s="236">
        <v>0</v>
      </c>
      <c r="J149" s="236">
        <v>0</v>
      </c>
      <c r="K149" s="236">
        <v>0</v>
      </c>
      <c r="L149" s="236">
        <v>0</v>
      </c>
      <c r="M149" s="236">
        <v>0</v>
      </c>
      <c r="N149" s="236">
        <v>0</v>
      </c>
      <c r="O149" s="236">
        <v>5450000</v>
      </c>
      <c r="P149" s="236"/>
      <c r="Q149" s="294">
        <v>0</v>
      </c>
      <c r="R149" s="294">
        <v>0</v>
      </c>
      <c r="S149" s="237" t="s">
        <v>12953</v>
      </c>
      <c r="T149" s="254" t="str">
        <f t="shared" si="5"/>
        <v>=</v>
      </c>
      <c r="X149" s="237"/>
      <c r="Y149" s="237"/>
    </row>
    <row r="150" spans="1:25" s="228" customFormat="1" ht="19.5" customHeight="1" x14ac:dyDescent="0.3">
      <c r="A150" s="253">
        <v>76</v>
      </c>
      <c r="B150" s="233" t="s">
        <v>14992</v>
      </c>
      <c r="C150" s="233" t="s">
        <v>12954</v>
      </c>
      <c r="D150" s="215" t="str">
        <f t="shared" si="4"/>
        <v>DKG&lt;-&gt;Lạc Thủy, Hòa Bình</v>
      </c>
      <c r="E150" s="234">
        <v>320</v>
      </c>
      <c r="F150" s="235">
        <v>1300000</v>
      </c>
      <c r="G150" s="294">
        <v>0</v>
      </c>
      <c r="H150" s="294">
        <v>0</v>
      </c>
      <c r="I150" s="236">
        <v>0</v>
      </c>
      <c r="J150" s="236">
        <v>0</v>
      </c>
      <c r="K150" s="236">
        <v>0</v>
      </c>
      <c r="L150" s="236">
        <v>0</v>
      </c>
      <c r="M150" s="236">
        <v>0</v>
      </c>
      <c r="N150" s="236">
        <v>0</v>
      </c>
      <c r="O150" s="236">
        <v>4600000</v>
      </c>
      <c r="P150" s="236"/>
      <c r="Q150" s="294">
        <v>0</v>
      </c>
      <c r="R150" s="294">
        <v>0</v>
      </c>
      <c r="S150" s="237" t="s">
        <v>12954</v>
      </c>
      <c r="T150" s="254" t="str">
        <f t="shared" si="5"/>
        <v>=</v>
      </c>
      <c r="X150" s="237"/>
      <c r="Y150" s="237"/>
    </row>
    <row r="151" spans="1:25" s="228" customFormat="1" ht="19.5" customHeight="1" x14ac:dyDescent="0.3">
      <c r="A151" s="253">
        <v>77</v>
      </c>
      <c r="B151" s="233" t="s">
        <v>14992</v>
      </c>
      <c r="C151" s="233" t="s">
        <v>13052</v>
      </c>
      <c r="D151" s="215" t="str">
        <f t="shared" si="4"/>
        <v>DKG&lt;-&gt;Kim Bôi, Hòa Bình</v>
      </c>
      <c r="E151" s="234">
        <v>450</v>
      </c>
      <c r="F151" s="235">
        <v>1300000</v>
      </c>
      <c r="G151" s="294">
        <v>0</v>
      </c>
      <c r="H151" s="294">
        <v>0</v>
      </c>
      <c r="I151" s="236">
        <v>0</v>
      </c>
      <c r="J151" s="236">
        <v>0</v>
      </c>
      <c r="K151" s="236">
        <v>0</v>
      </c>
      <c r="L151" s="236">
        <v>0</v>
      </c>
      <c r="M151" s="236">
        <v>0</v>
      </c>
      <c r="N151" s="236">
        <v>0</v>
      </c>
      <c r="O151" s="236">
        <v>6600000</v>
      </c>
      <c r="P151" s="236"/>
      <c r="Q151" s="294">
        <v>0</v>
      </c>
      <c r="R151" s="294">
        <v>0</v>
      </c>
      <c r="S151" s="237" t="s">
        <v>13052</v>
      </c>
      <c r="T151" s="254" t="str">
        <f t="shared" si="5"/>
        <v>=</v>
      </c>
      <c r="X151" s="237"/>
      <c r="Y151" s="237"/>
    </row>
    <row r="152" spans="1:25" s="228" customFormat="1" ht="19.5" customHeight="1" x14ac:dyDescent="0.3">
      <c r="A152" s="253">
        <v>78</v>
      </c>
      <c r="B152" s="233" t="s">
        <v>14992</v>
      </c>
      <c r="C152" s="233">
        <v>0</v>
      </c>
      <c r="D152" s="215" t="str">
        <f t="shared" si="4"/>
        <v>DKG&lt;-&gt;0, Hòa Bình</v>
      </c>
      <c r="E152" s="234">
        <v>0</v>
      </c>
      <c r="F152" s="235">
        <v>0</v>
      </c>
      <c r="G152" s="294">
        <v>0</v>
      </c>
      <c r="H152" s="294">
        <v>0</v>
      </c>
      <c r="I152" s="236">
        <v>0</v>
      </c>
      <c r="J152" s="236">
        <v>0</v>
      </c>
      <c r="K152" s="236">
        <v>0</v>
      </c>
      <c r="L152" s="236">
        <v>0</v>
      </c>
      <c r="M152" s="236">
        <v>0</v>
      </c>
      <c r="N152" s="236">
        <v>0</v>
      </c>
      <c r="O152" s="236"/>
      <c r="P152" s="236"/>
      <c r="Q152" s="294">
        <v>0</v>
      </c>
      <c r="R152" s="294">
        <v>0</v>
      </c>
      <c r="S152" s="237">
        <v>0</v>
      </c>
      <c r="T152" s="254" t="str">
        <f t="shared" si="5"/>
        <v>=</v>
      </c>
      <c r="X152" s="237"/>
      <c r="Y152" s="237"/>
    </row>
    <row r="153" spans="1:25" s="228" customFormat="1" ht="19.5" customHeight="1" x14ac:dyDescent="0.3">
      <c r="A153" s="253">
        <v>79</v>
      </c>
      <c r="B153" s="233" t="s">
        <v>14993</v>
      </c>
      <c r="C153" s="233" t="s">
        <v>12955</v>
      </c>
      <c r="D153" s="215" t="str">
        <f t="shared" si="4"/>
        <v>DKG&lt;-&gt;Cầu Đa Phúc, Thái Nguyên</v>
      </c>
      <c r="E153" s="234">
        <v>300</v>
      </c>
      <c r="F153" s="235">
        <v>1300000</v>
      </c>
      <c r="G153" s="294">
        <v>5800000</v>
      </c>
      <c r="H153" s="294">
        <v>5300000</v>
      </c>
      <c r="I153" s="236">
        <v>5500000</v>
      </c>
      <c r="J153" s="236">
        <v>5200000</v>
      </c>
      <c r="K153" s="236">
        <v>5500000</v>
      </c>
      <c r="L153" s="236">
        <v>5200000</v>
      </c>
      <c r="M153" s="236">
        <v>5450000</v>
      </c>
      <c r="N153" s="236">
        <v>5150000</v>
      </c>
      <c r="O153" s="236"/>
      <c r="P153" s="236"/>
      <c r="Q153" s="294">
        <v>5450000</v>
      </c>
      <c r="R153" s="294">
        <v>5150000</v>
      </c>
      <c r="S153" s="237" t="s">
        <v>12955</v>
      </c>
      <c r="T153" s="254" t="str">
        <f t="shared" si="5"/>
        <v>=</v>
      </c>
      <c r="X153" s="237"/>
      <c r="Y153" s="237"/>
    </row>
    <row r="154" spans="1:25" s="228" customFormat="1" ht="19.5" customHeight="1" x14ac:dyDescent="0.3">
      <c r="A154" s="253">
        <v>80</v>
      </c>
      <c r="B154" s="233" t="s">
        <v>14993</v>
      </c>
      <c r="C154" s="233" t="s">
        <v>12832</v>
      </c>
      <c r="D154" s="215" t="str">
        <f t="shared" si="4"/>
        <v>DKG&lt;-&gt;TP. Thái Nguyên</v>
      </c>
      <c r="E154" s="234">
        <v>360</v>
      </c>
      <c r="F154" s="235">
        <v>1300000</v>
      </c>
      <c r="G154" s="294">
        <v>6300000</v>
      </c>
      <c r="H154" s="294">
        <v>5750000</v>
      </c>
      <c r="I154" s="236">
        <v>6000000</v>
      </c>
      <c r="J154" s="236">
        <v>5350000</v>
      </c>
      <c r="K154" s="236">
        <v>6000000</v>
      </c>
      <c r="L154" s="236">
        <v>5350000</v>
      </c>
      <c r="M154" s="236">
        <v>5950000</v>
      </c>
      <c r="N154" s="236">
        <v>5300000</v>
      </c>
      <c r="O154" s="236">
        <v>5400000</v>
      </c>
      <c r="P154" s="236"/>
      <c r="Q154" s="294">
        <v>5950000</v>
      </c>
      <c r="R154" s="294">
        <v>5300000</v>
      </c>
      <c r="S154" s="237" t="s">
        <v>8876</v>
      </c>
      <c r="T154" s="254" t="str">
        <f t="shared" si="5"/>
        <v>saiiii</v>
      </c>
      <c r="X154" s="237"/>
      <c r="Y154" s="237"/>
    </row>
    <row r="155" spans="1:25" s="228" customFormat="1" ht="19.5" customHeight="1" x14ac:dyDescent="0.3">
      <c r="A155" s="253">
        <v>81</v>
      </c>
      <c r="B155" s="233" t="s">
        <v>14993</v>
      </c>
      <c r="C155" s="233" t="s">
        <v>12956</v>
      </c>
      <c r="D155" s="215" t="str">
        <f t="shared" si="4"/>
        <v>DKG&lt;-&gt;Phổ Yên, Thái Nguyên</v>
      </c>
      <c r="E155" s="234">
        <v>330</v>
      </c>
      <c r="F155" s="235">
        <v>1300000</v>
      </c>
      <c r="G155" s="294">
        <v>6300000</v>
      </c>
      <c r="H155" s="294">
        <v>5500000</v>
      </c>
      <c r="I155" s="236">
        <v>6000000</v>
      </c>
      <c r="J155" s="236">
        <v>5400000</v>
      </c>
      <c r="K155" s="236">
        <v>6000000</v>
      </c>
      <c r="L155" s="236">
        <v>5400000</v>
      </c>
      <c r="M155" s="236">
        <v>6000000</v>
      </c>
      <c r="N155" s="236">
        <v>5400000</v>
      </c>
      <c r="O155" s="236">
        <v>4500000</v>
      </c>
      <c r="P155" s="236"/>
      <c r="Q155" s="294">
        <v>6000000</v>
      </c>
      <c r="R155" s="294">
        <v>5400000</v>
      </c>
      <c r="S155" s="237" t="s">
        <v>12956</v>
      </c>
      <c r="T155" s="254" t="str">
        <f t="shared" si="5"/>
        <v>=</v>
      </c>
      <c r="X155" s="237"/>
      <c r="Y155" s="237"/>
    </row>
    <row r="156" spans="1:25" s="228" customFormat="1" ht="19.5" customHeight="1" x14ac:dyDescent="0.3">
      <c r="A156" s="253">
        <v>82</v>
      </c>
      <c r="B156" s="233" t="s">
        <v>14993</v>
      </c>
      <c r="C156" s="233" t="s">
        <v>12957</v>
      </c>
      <c r="D156" s="215" t="str">
        <f t="shared" si="4"/>
        <v>DKG&lt;-&gt;Đại Từ, Thái Nguyên</v>
      </c>
      <c r="E156" s="234">
        <v>410</v>
      </c>
      <c r="F156" s="235">
        <v>1300000</v>
      </c>
      <c r="G156" s="294">
        <v>0</v>
      </c>
      <c r="H156" s="294">
        <v>0</v>
      </c>
      <c r="I156" s="236">
        <v>0</v>
      </c>
      <c r="J156" s="236">
        <v>0</v>
      </c>
      <c r="K156" s="236">
        <v>0</v>
      </c>
      <c r="L156" s="236">
        <v>0</v>
      </c>
      <c r="M156" s="236">
        <v>0</v>
      </c>
      <c r="N156" s="236">
        <v>0</v>
      </c>
      <c r="O156" s="236">
        <v>5300000</v>
      </c>
      <c r="P156" s="236"/>
      <c r="Q156" s="294">
        <v>0</v>
      </c>
      <c r="R156" s="294">
        <v>0</v>
      </c>
      <c r="S156" s="237" t="s">
        <v>12957</v>
      </c>
      <c r="T156" s="254" t="str">
        <f t="shared" si="5"/>
        <v>=</v>
      </c>
      <c r="X156" s="237"/>
      <c r="Y156" s="237"/>
    </row>
    <row r="157" spans="1:25" s="228" customFormat="1" ht="19.5" customHeight="1" x14ac:dyDescent="0.3">
      <c r="A157" s="253">
        <v>83</v>
      </c>
      <c r="B157" s="233" t="s">
        <v>14993</v>
      </c>
      <c r="C157" s="233" t="s">
        <v>12958</v>
      </c>
      <c r="D157" s="215" t="str">
        <f t="shared" si="4"/>
        <v>DKG&lt;-&gt;Đồng Hỷ, Thái Nguyên</v>
      </c>
      <c r="E157" s="234">
        <v>410</v>
      </c>
      <c r="F157" s="235">
        <v>1300000</v>
      </c>
      <c r="G157" s="294">
        <v>0</v>
      </c>
      <c r="H157" s="294">
        <v>0</v>
      </c>
      <c r="I157" s="236">
        <v>0</v>
      </c>
      <c r="J157" s="236">
        <v>0</v>
      </c>
      <c r="K157" s="236">
        <v>0</v>
      </c>
      <c r="L157" s="236">
        <v>0</v>
      </c>
      <c r="M157" s="236">
        <v>0</v>
      </c>
      <c r="N157" s="236">
        <v>0</v>
      </c>
      <c r="O157" s="236">
        <v>5900000</v>
      </c>
      <c r="P157" s="236"/>
      <c r="Q157" s="294">
        <v>0</v>
      </c>
      <c r="R157" s="294">
        <v>0</v>
      </c>
      <c r="S157" s="237" t="s">
        <v>12958</v>
      </c>
      <c r="T157" s="254" t="str">
        <f t="shared" si="5"/>
        <v>=</v>
      </c>
      <c r="X157" s="237"/>
      <c r="Y157" s="237"/>
    </row>
    <row r="158" spans="1:25" s="228" customFormat="1" ht="19.5" customHeight="1" x14ac:dyDescent="0.3">
      <c r="A158" s="253">
        <v>84</v>
      </c>
      <c r="B158" s="233" t="s">
        <v>14993</v>
      </c>
      <c r="C158" s="233" t="s">
        <v>12959</v>
      </c>
      <c r="D158" s="215" t="str">
        <f t="shared" si="4"/>
        <v>DKG&lt;-&gt;Phú Lương, Thái Nguyên</v>
      </c>
      <c r="E158" s="234">
        <v>415</v>
      </c>
      <c r="F158" s="235">
        <v>1300000</v>
      </c>
      <c r="G158" s="294">
        <v>0</v>
      </c>
      <c r="H158" s="294">
        <v>0</v>
      </c>
      <c r="I158" s="236">
        <v>0</v>
      </c>
      <c r="J158" s="236">
        <v>0</v>
      </c>
      <c r="K158" s="236">
        <v>0</v>
      </c>
      <c r="L158" s="236">
        <v>0</v>
      </c>
      <c r="M158" s="236">
        <v>0</v>
      </c>
      <c r="N158" s="236">
        <v>0</v>
      </c>
      <c r="O158" s="236">
        <v>5900000</v>
      </c>
      <c r="P158" s="236"/>
      <c r="Q158" s="294">
        <v>0</v>
      </c>
      <c r="R158" s="294">
        <v>0</v>
      </c>
      <c r="S158" s="237" t="s">
        <v>12959</v>
      </c>
      <c r="T158" s="254" t="str">
        <f t="shared" si="5"/>
        <v>=</v>
      </c>
      <c r="X158" s="237"/>
      <c r="Y158" s="237"/>
    </row>
    <row r="159" spans="1:25" s="228" customFormat="1" ht="19.5" customHeight="1" x14ac:dyDescent="0.3">
      <c r="A159" s="253">
        <v>85</v>
      </c>
      <c r="B159" s="233" t="s">
        <v>14993</v>
      </c>
      <c r="C159" s="233">
        <v>0</v>
      </c>
      <c r="D159" s="215" t="str">
        <f t="shared" si="4"/>
        <v>DKG&lt;-&gt;0, Thái Nguyên</v>
      </c>
      <c r="E159" s="234">
        <v>0</v>
      </c>
      <c r="F159" s="235">
        <v>0</v>
      </c>
      <c r="G159" s="294">
        <v>0</v>
      </c>
      <c r="H159" s="294">
        <v>0</v>
      </c>
      <c r="I159" s="236">
        <v>0</v>
      </c>
      <c r="J159" s="236">
        <v>0</v>
      </c>
      <c r="K159" s="236">
        <v>0</v>
      </c>
      <c r="L159" s="236">
        <v>0</v>
      </c>
      <c r="M159" s="236">
        <v>0</v>
      </c>
      <c r="N159" s="236">
        <v>0</v>
      </c>
      <c r="O159" s="236"/>
      <c r="P159" s="236"/>
      <c r="Q159" s="294">
        <v>0</v>
      </c>
      <c r="R159" s="294">
        <v>0</v>
      </c>
      <c r="S159" s="237">
        <v>0</v>
      </c>
      <c r="T159" s="254" t="str">
        <f t="shared" si="5"/>
        <v>=</v>
      </c>
      <c r="X159" s="237"/>
      <c r="Y159" s="237"/>
    </row>
    <row r="160" spans="1:25" s="228" customFormat="1" ht="19.5" customHeight="1" x14ac:dyDescent="0.3">
      <c r="A160" s="253">
        <v>86</v>
      </c>
      <c r="B160" s="233" t="s">
        <v>14993</v>
      </c>
      <c r="C160" s="233">
        <v>0</v>
      </c>
      <c r="D160" s="215" t="str">
        <f t="shared" si="4"/>
        <v>DKG&lt;-&gt;0, Thái Nguyên</v>
      </c>
      <c r="E160" s="234">
        <v>0</v>
      </c>
      <c r="F160" s="235">
        <v>0</v>
      </c>
      <c r="G160" s="294">
        <v>0</v>
      </c>
      <c r="H160" s="294">
        <v>0</v>
      </c>
      <c r="I160" s="236">
        <v>0</v>
      </c>
      <c r="J160" s="236">
        <v>0</v>
      </c>
      <c r="K160" s="236">
        <v>0</v>
      </c>
      <c r="L160" s="236">
        <v>0</v>
      </c>
      <c r="M160" s="236">
        <v>0</v>
      </c>
      <c r="N160" s="236">
        <v>0</v>
      </c>
      <c r="O160" s="236"/>
      <c r="P160" s="236"/>
      <c r="Q160" s="294">
        <v>0</v>
      </c>
      <c r="R160" s="294">
        <v>0</v>
      </c>
      <c r="S160" s="237">
        <v>0</v>
      </c>
      <c r="T160" s="254" t="str">
        <f t="shared" si="5"/>
        <v>=</v>
      </c>
      <c r="X160" s="237"/>
      <c r="Y160" s="237"/>
    </row>
    <row r="161" spans="1:25" s="228" customFormat="1" ht="19.5" customHeight="1" x14ac:dyDescent="0.3">
      <c r="A161" s="253">
        <v>87</v>
      </c>
      <c r="B161" s="233" t="s">
        <v>14994</v>
      </c>
      <c r="C161" s="233" t="s">
        <v>12960</v>
      </c>
      <c r="D161" s="215" t="str">
        <f t="shared" si="4"/>
        <v>DKG&lt;-&gt;Thanh Lãng, Vĩnh Phúc</v>
      </c>
      <c r="E161" s="234">
        <v>320</v>
      </c>
      <c r="F161" s="235">
        <v>1350000</v>
      </c>
      <c r="G161" s="294">
        <v>6100000</v>
      </c>
      <c r="H161" s="294">
        <v>5600000</v>
      </c>
      <c r="I161" s="236">
        <v>6100000</v>
      </c>
      <c r="J161" s="236">
        <v>5400000</v>
      </c>
      <c r="K161" s="236">
        <v>6100000</v>
      </c>
      <c r="L161" s="236">
        <v>5400000</v>
      </c>
      <c r="M161" s="236">
        <v>5650000</v>
      </c>
      <c r="N161" s="236">
        <v>5200000</v>
      </c>
      <c r="O161" s="236"/>
      <c r="P161" s="236"/>
      <c r="Q161" s="294">
        <v>5650000</v>
      </c>
      <c r="R161" s="294">
        <v>5200000</v>
      </c>
      <c r="S161" s="237" t="s">
        <v>13140</v>
      </c>
      <c r="T161" s="254" t="str">
        <f t="shared" si="5"/>
        <v>saiiii</v>
      </c>
      <c r="X161" s="237"/>
      <c r="Y161" s="237"/>
    </row>
    <row r="162" spans="1:25" s="228" customFormat="1" ht="19.5" customHeight="1" x14ac:dyDescent="0.3">
      <c r="A162" s="253">
        <v>88</v>
      </c>
      <c r="B162" s="233" t="s">
        <v>14994</v>
      </c>
      <c r="C162" s="233" t="s">
        <v>12961</v>
      </c>
      <c r="D162" s="215" t="str">
        <f t="shared" si="4"/>
        <v>DKG&lt;-&gt;Vĩnh Yên/Yên Lạc, Vĩnh Phúc</v>
      </c>
      <c r="E162" s="234">
        <v>340</v>
      </c>
      <c r="F162" s="235">
        <v>1350000</v>
      </c>
      <c r="G162" s="294">
        <v>6250000</v>
      </c>
      <c r="H162" s="294">
        <v>5700000</v>
      </c>
      <c r="I162" s="236">
        <v>6150000</v>
      </c>
      <c r="J162" s="236">
        <v>5400000</v>
      </c>
      <c r="K162" s="236">
        <v>6150000</v>
      </c>
      <c r="L162" s="236">
        <v>5400000</v>
      </c>
      <c r="M162" s="236">
        <v>6100000</v>
      </c>
      <c r="N162" s="236">
        <v>5350000</v>
      </c>
      <c r="O162" s="236">
        <v>4800000</v>
      </c>
      <c r="P162" s="236"/>
      <c r="Q162" s="294">
        <v>6100000</v>
      </c>
      <c r="R162" s="294">
        <v>5350000</v>
      </c>
      <c r="S162" s="237" t="s">
        <v>12961</v>
      </c>
      <c r="T162" s="254" t="str">
        <f t="shared" si="5"/>
        <v>=</v>
      </c>
      <c r="X162" s="237"/>
      <c r="Y162" s="237"/>
    </row>
    <row r="163" spans="1:25" s="228" customFormat="1" ht="19.5" customHeight="1" x14ac:dyDescent="0.3">
      <c r="A163" s="253">
        <v>89</v>
      </c>
      <c r="B163" s="233" t="s">
        <v>14994</v>
      </c>
      <c r="C163" s="233" t="s">
        <v>12962</v>
      </c>
      <c r="D163" s="215" t="str">
        <f t="shared" si="4"/>
        <v>DKG&lt;-&gt;Lập Thạch, Vĩnh Phúc</v>
      </c>
      <c r="E163" s="234">
        <v>380</v>
      </c>
      <c r="F163" s="235">
        <v>1350000</v>
      </c>
      <c r="G163" s="294">
        <v>6650000</v>
      </c>
      <c r="H163" s="294">
        <v>5800000</v>
      </c>
      <c r="I163" s="236">
        <v>6450000</v>
      </c>
      <c r="J163" s="236">
        <v>5450000</v>
      </c>
      <c r="K163" s="236">
        <v>6450000</v>
      </c>
      <c r="L163" s="236">
        <v>5450000</v>
      </c>
      <c r="M163" s="236">
        <v>6500000</v>
      </c>
      <c r="N163" s="236">
        <v>5450000</v>
      </c>
      <c r="O163" s="236">
        <v>5200000</v>
      </c>
      <c r="P163" s="236"/>
      <c r="Q163" s="295">
        <v>6500000</v>
      </c>
      <c r="R163" s="294">
        <v>5450000</v>
      </c>
      <c r="S163" s="237" t="s">
        <v>12962</v>
      </c>
      <c r="T163" s="254" t="str">
        <f t="shared" si="5"/>
        <v>=</v>
      </c>
      <c r="X163" s="237"/>
      <c r="Y163" s="237"/>
    </row>
    <row r="164" spans="1:25" s="228" customFormat="1" ht="19.5" customHeight="1" x14ac:dyDescent="0.3">
      <c r="A164" s="253">
        <v>90</v>
      </c>
      <c r="B164" s="233" t="s">
        <v>14994</v>
      </c>
      <c r="C164" s="233" t="s">
        <v>12963</v>
      </c>
      <c r="D164" s="215" t="str">
        <f t="shared" si="4"/>
        <v>DKG&lt;-&gt;Vĩnh Tường, Vĩnh Phúc</v>
      </c>
      <c r="E164" s="234">
        <v>360</v>
      </c>
      <c r="F164" s="235">
        <v>1350000</v>
      </c>
      <c r="G164" s="294">
        <v>6350000</v>
      </c>
      <c r="H164" s="294">
        <v>5500000</v>
      </c>
      <c r="I164" s="236">
        <v>6100000</v>
      </c>
      <c r="J164" s="236">
        <v>5350000</v>
      </c>
      <c r="K164" s="236">
        <v>6100000</v>
      </c>
      <c r="L164" s="236">
        <v>5350000</v>
      </c>
      <c r="M164" s="236">
        <v>6050000</v>
      </c>
      <c r="N164" s="236">
        <v>5300000</v>
      </c>
      <c r="O164" s="236">
        <v>4800000</v>
      </c>
      <c r="P164" s="236"/>
      <c r="Q164" s="294">
        <v>6050000</v>
      </c>
      <c r="R164" s="294">
        <v>5300000</v>
      </c>
      <c r="S164" s="237" t="s">
        <v>12963</v>
      </c>
      <c r="T164" s="254" t="str">
        <f t="shared" si="5"/>
        <v>=</v>
      </c>
      <c r="X164" s="237"/>
      <c r="Y164" s="237"/>
    </row>
    <row r="165" spans="1:25" s="228" customFormat="1" ht="19.5" customHeight="1" x14ac:dyDescent="0.3">
      <c r="A165" s="253">
        <v>91</v>
      </c>
      <c r="B165" s="233" t="s">
        <v>14994</v>
      </c>
      <c r="C165" s="233" t="s">
        <v>12964</v>
      </c>
      <c r="D165" s="215" t="str">
        <f t="shared" si="4"/>
        <v>DKG&lt;-&gt;Tam Đảo, Vĩnh Phúc</v>
      </c>
      <c r="E165" s="234">
        <v>375</v>
      </c>
      <c r="F165" s="235">
        <v>1350000</v>
      </c>
      <c r="G165" s="294">
        <v>6950000</v>
      </c>
      <c r="H165" s="294">
        <v>6100000</v>
      </c>
      <c r="I165" s="236">
        <v>6400000</v>
      </c>
      <c r="J165" s="236">
        <v>5900000</v>
      </c>
      <c r="K165" s="236">
        <v>6400000</v>
      </c>
      <c r="L165" s="236">
        <v>5900000</v>
      </c>
      <c r="M165" s="236">
        <v>6450000</v>
      </c>
      <c r="N165" s="236">
        <v>5900000</v>
      </c>
      <c r="O165" s="236">
        <v>5200000</v>
      </c>
      <c r="P165" s="236"/>
      <c r="Q165" s="295">
        <v>6450000</v>
      </c>
      <c r="R165" s="294">
        <v>5900000</v>
      </c>
      <c r="S165" s="237" t="s">
        <v>12964</v>
      </c>
      <c r="T165" s="254" t="str">
        <f t="shared" si="5"/>
        <v>=</v>
      </c>
      <c r="X165" s="237"/>
      <c r="Y165" s="237"/>
    </row>
    <row r="166" spans="1:25" s="228" customFormat="1" ht="19.5" customHeight="1" x14ac:dyDescent="0.3">
      <c r="A166" s="253">
        <v>92</v>
      </c>
      <c r="B166" s="233" t="s">
        <v>14995</v>
      </c>
      <c r="C166" s="233" t="s">
        <v>12965</v>
      </c>
      <c r="D166" s="215" t="str">
        <f t="shared" si="4"/>
        <v>DKG&lt;-&gt;Lâm Thao, Phú Thọ</v>
      </c>
      <c r="E166" s="234">
        <v>400</v>
      </c>
      <c r="F166" s="235">
        <v>1650000</v>
      </c>
      <c r="G166" s="294">
        <v>7950000</v>
      </c>
      <c r="H166" s="294">
        <v>7050000</v>
      </c>
      <c r="I166" s="236">
        <v>7550000</v>
      </c>
      <c r="J166" s="236">
        <v>7050000</v>
      </c>
      <c r="K166" s="236">
        <v>7550000</v>
      </c>
      <c r="L166" s="236">
        <v>7050000</v>
      </c>
      <c r="M166" s="236">
        <v>7600000</v>
      </c>
      <c r="N166" s="236">
        <v>7050000</v>
      </c>
      <c r="O166" s="236">
        <v>6000000</v>
      </c>
      <c r="P166" s="236"/>
      <c r="Q166" s="295">
        <v>7600000</v>
      </c>
      <c r="R166" s="294">
        <v>7050000</v>
      </c>
      <c r="S166" s="237" t="s">
        <v>12965</v>
      </c>
      <c r="T166" s="254" t="str">
        <f t="shared" si="5"/>
        <v>=</v>
      </c>
      <c r="X166" s="237"/>
      <c r="Y166" s="237"/>
    </row>
    <row r="167" spans="1:25" s="228" customFormat="1" ht="19.5" customHeight="1" x14ac:dyDescent="0.3">
      <c r="A167" s="253">
        <v>93</v>
      </c>
      <c r="B167" s="233" t="s">
        <v>14995</v>
      </c>
      <c r="C167" s="233" t="s">
        <v>12966</v>
      </c>
      <c r="D167" s="215" t="str">
        <f t="shared" si="4"/>
        <v>DKG&lt;-&gt;Việt Trì, Phú Thọ</v>
      </c>
      <c r="E167" s="234">
        <v>385</v>
      </c>
      <c r="F167" s="235">
        <v>1650000</v>
      </c>
      <c r="G167" s="294">
        <v>7850000</v>
      </c>
      <c r="H167" s="294">
        <v>7000000</v>
      </c>
      <c r="I167" s="236">
        <v>7450000</v>
      </c>
      <c r="J167" s="236">
        <v>7000000</v>
      </c>
      <c r="K167" s="236">
        <v>7450000</v>
      </c>
      <c r="L167" s="236">
        <v>7000000</v>
      </c>
      <c r="M167" s="236">
        <v>7500000</v>
      </c>
      <c r="N167" s="236">
        <v>7000000</v>
      </c>
      <c r="O167" s="236">
        <v>5850000</v>
      </c>
      <c r="P167" s="236"/>
      <c r="Q167" s="295">
        <v>7500000</v>
      </c>
      <c r="R167" s="294">
        <v>7000000</v>
      </c>
      <c r="S167" s="237" t="s">
        <v>12966</v>
      </c>
      <c r="T167" s="254" t="str">
        <f t="shared" si="5"/>
        <v>=</v>
      </c>
      <c r="X167" s="237"/>
      <c r="Y167" s="237"/>
    </row>
    <row r="168" spans="1:25" s="228" customFormat="1" ht="19.5" customHeight="1" x14ac:dyDescent="0.3">
      <c r="A168" s="253">
        <v>94</v>
      </c>
      <c r="B168" s="233" t="s">
        <v>14995</v>
      </c>
      <c r="C168" s="233" t="s">
        <v>12967</v>
      </c>
      <c r="D168" s="215" t="str">
        <f t="shared" si="4"/>
        <v>DKG&lt;-&gt;Phù Ninh, Phú Thọ</v>
      </c>
      <c r="E168" s="234">
        <v>395</v>
      </c>
      <c r="F168" s="235">
        <v>1650000</v>
      </c>
      <c r="G168" s="294">
        <v>7950000</v>
      </c>
      <c r="H168" s="294">
        <v>7050000</v>
      </c>
      <c r="I168" s="236">
        <v>7550000</v>
      </c>
      <c r="J168" s="236">
        <v>7050000</v>
      </c>
      <c r="K168" s="236">
        <v>7550000</v>
      </c>
      <c r="L168" s="236">
        <v>7050000</v>
      </c>
      <c r="M168" s="236">
        <v>7600000</v>
      </c>
      <c r="N168" s="236">
        <v>7050000</v>
      </c>
      <c r="O168" s="236">
        <v>5950000</v>
      </c>
      <c r="P168" s="236"/>
      <c r="Q168" s="295">
        <v>7600000</v>
      </c>
      <c r="R168" s="294">
        <v>7050000</v>
      </c>
      <c r="S168" s="237" t="s">
        <v>12967</v>
      </c>
      <c r="T168" s="254" t="str">
        <f t="shared" si="5"/>
        <v>=</v>
      </c>
      <c r="X168" s="237"/>
      <c r="Y168" s="237"/>
    </row>
    <row r="169" spans="1:25" s="228" customFormat="1" ht="19.5" customHeight="1" x14ac:dyDescent="0.3">
      <c r="A169" s="253">
        <v>95</v>
      </c>
      <c r="B169" s="233" t="s">
        <v>14995</v>
      </c>
      <c r="C169" s="233" t="s">
        <v>12968</v>
      </c>
      <c r="D169" s="215" t="str">
        <f t="shared" si="4"/>
        <v>DKG&lt;-&gt;Tam Nông, Phú Thọ</v>
      </c>
      <c r="E169" s="234">
        <v>390</v>
      </c>
      <c r="F169" s="235">
        <v>1650000</v>
      </c>
      <c r="G169" s="294">
        <v>7950000</v>
      </c>
      <c r="H169" s="294">
        <v>7050000</v>
      </c>
      <c r="I169" s="236">
        <v>7550000</v>
      </c>
      <c r="J169" s="236">
        <v>7050000</v>
      </c>
      <c r="K169" s="236">
        <v>7550000</v>
      </c>
      <c r="L169" s="236">
        <v>7050000</v>
      </c>
      <c r="M169" s="236">
        <v>7600000</v>
      </c>
      <c r="N169" s="236">
        <v>7050000</v>
      </c>
      <c r="O169" s="236">
        <v>6000000</v>
      </c>
      <c r="P169" s="236"/>
      <c r="Q169" s="295">
        <v>7600000</v>
      </c>
      <c r="R169" s="294">
        <v>7050000</v>
      </c>
      <c r="S169" s="237" t="s">
        <v>12968</v>
      </c>
      <c r="T169" s="254" t="str">
        <f t="shared" si="5"/>
        <v>=</v>
      </c>
      <c r="X169" s="237"/>
      <c r="Y169" s="237"/>
    </row>
    <row r="170" spans="1:25" s="228" customFormat="1" ht="19.5" customHeight="1" x14ac:dyDescent="0.3">
      <c r="A170" s="253">
        <v>96</v>
      </c>
      <c r="B170" s="233" t="s">
        <v>14995</v>
      </c>
      <c r="C170" s="233" t="s">
        <v>12969</v>
      </c>
      <c r="D170" s="215" t="str">
        <f t="shared" si="4"/>
        <v>DKG&lt;-&gt;Thanh Thủy, Phú Thọ</v>
      </c>
      <c r="E170" s="234">
        <v>395</v>
      </c>
      <c r="F170" s="235">
        <v>1650000</v>
      </c>
      <c r="G170" s="294">
        <v>7950000</v>
      </c>
      <c r="H170" s="294">
        <v>7050000</v>
      </c>
      <c r="I170" s="236">
        <v>7550000</v>
      </c>
      <c r="J170" s="236">
        <v>7050000</v>
      </c>
      <c r="K170" s="236">
        <v>7550000</v>
      </c>
      <c r="L170" s="236">
        <v>7050000</v>
      </c>
      <c r="M170" s="236">
        <v>7600000</v>
      </c>
      <c r="N170" s="236">
        <v>7050000</v>
      </c>
      <c r="O170" s="236"/>
      <c r="P170" s="236"/>
      <c r="Q170" s="295">
        <v>7600000</v>
      </c>
      <c r="R170" s="294">
        <v>7050000</v>
      </c>
      <c r="S170" s="237" t="s">
        <v>12969</v>
      </c>
      <c r="T170" s="254" t="str">
        <f t="shared" si="5"/>
        <v>=</v>
      </c>
      <c r="X170" s="237"/>
      <c r="Y170" s="237"/>
    </row>
    <row r="171" spans="1:25" s="228" customFormat="1" ht="19.5" customHeight="1" x14ac:dyDescent="0.3">
      <c r="A171" s="253">
        <v>97</v>
      </c>
      <c r="B171" s="233" t="s">
        <v>14995</v>
      </c>
      <c r="C171" s="233" t="s">
        <v>12970</v>
      </c>
      <c r="D171" s="215" t="str">
        <f t="shared" si="4"/>
        <v>DKG&lt;-&gt;Đoan Hùng, Phú Thọ</v>
      </c>
      <c r="E171" s="234">
        <v>480</v>
      </c>
      <c r="F171" s="235">
        <v>1650000</v>
      </c>
      <c r="G171" s="294">
        <v>8800000</v>
      </c>
      <c r="H171" s="294">
        <v>7850000</v>
      </c>
      <c r="I171" s="236">
        <v>8400000</v>
      </c>
      <c r="J171" s="236">
        <v>7850000</v>
      </c>
      <c r="K171" s="236">
        <v>8400000</v>
      </c>
      <c r="L171" s="236">
        <v>7850000</v>
      </c>
      <c r="M171" s="236">
        <v>8350000</v>
      </c>
      <c r="N171" s="236">
        <v>7800000</v>
      </c>
      <c r="O171" s="236"/>
      <c r="P171" s="236" t="s">
        <v>13722</v>
      </c>
      <c r="Q171" s="294">
        <v>8350000</v>
      </c>
      <c r="R171" s="294">
        <v>7800000</v>
      </c>
      <c r="S171" s="237" t="s">
        <v>12970</v>
      </c>
      <c r="T171" s="254" t="str">
        <f t="shared" si="5"/>
        <v>=</v>
      </c>
      <c r="X171" s="237"/>
      <c r="Y171" s="237"/>
    </row>
    <row r="172" spans="1:25" s="228" customFormat="1" ht="19.5" customHeight="1" x14ac:dyDescent="0.3">
      <c r="A172" s="253">
        <v>98</v>
      </c>
      <c r="B172" s="233" t="s">
        <v>14995</v>
      </c>
      <c r="C172" s="233" t="s">
        <v>12971</v>
      </c>
      <c r="D172" s="215" t="str">
        <f t="shared" si="4"/>
        <v>DKG&lt;-&gt;Thanh Sơn, Phú Thọ</v>
      </c>
      <c r="E172" s="234">
        <v>420</v>
      </c>
      <c r="F172" s="235">
        <v>1650000</v>
      </c>
      <c r="G172" s="294">
        <v>0</v>
      </c>
      <c r="H172" s="294">
        <v>0</v>
      </c>
      <c r="I172" s="236">
        <v>0</v>
      </c>
      <c r="J172" s="236">
        <v>0</v>
      </c>
      <c r="K172" s="236">
        <v>0</v>
      </c>
      <c r="L172" s="236">
        <v>0</v>
      </c>
      <c r="M172" s="236">
        <v>0</v>
      </c>
      <c r="N172" s="236">
        <v>0</v>
      </c>
      <c r="O172" s="236">
        <v>6000000</v>
      </c>
      <c r="P172" s="236"/>
      <c r="Q172" s="294">
        <v>0</v>
      </c>
      <c r="R172" s="294">
        <v>0</v>
      </c>
      <c r="S172" s="237" t="s">
        <v>12971</v>
      </c>
      <c r="T172" s="254" t="str">
        <f t="shared" si="5"/>
        <v>=</v>
      </c>
      <c r="X172" s="237"/>
      <c r="Y172" s="237"/>
    </row>
    <row r="173" spans="1:25" s="228" customFormat="1" ht="19.5" customHeight="1" x14ac:dyDescent="0.3">
      <c r="A173" s="253">
        <v>99</v>
      </c>
      <c r="B173" s="233" t="s">
        <v>14995</v>
      </c>
      <c r="C173" s="233" t="s">
        <v>12972</v>
      </c>
      <c r="D173" s="215" t="str">
        <f t="shared" si="4"/>
        <v>DKG&lt;-&gt;Hạ Hòa, Phú Thọ</v>
      </c>
      <c r="E173" s="234">
        <v>500</v>
      </c>
      <c r="F173" s="235">
        <v>1650000</v>
      </c>
      <c r="G173" s="294">
        <v>0</v>
      </c>
      <c r="H173" s="294">
        <v>0</v>
      </c>
      <c r="I173" s="236">
        <v>0</v>
      </c>
      <c r="J173" s="236">
        <v>0</v>
      </c>
      <c r="K173" s="236">
        <v>0</v>
      </c>
      <c r="L173" s="236">
        <v>0</v>
      </c>
      <c r="M173" s="236">
        <v>0</v>
      </c>
      <c r="N173" s="236">
        <v>0</v>
      </c>
      <c r="O173" s="236">
        <v>6250000</v>
      </c>
      <c r="P173" s="236"/>
      <c r="Q173" s="294">
        <v>0</v>
      </c>
      <c r="R173" s="294">
        <v>0</v>
      </c>
      <c r="S173" s="237" t="s">
        <v>12972</v>
      </c>
      <c r="T173" s="254" t="str">
        <f t="shared" si="5"/>
        <v>=</v>
      </c>
      <c r="X173" s="237"/>
      <c r="Y173" s="237"/>
    </row>
    <row r="174" spans="1:25" s="228" customFormat="1" ht="19.5" customHeight="1" x14ac:dyDescent="0.3">
      <c r="A174" s="253">
        <v>100</v>
      </c>
      <c r="B174" s="233" t="s">
        <v>14995</v>
      </c>
      <c r="C174" s="233" t="s">
        <v>12973</v>
      </c>
      <c r="D174" s="215" t="str">
        <f t="shared" si="4"/>
        <v>DKG&lt;-&gt;Yên Lập, Phú Thọ</v>
      </c>
      <c r="E174" s="234">
        <v>475</v>
      </c>
      <c r="F174" s="235">
        <v>1650000</v>
      </c>
      <c r="G174" s="294">
        <v>0</v>
      </c>
      <c r="H174" s="294">
        <v>0</v>
      </c>
      <c r="I174" s="236">
        <v>0</v>
      </c>
      <c r="J174" s="236">
        <v>0</v>
      </c>
      <c r="K174" s="236">
        <v>0</v>
      </c>
      <c r="L174" s="236">
        <v>0</v>
      </c>
      <c r="M174" s="236">
        <v>0</v>
      </c>
      <c r="N174" s="236">
        <v>0</v>
      </c>
      <c r="O174" s="236">
        <v>6100000</v>
      </c>
      <c r="P174" s="236"/>
      <c r="Q174" s="294">
        <v>0</v>
      </c>
      <c r="R174" s="294">
        <v>0</v>
      </c>
      <c r="S174" s="237" t="s">
        <v>12973</v>
      </c>
      <c r="T174" s="254" t="str">
        <f t="shared" si="5"/>
        <v>=</v>
      </c>
      <c r="X174" s="237"/>
      <c r="Y174" s="237"/>
    </row>
    <row r="175" spans="1:25" s="228" customFormat="1" ht="19.5" customHeight="1" x14ac:dyDescent="0.3">
      <c r="A175" s="253">
        <v>101</v>
      </c>
      <c r="B175" s="233" t="s">
        <v>14996</v>
      </c>
      <c r="C175" s="233" t="s">
        <v>12974</v>
      </c>
      <c r="D175" s="215" t="str">
        <f t="shared" si="4"/>
        <v>DKG&lt;-&gt;Bảo Ái, Yên Bái</v>
      </c>
      <c r="E175" s="234">
        <v>580</v>
      </c>
      <c r="F175" s="235">
        <v>0</v>
      </c>
      <c r="G175" s="294">
        <v>0</v>
      </c>
      <c r="H175" s="294">
        <v>0</v>
      </c>
      <c r="I175" s="236">
        <v>0</v>
      </c>
      <c r="J175" s="236">
        <v>0</v>
      </c>
      <c r="K175" s="236">
        <v>0</v>
      </c>
      <c r="L175" s="236">
        <v>0</v>
      </c>
      <c r="M175" s="236">
        <v>0</v>
      </c>
      <c r="N175" s="236">
        <v>0</v>
      </c>
      <c r="O175" s="236">
        <v>7900000</v>
      </c>
      <c r="P175" s="236"/>
      <c r="Q175" s="294">
        <v>0</v>
      </c>
      <c r="R175" s="294">
        <v>0</v>
      </c>
      <c r="S175" s="237" t="s">
        <v>12974</v>
      </c>
      <c r="T175" s="254" t="str">
        <f t="shared" si="5"/>
        <v>=</v>
      </c>
      <c r="X175" s="237"/>
      <c r="Y175" s="237"/>
    </row>
    <row r="176" spans="1:25" s="228" customFormat="1" ht="19.5" customHeight="1" x14ac:dyDescent="0.3">
      <c r="A176" s="253">
        <v>102</v>
      </c>
      <c r="B176" s="233" t="s">
        <v>14996</v>
      </c>
      <c r="C176" s="233" t="s">
        <v>12975</v>
      </c>
      <c r="D176" s="215" t="str">
        <f t="shared" si="4"/>
        <v>DKG&lt;-&gt;Yên Bình, Yên Bái</v>
      </c>
      <c r="E176" s="234">
        <v>530</v>
      </c>
      <c r="F176" s="235">
        <v>0</v>
      </c>
      <c r="G176" s="294">
        <v>11300000</v>
      </c>
      <c r="H176" s="294">
        <v>9800000</v>
      </c>
      <c r="I176" s="236">
        <v>10450000</v>
      </c>
      <c r="J176" s="236">
        <v>9300000</v>
      </c>
      <c r="K176" s="236">
        <v>10450000</v>
      </c>
      <c r="L176" s="236">
        <v>9300000</v>
      </c>
      <c r="M176" s="236">
        <v>10450000</v>
      </c>
      <c r="N176" s="236">
        <v>9300000</v>
      </c>
      <c r="O176" s="236">
        <v>8200000</v>
      </c>
      <c r="P176" s="236"/>
      <c r="Q176" s="294">
        <v>10450000</v>
      </c>
      <c r="R176" s="294">
        <v>9300000</v>
      </c>
      <c r="S176" s="237" t="s">
        <v>12975</v>
      </c>
      <c r="T176" s="254" t="str">
        <f t="shared" si="5"/>
        <v>=</v>
      </c>
      <c r="X176" s="237"/>
      <c r="Y176" s="237"/>
    </row>
    <row r="177" spans="1:25" s="228" customFormat="1" ht="19.5" customHeight="1" x14ac:dyDescent="0.3">
      <c r="A177" s="253">
        <v>103</v>
      </c>
      <c r="B177" s="233" t="s">
        <v>14996</v>
      </c>
      <c r="C177" s="233" t="s">
        <v>12832</v>
      </c>
      <c r="D177" s="215" t="str">
        <f t="shared" si="4"/>
        <v>DKG&lt;-&gt;TP. Yên Bái</v>
      </c>
      <c r="E177" s="234">
        <v>530</v>
      </c>
      <c r="F177" s="235">
        <v>0</v>
      </c>
      <c r="G177" s="294">
        <v>0</v>
      </c>
      <c r="H177" s="294">
        <v>0</v>
      </c>
      <c r="I177" s="236">
        <v>0</v>
      </c>
      <c r="J177" s="236">
        <v>0</v>
      </c>
      <c r="K177" s="236">
        <v>0</v>
      </c>
      <c r="L177" s="236">
        <v>0</v>
      </c>
      <c r="M177" s="236">
        <v>0</v>
      </c>
      <c r="N177" s="236">
        <v>0</v>
      </c>
      <c r="O177" s="236">
        <v>7650000</v>
      </c>
      <c r="P177" s="236" t="s">
        <v>14587</v>
      </c>
      <c r="Q177" s="294">
        <v>0</v>
      </c>
      <c r="R177" s="294">
        <v>0</v>
      </c>
      <c r="S177" s="237" t="s">
        <v>12976</v>
      </c>
      <c r="T177" s="254" t="str">
        <f t="shared" si="5"/>
        <v>saiiii</v>
      </c>
      <c r="X177" s="237"/>
      <c r="Y177" s="237"/>
    </row>
    <row r="178" spans="1:25" s="228" customFormat="1" ht="19.5" customHeight="1" x14ac:dyDescent="0.3">
      <c r="A178" s="253">
        <v>104</v>
      </c>
      <c r="B178" s="233" t="s">
        <v>14997</v>
      </c>
      <c r="C178" s="233" t="s">
        <v>12977</v>
      </c>
      <c r="D178" s="215" t="str">
        <f t="shared" si="4"/>
        <v>DKG&lt;-&gt;Hữu Lũng, Lạng Sơn</v>
      </c>
      <c r="E178" s="234">
        <v>310</v>
      </c>
      <c r="F178" s="235">
        <v>1700000</v>
      </c>
      <c r="G178" s="294">
        <v>0</v>
      </c>
      <c r="H178" s="294">
        <v>0</v>
      </c>
      <c r="I178" s="236">
        <v>0</v>
      </c>
      <c r="J178" s="236">
        <v>0</v>
      </c>
      <c r="K178" s="236">
        <v>0</v>
      </c>
      <c r="L178" s="236">
        <v>0</v>
      </c>
      <c r="M178" s="236">
        <v>0</v>
      </c>
      <c r="N178" s="236">
        <v>0</v>
      </c>
      <c r="O178" s="236">
        <v>4900000</v>
      </c>
      <c r="P178" s="236"/>
      <c r="Q178" s="294">
        <v>0</v>
      </c>
      <c r="R178" s="294">
        <v>0</v>
      </c>
      <c r="S178" s="237" t="s">
        <v>12977</v>
      </c>
      <c r="T178" s="254" t="str">
        <f t="shared" si="5"/>
        <v>=</v>
      </c>
      <c r="X178" s="237"/>
      <c r="Y178" s="237"/>
    </row>
    <row r="179" spans="1:25" s="228" customFormat="1" ht="19.5" customHeight="1" x14ac:dyDescent="0.3">
      <c r="A179" s="253">
        <v>105</v>
      </c>
      <c r="B179" s="233" t="s">
        <v>14997</v>
      </c>
      <c r="C179" s="233" t="s">
        <v>12832</v>
      </c>
      <c r="D179" s="215" t="str">
        <f t="shared" si="4"/>
        <v>DKG&lt;-&gt;TP. Lạng Sơn</v>
      </c>
      <c r="E179" s="234">
        <v>445</v>
      </c>
      <c r="F179" s="235">
        <v>2050000</v>
      </c>
      <c r="G179" s="294">
        <v>11250000</v>
      </c>
      <c r="H179" s="294">
        <v>10300000</v>
      </c>
      <c r="I179" s="236">
        <v>11250000</v>
      </c>
      <c r="J179" s="236">
        <v>10600000</v>
      </c>
      <c r="K179" s="236">
        <v>11250000</v>
      </c>
      <c r="L179" s="236">
        <v>10600000</v>
      </c>
      <c r="M179" s="236">
        <v>11750000</v>
      </c>
      <c r="N179" s="236">
        <v>10600000</v>
      </c>
      <c r="O179" s="236"/>
      <c r="P179" s="236"/>
      <c r="Q179" s="294">
        <v>11750000</v>
      </c>
      <c r="R179" s="294">
        <v>10600000</v>
      </c>
      <c r="S179" s="237" t="s">
        <v>13272</v>
      </c>
      <c r="T179" s="254" t="str">
        <f t="shared" si="5"/>
        <v>saiiii</v>
      </c>
      <c r="X179" s="237"/>
      <c r="Y179" s="237"/>
    </row>
    <row r="180" spans="1:25" s="228" customFormat="1" ht="19.5" customHeight="1" x14ac:dyDescent="0.3">
      <c r="A180" s="253">
        <v>106</v>
      </c>
      <c r="B180" s="233" t="s">
        <v>14997</v>
      </c>
      <c r="C180" s="233" t="s">
        <v>12978</v>
      </c>
      <c r="D180" s="215" t="str">
        <f t="shared" si="4"/>
        <v>DKG&lt;-&gt;Lộc Bình/Bắc Sơn, Lạng Sơn</v>
      </c>
      <c r="E180" s="234">
        <v>510</v>
      </c>
      <c r="F180" s="235">
        <v>2150000</v>
      </c>
      <c r="G180" s="294">
        <v>12300000</v>
      </c>
      <c r="H180" s="294">
        <v>10800000</v>
      </c>
      <c r="I180" s="236">
        <v>11950000</v>
      </c>
      <c r="J180" s="236">
        <v>11200000</v>
      </c>
      <c r="K180" s="236">
        <v>11950000</v>
      </c>
      <c r="L180" s="236">
        <v>11200000</v>
      </c>
      <c r="M180" s="236">
        <v>12950000</v>
      </c>
      <c r="N180" s="236">
        <v>11200000</v>
      </c>
      <c r="O180" s="236"/>
      <c r="P180" s="236"/>
      <c r="Q180" s="294">
        <v>12950000</v>
      </c>
      <c r="R180" s="294">
        <v>11200000</v>
      </c>
      <c r="S180" s="237" t="s">
        <v>12978</v>
      </c>
      <c r="T180" s="254" t="str">
        <f t="shared" si="5"/>
        <v>=</v>
      </c>
      <c r="X180" s="237"/>
      <c r="Y180" s="237"/>
    </row>
    <row r="181" spans="1:25" s="228" customFormat="1" ht="19.5" customHeight="1" x14ac:dyDescent="0.3">
      <c r="A181" s="253">
        <v>107</v>
      </c>
      <c r="B181" s="233" t="s">
        <v>14998</v>
      </c>
      <c r="C181" s="233" t="s">
        <v>12832</v>
      </c>
      <c r="D181" s="215" t="str">
        <f t="shared" si="4"/>
        <v>DKG&lt;-&gt;TP. Hà Giang</v>
      </c>
      <c r="E181" s="234">
        <v>802</v>
      </c>
      <c r="F181" s="235">
        <v>0</v>
      </c>
      <c r="G181" s="294">
        <v>20100000</v>
      </c>
      <c r="H181" s="294">
        <v>17350000</v>
      </c>
      <c r="I181" s="236">
        <v>20100000</v>
      </c>
      <c r="J181" s="236">
        <v>18000000</v>
      </c>
      <c r="K181" s="236">
        <v>20100000</v>
      </c>
      <c r="L181" s="236">
        <v>18000000</v>
      </c>
      <c r="M181" s="236">
        <v>21050000</v>
      </c>
      <c r="N181" s="236">
        <v>17950000</v>
      </c>
      <c r="O181" s="236"/>
      <c r="P181" s="236"/>
      <c r="Q181" s="294">
        <v>21050000</v>
      </c>
      <c r="R181" s="294">
        <v>17950000</v>
      </c>
      <c r="S181" s="237" t="s">
        <v>13273</v>
      </c>
      <c r="T181" s="254" t="str">
        <f t="shared" si="5"/>
        <v>saiiii</v>
      </c>
      <c r="X181" s="237"/>
      <c r="Y181" s="237"/>
    </row>
    <row r="182" spans="1:25" s="228" customFormat="1" ht="19.5" customHeight="1" x14ac:dyDescent="0.3">
      <c r="A182" s="253">
        <v>108</v>
      </c>
      <c r="B182" s="233" t="s">
        <v>14999</v>
      </c>
      <c r="C182" s="233" t="s">
        <v>12832</v>
      </c>
      <c r="D182" s="215" t="str">
        <f t="shared" si="4"/>
        <v>DKG&lt;-&gt;TP. Lào Cai</v>
      </c>
      <c r="E182" s="234">
        <v>850</v>
      </c>
      <c r="F182" s="235">
        <v>0</v>
      </c>
      <c r="G182" s="294">
        <v>19250000</v>
      </c>
      <c r="H182" s="294">
        <v>17800000</v>
      </c>
      <c r="I182" s="236">
        <v>19250000</v>
      </c>
      <c r="J182" s="236">
        <v>17450000</v>
      </c>
      <c r="K182" s="236">
        <v>19250000</v>
      </c>
      <c r="L182" s="236">
        <v>17450000</v>
      </c>
      <c r="M182" s="236">
        <v>19150000</v>
      </c>
      <c r="N182" s="236">
        <v>17350000</v>
      </c>
      <c r="O182" s="236"/>
      <c r="P182" s="236"/>
      <c r="Q182" s="294">
        <v>19150000</v>
      </c>
      <c r="R182" s="294">
        <v>17350000</v>
      </c>
      <c r="S182" s="237" t="s">
        <v>13274</v>
      </c>
      <c r="T182" s="254" t="str">
        <f t="shared" si="5"/>
        <v>saiiii</v>
      </c>
      <c r="X182" s="237"/>
      <c r="Y182" s="237"/>
    </row>
    <row r="183" spans="1:25" s="228" customFormat="1" ht="19.5" customHeight="1" x14ac:dyDescent="0.3">
      <c r="A183" s="253">
        <v>109</v>
      </c>
      <c r="B183" s="233" t="s">
        <v>14999</v>
      </c>
      <c r="C183" s="233" t="s">
        <v>12979</v>
      </c>
      <c r="D183" s="215" t="str">
        <f t="shared" si="4"/>
        <v>DKG&lt;-&gt;Sa Pa, Lào Cai</v>
      </c>
      <c r="E183" s="234">
        <v>910</v>
      </c>
      <c r="F183" s="235">
        <v>0</v>
      </c>
      <c r="G183" s="294">
        <v>21400000</v>
      </c>
      <c r="H183" s="294">
        <v>18850000</v>
      </c>
      <c r="I183" s="236">
        <v>21400000</v>
      </c>
      <c r="J183" s="236">
        <v>18500000</v>
      </c>
      <c r="K183" s="236">
        <v>21400000</v>
      </c>
      <c r="L183" s="236">
        <v>18500000</v>
      </c>
      <c r="M183" s="236">
        <v>21400000</v>
      </c>
      <c r="N183" s="236">
        <v>18500000</v>
      </c>
      <c r="O183" s="236"/>
      <c r="P183" s="236"/>
      <c r="Q183" s="294">
        <v>21400000</v>
      </c>
      <c r="R183" s="294">
        <v>18500000</v>
      </c>
      <c r="S183" s="237" t="s">
        <v>12979</v>
      </c>
      <c r="T183" s="254" t="str">
        <f t="shared" si="5"/>
        <v>=</v>
      </c>
      <c r="X183" s="237"/>
      <c r="Y183" s="237"/>
    </row>
    <row r="184" spans="1:25" s="228" customFormat="1" ht="19.5" customHeight="1" x14ac:dyDescent="0.3">
      <c r="A184" s="253">
        <v>110</v>
      </c>
      <c r="B184" s="233" t="s">
        <v>15000</v>
      </c>
      <c r="C184" s="233" t="s">
        <v>12832</v>
      </c>
      <c r="D184" s="215" t="str">
        <f t="shared" si="4"/>
        <v>DKG&lt;-&gt;TP. Cao Bằng</v>
      </c>
      <c r="E184" s="234">
        <v>640</v>
      </c>
      <c r="F184" s="235">
        <v>0</v>
      </c>
      <c r="G184" s="294">
        <v>20350000</v>
      </c>
      <c r="H184" s="294">
        <v>17750000</v>
      </c>
      <c r="I184" s="236">
        <v>20350000</v>
      </c>
      <c r="J184" s="236">
        <v>17450000</v>
      </c>
      <c r="K184" s="236">
        <v>20350000</v>
      </c>
      <c r="L184" s="236">
        <v>17450000</v>
      </c>
      <c r="M184" s="236">
        <v>20300000</v>
      </c>
      <c r="N184" s="236">
        <v>17400000</v>
      </c>
      <c r="O184" s="356" t="s">
        <v>14651</v>
      </c>
      <c r="P184" s="236"/>
      <c r="Q184" s="294">
        <v>20300000</v>
      </c>
      <c r="R184" s="294">
        <v>17400000</v>
      </c>
      <c r="S184" s="237" t="s">
        <v>13275</v>
      </c>
      <c r="T184" s="254" t="str">
        <f t="shared" si="5"/>
        <v>saiiii</v>
      </c>
      <c r="X184" s="237"/>
      <c r="Y184" s="237"/>
    </row>
    <row r="185" spans="1:25" s="228" customFormat="1" ht="19.5" customHeight="1" x14ac:dyDescent="0.3">
      <c r="A185" s="253">
        <v>111</v>
      </c>
      <c r="B185" s="233" t="s">
        <v>12980</v>
      </c>
      <c r="C185" s="233" t="s">
        <v>12832</v>
      </c>
      <c r="D185" s="215" t="str">
        <f t="shared" si="4"/>
        <v>DKG&lt;-&gt;TP. Tuyên Quang</v>
      </c>
      <c r="E185" s="234">
        <v>480</v>
      </c>
      <c r="F185" s="235">
        <v>0</v>
      </c>
      <c r="G185" s="294">
        <v>9900000</v>
      </c>
      <c r="H185" s="294">
        <v>9050000</v>
      </c>
      <c r="I185" s="236">
        <v>9900000</v>
      </c>
      <c r="J185" s="236">
        <v>8900000</v>
      </c>
      <c r="K185" s="236">
        <v>9900000</v>
      </c>
      <c r="L185" s="236">
        <v>8900000</v>
      </c>
      <c r="M185" s="236">
        <v>9850000</v>
      </c>
      <c r="N185" s="236">
        <v>8850000</v>
      </c>
      <c r="O185" s="236"/>
      <c r="P185" s="236" t="s">
        <v>13604</v>
      </c>
      <c r="Q185" s="294">
        <v>9850000</v>
      </c>
      <c r="R185" s="294">
        <v>8850000</v>
      </c>
      <c r="S185" s="237" t="s">
        <v>13276</v>
      </c>
      <c r="T185" s="254" t="str">
        <f t="shared" si="5"/>
        <v>saiiii</v>
      </c>
      <c r="X185" s="237"/>
      <c r="Y185" s="237"/>
    </row>
    <row r="186" spans="1:25" s="228" customFormat="1" ht="19.5" customHeight="1" x14ac:dyDescent="0.3">
      <c r="A186" s="253">
        <v>112</v>
      </c>
      <c r="B186" s="233" t="s">
        <v>12980</v>
      </c>
      <c r="C186" s="233" t="s">
        <v>12981</v>
      </c>
      <c r="D186" s="215" t="str">
        <f t="shared" si="4"/>
        <v>DKG&lt;-&gt;Yên Sơn, Tuyên Quang</v>
      </c>
      <c r="E186" s="234">
        <v>530</v>
      </c>
      <c r="F186" s="235">
        <v>0</v>
      </c>
      <c r="G186" s="294">
        <v>10400000</v>
      </c>
      <c r="H186" s="294">
        <v>9500000</v>
      </c>
      <c r="I186" s="236">
        <v>10400000</v>
      </c>
      <c r="J186" s="236">
        <v>9300000</v>
      </c>
      <c r="K186" s="236">
        <v>10400000</v>
      </c>
      <c r="L186" s="236">
        <v>9300000</v>
      </c>
      <c r="M186" s="236">
        <v>10400000</v>
      </c>
      <c r="N186" s="236">
        <v>9300000</v>
      </c>
      <c r="O186" s="236"/>
      <c r="P186" s="236"/>
      <c r="Q186" s="294">
        <v>10400000</v>
      </c>
      <c r="R186" s="294">
        <v>9300000</v>
      </c>
      <c r="S186" s="237" t="s">
        <v>12981</v>
      </c>
      <c r="T186" s="254" t="str">
        <f t="shared" si="5"/>
        <v>=</v>
      </c>
      <c r="X186" s="237"/>
      <c r="Y186" s="237"/>
    </row>
    <row r="187" spans="1:25" s="232" customFormat="1" ht="19.5" customHeight="1" x14ac:dyDescent="0.3">
      <c r="A187" s="242" t="s">
        <v>12785</v>
      </c>
      <c r="B187" s="243"/>
      <c r="C187" s="243"/>
      <c r="D187" s="215" t="str">
        <f t="shared" si="4"/>
        <v xml:space="preserve">DKG&lt;-&gt;, </v>
      </c>
      <c r="E187" s="243"/>
      <c r="F187" s="243">
        <v>0</v>
      </c>
      <c r="G187" s="243"/>
      <c r="H187" s="243"/>
      <c r="I187" s="243"/>
      <c r="J187" s="243"/>
      <c r="K187" s="243"/>
      <c r="L187" s="243"/>
      <c r="M187" s="243"/>
      <c r="N187" s="243"/>
      <c r="O187" s="243"/>
      <c r="P187" s="243"/>
      <c r="Q187" s="296"/>
      <c r="R187" s="296"/>
      <c r="S187" s="237"/>
      <c r="T187" s="254" t="str">
        <f t="shared" si="5"/>
        <v>=</v>
      </c>
      <c r="X187" s="237"/>
      <c r="Y187" s="237"/>
    </row>
    <row r="188" spans="1:25" s="228" customFormat="1" ht="19.5" customHeight="1" x14ac:dyDescent="0.3">
      <c r="A188" s="253">
        <v>1</v>
      </c>
      <c r="B188" s="233" t="s">
        <v>10317</v>
      </c>
      <c r="C188" s="233" t="s">
        <v>12982</v>
      </c>
      <c r="D188" s="215" t="str">
        <f t="shared" si="4"/>
        <v>DKG&lt;-&gt;Sở Dầu, Hải Phòng</v>
      </c>
      <c r="E188" s="234">
        <v>50</v>
      </c>
      <c r="F188" s="235">
        <v>250000</v>
      </c>
      <c r="G188" s="294">
        <v>2800000</v>
      </c>
      <c r="H188" s="294">
        <v>2100000</v>
      </c>
      <c r="I188" s="236">
        <v>1950000</v>
      </c>
      <c r="J188" s="236">
        <v>1850000</v>
      </c>
      <c r="K188" s="236">
        <v>1950000</v>
      </c>
      <c r="L188" s="236">
        <v>1850000</v>
      </c>
      <c r="M188" s="236">
        <v>2300000</v>
      </c>
      <c r="N188" s="236">
        <v>1850000</v>
      </c>
      <c r="O188" s="236"/>
      <c r="P188" s="236"/>
      <c r="Q188" s="295">
        <v>2300000</v>
      </c>
      <c r="R188" s="294">
        <v>1850000</v>
      </c>
      <c r="S188" s="237" t="s">
        <v>12982</v>
      </c>
      <c r="T188" s="254" t="str">
        <f t="shared" si="5"/>
        <v>=</v>
      </c>
      <c r="X188" s="237"/>
      <c r="Y188" s="237"/>
    </row>
    <row r="189" spans="1:25" s="228" customFormat="1" ht="19.5" customHeight="1" x14ac:dyDescent="0.3">
      <c r="A189" s="253">
        <v>2</v>
      </c>
      <c r="B189" s="233" t="s">
        <v>10317</v>
      </c>
      <c r="C189" s="233" t="s">
        <v>12983</v>
      </c>
      <c r="D189" s="215" t="str">
        <f t="shared" si="4"/>
        <v>DKG&lt;-&gt;Cầu Kiền (bên Quán Toán), Hải Phòng</v>
      </c>
      <c r="E189" s="234">
        <v>65</v>
      </c>
      <c r="F189" s="235">
        <v>250000</v>
      </c>
      <c r="G189" s="294">
        <v>2800000</v>
      </c>
      <c r="H189" s="294">
        <v>2100000</v>
      </c>
      <c r="I189" s="236">
        <v>1950000</v>
      </c>
      <c r="J189" s="236">
        <v>1850000</v>
      </c>
      <c r="K189" s="236">
        <v>1950000</v>
      </c>
      <c r="L189" s="236">
        <v>1850000</v>
      </c>
      <c r="M189" s="236">
        <v>2300000</v>
      </c>
      <c r="N189" s="236">
        <v>1850000</v>
      </c>
      <c r="O189" s="236"/>
      <c r="P189" s="236"/>
      <c r="Q189" s="295">
        <v>2300000</v>
      </c>
      <c r="R189" s="294">
        <v>1850000</v>
      </c>
      <c r="S189" s="237" t="s">
        <v>12983</v>
      </c>
      <c r="T189" s="254" t="str">
        <f t="shared" si="5"/>
        <v>=</v>
      </c>
      <c r="X189" s="237"/>
      <c r="Y189" s="237"/>
    </row>
    <row r="190" spans="1:25" s="228" customFormat="1" ht="19.5" customHeight="1" x14ac:dyDescent="0.3">
      <c r="A190" s="253">
        <v>3</v>
      </c>
      <c r="B190" s="233" t="s">
        <v>10317</v>
      </c>
      <c r="C190" s="233" t="s">
        <v>13053</v>
      </c>
      <c r="D190" s="215" t="str">
        <f t="shared" si="4"/>
        <v>DKG&lt;-&gt;Thuỷ Nguyên, Hải Phòng</v>
      </c>
      <c r="E190" s="234">
        <v>90</v>
      </c>
      <c r="F190" s="235">
        <v>250000</v>
      </c>
      <c r="G190" s="294">
        <v>3050000</v>
      </c>
      <c r="H190" s="294">
        <v>2800000</v>
      </c>
      <c r="I190" s="236">
        <v>2550000</v>
      </c>
      <c r="J190" s="236">
        <v>2350000</v>
      </c>
      <c r="K190" s="236">
        <v>2550000</v>
      </c>
      <c r="L190" s="236">
        <v>2350000</v>
      </c>
      <c r="M190" s="236">
        <v>2900000</v>
      </c>
      <c r="N190" s="236">
        <v>2350000</v>
      </c>
      <c r="O190" s="236"/>
      <c r="P190" s="236"/>
      <c r="Q190" s="295">
        <v>2900000</v>
      </c>
      <c r="R190" s="294">
        <v>2350000</v>
      </c>
      <c r="S190" s="237" t="s">
        <v>13053</v>
      </c>
      <c r="T190" s="254" t="str">
        <f t="shared" si="5"/>
        <v>=</v>
      </c>
      <c r="X190" s="237"/>
      <c r="Y190" s="237"/>
    </row>
    <row r="191" spans="1:25" s="228" customFormat="1" ht="19.5" customHeight="1" x14ac:dyDescent="0.3">
      <c r="A191" s="253">
        <v>4</v>
      </c>
      <c r="B191" s="233" t="s">
        <v>15001</v>
      </c>
      <c r="C191" s="233" t="s">
        <v>12984</v>
      </c>
      <c r="D191" s="215" t="str">
        <f t="shared" si="4"/>
        <v>DKG&lt;-&gt;Uông Bí, Quảng Ninh</v>
      </c>
      <c r="E191" s="234">
        <v>115</v>
      </c>
      <c r="F191" s="235">
        <v>400000</v>
      </c>
      <c r="G191" s="294">
        <v>3750000</v>
      </c>
      <c r="H191" s="294">
        <v>3350000</v>
      </c>
      <c r="I191" s="236">
        <v>3750000</v>
      </c>
      <c r="J191" s="236">
        <v>3350000</v>
      </c>
      <c r="K191" s="236">
        <v>3750000</v>
      </c>
      <c r="L191" s="236">
        <v>3350000</v>
      </c>
      <c r="M191" s="236">
        <v>3750000</v>
      </c>
      <c r="N191" s="236">
        <v>3350000</v>
      </c>
      <c r="O191" s="236"/>
      <c r="P191" s="236"/>
      <c r="Q191" s="294">
        <v>3750000</v>
      </c>
      <c r="R191" s="294">
        <v>3350000</v>
      </c>
      <c r="S191" s="237" t="s">
        <v>12984</v>
      </c>
      <c r="T191" s="254" t="str">
        <f t="shared" si="5"/>
        <v>=</v>
      </c>
      <c r="X191" s="237"/>
      <c r="Y191" s="237"/>
    </row>
    <row r="192" spans="1:25" s="228" customFormat="1" ht="19.5" customHeight="1" x14ac:dyDescent="0.3">
      <c r="A192" s="253">
        <v>5</v>
      </c>
      <c r="B192" s="233" t="s">
        <v>15001</v>
      </c>
      <c r="C192" s="233" t="s">
        <v>12985</v>
      </c>
      <c r="D192" s="215" t="str">
        <f t="shared" si="4"/>
        <v>DKG&lt;-&gt;Quảng Yên, Quảng Ninh</v>
      </c>
      <c r="E192" s="234">
        <v>65</v>
      </c>
      <c r="F192" s="235">
        <v>400000</v>
      </c>
      <c r="G192" s="294">
        <v>3850000</v>
      </c>
      <c r="H192" s="294">
        <v>3300000</v>
      </c>
      <c r="I192" s="236">
        <v>3800000</v>
      </c>
      <c r="J192" s="236">
        <v>3250000</v>
      </c>
      <c r="K192" s="236">
        <v>3800000</v>
      </c>
      <c r="L192" s="236">
        <v>3250000</v>
      </c>
      <c r="M192" s="236">
        <v>3800000</v>
      </c>
      <c r="N192" s="236">
        <v>3250000</v>
      </c>
      <c r="O192" s="236"/>
      <c r="P192" s="236"/>
      <c r="Q192" s="294">
        <v>3800000</v>
      </c>
      <c r="R192" s="294">
        <v>3250000</v>
      </c>
      <c r="S192" s="237" t="s">
        <v>12985</v>
      </c>
      <c r="T192" s="254" t="str">
        <f t="shared" si="5"/>
        <v>=</v>
      </c>
      <c r="X192" s="237"/>
      <c r="Y192" s="237"/>
    </row>
    <row r="193" spans="1:25" s="228" customFormat="1" ht="19.5" customHeight="1" x14ac:dyDescent="0.3">
      <c r="A193" s="253">
        <v>6</v>
      </c>
      <c r="B193" s="233" t="s">
        <v>15001</v>
      </c>
      <c r="C193" s="233" t="s">
        <v>12986</v>
      </c>
      <c r="D193" s="215" t="str">
        <f t="shared" si="4"/>
        <v>DKG&lt;-&gt;Mạo Khê (Đông Triều), Quảng Ninh</v>
      </c>
      <c r="E193" s="234">
        <v>0</v>
      </c>
      <c r="F193" s="235">
        <v>400000</v>
      </c>
      <c r="G193" s="294">
        <v>3900000</v>
      </c>
      <c r="H193" s="294">
        <v>3300000</v>
      </c>
      <c r="I193" s="236">
        <v>3850000</v>
      </c>
      <c r="J193" s="236">
        <v>3250000</v>
      </c>
      <c r="K193" s="236">
        <v>3850000</v>
      </c>
      <c r="L193" s="236">
        <v>3250000</v>
      </c>
      <c r="M193" s="236">
        <v>3850000</v>
      </c>
      <c r="N193" s="236">
        <v>3250000</v>
      </c>
      <c r="O193" s="236"/>
      <c r="P193" s="236"/>
      <c r="Q193" s="294">
        <v>3850000</v>
      </c>
      <c r="R193" s="294">
        <v>3250000</v>
      </c>
      <c r="S193" s="237" t="s">
        <v>12986</v>
      </c>
      <c r="T193" s="254" t="str">
        <f t="shared" si="5"/>
        <v>=</v>
      </c>
      <c r="X193" s="237"/>
      <c r="Y193" s="237"/>
    </row>
    <row r="194" spans="1:25" s="228" customFormat="1" ht="19.5" customHeight="1" x14ac:dyDescent="0.3">
      <c r="A194" s="253">
        <v>7</v>
      </c>
      <c r="B194" s="233" t="s">
        <v>15001</v>
      </c>
      <c r="C194" s="233" t="s">
        <v>12987</v>
      </c>
      <c r="D194" s="215" t="str">
        <f t="shared" si="4"/>
        <v>DKG&lt;-&gt;Hà Khẩu, Quảng Ninh</v>
      </c>
      <c r="E194" s="234">
        <v>85</v>
      </c>
      <c r="F194" s="235">
        <v>700000</v>
      </c>
      <c r="G194" s="294">
        <v>4850000</v>
      </c>
      <c r="H194" s="294">
        <v>4250000</v>
      </c>
      <c r="I194" s="236">
        <v>4550000</v>
      </c>
      <c r="J194" s="236">
        <v>4250000</v>
      </c>
      <c r="K194" s="236">
        <v>4550000</v>
      </c>
      <c r="L194" s="236">
        <v>4250000</v>
      </c>
      <c r="M194" s="236">
        <v>4700000</v>
      </c>
      <c r="N194" s="236">
        <v>4200000</v>
      </c>
      <c r="O194" s="236"/>
      <c r="P194" s="236"/>
      <c r="Q194" s="294">
        <v>4700000</v>
      </c>
      <c r="R194" s="294">
        <v>4200000</v>
      </c>
      <c r="S194" s="237" t="s">
        <v>12987</v>
      </c>
      <c r="T194" s="254" t="str">
        <f t="shared" si="5"/>
        <v>=</v>
      </c>
      <c r="X194" s="237"/>
      <c r="Y194" s="237"/>
    </row>
    <row r="195" spans="1:25" s="228" customFormat="1" ht="19.5" customHeight="1" x14ac:dyDescent="0.3">
      <c r="A195" s="253">
        <v>8</v>
      </c>
      <c r="B195" s="233" t="s">
        <v>15001</v>
      </c>
      <c r="C195" s="233" t="s">
        <v>12988</v>
      </c>
      <c r="D195" s="215" t="str">
        <f t="shared" si="4"/>
        <v>DKG&lt;-&gt;Hạ Long, Quảng Ninh</v>
      </c>
      <c r="E195" s="234">
        <v>85</v>
      </c>
      <c r="F195" s="235">
        <v>700000</v>
      </c>
      <c r="G195" s="294">
        <v>4850000</v>
      </c>
      <c r="H195" s="294">
        <v>4250000</v>
      </c>
      <c r="I195" s="236">
        <v>4550000</v>
      </c>
      <c r="J195" s="236">
        <v>4250000</v>
      </c>
      <c r="K195" s="236">
        <v>4550000</v>
      </c>
      <c r="L195" s="236">
        <v>4250000</v>
      </c>
      <c r="M195" s="236">
        <v>4700000</v>
      </c>
      <c r="N195" s="236">
        <v>4200000</v>
      </c>
      <c r="O195" s="236"/>
      <c r="P195" s="236"/>
      <c r="Q195" s="294">
        <v>4700000</v>
      </c>
      <c r="R195" s="294">
        <v>4200000</v>
      </c>
      <c r="S195" s="237" t="s">
        <v>12988</v>
      </c>
      <c r="T195" s="254" t="str">
        <f t="shared" si="5"/>
        <v>=</v>
      </c>
      <c r="X195" s="237"/>
      <c r="Y195" s="237"/>
    </row>
    <row r="196" spans="1:25" s="228" customFormat="1" ht="19.5" customHeight="1" x14ac:dyDescent="0.3">
      <c r="A196" s="253">
        <v>9</v>
      </c>
      <c r="B196" s="233" t="s">
        <v>15001</v>
      </c>
      <c r="C196" s="233" t="s">
        <v>12989</v>
      </c>
      <c r="D196" s="215" t="str">
        <f t="shared" si="4"/>
        <v>DKG&lt;-&gt;Hoành Bồ, Quảng Ninh</v>
      </c>
      <c r="E196" s="234">
        <v>135</v>
      </c>
      <c r="F196" s="235">
        <v>700000</v>
      </c>
      <c r="G196" s="294">
        <v>5050000</v>
      </c>
      <c r="H196" s="294">
        <v>4400000</v>
      </c>
      <c r="I196" s="236">
        <v>4700000</v>
      </c>
      <c r="J196" s="236">
        <v>4350000</v>
      </c>
      <c r="K196" s="236">
        <v>4700000</v>
      </c>
      <c r="L196" s="236">
        <v>4350000</v>
      </c>
      <c r="M196" s="236">
        <v>4850000</v>
      </c>
      <c r="N196" s="236">
        <v>4350000</v>
      </c>
      <c r="O196" s="236"/>
      <c r="P196" s="236"/>
      <c r="Q196" s="294">
        <v>4850000</v>
      </c>
      <c r="R196" s="294">
        <v>4350000</v>
      </c>
      <c r="S196" s="237" t="s">
        <v>12989</v>
      </c>
      <c r="T196" s="254" t="str">
        <f t="shared" si="5"/>
        <v>=</v>
      </c>
      <c r="X196" s="237"/>
      <c r="Y196" s="237"/>
    </row>
    <row r="197" spans="1:25" s="228" customFormat="1" ht="19.5" customHeight="1" x14ac:dyDescent="0.3">
      <c r="A197" s="253">
        <v>10</v>
      </c>
      <c r="B197" s="233" t="s">
        <v>15001</v>
      </c>
      <c r="C197" s="233" t="s">
        <v>12990</v>
      </c>
      <c r="D197" s="215" t="str">
        <f t="shared" si="4"/>
        <v>DKG&lt;-&gt;Cẩm Phả, Quảng Ninh</v>
      </c>
      <c r="E197" s="234">
        <v>170</v>
      </c>
      <c r="F197" s="235">
        <v>700000</v>
      </c>
      <c r="G197" s="294">
        <v>5100000</v>
      </c>
      <c r="H197" s="294">
        <v>4450000</v>
      </c>
      <c r="I197" s="236">
        <v>4850000</v>
      </c>
      <c r="J197" s="236">
        <v>4500000</v>
      </c>
      <c r="K197" s="236">
        <v>4850000</v>
      </c>
      <c r="L197" s="236">
        <v>4500000</v>
      </c>
      <c r="M197" s="236">
        <v>4900000</v>
      </c>
      <c r="N197" s="236">
        <v>4450000</v>
      </c>
      <c r="O197" s="236"/>
      <c r="P197" s="236"/>
      <c r="Q197" s="294">
        <v>4900000</v>
      </c>
      <c r="R197" s="294">
        <v>4450000</v>
      </c>
      <c r="S197" s="237" t="s">
        <v>12990</v>
      </c>
      <c r="T197" s="254" t="str">
        <f t="shared" si="5"/>
        <v>=</v>
      </c>
      <c r="X197" s="237"/>
      <c r="Y197" s="237"/>
    </row>
    <row r="198" spans="1:25" s="228" customFormat="1" ht="19.5" customHeight="1" x14ac:dyDescent="0.3">
      <c r="A198" s="253">
        <v>11</v>
      </c>
      <c r="B198" s="233" t="s">
        <v>15001</v>
      </c>
      <c r="C198" s="233" t="s">
        <v>12991</v>
      </c>
      <c r="D198" s="215" t="str">
        <f t="shared" si="4"/>
        <v>DKG&lt;-&gt;Cẩm Phả (1 lượt vé), Quảng Ninh</v>
      </c>
      <c r="E198" s="234">
        <v>170</v>
      </c>
      <c r="F198" s="235">
        <v>900000</v>
      </c>
      <c r="G198" s="294">
        <v>5300000</v>
      </c>
      <c r="H198" s="294">
        <v>4450000</v>
      </c>
      <c r="I198" s="236">
        <v>5050000</v>
      </c>
      <c r="J198" s="236">
        <v>4700000</v>
      </c>
      <c r="K198" s="236">
        <v>5050000</v>
      </c>
      <c r="L198" s="236">
        <v>4700000</v>
      </c>
      <c r="M198" s="236">
        <v>5100000</v>
      </c>
      <c r="N198" s="236">
        <v>4650000</v>
      </c>
      <c r="O198" s="236"/>
      <c r="P198" s="236"/>
      <c r="Q198" s="294">
        <v>5100000</v>
      </c>
      <c r="R198" s="294">
        <v>4650000</v>
      </c>
      <c r="S198" s="237" t="s">
        <v>12991</v>
      </c>
      <c r="T198" s="254" t="str">
        <f t="shared" si="5"/>
        <v>=</v>
      </c>
      <c r="X198" s="237"/>
      <c r="Y198" s="237"/>
    </row>
    <row r="199" spans="1:25" s="228" customFormat="1" ht="19.5" customHeight="1" x14ac:dyDescent="0.3">
      <c r="A199" s="253">
        <v>12</v>
      </c>
      <c r="B199" s="233" t="s">
        <v>15001</v>
      </c>
      <c r="C199" s="233" t="s">
        <v>12992</v>
      </c>
      <c r="D199" s="215" t="str">
        <f t="shared" si="4"/>
        <v>DKG&lt;-&gt;Cẩm Phả (2 lượt vé), Quảng Ninh</v>
      </c>
      <c r="E199" s="234">
        <v>170</v>
      </c>
      <c r="F199" s="235">
        <v>1100000</v>
      </c>
      <c r="G199" s="294">
        <v>5500000</v>
      </c>
      <c r="H199" s="294">
        <v>4450000</v>
      </c>
      <c r="I199" s="236">
        <v>5250000</v>
      </c>
      <c r="J199" s="236">
        <v>4900000</v>
      </c>
      <c r="K199" s="236">
        <v>5250000</v>
      </c>
      <c r="L199" s="236">
        <v>4900000</v>
      </c>
      <c r="M199" s="236">
        <v>5000000</v>
      </c>
      <c r="N199" s="236">
        <v>4550000</v>
      </c>
      <c r="O199" s="236"/>
      <c r="P199" s="236"/>
      <c r="Q199" s="294">
        <v>5000000</v>
      </c>
      <c r="R199" s="294">
        <v>4550000</v>
      </c>
      <c r="S199" s="237" t="s">
        <v>12992</v>
      </c>
      <c r="T199" s="254" t="str">
        <f t="shared" si="5"/>
        <v>=</v>
      </c>
      <c r="X199" s="237"/>
      <c r="Y199" s="237"/>
    </row>
    <row r="200" spans="1:25" s="228" customFormat="1" ht="19.5" customHeight="1" x14ac:dyDescent="0.3">
      <c r="A200" s="253">
        <v>13</v>
      </c>
      <c r="B200" s="233" t="s">
        <v>15001</v>
      </c>
      <c r="C200" s="233" t="s">
        <v>12993</v>
      </c>
      <c r="D200" s="215" t="str">
        <f t="shared" ref="D200:D201" si="6">CONCATENATE("DKG&lt;-&gt;",C200,IF(C200="TP",". ",", "),B200)</f>
        <v>DKG&lt;-&gt;Hải Hà, Quảng Ninh</v>
      </c>
      <c r="E200" s="234">
        <v>335</v>
      </c>
      <c r="F200" s="235">
        <v>1600000</v>
      </c>
      <c r="G200" s="294">
        <v>9800000</v>
      </c>
      <c r="H200" s="294">
        <v>9000000</v>
      </c>
      <c r="I200" s="236">
        <v>8800000</v>
      </c>
      <c r="J200" s="236">
        <v>8000000</v>
      </c>
      <c r="K200" s="236">
        <v>8800000</v>
      </c>
      <c r="L200" s="236">
        <v>8000000</v>
      </c>
      <c r="M200" s="236">
        <v>9400000</v>
      </c>
      <c r="N200" s="236">
        <v>8000000</v>
      </c>
      <c r="O200" s="236"/>
      <c r="P200" s="236"/>
      <c r="Q200" s="294">
        <v>9400000</v>
      </c>
      <c r="R200" s="294">
        <v>8000000</v>
      </c>
      <c r="S200" s="237" t="s">
        <v>12993</v>
      </c>
      <c r="T200" s="254" t="str">
        <f t="shared" ref="T200:T216" si="7">IF(S200=C200,"=","saiiii")</f>
        <v>=</v>
      </c>
      <c r="X200" s="237"/>
      <c r="Y200" s="237"/>
    </row>
    <row r="201" spans="1:25" s="228" customFormat="1" ht="19.5" customHeight="1" x14ac:dyDescent="0.3">
      <c r="A201" s="253">
        <v>14</v>
      </c>
      <c r="B201" s="233" t="s">
        <v>15001</v>
      </c>
      <c r="C201" s="233" t="s">
        <v>12994</v>
      </c>
      <c r="D201" s="215" t="str">
        <f t="shared" si="6"/>
        <v>DKG&lt;-&gt;Móng Cái, Quảng Ninh</v>
      </c>
      <c r="E201" s="234">
        <v>410</v>
      </c>
      <c r="F201" s="235">
        <v>1700000</v>
      </c>
      <c r="G201" s="294">
        <v>10600000</v>
      </c>
      <c r="H201" s="294">
        <v>9700000</v>
      </c>
      <c r="I201" s="236">
        <v>9600000</v>
      </c>
      <c r="J201" s="236">
        <v>8700000</v>
      </c>
      <c r="K201" s="236">
        <v>9600000</v>
      </c>
      <c r="L201" s="236">
        <v>8700000</v>
      </c>
      <c r="M201" s="236">
        <v>10400000</v>
      </c>
      <c r="N201" s="236">
        <v>8700000</v>
      </c>
      <c r="O201" s="236"/>
      <c r="P201" s="236"/>
      <c r="Q201" s="294">
        <v>10400000</v>
      </c>
      <c r="R201" s="294">
        <v>8700000</v>
      </c>
      <c r="S201" s="237" t="s">
        <v>12994</v>
      </c>
      <c r="T201" s="254" t="str">
        <f t="shared" si="7"/>
        <v>=</v>
      </c>
      <c r="X201" s="237"/>
      <c r="Y201" s="237"/>
    </row>
    <row r="202" spans="1:25" s="228" customFormat="1" ht="21.9" customHeight="1" x14ac:dyDescent="0.3">
      <c r="A202" s="229"/>
      <c r="B202" s="238"/>
      <c r="C202" s="238"/>
      <c r="D202" s="238"/>
      <c r="E202" s="239"/>
      <c r="F202" s="240"/>
      <c r="G202" s="241"/>
      <c r="H202" s="241"/>
      <c r="I202" s="241"/>
      <c r="J202" s="241"/>
      <c r="K202" s="241"/>
      <c r="L202" s="241"/>
      <c r="M202" s="241"/>
      <c r="N202" s="241"/>
      <c r="O202" s="241"/>
      <c r="P202" s="241"/>
      <c r="S202" s="237"/>
      <c r="T202" s="254" t="str">
        <f t="shared" si="7"/>
        <v>=</v>
      </c>
    </row>
    <row r="203" spans="1:25" s="228" customFormat="1" ht="21.9" customHeight="1" x14ac:dyDescent="0.3">
      <c r="E203" s="239"/>
      <c r="F203" s="240"/>
      <c r="S203" s="237"/>
      <c r="T203" s="254" t="str">
        <f t="shared" si="7"/>
        <v>=</v>
      </c>
    </row>
    <row r="204" spans="1:25" s="228" customFormat="1" ht="21.9" customHeight="1" x14ac:dyDescent="0.3">
      <c r="E204" s="239"/>
      <c r="F204" s="240"/>
      <c r="S204" s="237"/>
      <c r="T204" s="254" t="str">
        <f t="shared" si="7"/>
        <v>=</v>
      </c>
    </row>
    <row r="205" spans="1:25" s="228" customFormat="1" ht="21.9" customHeight="1" x14ac:dyDescent="0.3">
      <c r="E205" s="239"/>
      <c r="F205" s="240"/>
      <c r="S205" s="237"/>
      <c r="T205" s="254" t="str">
        <f t="shared" si="7"/>
        <v>=</v>
      </c>
    </row>
    <row r="206" spans="1:25" s="228" customFormat="1" ht="21.9" customHeight="1" x14ac:dyDescent="0.3">
      <c r="E206" s="239"/>
      <c r="F206" s="240"/>
      <c r="S206" s="237"/>
      <c r="T206" s="254" t="str">
        <f t="shared" si="7"/>
        <v>=</v>
      </c>
    </row>
    <row r="207" spans="1:25" s="228" customFormat="1" ht="21.9" customHeight="1" x14ac:dyDescent="0.3">
      <c r="E207" s="239"/>
      <c r="F207" s="240"/>
      <c r="S207" s="237"/>
      <c r="T207" s="254" t="str">
        <f t="shared" si="7"/>
        <v>=</v>
      </c>
    </row>
    <row r="208" spans="1:25" s="228" customFormat="1" ht="21.9" customHeight="1" x14ac:dyDescent="0.3">
      <c r="E208" s="239"/>
      <c r="F208" s="240"/>
      <c r="S208" s="237"/>
      <c r="T208" s="254" t="str">
        <f t="shared" si="7"/>
        <v>=</v>
      </c>
    </row>
    <row r="209" spans="5:20" s="228" customFormat="1" ht="21.9" customHeight="1" x14ac:dyDescent="0.3">
      <c r="E209" s="239"/>
      <c r="F209" s="240"/>
      <c r="S209" s="237"/>
      <c r="T209" s="254" t="str">
        <f t="shared" si="7"/>
        <v>=</v>
      </c>
    </row>
    <row r="210" spans="5:20" s="228" customFormat="1" ht="21.9" customHeight="1" x14ac:dyDescent="0.3">
      <c r="E210" s="239"/>
      <c r="F210" s="240"/>
      <c r="S210" s="237"/>
      <c r="T210" s="254" t="str">
        <f t="shared" si="7"/>
        <v>=</v>
      </c>
    </row>
    <row r="211" spans="5:20" s="228" customFormat="1" ht="21.9" customHeight="1" x14ac:dyDescent="0.3">
      <c r="E211" s="239"/>
      <c r="F211" s="240"/>
      <c r="S211" s="237"/>
      <c r="T211" s="254" t="str">
        <f t="shared" si="7"/>
        <v>=</v>
      </c>
    </row>
    <row r="212" spans="5:20" s="228" customFormat="1" ht="21.9" customHeight="1" x14ac:dyDescent="0.3">
      <c r="E212" s="239"/>
      <c r="F212" s="240"/>
      <c r="S212" s="237"/>
      <c r="T212" s="254" t="str">
        <f t="shared" si="7"/>
        <v>=</v>
      </c>
    </row>
    <row r="213" spans="5:20" s="228" customFormat="1" ht="21.9" customHeight="1" x14ac:dyDescent="0.3">
      <c r="E213" s="239"/>
      <c r="F213" s="240"/>
      <c r="S213" s="237"/>
      <c r="T213" s="254" t="str">
        <f t="shared" si="7"/>
        <v>=</v>
      </c>
    </row>
    <row r="214" spans="5:20" s="228" customFormat="1" ht="21.9" customHeight="1" x14ac:dyDescent="0.3">
      <c r="E214" s="239"/>
      <c r="F214" s="240"/>
      <c r="S214" s="237"/>
      <c r="T214" s="254" t="str">
        <f t="shared" si="7"/>
        <v>=</v>
      </c>
    </row>
    <row r="215" spans="5:20" s="228" customFormat="1" ht="21.9" customHeight="1" x14ac:dyDescent="0.3">
      <c r="E215" s="239"/>
      <c r="F215" s="240"/>
      <c r="S215" s="237"/>
      <c r="T215" s="254" t="str">
        <f t="shared" si="7"/>
        <v>=</v>
      </c>
    </row>
    <row r="216" spans="5:20" s="228" customFormat="1" ht="21.9" customHeight="1" x14ac:dyDescent="0.3">
      <c r="E216" s="239"/>
      <c r="F216" s="240"/>
      <c r="S216" s="237"/>
      <c r="T216" s="254" t="str">
        <f t="shared" si="7"/>
        <v>=</v>
      </c>
    </row>
    <row r="217" spans="5:20" s="228" customFormat="1" ht="21.9" customHeight="1" x14ac:dyDescent="0.3">
      <c r="E217" s="239"/>
      <c r="F217" s="240"/>
      <c r="S217" s="237"/>
    </row>
    <row r="218" spans="5:20" s="228" customFormat="1" ht="21.9" customHeight="1" x14ac:dyDescent="0.3">
      <c r="E218" s="239"/>
      <c r="F218" s="240"/>
      <c r="S218" s="237"/>
    </row>
    <row r="219" spans="5:20" s="228" customFormat="1" ht="21.9" customHeight="1" x14ac:dyDescent="0.3">
      <c r="E219" s="239"/>
      <c r="F219" s="240"/>
      <c r="S219" s="237"/>
    </row>
    <row r="220" spans="5:20" s="228" customFormat="1" ht="21.9" customHeight="1" x14ac:dyDescent="0.3">
      <c r="E220" s="239"/>
      <c r="F220" s="240"/>
      <c r="S220" s="237"/>
    </row>
    <row r="221" spans="5:20" s="228" customFormat="1" ht="21.9" customHeight="1" x14ac:dyDescent="0.3">
      <c r="E221" s="239"/>
      <c r="F221" s="240"/>
      <c r="S221" s="237"/>
    </row>
    <row r="222" spans="5:20" s="228" customFormat="1" ht="21.9" customHeight="1" x14ac:dyDescent="0.3">
      <c r="E222" s="239"/>
      <c r="F222" s="240"/>
      <c r="S222" s="237"/>
    </row>
    <row r="223" spans="5:20" s="228" customFormat="1" ht="21.9" customHeight="1" x14ac:dyDescent="0.3">
      <c r="E223" s="239"/>
      <c r="F223" s="240"/>
      <c r="S223" s="237"/>
    </row>
    <row r="224" spans="5:20" s="228" customFormat="1" ht="21.9" customHeight="1" x14ac:dyDescent="0.3">
      <c r="E224" s="239"/>
      <c r="F224" s="240"/>
    </row>
    <row r="225" spans="5:6" s="228" customFormat="1" ht="21.9" customHeight="1" x14ac:dyDescent="0.3">
      <c r="E225" s="239"/>
      <c r="F225" s="240"/>
    </row>
    <row r="226" spans="5:6" s="228" customFormat="1" ht="21.9" customHeight="1" x14ac:dyDescent="0.3">
      <c r="E226" s="239"/>
      <c r="F226" s="240"/>
    </row>
    <row r="227" spans="5:6" s="228" customFormat="1" ht="21.9" customHeight="1" x14ac:dyDescent="0.3">
      <c r="E227" s="239"/>
      <c r="F227" s="240"/>
    </row>
    <row r="228" spans="5:6" s="228" customFormat="1" ht="21.9" customHeight="1" x14ac:dyDescent="0.3">
      <c r="E228" s="239"/>
      <c r="F228" s="240"/>
    </row>
    <row r="229" spans="5:6" s="228" customFormat="1" ht="21.9" customHeight="1" x14ac:dyDescent="0.3">
      <c r="E229" s="239"/>
      <c r="F229" s="240"/>
    </row>
    <row r="230" spans="5:6" s="228" customFormat="1" ht="21.9" customHeight="1" x14ac:dyDescent="0.3">
      <c r="E230" s="239"/>
      <c r="F230" s="240"/>
    </row>
    <row r="231" spans="5:6" s="228" customFormat="1" ht="21.9" customHeight="1" x14ac:dyDescent="0.3">
      <c r="E231" s="239"/>
      <c r="F231" s="240"/>
    </row>
    <row r="232" spans="5:6" s="228" customFormat="1" ht="21.9" customHeight="1" x14ac:dyDescent="0.3">
      <c r="E232" s="239"/>
      <c r="F232" s="240"/>
    </row>
    <row r="233" spans="5:6" s="228" customFormat="1" ht="21.9" customHeight="1" x14ac:dyDescent="0.3">
      <c r="E233" s="239"/>
      <c r="F233" s="240"/>
    </row>
    <row r="234" spans="5:6" s="228" customFormat="1" ht="21.9" customHeight="1" x14ac:dyDescent="0.3">
      <c r="E234" s="239"/>
      <c r="F234" s="240"/>
    </row>
    <row r="235" spans="5:6" s="228" customFormat="1" ht="21.9" customHeight="1" x14ac:dyDescent="0.3">
      <c r="E235" s="239"/>
      <c r="F235" s="240"/>
    </row>
    <row r="236" spans="5:6" s="228" customFormat="1" ht="21.9" customHeight="1" x14ac:dyDescent="0.3">
      <c r="E236" s="239"/>
      <c r="F236" s="240"/>
    </row>
    <row r="237" spans="5:6" s="228" customFormat="1" ht="21.9" customHeight="1" x14ac:dyDescent="0.3">
      <c r="E237" s="239"/>
      <c r="F237" s="240"/>
    </row>
    <row r="238" spans="5:6" s="228" customFormat="1" ht="21.9" customHeight="1" x14ac:dyDescent="0.3">
      <c r="E238" s="239"/>
      <c r="F238" s="240"/>
    </row>
    <row r="239" spans="5:6" s="228" customFormat="1" ht="21.9" customHeight="1" x14ac:dyDescent="0.3">
      <c r="E239" s="239"/>
      <c r="F239" s="240"/>
    </row>
    <row r="240" spans="5:6" s="228" customFormat="1" ht="21.9" customHeight="1" x14ac:dyDescent="0.3">
      <c r="E240" s="239"/>
      <c r="F240" s="240"/>
    </row>
    <row r="241" spans="5:6" s="228" customFormat="1" ht="21.9" customHeight="1" x14ac:dyDescent="0.3">
      <c r="E241" s="239"/>
      <c r="F241" s="240"/>
    </row>
    <row r="242" spans="5:6" s="228" customFormat="1" ht="21.9" customHeight="1" x14ac:dyDescent="0.3">
      <c r="E242" s="239"/>
      <c r="F242" s="240"/>
    </row>
    <row r="243" spans="5:6" s="228" customFormat="1" ht="21.9" customHeight="1" x14ac:dyDescent="0.3">
      <c r="E243" s="239"/>
      <c r="F243" s="240"/>
    </row>
    <row r="244" spans="5:6" s="228" customFormat="1" ht="21.9" customHeight="1" x14ac:dyDescent="0.3">
      <c r="E244" s="239"/>
      <c r="F244" s="240"/>
    </row>
    <row r="245" spans="5:6" s="228" customFormat="1" ht="21.9" customHeight="1" x14ac:dyDescent="0.3">
      <c r="E245" s="239"/>
      <c r="F245" s="240"/>
    </row>
    <row r="246" spans="5:6" s="228" customFormat="1" ht="21.9" customHeight="1" x14ac:dyDescent="0.3">
      <c r="E246" s="239"/>
      <c r="F246" s="240"/>
    </row>
    <row r="247" spans="5:6" s="228" customFormat="1" ht="21.9" customHeight="1" x14ac:dyDescent="0.3">
      <c r="E247" s="239"/>
      <c r="F247" s="240"/>
    </row>
    <row r="248" spans="5:6" s="228" customFormat="1" ht="21.9" customHeight="1" x14ac:dyDescent="0.3">
      <c r="E248" s="239"/>
      <c r="F248" s="240"/>
    </row>
    <row r="249" spans="5:6" s="228" customFormat="1" ht="21.9" customHeight="1" x14ac:dyDescent="0.3">
      <c r="E249" s="239"/>
      <c r="F249" s="240"/>
    </row>
    <row r="250" spans="5:6" s="228" customFormat="1" ht="21.9" customHeight="1" x14ac:dyDescent="0.3">
      <c r="E250" s="239"/>
      <c r="F250" s="240"/>
    </row>
    <row r="251" spans="5:6" s="228" customFormat="1" ht="21.9" customHeight="1" x14ac:dyDescent="0.3">
      <c r="E251" s="239"/>
      <c r="F251" s="240"/>
    </row>
    <row r="252" spans="5:6" s="228" customFormat="1" ht="21.9" customHeight="1" x14ac:dyDescent="0.3">
      <c r="E252" s="239"/>
      <c r="F252" s="240"/>
    </row>
    <row r="253" spans="5:6" s="228" customFormat="1" ht="21.9" customHeight="1" x14ac:dyDescent="0.3">
      <c r="E253" s="239"/>
      <c r="F253" s="240"/>
    </row>
    <row r="254" spans="5:6" s="228" customFormat="1" ht="21.9" customHeight="1" x14ac:dyDescent="0.3">
      <c r="E254" s="239"/>
      <c r="F254" s="240"/>
    </row>
    <row r="255" spans="5:6" s="228" customFormat="1" ht="21.9" customHeight="1" x14ac:dyDescent="0.3">
      <c r="E255" s="239"/>
      <c r="F255" s="240"/>
    </row>
    <row r="256" spans="5:6" s="228" customFormat="1" ht="21.9" customHeight="1" x14ac:dyDescent="0.3">
      <c r="E256" s="239"/>
      <c r="F256" s="240"/>
    </row>
    <row r="257" spans="5:6" s="228" customFormat="1" ht="21.9" customHeight="1" x14ac:dyDescent="0.3">
      <c r="E257" s="239"/>
      <c r="F257" s="240"/>
    </row>
    <row r="258" spans="5:6" s="228" customFormat="1" ht="21.9" customHeight="1" x14ac:dyDescent="0.3">
      <c r="E258" s="239"/>
      <c r="F258" s="240"/>
    </row>
    <row r="259" spans="5:6" s="228" customFormat="1" ht="21.9" customHeight="1" x14ac:dyDescent="0.3">
      <c r="E259" s="239"/>
      <c r="F259" s="240"/>
    </row>
    <row r="260" spans="5:6" s="228" customFormat="1" ht="21.9" customHeight="1" x14ac:dyDescent="0.3">
      <c r="E260" s="239"/>
      <c r="F260" s="240"/>
    </row>
    <row r="261" spans="5:6" s="228" customFormat="1" ht="21.9" customHeight="1" x14ac:dyDescent="0.3">
      <c r="E261" s="239"/>
      <c r="F261" s="240"/>
    </row>
    <row r="262" spans="5:6" s="228" customFormat="1" ht="21.9" customHeight="1" x14ac:dyDescent="0.3">
      <c r="E262" s="239"/>
      <c r="F262" s="240"/>
    </row>
    <row r="263" spans="5:6" s="228" customFormat="1" ht="21.9" customHeight="1" x14ac:dyDescent="0.3">
      <c r="E263" s="239"/>
      <c r="F263" s="240"/>
    </row>
    <row r="264" spans="5:6" s="228" customFormat="1" ht="21.9" customHeight="1" x14ac:dyDescent="0.3">
      <c r="E264" s="239"/>
      <c r="F264" s="240"/>
    </row>
    <row r="265" spans="5:6" s="228" customFormat="1" ht="21.9" customHeight="1" x14ac:dyDescent="0.3">
      <c r="E265" s="239"/>
      <c r="F265" s="240"/>
    </row>
    <row r="266" spans="5:6" s="228" customFormat="1" ht="21.9" customHeight="1" x14ac:dyDescent="0.3">
      <c r="E266" s="239"/>
      <c r="F266" s="240"/>
    </row>
    <row r="267" spans="5:6" s="228" customFormat="1" ht="21.9" customHeight="1" x14ac:dyDescent="0.3">
      <c r="E267" s="239"/>
      <c r="F267" s="240"/>
    </row>
    <row r="268" spans="5:6" s="228" customFormat="1" ht="21.9" customHeight="1" x14ac:dyDescent="0.3">
      <c r="E268" s="239"/>
      <c r="F268" s="240"/>
    </row>
    <row r="269" spans="5:6" s="228" customFormat="1" ht="21.9" customHeight="1" x14ac:dyDescent="0.3">
      <c r="E269" s="239"/>
      <c r="F269" s="240"/>
    </row>
    <row r="270" spans="5:6" s="228" customFormat="1" ht="21.9" customHeight="1" x14ac:dyDescent="0.3">
      <c r="E270" s="239"/>
      <c r="F270" s="240"/>
    </row>
    <row r="271" spans="5:6" s="228" customFormat="1" ht="21.9" customHeight="1" x14ac:dyDescent="0.3">
      <c r="E271" s="239"/>
      <c r="F271" s="240"/>
    </row>
    <row r="272" spans="5:6" s="228" customFormat="1" ht="21.9" customHeight="1" x14ac:dyDescent="0.3">
      <c r="E272" s="239"/>
      <c r="F272" s="240"/>
    </row>
    <row r="273" spans="5:6" s="228" customFormat="1" ht="21.9" customHeight="1" x14ac:dyDescent="0.3">
      <c r="E273" s="239"/>
      <c r="F273" s="240"/>
    </row>
    <row r="274" spans="5:6" s="228" customFormat="1" ht="21.9" customHeight="1" x14ac:dyDescent="0.3">
      <c r="E274" s="239"/>
      <c r="F274" s="240"/>
    </row>
    <row r="275" spans="5:6" s="228" customFormat="1" ht="21.9" customHeight="1" x14ac:dyDescent="0.3">
      <c r="E275" s="239"/>
      <c r="F275" s="240"/>
    </row>
    <row r="276" spans="5:6" s="228" customFormat="1" ht="21.9" customHeight="1" x14ac:dyDescent="0.3">
      <c r="E276" s="239"/>
      <c r="F276" s="240"/>
    </row>
    <row r="277" spans="5:6" s="228" customFormat="1" ht="21.9" customHeight="1" x14ac:dyDescent="0.3">
      <c r="E277" s="239"/>
      <c r="F277" s="240"/>
    </row>
    <row r="278" spans="5:6" s="228" customFormat="1" ht="21.9" customHeight="1" x14ac:dyDescent="0.3">
      <c r="E278" s="239"/>
      <c r="F278" s="240"/>
    </row>
    <row r="279" spans="5:6" s="228" customFormat="1" ht="21.9" customHeight="1" x14ac:dyDescent="0.3">
      <c r="E279" s="239"/>
      <c r="F279" s="240"/>
    </row>
    <row r="280" spans="5:6" s="228" customFormat="1" ht="21.9" customHeight="1" x14ac:dyDescent="0.3">
      <c r="E280" s="239"/>
      <c r="F280" s="240"/>
    </row>
    <row r="281" spans="5:6" s="228" customFormat="1" ht="21.9" customHeight="1" x14ac:dyDescent="0.3">
      <c r="E281" s="239"/>
      <c r="F281" s="240"/>
    </row>
    <row r="282" spans="5:6" s="228" customFormat="1" ht="21.9" customHeight="1" x14ac:dyDescent="0.3">
      <c r="E282" s="239"/>
      <c r="F282" s="240"/>
    </row>
    <row r="283" spans="5:6" s="228" customFormat="1" ht="21.9" customHeight="1" x14ac:dyDescent="0.3">
      <c r="E283" s="239"/>
      <c r="F283" s="240"/>
    </row>
    <row r="284" spans="5:6" s="228" customFormat="1" ht="21.9" customHeight="1" x14ac:dyDescent="0.3">
      <c r="E284" s="239"/>
      <c r="F284" s="240"/>
    </row>
    <row r="285" spans="5:6" s="228" customFormat="1" ht="21.9" customHeight="1" x14ac:dyDescent="0.3">
      <c r="E285" s="239"/>
      <c r="F285" s="240"/>
    </row>
    <row r="286" spans="5:6" s="228" customFormat="1" ht="21.9" customHeight="1" x14ac:dyDescent="0.3">
      <c r="E286" s="239"/>
      <c r="F286" s="240"/>
    </row>
    <row r="287" spans="5:6" s="228" customFormat="1" ht="21.9" customHeight="1" x14ac:dyDescent="0.3">
      <c r="E287" s="239"/>
      <c r="F287" s="240"/>
    </row>
    <row r="288" spans="5:6" s="228" customFormat="1" ht="21.9" customHeight="1" x14ac:dyDescent="0.3">
      <c r="E288" s="239"/>
      <c r="F288" s="240"/>
    </row>
    <row r="289" spans="5:6" s="228" customFormat="1" ht="21.9" customHeight="1" x14ac:dyDescent="0.3">
      <c r="E289" s="239"/>
      <c r="F289" s="240"/>
    </row>
    <row r="290" spans="5:6" s="228" customFormat="1" ht="21.9" customHeight="1" x14ac:dyDescent="0.3">
      <c r="E290" s="239"/>
      <c r="F290" s="240"/>
    </row>
    <row r="291" spans="5:6" s="228" customFormat="1" ht="21.9" customHeight="1" x14ac:dyDescent="0.3">
      <c r="E291" s="239"/>
      <c r="F291" s="240"/>
    </row>
    <row r="292" spans="5:6" s="228" customFormat="1" ht="21.9" customHeight="1" x14ac:dyDescent="0.3">
      <c r="E292" s="239"/>
      <c r="F292" s="240"/>
    </row>
    <row r="293" spans="5:6" s="228" customFormat="1" ht="21.9" customHeight="1" x14ac:dyDescent="0.3">
      <c r="E293" s="239"/>
      <c r="F293" s="240"/>
    </row>
    <row r="294" spans="5:6" s="228" customFormat="1" ht="21.9" customHeight="1" x14ac:dyDescent="0.3">
      <c r="E294" s="239"/>
      <c r="F294" s="240"/>
    </row>
    <row r="295" spans="5:6" s="228" customFormat="1" ht="21.9" customHeight="1" x14ac:dyDescent="0.3">
      <c r="E295" s="239"/>
      <c r="F295" s="240"/>
    </row>
    <row r="296" spans="5:6" s="228" customFormat="1" ht="21.9" customHeight="1" x14ac:dyDescent="0.3">
      <c r="E296" s="239"/>
      <c r="F296" s="240"/>
    </row>
    <row r="297" spans="5:6" s="228" customFormat="1" ht="21.9" customHeight="1" x14ac:dyDescent="0.3">
      <c r="E297" s="239"/>
      <c r="F297" s="240"/>
    </row>
    <row r="298" spans="5:6" s="228" customFormat="1" ht="21.9" customHeight="1" x14ac:dyDescent="0.3">
      <c r="E298" s="239"/>
      <c r="F298" s="240"/>
    </row>
    <row r="299" spans="5:6" s="228" customFormat="1" ht="21.9" customHeight="1" x14ac:dyDescent="0.3">
      <c r="E299" s="239"/>
      <c r="F299" s="240"/>
    </row>
    <row r="300" spans="5:6" s="228" customFormat="1" ht="21.9" customHeight="1" x14ac:dyDescent="0.3">
      <c r="E300" s="239"/>
      <c r="F300" s="240"/>
    </row>
    <row r="301" spans="5:6" s="228" customFormat="1" ht="21.9" customHeight="1" x14ac:dyDescent="0.3">
      <c r="E301" s="239"/>
      <c r="F301" s="240"/>
    </row>
    <row r="302" spans="5:6" s="228" customFormat="1" ht="21.9" customHeight="1" x14ac:dyDescent="0.3">
      <c r="E302" s="239"/>
      <c r="F302" s="240"/>
    </row>
    <row r="303" spans="5:6" s="228" customFormat="1" ht="21.9" customHeight="1" x14ac:dyDescent="0.3">
      <c r="E303" s="239"/>
      <c r="F303" s="240"/>
    </row>
    <row r="304" spans="5:6" s="228" customFormat="1" ht="21.9" customHeight="1" x14ac:dyDescent="0.3">
      <c r="E304" s="239"/>
      <c r="F304" s="240"/>
    </row>
    <row r="305" spans="5:6" s="228" customFormat="1" ht="21.9" customHeight="1" x14ac:dyDescent="0.3">
      <c r="E305" s="239"/>
      <c r="F305" s="240"/>
    </row>
    <row r="306" spans="5:6" s="228" customFormat="1" ht="21.9" customHeight="1" x14ac:dyDescent="0.3">
      <c r="E306" s="239"/>
      <c r="F306" s="240"/>
    </row>
    <row r="307" spans="5:6" s="228" customFormat="1" ht="21.9" customHeight="1" x14ac:dyDescent="0.3">
      <c r="E307" s="239"/>
      <c r="F307" s="240"/>
    </row>
    <row r="308" spans="5:6" s="228" customFormat="1" ht="21.9" customHeight="1" x14ac:dyDescent="0.3">
      <c r="E308" s="239"/>
      <c r="F308" s="240"/>
    </row>
    <row r="309" spans="5:6" s="228" customFormat="1" ht="21.9" customHeight="1" x14ac:dyDescent="0.3">
      <c r="E309" s="239"/>
      <c r="F309" s="240"/>
    </row>
    <row r="310" spans="5:6" s="228" customFormat="1" ht="21.9" customHeight="1" x14ac:dyDescent="0.3">
      <c r="E310" s="239"/>
      <c r="F310" s="240"/>
    </row>
    <row r="311" spans="5:6" s="228" customFormat="1" ht="21.9" customHeight="1" x14ac:dyDescent="0.3">
      <c r="E311" s="239"/>
      <c r="F311" s="240"/>
    </row>
    <row r="312" spans="5:6" s="228" customFormat="1" ht="21.9" customHeight="1" x14ac:dyDescent="0.3">
      <c r="E312" s="239"/>
      <c r="F312" s="240"/>
    </row>
    <row r="313" spans="5:6" s="228" customFormat="1" ht="21.9" customHeight="1" x14ac:dyDescent="0.3">
      <c r="E313" s="239"/>
      <c r="F313" s="240"/>
    </row>
    <row r="314" spans="5:6" s="228" customFormat="1" ht="21.9" customHeight="1" x14ac:dyDescent="0.3">
      <c r="E314" s="239"/>
      <c r="F314" s="240"/>
    </row>
    <row r="315" spans="5:6" s="228" customFormat="1" ht="21.9" customHeight="1" x14ac:dyDescent="0.3">
      <c r="E315" s="239"/>
      <c r="F315" s="240"/>
    </row>
    <row r="316" spans="5:6" s="228" customFormat="1" ht="21.9" customHeight="1" x14ac:dyDescent="0.3">
      <c r="E316" s="239"/>
      <c r="F316" s="240"/>
    </row>
    <row r="317" spans="5:6" s="228" customFormat="1" ht="21.9" customHeight="1" x14ac:dyDescent="0.3">
      <c r="E317" s="239"/>
      <c r="F317" s="240"/>
    </row>
    <row r="318" spans="5:6" s="228" customFormat="1" ht="21.9" customHeight="1" x14ac:dyDescent="0.3">
      <c r="E318" s="239"/>
      <c r="F318" s="240"/>
    </row>
    <row r="319" spans="5:6" s="228" customFormat="1" ht="21.9" customHeight="1" x14ac:dyDescent="0.3">
      <c r="E319" s="239"/>
      <c r="F319" s="240"/>
    </row>
    <row r="320" spans="5:6" s="228" customFormat="1" ht="21.9" customHeight="1" x14ac:dyDescent="0.3">
      <c r="E320" s="239"/>
      <c r="F320" s="240"/>
    </row>
    <row r="321" spans="5:6" s="228" customFormat="1" ht="21.9" customHeight="1" x14ac:dyDescent="0.3">
      <c r="E321" s="239"/>
      <c r="F321" s="240"/>
    </row>
    <row r="322" spans="5:6" s="228" customFormat="1" ht="21.9" customHeight="1" x14ac:dyDescent="0.3">
      <c r="E322" s="239"/>
      <c r="F322" s="240"/>
    </row>
    <row r="323" spans="5:6" s="228" customFormat="1" ht="21.9" customHeight="1" x14ac:dyDescent="0.3">
      <c r="E323" s="239"/>
      <c r="F323" s="240"/>
    </row>
    <row r="324" spans="5:6" s="228" customFormat="1" ht="21.9" customHeight="1" x14ac:dyDescent="0.3">
      <c r="E324" s="239"/>
      <c r="F324" s="240"/>
    </row>
    <row r="325" spans="5:6" s="228" customFormat="1" ht="21.9" customHeight="1" x14ac:dyDescent="0.3">
      <c r="E325" s="239"/>
      <c r="F325" s="240"/>
    </row>
    <row r="326" spans="5:6" s="228" customFormat="1" ht="21.9" customHeight="1" x14ac:dyDescent="0.3">
      <c r="E326" s="239"/>
      <c r="F326" s="240"/>
    </row>
    <row r="327" spans="5:6" s="228" customFormat="1" ht="21.9" customHeight="1" x14ac:dyDescent="0.3">
      <c r="E327" s="239"/>
      <c r="F327" s="240"/>
    </row>
    <row r="328" spans="5:6" s="228" customFormat="1" ht="21.9" customHeight="1" x14ac:dyDescent="0.3">
      <c r="E328" s="239"/>
      <c r="F328" s="240"/>
    </row>
    <row r="329" spans="5:6" s="228" customFormat="1" ht="21.9" customHeight="1" x14ac:dyDescent="0.3">
      <c r="E329" s="239"/>
      <c r="F329" s="240"/>
    </row>
    <row r="330" spans="5:6" s="228" customFormat="1" ht="21.9" customHeight="1" x14ac:dyDescent="0.3">
      <c r="E330" s="239"/>
      <c r="F330" s="240"/>
    </row>
    <row r="331" spans="5:6" s="228" customFormat="1" ht="21.9" customHeight="1" x14ac:dyDescent="0.3">
      <c r="E331" s="239"/>
      <c r="F331" s="240"/>
    </row>
    <row r="332" spans="5:6" s="228" customFormat="1" ht="21.9" customHeight="1" x14ac:dyDescent="0.3">
      <c r="E332" s="239"/>
      <c r="F332" s="240"/>
    </row>
    <row r="333" spans="5:6" s="228" customFormat="1" ht="21.9" customHeight="1" x14ac:dyDescent="0.3">
      <c r="E333" s="239"/>
      <c r="F333" s="240"/>
    </row>
    <row r="334" spans="5:6" s="228" customFormat="1" ht="21.9" customHeight="1" x14ac:dyDescent="0.3">
      <c r="E334" s="239"/>
      <c r="F334" s="240"/>
    </row>
    <row r="335" spans="5:6" s="228" customFormat="1" ht="21.9" customHeight="1" x14ac:dyDescent="0.3">
      <c r="E335" s="239"/>
      <c r="F335" s="240"/>
    </row>
    <row r="336" spans="5:6" s="228" customFormat="1" ht="21.9" customHeight="1" x14ac:dyDescent="0.3">
      <c r="E336" s="239"/>
      <c r="F336" s="240"/>
    </row>
    <row r="337" spans="5:6" s="228" customFormat="1" ht="21.9" customHeight="1" x14ac:dyDescent="0.3">
      <c r="E337" s="239"/>
      <c r="F337" s="240"/>
    </row>
    <row r="338" spans="5:6" s="228" customFormat="1" ht="21.9" customHeight="1" x14ac:dyDescent="0.3">
      <c r="E338" s="239"/>
      <c r="F338" s="240"/>
    </row>
    <row r="339" spans="5:6" s="228" customFormat="1" ht="21.9" customHeight="1" x14ac:dyDescent="0.3">
      <c r="E339" s="239"/>
      <c r="F339" s="240"/>
    </row>
    <row r="340" spans="5:6" s="228" customFormat="1" ht="21.9" customHeight="1" x14ac:dyDescent="0.3">
      <c r="E340" s="239"/>
      <c r="F340" s="240"/>
    </row>
    <row r="341" spans="5:6" s="228" customFormat="1" ht="21.9" customHeight="1" x14ac:dyDescent="0.3">
      <c r="E341" s="239"/>
      <c r="F341" s="240"/>
    </row>
    <row r="342" spans="5:6" s="228" customFormat="1" ht="21.9" customHeight="1" x14ac:dyDescent="0.3">
      <c r="E342" s="239"/>
      <c r="F342" s="240"/>
    </row>
    <row r="343" spans="5:6" s="228" customFormat="1" ht="21.9" customHeight="1" x14ac:dyDescent="0.3">
      <c r="E343" s="239"/>
      <c r="F343" s="240"/>
    </row>
    <row r="344" spans="5:6" s="228" customFormat="1" ht="21.9" customHeight="1" x14ac:dyDescent="0.3">
      <c r="E344" s="239"/>
      <c r="F344" s="240"/>
    </row>
    <row r="345" spans="5:6" s="214" customFormat="1" ht="21.9" customHeight="1" x14ac:dyDescent="0.3">
      <c r="E345" s="216"/>
      <c r="F345" s="217"/>
    </row>
    <row r="346" spans="5:6" s="214" customFormat="1" ht="21.9" customHeight="1" x14ac:dyDescent="0.3">
      <c r="E346" s="216"/>
      <c r="F346" s="217"/>
    </row>
    <row r="347" spans="5:6" s="214" customFormat="1" ht="21.9" customHeight="1" x14ac:dyDescent="0.3">
      <c r="E347" s="216"/>
      <c r="F347" s="217"/>
    </row>
    <row r="348" spans="5:6" s="214" customFormat="1" ht="21.9" customHeight="1" x14ac:dyDescent="0.3">
      <c r="E348" s="216"/>
      <c r="F348" s="217"/>
    </row>
    <row r="349" spans="5:6" s="214" customFormat="1" ht="21.9" customHeight="1" x14ac:dyDescent="0.3">
      <c r="E349" s="216"/>
      <c r="F349" s="217"/>
    </row>
    <row r="350" spans="5:6" s="214" customFormat="1" ht="21.9" customHeight="1" x14ac:dyDescent="0.3">
      <c r="E350" s="216"/>
      <c r="F350" s="217"/>
    </row>
    <row r="351" spans="5:6" s="214" customFormat="1" ht="21.9" customHeight="1" x14ac:dyDescent="0.3">
      <c r="E351" s="216"/>
      <c r="F351" s="217"/>
    </row>
    <row r="352" spans="5:6" s="214" customFormat="1" ht="21.9" customHeight="1" x14ac:dyDescent="0.3">
      <c r="E352" s="216"/>
      <c r="F352" s="217"/>
    </row>
    <row r="353" spans="5:6" s="214" customFormat="1" ht="21.9" customHeight="1" x14ac:dyDescent="0.3">
      <c r="E353" s="216"/>
      <c r="F353" s="217"/>
    </row>
    <row r="354" spans="5:6" s="214" customFormat="1" ht="21.9" customHeight="1" x14ac:dyDescent="0.3">
      <c r="E354" s="216"/>
      <c r="F354" s="217"/>
    </row>
    <row r="355" spans="5:6" s="214" customFormat="1" ht="21.9" customHeight="1" x14ac:dyDescent="0.3">
      <c r="E355" s="216"/>
      <c r="F355" s="217"/>
    </row>
    <row r="356" spans="5:6" s="214" customFormat="1" ht="21.9" customHeight="1" x14ac:dyDescent="0.3">
      <c r="E356" s="216"/>
      <c r="F356" s="217"/>
    </row>
    <row r="357" spans="5:6" s="214" customFormat="1" ht="21.9" customHeight="1" x14ac:dyDescent="0.3">
      <c r="E357" s="216"/>
      <c r="F357" s="217"/>
    </row>
    <row r="358" spans="5:6" s="214" customFormat="1" ht="21.9" customHeight="1" x14ac:dyDescent="0.3">
      <c r="E358" s="216"/>
      <c r="F358" s="217"/>
    </row>
    <row r="359" spans="5:6" s="214" customFormat="1" ht="21.9" customHeight="1" x14ac:dyDescent="0.3">
      <c r="E359" s="216"/>
      <c r="F359" s="217"/>
    </row>
    <row r="360" spans="5:6" s="214" customFormat="1" ht="21.9" customHeight="1" x14ac:dyDescent="0.3">
      <c r="E360" s="216"/>
      <c r="F360" s="217"/>
    </row>
    <row r="361" spans="5:6" s="214" customFormat="1" ht="21.9" customHeight="1" x14ac:dyDescent="0.3">
      <c r="E361" s="216"/>
      <c r="F361" s="217"/>
    </row>
    <row r="362" spans="5:6" s="214" customFormat="1" ht="21.9" customHeight="1" x14ac:dyDescent="0.3">
      <c r="E362" s="216"/>
      <c r="F362" s="217"/>
    </row>
    <row r="363" spans="5:6" s="214" customFormat="1" ht="21.9" customHeight="1" x14ac:dyDescent="0.3">
      <c r="E363" s="216"/>
      <c r="F363" s="217"/>
    </row>
    <row r="364" spans="5:6" s="214" customFormat="1" ht="21.9" customHeight="1" x14ac:dyDescent="0.3">
      <c r="E364" s="216"/>
      <c r="F364" s="217"/>
    </row>
    <row r="365" spans="5:6" s="214" customFormat="1" ht="21.9" customHeight="1" x14ac:dyDescent="0.3">
      <c r="E365" s="216"/>
      <c r="F365" s="217"/>
    </row>
    <row r="366" spans="5:6" s="214" customFormat="1" ht="21.9" customHeight="1" x14ac:dyDescent="0.3">
      <c r="E366" s="216"/>
      <c r="F366" s="217"/>
    </row>
    <row r="367" spans="5:6" s="214" customFormat="1" ht="21.9" customHeight="1" x14ac:dyDescent="0.3">
      <c r="E367" s="216"/>
      <c r="F367" s="217"/>
    </row>
    <row r="368" spans="5:6" s="214" customFormat="1" ht="21.9" customHeight="1" x14ac:dyDescent="0.3">
      <c r="E368" s="216"/>
      <c r="F368" s="217"/>
    </row>
    <row r="369" spans="5:6" s="214" customFormat="1" ht="21.9" customHeight="1" x14ac:dyDescent="0.3">
      <c r="E369" s="216"/>
      <c r="F369" s="217"/>
    </row>
    <row r="370" spans="5:6" s="214" customFormat="1" ht="21.9" customHeight="1" x14ac:dyDescent="0.3">
      <c r="E370" s="216"/>
      <c r="F370" s="217"/>
    </row>
    <row r="371" spans="5:6" s="214" customFormat="1" ht="21.9" customHeight="1" x14ac:dyDescent="0.3">
      <c r="E371" s="216"/>
      <c r="F371" s="217"/>
    </row>
    <row r="372" spans="5:6" s="214" customFormat="1" ht="21.9" customHeight="1" x14ac:dyDescent="0.3">
      <c r="E372" s="216"/>
      <c r="F372" s="217"/>
    </row>
    <row r="373" spans="5:6" s="214" customFormat="1" ht="21.9" customHeight="1" x14ac:dyDescent="0.3">
      <c r="E373" s="216"/>
      <c r="F373" s="217"/>
    </row>
    <row r="374" spans="5:6" s="214" customFormat="1" ht="21.9" customHeight="1" x14ac:dyDescent="0.3">
      <c r="E374" s="216"/>
      <c r="F374" s="217"/>
    </row>
    <row r="375" spans="5:6" s="214" customFormat="1" ht="21.9" customHeight="1" x14ac:dyDescent="0.3">
      <c r="E375" s="216"/>
      <c r="F375" s="217"/>
    </row>
    <row r="376" spans="5:6" s="214" customFormat="1" ht="21.9" customHeight="1" x14ac:dyDescent="0.3">
      <c r="E376" s="216"/>
      <c r="F376" s="217"/>
    </row>
    <row r="377" spans="5:6" s="214" customFormat="1" ht="21.9" customHeight="1" x14ac:dyDescent="0.3">
      <c r="E377" s="216"/>
      <c r="F377" s="217"/>
    </row>
    <row r="378" spans="5:6" s="214" customFormat="1" ht="21.9" customHeight="1" x14ac:dyDescent="0.3">
      <c r="E378" s="216"/>
      <c r="F378" s="217"/>
    </row>
    <row r="379" spans="5:6" s="214" customFormat="1" ht="21.9" customHeight="1" x14ac:dyDescent="0.3">
      <c r="E379" s="216"/>
      <c r="F379" s="217"/>
    </row>
    <row r="380" spans="5:6" s="214" customFormat="1" ht="21.9" customHeight="1" x14ac:dyDescent="0.3">
      <c r="E380" s="216"/>
      <c r="F380" s="217"/>
    </row>
    <row r="381" spans="5:6" s="214" customFormat="1" ht="21.9" customHeight="1" x14ac:dyDescent="0.3">
      <c r="E381" s="216"/>
      <c r="F381" s="217"/>
    </row>
    <row r="382" spans="5:6" s="214" customFormat="1" ht="21.9" customHeight="1" x14ac:dyDescent="0.3">
      <c r="E382" s="216"/>
      <c r="F382" s="217"/>
    </row>
    <row r="383" spans="5:6" s="214" customFormat="1" ht="21.9" customHeight="1" x14ac:dyDescent="0.3">
      <c r="E383" s="216"/>
      <c r="F383" s="217"/>
    </row>
    <row r="384" spans="5:6" s="214" customFormat="1" ht="21.9" customHeight="1" x14ac:dyDescent="0.3">
      <c r="E384" s="216"/>
      <c r="F384" s="217"/>
    </row>
    <row r="385" spans="5:6" s="214" customFormat="1" ht="21.9" customHeight="1" x14ac:dyDescent="0.3">
      <c r="E385" s="216"/>
      <c r="F385" s="217"/>
    </row>
    <row r="386" spans="5:6" s="214" customFormat="1" ht="21.9" customHeight="1" x14ac:dyDescent="0.3">
      <c r="E386" s="216"/>
      <c r="F386" s="217"/>
    </row>
    <row r="387" spans="5:6" s="214" customFormat="1" ht="21.9" customHeight="1" x14ac:dyDescent="0.3">
      <c r="E387" s="216"/>
      <c r="F387" s="217"/>
    </row>
    <row r="388" spans="5:6" s="214" customFormat="1" ht="21.9" customHeight="1" x14ac:dyDescent="0.3">
      <c r="E388" s="216"/>
      <c r="F388" s="217"/>
    </row>
    <row r="389" spans="5:6" s="214" customFormat="1" ht="21.9" customHeight="1" x14ac:dyDescent="0.3">
      <c r="E389" s="216"/>
      <c r="F389" s="217"/>
    </row>
    <row r="390" spans="5:6" s="214" customFormat="1" ht="21.9" customHeight="1" x14ac:dyDescent="0.3">
      <c r="E390" s="216"/>
      <c r="F390" s="217"/>
    </row>
    <row r="391" spans="5:6" s="214" customFormat="1" ht="21.9" customHeight="1" x14ac:dyDescent="0.3">
      <c r="E391" s="216"/>
      <c r="F391" s="217"/>
    </row>
    <row r="392" spans="5:6" s="214" customFormat="1" ht="21.9" customHeight="1" x14ac:dyDescent="0.3">
      <c r="E392" s="216"/>
      <c r="F392" s="217"/>
    </row>
    <row r="393" spans="5:6" s="214" customFormat="1" ht="21.9" customHeight="1" x14ac:dyDescent="0.3">
      <c r="E393" s="216"/>
      <c r="F393" s="217"/>
    </row>
    <row r="394" spans="5:6" s="214" customFormat="1" ht="21.9" customHeight="1" x14ac:dyDescent="0.3">
      <c r="E394" s="216"/>
      <c r="F394" s="217"/>
    </row>
    <row r="395" spans="5:6" s="214" customFormat="1" ht="21.9" customHeight="1" x14ac:dyDescent="0.3">
      <c r="E395" s="216"/>
      <c r="F395" s="217"/>
    </row>
    <row r="396" spans="5:6" s="214" customFormat="1" ht="21.9" customHeight="1" x14ac:dyDescent="0.3">
      <c r="E396" s="216"/>
      <c r="F396" s="217"/>
    </row>
    <row r="397" spans="5:6" s="214" customFormat="1" ht="21.9" customHeight="1" x14ac:dyDescent="0.3">
      <c r="E397" s="216"/>
      <c r="F397" s="217"/>
    </row>
    <row r="398" spans="5:6" s="214" customFormat="1" ht="21.9" customHeight="1" x14ac:dyDescent="0.3">
      <c r="E398" s="216"/>
      <c r="F398" s="217"/>
    </row>
    <row r="399" spans="5:6" s="214" customFormat="1" ht="21.9" customHeight="1" x14ac:dyDescent="0.3">
      <c r="E399" s="216"/>
      <c r="F399" s="217"/>
    </row>
    <row r="400" spans="5:6" s="214" customFormat="1" ht="21.9" customHeight="1" x14ac:dyDescent="0.3">
      <c r="E400" s="216"/>
      <c r="F400" s="217"/>
    </row>
    <row r="401" spans="5:6" s="214" customFormat="1" ht="21.9" customHeight="1" x14ac:dyDescent="0.3">
      <c r="E401" s="216"/>
      <c r="F401" s="217"/>
    </row>
    <row r="402" spans="5:6" s="214" customFormat="1" ht="21.9" customHeight="1" x14ac:dyDescent="0.3">
      <c r="E402" s="216"/>
      <c r="F402" s="217"/>
    </row>
    <row r="403" spans="5:6" s="214" customFormat="1" ht="21.9" customHeight="1" x14ac:dyDescent="0.3">
      <c r="E403" s="216"/>
      <c r="F403" s="217"/>
    </row>
    <row r="404" spans="5:6" s="214" customFormat="1" ht="21.9" customHeight="1" x14ac:dyDescent="0.3">
      <c r="E404" s="216"/>
      <c r="F404" s="217"/>
    </row>
    <row r="405" spans="5:6" s="214" customFormat="1" ht="21.9" customHeight="1" x14ac:dyDescent="0.3">
      <c r="E405" s="216"/>
      <c r="F405" s="217"/>
    </row>
    <row r="406" spans="5:6" s="214" customFormat="1" ht="21.9" customHeight="1" x14ac:dyDescent="0.3">
      <c r="E406" s="216"/>
      <c r="F406" s="217"/>
    </row>
    <row r="407" spans="5:6" s="214" customFormat="1" ht="21.9" customHeight="1" x14ac:dyDescent="0.3">
      <c r="E407" s="216"/>
      <c r="F407" s="217"/>
    </row>
    <row r="408" spans="5:6" s="214" customFormat="1" ht="21.9" customHeight="1" x14ac:dyDescent="0.3">
      <c r="E408" s="216"/>
      <c r="F408" s="217"/>
    </row>
    <row r="409" spans="5:6" s="214" customFormat="1" ht="21.9" customHeight="1" x14ac:dyDescent="0.3">
      <c r="E409" s="216"/>
      <c r="F409" s="217"/>
    </row>
    <row r="410" spans="5:6" s="214" customFormat="1" ht="21.9" customHeight="1" x14ac:dyDescent="0.3">
      <c r="E410" s="216"/>
      <c r="F410" s="217"/>
    </row>
    <row r="411" spans="5:6" s="214" customFormat="1" ht="21.9" customHeight="1" x14ac:dyDescent="0.3">
      <c r="E411" s="216"/>
      <c r="F411" s="217"/>
    </row>
    <row r="412" spans="5:6" s="214" customFormat="1" ht="21.9" customHeight="1" x14ac:dyDescent="0.3">
      <c r="E412" s="216"/>
      <c r="F412" s="217"/>
    </row>
    <row r="413" spans="5:6" s="214" customFormat="1" ht="21.9" customHeight="1" x14ac:dyDescent="0.3">
      <c r="E413" s="216"/>
      <c r="F413" s="217"/>
    </row>
    <row r="414" spans="5:6" s="214" customFormat="1" ht="21.9" customHeight="1" x14ac:dyDescent="0.3">
      <c r="E414" s="216"/>
      <c r="F414" s="217"/>
    </row>
    <row r="415" spans="5:6" s="214" customFormat="1" ht="21.9" customHeight="1" x14ac:dyDescent="0.3">
      <c r="E415" s="216"/>
      <c r="F415" s="217"/>
    </row>
    <row r="416" spans="5:6" s="214" customFormat="1" ht="21.9" customHeight="1" x14ac:dyDescent="0.3">
      <c r="E416" s="216"/>
      <c r="F416" s="217"/>
    </row>
    <row r="417" spans="5:6" s="214" customFormat="1" ht="21.9" customHeight="1" x14ac:dyDescent="0.3">
      <c r="E417" s="216"/>
      <c r="F417" s="217"/>
    </row>
    <row r="418" spans="5:6" s="214" customFormat="1" ht="21.9" customHeight="1" x14ac:dyDescent="0.3">
      <c r="E418" s="216"/>
      <c r="F418" s="217"/>
    </row>
    <row r="419" spans="5:6" s="214" customFormat="1" ht="21.9" customHeight="1" x14ac:dyDescent="0.3">
      <c r="E419" s="216"/>
      <c r="F419" s="217"/>
    </row>
    <row r="420" spans="5:6" s="214" customFormat="1" ht="21.9" customHeight="1" x14ac:dyDescent="0.3">
      <c r="E420" s="216"/>
      <c r="F420" s="217"/>
    </row>
    <row r="421" spans="5:6" s="214" customFormat="1" ht="21.9" customHeight="1" x14ac:dyDescent="0.3">
      <c r="E421" s="216"/>
      <c r="F421" s="217"/>
    </row>
    <row r="422" spans="5:6" s="214" customFormat="1" ht="21.9" customHeight="1" x14ac:dyDescent="0.3">
      <c r="E422" s="216"/>
      <c r="F422" s="217"/>
    </row>
    <row r="423" spans="5:6" s="214" customFormat="1" ht="21.9" customHeight="1" x14ac:dyDescent="0.3">
      <c r="E423" s="216"/>
      <c r="F423" s="217"/>
    </row>
    <row r="424" spans="5:6" s="214" customFormat="1" ht="21.9" customHeight="1" x14ac:dyDescent="0.3">
      <c r="E424" s="216"/>
      <c r="F424" s="217"/>
    </row>
    <row r="425" spans="5:6" s="214" customFormat="1" ht="21.9" customHeight="1" x14ac:dyDescent="0.3">
      <c r="E425" s="216"/>
      <c r="F425" s="217"/>
    </row>
    <row r="426" spans="5:6" s="214" customFormat="1" ht="21.9" customHeight="1" x14ac:dyDescent="0.3">
      <c r="E426" s="216"/>
      <c r="F426" s="217"/>
    </row>
    <row r="427" spans="5:6" s="214" customFormat="1" ht="21.9" customHeight="1" x14ac:dyDescent="0.3">
      <c r="E427" s="216"/>
      <c r="F427" s="217"/>
    </row>
    <row r="428" spans="5:6" s="214" customFormat="1" ht="21.9" customHeight="1" x14ac:dyDescent="0.3">
      <c r="E428" s="216"/>
      <c r="F428" s="217"/>
    </row>
    <row r="429" spans="5:6" s="214" customFormat="1" ht="21.9" customHeight="1" x14ac:dyDescent="0.3">
      <c r="E429" s="216"/>
      <c r="F429" s="217"/>
    </row>
    <row r="430" spans="5:6" s="214" customFormat="1" ht="21.9" customHeight="1" x14ac:dyDescent="0.3">
      <c r="E430" s="216"/>
      <c r="F430" s="217"/>
    </row>
    <row r="431" spans="5:6" s="214" customFormat="1" ht="21.9" customHeight="1" x14ac:dyDescent="0.3">
      <c r="E431" s="216"/>
      <c r="F431" s="217"/>
    </row>
    <row r="432" spans="5:6" s="214" customFormat="1" ht="21.9" customHeight="1" x14ac:dyDescent="0.3">
      <c r="E432" s="216"/>
      <c r="F432" s="217"/>
    </row>
    <row r="433" spans="5:6" s="214" customFormat="1" ht="21.9" customHeight="1" x14ac:dyDescent="0.3">
      <c r="E433" s="216"/>
      <c r="F433" s="217"/>
    </row>
    <row r="434" spans="5:6" s="214" customFormat="1" ht="21.9" customHeight="1" x14ac:dyDescent="0.3">
      <c r="E434" s="216"/>
      <c r="F434" s="217"/>
    </row>
    <row r="435" spans="5:6" s="214" customFormat="1" ht="21.9" customHeight="1" x14ac:dyDescent="0.3">
      <c r="E435" s="216"/>
      <c r="F435" s="217"/>
    </row>
    <row r="436" spans="5:6" s="214" customFormat="1" ht="21.9" customHeight="1" x14ac:dyDescent="0.3">
      <c r="E436" s="216"/>
      <c r="F436" s="217"/>
    </row>
    <row r="437" spans="5:6" s="214" customFormat="1" ht="21.9" customHeight="1" x14ac:dyDescent="0.3">
      <c r="E437" s="216"/>
      <c r="F437" s="217"/>
    </row>
    <row r="438" spans="5:6" s="214" customFormat="1" ht="21.9" customHeight="1" x14ac:dyDescent="0.3">
      <c r="E438" s="216"/>
      <c r="F438" s="217"/>
    </row>
    <row r="439" spans="5:6" s="214" customFormat="1" ht="21.9" customHeight="1" x14ac:dyDescent="0.3">
      <c r="E439" s="216"/>
      <c r="F439" s="217"/>
    </row>
    <row r="440" spans="5:6" s="214" customFormat="1" ht="21.9" customHeight="1" x14ac:dyDescent="0.3">
      <c r="E440" s="216"/>
      <c r="F440" s="217"/>
    </row>
    <row r="441" spans="5:6" s="214" customFormat="1" ht="21.9" customHeight="1" x14ac:dyDescent="0.3">
      <c r="E441" s="216"/>
      <c r="F441" s="217"/>
    </row>
    <row r="442" spans="5:6" s="214" customFormat="1" ht="21.9" customHeight="1" x14ac:dyDescent="0.3">
      <c r="E442" s="216"/>
      <c r="F442" s="217"/>
    </row>
    <row r="443" spans="5:6" s="214" customFormat="1" ht="21.9" customHeight="1" x14ac:dyDescent="0.3">
      <c r="E443" s="216"/>
      <c r="F443" s="217"/>
    </row>
    <row r="444" spans="5:6" s="214" customFormat="1" ht="21.9" customHeight="1" x14ac:dyDescent="0.3">
      <c r="E444" s="216"/>
      <c r="F444" s="217"/>
    </row>
    <row r="445" spans="5:6" s="214" customFormat="1" ht="21.9" customHeight="1" x14ac:dyDescent="0.3">
      <c r="E445" s="216"/>
      <c r="F445" s="217"/>
    </row>
    <row r="446" spans="5:6" s="214" customFormat="1" ht="21.9" customHeight="1" x14ac:dyDescent="0.3">
      <c r="E446" s="216"/>
      <c r="F446" s="217"/>
    </row>
    <row r="447" spans="5:6" s="214" customFormat="1" ht="21.9" customHeight="1" x14ac:dyDescent="0.3">
      <c r="E447" s="216"/>
      <c r="F447" s="217"/>
    </row>
    <row r="448" spans="5:6" s="214" customFormat="1" ht="21.9" customHeight="1" x14ac:dyDescent="0.3">
      <c r="E448" s="216"/>
      <c r="F448" s="217"/>
    </row>
    <row r="449" spans="5:6" s="214" customFormat="1" ht="21.9" customHeight="1" x14ac:dyDescent="0.3">
      <c r="E449" s="216"/>
      <c r="F449" s="217"/>
    </row>
    <row r="450" spans="5:6" s="214" customFormat="1" ht="21.9" customHeight="1" x14ac:dyDescent="0.3">
      <c r="E450" s="216"/>
      <c r="F450" s="217"/>
    </row>
    <row r="451" spans="5:6" s="214" customFormat="1" ht="21.9" customHeight="1" x14ac:dyDescent="0.3">
      <c r="E451" s="216"/>
      <c r="F451" s="217"/>
    </row>
    <row r="452" spans="5:6" s="214" customFormat="1" ht="21.9" customHeight="1" x14ac:dyDescent="0.3">
      <c r="E452" s="216"/>
      <c r="F452" s="217"/>
    </row>
    <row r="453" spans="5:6" s="214" customFormat="1" ht="21.9" customHeight="1" x14ac:dyDescent="0.3">
      <c r="E453" s="216"/>
      <c r="F453" s="217"/>
    </row>
    <row r="454" spans="5:6" s="214" customFormat="1" ht="21.9" customHeight="1" x14ac:dyDescent="0.3">
      <c r="E454" s="216"/>
      <c r="F454" s="217"/>
    </row>
    <row r="455" spans="5:6" s="214" customFormat="1" ht="21.9" customHeight="1" x14ac:dyDescent="0.3">
      <c r="E455" s="216"/>
      <c r="F455" s="217"/>
    </row>
    <row r="456" spans="5:6" s="214" customFormat="1" ht="21.9" customHeight="1" x14ac:dyDescent="0.3">
      <c r="E456" s="216"/>
      <c r="F456" s="217"/>
    </row>
    <row r="457" spans="5:6" s="214" customFormat="1" ht="21.9" customHeight="1" x14ac:dyDescent="0.3">
      <c r="E457" s="216"/>
      <c r="F457" s="217"/>
    </row>
    <row r="458" spans="5:6" s="214" customFormat="1" ht="21.9" customHeight="1" x14ac:dyDescent="0.3">
      <c r="E458" s="216"/>
      <c r="F458" s="217"/>
    </row>
    <row r="459" spans="5:6" s="214" customFormat="1" ht="21.9" customHeight="1" x14ac:dyDescent="0.3">
      <c r="E459" s="216"/>
      <c r="F459" s="217"/>
    </row>
    <row r="460" spans="5:6" s="214" customFormat="1" ht="21.9" customHeight="1" x14ac:dyDescent="0.3">
      <c r="E460" s="216"/>
      <c r="F460" s="217"/>
    </row>
    <row r="461" spans="5:6" s="214" customFormat="1" ht="21.9" customHeight="1" x14ac:dyDescent="0.3">
      <c r="E461" s="216"/>
      <c r="F461" s="217"/>
    </row>
    <row r="462" spans="5:6" s="214" customFormat="1" ht="21.9" customHeight="1" x14ac:dyDescent="0.3">
      <c r="E462" s="216"/>
      <c r="F462" s="217"/>
    </row>
    <row r="463" spans="5:6" s="214" customFormat="1" ht="21.9" customHeight="1" x14ac:dyDescent="0.3">
      <c r="E463" s="216"/>
      <c r="F463" s="217"/>
    </row>
    <row r="464" spans="5:6" s="214" customFormat="1" ht="21.9" customHeight="1" x14ac:dyDescent="0.3">
      <c r="E464" s="216"/>
      <c r="F464" s="217"/>
    </row>
    <row r="465" spans="5:6" s="214" customFormat="1" ht="21.9" customHeight="1" x14ac:dyDescent="0.3">
      <c r="E465" s="216"/>
      <c r="F465" s="217"/>
    </row>
    <row r="466" spans="5:6" s="214" customFormat="1" ht="21.9" customHeight="1" x14ac:dyDescent="0.3">
      <c r="E466" s="216"/>
      <c r="F466" s="217"/>
    </row>
    <row r="467" spans="5:6" s="214" customFormat="1" ht="21.9" customHeight="1" x14ac:dyDescent="0.3">
      <c r="E467" s="216"/>
      <c r="F467" s="217"/>
    </row>
    <row r="468" spans="5:6" s="214" customFormat="1" ht="21.9" customHeight="1" x14ac:dyDescent="0.3">
      <c r="E468" s="216"/>
      <c r="F468" s="217"/>
    </row>
    <row r="469" spans="5:6" s="214" customFormat="1" ht="21.9" customHeight="1" x14ac:dyDescent="0.3">
      <c r="E469" s="216"/>
      <c r="F469" s="217"/>
    </row>
    <row r="470" spans="5:6" s="214" customFormat="1" ht="21.9" customHeight="1" x14ac:dyDescent="0.3">
      <c r="E470" s="216"/>
      <c r="F470" s="217"/>
    </row>
    <row r="471" spans="5:6" s="214" customFormat="1" ht="21.9" customHeight="1" x14ac:dyDescent="0.3">
      <c r="E471" s="216"/>
      <c r="F471" s="217"/>
    </row>
    <row r="472" spans="5:6" s="214" customFormat="1" ht="21.9" customHeight="1" x14ac:dyDescent="0.3">
      <c r="E472" s="216"/>
      <c r="F472" s="217"/>
    </row>
    <row r="473" spans="5:6" s="214" customFormat="1" ht="21.9" customHeight="1" x14ac:dyDescent="0.3">
      <c r="E473" s="216"/>
      <c r="F473" s="217"/>
    </row>
    <row r="474" spans="5:6" s="214" customFormat="1" ht="21.9" customHeight="1" x14ac:dyDescent="0.3">
      <c r="E474" s="216"/>
      <c r="F474" s="217"/>
    </row>
    <row r="475" spans="5:6" s="214" customFormat="1" ht="21.9" customHeight="1" x14ac:dyDescent="0.3">
      <c r="E475" s="216"/>
      <c r="F475" s="217"/>
    </row>
    <row r="476" spans="5:6" s="214" customFormat="1" ht="21.9" customHeight="1" x14ac:dyDescent="0.3">
      <c r="E476" s="216"/>
      <c r="F476" s="217"/>
    </row>
    <row r="477" spans="5:6" s="214" customFormat="1" ht="21.9" customHeight="1" x14ac:dyDescent="0.3">
      <c r="E477" s="216"/>
      <c r="F477" s="217"/>
    </row>
    <row r="478" spans="5:6" s="214" customFormat="1" ht="21.9" customHeight="1" x14ac:dyDescent="0.3">
      <c r="E478" s="216"/>
      <c r="F478" s="217"/>
    </row>
    <row r="479" spans="5:6" s="214" customFormat="1" ht="21.9" customHeight="1" x14ac:dyDescent="0.3">
      <c r="E479" s="216"/>
      <c r="F479" s="217"/>
    </row>
    <row r="480" spans="5:6" s="214" customFormat="1" ht="21.9" customHeight="1" x14ac:dyDescent="0.3">
      <c r="E480" s="216"/>
      <c r="F480" s="217"/>
    </row>
    <row r="481" spans="5:6" s="214" customFormat="1" ht="21.9" customHeight="1" x14ac:dyDescent="0.3">
      <c r="E481" s="216"/>
      <c r="F481" s="217"/>
    </row>
    <row r="482" spans="5:6" s="214" customFormat="1" ht="21.9" customHeight="1" x14ac:dyDescent="0.3">
      <c r="E482" s="216"/>
      <c r="F482" s="217"/>
    </row>
    <row r="483" spans="5:6" s="214" customFormat="1" ht="21.9" customHeight="1" x14ac:dyDescent="0.3">
      <c r="E483" s="216"/>
      <c r="F483" s="217"/>
    </row>
    <row r="484" spans="5:6" s="214" customFormat="1" ht="21.9" customHeight="1" x14ac:dyDescent="0.3">
      <c r="E484" s="216"/>
      <c r="F484" s="217"/>
    </row>
    <row r="485" spans="5:6" s="214" customFormat="1" ht="21.9" customHeight="1" x14ac:dyDescent="0.3">
      <c r="E485" s="216"/>
      <c r="F485" s="217"/>
    </row>
    <row r="486" spans="5:6" s="214" customFormat="1" ht="21.9" customHeight="1" x14ac:dyDescent="0.3">
      <c r="E486" s="216"/>
      <c r="F486" s="217"/>
    </row>
    <row r="487" spans="5:6" s="214" customFormat="1" ht="21.9" customHeight="1" x14ac:dyDescent="0.3">
      <c r="E487" s="216"/>
      <c r="F487" s="217"/>
    </row>
    <row r="488" spans="5:6" s="214" customFormat="1" ht="21.9" customHeight="1" x14ac:dyDescent="0.3">
      <c r="E488" s="216"/>
      <c r="F488" s="217"/>
    </row>
    <row r="489" spans="5:6" s="214" customFormat="1" ht="21.9" customHeight="1" x14ac:dyDescent="0.3">
      <c r="E489" s="216"/>
      <c r="F489" s="217"/>
    </row>
    <row r="490" spans="5:6" s="214" customFormat="1" ht="21.9" customHeight="1" x14ac:dyDescent="0.3">
      <c r="E490" s="216"/>
      <c r="F490" s="217"/>
    </row>
    <row r="491" spans="5:6" s="214" customFormat="1" ht="21.9" customHeight="1" x14ac:dyDescent="0.3">
      <c r="E491" s="216"/>
      <c r="F491" s="217"/>
    </row>
    <row r="492" spans="5:6" s="214" customFormat="1" ht="21.9" customHeight="1" x14ac:dyDescent="0.3">
      <c r="E492" s="216"/>
      <c r="F492" s="217"/>
    </row>
    <row r="493" spans="5:6" s="214" customFormat="1" ht="21.9" customHeight="1" x14ac:dyDescent="0.3">
      <c r="E493" s="216"/>
      <c r="F493" s="217"/>
    </row>
    <row r="494" spans="5:6" s="214" customFormat="1" ht="21.9" customHeight="1" x14ac:dyDescent="0.3">
      <c r="E494" s="216"/>
      <c r="F494" s="217"/>
    </row>
    <row r="495" spans="5:6" s="214" customFormat="1" ht="21.9" customHeight="1" x14ac:dyDescent="0.3">
      <c r="E495" s="216"/>
      <c r="F495" s="217"/>
    </row>
    <row r="496" spans="5:6" s="214" customFormat="1" ht="21.9" customHeight="1" x14ac:dyDescent="0.3">
      <c r="E496" s="216"/>
      <c r="F496" s="217"/>
    </row>
    <row r="497" spans="5:6" s="214" customFormat="1" ht="21.9" customHeight="1" x14ac:dyDescent="0.3">
      <c r="E497" s="216"/>
      <c r="F497" s="217"/>
    </row>
    <row r="498" spans="5:6" s="214" customFormat="1" ht="21.9" customHeight="1" x14ac:dyDescent="0.3">
      <c r="E498" s="216"/>
      <c r="F498" s="217"/>
    </row>
    <row r="499" spans="5:6" s="214" customFormat="1" ht="21.9" customHeight="1" x14ac:dyDescent="0.3">
      <c r="E499" s="216"/>
      <c r="F499" s="217"/>
    </row>
    <row r="500" spans="5:6" s="214" customFormat="1" ht="21.9" customHeight="1" x14ac:dyDescent="0.3">
      <c r="E500" s="216"/>
      <c r="F500" s="217"/>
    </row>
    <row r="501" spans="5:6" s="214" customFormat="1" ht="21.9" customHeight="1" x14ac:dyDescent="0.3">
      <c r="E501" s="216"/>
      <c r="F501" s="217"/>
    </row>
    <row r="502" spans="5:6" s="214" customFormat="1" ht="21.9" customHeight="1" x14ac:dyDescent="0.3">
      <c r="E502" s="216"/>
      <c r="F502" s="217"/>
    </row>
    <row r="503" spans="5:6" s="214" customFormat="1" ht="21.9" customHeight="1" x14ac:dyDescent="0.3">
      <c r="E503" s="216"/>
      <c r="F503" s="217"/>
    </row>
    <row r="504" spans="5:6" s="214" customFormat="1" ht="21.9" customHeight="1" x14ac:dyDescent="0.3">
      <c r="E504" s="216"/>
      <c r="F504" s="217"/>
    </row>
    <row r="505" spans="5:6" s="214" customFormat="1" ht="21.9" customHeight="1" x14ac:dyDescent="0.3">
      <c r="E505" s="216"/>
      <c r="F505" s="217"/>
    </row>
    <row r="506" spans="5:6" s="214" customFormat="1" ht="21.9" customHeight="1" x14ac:dyDescent="0.3">
      <c r="E506" s="216"/>
      <c r="F506" s="217"/>
    </row>
    <row r="507" spans="5:6" s="214" customFormat="1" ht="21.9" customHeight="1" x14ac:dyDescent="0.3">
      <c r="E507" s="216"/>
      <c r="F507" s="217"/>
    </row>
    <row r="508" spans="5:6" s="214" customFormat="1" ht="21.9" customHeight="1" x14ac:dyDescent="0.3">
      <c r="E508" s="216"/>
      <c r="F508" s="217"/>
    </row>
  </sheetData>
  <autoFilter ref="A5:T216" xr:uid="{00000000-0009-0000-0000-000006000000}"/>
  <mergeCells count="13">
    <mergeCell ref="A1:Q1"/>
    <mergeCell ref="A2:Q2"/>
    <mergeCell ref="A3:A4"/>
    <mergeCell ref="B3:B4"/>
    <mergeCell ref="C3:C4"/>
    <mergeCell ref="E3:E4"/>
    <mergeCell ref="F3:F4"/>
    <mergeCell ref="G3:H4"/>
    <mergeCell ref="I3:J4"/>
    <mergeCell ref="K3:L4"/>
    <mergeCell ref="M3:N4"/>
    <mergeCell ref="O3:P4"/>
    <mergeCell ref="Q3:Q4"/>
  </mergeCells>
  <printOptions horizontalCentered="1"/>
  <pageMargins left="0" right="0" top="0.5" bottom="0.5" header="0.5" footer="0.5"/>
  <pageSetup paperSize="9"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BX321"/>
  <sheetViews>
    <sheetView topLeftCell="N1" zoomScale="80" zoomScaleNormal="80" workbookViewId="0">
      <selection activeCell="P4" sqref="P4:P68"/>
    </sheetView>
  </sheetViews>
  <sheetFormatPr defaultColWidth="9" defaultRowHeight="15.6" x14ac:dyDescent="0.3"/>
  <cols>
    <col min="1" max="1" width="9" style="41"/>
    <col min="2" max="2" width="10.59765625" style="41" customWidth="1"/>
    <col min="3" max="3" width="9.59765625" style="41" bestFit="1" customWidth="1"/>
    <col min="4" max="4" width="1.5" style="71" customWidth="1"/>
    <col min="5" max="5" width="1.5" style="41" customWidth="1"/>
    <col min="6" max="6" width="9" style="67"/>
    <col min="7" max="7" width="9" style="41"/>
    <col min="8" max="12" width="0" style="41" hidden="1" customWidth="1"/>
    <col min="13" max="13" width="10.3984375" style="41" customWidth="1"/>
    <col min="14" max="14" width="10.8984375" style="41" bestFit="1" customWidth="1"/>
    <col min="15" max="19" width="9" style="41"/>
    <col min="20" max="26" width="0" style="41" hidden="1" customWidth="1"/>
    <col min="27" max="27" width="25.5" style="41" bestFit="1" customWidth="1"/>
    <col min="28" max="28" width="0" style="41" hidden="1" customWidth="1"/>
    <col min="29" max="29" width="20.59765625" style="41" customWidth="1"/>
    <col min="30" max="30" width="0" style="41" hidden="1" customWidth="1"/>
    <col min="31" max="31" width="1.8984375" style="41" hidden="1" customWidth="1"/>
    <col min="32" max="32" width="0" style="41" hidden="1" customWidth="1"/>
    <col min="33" max="33" width="2.5" style="41" hidden="1" customWidth="1"/>
    <col min="34" max="34" width="3.69921875" style="41" hidden="1" customWidth="1"/>
    <col min="35" max="35" width="4.5" style="41" hidden="1" customWidth="1"/>
    <col min="36" max="36" width="0" style="41" hidden="1" customWidth="1"/>
    <col min="37" max="37" width="4.8984375" style="41" hidden="1" customWidth="1"/>
    <col min="38" max="38" width="5.69921875" style="41" customWidth="1"/>
    <col min="39" max="39" width="9.59765625" style="41" bestFit="1" customWidth="1"/>
    <col min="40" max="40" width="12.09765625" style="41" customWidth="1"/>
    <col min="41" max="41" width="17.09765625" style="41" customWidth="1"/>
    <col min="42" max="42" width="7.09765625" style="41" customWidth="1"/>
    <col min="43" max="44" width="9" style="41"/>
    <col min="45" max="45" width="4.3984375" style="41" customWidth="1"/>
    <col min="46" max="46" width="12" style="41" customWidth="1"/>
    <col min="47" max="47" width="5.8984375" style="41" customWidth="1"/>
    <col min="48" max="48" width="4.69921875" style="41" customWidth="1"/>
    <col min="49" max="49" width="3.5" style="41" customWidth="1"/>
    <col min="50" max="50" width="5" style="41" customWidth="1"/>
    <col min="51" max="51" width="5.59765625" style="41" customWidth="1"/>
    <col min="52" max="52" width="20.8984375" style="41" customWidth="1"/>
    <col min="53" max="62" width="9" style="41"/>
    <col min="63" max="63" width="2.59765625" style="41" customWidth="1"/>
    <col min="64" max="64" width="4.59765625" style="41" customWidth="1"/>
    <col min="65" max="65" width="4" style="41" customWidth="1"/>
    <col min="66" max="66" width="4.69921875" style="41" customWidth="1"/>
    <col min="67" max="68" width="9" style="41"/>
    <col min="69" max="69" width="5.19921875" style="41" customWidth="1"/>
    <col min="70" max="70" width="6.3984375" style="41" customWidth="1"/>
    <col min="71" max="71" width="3.69921875" style="41" customWidth="1"/>
    <col min="72" max="72" width="4.19921875" style="41" customWidth="1"/>
    <col min="73" max="73" width="5.3984375" style="41" customWidth="1"/>
    <col min="74" max="74" width="9.3984375" style="41" customWidth="1"/>
    <col min="75" max="75" width="3.8984375" style="41" customWidth="1"/>
    <col min="76" max="76" width="11.59765625" style="41" customWidth="1"/>
    <col min="77" max="16384" width="9" style="41"/>
  </cols>
  <sheetData>
    <row r="1" spans="1:76" ht="86.4" x14ac:dyDescent="0.3">
      <c r="BG1" s="41">
        <f>SUM(BG2:BG140)</f>
        <v>2</v>
      </c>
      <c r="BI1" s="343" t="s">
        <v>244</v>
      </c>
      <c r="BJ1" s="343" t="s">
        <v>243</v>
      </c>
      <c r="BK1" s="343" t="s">
        <v>242</v>
      </c>
      <c r="BL1" s="343" t="s">
        <v>241</v>
      </c>
      <c r="BM1" s="343" t="s">
        <v>240</v>
      </c>
      <c r="BN1" s="343" t="s">
        <v>239</v>
      </c>
      <c r="BO1" s="343" t="s">
        <v>30</v>
      </c>
      <c r="BP1" s="343" t="s">
        <v>238</v>
      </c>
      <c r="BQ1" s="343" t="s">
        <v>237</v>
      </c>
      <c r="BR1" s="343" t="s">
        <v>236</v>
      </c>
      <c r="BS1" s="344" t="s">
        <v>236</v>
      </c>
      <c r="BT1" s="343" t="s">
        <v>235</v>
      </c>
      <c r="BU1" s="343" t="s">
        <v>234</v>
      </c>
      <c r="BV1" s="343" t="s">
        <v>51</v>
      </c>
      <c r="BW1" s="343" t="s">
        <v>233</v>
      </c>
      <c r="BX1" s="343" t="s">
        <v>228</v>
      </c>
    </row>
    <row r="2" spans="1:76" ht="31.2" x14ac:dyDescent="0.3">
      <c r="BA2" s="345" t="s">
        <v>13723</v>
      </c>
      <c r="BB2" s="345" t="s">
        <v>13724</v>
      </c>
      <c r="BC2" s="345" t="s">
        <v>13725</v>
      </c>
      <c r="BD2" s="345" t="s">
        <v>13726</v>
      </c>
      <c r="BE2" s="345" t="s">
        <v>13727</v>
      </c>
      <c r="BF2" s="345" t="s">
        <v>13728</v>
      </c>
      <c r="BG2" s="345" t="s">
        <v>12814</v>
      </c>
      <c r="BH2" s="345" t="s">
        <v>13729</v>
      </c>
    </row>
    <row r="3" spans="1:76" ht="42" thickBot="1" x14ac:dyDescent="0.35">
      <c r="A3" s="41">
        <v>3322</v>
      </c>
      <c r="B3" s="43" t="s">
        <v>71</v>
      </c>
      <c r="C3" s="44" t="s">
        <v>73</v>
      </c>
      <c r="F3" s="45">
        <v>10156</v>
      </c>
      <c r="G3" s="41" t="str">
        <f>VLOOKUP(F3,$A$3:$C$83,2,0)</f>
        <v>15C-10156</v>
      </c>
      <c r="H3" s="35" t="s">
        <v>50</v>
      </c>
      <c r="I3" s="35" t="s">
        <v>51</v>
      </c>
      <c r="J3" s="35" t="s">
        <v>52</v>
      </c>
      <c r="K3" s="40" t="s">
        <v>53</v>
      </c>
      <c r="L3" s="34" t="s">
        <v>54</v>
      </c>
      <c r="P3" s="41" t="s">
        <v>14963</v>
      </c>
      <c r="R3" s="41" t="s">
        <v>14964</v>
      </c>
      <c r="S3" s="73" t="s">
        <v>194</v>
      </c>
      <c r="T3" s="73"/>
      <c r="U3" s="73"/>
      <c r="V3" s="73"/>
      <c r="W3" s="73"/>
      <c r="X3" s="73"/>
      <c r="Y3" s="73"/>
      <c r="Z3" s="73"/>
      <c r="AA3" s="73" t="s">
        <v>195</v>
      </c>
      <c r="AB3" s="73"/>
      <c r="AC3" s="73" t="s">
        <v>201</v>
      </c>
      <c r="AD3" s="73"/>
      <c r="AE3" s="73"/>
      <c r="AF3" s="73"/>
      <c r="AG3" s="73"/>
      <c r="AH3" s="73"/>
      <c r="AI3" s="73"/>
      <c r="AJ3" s="73"/>
      <c r="AK3" s="73"/>
      <c r="AL3" s="73"/>
      <c r="AM3" s="73"/>
      <c r="AN3" s="73"/>
      <c r="AQ3" s="120" t="s">
        <v>488</v>
      </c>
      <c r="AR3" s="227" t="s">
        <v>12684</v>
      </c>
      <c r="AY3" s="41" t="s">
        <v>12996</v>
      </c>
      <c r="AZ3" s="41" t="str">
        <f>CONCATENATE(BG3, " xe của ",BA3)</f>
        <v>2 xe của Quân Quynh</v>
      </c>
      <c r="BA3" s="342" t="s">
        <v>13844</v>
      </c>
      <c r="BB3" s="342" t="s">
        <v>13845</v>
      </c>
      <c r="BC3" s="342" t="s">
        <v>110</v>
      </c>
      <c r="BD3" s="342" t="s">
        <v>110</v>
      </c>
      <c r="BE3" s="348" t="s">
        <v>13846</v>
      </c>
      <c r="BF3" s="342" t="s">
        <v>13847</v>
      </c>
      <c r="BG3" s="342">
        <v>2</v>
      </c>
      <c r="BH3" s="342"/>
      <c r="BI3" s="41" t="str">
        <f>VLOOKUP(BE3,Khach_hang!$J$3:$K$4199,2,0)</f>
        <v>CG02620</v>
      </c>
      <c r="BJ3" s="225"/>
      <c r="BK3" s="225"/>
      <c r="BL3" s="225"/>
      <c r="BM3" s="225"/>
      <c r="BN3" s="225"/>
      <c r="BO3" s="225"/>
      <c r="BP3" s="225"/>
      <c r="BQ3" s="300"/>
      <c r="BR3" s="225"/>
      <c r="BS3" s="225"/>
      <c r="BT3" s="225"/>
      <c r="BU3" s="225"/>
      <c r="BV3" s="244"/>
      <c r="BW3" s="311"/>
      <c r="BX3" s="244"/>
    </row>
    <row r="4" spans="1:76" ht="26.4" x14ac:dyDescent="0.3">
      <c r="A4" s="41">
        <v>19170</v>
      </c>
      <c r="B4" s="46" t="s">
        <v>74</v>
      </c>
      <c r="C4" s="47" t="s">
        <v>48</v>
      </c>
      <c r="F4" s="41">
        <v>10645</v>
      </c>
      <c r="G4" s="41" t="str">
        <f t="shared" ref="G4:G67" si="0">VLOOKUP(F4,$A$3:$C$83,2,0)</f>
        <v>15C-10645</v>
      </c>
      <c r="H4" s="36">
        <f>1000*AE4</f>
        <v>1000</v>
      </c>
      <c r="I4" s="36" t="e">
        <f>1000*AB4</f>
        <v>#VALUE!</v>
      </c>
      <c r="J4" s="37" t="str">
        <f>IF(D4&lt;&gt;0,0,"")</f>
        <v/>
      </c>
      <c r="K4" s="42"/>
      <c r="L4" s="38"/>
      <c r="M4" s="41" t="s">
        <v>125</v>
      </c>
      <c r="N4" s="41" t="s">
        <v>141</v>
      </c>
      <c r="O4" s="374" t="str">
        <f>HT!S11</f>
        <v/>
      </c>
      <c r="P4" s="342">
        <f>IF(O4=0,"",IF(O4="c","Chính",IF(O4="m","Mạnh",0)))</f>
        <v>0</v>
      </c>
      <c r="Q4" s="374">
        <f>HT!R11</f>
        <v>0</v>
      </c>
      <c r="R4" s="342">
        <f t="shared" ref="R4" si="1">VLOOKUP(Q4,$A$3:$C$183,2,0)</f>
        <v>0</v>
      </c>
      <c r="S4" s="72" t="s">
        <v>198</v>
      </c>
      <c r="T4" s="45"/>
      <c r="U4" s="45" t="s">
        <v>37</v>
      </c>
      <c r="V4" s="45">
        <v>5000</v>
      </c>
      <c r="W4" s="45"/>
      <c r="X4" s="45"/>
      <c r="Y4" s="45"/>
      <c r="Z4" s="45" t="s">
        <v>197</v>
      </c>
      <c r="AA4" s="45" t="s">
        <v>192</v>
      </c>
      <c r="AB4" s="45" t="s">
        <v>199</v>
      </c>
      <c r="AC4" s="45" t="s">
        <v>200</v>
      </c>
      <c r="AD4" s="45"/>
      <c r="AE4" s="45">
        <v>1</v>
      </c>
      <c r="AF4" s="45"/>
      <c r="AG4" s="45" t="s">
        <v>196</v>
      </c>
      <c r="AH4" s="45" t="s">
        <v>193</v>
      </c>
      <c r="AI4" s="45">
        <v>-100</v>
      </c>
      <c r="AJ4" s="45"/>
      <c r="AK4" s="45">
        <v>6125</v>
      </c>
      <c r="AL4" s="123" t="str">
        <f>+HT!N11</f>
        <v>15C-13840</v>
      </c>
      <c r="AM4" s="45" t="str">
        <f>VLOOKUP(AL4,$A$3:$C$183,2,0)</f>
        <v>15C-13840</v>
      </c>
      <c r="AN4" s="45" t="str">
        <f>VLOOKUP(AM4,$M$4:$N$50,2,0)</f>
        <v>0901589731</v>
      </c>
      <c r="AO4" s="323" t="s">
        <v>13642</v>
      </c>
      <c r="AP4" s="324" t="s">
        <v>13643</v>
      </c>
      <c r="AQ4" s="113" t="s">
        <v>535</v>
      </c>
      <c r="AR4" s="113" t="s">
        <v>12768</v>
      </c>
      <c r="AT4" s="247" t="s">
        <v>13001</v>
      </c>
      <c r="AU4" s="41" t="str">
        <f t="shared" ref="AU4:AU8" si="2">IF(AT4="",0,CONCATENATE(AU3,", ",AT4))</f>
        <v>, TRHU2184293</v>
      </c>
      <c r="AZ4" s="41" t="str">
        <f t="shared" ref="AZ4:AZ43" si="3">CONCATENATE(BG4, " xe của ",BA4)</f>
        <v xml:space="preserve"> xe của </v>
      </c>
      <c r="BA4" s="342"/>
      <c r="BB4" s="342"/>
      <c r="BC4" s="342"/>
      <c r="BD4" s="342"/>
      <c r="BE4" s="348"/>
      <c r="BF4" s="342"/>
      <c r="BG4" s="342"/>
      <c r="BH4" s="41" t="str">
        <f t="shared" ref="BH4:BH20" si="4">CONCATENATE(BG4," của ",BA4)</f>
        <v xml:space="preserve"> của </v>
      </c>
      <c r="BI4" s="41" t="e">
        <f>VLOOKUP(BE4,Khach_hang!$J$3:$K$4199,2,0)</f>
        <v>#N/A</v>
      </c>
      <c r="BJ4" s="225"/>
      <c r="BK4" s="225"/>
      <c r="BL4" s="225"/>
      <c r="BM4" s="225"/>
      <c r="BN4" s="225"/>
      <c r="BO4" s="225"/>
      <c r="BP4" s="225"/>
      <c r="BQ4" s="300"/>
      <c r="BR4" s="225"/>
      <c r="BS4" s="225"/>
      <c r="BT4" s="225"/>
      <c r="BU4" s="225"/>
      <c r="BV4" s="244"/>
      <c r="BW4" s="311"/>
      <c r="BX4" s="244"/>
    </row>
    <row r="5" spans="1:76" ht="26.4" x14ac:dyDescent="0.3">
      <c r="A5" s="41">
        <v>19043</v>
      </c>
      <c r="B5" s="48" t="s">
        <v>75</v>
      </c>
      <c r="C5" s="49" t="s">
        <v>76</v>
      </c>
      <c r="F5" s="41">
        <v>7321</v>
      </c>
      <c r="G5" s="41" t="str">
        <f t="shared" si="0"/>
        <v>15C-07321</v>
      </c>
      <c r="M5" s="41" t="s">
        <v>80</v>
      </c>
      <c r="N5" s="41" t="s">
        <v>142</v>
      </c>
      <c r="O5" s="374" t="str">
        <f>HT!S12</f>
        <v/>
      </c>
      <c r="P5" s="342">
        <f t="shared" ref="P5:P68" si="5">IF(O5=0,"",IF(O5="c","Chính",IF(O5="m","Mạnh",0)))</f>
        <v>0</v>
      </c>
      <c r="Q5" s="374">
        <f>HT!R12</f>
        <v>0</v>
      </c>
      <c r="R5" s="342">
        <f t="shared" ref="R5:R68" si="6">VLOOKUP(Q5,$A$3:$C$183,2,0)</f>
        <v>0</v>
      </c>
      <c r="S5" s="45"/>
      <c r="T5" s="45"/>
      <c r="U5" s="45"/>
      <c r="V5" s="45"/>
      <c r="W5" s="45"/>
      <c r="X5" s="45"/>
      <c r="Y5" s="45"/>
      <c r="Z5" s="45"/>
      <c r="AA5" s="45"/>
      <c r="AB5" s="45"/>
      <c r="AC5" s="45"/>
      <c r="AD5" s="45"/>
      <c r="AE5" s="45"/>
      <c r="AF5" s="45"/>
      <c r="AG5" s="45"/>
      <c r="AH5" s="45"/>
      <c r="AI5" s="45"/>
      <c r="AJ5" s="45"/>
      <c r="AK5" s="45"/>
      <c r="AL5" s="123" t="str">
        <f>+HT!N12</f>
        <v>15C-13969</v>
      </c>
      <c r="AM5" s="45" t="str">
        <f t="shared" ref="AM5:AM68" si="7">VLOOKUP(AL5,$A$3:$C$183,2,0)</f>
        <v>15C-13969</v>
      </c>
      <c r="AN5" s="45" t="str">
        <f t="shared" ref="AN5:AN41" si="8">VLOOKUP(AM5,$M$4:$N$50,2,0)</f>
        <v>0901589734</v>
      </c>
      <c r="AO5" s="325" t="s">
        <v>13644</v>
      </c>
      <c r="AP5" s="326" t="s">
        <v>13643</v>
      </c>
      <c r="AQ5" s="113" t="s">
        <v>502</v>
      </c>
      <c r="AR5" s="113" t="s">
        <v>12770</v>
      </c>
      <c r="AT5" s="247" t="s">
        <v>13002</v>
      </c>
      <c r="AU5" s="41" t="str">
        <f t="shared" si="2"/>
        <v>, TRHU2184293, MSDU1179360</v>
      </c>
      <c r="AZ5" s="41" t="str">
        <f t="shared" si="3"/>
        <v xml:space="preserve"> xe của </v>
      </c>
      <c r="BA5" s="342"/>
      <c r="BB5" s="342"/>
      <c r="BC5" s="342"/>
      <c r="BD5" s="342"/>
      <c r="BE5" s="348"/>
      <c r="BF5" s="342"/>
      <c r="BG5" s="342"/>
      <c r="BH5" s="41" t="str">
        <f t="shared" si="4"/>
        <v xml:space="preserve"> của </v>
      </c>
      <c r="BI5" s="41" t="e">
        <f>VLOOKUP(BE5,Khach_hang!$J$3:$K$4199,2,0)</f>
        <v>#N/A</v>
      </c>
      <c r="BJ5" s="225"/>
      <c r="BK5" s="225"/>
      <c r="BL5" s="225"/>
      <c r="BM5" s="225"/>
      <c r="BN5" s="225"/>
      <c r="BO5" s="225"/>
      <c r="BP5" s="225"/>
      <c r="BQ5" s="300"/>
      <c r="BR5" s="225"/>
      <c r="BS5" s="225"/>
      <c r="BT5" s="225"/>
      <c r="BU5" s="225"/>
      <c r="BV5" s="244"/>
      <c r="BW5" s="311"/>
      <c r="BX5" s="244"/>
    </row>
    <row r="6" spans="1:76" ht="27" thickBot="1" x14ac:dyDescent="0.35">
      <c r="B6" s="43" t="s">
        <v>77</v>
      </c>
      <c r="C6" s="44" t="s">
        <v>8</v>
      </c>
      <c r="F6" s="41">
        <v>11549</v>
      </c>
      <c r="G6" s="41" t="str">
        <f t="shared" si="0"/>
        <v>15C-11549</v>
      </c>
      <c r="M6" s="41" t="s">
        <v>65</v>
      </c>
      <c r="N6" s="41" t="s">
        <v>143</v>
      </c>
      <c r="O6" s="374" t="str">
        <f>HT!S13</f>
        <v/>
      </c>
      <c r="P6" s="342">
        <f t="shared" si="5"/>
        <v>0</v>
      </c>
      <c r="Q6" s="374">
        <f>HT!R13</f>
        <v>0</v>
      </c>
      <c r="R6" s="342">
        <f t="shared" si="6"/>
        <v>0</v>
      </c>
      <c r="S6" s="45"/>
      <c r="T6" s="45"/>
      <c r="U6" s="45"/>
      <c r="V6" s="45"/>
      <c r="W6" s="45"/>
      <c r="X6" s="45"/>
      <c r="Y6" s="45"/>
      <c r="Z6" s="45"/>
      <c r="AA6" s="45"/>
      <c r="AB6" s="45"/>
      <c r="AC6" s="45"/>
      <c r="AD6" s="45"/>
      <c r="AE6" s="45"/>
      <c r="AF6" s="45"/>
      <c r="AG6" s="45"/>
      <c r="AH6" s="45"/>
      <c r="AI6" s="45"/>
      <c r="AJ6" s="45"/>
      <c r="AK6" s="45"/>
      <c r="AL6" s="123" t="str">
        <f>+HT!N13</f>
        <v>15C-11486</v>
      </c>
      <c r="AM6" s="45" t="str">
        <f t="shared" si="7"/>
        <v>15C-11486</v>
      </c>
      <c r="AN6" s="45" t="str">
        <f t="shared" si="8"/>
        <v>0901589717</v>
      </c>
      <c r="AO6" s="327" t="s">
        <v>13645</v>
      </c>
      <c r="AP6" s="326" t="s">
        <v>12765</v>
      </c>
      <c r="AQ6" s="120" t="s">
        <v>407</v>
      </c>
      <c r="AR6" s="113" t="s">
        <v>12771</v>
      </c>
      <c r="AT6" s="247" t="s">
        <v>13003</v>
      </c>
      <c r="AU6" s="41" t="str">
        <f t="shared" si="2"/>
        <v>, TRHU2184293, MSDU1179360, MSCU3953928</v>
      </c>
      <c r="AZ6" s="41" t="str">
        <f t="shared" si="3"/>
        <v xml:space="preserve"> xe của </v>
      </c>
      <c r="BA6" s="342"/>
      <c r="BB6" s="342"/>
      <c r="BC6" s="342"/>
      <c r="BD6" s="342"/>
      <c r="BE6" s="348"/>
      <c r="BF6" s="342"/>
      <c r="BG6" s="342"/>
      <c r="BH6" s="41" t="str">
        <f t="shared" si="4"/>
        <v xml:space="preserve"> của </v>
      </c>
      <c r="BI6" s="41" t="e">
        <f>VLOOKUP(BE6,Khach_hang!$J$3:$K$4199,2,0)</f>
        <v>#N/A</v>
      </c>
      <c r="BJ6" s="225"/>
      <c r="BK6" s="225"/>
      <c r="BL6" s="225"/>
      <c r="BM6" s="225"/>
      <c r="BN6" s="225"/>
      <c r="BO6" s="225"/>
      <c r="BP6" s="225"/>
      <c r="BQ6" s="300"/>
      <c r="BR6" s="225"/>
      <c r="BS6" s="225"/>
      <c r="BT6" s="225"/>
      <c r="BU6" s="225"/>
      <c r="BV6" s="244"/>
      <c r="BW6" s="311"/>
      <c r="BX6" s="244"/>
    </row>
    <row r="7" spans="1:76" ht="26.4" x14ac:dyDescent="0.3">
      <c r="A7" s="41">
        <v>8407</v>
      </c>
      <c r="B7" s="46" t="s">
        <v>78</v>
      </c>
      <c r="C7" s="47" t="s">
        <v>79</v>
      </c>
      <c r="F7" s="41">
        <v>12874</v>
      </c>
      <c r="G7" s="41" t="str">
        <f t="shared" si="0"/>
        <v>15C-12874</v>
      </c>
      <c r="M7" s="41" t="s">
        <v>72</v>
      </c>
      <c r="N7" s="41" t="s">
        <v>144</v>
      </c>
      <c r="O7" s="374" t="str">
        <f>HT!S14</f>
        <v>Mạnh</v>
      </c>
      <c r="P7" s="342">
        <f t="shared" si="5"/>
        <v>0</v>
      </c>
      <c r="Q7" s="374" t="str">
        <f>HT!R14</f>
        <v>HS04</v>
      </c>
      <c r="R7" s="342" t="e">
        <f t="shared" si="6"/>
        <v>#N/A</v>
      </c>
      <c r="S7" s="45"/>
      <c r="T7" s="45"/>
      <c r="U7" s="45"/>
      <c r="V7" s="45"/>
      <c r="W7" s="45"/>
      <c r="X7" s="45"/>
      <c r="Y7" s="45"/>
      <c r="Z7" s="45"/>
      <c r="AA7" s="45"/>
      <c r="AB7" s="45"/>
      <c r="AC7" s="45"/>
      <c r="AD7" s="45"/>
      <c r="AE7" s="45"/>
      <c r="AF7" s="45"/>
      <c r="AG7" s="45"/>
      <c r="AH7" s="45"/>
      <c r="AI7" s="45"/>
      <c r="AJ7" s="45"/>
      <c r="AK7" s="45"/>
      <c r="AL7" s="123" t="str">
        <f>+HT!N14</f>
        <v>15C-13568</v>
      </c>
      <c r="AM7" s="45" t="str">
        <f t="shared" si="7"/>
        <v>15C-13568</v>
      </c>
      <c r="AN7" s="45" t="str">
        <f t="shared" si="8"/>
        <v>0901589729</v>
      </c>
      <c r="AO7" s="325" t="s">
        <v>13646</v>
      </c>
      <c r="AP7" s="326" t="s">
        <v>13647</v>
      </c>
      <c r="AQ7" s="120" t="s">
        <v>403</v>
      </c>
      <c r="AR7" s="113" t="s">
        <v>12772</v>
      </c>
      <c r="AT7" s="247" t="s">
        <v>12998</v>
      </c>
      <c r="AU7" s="41" t="str">
        <f t="shared" si="2"/>
        <v>, TRHU2184293, MSDU1179360, MSCU3953928, MEDU6335679</v>
      </c>
      <c r="AZ7" s="41" t="str">
        <f t="shared" si="3"/>
        <v xml:space="preserve"> xe của </v>
      </c>
      <c r="BA7" s="342"/>
      <c r="BB7" s="342"/>
      <c r="BC7" s="342"/>
      <c r="BD7" s="342"/>
      <c r="BE7" s="348"/>
      <c r="BF7" s="342"/>
      <c r="BG7" s="342"/>
      <c r="BH7" s="41" t="str">
        <f t="shared" si="4"/>
        <v xml:space="preserve"> của </v>
      </c>
      <c r="BI7" s="41" t="e">
        <f>VLOOKUP(BE7,Khach_hang!$J$3:$K$4199,2,0)</f>
        <v>#N/A</v>
      </c>
      <c r="BJ7" s="225"/>
      <c r="BK7" s="225"/>
      <c r="BL7" s="225"/>
      <c r="BM7" s="225"/>
      <c r="BN7" s="225"/>
      <c r="BO7" s="225"/>
      <c r="BP7" s="225"/>
      <c r="BQ7" s="300"/>
      <c r="BR7" s="225"/>
      <c r="BS7" s="225"/>
      <c r="BT7" s="225"/>
      <c r="BU7" s="225"/>
      <c r="BV7" s="244"/>
      <c r="BW7" s="311"/>
      <c r="BX7" s="244"/>
    </row>
    <row r="8" spans="1:76" ht="26.4" x14ac:dyDescent="0.3">
      <c r="A8" s="41">
        <v>3470</v>
      </c>
      <c r="B8" s="50" t="s">
        <v>80</v>
      </c>
      <c r="C8" s="49" t="s">
        <v>81</v>
      </c>
      <c r="F8" s="45">
        <v>12643</v>
      </c>
      <c r="G8" s="41" t="str">
        <f t="shared" si="0"/>
        <v>15C-12643</v>
      </c>
      <c r="M8" s="41" t="s">
        <v>62</v>
      </c>
      <c r="N8" s="41" t="s">
        <v>145</v>
      </c>
      <c r="O8" s="374" t="str">
        <f>HT!S15</f>
        <v>Mạnh</v>
      </c>
      <c r="P8" s="342">
        <f t="shared" si="5"/>
        <v>0</v>
      </c>
      <c r="Q8" s="374" t="str">
        <f>HT!R15</f>
        <v>HS05</v>
      </c>
      <c r="R8" s="342" t="e">
        <f t="shared" si="6"/>
        <v>#N/A</v>
      </c>
      <c r="S8" s="342" t="s">
        <v>13715</v>
      </c>
      <c r="T8" s="45"/>
      <c r="U8" s="45"/>
      <c r="V8" s="45"/>
      <c r="W8" s="45"/>
      <c r="X8" s="45"/>
      <c r="Y8" s="45"/>
      <c r="Z8" s="45"/>
      <c r="AA8" s="341" t="str">
        <f>MID(S8,FIND(" +",S8,1),FIND("VND",S8,1)-FIND(" +",S8,1)+3)</f>
        <v xml:space="preserve"> +171,780,000VND</v>
      </c>
      <c r="AB8" s="45"/>
      <c r="AC8" s="45"/>
      <c r="AD8" s="45"/>
      <c r="AE8" s="45"/>
      <c r="AF8" s="45"/>
      <c r="AG8" s="45"/>
      <c r="AH8" s="45"/>
      <c r="AI8" s="45"/>
      <c r="AJ8" s="45"/>
      <c r="AK8" s="45"/>
      <c r="AL8" s="123" t="str">
        <f>+HT!N15</f>
        <v>15C-11732</v>
      </c>
      <c r="AM8" s="45" t="str">
        <f t="shared" si="7"/>
        <v>15C-11732</v>
      </c>
      <c r="AN8" s="45" t="str">
        <f t="shared" si="8"/>
        <v>0901589719</v>
      </c>
      <c r="AO8" s="325" t="s">
        <v>13648</v>
      </c>
      <c r="AP8" s="326" t="s">
        <v>13649</v>
      </c>
      <c r="AQ8" s="358" t="s">
        <v>333</v>
      </c>
      <c r="AR8" s="358" t="s">
        <v>14937</v>
      </c>
      <c r="AT8" s="247" t="s">
        <v>12999</v>
      </c>
      <c r="AU8" s="41" t="str">
        <f t="shared" si="2"/>
        <v>, TRHU2184293, MSDU1179360, MSCU3953928, MEDU6335679, CARU2744490</v>
      </c>
      <c r="AZ8" s="41" t="str">
        <f t="shared" si="3"/>
        <v xml:space="preserve"> xe của </v>
      </c>
      <c r="BA8" s="342"/>
      <c r="BB8" s="342"/>
      <c r="BC8" s="342"/>
      <c r="BD8" s="342"/>
      <c r="BE8" s="348"/>
      <c r="BF8" s="342"/>
      <c r="BG8" s="342"/>
      <c r="BH8" s="41" t="str">
        <f t="shared" si="4"/>
        <v xml:space="preserve"> của </v>
      </c>
      <c r="BI8" s="41" t="e">
        <f>VLOOKUP(BE8,Khach_hang!$J$3:$K$4199,2,0)</f>
        <v>#N/A</v>
      </c>
      <c r="BJ8" s="225"/>
      <c r="BK8" s="225"/>
      <c r="BL8" s="225"/>
      <c r="BM8" s="225"/>
      <c r="BN8" s="225"/>
      <c r="BO8" s="225"/>
      <c r="BP8" s="225"/>
      <c r="BQ8" s="300"/>
      <c r="BR8" s="225"/>
      <c r="BS8" s="225"/>
      <c r="BT8" s="225"/>
      <c r="BU8" s="225"/>
      <c r="BV8" s="244"/>
      <c r="BW8" s="311"/>
      <c r="BX8" s="244"/>
    </row>
    <row r="9" spans="1:76" ht="19.8" thickBot="1" x14ac:dyDescent="0.35">
      <c r="A9" s="41">
        <v>7437</v>
      </c>
      <c r="B9" s="43" t="s">
        <v>72</v>
      </c>
      <c r="C9" s="44" t="s">
        <v>58</v>
      </c>
      <c r="D9" s="71" t="s">
        <v>139</v>
      </c>
      <c r="F9" s="41">
        <v>5251</v>
      </c>
      <c r="G9" s="41" t="str">
        <f t="shared" si="0"/>
        <v>16L-5251</v>
      </c>
      <c r="M9" s="41" t="s">
        <v>70</v>
      </c>
      <c r="N9" s="41" t="s">
        <v>146</v>
      </c>
      <c r="O9" s="374" t="str">
        <f>HT!S16</f>
        <v>Mạnh</v>
      </c>
      <c r="P9" s="342">
        <f t="shared" si="5"/>
        <v>0</v>
      </c>
      <c r="Q9" s="374" t="str">
        <f>HT!R16</f>
        <v>HS05</v>
      </c>
      <c r="R9" s="342" t="e">
        <f t="shared" si="6"/>
        <v>#N/A</v>
      </c>
      <c r="S9" s="45"/>
      <c r="T9" s="45"/>
      <c r="U9" s="45"/>
      <c r="V9" s="45"/>
      <c r="W9" s="45"/>
      <c r="X9" s="45"/>
      <c r="Y9" s="45"/>
      <c r="Z9" s="45"/>
      <c r="AA9" s="341" t="e">
        <f t="shared" ref="AA9:AA14" si="9">MID(S9,FIND(" +",S9,1),FIND("VND",S9,1)-FIND(" +",S9,1)+3)</f>
        <v>#VALUE!</v>
      </c>
      <c r="AB9" s="45"/>
      <c r="AC9" s="45"/>
      <c r="AD9" s="45"/>
      <c r="AE9" s="45"/>
      <c r="AF9" s="45"/>
      <c r="AG9" s="45"/>
      <c r="AH9" s="45"/>
      <c r="AI9" s="45"/>
      <c r="AJ9" s="45"/>
      <c r="AK9" s="45"/>
      <c r="AL9" s="123" t="str">
        <f>+HT!N16</f>
        <v>15C-12812</v>
      </c>
      <c r="AM9" s="45" t="str">
        <f t="shared" si="7"/>
        <v>15C-12812</v>
      </c>
      <c r="AN9" s="45" t="str">
        <f t="shared" si="8"/>
        <v>0901589723</v>
      </c>
      <c r="AO9" s="327" t="s">
        <v>13650</v>
      </c>
      <c r="AP9" s="326" t="s">
        <v>13650</v>
      </c>
      <c r="AQ9" s="298" t="s">
        <v>388</v>
      </c>
      <c r="AR9" s="362" t="s">
        <v>14941</v>
      </c>
      <c r="AT9" s="247"/>
      <c r="AU9" s="41">
        <f>IF(AT9="",0,CONCATENATE(AU8,", ",AT9))</f>
        <v>0</v>
      </c>
      <c r="AZ9" s="41" t="str">
        <f t="shared" si="3"/>
        <v xml:space="preserve"> xe của </v>
      </c>
      <c r="BA9" s="342"/>
      <c r="BB9" s="342"/>
      <c r="BC9" s="342"/>
      <c r="BD9" s="342"/>
      <c r="BE9" s="348"/>
      <c r="BF9" s="342"/>
      <c r="BG9" s="342"/>
      <c r="BH9" s="41" t="str">
        <f t="shared" si="4"/>
        <v xml:space="preserve"> của </v>
      </c>
      <c r="BI9" s="41" t="e">
        <f>VLOOKUP(BE9,Khach_hang!$J$3:$K$4199,2,0)</f>
        <v>#N/A</v>
      </c>
      <c r="BJ9" s="225"/>
      <c r="BK9" s="225"/>
      <c r="BL9" s="225"/>
      <c r="BM9" s="225"/>
      <c r="BN9" s="225"/>
      <c r="BO9" s="225"/>
      <c r="BP9" s="225"/>
      <c r="BQ9" s="300"/>
      <c r="BR9" s="225"/>
      <c r="BS9" s="225"/>
      <c r="BT9" s="225"/>
      <c r="BU9" s="225"/>
      <c r="BV9" s="244"/>
      <c r="BW9" s="311"/>
      <c r="BX9" s="244"/>
    </row>
    <row r="10" spans="1:76" ht="26.4" x14ac:dyDescent="0.3">
      <c r="A10" s="41">
        <v>7321</v>
      </c>
      <c r="B10" s="46" t="s">
        <v>65</v>
      </c>
      <c r="C10" s="47" t="s">
        <v>82</v>
      </c>
      <c r="D10" s="71" t="s">
        <v>140</v>
      </c>
      <c r="F10" s="41">
        <v>10050</v>
      </c>
      <c r="G10" s="41" t="str">
        <f t="shared" si="0"/>
        <v>15C-10050</v>
      </c>
      <c r="I10" s="45">
        <v>10156</v>
      </c>
      <c r="J10" s="45">
        <v>12643</v>
      </c>
      <c r="M10" s="41" t="s">
        <v>85</v>
      </c>
      <c r="N10" s="41" t="s">
        <v>147</v>
      </c>
      <c r="O10" s="374" t="str">
        <f>HT!S17</f>
        <v>Mạnh</v>
      </c>
      <c r="P10" s="342">
        <f t="shared" si="5"/>
        <v>0</v>
      </c>
      <c r="Q10" s="374" t="str">
        <f>HT!R17</f>
        <v>HS05</v>
      </c>
      <c r="R10" s="342" t="e">
        <f t="shared" si="6"/>
        <v>#N/A</v>
      </c>
      <c r="S10" s="45"/>
      <c r="T10" s="45"/>
      <c r="U10" s="45"/>
      <c r="V10" s="45"/>
      <c r="W10" s="45"/>
      <c r="X10" s="45"/>
      <c r="Y10" s="45"/>
      <c r="Z10" s="45"/>
      <c r="AA10" s="341" t="e">
        <f t="shared" si="9"/>
        <v>#VALUE!</v>
      </c>
      <c r="AB10" s="45"/>
      <c r="AC10" s="45"/>
      <c r="AD10" s="45"/>
      <c r="AE10" s="45"/>
      <c r="AF10" s="45"/>
      <c r="AG10" s="45"/>
      <c r="AH10" s="45"/>
      <c r="AI10" s="45"/>
      <c r="AJ10" s="45"/>
      <c r="AK10" s="45"/>
      <c r="AL10" s="123" t="str">
        <f>+HT!N17</f>
        <v>15C-11200</v>
      </c>
      <c r="AM10" s="45" t="str">
        <f t="shared" si="7"/>
        <v>15C-11200</v>
      </c>
      <c r="AN10" s="45" t="str">
        <f t="shared" si="8"/>
        <v>0901589715</v>
      </c>
      <c r="AO10" s="325" t="s">
        <v>13651</v>
      </c>
      <c r="AP10" s="326" t="s">
        <v>13650</v>
      </c>
      <c r="AQ10" s="298"/>
      <c r="AR10" s="113" t="s">
        <v>13598</v>
      </c>
      <c r="AT10" s="247" t="s">
        <v>13000</v>
      </c>
      <c r="AU10" s="41" t="str">
        <f t="shared" ref="AU10:AU66" si="10">IF(AT10="",0,CONCATENATE(AU9,", ",AT10))</f>
        <v>0, MEDU1626727</v>
      </c>
      <c r="AZ10" s="41" t="str">
        <f t="shared" si="3"/>
        <v xml:space="preserve"> xe của </v>
      </c>
      <c r="BE10" s="71"/>
      <c r="BH10" s="41" t="str">
        <f t="shared" si="4"/>
        <v xml:space="preserve"> của </v>
      </c>
      <c r="BI10" s="41" t="e">
        <f>VLOOKUP(BE10,Khach_hang!$J$3:$K$4199,2,0)</f>
        <v>#N/A</v>
      </c>
      <c r="BJ10" s="225"/>
      <c r="BK10" s="225"/>
      <c r="BL10" s="225"/>
      <c r="BM10" s="225"/>
      <c r="BN10" s="225"/>
      <c r="BO10" s="225"/>
      <c r="BP10" s="225"/>
      <c r="BQ10" s="300"/>
      <c r="BR10" s="225"/>
      <c r="BS10" s="225"/>
      <c r="BT10" s="225"/>
      <c r="BU10" s="225"/>
      <c r="BV10" s="244"/>
      <c r="BW10" s="311"/>
      <c r="BX10" s="244"/>
    </row>
    <row r="11" spans="1:76" ht="26.4" x14ac:dyDescent="0.3">
      <c r="A11" s="41">
        <v>5251</v>
      </c>
      <c r="B11" s="50" t="s">
        <v>69</v>
      </c>
      <c r="C11" s="49" t="s">
        <v>83</v>
      </c>
      <c r="F11" s="41">
        <v>3322</v>
      </c>
      <c r="G11" s="41" t="str">
        <f t="shared" si="0"/>
        <v>16H-3322</v>
      </c>
      <c r="I11" s="41">
        <v>10645</v>
      </c>
      <c r="J11" s="41">
        <v>5251</v>
      </c>
      <c r="M11" s="41" t="s">
        <v>121</v>
      </c>
      <c r="N11" s="41" t="s">
        <v>148</v>
      </c>
      <c r="O11" s="374" t="str">
        <f>HT!S18</f>
        <v>Mạnh</v>
      </c>
      <c r="P11" s="342">
        <f t="shared" si="5"/>
        <v>0</v>
      </c>
      <c r="Q11" s="374" t="str">
        <f>HT!R18</f>
        <v>HS04</v>
      </c>
      <c r="R11" s="342" t="e">
        <f t="shared" si="6"/>
        <v>#N/A</v>
      </c>
      <c r="S11" s="45"/>
      <c r="T11" s="45"/>
      <c r="U11" s="45"/>
      <c r="V11" s="45"/>
      <c r="W11" s="45"/>
      <c r="X11" s="45"/>
      <c r="Y11" s="45"/>
      <c r="Z11" s="45"/>
      <c r="AA11" s="341" t="e">
        <f t="shared" si="9"/>
        <v>#VALUE!</v>
      </c>
      <c r="AB11" s="45"/>
      <c r="AC11" s="45"/>
      <c r="AD11" s="45"/>
      <c r="AE11" s="45"/>
      <c r="AF11" s="45"/>
      <c r="AG11" s="45"/>
      <c r="AH11" s="45"/>
      <c r="AI11" s="45"/>
      <c r="AJ11" s="45"/>
      <c r="AK11" s="45"/>
      <c r="AL11" s="123" t="str">
        <f>+HT!N18</f>
        <v>15C-12874</v>
      </c>
      <c r="AM11" s="45" t="str">
        <f t="shared" si="7"/>
        <v>15C-12874</v>
      </c>
      <c r="AN11" s="45" t="str">
        <f t="shared" si="8"/>
        <v>0901589725</v>
      </c>
      <c r="AO11" s="325" t="s">
        <v>13652</v>
      </c>
      <c r="AP11" s="326" t="s">
        <v>13650</v>
      </c>
      <c r="AQ11" s="357" t="s">
        <v>437</v>
      </c>
      <c r="AR11" s="113" t="s">
        <v>12806</v>
      </c>
      <c r="AT11" s="249" t="s">
        <v>12997</v>
      </c>
      <c r="AU11" s="41" t="str">
        <f t="shared" si="10"/>
        <v>0, MEDU1626727, MEDU3242588</v>
      </c>
      <c r="AZ11" s="41" t="str">
        <f t="shared" si="3"/>
        <v xml:space="preserve"> xe của </v>
      </c>
      <c r="BE11" s="71"/>
      <c r="BH11" s="41" t="str">
        <f t="shared" si="4"/>
        <v xml:space="preserve"> của </v>
      </c>
      <c r="BI11" s="41" t="e">
        <f>VLOOKUP(BE11,Khach_hang!$J$3:$K$4199,2,0)</f>
        <v>#N/A</v>
      </c>
      <c r="BJ11" s="225"/>
      <c r="BK11" s="225"/>
      <c r="BL11" s="225"/>
      <c r="BM11" s="225"/>
      <c r="BN11" s="225"/>
      <c r="BO11" s="225"/>
      <c r="BP11" s="225"/>
      <c r="BQ11" s="300"/>
      <c r="BR11" s="225"/>
      <c r="BS11" s="225"/>
      <c r="BT11" s="225"/>
      <c r="BU11" s="225"/>
      <c r="BV11" s="244"/>
      <c r="BW11" s="311"/>
      <c r="BX11" s="244"/>
    </row>
    <row r="12" spans="1:76" ht="19.2" x14ac:dyDescent="0.3">
      <c r="A12" s="41">
        <v>7550</v>
      </c>
      <c r="B12" s="51" t="s">
        <v>84</v>
      </c>
      <c r="C12" s="45" t="s">
        <v>44</v>
      </c>
      <c r="F12" s="41">
        <v>7437</v>
      </c>
      <c r="G12" s="52" t="str">
        <f t="shared" si="0"/>
        <v>15C-07437</v>
      </c>
      <c r="I12" s="41">
        <v>7321</v>
      </c>
      <c r="J12" s="41">
        <v>10050</v>
      </c>
      <c r="M12" s="41" t="s">
        <v>64</v>
      </c>
      <c r="N12" s="41" t="s">
        <v>149</v>
      </c>
      <c r="O12" s="374" t="str">
        <f>HT!S19</f>
        <v>Mạnh</v>
      </c>
      <c r="P12" s="342">
        <f t="shared" si="5"/>
        <v>0</v>
      </c>
      <c r="Q12" s="374" t="str">
        <f>HT!R19</f>
        <v>HS04</v>
      </c>
      <c r="R12" s="342" t="e">
        <f t="shared" si="6"/>
        <v>#N/A</v>
      </c>
      <c r="S12" s="45"/>
      <c r="T12" s="45"/>
      <c r="U12" s="45"/>
      <c r="V12" s="45"/>
      <c r="W12" s="45"/>
      <c r="X12" s="45"/>
      <c r="Y12" s="45"/>
      <c r="Z12" s="45"/>
      <c r="AA12" s="341" t="e">
        <f t="shared" si="9"/>
        <v>#VALUE!</v>
      </c>
      <c r="AB12" s="45"/>
      <c r="AC12" s="45"/>
      <c r="AD12" s="45"/>
      <c r="AE12" s="45"/>
      <c r="AF12" s="45"/>
      <c r="AG12" s="45"/>
      <c r="AH12" s="45"/>
      <c r="AI12" s="45"/>
      <c r="AJ12" s="45"/>
      <c r="AK12" s="45"/>
      <c r="AL12" s="123" t="str">
        <f>+HT!N19</f>
        <v>15C-13959</v>
      </c>
      <c r="AM12" s="45" t="str">
        <f t="shared" si="7"/>
        <v>15C-13959</v>
      </c>
      <c r="AN12" s="45" t="str">
        <f t="shared" si="8"/>
        <v>0901589733</v>
      </c>
      <c r="AO12" s="325" t="s">
        <v>13653</v>
      </c>
      <c r="AP12" s="326" t="s">
        <v>13650</v>
      </c>
      <c r="AQ12" s="298"/>
      <c r="AR12" s="113" t="s">
        <v>13599</v>
      </c>
      <c r="AT12" s="248"/>
      <c r="AU12" s="41">
        <f t="shared" si="10"/>
        <v>0</v>
      </c>
      <c r="AZ12" s="41" t="str">
        <f t="shared" si="3"/>
        <v xml:space="preserve"> xe của </v>
      </c>
      <c r="BE12" s="71"/>
      <c r="BH12" s="41" t="str">
        <f t="shared" si="4"/>
        <v xml:space="preserve"> của </v>
      </c>
      <c r="BI12" s="41" t="e">
        <f>VLOOKUP(BE12,Khach_hang!$J$3:$K$4199,2,0)</f>
        <v>#N/A</v>
      </c>
      <c r="BJ12" s="225"/>
      <c r="BK12" s="225"/>
      <c r="BL12" s="225"/>
      <c r="BM12" s="225"/>
      <c r="BN12" s="225"/>
      <c r="BO12" s="225"/>
      <c r="BP12" s="225"/>
      <c r="BQ12" s="300"/>
      <c r="BR12" s="225"/>
      <c r="BS12" s="225"/>
      <c r="BT12" s="225"/>
      <c r="BU12" s="225"/>
      <c r="BV12" s="244"/>
      <c r="BW12" s="311"/>
      <c r="BX12" s="244"/>
    </row>
    <row r="13" spans="1:76" ht="19.2" x14ac:dyDescent="0.3">
      <c r="A13" s="41">
        <v>10050</v>
      </c>
      <c r="B13" s="53" t="s">
        <v>70</v>
      </c>
      <c r="C13" s="49" t="s">
        <v>43</v>
      </c>
      <c r="F13" s="41">
        <v>10036</v>
      </c>
      <c r="G13" s="52" t="str">
        <f t="shared" si="0"/>
        <v>15C-10036</v>
      </c>
      <c r="I13" s="41">
        <v>11549</v>
      </c>
      <c r="J13" s="41">
        <v>3322</v>
      </c>
      <c r="M13" s="41" t="s">
        <v>60</v>
      </c>
      <c r="N13" s="41" t="s">
        <v>150</v>
      </c>
      <c r="O13" s="374" t="str">
        <f>HT!S20</f>
        <v>Mạnh</v>
      </c>
      <c r="P13" s="342">
        <f t="shared" si="5"/>
        <v>0</v>
      </c>
      <c r="Q13" s="374" t="str">
        <f>HT!R20</f>
        <v>HS04</v>
      </c>
      <c r="R13" s="342" t="e">
        <f t="shared" si="6"/>
        <v>#N/A</v>
      </c>
      <c r="S13" s="45"/>
      <c r="T13" s="45"/>
      <c r="U13" s="45"/>
      <c r="V13" s="45"/>
      <c r="W13" s="45"/>
      <c r="X13" s="45"/>
      <c r="Y13" s="45"/>
      <c r="Z13" s="45"/>
      <c r="AA13" s="341" t="e">
        <f t="shared" si="9"/>
        <v>#VALUE!</v>
      </c>
      <c r="AB13" s="45"/>
      <c r="AC13" s="45"/>
      <c r="AD13" s="45"/>
      <c r="AE13" s="45"/>
      <c r="AF13" s="45"/>
      <c r="AG13" s="45"/>
      <c r="AH13" s="45"/>
      <c r="AI13" s="45"/>
      <c r="AJ13" s="45"/>
      <c r="AK13" s="45"/>
      <c r="AL13" s="123" t="str">
        <f>+HT!N20</f>
        <v>15C-11856</v>
      </c>
      <c r="AM13" s="45" t="str">
        <f t="shared" si="7"/>
        <v>15C-11856</v>
      </c>
      <c r="AN13" s="45" t="str">
        <f t="shared" si="8"/>
        <v>0901589720</v>
      </c>
      <c r="AO13" s="325" t="s">
        <v>13654</v>
      </c>
      <c r="AP13" s="326" t="s">
        <v>13655</v>
      </c>
      <c r="AT13" s="248"/>
      <c r="AU13" s="41">
        <f t="shared" si="10"/>
        <v>0</v>
      </c>
      <c r="AZ13" s="41" t="str">
        <f t="shared" si="3"/>
        <v xml:space="preserve"> xe của </v>
      </c>
      <c r="BE13" s="71"/>
      <c r="BH13" s="41" t="str">
        <f t="shared" si="4"/>
        <v xml:space="preserve"> của </v>
      </c>
      <c r="BI13" s="41" t="e">
        <f>VLOOKUP(BE13,Khach_hang!$J$3:$K$4199,2,0)</f>
        <v>#N/A</v>
      </c>
      <c r="BJ13" s="225"/>
      <c r="BK13" s="225"/>
      <c r="BL13" s="225"/>
      <c r="BM13" s="225"/>
      <c r="BN13" s="225"/>
      <c r="BO13" s="225"/>
      <c r="BP13" s="225"/>
      <c r="BQ13" s="300"/>
      <c r="BR13" s="225"/>
      <c r="BS13" s="225"/>
      <c r="BT13" s="225"/>
      <c r="BU13" s="225"/>
      <c r="BV13" s="244"/>
      <c r="BW13" s="311"/>
      <c r="BX13" s="244"/>
    </row>
    <row r="14" spans="1:76" ht="19.2" x14ac:dyDescent="0.3">
      <c r="A14" s="41">
        <v>10086</v>
      </c>
      <c r="B14" s="54" t="s">
        <v>85</v>
      </c>
      <c r="C14" s="55" t="s">
        <v>86</v>
      </c>
      <c r="F14" s="31">
        <v>11549</v>
      </c>
      <c r="G14" s="52" t="str">
        <f t="shared" si="0"/>
        <v>15C-11549</v>
      </c>
      <c r="I14" s="41">
        <v>12874</v>
      </c>
      <c r="J14" s="41">
        <v>7437</v>
      </c>
      <c r="M14" s="41" t="s">
        <v>129</v>
      </c>
      <c r="N14" s="41" t="s">
        <v>151</v>
      </c>
      <c r="O14" s="374" t="str">
        <f>HT!S21</f>
        <v>Mạnh</v>
      </c>
      <c r="P14" s="342">
        <f t="shared" si="5"/>
        <v>0</v>
      </c>
      <c r="Q14" s="374" t="str">
        <f>HT!R21</f>
        <v>HS05</v>
      </c>
      <c r="R14" s="342" t="e">
        <f t="shared" si="6"/>
        <v>#N/A</v>
      </c>
      <c r="S14" s="45"/>
      <c r="T14" s="45"/>
      <c r="U14" s="45"/>
      <c r="V14" s="45"/>
      <c r="W14" s="45"/>
      <c r="X14" s="45"/>
      <c r="Y14" s="45"/>
      <c r="Z14" s="45"/>
      <c r="AA14" s="341" t="e">
        <f t="shared" si="9"/>
        <v>#VALUE!</v>
      </c>
      <c r="AB14" s="45"/>
      <c r="AC14" s="45"/>
      <c r="AD14" s="45"/>
      <c r="AE14" s="45"/>
      <c r="AF14" s="45"/>
      <c r="AG14" s="45"/>
      <c r="AH14" s="45"/>
      <c r="AI14" s="45"/>
      <c r="AJ14" s="45"/>
      <c r="AK14" s="45"/>
      <c r="AL14" s="123" t="str">
        <f>+HT!N21</f>
        <v>15C-13958</v>
      </c>
      <c r="AM14" s="45" t="str">
        <f t="shared" si="7"/>
        <v>15C-13958</v>
      </c>
      <c r="AN14" s="45" t="str">
        <f t="shared" si="8"/>
        <v>0901589732</v>
      </c>
      <c r="AO14" s="325" t="s">
        <v>13656</v>
      </c>
      <c r="AP14" s="326" t="s">
        <v>13657</v>
      </c>
      <c r="AT14" s="248"/>
      <c r="AU14" s="41">
        <f t="shared" si="10"/>
        <v>0</v>
      </c>
      <c r="AZ14" s="41" t="str">
        <f t="shared" si="3"/>
        <v xml:space="preserve"> xe của </v>
      </c>
      <c r="BE14" s="71"/>
      <c r="BH14" s="41" t="str">
        <f t="shared" si="4"/>
        <v xml:space="preserve"> của </v>
      </c>
      <c r="BI14" s="41" t="e">
        <f>VLOOKUP(BE14,Khach_hang!$J$3:$K$4199,2,0)</f>
        <v>#N/A</v>
      </c>
      <c r="BJ14" s="225"/>
      <c r="BK14" s="225"/>
      <c r="BL14" s="225"/>
      <c r="BM14" s="225"/>
      <c r="BN14" s="225"/>
      <c r="BO14" s="225"/>
      <c r="BP14" s="225"/>
      <c r="BQ14" s="300"/>
      <c r="BR14" s="225"/>
      <c r="BS14" s="225"/>
      <c r="BT14" s="225"/>
      <c r="BU14" s="225"/>
      <c r="BV14" s="244"/>
      <c r="BW14" s="311"/>
      <c r="BX14" s="244"/>
    </row>
    <row r="15" spans="1:76" ht="19.2" x14ac:dyDescent="0.3">
      <c r="A15" s="41">
        <v>10156</v>
      </c>
      <c r="B15" s="56" t="s">
        <v>64</v>
      </c>
      <c r="C15" s="44" t="s">
        <v>57</v>
      </c>
      <c r="F15" s="30">
        <v>12832</v>
      </c>
      <c r="G15" s="52" t="str">
        <f t="shared" si="0"/>
        <v>15C-12832</v>
      </c>
      <c r="J15" s="41">
        <v>10036</v>
      </c>
      <c r="M15" s="41" t="s">
        <v>63</v>
      </c>
      <c r="N15" s="41" t="s">
        <v>152</v>
      </c>
      <c r="O15" s="374" t="str">
        <f>HT!S22</f>
        <v>Mạnh</v>
      </c>
      <c r="P15" s="342">
        <f t="shared" si="5"/>
        <v>0</v>
      </c>
      <c r="Q15" s="374" t="str">
        <f>HT!R22</f>
        <v>HS03</v>
      </c>
      <c r="R15" s="342" t="e">
        <f t="shared" si="6"/>
        <v>#N/A</v>
      </c>
      <c r="S15" s="45"/>
      <c r="T15" s="45"/>
      <c r="U15" s="45"/>
      <c r="V15" s="45"/>
      <c r="W15" s="45"/>
      <c r="X15" s="45"/>
      <c r="Y15" s="45"/>
      <c r="Z15" s="45"/>
      <c r="AA15" s="45"/>
      <c r="AB15" s="45"/>
      <c r="AC15" s="45"/>
      <c r="AD15" s="45"/>
      <c r="AE15" s="45"/>
      <c r="AF15" s="45"/>
      <c r="AG15" s="45"/>
      <c r="AH15" s="45"/>
      <c r="AI15" s="45"/>
      <c r="AJ15" s="45"/>
      <c r="AK15" s="45"/>
      <c r="AL15" s="123" t="str">
        <f>+HT!N22</f>
        <v>15C-13368</v>
      </c>
      <c r="AM15" s="45" t="str">
        <f t="shared" si="7"/>
        <v>15C-13368</v>
      </c>
      <c r="AN15" s="45" t="str">
        <f t="shared" si="8"/>
        <v>0901589728</v>
      </c>
      <c r="AO15" s="325" t="s">
        <v>13658</v>
      </c>
      <c r="AP15" s="326" t="s">
        <v>13659</v>
      </c>
      <c r="AT15" s="248"/>
      <c r="AU15" s="41">
        <f t="shared" si="10"/>
        <v>0</v>
      </c>
      <c r="AZ15" s="41" t="str">
        <f t="shared" si="3"/>
        <v xml:space="preserve"> xe của </v>
      </c>
      <c r="BE15" s="71"/>
      <c r="BH15" s="41" t="str">
        <f t="shared" si="4"/>
        <v xml:space="preserve"> của </v>
      </c>
      <c r="BI15" s="41" t="e">
        <f>VLOOKUP(BE15,Khach_hang!$J$3:$K$4199,2,0)</f>
        <v>#N/A</v>
      </c>
      <c r="BJ15" s="225"/>
      <c r="BK15" s="225"/>
      <c r="BL15" s="225"/>
      <c r="BM15" s="225"/>
      <c r="BN15" s="225"/>
      <c r="BO15" s="225"/>
      <c r="BP15" s="225"/>
      <c r="BQ15" s="300"/>
      <c r="BR15" s="225"/>
      <c r="BS15" s="225"/>
      <c r="BT15" s="225"/>
      <c r="BU15" s="225"/>
      <c r="BV15" s="244"/>
      <c r="BW15" s="311"/>
      <c r="BX15" s="244"/>
    </row>
    <row r="16" spans="1:76" ht="19.2" x14ac:dyDescent="0.3">
      <c r="A16" s="41">
        <v>10645</v>
      </c>
      <c r="B16" s="57" t="s">
        <v>63</v>
      </c>
      <c r="C16" s="45" t="s">
        <v>46</v>
      </c>
      <c r="F16" s="30" t="s">
        <v>87</v>
      </c>
      <c r="G16" s="52" t="e">
        <f t="shared" si="0"/>
        <v>#N/A</v>
      </c>
      <c r="M16" s="41" t="s">
        <v>88</v>
      </c>
      <c r="N16" s="41" t="s">
        <v>153</v>
      </c>
      <c r="O16" s="374" t="str">
        <f>HT!S23</f>
        <v>Mạnh</v>
      </c>
      <c r="P16" s="342">
        <f t="shared" si="5"/>
        <v>0</v>
      </c>
      <c r="Q16" s="374" t="str">
        <f>HT!R23</f>
        <v>HS03</v>
      </c>
      <c r="R16" s="342" t="e">
        <f t="shared" si="6"/>
        <v>#N/A</v>
      </c>
      <c r="S16" s="45"/>
      <c r="T16" s="45"/>
      <c r="U16" s="45"/>
      <c r="V16" s="45"/>
      <c r="W16" s="45"/>
      <c r="X16" s="45"/>
      <c r="Y16" s="45"/>
      <c r="Z16" s="45"/>
      <c r="AA16" s="45"/>
      <c r="AB16" s="45"/>
      <c r="AC16" s="45"/>
      <c r="AD16" s="45"/>
      <c r="AE16" s="45"/>
      <c r="AF16" s="45"/>
      <c r="AG16" s="45"/>
      <c r="AH16" s="45"/>
      <c r="AI16" s="45"/>
      <c r="AJ16" s="45"/>
      <c r="AK16" s="45"/>
      <c r="AL16" s="123" t="str">
        <f>+HT!N23</f>
        <v>15C-03426</v>
      </c>
      <c r="AM16" s="45" t="str">
        <f t="shared" si="7"/>
        <v>15C-03426</v>
      </c>
      <c r="AN16" s="45" t="str">
        <f t="shared" si="8"/>
        <v>0901589754</v>
      </c>
      <c r="AO16" s="325" t="s">
        <v>13660</v>
      </c>
      <c r="AP16" s="326" t="s">
        <v>13659</v>
      </c>
      <c r="AQ16" s="339"/>
      <c r="AT16" s="248"/>
      <c r="AU16" s="41">
        <f t="shared" si="10"/>
        <v>0</v>
      </c>
      <c r="AZ16" s="41" t="str">
        <f t="shared" si="3"/>
        <v xml:space="preserve"> xe của </v>
      </c>
      <c r="BE16" s="71"/>
      <c r="BH16" s="41" t="str">
        <f t="shared" si="4"/>
        <v xml:space="preserve"> của </v>
      </c>
      <c r="BI16" s="41" t="e">
        <f>VLOOKUP(BE16,Khach_hang!$J$3:$K$4199,2,0)</f>
        <v>#N/A</v>
      </c>
      <c r="BJ16" s="225"/>
      <c r="BK16" s="225"/>
      <c r="BL16" s="225"/>
      <c r="BM16" s="225"/>
      <c r="BN16" s="225"/>
      <c r="BO16" s="225"/>
      <c r="BP16" s="225"/>
      <c r="BQ16" s="300"/>
      <c r="BR16" s="225"/>
      <c r="BS16" s="225"/>
      <c r="BT16" s="225"/>
      <c r="BU16" s="225"/>
      <c r="BV16" s="244"/>
      <c r="BW16" s="311"/>
      <c r="BX16" s="244"/>
    </row>
    <row r="17" spans="1:76" ht="19.2" x14ac:dyDescent="0.3">
      <c r="A17" s="41">
        <v>10691</v>
      </c>
      <c r="B17" s="43" t="s">
        <v>88</v>
      </c>
      <c r="C17" s="44" t="s">
        <v>49</v>
      </c>
      <c r="F17" s="30" t="s">
        <v>87</v>
      </c>
      <c r="G17" s="52" t="e">
        <f t="shared" si="0"/>
        <v>#N/A</v>
      </c>
      <c r="M17" s="41" t="s">
        <v>61</v>
      </c>
      <c r="N17" s="41" t="s">
        <v>154</v>
      </c>
      <c r="O17" s="374" t="str">
        <f>HT!S24</f>
        <v/>
      </c>
      <c r="P17" s="342">
        <f t="shared" si="5"/>
        <v>0</v>
      </c>
      <c r="Q17" s="374">
        <f>HT!R24</f>
        <v>0</v>
      </c>
      <c r="R17" s="342">
        <f t="shared" si="6"/>
        <v>0</v>
      </c>
      <c r="AL17" s="123" t="str">
        <f>+HT!N24</f>
        <v>15C-01889</v>
      </c>
      <c r="AM17" s="45" t="str">
        <f t="shared" si="7"/>
        <v>15C-01889</v>
      </c>
      <c r="AN17" s="45" t="str">
        <f t="shared" si="8"/>
        <v>0901589701</v>
      </c>
      <c r="AO17" s="325" t="s">
        <v>13661</v>
      </c>
      <c r="AP17" s="326" t="s">
        <v>13659</v>
      </c>
      <c r="AQ17" s="339"/>
      <c r="AT17" s="248"/>
      <c r="AU17" s="41">
        <f t="shared" si="10"/>
        <v>0</v>
      </c>
      <c r="AZ17" s="41" t="str">
        <f t="shared" si="3"/>
        <v xml:space="preserve"> xe của </v>
      </c>
      <c r="BE17" s="71"/>
      <c r="BH17" s="41" t="str">
        <f t="shared" si="4"/>
        <v xml:space="preserve"> của </v>
      </c>
      <c r="BI17" s="41" t="e">
        <f>VLOOKUP(BE17,Khach_hang!$J$3:$K$4199,2,0)</f>
        <v>#N/A</v>
      </c>
      <c r="BJ17" s="225"/>
      <c r="BK17" s="225"/>
      <c r="BL17" s="225"/>
      <c r="BM17" s="225"/>
      <c r="BN17" s="225"/>
      <c r="BO17" s="225"/>
      <c r="BP17" s="225"/>
      <c r="BQ17" s="300"/>
      <c r="BR17" s="225"/>
      <c r="BS17" s="225"/>
      <c r="BT17" s="225"/>
      <c r="BU17" s="225"/>
      <c r="BV17" s="244"/>
      <c r="BW17" s="311"/>
      <c r="BX17" s="244"/>
    </row>
    <row r="18" spans="1:76" ht="19.2" x14ac:dyDescent="0.3">
      <c r="A18" s="41">
        <v>10812</v>
      </c>
      <c r="B18" s="50" t="s">
        <v>61</v>
      </c>
      <c r="C18" s="58" t="s">
        <v>58</v>
      </c>
      <c r="F18" s="30">
        <v>10050</v>
      </c>
      <c r="G18" s="52" t="str">
        <f t="shared" si="0"/>
        <v>15C-10050</v>
      </c>
      <c r="M18" s="41" t="s">
        <v>89</v>
      </c>
      <c r="N18" s="41" t="s">
        <v>155</v>
      </c>
      <c r="O18" s="374" t="str">
        <f>HT!S25</f>
        <v>Mạnh</v>
      </c>
      <c r="P18" s="342">
        <f t="shared" si="5"/>
        <v>0</v>
      </c>
      <c r="Q18" s="374" t="str">
        <f>HT!R25</f>
        <v>HS03</v>
      </c>
      <c r="R18" s="342" t="e">
        <f t="shared" si="6"/>
        <v>#N/A</v>
      </c>
      <c r="AL18" s="123" t="str">
        <f>+HT!N25</f>
        <v>15C-12812</v>
      </c>
      <c r="AM18" s="45" t="str">
        <f t="shared" si="7"/>
        <v>15C-12812</v>
      </c>
      <c r="AN18" s="45" t="str">
        <f t="shared" si="8"/>
        <v>0901589723</v>
      </c>
      <c r="AO18" s="325" t="s">
        <v>13662</v>
      </c>
      <c r="AP18" s="326" t="s">
        <v>13659</v>
      </c>
      <c r="AQ18" s="339"/>
      <c r="AR18" s="339"/>
      <c r="AT18" s="248"/>
      <c r="AU18" s="41">
        <f t="shared" si="10"/>
        <v>0</v>
      </c>
      <c r="AZ18" s="41" t="str">
        <f t="shared" si="3"/>
        <v xml:space="preserve"> xe của </v>
      </c>
      <c r="BE18" s="71"/>
      <c r="BH18" s="41" t="str">
        <f t="shared" si="4"/>
        <v xml:space="preserve"> của </v>
      </c>
      <c r="BI18" s="41" t="e">
        <f>VLOOKUP(BE18,Khach_hang!$J$3:$K$4199,2,0)</f>
        <v>#N/A</v>
      </c>
      <c r="BJ18" s="225"/>
      <c r="BK18" s="225"/>
      <c r="BL18" s="225"/>
      <c r="BM18" s="225"/>
      <c r="BN18" s="225"/>
      <c r="BO18" s="225"/>
      <c r="BP18" s="225"/>
      <c r="BQ18" s="300"/>
      <c r="BR18" s="225"/>
      <c r="BS18" s="225"/>
      <c r="BT18" s="225"/>
      <c r="BU18" s="225"/>
      <c r="BV18" s="244"/>
      <c r="BW18" s="311"/>
      <c r="BX18" s="244"/>
    </row>
    <row r="19" spans="1:76" ht="19.2" x14ac:dyDescent="0.3">
      <c r="A19" s="41">
        <v>11200</v>
      </c>
      <c r="B19" s="51" t="s">
        <v>89</v>
      </c>
      <c r="C19" s="59" t="s">
        <v>47</v>
      </c>
      <c r="F19" s="30">
        <v>16127</v>
      </c>
      <c r="G19" s="52" t="e">
        <f t="shared" si="0"/>
        <v>#N/A</v>
      </c>
      <c r="M19" s="41" t="s">
        <v>103</v>
      </c>
      <c r="N19" s="41" t="s">
        <v>156</v>
      </c>
      <c r="O19" s="374" t="str">
        <f>HT!S26</f>
        <v>Mạnh</v>
      </c>
      <c r="P19" s="342">
        <f t="shared" si="5"/>
        <v>0</v>
      </c>
      <c r="Q19" s="374" t="str">
        <f>HT!R26</f>
        <v>HS03</v>
      </c>
      <c r="R19" s="342" t="e">
        <f t="shared" si="6"/>
        <v>#N/A</v>
      </c>
      <c r="AL19" s="123" t="str">
        <f>+HT!N26</f>
        <v>15C-12812</v>
      </c>
      <c r="AM19" s="45" t="str">
        <f t="shared" si="7"/>
        <v>15C-12812</v>
      </c>
      <c r="AN19" s="45" t="str">
        <f t="shared" si="8"/>
        <v>0901589723</v>
      </c>
      <c r="AO19" s="325" t="s">
        <v>13663</v>
      </c>
      <c r="AP19" s="326" t="s">
        <v>13659</v>
      </c>
      <c r="AQ19" s="339"/>
      <c r="AR19" s="339"/>
      <c r="AT19" s="248"/>
      <c r="AU19" s="41">
        <f t="shared" si="10"/>
        <v>0</v>
      </c>
      <c r="AZ19" s="41" t="str">
        <f t="shared" si="3"/>
        <v xml:space="preserve"> xe của </v>
      </c>
      <c r="BE19" s="71"/>
      <c r="BH19" s="41" t="str">
        <f t="shared" si="4"/>
        <v xml:space="preserve"> của </v>
      </c>
      <c r="BI19" s="41" t="e">
        <f>VLOOKUP(BE19,Khach_hang!$J$3:$K$4199,2,0)</f>
        <v>#N/A</v>
      </c>
      <c r="BJ19" s="225"/>
      <c r="BK19" s="225"/>
      <c r="BL19" s="225"/>
      <c r="BM19" s="225"/>
      <c r="BN19" s="225"/>
      <c r="BO19" s="225"/>
      <c r="BP19" s="225"/>
      <c r="BQ19" s="300"/>
      <c r="BR19" s="225"/>
      <c r="BS19" s="225"/>
      <c r="BT19" s="225"/>
      <c r="BU19" s="225"/>
      <c r="BV19" s="244"/>
      <c r="BW19" s="311"/>
      <c r="BX19" s="244"/>
    </row>
    <row r="20" spans="1:76" ht="19.2" x14ac:dyDescent="0.3">
      <c r="A20" s="41">
        <v>11486</v>
      </c>
      <c r="B20" s="50" t="s">
        <v>90</v>
      </c>
      <c r="C20" s="49" t="s">
        <v>40</v>
      </c>
      <c r="F20" s="30">
        <v>10086</v>
      </c>
      <c r="G20" s="52" t="str">
        <f t="shared" si="0"/>
        <v>15C-10086</v>
      </c>
      <c r="M20" s="41" t="s">
        <v>90</v>
      </c>
      <c r="N20" s="41" t="s">
        <v>157</v>
      </c>
      <c r="O20" s="374" t="str">
        <f>HT!S27</f>
        <v>Mạnh</v>
      </c>
      <c r="P20" s="342">
        <f t="shared" si="5"/>
        <v>0</v>
      </c>
      <c r="Q20" s="374" t="str">
        <f>HT!R27</f>
        <v>HS03</v>
      </c>
      <c r="R20" s="342" t="e">
        <f t="shared" si="6"/>
        <v>#N/A</v>
      </c>
      <c r="AL20" s="123" t="str">
        <f>+HT!N27</f>
        <v>15C-03426</v>
      </c>
      <c r="AM20" s="45" t="str">
        <f t="shared" si="7"/>
        <v>15C-03426</v>
      </c>
      <c r="AN20" s="45" t="str">
        <f t="shared" si="8"/>
        <v>0901589754</v>
      </c>
      <c r="AO20" s="325" t="s">
        <v>13664</v>
      </c>
      <c r="AP20" s="326" t="s">
        <v>13277</v>
      </c>
      <c r="AT20" s="248"/>
      <c r="AU20" s="41">
        <f t="shared" si="10"/>
        <v>0</v>
      </c>
      <c r="AZ20" s="41" t="str">
        <f t="shared" si="3"/>
        <v xml:space="preserve"> xe của </v>
      </c>
      <c r="BE20" s="71"/>
      <c r="BH20" s="41" t="str">
        <f t="shared" si="4"/>
        <v xml:space="preserve"> của </v>
      </c>
      <c r="BI20" s="41" t="e">
        <f>VLOOKUP(BE20,Khach_hang!$J$3:$K$4199,2,0)</f>
        <v>#N/A</v>
      </c>
      <c r="BJ20" s="225"/>
      <c r="BK20" s="225"/>
      <c r="BL20" s="225"/>
      <c r="BM20" s="225"/>
      <c r="BN20" s="225"/>
      <c r="BO20" s="225"/>
      <c r="BP20" s="225"/>
      <c r="BQ20" s="300"/>
      <c r="BR20" s="225"/>
      <c r="BS20" s="225"/>
      <c r="BT20" s="225"/>
      <c r="BU20" s="225"/>
      <c r="BV20" s="244"/>
      <c r="BW20" s="311"/>
      <c r="BX20" s="244"/>
    </row>
    <row r="21" spans="1:76" ht="19.2" x14ac:dyDescent="0.3">
      <c r="A21" s="41">
        <v>12812</v>
      </c>
      <c r="B21" s="51" t="s">
        <v>91</v>
      </c>
      <c r="C21" s="45" t="s">
        <v>58</v>
      </c>
      <c r="F21" s="30">
        <v>11732</v>
      </c>
      <c r="G21" s="52" t="str">
        <f t="shared" si="0"/>
        <v>15C-11732</v>
      </c>
      <c r="M21" s="41" t="s">
        <v>66</v>
      </c>
      <c r="N21" s="41" t="s">
        <v>158</v>
      </c>
      <c r="O21" s="374" t="str">
        <f>HT!S28</f>
        <v>Mạnh</v>
      </c>
      <c r="P21" s="342">
        <f t="shared" si="5"/>
        <v>0</v>
      </c>
      <c r="Q21" s="374" t="str">
        <f>HT!R28</f>
        <v>HS03</v>
      </c>
      <c r="R21" s="342" t="e">
        <f t="shared" si="6"/>
        <v>#N/A</v>
      </c>
      <c r="S21" s="110">
        <v>7</v>
      </c>
      <c r="AL21" s="123" t="str">
        <f>+HT!N28</f>
        <v>15C-13840</v>
      </c>
      <c r="AM21" s="45" t="str">
        <f t="shared" si="7"/>
        <v>15C-13840</v>
      </c>
      <c r="AN21" s="45" t="str">
        <f t="shared" si="8"/>
        <v>0901589731</v>
      </c>
      <c r="AO21" s="325" t="s">
        <v>13665</v>
      </c>
      <c r="AP21" s="326" t="s">
        <v>13277</v>
      </c>
      <c r="AQ21" s="298"/>
      <c r="AU21" s="41">
        <f t="shared" si="10"/>
        <v>0</v>
      </c>
      <c r="AZ21" s="41" t="str">
        <f t="shared" si="3"/>
        <v xml:space="preserve"> xe của </v>
      </c>
      <c r="BE21" s="71"/>
      <c r="BI21" s="41" t="e">
        <f>VLOOKUP(BE21,Khach_hang!$J$3:$K$4199,2,0)</f>
        <v>#N/A</v>
      </c>
      <c r="BJ21" s="225"/>
      <c r="BK21" s="225"/>
      <c r="BL21" s="225"/>
      <c r="BM21" s="225"/>
      <c r="BN21" s="225"/>
      <c r="BO21" s="225"/>
      <c r="BP21" s="225"/>
      <c r="BQ21" s="300"/>
      <c r="BR21" s="225"/>
      <c r="BS21" s="225"/>
      <c r="BT21" s="225"/>
      <c r="BU21" s="225"/>
      <c r="BV21" s="244"/>
      <c r="BW21" s="311"/>
      <c r="BX21" s="244"/>
    </row>
    <row r="22" spans="1:76" ht="19.2" x14ac:dyDescent="0.3">
      <c r="A22" s="30">
        <v>12832</v>
      </c>
      <c r="B22" s="51" t="s">
        <v>92</v>
      </c>
      <c r="C22" s="45" t="s">
        <v>38</v>
      </c>
      <c r="F22" s="30">
        <v>13840</v>
      </c>
      <c r="G22" s="52" t="str">
        <f t="shared" si="0"/>
        <v>15C-13840</v>
      </c>
      <c r="M22" s="41" t="s">
        <v>107</v>
      </c>
      <c r="N22" s="41" t="s">
        <v>159</v>
      </c>
      <c r="O22" s="374" t="str">
        <f>HT!S29</f>
        <v>Mạnh</v>
      </c>
      <c r="P22" s="342">
        <f t="shared" si="5"/>
        <v>0</v>
      </c>
      <c r="Q22" s="374" t="str">
        <f>HT!R29</f>
        <v>HS03</v>
      </c>
      <c r="R22" s="342" t="e">
        <f t="shared" si="6"/>
        <v>#N/A</v>
      </c>
      <c r="S22" s="110">
        <v>8</v>
      </c>
      <c r="AL22" s="123" t="str">
        <f>+HT!N29</f>
        <v>15C-13616</v>
      </c>
      <c r="AM22" s="45" t="str">
        <f t="shared" si="7"/>
        <v>15C-13616</v>
      </c>
      <c r="AN22" s="45" t="str">
        <f t="shared" si="8"/>
        <v>0901589730</v>
      </c>
      <c r="AO22" s="325" t="s">
        <v>13666</v>
      </c>
      <c r="AP22" s="326" t="s">
        <v>13667</v>
      </c>
      <c r="AQ22" s="113"/>
      <c r="AU22" s="41">
        <f t="shared" si="10"/>
        <v>0</v>
      </c>
      <c r="AZ22" s="41" t="str">
        <f t="shared" si="3"/>
        <v xml:space="preserve"> xe của </v>
      </c>
      <c r="BE22" s="71"/>
      <c r="BI22" s="41" t="e">
        <f>VLOOKUP(BE22,Khach_hang!$J$3:$K$4199,2,0)</f>
        <v>#N/A</v>
      </c>
      <c r="BJ22" s="225"/>
      <c r="BK22" s="225"/>
      <c r="BL22" s="225"/>
      <c r="BM22" s="225"/>
      <c r="BN22" s="225"/>
      <c r="BO22" s="225"/>
      <c r="BP22" s="225"/>
      <c r="BQ22" s="300"/>
      <c r="BR22" s="225"/>
      <c r="BS22" s="225"/>
      <c r="BT22" s="225"/>
      <c r="BU22" s="225"/>
      <c r="BV22" s="244"/>
      <c r="BW22" s="311"/>
      <c r="BX22" s="244"/>
    </row>
    <row r="23" spans="1:76" ht="16.2" thickBot="1" x14ac:dyDescent="0.35">
      <c r="A23" s="41">
        <v>12874</v>
      </c>
      <c r="B23" s="43" t="s">
        <v>67</v>
      </c>
      <c r="C23" s="44" t="s">
        <v>93</v>
      </c>
      <c r="F23" s="30">
        <v>19043</v>
      </c>
      <c r="G23" s="52" t="str">
        <f t="shared" si="0"/>
        <v>15C-19043</v>
      </c>
      <c r="M23" s="41" t="s">
        <v>109</v>
      </c>
      <c r="N23" s="41" t="s">
        <v>160</v>
      </c>
      <c r="O23" s="374" t="e">
        <f>HT!#REF!</f>
        <v>#REF!</v>
      </c>
      <c r="P23" s="342" t="e">
        <f t="shared" si="5"/>
        <v>#REF!</v>
      </c>
      <c r="Q23" s="374" t="e">
        <f>HT!#REF!</f>
        <v>#REF!</v>
      </c>
      <c r="R23" s="342" t="e">
        <f t="shared" si="6"/>
        <v>#REF!</v>
      </c>
      <c r="S23" s="110">
        <v>9</v>
      </c>
      <c r="AL23" s="123" t="e">
        <f>+HT!#REF!</f>
        <v>#REF!</v>
      </c>
      <c r="AM23" s="45" t="e">
        <f t="shared" si="7"/>
        <v>#REF!</v>
      </c>
      <c r="AN23" s="45" t="e">
        <f t="shared" si="8"/>
        <v>#REF!</v>
      </c>
      <c r="AO23" s="325" t="s">
        <v>13668</v>
      </c>
      <c r="AP23" s="326" t="s">
        <v>13669</v>
      </c>
      <c r="AU23" s="41">
        <f t="shared" si="10"/>
        <v>0</v>
      </c>
      <c r="AZ23" s="41" t="str">
        <f t="shared" si="3"/>
        <v xml:space="preserve"> xe của </v>
      </c>
      <c r="BE23" s="71"/>
      <c r="BI23" s="41" t="e">
        <f>VLOOKUP(BE23,Khach_hang!$J$3:$K$4199,2,0)</f>
        <v>#N/A</v>
      </c>
      <c r="BJ23" s="225"/>
      <c r="BK23" s="225"/>
      <c r="BL23" s="225"/>
      <c r="BM23" s="225"/>
      <c r="BN23" s="225"/>
      <c r="BO23" s="225"/>
      <c r="BP23" s="225"/>
      <c r="BQ23" s="300"/>
      <c r="BR23" s="225"/>
      <c r="BS23" s="225"/>
      <c r="BT23" s="225"/>
      <c r="BU23" s="225"/>
      <c r="BV23" s="244"/>
      <c r="BW23" s="311"/>
      <c r="BX23" s="244"/>
    </row>
    <row r="24" spans="1:76" ht="16.2" thickBot="1" x14ac:dyDescent="0.35">
      <c r="A24" s="41">
        <v>12876</v>
      </c>
      <c r="B24" s="60" t="s">
        <v>59</v>
      </c>
      <c r="C24" s="61" t="s">
        <v>94</v>
      </c>
      <c r="F24" s="30">
        <v>10812</v>
      </c>
      <c r="G24" s="52" t="str">
        <f t="shared" si="0"/>
        <v>15C-10812</v>
      </c>
      <c r="M24" s="41" t="s">
        <v>111</v>
      </c>
      <c r="N24" s="41" t="s">
        <v>161</v>
      </c>
      <c r="O24" s="374" t="e">
        <f>HT!#REF!</f>
        <v>#REF!</v>
      </c>
      <c r="P24" s="342" t="e">
        <f t="shared" si="5"/>
        <v>#REF!</v>
      </c>
      <c r="Q24" s="374" t="e">
        <f>HT!#REF!</f>
        <v>#REF!</v>
      </c>
      <c r="R24" s="342" t="e">
        <f t="shared" si="6"/>
        <v>#REF!</v>
      </c>
      <c r="S24" s="110">
        <v>10</v>
      </c>
      <c r="AL24" s="123" t="e">
        <f>+HT!#REF!</f>
        <v>#REF!</v>
      </c>
      <c r="AM24" s="45" t="e">
        <f t="shared" si="7"/>
        <v>#REF!</v>
      </c>
      <c r="AN24" s="45" t="e">
        <f t="shared" si="8"/>
        <v>#REF!</v>
      </c>
      <c r="AO24" s="325" t="s">
        <v>13670</v>
      </c>
      <c r="AP24" s="326" t="s">
        <v>13669</v>
      </c>
      <c r="AU24" s="41">
        <f t="shared" si="10"/>
        <v>0</v>
      </c>
      <c r="AZ24" s="41" t="str">
        <f t="shared" si="3"/>
        <v xml:space="preserve"> xe của </v>
      </c>
      <c r="BE24" s="71"/>
      <c r="BI24" s="41" t="e">
        <f>VLOOKUP(BE24,Khach_hang!$J$3:$K$4199,2,0)</f>
        <v>#N/A</v>
      </c>
      <c r="BJ24" s="225"/>
      <c r="BK24" s="225"/>
      <c r="BL24" s="225"/>
      <c r="BM24" s="225"/>
      <c r="BN24" s="225"/>
      <c r="BO24" s="225"/>
      <c r="BP24" s="225"/>
      <c r="BQ24" s="300"/>
      <c r="BR24" s="225"/>
      <c r="BS24" s="225"/>
      <c r="BT24" s="225"/>
      <c r="BU24" s="225"/>
      <c r="BV24" s="244"/>
      <c r="BW24" s="311"/>
      <c r="BX24" s="244"/>
    </row>
    <row r="25" spans="1:76" x14ac:dyDescent="0.3">
      <c r="A25" s="41">
        <v>13840</v>
      </c>
      <c r="B25" s="46" t="s">
        <v>95</v>
      </c>
      <c r="C25" s="47" t="s">
        <v>96</v>
      </c>
      <c r="F25" s="30">
        <v>10645</v>
      </c>
      <c r="G25" s="52" t="str">
        <f t="shared" si="0"/>
        <v>15C-10645</v>
      </c>
      <c r="M25" s="41" t="s">
        <v>68</v>
      </c>
      <c r="N25" s="41" t="s">
        <v>162</v>
      </c>
      <c r="O25" s="374" t="e">
        <f>HT!#REF!</f>
        <v>#REF!</v>
      </c>
      <c r="P25" s="342" t="e">
        <f t="shared" si="5"/>
        <v>#REF!</v>
      </c>
      <c r="Q25" s="374" t="e">
        <f>HT!#REF!</f>
        <v>#REF!</v>
      </c>
      <c r="R25" s="342" t="e">
        <f t="shared" si="6"/>
        <v>#REF!</v>
      </c>
      <c r="S25" s="110">
        <v>11</v>
      </c>
      <c r="AL25" s="123" t="e">
        <f>+HT!#REF!</f>
        <v>#REF!</v>
      </c>
      <c r="AM25" s="45" t="e">
        <f t="shared" si="7"/>
        <v>#REF!</v>
      </c>
      <c r="AN25" s="45" t="e">
        <f t="shared" si="8"/>
        <v>#REF!</v>
      </c>
      <c r="AO25" s="325" t="s">
        <v>13671</v>
      </c>
      <c r="AP25" s="326" t="s">
        <v>13669</v>
      </c>
      <c r="AU25" s="41">
        <f t="shared" si="10"/>
        <v>0</v>
      </c>
      <c r="AZ25" s="41" t="str">
        <f t="shared" si="3"/>
        <v xml:space="preserve"> xe của </v>
      </c>
      <c r="BE25" s="71"/>
      <c r="BI25" s="41" t="e">
        <f>VLOOKUP(BE25,Khach_hang!$J$3:$K$4199,2,0)</f>
        <v>#N/A</v>
      </c>
      <c r="BJ25" s="225"/>
      <c r="BK25" s="225"/>
      <c r="BL25" s="225"/>
      <c r="BM25" s="225"/>
      <c r="BN25" s="225"/>
      <c r="BO25" s="225"/>
      <c r="BP25" s="225"/>
      <c r="BQ25" s="300"/>
      <c r="BR25" s="225"/>
      <c r="BS25" s="225"/>
      <c r="BT25" s="225"/>
      <c r="BU25" s="225"/>
      <c r="BV25" s="244"/>
      <c r="BW25" s="311"/>
      <c r="BX25" s="244"/>
    </row>
    <row r="26" spans="1:76" x14ac:dyDescent="0.3">
      <c r="A26" s="41">
        <v>13616</v>
      </c>
      <c r="B26" s="48" t="s">
        <v>97</v>
      </c>
      <c r="C26" s="55" t="s">
        <v>45</v>
      </c>
      <c r="F26" s="30">
        <v>15593</v>
      </c>
      <c r="G26" s="52" t="str">
        <f t="shared" si="0"/>
        <v>15C-15593</v>
      </c>
      <c r="M26" s="41" t="s">
        <v>91</v>
      </c>
      <c r="N26" s="41" t="s">
        <v>163</v>
      </c>
      <c r="O26" s="374" t="e">
        <f>HT!#REF!</f>
        <v>#REF!</v>
      </c>
      <c r="P26" s="342" t="e">
        <f t="shared" si="5"/>
        <v>#REF!</v>
      </c>
      <c r="Q26" s="374" t="e">
        <f>HT!#REF!</f>
        <v>#REF!</v>
      </c>
      <c r="R26" s="342" t="e">
        <f t="shared" si="6"/>
        <v>#REF!</v>
      </c>
      <c r="S26" s="110">
        <v>12</v>
      </c>
      <c r="AL26" s="123" t="e">
        <f>+HT!#REF!</f>
        <v>#REF!</v>
      </c>
      <c r="AM26" s="45" t="e">
        <f t="shared" si="7"/>
        <v>#REF!</v>
      </c>
      <c r="AN26" s="45" t="e">
        <f t="shared" si="8"/>
        <v>#REF!</v>
      </c>
      <c r="AO26" s="325" t="s">
        <v>13672</v>
      </c>
      <c r="AP26" s="326" t="s">
        <v>13669</v>
      </c>
      <c r="AU26" s="41">
        <f t="shared" si="10"/>
        <v>0</v>
      </c>
      <c r="AZ26" s="41" t="str">
        <f t="shared" si="3"/>
        <v xml:space="preserve"> xe của </v>
      </c>
      <c r="BE26" s="71"/>
      <c r="BI26" s="41" t="e">
        <f>VLOOKUP(BE26,Khach_hang!$J$3:$K$4199,2,0)</f>
        <v>#N/A</v>
      </c>
      <c r="BJ26" s="225"/>
      <c r="BK26" s="225"/>
      <c r="BL26" s="225"/>
      <c r="BM26" s="225"/>
      <c r="BN26" s="225"/>
      <c r="BO26" s="225"/>
      <c r="BP26" s="225"/>
      <c r="BQ26" s="300"/>
      <c r="BR26" s="225"/>
      <c r="BS26" s="225"/>
      <c r="BT26" s="225"/>
      <c r="BU26" s="225"/>
      <c r="BV26" s="244"/>
      <c r="BW26" s="311"/>
      <c r="BX26" s="244"/>
    </row>
    <row r="27" spans="1:76" x14ac:dyDescent="0.3">
      <c r="A27" s="41">
        <v>15237</v>
      </c>
      <c r="B27" s="50" t="s">
        <v>98</v>
      </c>
      <c r="C27" s="58" t="s">
        <v>99</v>
      </c>
      <c r="F27" s="30">
        <v>8407</v>
      </c>
      <c r="G27" s="52" t="str">
        <f t="shared" si="0"/>
        <v>16H-8407</v>
      </c>
      <c r="M27" s="41" t="s">
        <v>92</v>
      </c>
      <c r="N27" s="41" t="s">
        <v>164</v>
      </c>
      <c r="O27" s="374" t="e">
        <f>HT!#REF!</f>
        <v>#REF!</v>
      </c>
      <c r="P27" s="342" t="e">
        <f t="shared" si="5"/>
        <v>#REF!</v>
      </c>
      <c r="Q27" s="374" t="e">
        <f>HT!#REF!</f>
        <v>#REF!</v>
      </c>
      <c r="R27" s="342" t="e">
        <f t="shared" si="6"/>
        <v>#REF!</v>
      </c>
      <c r="S27" s="110">
        <v>13</v>
      </c>
      <c r="AL27" s="123" t="e">
        <f>+HT!#REF!</f>
        <v>#REF!</v>
      </c>
      <c r="AM27" s="45" t="e">
        <f t="shared" si="7"/>
        <v>#REF!</v>
      </c>
      <c r="AN27" s="45" t="e">
        <f t="shared" si="8"/>
        <v>#REF!</v>
      </c>
      <c r="AO27" s="325" t="s">
        <v>13673</v>
      </c>
      <c r="AP27" s="326" t="s">
        <v>10448</v>
      </c>
      <c r="AU27" s="41">
        <f t="shared" si="10"/>
        <v>0</v>
      </c>
      <c r="AZ27" s="41" t="str">
        <f t="shared" si="3"/>
        <v xml:space="preserve"> xe của </v>
      </c>
      <c r="BE27" s="71"/>
      <c r="BI27" s="41" t="e">
        <f>VLOOKUP(BE27,Khach_hang!$J$3:$K$4199,2,0)</f>
        <v>#N/A</v>
      </c>
      <c r="BJ27" s="225"/>
      <c r="BK27" s="225"/>
      <c r="BL27" s="225"/>
      <c r="BM27" s="225"/>
      <c r="BN27" s="225"/>
      <c r="BO27" s="225"/>
      <c r="BP27" s="225"/>
      <c r="BQ27" s="300"/>
      <c r="BR27" s="225"/>
      <c r="BS27" s="225"/>
      <c r="BT27" s="225"/>
      <c r="BU27" s="225"/>
      <c r="BV27" s="244"/>
      <c r="BW27" s="311"/>
      <c r="BX27" s="244"/>
    </row>
    <row r="28" spans="1:76" x14ac:dyDescent="0.3">
      <c r="A28" s="41">
        <v>13036</v>
      </c>
      <c r="B28" s="50" t="s">
        <v>100</v>
      </c>
      <c r="C28" s="49" t="s">
        <v>39</v>
      </c>
      <c r="F28" s="30">
        <v>15237</v>
      </c>
      <c r="G28" s="52" t="str">
        <f t="shared" si="0"/>
        <v>15C-15237</v>
      </c>
      <c r="M28" s="41" t="s">
        <v>67</v>
      </c>
      <c r="N28" s="41" t="s">
        <v>165</v>
      </c>
      <c r="O28" s="374" t="e">
        <f>HT!#REF!</f>
        <v>#REF!</v>
      </c>
      <c r="P28" s="342" t="e">
        <f t="shared" si="5"/>
        <v>#REF!</v>
      </c>
      <c r="Q28" s="374" t="e">
        <f>HT!#REF!</f>
        <v>#REF!</v>
      </c>
      <c r="R28" s="342" t="e">
        <f t="shared" si="6"/>
        <v>#REF!</v>
      </c>
      <c r="S28" s="110">
        <v>14</v>
      </c>
      <c r="AL28" s="123" t="e">
        <f>+HT!#REF!</f>
        <v>#REF!</v>
      </c>
      <c r="AM28" s="45" t="e">
        <f t="shared" si="7"/>
        <v>#REF!</v>
      </c>
      <c r="AN28" s="45" t="e">
        <f t="shared" si="8"/>
        <v>#REF!</v>
      </c>
      <c r="AO28" s="325" t="s">
        <v>13674</v>
      </c>
      <c r="AP28" s="326" t="s">
        <v>13245</v>
      </c>
      <c r="AU28" s="41">
        <f t="shared" si="10"/>
        <v>0</v>
      </c>
      <c r="AZ28" s="41" t="str">
        <f t="shared" si="3"/>
        <v xml:space="preserve"> xe của </v>
      </c>
      <c r="BE28" s="71"/>
      <c r="BI28" s="41" t="e">
        <f>VLOOKUP(BE28,Khach_hang!$J$3:$K$4199,2,0)</f>
        <v>#N/A</v>
      </c>
      <c r="BJ28" s="225"/>
      <c r="BK28" s="225"/>
      <c r="BL28" s="225"/>
      <c r="BM28" s="225"/>
      <c r="BN28" s="225"/>
      <c r="BO28" s="225"/>
      <c r="BP28" s="225"/>
      <c r="BQ28" s="300"/>
      <c r="BR28" s="225"/>
      <c r="BS28" s="225"/>
      <c r="BT28" s="225"/>
      <c r="BU28" s="225"/>
      <c r="BV28" s="244"/>
      <c r="BW28" s="311"/>
      <c r="BX28" s="244"/>
    </row>
    <row r="29" spans="1:76" x14ac:dyDescent="0.3">
      <c r="A29" s="41">
        <v>15593</v>
      </c>
      <c r="B29" s="51" t="s">
        <v>101</v>
      </c>
      <c r="C29" s="45" t="s">
        <v>102</v>
      </c>
      <c r="F29" s="30">
        <v>13368</v>
      </c>
      <c r="G29" s="52" t="str">
        <f t="shared" si="0"/>
        <v>15C-13368</v>
      </c>
      <c r="M29" s="41" t="s">
        <v>59</v>
      </c>
      <c r="N29" s="41" t="s">
        <v>166</v>
      </c>
      <c r="O29" s="374" t="e">
        <f>HT!#REF!</f>
        <v>#REF!</v>
      </c>
      <c r="P29" s="342" t="e">
        <f t="shared" si="5"/>
        <v>#REF!</v>
      </c>
      <c r="Q29" s="374" t="e">
        <f>HT!#REF!</f>
        <v>#REF!</v>
      </c>
      <c r="R29" s="342" t="e">
        <f t="shared" si="6"/>
        <v>#REF!</v>
      </c>
      <c r="S29" s="110">
        <v>15</v>
      </c>
      <c r="AL29" s="123" t="e">
        <f>+HT!#REF!</f>
        <v>#REF!</v>
      </c>
      <c r="AM29" s="45" t="e">
        <f t="shared" si="7"/>
        <v>#REF!</v>
      </c>
      <c r="AN29" s="45" t="e">
        <f t="shared" si="8"/>
        <v>#REF!</v>
      </c>
      <c r="AO29" s="325" t="s">
        <v>13675</v>
      </c>
      <c r="AP29" s="326" t="s">
        <v>13245</v>
      </c>
      <c r="AU29" s="41">
        <f t="shared" si="10"/>
        <v>0</v>
      </c>
      <c r="AZ29" s="41" t="str">
        <f t="shared" si="3"/>
        <v xml:space="preserve"> xe của </v>
      </c>
      <c r="BE29" s="71"/>
      <c r="BI29" s="41" t="e">
        <f>VLOOKUP(BE29,Khach_hang!$J$3:$K$4199,2,0)</f>
        <v>#N/A</v>
      </c>
      <c r="BJ29" s="225"/>
      <c r="BK29" s="225"/>
      <c r="BL29" s="225"/>
      <c r="BM29" s="225"/>
      <c r="BN29" s="225"/>
      <c r="BO29" s="225"/>
      <c r="BP29" s="225"/>
      <c r="BQ29" s="300"/>
      <c r="BR29" s="225"/>
      <c r="BS29" s="225"/>
      <c r="BT29" s="225"/>
      <c r="BU29" s="225"/>
      <c r="BV29" s="244"/>
      <c r="BW29" s="311"/>
      <c r="BX29" s="244"/>
    </row>
    <row r="30" spans="1:76" x14ac:dyDescent="0.3">
      <c r="A30" s="41">
        <v>11479</v>
      </c>
      <c r="B30" s="51" t="s">
        <v>103</v>
      </c>
      <c r="C30" s="45" t="s">
        <v>104</v>
      </c>
      <c r="F30" s="30">
        <v>7550</v>
      </c>
      <c r="G30" s="52" t="str">
        <f t="shared" si="0"/>
        <v>16M-7550</v>
      </c>
      <c r="M30" s="41" t="s">
        <v>100</v>
      </c>
      <c r="N30" s="41" t="s">
        <v>167</v>
      </c>
      <c r="O30" s="374" t="e">
        <f>HT!#REF!</f>
        <v>#REF!</v>
      </c>
      <c r="P30" s="342" t="e">
        <f t="shared" si="5"/>
        <v>#REF!</v>
      </c>
      <c r="Q30" s="374" t="e">
        <f>HT!#REF!</f>
        <v>#REF!</v>
      </c>
      <c r="R30" s="342" t="e">
        <f t="shared" si="6"/>
        <v>#REF!</v>
      </c>
      <c r="S30" s="110">
        <v>16</v>
      </c>
      <c r="AL30" s="123" t="e">
        <f>+HT!#REF!</f>
        <v>#REF!</v>
      </c>
      <c r="AM30" s="45" t="e">
        <f t="shared" si="7"/>
        <v>#REF!</v>
      </c>
      <c r="AN30" s="45" t="e">
        <f t="shared" si="8"/>
        <v>#REF!</v>
      </c>
      <c r="AO30" s="325" t="s">
        <v>13676</v>
      </c>
      <c r="AP30" s="326" t="s">
        <v>13677</v>
      </c>
      <c r="AU30" s="41">
        <f t="shared" si="10"/>
        <v>0</v>
      </c>
      <c r="AZ30" s="41" t="str">
        <f t="shared" si="3"/>
        <v xml:space="preserve"> xe của </v>
      </c>
      <c r="BE30" s="71"/>
      <c r="BI30" s="41" t="e">
        <f>VLOOKUP(BE30,Khach_hang!$J$3:$K$4199,2,0)</f>
        <v>#N/A</v>
      </c>
      <c r="BJ30" s="225"/>
      <c r="BK30" s="225"/>
      <c r="BL30" s="225"/>
      <c r="BM30" s="225"/>
      <c r="BN30" s="225"/>
      <c r="BO30" s="225"/>
      <c r="BP30" s="225"/>
      <c r="BQ30" s="300"/>
      <c r="BR30" s="225"/>
      <c r="BS30" s="225"/>
      <c r="BT30" s="225"/>
      <c r="BU30" s="225"/>
      <c r="BV30" s="244"/>
      <c r="BW30" s="311"/>
      <c r="BX30" s="244"/>
    </row>
    <row r="31" spans="1:76" x14ac:dyDescent="0.3">
      <c r="B31" s="51" t="s">
        <v>105</v>
      </c>
      <c r="C31" s="45" t="s">
        <v>106</v>
      </c>
      <c r="F31" s="30">
        <v>10036</v>
      </c>
      <c r="G31" s="52" t="str">
        <f t="shared" si="0"/>
        <v>15C-10036</v>
      </c>
      <c r="M31" s="41" t="s">
        <v>113</v>
      </c>
      <c r="N31" s="41" t="s">
        <v>168</v>
      </c>
      <c r="O31" s="374" t="e">
        <f>HT!#REF!</f>
        <v>#REF!</v>
      </c>
      <c r="P31" s="342" t="e">
        <f t="shared" si="5"/>
        <v>#REF!</v>
      </c>
      <c r="Q31" s="374" t="e">
        <f>HT!#REF!</f>
        <v>#REF!</v>
      </c>
      <c r="R31" s="342" t="e">
        <f t="shared" si="6"/>
        <v>#REF!</v>
      </c>
      <c r="S31" s="110">
        <v>17</v>
      </c>
      <c r="AL31" s="123" t="e">
        <f>+HT!#REF!</f>
        <v>#REF!</v>
      </c>
      <c r="AM31" s="45" t="e">
        <f t="shared" si="7"/>
        <v>#REF!</v>
      </c>
      <c r="AN31" s="45" t="e">
        <f t="shared" si="8"/>
        <v>#REF!</v>
      </c>
      <c r="AO31" s="328" t="s">
        <v>13678</v>
      </c>
      <c r="AP31" s="326" t="s">
        <v>13679</v>
      </c>
      <c r="AU31" s="41">
        <f t="shared" si="10"/>
        <v>0</v>
      </c>
      <c r="AZ31" s="41" t="str">
        <f t="shared" si="3"/>
        <v xml:space="preserve"> xe của </v>
      </c>
      <c r="BE31" s="71"/>
      <c r="BI31" s="41" t="e">
        <f>VLOOKUP(BE31,Khach_hang!$J$3:$K$4199,2,0)</f>
        <v>#N/A</v>
      </c>
      <c r="BJ31" s="225"/>
      <c r="BK31" s="225"/>
      <c r="BL31" s="225"/>
      <c r="BM31" s="225"/>
      <c r="BN31" s="225"/>
      <c r="BO31" s="225"/>
      <c r="BP31" s="225"/>
      <c r="BQ31" s="300"/>
      <c r="BR31" s="225"/>
      <c r="BS31" s="225"/>
      <c r="BT31" s="225"/>
      <c r="BU31" s="225"/>
      <c r="BV31" s="244"/>
      <c r="BW31" s="311"/>
      <c r="BX31" s="244"/>
    </row>
    <row r="32" spans="1:76" x14ac:dyDescent="0.3">
      <c r="A32" s="41">
        <v>11549</v>
      </c>
      <c r="B32" s="62" t="s">
        <v>66</v>
      </c>
      <c r="C32" s="45" t="s">
        <v>41</v>
      </c>
      <c r="F32" s="30">
        <v>13959</v>
      </c>
      <c r="G32" s="41" t="str">
        <f t="shared" si="0"/>
        <v>15C-13959</v>
      </c>
      <c r="M32" s="41" t="s">
        <v>115</v>
      </c>
      <c r="N32" s="41" t="s">
        <v>169</v>
      </c>
      <c r="O32" s="374" t="e">
        <f>HT!#REF!</f>
        <v>#REF!</v>
      </c>
      <c r="P32" s="342" t="e">
        <f t="shared" si="5"/>
        <v>#REF!</v>
      </c>
      <c r="Q32" s="374" t="e">
        <f>HT!#REF!</f>
        <v>#REF!</v>
      </c>
      <c r="R32" s="342" t="e">
        <f t="shared" si="6"/>
        <v>#REF!</v>
      </c>
      <c r="S32" s="110">
        <v>18</v>
      </c>
      <c r="AL32" s="123" t="e">
        <f>+HT!#REF!</f>
        <v>#REF!</v>
      </c>
      <c r="AM32" s="45" t="e">
        <f t="shared" si="7"/>
        <v>#REF!</v>
      </c>
      <c r="AN32" s="45" t="e">
        <f t="shared" si="8"/>
        <v>#REF!</v>
      </c>
      <c r="AO32" s="325" t="s">
        <v>13680</v>
      </c>
      <c r="AP32" s="326" t="s">
        <v>13681</v>
      </c>
      <c r="AU32" s="41">
        <f t="shared" si="10"/>
        <v>0</v>
      </c>
      <c r="AZ32" s="41" t="str">
        <f t="shared" si="3"/>
        <v xml:space="preserve"> xe của </v>
      </c>
      <c r="BE32" s="71"/>
      <c r="BI32" s="41" t="e">
        <f>VLOOKUP(BE32,Khach_hang!$J$3:$K$4199,2,0)</f>
        <v>#N/A</v>
      </c>
      <c r="BJ32" s="225"/>
      <c r="BK32" s="225"/>
      <c r="BL32" s="225"/>
      <c r="BM32" s="225"/>
      <c r="BN32" s="225"/>
      <c r="BO32" s="225"/>
      <c r="BP32" s="225"/>
      <c r="BQ32" s="300"/>
      <c r="BR32" s="225"/>
      <c r="BS32" s="225"/>
      <c r="BT32" s="225"/>
      <c r="BU32" s="225"/>
      <c r="BV32" s="244"/>
      <c r="BW32" s="311"/>
      <c r="BX32" s="244"/>
    </row>
    <row r="33" spans="1:76" x14ac:dyDescent="0.3">
      <c r="A33" s="41">
        <v>11732</v>
      </c>
      <c r="B33" s="62" t="s">
        <v>107</v>
      </c>
      <c r="C33" s="45" t="s">
        <v>108</v>
      </c>
      <c r="F33" s="39">
        <v>12593</v>
      </c>
      <c r="G33" s="41" t="str">
        <f t="shared" si="0"/>
        <v>15C-12593</v>
      </c>
      <c r="M33" s="41" t="s">
        <v>97</v>
      </c>
      <c r="N33" s="41" t="s">
        <v>170</v>
      </c>
      <c r="O33" s="374" t="e">
        <f>HT!#REF!</f>
        <v>#REF!</v>
      </c>
      <c r="P33" s="342" t="e">
        <f t="shared" si="5"/>
        <v>#REF!</v>
      </c>
      <c r="Q33" s="374" t="e">
        <f>HT!#REF!</f>
        <v>#REF!</v>
      </c>
      <c r="R33" s="342" t="e">
        <f t="shared" si="6"/>
        <v>#REF!</v>
      </c>
      <c r="S33" s="110">
        <v>19</v>
      </c>
      <c r="AL33" s="123" t="e">
        <f>+HT!#REF!</f>
        <v>#REF!</v>
      </c>
      <c r="AM33" s="45" t="e">
        <f t="shared" si="7"/>
        <v>#REF!</v>
      </c>
      <c r="AN33" s="45" t="e">
        <f t="shared" si="8"/>
        <v>#REF!</v>
      </c>
      <c r="AO33" s="325" t="s">
        <v>13682</v>
      </c>
      <c r="AP33" s="326" t="s">
        <v>13683</v>
      </c>
      <c r="AU33" s="41">
        <f t="shared" si="10"/>
        <v>0</v>
      </c>
      <c r="AZ33" s="41" t="str">
        <f t="shared" si="3"/>
        <v xml:space="preserve"> xe của </v>
      </c>
      <c r="BE33" s="71"/>
      <c r="BI33" s="41" t="e">
        <f>VLOOKUP(BE33,Khach_hang!$J$3:$K$4199,2,0)</f>
        <v>#N/A</v>
      </c>
      <c r="BJ33" s="225"/>
      <c r="BK33" s="225"/>
      <c r="BL33" s="225"/>
      <c r="BM33" s="225"/>
      <c r="BN33" s="225"/>
      <c r="BO33" s="225"/>
      <c r="BP33" s="225"/>
      <c r="BQ33" s="300"/>
      <c r="BR33" s="225"/>
      <c r="BS33" s="225"/>
      <c r="BT33" s="225"/>
      <c r="BU33" s="225"/>
      <c r="BV33" s="244"/>
      <c r="BW33" s="311"/>
      <c r="BX33" s="244"/>
    </row>
    <row r="34" spans="1:76" x14ac:dyDescent="0.3">
      <c r="A34" s="41">
        <v>11856</v>
      </c>
      <c r="B34" s="62" t="s">
        <v>109</v>
      </c>
      <c r="C34" s="45" t="s">
        <v>110</v>
      </c>
      <c r="F34" s="63">
        <v>11486</v>
      </c>
      <c r="G34" s="41" t="str">
        <f t="shared" si="0"/>
        <v>15C-11486</v>
      </c>
      <c r="M34" s="41" t="s">
        <v>95</v>
      </c>
      <c r="N34" s="41" t="s">
        <v>171</v>
      </c>
      <c r="O34" s="374" t="e">
        <f>HT!#REF!</f>
        <v>#REF!</v>
      </c>
      <c r="P34" s="342" t="e">
        <f t="shared" si="5"/>
        <v>#REF!</v>
      </c>
      <c r="Q34" s="374" t="e">
        <f>HT!#REF!</f>
        <v>#REF!</v>
      </c>
      <c r="R34" s="342" t="e">
        <f t="shared" si="6"/>
        <v>#REF!</v>
      </c>
      <c r="S34" s="110">
        <v>20</v>
      </c>
      <c r="AL34" s="123" t="e">
        <f>+HT!#REF!</f>
        <v>#REF!</v>
      </c>
      <c r="AM34" s="45" t="e">
        <f t="shared" si="7"/>
        <v>#REF!</v>
      </c>
      <c r="AN34" s="45" t="e">
        <f t="shared" si="8"/>
        <v>#REF!</v>
      </c>
      <c r="AO34" s="325" t="s">
        <v>13684</v>
      </c>
      <c r="AP34" s="326" t="s">
        <v>13683</v>
      </c>
      <c r="AU34" s="41">
        <f t="shared" si="10"/>
        <v>0</v>
      </c>
      <c r="AZ34" s="41" t="str">
        <f t="shared" si="3"/>
        <v xml:space="preserve"> xe của </v>
      </c>
      <c r="BE34" s="71"/>
      <c r="BI34" s="41" t="e">
        <f>VLOOKUP(BE34,Khach_hang!$J$3:$K$4199,2,0)</f>
        <v>#N/A</v>
      </c>
      <c r="BJ34" s="225"/>
      <c r="BK34" s="225"/>
      <c r="BL34" s="225"/>
      <c r="BM34" s="225"/>
      <c r="BN34" s="225"/>
      <c r="BO34" s="225"/>
      <c r="BP34" s="225"/>
      <c r="BQ34" s="300"/>
      <c r="BR34" s="225"/>
      <c r="BS34" s="225"/>
      <c r="BT34" s="225"/>
      <c r="BU34" s="225"/>
      <c r="BV34" s="244"/>
      <c r="BW34" s="311"/>
      <c r="BX34" s="244"/>
    </row>
    <row r="35" spans="1:76" x14ac:dyDescent="0.3">
      <c r="A35" s="41">
        <v>6125</v>
      </c>
      <c r="B35" s="62" t="s">
        <v>138</v>
      </c>
      <c r="C35" s="45"/>
      <c r="F35" s="30">
        <v>12832</v>
      </c>
      <c r="G35" s="41" t="str">
        <f t="shared" si="0"/>
        <v>15C-12832</v>
      </c>
      <c r="M35" s="41" t="s">
        <v>120</v>
      </c>
      <c r="N35" s="41" t="s">
        <v>172</v>
      </c>
      <c r="O35" s="374" t="e">
        <f>HT!#REF!</f>
        <v>#REF!</v>
      </c>
      <c r="P35" s="342" t="e">
        <f t="shared" si="5"/>
        <v>#REF!</v>
      </c>
      <c r="Q35" s="374" t="e">
        <f>HT!#REF!</f>
        <v>#REF!</v>
      </c>
      <c r="R35" s="342" t="e">
        <f t="shared" si="6"/>
        <v>#REF!</v>
      </c>
      <c r="AL35" s="123" t="e">
        <f>+HT!#REF!</f>
        <v>#REF!</v>
      </c>
      <c r="AM35" s="45" t="e">
        <f t="shared" si="7"/>
        <v>#REF!</v>
      </c>
      <c r="AN35" s="45" t="e">
        <f t="shared" si="8"/>
        <v>#REF!</v>
      </c>
      <c r="AO35" s="325" t="s">
        <v>13685</v>
      </c>
      <c r="AP35" s="326" t="s">
        <v>13686</v>
      </c>
      <c r="AU35" s="41">
        <f t="shared" si="10"/>
        <v>0</v>
      </c>
      <c r="AZ35" s="41" t="str">
        <f t="shared" si="3"/>
        <v xml:space="preserve"> xe của </v>
      </c>
      <c r="BE35" s="71"/>
      <c r="BI35" s="41" t="e">
        <f>VLOOKUP(BE35,Khach_hang!$J$3:$K$4199,2,0)</f>
        <v>#N/A</v>
      </c>
      <c r="BJ35" s="225"/>
      <c r="BK35" s="225"/>
      <c r="BL35" s="225"/>
      <c r="BM35" s="225"/>
      <c r="BN35" s="225"/>
      <c r="BO35" s="225"/>
      <c r="BP35" s="225"/>
      <c r="BQ35" s="300"/>
      <c r="BR35" s="225"/>
      <c r="BS35" s="225"/>
      <c r="BT35" s="225"/>
      <c r="BU35" s="225"/>
      <c r="BV35" s="244"/>
      <c r="BW35" s="311"/>
      <c r="BX35" s="244"/>
    </row>
    <row r="36" spans="1:76" x14ac:dyDescent="0.3">
      <c r="A36" s="41">
        <v>12593</v>
      </c>
      <c r="B36" s="62" t="s">
        <v>111</v>
      </c>
      <c r="C36" s="45" t="s">
        <v>112</v>
      </c>
      <c r="F36" s="30">
        <v>7937</v>
      </c>
      <c r="G36" s="41" t="str">
        <f t="shared" si="0"/>
        <v>15C-07937</v>
      </c>
      <c r="M36" s="41" t="s">
        <v>117</v>
      </c>
      <c r="N36" s="41" t="s">
        <v>173</v>
      </c>
      <c r="O36" s="374" t="e">
        <f>HT!#REF!</f>
        <v>#REF!</v>
      </c>
      <c r="P36" s="342" t="e">
        <f t="shared" si="5"/>
        <v>#REF!</v>
      </c>
      <c r="Q36" s="374" t="e">
        <f>HT!#REF!</f>
        <v>#REF!</v>
      </c>
      <c r="R36" s="342" t="e">
        <f t="shared" si="6"/>
        <v>#REF!</v>
      </c>
      <c r="AL36" s="123" t="e">
        <f>+HT!#REF!</f>
        <v>#REF!</v>
      </c>
      <c r="AM36" s="45" t="e">
        <f t="shared" si="7"/>
        <v>#REF!</v>
      </c>
      <c r="AN36" s="45" t="e">
        <f t="shared" si="8"/>
        <v>#REF!</v>
      </c>
      <c r="AO36" s="325" t="s">
        <v>13687</v>
      </c>
      <c r="AP36" s="326" t="s">
        <v>13686</v>
      </c>
      <c r="AU36" s="41">
        <f t="shared" si="10"/>
        <v>0</v>
      </c>
      <c r="AZ36" s="41" t="str">
        <f t="shared" si="3"/>
        <v xml:space="preserve"> xe của </v>
      </c>
      <c r="BE36" s="71"/>
      <c r="BI36" s="41" t="e">
        <f>VLOOKUP(BE36,Khach_hang!$J$3:$K$4199,2,0)</f>
        <v>#N/A</v>
      </c>
      <c r="BJ36" s="225"/>
      <c r="BK36" s="225"/>
      <c r="BL36" s="225"/>
      <c r="BM36" s="225"/>
      <c r="BN36" s="225"/>
      <c r="BO36" s="225"/>
      <c r="BP36" s="225"/>
      <c r="BQ36" s="300"/>
      <c r="BR36" s="225"/>
      <c r="BS36" s="225"/>
      <c r="BT36" s="225"/>
      <c r="BU36" s="225"/>
      <c r="BV36" s="244"/>
      <c r="BW36" s="311"/>
      <c r="BX36" s="244"/>
    </row>
    <row r="37" spans="1:76" x14ac:dyDescent="0.3">
      <c r="A37" s="41">
        <v>12643</v>
      </c>
      <c r="B37" s="62" t="s">
        <v>68</v>
      </c>
      <c r="C37" s="45" t="s">
        <v>42</v>
      </c>
      <c r="F37" s="30">
        <v>13969</v>
      </c>
      <c r="G37" s="41" t="str">
        <f t="shared" si="0"/>
        <v>15C-13969</v>
      </c>
      <c r="M37" s="41" t="s">
        <v>118</v>
      </c>
      <c r="N37" s="41" t="s">
        <v>174</v>
      </c>
      <c r="O37" s="374" t="e">
        <f>HT!#REF!</f>
        <v>#REF!</v>
      </c>
      <c r="P37" s="342" t="e">
        <f t="shared" si="5"/>
        <v>#REF!</v>
      </c>
      <c r="Q37" s="374" t="e">
        <f>HT!#REF!</f>
        <v>#REF!</v>
      </c>
      <c r="R37" s="342" t="e">
        <f t="shared" si="6"/>
        <v>#REF!</v>
      </c>
      <c r="AL37" s="123" t="e">
        <f>+HT!#REF!</f>
        <v>#REF!</v>
      </c>
      <c r="AM37" s="45" t="e">
        <f t="shared" si="7"/>
        <v>#REF!</v>
      </c>
      <c r="AN37" s="45" t="e">
        <f t="shared" si="8"/>
        <v>#REF!</v>
      </c>
      <c r="AO37" s="325" t="s">
        <v>13657</v>
      </c>
      <c r="AP37" s="326" t="s">
        <v>13657</v>
      </c>
      <c r="AU37" s="41">
        <f t="shared" si="10"/>
        <v>0</v>
      </c>
      <c r="AZ37" s="41" t="str">
        <f t="shared" si="3"/>
        <v xml:space="preserve"> xe của </v>
      </c>
      <c r="BE37" s="71"/>
      <c r="BI37" s="41" t="e">
        <f>VLOOKUP(BE37,Khach_hang!$J$3:$K$4199,2,0)</f>
        <v>#N/A</v>
      </c>
      <c r="BJ37" s="225"/>
      <c r="BK37" s="225"/>
      <c r="BL37" s="225"/>
      <c r="BM37" s="225"/>
      <c r="BN37" s="225"/>
      <c r="BO37" s="225"/>
      <c r="BP37" s="225"/>
      <c r="BQ37" s="300"/>
      <c r="BR37" s="225"/>
      <c r="BS37" s="225"/>
      <c r="BT37" s="225"/>
      <c r="BU37" s="225"/>
      <c r="BV37" s="244"/>
      <c r="BW37" s="311"/>
      <c r="BX37" s="244"/>
    </row>
    <row r="38" spans="1:76" x14ac:dyDescent="0.3">
      <c r="A38" s="41">
        <v>13368</v>
      </c>
      <c r="B38" s="62" t="s">
        <v>113</v>
      </c>
      <c r="C38" s="45" t="s">
        <v>104</v>
      </c>
      <c r="F38" s="39" t="s">
        <v>114</v>
      </c>
      <c r="G38" s="41" t="e">
        <f t="shared" si="0"/>
        <v>#N/A</v>
      </c>
      <c r="M38" s="41" t="s">
        <v>98</v>
      </c>
      <c r="N38" s="41" t="s">
        <v>175</v>
      </c>
      <c r="O38" s="374" t="e">
        <f>HT!#REF!</f>
        <v>#REF!</v>
      </c>
      <c r="P38" s="342" t="e">
        <f t="shared" si="5"/>
        <v>#REF!</v>
      </c>
      <c r="Q38" s="374" t="e">
        <f>HT!#REF!</f>
        <v>#REF!</v>
      </c>
      <c r="R38" s="342" t="e">
        <f t="shared" si="6"/>
        <v>#REF!</v>
      </c>
      <c r="AL38" s="123" t="e">
        <f>+HT!#REF!</f>
        <v>#REF!</v>
      </c>
      <c r="AM38" s="45" t="e">
        <f t="shared" si="7"/>
        <v>#REF!</v>
      </c>
      <c r="AN38" s="45" t="e">
        <f t="shared" si="8"/>
        <v>#REF!</v>
      </c>
      <c r="AO38" s="325" t="s">
        <v>13688</v>
      </c>
      <c r="AP38" s="326" t="s">
        <v>13689</v>
      </c>
      <c r="AU38" s="41">
        <f t="shared" si="10"/>
        <v>0</v>
      </c>
      <c r="AZ38" s="41" t="str">
        <f t="shared" si="3"/>
        <v xml:space="preserve"> xe của </v>
      </c>
      <c r="BE38" s="71"/>
      <c r="BI38" s="41" t="e">
        <f>VLOOKUP(BE38,Khach_hang!$J$3:$K$4199,2,0)</f>
        <v>#N/A</v>
      </c>
      <c r="BJ38" s="225"/>
      <c r="BK38" s="225"/>
      <c r="BL38" s="225"/>
      <c r="BM38" s="225"/>
      <c r="BN38" s="225"/>
      <c r="BO38" s="225"/>
      <c r="BP38" s="225"/>
      <c r="BQ38" s="300"/>
      <c r="BR38" s="225"/>
      <c r="BS38" s="225"/>
      <c r="BT38" s="225"/>
      <c r="BU38" s="225"/>
      <c r="BV38" s="244"/>
      <c r="BW38" s="311"/>
      <c r="BX38" s="244"/>
    </row>
    <row r="39" spans="1:76" x14ac:dyDescent="0.3">
      <c r="A39" s="41">
        <v>13568</v>
      </c>
      <c r="B39" s="62" t="s">
        <v>115</v>
      </c>
      <c r="C39" s="45" t="s">
        <v>116</v>
      </c>
      <c r="F39" s="31">
        <v>12812</v>
      </c>
      <c r="G39" s="41" t="str">
        <f t="shared" si="0"/>
        <v>15C-12812</v>
      </c>
      <c r="M39" s="41" t="s">
        <v>101</v>
      </c>
      <c r="N39" s="41" t="s">
        <v>176</v>
      </c>
      <c r="O39" s="374" t="e">
        <f>HT!#REF!</f>
        <v>#REF!</v>
      </c>
      <c r="P39" s="342" t="e">
        <f t="shared" si="5"/>
        <v>#REF!</v>
      </c>
      <c r="Q39" s="374" t="e">
        <f>HT!#REF!</f>
        <v>#REF!</v>
      </c>
      <c r="R39" s="342" t="e">
        <f t="shared" si="6"/>
        <v>#REF!</v>
      </c>
      <c r="AL39" s="123" t="e">
        <f>+HT!#REF!</f>
        <v>#REF!</v>
      </c>
      <c r="AM39" s="45" t="e">
        <f t="shared" si="7"/>
        <v>#REF!</v>
      </c>
      <c r="AN39" s="45" t="e">
        <f t="shared" si="8"/>
        <v>#REF!</v>
      </c>
      <c r="AO39" s="325" t="s">
        <v>10320</v>
      </c>
      <c r="AP39" s="326" t="s">
        <v>13659</v>
      </c>
      <c r="AU39" s="41">
        <f t="shared" si="10"/>
        <v>0</v>
      </c>
      <c r="AZ39" s="41" t="str">
        <f t="shared" si="3"/>
        <v xml:space="preserve"> xe của </v>
      </c>
      <c r="BE39" s="71"/>
      <c r="BI39" s="41" t="e">
        <f>VLOOKUP(BE39,Khach_hang!$J$3:$K$4199,2,0)</f>
        <v>#N/A</v>
      </c>
      <c r="BJ39" s="225"/>
      <c r="BK39" s="225"/>
      <c r="BL39" s="225"/>
      <c r="BM39" s="225"/>
      <c r="BN39" s="225"/>
      <c r="BO39" s="225"/>
      <c r="BP39" s="225"/>
      <c r="BQ39" s="300"/>
      <c r="BR39" s="225"/>
      <c r="BS39" s="225"/>
      <c r="BT39" s="225"/>
      <c r="BU39" s="225"/>
      <c r="BV39" s="244"/>
      <c r="BW39" s="311"/>
      <c r="BX39" s="244"/>
    </row>
    <row r="40" spans="1:76" x14ac:dyDescent="0.3">
      <c r="A40" s="41">
        <v>13959</v>
      </c>
      <c r="B40" s="62" t="s">
        <v>117</v>
      </c>
      <c r="C40" s="45" t="s">
        <v>56</v>
      </c>
      <c r="F40" s="31"/>
      <c r="G40" s="41">
        <f t="shared" si="0"/>
        <v>0</v>
      </c>
      <c r="M40" s="41" t="s">
        <v>138</v>
      </c>
      <c r="N40" s="41" t="s">
        <v>177</v>
      </c>
      <c r="O40" s="374" t="e">
        <f>HT!#REF!</f>
        <v>#REF!</v>
      </c>
      <c r="P40" s="342" t="e">
        <f t="shared" si="5"/>
        <v>#REF!</v>
      </c>
      <c r="Q40" s="374" t="e">
        <f>HT!#REF!</f>
        <v>#REF!</v>
      </c>
      <c r="R40" s="342" t="e">
        <f t="shared" si="6"/>
        <v>#REF!</v>
      </c>
      <c r="AL40" s="123" t="e">
        <f>+HT!#REF!</f>
        <v>#REF!</v>
      </c>
      <c r="AM40" s="45" t="e">
        <f t="shared" si="7"/>
        <v>#REF!</v>
      </c>
      <c r="AN40" s="45" t="e">
        <f t="shared" si="8"/>
        <v>#REF!</v>
      </c>
      <c r="AO40" s="325" t="s">
        <v>13690</v>
      </c>
      <c r="AP40" s="326" t="s">
        <v>13659</v>
      </c>
      <c r="AU40" s="41">
        <f t="shared" si="10"/>
        <v>0</v>
      </c>
      <c r="AZ40" s="41" t="str">
        <f t="shared" si="3"/>
        <v xml:space="preserve"> xe của </v>
      </c>
      <c r="BE40" s="71"/>
      <c r="BI40" s="41" t="e">
        <f>VLOOKUP(BE40,Khach_hang!$J$3:$K$4199,2,0)</f>
        <v>#N/A</v>
      </c>
      <c r="BJ40" s="225"/>
      <c r="BK40" s="225"/>
      <c r="BL40" s="225"/>
      <c r="BM40" s="225"/>
      <c r="BN40" s="225"/>
      <c r="BO40" s="225"/>
      <c r="BP40" s="225"/>
      <c r="BQ40" s="300"/>
      <c r="BR40" s="225"/>
      <c r="BS40" s="225"/>
      <c r="BT40" s="225"/>
      <c r="BU40" s="225"/>
      <c r="BV40" s="244"/>
      <c r="BW40" s="311"/>
      <c r="BX40" s="244"/>
    </row>
    <row r="41" spans="1:76" x14ac:dyDescent="0.3">
      <c r="A41" s="41">
        <v>13969</v>
      </c>
      <c r="B41" s="62" t="s">
        <v>118</v>
      </c>
      <c r="C41" s="45" t="s">
        <v>119</v>
      </c>
      <c r="F41" s="31"/>
      <c r="G41" s="41">
        <f t="shared" si="0"/>
        <v>0</v>
      </c>
      <c r="M41" s="41" t="s">
        <v>75</v>
      </c>
      <c r="N41" s="41" t="s">
        <v>178</v>
      </c>
      <c r="O41" s="374" t="e">
        <f>HT!#REF!</f>
        <v>#REF!</v>
      </c>
      <c r="P41" s="342" t="e">
        <f t="shared" si="5"/>
        <v>#REF!</v>
      </c>
      <c r="Q41" s="374" t="e">
        <f>HT!#REF!</f>
        <v>#REF!</v>
      </c>
      <c r="R41" s="342" t="e">
        <f t="shared" si="6"/>
        <v>#REF!</v>
      </c>
      <c r="AL41" s="123" t="e">
        <f>+HT!#REF!</f>
        <v>#REF!</v>
      </c>
      <c r="AM41" s="45" t="e">
        <f t="shared" si="7"/>
        <v>#REF!</v>
      </c>
      <c r="AN41" s="45" t="e">
        <f t="shared" si="8"/>
        <v>#REF!</v>
      </c>
      <c r="AO41" s="325" t="s">
        <v>12765</v>
      </c>
      <c r="AP41" s="326" t="s">
        <v>12765</v>
      </c>
      <c r="AU41" s="41">
        <f t="shared" si="10"/>
        <v>0</v>
      </c>
      <c r="AZ41" s="41" t="str">
        <f t="shared" si="3"/>
        <v xml:space="preserve"> xe của </v>
      </c>
      <c r="BE41" s="71"/>
      <c r="BI41" s="41" t="e">
        <f>VLOOKUP(BE41,Khach_hang!$J$3:$K$4199,2,0)</f>
        <v>#N/A</v>
      </c>
      <c r="BJ41" s="225"/>
      <c r="BK41" s="225"/>
      <c r="BL41" s="225"/>
      <c r="BM41" s="225"/>
      <c r="BN41" s="225"/>
      <c r="BO41" s="225"/>
      <c r="BP41" s="225"/>
      <c r="BQ41" s="300"/>
      <c r="BR41" s="225"/>
      <c r="BS41" s="225"/>
      <c r="BT41" s="225"/>
      <c r="BU41" s="225"/>
      <c r="BV41" s="244"/>
      <c r="BW41" s="311"/>
      <c r="BX41" s="244"/>
    </row>
    <row r="42" spans="1:76" x14ac:dyDescent="0.3">
      <c r="A42" s="41">
        <v>13958</v>
      </c>
      <c r="B42" s="62" t="s">
        <v>120</v>
      </c>
      <c r="C42" s="45" t="s">
        <v>58</v>
      </c>
      <c r="F42" s="31"/>
      <c r="G42" s="41">
        <f t="shared" si="0"/>
        <v>0</v>
      </c>
      <c r="M42" s="41" t="s">
        <v>74</v>
      </c>
      <c r="N42" s="41" t="s">
        <v>179</v>
      </c>
      <c r="O42" s="374" t="e">
        <f>HT!#REF!</f>
        <v>#REF!</v>
      </c>
      <c r="P42" s="342" t="e">
        <f t="shared" si="5"/>
        <v>#REF!</v>
      </c>
      <c r="Q42" s="374" t="e">
        <f>HT!#REF!</f>
        <v>#REF!</v>
      </c>
      <c r="R42" s="342" t="e">
        <f t="shared" si="6"/>
        <v>#REF!</v>
      </c>
      <c r="AL42" s="123" t="e">
        <f>+HT!#REF!</f>
        <v>#REF!</v>
      </c>
      <c r="AM42" s="45" t="e">
        <f t="shared" si="7"/>
        <v>#REF!</v>
      </c>
      <c r="AO42" s="325" t="s">
        <v>13691</v>
      </c>
      <c r="AP42" s="326" t="s">
        <v>13277</v>
      </c>
      <c r="AU42" s="41">
        <f t="shared" si="10"/>
        <v>0</v>
      </c>
      <c r="AZ42" s="41" t="str">
        <f t="shared" si="3"/>
        <v xml:space="preserve"> xe của </v>
      </c>
      <c r="BE42" s="71"/>
      <c r="BI42" s="41" t="e">
        <f>VLOOKUP(BE42,Khach_hang!$J$3:$K$4199,2,0)</f>
        <v>#N/A</v>
      </c>
      <c r="BJ42" s="225"/>
      <c r="BK42" s="225"/>
      <c r="BL42" s="225"/>
      <c r="BM42" s="225"/>
      <c r="BN42" s="225"/>
      <c r="BO42" s="225"/>
      <c r="BP42" s="225"/>
      <c r="BQ42" s="300"/>
      <c r="BR42" s="225"/>
      <c r="BS42" s="225"/>
      <c r="BT42" s="225"/>
      <c r="BU42" s="225"/>
      <c r="BV42" s="244"/>
      <c r="BW42" s="311"/>
      <c r="BX42" s="244"/>
    </row>
    <row r="43" spans="1:76" x14ac:dyDescent="0.3">
      <c r="A43" s="41">
        <v>10094</v>
      </c>
      <c r="B43" s="51" t="s">
        <v>121</v>
      </c>
      <c r="C43" s="64" t="s">
        <v>122</v>
      </c>
      <c r="F43" s="31"/>
      <c r="G43" s="41">
        <f t="shared" si="0"/>
        <v>0</v>
      </c>
      <c r="M43" s="41" t="s">
        <v>71</v>
      </c>
      <c r="N43" s="41" t="s">
        <v>180</v>
      </c>
      <c r="O43" s="374" t="e">
        <f>HT!#REF!</f>
        <v>#REF!</v>
      </c>
      <c r="P43" s="342" t="e">
        <f t="shared" si="5"/>
        <v>#REF!</v>
      </c>
      <c r="Q43" s="374" t="e">
        <f>HT!#REF!</f>
        <v>#REF!</v>
      </c>
      <c r="R43" s="342" t="e">
        <f t="shared" si="6"/>
        <v>#REF!</v>
      </c>
      <c r="AL43" s="123" t="e">
        <f>+HT!#REF!</f>
        <v>#REF!</v>
      </c>
      <c r="AM43" s="45" t="e">
        <f t="shared" si="7"/>
        <v>#REF!</v>
      </c>
      <c r="AO43" s="325" t="s">
        <v>13692</v>
      </c>
      <c r="AP43" s="326" t="s">
        <v>13277</v>
      </c>
      <c r="AU43" s="41">
        <f t="shared" si="10"/>
        <v>0</v>
      </c>
      <c r="AZ43" s="41" t="str">
        <f t="shared" si="3"/>
        <v xml:space="preserve"> xe của </v>
      </c>
      <c r="BE43" s="71"/>
      <c r="BI43" s="41" t="e">
        <f>VLOOKUP(BE43,Khach_hang!$J$3:$K$4199,2,0)</f>
        <v>#N/A</v>
      </c>
      <c r="BJ43" s="225"/>
      <c r="BK43" s="225"/>
      <c r="BL43" s="225"/>
      <c r="BM43" s="225"/>
      <c r="BN43" s="225"/>
      <c r="BO43" s="225"/>
      <c r="BP43" s="225"/>
      <c r="BQ43" s="300"/>
      <c r="BR43" s="225"/>
      <c r="BS43" s="225"/>
      <c r="BT43" s="225"/>
      <c r="BU43" s="225"/>
      <c r="BV43" s="244"/>
      <c r="BW43" s="311"/>
      <c r="BX43" s="244"/>
    </row>
    <row r="44" spans="1:76" x14ac:dyDescent="0.3">
      <c r="B44" s="51" t="s">
        <v>123</v>
      </c>
      <c r="C44" s="64" t="s">
        <v>124</v>
      </c>
      <c r="F44" s="31"/>
      <c r="G44" s="41">
        <f t="shared" si="0"/>
        <v>0</v>
      </c>
      <c r="M44" s="41" t="s">
        <v>78</v>
      </c>
      <c r="N44" s="41" t="s">
        <v>181</v>
      </c>
      <c r="O44" s="374" t="e">
        <f>HT!#REF!</f>
        <v>#REF!</v>
      </c>
      <c r="P44" s="342" t="e">
        <f t="shared" si="5"/>
        <v>#REF!</v>
      </c>
      <c r="Q44" s="374" t="e">
        <f>HT!#REF!</f>
        <v>#REF!</v>
      </c>
      <c r="R44" s="342" t="e">
        <f t="shared" si="6"/>
        <v>#REF!</v>
      </c>
      <c r="AL44" s="123" t="e">
        <f>+HT!#REF!</f>
        <v>#REF!</v>
      </c>
      <c r="AM44" s="45" t="e">
        <f t="shared" si="7"/>
        <v>#REF!</v>
      </c>
      <c r="AO44" s="325" t="s">
        <v>13693</v>
      </c>
      <c r="AP44" s="326" t="s">
        <v>13659</v>
      </c>
      <c r="AU44" s="41">
        <f t="shared" si="10"/>
        <v>0</v>
      </c>
      <c r="BE44" s="71"/>
      <c r="BI44" s="41" t="e">
        <f>VLOOKUP(BE44,Khach_hang!$J$3:$K$4199,2,0)</f>
        <v>#N/A</v>
      </c>
      <c r="BJ44" s="225"/>
      <c r="BK44" s="225"/>
      <c r="BL44" s="225"/>
      <c r="BM44" s="225"/>
      <c r="BN44" s="225"/>
      <c r="BO44" s="225"/>
      <c r="BP44" s="225"/>
      <c r="BQ44" s="300"/>
      <c r="BR44" s="225"/>
      <c r="BS44" s="225"/>
      <c r="BT44" s="225"/>
      <c r="BU44" s="225"/>
      <c r="BV44" s="244"/>
      <c r="BW44" s="311"/>
      <c r="BX44" s="244"/>
    </row>
    <row r="45" spans="1:76" x14ac:dyDescent="0.3">
      <c r="A45" s="41">
        <v>1889</v>
      </c>
      <c r="B45" s="51" t="s">
        <v>125</v>
      </c>
      <c r="C45" s="64" t="s">
        <v>126</v>
      </c>
      <c r="F45" s="31"/>
      <c r="G45" s="41">
        <f t="shared" si="0"/>
        <v>0</v>
      </c>
      <c r="M45" s="41" t="s">
        <v>134</v>
      </c>
      <c r="N45" s="41" t="s">
        <v>182</v>
      </c>
      <c r="O45" s="374" t="e">
        <f>HT!#REF!</f>
        <v>#REF!</v>
      </c>
      <c r="P45" s="342" t="e">
        <f t="shared" si="5"/>
        <v>#REF!</v>
      </c>
      <c r="Q45" s="374" t="e">
        <f>HT!#REF!</f>
        <v>#REF!</v>
      </c>
      <c r="R45" s="342" t="e">
        <f t="shared" si="6"/>
        <v>#REF!</v>
      </c>
      <c r="AL45" s="123" t="e">
        <f>+HT!#REF!</f>
        <v>#REF!</v>
      </c>
      <c r="AM45" s="45" t="e">
        <f t="shared" si="7"/>
        <v>#REF!</v>
      </c>
      <c r="AO45" s="325" t="s">
        <v>13277</v>
      </c>
      <c r="AP45" s="326" t="s">
        <v>13277</v>
      </c>
      <c r="AU45" s="41">
        <f t="shared" si="10"/>
        <v>0</v>
      </c>
      <c r="BE45" s="71"/>
      <c r="BI45" s="41" t="e">
        <f>VLOOKUP(BE45,Khach_hang!$J$3:$K$4199,2,0)</f>
        <v>#N/A</v>
      </c>
      <c r="BJ45" s="225"/>
      <c r="BK45" s="225"/>
      <c r="BL45" s="225"/>
      <c r="BM45" s="225"/>
      <c r="BN45" s="225"/>
      <c r="BO45" s="225"/>
      <c r="BP45" s="225"/>
      <c r="BQ45" s="300"/>
      <c r="BR45" s="225"/>
      <c r="BS45" s="225"/>
      <c r="BT45" s="225"/>
      <c r="BU45" s="225"/>
      <c r="BV45" s="244"/>
      <c r="BW45" s="311"/>
      <c r="BX45" s="244"/>
    </row>
    <row r="46" spans="1:76" x14ac:dyDescent="0.3">
      <c r="A46" s="41">
        <v>7562</v>
      </c>
      <c r="B46" s="51" t="s">
        <v>127</v>
      </c>
      <c r="C46" s="64" t="s">
        <v>128</v>
      </c>
      <c r="F46" s="31"/>
      <c r="G46" s="41">
        <f t="shared" si="0"/>
        <v>0</v>
      </c>
      <c r="M46" s="41" t="s">
        <v>136</v>
      </c>
      <c r="N46" s="41" t="s">
        <v>183</v>
      </c>
      <c r="O46" s="374" t="e">
        <f>HT!#REF!</f>
        <v>#REF!</v>
      </c>
      <c r="P46" s="342" t="e">
        <f t="shared" si="5"/>
        <v>#REF!</v>
      </c>
      <c r="Q46" s="374" t="e">
        <f>HT!#REF!</f>
        <v>#REF!</v>
      </c>
      <c r="R46" s="342" t="e">
        <f t="shared" si="6"/>
        <v>#REF!</v>
      </c>
      <c r="AL46" s="123" t="e">
        <f>+HT!#REF!</f>
        <v>#REF!</v>
      </c>
      <c r="AM46" s="45" t="e">
        <f t="shared" si="7"/>
        <v>#REF!</v>
      </c>
      <c r="AO46" s="325" t="s">
        <v>13694</v>
      </c>
      <c r="AP46" s="326" t="s">
        <v>13695</v>
      </c>
      <c r="AU46" s="41">
        <f t="shared" si="10"/>
        <v>0</v>
      </c>
      <c r="BE46" s="71"/>
      <c r="BI46" s="41" t="e">
        <f>VLOOKUP(BE46,Khach_hang!$J$3:$K$4199,2,0)</f>
        <v>#N/A</v>
      </c>
      <c r="BJ46" s="225"/>
      <c r="BK46" s="225"/>
      <c r="BL46" s="225"/>
      <c r="BM46" s="225"/>
      <c r="BN46" s="225"/>
      <c r="BO46" s="225"/>
      <c r="BP46" s="225"/>
      <c r="BQ46" s="300"/>
      <c r="BR46" s="225"/>
      <c r="BS46" s="225"/>
      <c r="BT46" s="225"/>
      <c r="BU46" s="225"/>
      <c r="BV46" s="244"/>
      <c r="BW46" s="311"/>
      <c r="BX46" s="244"/>
    </row>
    <row r="47" spans="1:76" x14ac:dyDescent="0.3">
      <c r="A47" s="41">
        <v>10196</v>
      </c>
      <c r="B47" s="65" t="s">
        <v>60</v>
      </c>
      <c r="F47" s="31"/>
      <c r="G47" s="41">
        <f t="shared" si="0"/>
        <v>0</v>
      </c>
      <c r="M47" s="41" t="s">
        <v>137</v>
      </c>
      <c r="N47" s="41" t="s">
        <v>184</v>
      </c>
      <c r="O47" s="374" t="e">
        <f>HT!#REF!</f>
        <v>#REF!</v>
      </c>
      <c r="P47" s="342" t="e">
        <f t="shared" si="5"/>
        <v>#REF!</v>
      </c>
      <c r="Q47" s="374" t="e">
        <f>HT!#REF!</f>
        <v>#REF!</v>
      </c>
      <c r="R47" s="342" t="e">
        <f t="shared" si="6"/>
        <v>#REF!</v>
      </c>
      <c r="AL47" s="123" t="e">
        <f>+HT!#REF!</f>
        <v>#REF!</v>
      </c>
      <c r="AM47" s="45" t="e">
        <f t="shared" si="7"/>
        <v>#REF!</v>
      </c>
      <c r="AO47" s="327" t="s">
        <v>13696</v>
      </c>
      <c r="AP47" s="326" t="s">
        <v>13669</v>
      </c>
      <c r="AU47" s="41">
        <f t="shared" si="10"/>
        <v>0</v>
      </c>
      <c r="BE47" s="71"/>
      <c r="BI47" s="41" t="e">
        <f>VLOOKUP(BE47,Khach_hang!$J$3:$K$4199,2,0)</f>
        <v>#N/A</v>
      </c>
      <c r="BJ47" s="225"/>
      <c r="BK47" s="225"/>
      <c r="BL47" s="225"/>
      <c r="BM47" s="225"/>
      <c r="BN47" s="225"/>
      <c r="BO47" s="225"/>
      <c r="BP47" s="225"/>
      <c r="BQ47" s="300"/>
      <c r="BR47" s="225"/>
      <c r="BS47" s="225"/>
      <c r="BT47" s="225"/>
      <c r="BU47" s="225"/>
      <c r="BV47" s="244"/>
      <c r="BW47" s="311"/>
      <c r="BX47" s="244"/>
    </row>
    <row r="48" spans="1:76" x14ac:dyDescent="0.3">
      <c r="A48" s="41">
        <v>10286</v>
      </c>
      <c r="B48" s="65" t="s">
        <v>129</v>
      </c>
      <c r="F48" s="31"/>
      <c r="G48" s="41">
        <f t="shared" si="0"/>
        <v>0</v>
      </c>
      <c r="M48" s="41" t="s">
        <v>132</v>
      </c>
      <c r="N48" s="41" t="s">
        <v>185</v>
      </c>
      <c r="O48" s="374" t="e">
        <f>HT!#REF!</f>
        <v>#REF!</v>
      </c>
      <c r="P48" s="342" t="e">
        <f t="shared" si="5"/>
        <v>#REF!</v>
      </c>
      <c r="Q48" s="374" t="e">
        <f>HT!#REF!</f>
        <v>#REF!</v>
      </c>
      <c r="R48" s="342" t="e">
        <f t="shared" si="6"/>
        <v>#REF!</v>
      </c>
      <c r="AL48" s="123" t="e">
        <f>+HT!#REF!</f>
        <v>#REF!</v>
      </c>
      <c r="AM48" s="45" t="e">
        <f t="shared" si="7"/>
        <v>#REF!</v>
      </c>
      <c r="AO48" s="325" t="s">
        <v>13697</v>
      </c>
      <c r="AP48" s="326" t="s">
        <v>13669</v>
      </c>
      <c r="AU48" s="41">
        <f t="shared" si="10"/>
        <v>0</v>
      </c>
      <c r="BE48" s="71"/>
      <c r="BI48" s="41" t="e">
        <f>VLOOKUP(BE48,Khach_hang!$J$3:$K$4199,2,0)</f>
        <v>#N/A</v>
      </c>
      <c r="BJ48" s="225"/>
      <c r="BK48" s="225"/>
      <c r="BL48" s="225"/>
      <c r="BM48" s="225"/>
      <c r="BN48" s="225"/>
      <c r="BO48" s="225"/>
      <c r="BP48" s="225"/>
      <c r="BQ48" s="300"/>
      <c r="BR48" s="225"/>
      <c r="BS48" s="225"/>
      <c r="BT48" s="225"/>
      <c r="BU48" s="225"/>
      <c r="BV48" s="244"/>
      <c r="BW48" s="311"/>
      <c r="BX48" s="244"/>
    </row>
    <row r="49" spans="1:76" x14ac:dyDescent="0.3">
      <c r="A49" s="41">
        <v>10036</v>
      </c>
      <c r="B49" s="65" t="s">
        <v>62</v>
      </c>
      <c r="F49" s="31"/>
      <c r="G49" s="41">
        <f t="shared" si="0"/>
        <v>0</v>
      </c>
      <c r="M49" s="41" t="s">
        <v>131</v>
      </c>
      <c r="N49" s="41" t="s">
        <v>186</v>
      </c>
      <c r="O49" s="374" t="e">
        <f>HT!#REF!</f>
        <v>#REF!</v>
      </c>
      <c r="P49" s="342" t="e">
        <f t="shared" si="5"/>
        <v>#REF!</v>
      </c>
      <c r="Q49" s="374" t="e">
        <f>HT!#REF!</f>
        <v>#REF!</v>
      </c>
      <c r="R49" s="342" t="e">
        <f t="shared" si="6"/>
        <v>#REF!</v>
      </c>
      <c r="AL49" s="123" t="e">
        <f>+HT!#REF!</f>
        <v>#REF!</v>
      </c>
      <c r="AM49" s="45" t="e">
        <f t="shared" si="7"/>
        <v>#REF!</v>
      </c>
      <c r="AO49" s="325" t="s">
        <v>13698</v>
      </c>
      <c r="AP49" s="326" t="s">
        <v>13669</v>
      </c>
      <c r="AU49" s="41">
        <f t="shared" si="10"/>
        <v>0</v>
      </c>
      <c r="BI49" s="41" t="e">
        <f>VLOOKUP(BE49,Khach_hang!$J$3:$K$4199,2,0)</f>
        <v>#N/A</v>
      </c>
      <c r="BJ49" s="225"/>
      <c r="BK49" s="225"/>
      <c r="BL49" s="225"/>
      <c r="BM49" s="225"/>
      <c r="BN49" s="225"/>
      <c r="BO49" s="225"/>
      <c r="BP49" s="225"/>
      <c r="BQ49" s="300"/>
      <c r="BR49" s="225"/>
      <c r="BS49" s="225"/>
      <c r="BT49" s="225"/>
      <c r="BU49" s="225"/>
      <c r="BV49" s="244"/>
      <c r="BW49" s="311"/>
      <c r="BX49" s="244"/>
    </row>
    <row r="50" spans="1:76" x14ac:dyDescent="0.3">
      <c r="A50" s="41">
        <v>7937</v>
      </c>
      <c r="B50" s="65" t="s">
        <v>130</v>
      </c>
      <c r="F50" s="31"/>
      <c r="G50" s="41">
        <f t="shared" si="0"/>
        <v>0</v>
      </c>
      <c r="M50" s="41" t="s">
        <v>133</v>
      </c>
      <c r="N50" s="41" t="s">
        <v>187</v>
      </c>
      <c r="O50" s="374" t="e">
        <f>HT!#REF!</f>
        <v>#REF!</v>
      </c>
      <c r="P50" s="342" t="e">
        <f t="shared" si="5"/>
        <v>#REF!</v>
      </c>
      <c r="Q50" s="374" t="e">
        <f>HT!#REF!</f>
        <v>#REF!</v>
      </c>
      <c r="R50" s="342" t="e">
        <f t="shared" si="6"/>
        <v>#REF!</v>
      </c>
      <c r="AL50" s="123" t="e">
        <f>+HT!#REF!</f>
        <v>#REF!</v>
      </c>
      <c r="AM50" s="45" t="e">
        <f t="shared" si="7"/>
        <v>#REF!</v>
      </c>
      <c r="AO50" s="325" t="s">
        <v>13699</v>
      </c>
      <c r="AP50" s="326" t="s">
        <v>13669</v>
      </c>
      <c r="AU50" s="41">
        <f t="shared" si="10"/>
        <v>0</v>
      </c>
      <c r="BI50" s="41" t="e">
        <f>VLOOKUP(BE50,Khach_hang!$J$3:$K$4199,2,0)</f>
        <v>#N/A</v>
      </c>
      <c r="BJ50" s="225"/>
      <c r="BK50" s="225"/>
      <c r="BL50" s="225"/>
      <c r="BM50" s="225"/>
      <c r="BN50" s="225"/>
      <c r="BO50" s="225"/>
      <c r="BP50" s="225"/>
      <c r="BQ50" s="300"/>
      <c r="BR50" s="225"/>
      <c r="BS50" s="225"/>
      <c r="BT50" s="225"/>
      <c r="BU50" s="225"/>
      <c r="BV50" s="244"/>
      <c r="BW50" s="311"/>
      <c r="BX50" s="244"/>
    </row>
    <row r="51" spans="1:76" x14ac:dyDescent="0.3">
      <c r="A51" s="41">
        <v>3426</v>
      </c>
      <c r="B51" s="65" t="s">
        <v>131</v>
      </c>
      <c r="F51" s="31">
        <v>11</v>
      </c>
      <c r="G51" s="41" t="str">
        <f t="shared" si="0"/>
        <v>HS11</v>
      </c>
      <c r="O51" s="374" t="e">
        <f>HT!#REF!</f>
        <v>#REF!</v>
      </c>
      <c r="P51" s="342" t="e">
        <f t="shared" si="5"/>
        <v>#REF!</v>
      </c>
      <c r="Q51" s="374" t="e">
        <f>HT!#REF!</f>
        <v>#REF!</v>
      </c>
      <c r="R51" s="342" t="e">
        <f t="shared" si="6"/>
        <v>#REF!</v>
      </c>
      <c r="AL51" s="123" t="e">
        <f>+HT!#REF!</f>
        <v>#REF!</v>
      </c>
      <c r="AM51" s="45" t="e">
        <f t="shared" si="7"/>
        <v>#REF!</v>
      </c>
      <c r="AO51" s="328" t="s">
        <v>13700</v>
      </c>
      <c r="AP51" s="326" t="s">
        <v>10448</v>
      </c>
      <c r="AU51" s="41">
        <f t="shared" si="10"/>
        <v>0</v>
      </c>
      <c r="BI51" s="41" t="e">
        <f>VLOOKUP(BE51,Khach_hang!$J$3:$K$4199,2,0)</f>
        <v>#N/A</v>
      </c>
      <c r="BJ51" s="225"/>
      <c r="BK51" s="225"/>
      <c r="BL51" s="225"/>
      <c r="BM51" s="225"/>
      <c r="BN51" s="225"/>
      <c r="BO51" s="225"/>
      <c r="BP51" s="225"/>
      <c r="BQ51" s="300"/>
      <c r="BR51" s="225"/>
      <c r="BS51" s="225"/>
      <c r="BT51" s="225"/>
      <c r="BU51" s="225"/>
      <c r="BV51" s="244"/>
      <c r="BW51" s="311"/>
      <c r="BX51" s="244"/>
    </row>
    <row r="52" spans="1:76" x14ac:dyDescent="0.3">
      <c r="A52" s="41">
        <v>23521</v>
      </c>
      <c r="B52" s="65" t="s">
        <v>132</v>
      </c>
      <c r="F52" s="31">
        <v>11</v>
      </c>
      <c r="G52" s="41" t="str">
        <f t="shared" si="0"/>
        <v>HS11</v>
      </c>
      <c r="O52" s="374" t="e">
        <f>HT!#REF!</f>
        <v>#REF!</v>
      </c>
      <c r="P52" s="342" t="e">
        <f t="shared" si="5"/>
        <v>#REF!</v>
      </c>
      <c r="Q52" s="374" t="e">
        <f>HT!#REF!</f>
        <v>#REF!</v>
      </c>
      <c r="R52" s="342" t="e">
        <f t="shared" si="6"/>
        <v>#REF!</v>
      </c>
      <c r="AL52" s="123" t="e">
        <f>+HT!#REF!</f>
        <v>#REF!</v>
      </c>
      <c r="AM52" s="45" t="e">
        <f t="shared" si="7"/>
        <v>#REF!</v>
      </c>
      <c r="AO52" s="328" t="s">
        <v>13701</v>
      </c>
      <c r="AP52" s="326" t="s">
        <v>13245</v>
      </c>
      <c r="AU52" s="41">
        <f t="shared" si="10"/>
        <v>0</v>
      </c>
      <c r="BI52" s="41" t="e">
        <f>VLOOKUP(BE52,Khach_hang!$J$3:$K$4199,2,0)</f>
        <v>#N/A</v>
      </c>
      <c r="BJ52" s="225"/>
      <c r="BK52" s="225"/>
      <c r="BL52" s="225"/>
      <c r="BM52" s="225"/>
      <c r="BN52" s="225"/>
      <c r="BO52" s="225"/>
      <c r="BP52" s="225"/>
      <c r="BQ52" s="300"/>
      <c r="BR52" s="225"/>
      <c r="BS52" s="225"/>
      <c r="BT52" s="225"/>
      <c r="BU52" s="225"/>
      <c r="BV52" s="244"/>
      <c r="BW52" s="311"/>
      <c r="BX52" s="244"/>
    </row>
    <row r="53" spans="1:76" ht="20.399999999999999" x14ac:dyDescent="0.3">
      <c r="A53" s="41">
        <v>1584</v>
      </c>
      <c r="B53" s="65" t="s">
        <v>133</v>
      </c>
      <c r="F53" s="31">
        <v>10094</v>
      </c>
      <c r="G53" s="41" t="str">
        <f t="shared" si="0"/>
        <v>15C-10094</v>
      </c>
      <c r="O53" s="374" t="e">
        <f>HT!#REF!</f>
        <v>#REF!</v>
      </c>
      <c r="P53" s="342" t="e">
        <f t="shared" si="5"/>
        <v>#REF!</v>
      </c>
      <c r="Q53" s="374" t="e">
        <f>HT!#REF!</f>
        <v>#REF!</v>
      </c>
      <c r="R53" s="342" t="e">
        <f t="shared" si="6"/>
        <v>#REF!</v>
      </c>
      <c r="AL53" s="123" t="e">
        <f>+HT!#REF!</f>
        <v>#REF!</v>
      </c>
      <c r="AM53" s="45" t="e">
        <f t="shared" si="7"/>
        <v>#REF!</v>
      </c>
      <c r="AO53" s="329" t="s">
        <v>13702</v>
      </c>
      <c r="AP53" s="326" t="s">
        <v>13245</v>
      </c>
      <c r="AU53" s="41">
        <f t="shared" si="10"/>
        <v>0</v>
      </c>
      <c r="BI53" s="41" t="e">
        <f>VLOOKUP(BE53,Khach_hang!$J$3:$K$4199,2,0)</f>
        <v>#N/A</v>
      </c>
      <c r="BJ53" s="225"/>
      <c r="BK53" s="225"/>
      <c r="BL53" s="225"/>
      <c r="BM53" s="225"/>
      <c r="BN53" s="225"/>
      <c r="BO53" s="225"/>
      <c r="BP53" s="225"/>
      <c r="BQ53" s="300"/>
      <c r="BR53" s="225"/>
      <c r="BS53" s="225"/>
      <c r="BT53" s="225"/>
      <c r="BU53" s="225"/>
      <c r="BV53" s="244"/>
      <c r="BW53" s="311"/>
      <c r="BX53" s="244"/>
    </row>
    <row r="54" spans="1:76" x14ac:dyDescent="0.3">
      <c r="A54" s="41">
        <v>25029</v>
      </c>
      <c r="B54" s="41" t="s">
        <v>134</v>
      </c>
      <c r="C54" s="41" t="s">
        <v>135</v>
      </c>
      <c r="F54" s="31">
        <v>11</v>
      </c>
      <c r="G54" s="41" t="str">
        <f t="shared" si="0"/>
        <v>HS11</v>
      </c>
      <c r="O54" s="374" t="e">
        <f>HT!#REF!</f>
        <v>#REF!</v>
      </c>
      <c r="P54" s="342" t="e">
        <f t="shared" si="5"/>
        <v>#REF!</v>
      </c>
      <c r="Q54" s="374" t="e">
        <f>HT!#REF!</f>
        <v>#REF!</v>
      </c>
      <c r="R54" s="342" t="e">
        <f t="shared" si="6"/>
        <v>#REF!</v>
      </c>
      <c r="AL54" s="123" t="e">
        <f>+HT!#REF!</f>
        <v>#REF!</v>
      </c>
      <c r="AM54" s="45" t="e">
        <f t="shared" si="7"/>
        <v>#REF!</v>
      </c>
      <c r="AO54" s="327" t="s">
        <v>13703</v>
      </c>
      <c r="AP54" s="326" t="s">
        <v>13245</v>
      </c>
      <c r="AU54" s="41">
        <f t="shared" si="10"/>
        <v>0</v>
      </c>
      <c r="BI54" s="41" t="e">
        <f>VLOOKUP(BE54,Khach_hang!$J$3:$K$4199,2,0)</f>
        <v>#N/A</v>
      </c>
      <c r="BJ54" s="225"/>
      <c r="BK54" s="225"/>
      <c r="BL54" s="225"/>
      <c r="BM54" s="225"/>
      <c r="BN54" s="225"/>
      <c r="BO54" s="225"/>
      <c r="BP54" s="225"/>
      <c r="BQ54" s="300"/>
      <c r="BR54" s="225"/>
      <c r="BS54" s="225"/>
      <c r="BT54" s="225"/>
      <c r="BU54" s="225"/>
      <c r="BV54" s="244"/>
      <c r="BW54" s="311"/>
      <c r="BX54" s="244"/>
    </row>
    <row r="55" spans="1:76" x14ac:dyDescent="0.3">
      <c r="A55" s="41">
        <v>25555</v>
      </c>
      <c r="B55" s="66" t="s">
        <v>136</v>
      </c>
      <c r="F55" s="31">
        <v>4</v>
      </c>
      <c r="G55" s="41" t="str">
        <f t="shared" si="0"/>
        <v>HS04</v>
      </c>
      <c r="O55" s="374" t="e">
        <f>HT!#REF!</f>
        <v>#REF!</v>
      </c>
      <c r="P55" s="342" t="e">
        <f t="shared" si="5"/>
        <v>#REF!</v>
      </c>
      <c r="Q55" s="374" t="e">
        <f>HT!#REF!</f>
        <v>#REF!</v>
      </c>
      <c r="R55" s="342" t="e">
        <f t="shared" si="6"/>
        <v>#REF!</v>
      </c>
      <c r="AL55" s="123" t="e">
        <f>+HT!#REF!</f>
        <v>#REF!</v>
      </c>
      <c r="AM55" s="45" t="e">
        <f t="shared" si="7"/>
        <v>#REF!</v>
      </c>
      <c r="AO55" s="325" t="s">
        <v>13704</v>
      </c>
      <c r="AP55" s="326" t="s">
        <v>10448</v>
      </c>
      <c r="AU55" s="41">
        <f t="shared" si="10"/>
        <v>0</v>
      </c>
    </row>
    <row r="56" spans="1:76" x14ac:dyDescent="0.3">
      <c r="A56" s="41">
        <v>25418</v>
      </c>
      <c r="B56" s="66" t="s">
        <v>137</v>
      </c>
      <c r="F56" s="31">
        <v>5</v>
      </c>
      <c r="G56" s="41" t="str">
        <f t="shared" si="0"/>
        <v>HS05</v>
      </c>
      <c r="O56" s="374" t="e">
        <f>HT!#REF!</f>
        <v>#REF!</v>
      </c>
      <c r="P56" s="342" t="e">
        <f t="shared" si="5"/>
        <v>#REF!</v>
      </c>
      <c r="Q56" s="374" t="e">
        <f>HT!#REF!</f>
        <v>#REF!</v>
      </c>
      <c r="R56" s="342" t="e">
        <f t="shared" si="6"/>
        <v>#REF!</v>
      </c>
      <c r="AL56" s="123" t="e">
        <f>+HT!#REF!</f>
        <v>#REF!</v>
      </c>
      <c r="AM56" s="45" t="e">
        <f t="shared" si="7"/>
        <v>#REF!</v>
      </c>
      <c r="AO56" s="325" t="s">
        <v>13705</v>
      </c>
      <c r="AP56" s="326" t="s">
        <v>10448</v>
      </c>
      <c r="AU56" s="41">
        <f t="shared" si="10"/>
        <v>0</v>
      </c>
    </row>
    <row r="57" spans="1:76" x14ac:dyDescent="0.3">
      <c r="A57" s="41">
        <v>1</v>
      </c>
      <c r="B57" s="41" t="s">
        <v>14949</v>
      </c>
      <c r="F57" s="31">
        <v>1</v>
      </c>
      <c r="G57" s="41" t="str">
        <f t="shared" si="0"/>
        <v>HS01</v>
      </c>
      <c r="O57" s="374" t="e">
        <f>HT!#REF!</f>
        <v>#REF!</v>
      </c>
      <c r="P57" s="342" t="e">
        <f t="shared" si="5"/>
        <v>#REF!</v>
      </c>
      <c r="Q57" s="374" t="e">
        <f>HT!#REF!</f>
        <v>#REF!</v>
      </c>
      <c r="R57" s="342" t="e">
        <f t="shared" si="6"/>
        <v>#REF!</v>
      </c>
      <c r="AL57" s="123" t="e">
        <f>+HT!#REF!</f>
        <v>#REF!</v>
      </c>
      <c r="AM57" s="45" t="e">
        <f t="shared" si="7"/>
        <v>#REF!</v>
      </c>
      <c r="AO57" s="325" t="s">
        <v>13706</v>
      </c>
      <c r="AP57" s="326" t="s">
        <v>10448</v>
      </c>
      <c r="AU57" s="41">
        <f t="shared" si="10"/>
        <v>0</v>
      </c>
    </row>
    <row r="58" spans="1:76" x14ac:dyDescent="0.3">
      <c r="A58" s="41">
        <v>2</v>
      </c>
      <c r="B58" s="41" t="s">
        <v>14950</v>
      </c>
      <c r="F58" s="31">
        <v>13840</v>
      </c>
      <c r="G58" s="41" t="str">
        <f t="shared" si="0"/>
        <v>15C-13840</v>
      </c>
      <c r="O58" s="374" t="e">
        <f>HT!#REF!</f>
        <v>#REF!</v>
      </c>
      <c r="P58" s="342" t="e">
        <f t="shared" si="5"/>
        <v>#REF!</v>
      </c>
      <c r="Q58" s="374" t="e">
        <f>HT!#REF!</f>
        <v>#REF!</v>
      </c>
      <c r="R58" s="342" t="e">
        <f t="shared" si="6"/>
        <v>#REF!</v>
      </c>
      <c r="AL58" s="123" t="e">
        <f>+HT!#REF!</f>
        <v>#REF!</v>
      </c>
      <c r="AM58" s="45" t="e">
        <f t="shared" si="7"/>
        <v>#REF!</v>
      </c>
      <c r="AO58" s="325" t="s">
        <v>13707</v>
      </c>
      <c r="AP58" s="326" t="s">
        <v>13679</v>
      </c>
      <c r="AU58" s="41">
        <f t="shared" si="10"/>
        <v>0</v>
      </c>
    </row>
    <row r="59" spans="1:76" x14ac:dyDescent="0.3">
      <c r="A59" s="41">
        <v>3</v>
      </c>
      <c r="B59" s="41" t="s">
        <v>14951</v>
      </c>
      <c r="F59" s="31">
        <v>8</v>
      </c>
      <c r="G59" s="41" t="str">
        <f t="shared" si="0"/>
        <v>HS08</v>
      </c>
      <c r="O59" s="374" t="e">
        <f>HT!#REF!</f>
        <v>#REF!</v>
      </c>
      <c r="P59" s="342" t="e">
        <f t="shared" si="5"/>
        <v>#REF!</v>
      </c>
      <c r="Q59" s="374" t="e">
        <f>HT!#REF!</f>
        <v>#REF!</v>
      </c>
      <c r="R59" s="342" t="e">
        <f t="shared" si="6"/>
        <v>#REF!</v>
      </c>
      <c r="AL59" s="123" t="e">
        <f>+HT!#REF!</f>
        <v>#REF!</v>
      </c>
      <c r="AM59" s="45" t="e">
        <f t="shared" si="7"/>
        <v>#REF!</v>
      </c>
      <c r="AO59" s="327" t="s">
        <v>13708</v>
      </c>
      <c r="AP59" s="326" t="s">
        <v>13683</v>
      </c>
      <c r="AU59" s="41">
        <f t="shared" si="10"/>
        <v>0</v>
      </c>
    </row>
    <row r="60" spans="1:76" x14ac:dyDescent="0.3">
      <c r="A60" s="41">
        <v>4</v>
      </c>
      <c r="B60" s="41" t="s">
        <v>14952</v>
      </c>
      <c r="F60" s="31">
        <v>3</v>
      </c>
      <c r="G60" s="41" t="str">
        <f t="shared" si="0"/>
        <v>HS03</v>
      </c>
      <c r="O60" s="374" t="e">
        <f>HT!#REF!</f>
        <v>#REF!</v>
      </c>
      <c r="P60" s="342" t="e">
        <f t="shared" si="5"/>
        <v>#REF!</v>
      </c>
      <c r="Q60" s="374" t="e">
        <f>HT!#REF!</f>
        <v>#REF!</v>
      </c>
      <c r="R60" s="342" t="e">
        <f t="shared" si="6"/>
        <v>#REF!</v>
      </c>
      <c r="AL60" s="123" t="e">
        <f>+HT!#REF!</f>
        <v>#REF!</v>
      </c>
      <c r="AM60" s="45" t="e">
        <f t="shared" si="7"/>
        <v>#REF!</v>
      </c>
      <c r="AO60" s="327" t="s">
        <v>13709</v>
      </c>
      <c r="AP60" s="326" t="s">
        <v>13709</v>
      </c>
      <c r="AU60" s="41">
        <f t="shared" si="10"/>
        <v>0</v>
      </c>
    </row>
    <row r="61" spans="1:76" x14ac:dyDescent="0.3">
      <c r="A61" s="41">
        <v>5</v>
      </c>
      <c r="B61" s="41" t="s">
        <v>14953</v>
      </c>
      <c r="F61" s="67">
        <v>4</v>
      </c>
      <c r="G61" s="41" t="str">
        <f t="shared" si="0"/>
        <v>HS04</v>
      </c>
      <c r="O61" s="374" t="e">
        <f>HT!#REF!</f>
        <v>#REF!</v>
      </c>
      <c r="P61" s="342" t="e">
        <f t="shared" si="5"/>
        <v>#REF!</v>
      </c>
      <c r="Q61" s="374" t="e">
        <f>HT!#REF!</f>
        <v>#REF!</v>
      </c>
      <c r="R61" s="342" t="e">
        <f t="shared" si="6"/>
        <v>#REF!</v>
      </c>
      <c r="AL61" s="123" t="e">
        <f>+HT!#REF!</f>
        <v>#REF!</v>
      </c>
      <c r="AM61" s="45" t="e">
        <f t="shared" si="7"/>
        <v>#REF!</v>
      </c>
      <c r="AO61" s="328" t="s">
        <v>13710</v>
      </c>
      <c r="AP61" s="326" t="s">
        <v>13709</v>
      </c>
      <c r="AU61" s="41">
        <f t="shared" si="10"/>
        <v>0</v>
      </c>
    </row>
    <row r="62" spans="1:76" x14ac:dyDescent="0.3">
      <c r="A62" s="41">
        <v>6</v>
      </c>
      <c r="B62" s="41" t="s">
        <v>14954</v>
      </c>
      <c r="F62" s="67">
        <v>11</v>
      </c>
      <c r="G62" s="41" t="str">
        <f t="shared" si="0"/>
        <v>HS11</v>
      </c>
      <c r="O62" s="374" t="e">
        <f>HT!#REF!</f>
        <v>#REF!</v>
      </c>
      <c r="P62" s="342" t="e">
        <f t="shared" si="5"/>
        <v>#REF!</v>
      </c>
      <c r="Q62" s="374" t="e">
        <f>HT!#REF!</f>
        <v>#REF!</v>
      </c>
      <c r="R62" s="342" t="e">
        <f t="shared" si="6"/>
        <v>#REF!</v>
      </c>
      <c r="AL62" s="123" t="e">
        <f>+HT!#REF!</f>
        <v>#REF!</v>
      </c>
      <c r="AM62" s="45" t="e">
        <f t="shared" si="7"/>
        <v>#REF!</v>
      </c>
      <c r="AO62" s="330"/>
      <c r="AP62" s="331"/>
      <c r="AU62" s="41">
        <f t="shared" si="10"/>
        <v>0</v>
      </c>
    </row>
    <row r="63" spans="1:76" x14ac:dyDescent="0.3">
      <c r="A63" s="41">
        <v>7</v>
      </c>
      <c r="B63" s="41" t="s">
        <v>14955</v>
      </c>
      <c r="F63" s="67">
        <v>4</v>
      </c>
      <c r="G63" s="41" t="str">
        <f t="shared" si="0"/>
        <v>HS04</v>
      </c>
      <c r="O63" s="374" t="e">
        <f>HT!#REF!</f>
        <v>#REF!</v>
      </c>
      <c r="P63" s="342" t="e">
        <f t="shared" si="5"/>
        <v>#REF!</v>
      </c>
      <c r="Q63" s="374" t="e">
        <f>HT!#REF!</f>
        <v>#REF!</v>
      </c>
      <c r="R63" s="342" t="e">
        <f t="shared" si="6"/>
        <v>#REF!</v>
      </c>
      <c r="AL63" s="123" t="e">
        <f>+HT!#REF!</f>
        <v>#REF!</v>
      </c>
      <c r="AM63" s="45" t="e">
        <f t="shared" si="7"/>
        <v>#REF!</v>
      </c>
      <c r="AO63" s="330"/>
      <c r="AP63" s="331"/>
      <c r="AU63" s="41">
        <f t="shared" si="10"/>
        <v>0</v>
      </c>
    </row>
    <row r="64" spans="1:76" x14ac:dyDescent="0.3">
      <c r="A64" s="41">
        <v>8</v>
      </c>
      <c r="B64" s="41" t="s">
        <v>14956</v>
      </c>
      <c r="F64" s="67">
        <v>11</v>
      </c>
      <c r="G64" s="41" t="str">
        <f t="shared" si="0"/>
        <v>HS11</v>
      </c>
      <c r="O64" s="374" t="e">
        <f>HT!#REF!</f>
        <v>#REF!</v>
      </c>
      <c r="P64" s="342" t="e">
        <f t="shared" si="5"/>
        <v>#REF!</v>
      </c>
      <c r="Q64" s="374" t="e">
        <f>HT!#REF!</f>
        <v>#REF!</v>
      </c>
      <c r="R64" s="342" t="e">
        <f t="shared" si="6"/>
        <v>#REF!</v>
      </c>
      <c r="AL64" s="123" t="e">
        <f>+HT!#REF!</f>
        <v>#REF!</v>
      </c>
      <c r="AM64" s="45" t="e">
        <f t="shared" si="7"/>
        <v>#REF!</v>
      </c>
      <c r="AO64" s="330"/>
      <c r="AP64" s="331"/>
      <c r="AU64" s="41">
        <f t="shared" si="10"/>
        <v>0</v>
      </c>
    </row>
    <row r="65" spans="1:47" x14ac:dyDescent="0.3">
      <c r="A65" s="41">
        <v>9</v>
      </c>
      <c r="B65" s="41" t="s">
        <v>14957</v>
      </c>
      <c r="F65" s="67">
        <v>11</v>
      </c>
      <c r="G65" s="41" t="str">
        <f t="shared" si="0"/>
        <v>HS11</v>
      </c>
      <c r="O65" s="374" t="e">
        <f>HT!#REF!</f>
        <v>#REF!</v>
      </c>
      <c r="P65" s="342" t="e">
        <f t="shared" si="5"/>
        <v>#REF!</v>
      </c>
      <c r="Q65" s="374" t="e">
        <f>HT!#REF!</f>
        <v>#REF!</v>
      </c>
      <c r="R65" s="342" t="e">
        <f t="shared" si="6"/>
        <v>#REF!</v>
      </c>
      <c r="AL65" s="123" t="e">
        <f>+HT!#REF!</f>
        <v>#REF!</v>
      </c>
      <c r="AM65" s="45" t="e">
        <f t="shared" si="7"/>
        <v>#REF!</v>
      </c>
      <c r="AO65" s="332"/>
      <c r="AP65" s="333"/>
      <c r="AU65" s="41">
        <f t="shared" si="10"/>
        <v>0</v>
      </c>
    </row>
    <row r="66" spans="1:47" x14ac:dyDescent="0.3">
      <c r="A66" s="41">
        <v>10</v>
      </c>
      <c r="B66" s="41" t="s">
        <v>14958</v>
      </c>
      <c r="F66" s="67">
        <v>4</v>
      </c>
      <c r="G66" s="41" t="str">
        <f t="shared" si="0"/>
        <v>HS04</v>
      </c>
      <c r="O66" s="374" t="e">
        <f>HT!#REF!</f>
        <v>#REF!</v>
      </c>
      <c r="P66" s="342" t="e">
        <f t="shared" si="5"/>
        <v>#REF!</v>
      </c>
      <c r="Q66" s="374" t="e">
        <f>HT!#REF!</f>
        <v>#REF!</v>
      </c>
      <c r="R66" s="342" t="e">
        <f t="shared" si="6"/>
        <v>#REF!</v>
      </c>
      <c r="AL66" s="123" t="e">
        <f>+HT!#REF!</f>
        <v>#REF!</v>
      </c>
      <c r="AM66" s="45" t="e">
        <f t="shared" si="7"/>
        <v>#REF!</v>
      </c>
      <c r="AO66" s="334"/>
      <c r="AP66" s="334"/>
      <c r="AU66" s="41">
        <f t="shared" si="10"/>
        <v>0</v>
      </c>
    </row>
    <row r="67" spans="1:47" x14ac:dyDescent="0.3">
      <c r="A67" s="41">
        <v>11</v>
      </c>
      <c r="B67" s="41" t="s">
        <v>14959</v>
      </c>
      <c r="F67" s="67">
        <v>11</v>
      </c>
      <c r="G67" s="41" t="str">
        <f t="shared" si="0"/>
        <v>HS11</v>
      </c>
      <c r="O67" s="374" t="e">
        <f>HT!#REF!</f>
        <v>#REF!</v>
      </c>
      <c r="P67" s="342" t="e">
        <f t="shared" si="5"/>
        <v>#REF!</v>
      </c>
      <c r="Q67" s="374" t="e">
        <f>HT!#REF!</f>
        <v>#REF!</v>
      </c>
      <c r="R67" s="342" t="e">
        <f t="shared" si="6"/>
        <v>#REF!</v>
      </c>
      <c r="AL67" s="123" t="e">
        <f>+HT!#REF!</f>
        <v>#REF!</v>
      </c>
      <c r="AM67" s="45" t="e">
        <f t="shared" si="7"/>
        <v>#REF!</v>
      </c>
      <c r="AO67" s="334"/>
      <c r="AP67" s="334"/>
    </row>
    <row r="68" spans="1:47" x14ac:dyDescent="0.3">
      <c r="A68" s="41">
        <v>12</v>
      </c>
      <c r="B68" s="41" t="s">
        <v>14960</v>
      </c>
      <c r="F68" s="67">
        <v>5</v>
      </c>
      <c r="G68" s="41" t="str">
        <f t="shared" ref="G68:G115" si="11">VLOOKUP(F68,$A$3:$C$83,2,0)</f>
        <v>HS05</v>
      </c>
      <c r="O68" s="374" t="e">
        <f>HT!#REF!</f>
        <v>#REF!</v>
      </c>
      <c r="P68" s="342" t="e">
        <f t="shared" si="5"/>
        <v>#REF!</v>
      </c>
      <c r="Q68" s="374" t="e">
        <f>HT!#REF!</f>
        <v>#REF!</v>
      </c>
      <c r="R68" s="342" t="e">
        <f t="shared" si="6"/>
        <v>#REF!</v>
      </c>
      <c r="AL68" s="123" t="e">
        <f>+HT!#REF!</f>
        <v>#REF!</v>
      </c>
      <c r="AM68" s="45" t="e">
        <f t="shared" si="7"/>
        <v>#REF!</v>
      </c>
      <c r="AO68" s="334"/>
      <c r="AP68" s="334"/>
    </row>
    <row r="69" spans="1:47" x14ac:dyDescent="0.3">
      <c r="A69" s="41">
        <v>13</v>
      </c>
      <c r="B69" s="41" t="s">
        <v>14961</v>
      </c>
      <c r="F69" s="67">
        <v>4</v>
      </c>
      <c r="G69" s="41" t="str">
        <f t="shared" si="11"/>
        <v>HS04</v>
      </c>
      <c r="O69" s="374" t="e">
        <f>HT!#REF!</f>
        <v>#REF!</v>
      </c>
      <c r="P69" s="342" t="e">
        <f t="shared" ref="P69:P76" si="12">IF(O69=0,"",IF(O69="c","Chính",IF(O69="m","Mạnh",0)))</f>
        <v>#REF!</v>
      </c>
      <c r="Q69" s="374" t="e">
        <f>HT!#REF!</f>
        <v>#REF!</v>
      </c>
      <c r="R69" s="342" t="e">
        <f t="shared" ref="R69:R76" si="13">VLOOKUP(Q69,$A$3:$C$183,2,0)</f>
        <v>#REF!</v>
      </c>
      <c r="AL69" s="123" t="e">
        <f>+HT!#REF!</f>
        <v>#REF!</v>
      </c>
      <c r="AM69" s="45" t="e">
        <f t="shared" ref="AM69:AM130" si="14">VLOOKUP(AL69,$A$3:$C$183,2,0)</f>
        <v>#REF!</v>
      </c>
      <c r="AO69" s="334"/>
      <c r="AP69" s="334"/>
    </row>
    <row r="70" spans="1:47" x14ac:dyDescent="0.3">
      <c r="A70" s="41">
        <v>14</v>
      </c>
      <c r="B70" s="41" t="s">
        <v>14962</v>
      </c>
      <c r="F70" s="67">
        <v>3</v>
      </c>
      <c r="G70" s="41" t="str">
        <f t="shared" si="11"/>
        <v>HS03</v>
      </c>
      <c r="O70" s="374" t="e">
        <f>HT!#REF!</f>
        <v>#REF!</v>
      </c>
      <c r="P70" s="342" t="e">
        <f t="shared" si="12"/>
        <v>#REF!</v>
      </c>
      <c r="Q70" s="374" t="e">
        <f>HT!#REF!</f>
        <v>#REF!</v>
      </c>
      <c r="R70" s="342" t="e">
        <f t="shared" si="13"/>
        <v>#REF!</v>
      </c>
      <c r="AL70" s="123" t="e">
        <f>+HT!#REF!</f>
        <v>#REF!</v>
      </c>
      <c r="AM70" s="45" t="e">
        <f t="shared" si="14"/>
        <v>#REF!</v>
      </c>
      <c r="AO70" s="334"/>
      <c r="AP70" s="334"/>
    </row>
    <row r="71" spans="1:47" x14ac:dyDescent="0.3">
      <c r="A71" s="41">
        <v>0</v>
      </c>
      <c r="B71" s="41">
        <v>0</v>
      </c>
      <c r="F71" s="67">
        <v>7437</v>
      </c>
      <c r="G71" s="41" t="str">
        <f t="shared" si="11"/>
        <v>15C-07437</v>
      </c>
      <c r="O71" s="374" t="e">
        <f>HT!#REF!</f>
        <v>#REF!</v>
      </c>
      <c r="P71" s="342" t="e">
        <f t="shared" si="12"/>
        <v>#REF!</v>
      </c>
      <c r="Q71" s="374" t="e">
        <f>HT!#REF!</f>
        <v>#REF!</v>
      </c>
      <c r="R71" s="342" t="e">
        <f t="shared" si="13"/>
        <v>#REF!</v>
      </c>
      <c r="AL71" s="123" t="e">
        <f>+HT!#REF!</f>
        <v>#REF!</v>
      </c>
      <c r="AM71" s="45" t="e">
        <f t="shared" si="14"/>
        <v>#REF!</v>
      </c>
      <c r="AO71" s="334"/>
      <c r="AP71" s="334"/>
    </row>
    <row r="72" spans="1:47" x14ac:dyDescent="0.3">
      <c r="A72" s="41" t="s">
        <v>133</v>
      </c>
      <c r="B72" s="68" t="s">
        <v>133</v>
      </c>
      <c r="F72" s="67">
        <v>12832</v>
      </c>
      <c r="G72" s="41" t="str">
        <f t="shared" si="11"/>
        <v>15C-12832</v>
      </c>
      <c r="O72" s="374" t="e">
        <f>HT!#REF!</f>
        <v>#REF!</v>
      </c>
      <c r="P72" s="342" t="e">
        <f t="shared" si="12"/>
        <v>#REF!</v>
      </c>
      <c r="Q72" s="374" t="e">
        <f>HT!#REF!</f>
        <v>#REF!</v>
      </c>
      <c r="R72" s="342" t="e">
        <f t="shared" si="13"/>
        <v>#REF!</v>
      </c>
      <c r="AL72" s="123" t="e">
        <f>+HT!#REF!</f>
        <v>#REF!</v>
      </c>
      <c r="AM72" s="45" t="e">
        <f t="shared" si="14"/>
        <v>#REF!</v>
      </c>
      <c r="AO72" s="334"/>
      <c r="AP72" s="334"/>
    </row>
    <row r="73" spans="1:47" x14ac:dyDescent="0.3">
      <c r="A73" s="41" t="s">
        <v>131</v>
      </c>
      <c r="B73" s="69" t="s">
        <v>131</v>
      </c>
      <c r="F73" s="67">
        <v>5</v>
      </c>
      <c r="G73" s="41" t="str">
        <f t="shared" si="11"/>
        <v>HS05</v>
      </c>
      <c r="O73" s="374" t="e">
        <f>HT!#REF!</f>
        <v>#REF!</v>
      </c>
      <c r="P73" s="342" t="e">
        <f t="shared" si="12"/>
        <v>#REF!</v>
      </c>
      <c r="Q73" s="374" t="e">
        <f>HT!#REF!</f>
        <v>#REF!</v>
      </c>
      <c r="R73" s="342" t="e">
        <f t="shared" si="13"/>
        <v>#REF!</v>
      </c>
      <c r="AL73" s="123" t="e">
        <f>+HT!#REF!</f>
        <v>#REF!</v>
      </c>
      <c r="AM73" s="45" t="e">
        <f t="shared" si="14"/>
        <v>#REF!</v>
      </c>
      <c r="AO73" s="334"/>
      <c r="AP73" s="334"/>
    </row>
    <row r="74" spans="1:47" x14ac:dyDescent="0.3">
      <c r="A74" s="41" t="s">
        <v>80</v>
      </c>
      <c r="B74" s="68" t="s">
        <v>80</v>
      </c>
      <c r="F74" s="67">
        <v>11</v>
      </c>
      <c r="G74" s="41" t="str">
        <f t="shared" si="11"/>
        <v>HS11</v>
      </c>
      <c r="O74" s="374" t="e">
        <f>HT!#REF!</f>
        <v>#REF!</v>
      </c>
      <c r="P74" s="342" t="e">
        <f t="shared" si="12"/>
        <v>#REF!</v>
      </c>
      <c r="Q74" s="374" t="e">
        <f>HT!#REF!</f>
        <v>#REF!</v>
      </c>
      <c r="R74" s="342" t="e">
        <f t="shared" si="13"/>
        <v>#REF!</v>
      </c>
      <c r="AL74" s="123" t="e">
        <f>+HT!#REF!</f>
        <v>#REF!</v>
      </c>
      <c r="AM74" s="45" t="e">
        <f t="shared" si="14"/>
        <v>#REF!</v>
      </c>
      <c r="AO74" s="334"/>
      <c r="AP74" s="334"/>
    </row>
    <row r="75" spans="1:47" x14ac:dyDescent="0.3">
      <c r="A75" s="41" t="s">
        <v>65</v>
      </c>
      <c r="B75" s="68" t="s">
        <v>65</v>
      </c>
      <c r="F75" s="67">
        <v>4</v>
      </c>
      <c r="G75" s="41" t="str">
        <f t="shared" si="11"/>
        <v>HS04</v>
      </c>
      <c r="O75" s="374" t="e">
        <f>HT!#REF!</f>
        <v>#REF!</v>
      </c>
      <c r="P75" s="342" t="e">
        <f t="shared" si="12"/>
        <v>#REF!</v>
      </c>
      <c r="Q75" s="374" t="e">
        <f>HT!#REF!</f>
        <v>#REF!</v>
      </c>
      <c r="R75" s="342" t="e">
        <f t="shared" si="13"/>
        <v>#REF!</v>
      </c>
      <c r="AL75" s="123" t="e">
        <f>+HT!#REF!</f>
        <v>#REF!</v>
      </c>
      <c r="AM75" s="45" t="e">
        <f t="shared" si="14"/>
        <v>#REF!</v>
      </c>
      <c r="AO75" s="334"/>
      <c r="AP75" s="334"/>
    </row>
    <row r="76" spans="1:47" x14ac:dyDescent="0.3">
      <c r="A76" s="41" t="s">
        <v>72</v>
      </c>
      <c r="B76" s="68" t="s">
        <v>72</v>
      </c>
      <c r="F76" s="67">
        <v>10196</v>
      </c>
      <c r="G76" s="41" t="str">
        <f t="shared" si="11"/>
        <v>15C-10196</v>
      </c>
      <c r="O76" s="374" t="e">
        <f>HT!#REF!</f>
        <v>#REF!</v>
      </c>
      <c r="P76" s="342" t="e">
        <f t="shared" si="12"/>
        <v>#REF!</v>
      </c>
      <c r="Q76" s="374" t="e">
        <f>HT!#REF!</f>
        <v>#REF!</v>
      </c>
      <c r="R76" s="342" t="e">
        <f t="shared" si="13"/>
        <v>#REF!</v>
      </c>
      <c r="AL76" s="123" t="e">
        <f>+HT!#REF!</f>
        <v>#REF!</v>
      </c>
      <c r="AM76" s="45" t="e">
        <f t="shared" si="14"/>
        <v>#REF!</v>
      </c>
      <c r="AO76" s="334"/>
      <c r="AP76" s="334"/>
    </row>
    <row r="77" spans="1:47" x14ac:dyDescent="0.3">
      <c r="A77" s="41" t="s">
        <v>130</v>
      </c>
      <c r="B77" s="68" t="s">
        <v>130</v>
      </c>
      <c r="F77" s="67">
        <v>10094</v>
      </c>
      <c r="G77" s="41" t="str">
        <f t="shared" si="11"/>
        <v>15C-10094</v>
      </c>
      <c r="AL77" s="123"/>
      <c r="AM77" s="45">
        <f t="shared" si="14"/>
        <v>0</v>
      </c>
      <c r="AO77" s="334"/>
      <c r="AP77" s="334"/>
    </row>
    <row r="78" spans="1:47" x14ac:dyDescent="0.3">
      <c r="A78" s="41" t="s">
        <v>62</v>
      </c>
      <c r="B78" s="68" t="s">
        <v>62</v>
      </c>
      <c r="F78" s="67">
        <v>10156</v>
      </c>
      <c r="G78" s="41" t="str">
        <f t="shared" si="11"/>
        <v>15C-10156</v>
      </c>
      <c r="AL78" s="123"/>
      <c r="AM78" s="45">
        <f t="shared" si="14"/>
        <v>0</v>
      </c>
      <c r="AO78" s="334"/>
      <c r="AP78" s="334"/>
    </row>
    <row r="79" spans="1:47" x14ac:dyDescent="0.3">
      <c r="A79" s="41" t="s">
        <v>70</v>
      </c>
      <c r="B79" s="68" t="s">
        <v>70</v>
      </c>
      <c r="G79" s="41">
        <f t="shared" si="11"/>
        <v>0</v>
      </c>
      <c r="AL79" s="123"/>
      <c r="AM79" s="45">
        <f t="shared" si="14"/>
        <v>0</v>
      </c>
      <c r="AO79" s="334"/>
      <c r="AP79" s="334"/>
    </row>
    <row r="80" spans="1:47" x14ac:dyDescent="0.3">
      <c r="A80" s="41" t="s">
        <v>85</v>
      </c>
      <c r="B80" s="68" t="s">
        <v>85</v>
      </c>
      <c r="G80" s="41">
        <f t="shared" si="11"/>
        <v>0</v>
      </c>
      <c r="AL80" s="123"/>
      <c r="AM80" s="45">
        <f t="shared" si="14"/>
        <v>0</v>
      </c>
      <c r="AO80" s="334"/>
      <c r="AP80" s="334"/>
    </row>
    <row r="81" spans="1:42" x14ac:dyDescent="0.3">
      <c r="A81" s="41" t="s">
        <v>64</v>
      </c>
      <c r="B81" s="68" t="s">
        <v>64</v>
      </c>
      <c r="G81" s="41">
        <f t="shared" si="11"/>
        <v>0</v>
      </c>
      <c r="AL81" s="123"/>
      <c r="AM81" s="45">
        <f t="shared" si="14"/>
        <v>0</v>
      </c>
      <c r="AO81" s="334"/>
      <c r="AP81" s="334"/>
    </row>
    <row r="82" spans="1:42" x14ac:dyDescent="0.3">
      <c r="A82" s="41" t="s">
        <v>60</v>
      </c>
      <c r="B82" s="68" t="s">
        <v>60</v>
      </c>
      <c r="G82" s="41">
        <f t="shared" si="11"/>
        <v>0</v>
      </c>
      <c r="AL82" s="123"/>
      <c r="AM82" s="45">
        <f t="shared" si="14"/>
        <v>0</v>
      </c>
      <c r="AO82" s="334"/>
      <c r="AP82" s="334"/>
    </row>
    <row r="83" spans="1:42" x14ac:dyDescent="0.3">
      <c r="A83" s="41" t="s">
        <v>129</v>
      </c>
      <c r="B83" s="68" t="s">
        <v>129</v>
      </c>
      <c r="G83" s="41">
        <f t="shared" si="11"/>
        <v>0</v>
      </c>
      <c r="AL83" s="123"/>
      <c r="AM83" s="45">
        <f t="shared" si="14"/>
        <v>0</v>
      </c>
      <c r="AO83" s="334"/>
      <c r="AP83" s="334"/>
    </row>
    <row r="84" spans="1:42" x14ac:dyDescent="0.3">
      <c r="A84" s="41" t="s">
        <v>63</v>
      </c>
      <c r="B84" s="68" t="s">
        <v>63</v>
      </c>
      <c r="G84" s="41">
        <f t="shared" si="11"/>
        <v>0</v>
      </c>
      <c r="AL84" s="123"/>
      <c r="AM84" s="45">
        <f t="shared" si="14"/>
        <v>0</v>
      </c>
      <c r="AO84" s="334"/>
      <c r="AP84" s="334"/>
    </row>
    <row r="85" spans="1:42" x14ac:dyDescent="0.3">
      <c r="A85" s="41" t="s">
        <v>88</v>
      </c>
      <c r="B85" s="68" t="s">
        <v>88</v>
      </c>
      <c r="G85" s="41">
        <f t="shared" si="11"/>
        <v>0</v>
      </c>
      <c r="AL85" s="123"/>
      <c r="AM85" s="45">
        <f t="shared" si="14"/>
        <v>0</v>
      </c>
      <c r="AO85" s="334"/>
      <c r="AP85" s="334"/>
    </row>
    <row r="86" spans="1:42" x14ac:dyDescent="0.3">
      <c r="A86" s="41" t="s">
        <v>61</v>
      </c>
      <c r="B86" s="68" t="s">
        <v>61</v>
      </c>
      <c r="G86" s="41">
        <f t="shared" si="11"/>
        <v>0</v>
      </c>
      <c r="AL86" s="123"/>
      <c r="AM86" s="45">
        <f t="shared" si="14"/>
        <v>0</v>
      </c>
      <c r="AO86" s="334"/>
      <c r="AP86" s="334"/>
    </row>
    <row r="87" spans="1:42" x14ac:dyDescent="0.3">
      <c r="A87" s="41" t="s">
        <v>89</v>
      </c>
      <c r="B87" s="68" t="s">
        <v>89</v>
      </c>
      <c r="G87" s="41">
        <f t="shared" si="11"/>
        <v>0</v>
      </c>
      <c r="AL87" s="123"/>
      <c r="AM87" s="45">
        <f t="shared" si="14"/>
        <v>0</v>
      </c>
      <c r="AO87" s="334"/>
      <c r="AP87" s="334"/>
    </row>
    <row r="88" spans="1:42" x14ac:dyDescent="0.3">
      <c r="A88" s="41" t="s">
        <v>103</v>
      </c>
      <c r="B88" s="68" t="s">
        <v>103</v>
      </c>
      <c r="G88" s="41">
        <f t="shared" si="11"/>
        <v>0</v>
      </c>
      <c r="AL88" s="123"/>
      <c r="AM88" s="45">
        <f t="shared" si="14"/>
        <v>0</v>
      </c>
      <c r="AO88" s="334"/>
      <c r="AP88" s="334"/>
    </row>
    <row r="89" spans="1:42" x14ac:dyDescent="0.3">
      <c r="A89" s="41" t="s">
        <v>90</v>
      </c>
      <c r="B89" s="68" t="s">
        <v>90</v>
      </c>
      <c r="G89" s="41">
        <f t="shared" si="11"/>
        <v>0</v>
      </c>
      <c r="AL89" s="123"/>
      <c r="AM89" s="45">
        <f t="shared" si="14"/>
        <v>0</v>
      </c>
      <c r="AO89" s="334"/>
      <c r="AP89" s="334"/>
    </row>
    <row r="90" spans="1:42" x14ac:dyDescent="0.3">
      <c r="A90" s="41" t="s">
        <v>66</v>
      </c>
      <c r="B90" s="69" t="s">
        <v>66</v>
      </c>
      <c r="G90" s="41">
        <f t="shared" si="11"/>
        <v>0</v>
      </c>
      <c r="AL90" s="123"/>
      <c r="AM90" s="45">
        <f t="shared" si="14"/>
        <v>0</v>
      </c>
      <c r="AO90" s="334"/>
      <c r="AP90" s="334"/>
    </row>
    <row r="91" spans="1:42" x14ac:dyDescent="0.3">
      <c r="A91" s="41" t="s">
        <v>107</v>
      </c>
      <c r="B91" s="69" t="s">
        <v>107</v>
      </c>
      <c r="G91" s="41">
        <f t="shared" si="11"/>
        <v>0</v>
      </c>
      <c r="AL91" s="123"/>
      <c r="AM91" s="45">
        <f t="shared" si="14"/>
        <v>0</v>
      </c>
      <c r="AO91" s="334"/>
      <c r="AP91" s="334"/>
    </row>
    <row r="92" spans="1:42" x14ac:dyDescent="0.3">
      <c r="A92" s="41" t="s">
        <v>109</v>
      </c>
      <c r="B92" s="69" t="s">
        <v>109</v>
      </c>
      <c r="G92" s="41">
        <f t="shared" si="11"/>
        <v>0</v>
      </c>
      <c r="AL92" s="123"/>
      <c r="AM92" s="45">
        <f t="shared" si="14"/>
        <v>0</v>
      </c>
      <c r="AO92" s="334"/>
      <c r="AP92" s="334"/>
    </row>
    <row r="93" spans="1:42" x14ac:dyDescent="0.3">
      <c r="A93" s="41" t="s">
        <v>111</v>
      </c>
      <c r="B93" s="69" t="s">
        <v>111</v>
      </c>
      <c r="G93" s="41">
        <f t="shared" si="11"/>
        <v>0</v>
      </c>
      <c r="AL93" s="123"/>
      <c r="AM93" s="45">
        <f t="shared" si="14"/>
        <v>0</v>
      </c>
      <c r="AO93" s="334"/>
      <c r="AP93" s="334"/>
    </row>
    <row r="94" spans="1:42" x14ac:dyDescent="0.3">
      <c r="A94" s="41" t="s">
        <v>68</v>
      </c>
      <c r="B94" s="69" t="s">
        <v>68</v>
      </c>
      <c r="G94" s="41">
        <f t="shared" si="11"/>
        <v>0</v>
      </c>
      <c r="AL94" s="123"/>
      <c r="AM94" s="45">
        <f t="shared" si="14"/>
        <v>0</v>
      </c>
      <c r="AO94" s="334"/>
      <c r="AP94" s="334"/>
    </row>
    <row r="95" spans="1:42" x14ac:dyDescent="0.3">
      <c r="A95" s="41" t="s">
        <v>91</v>
      </c>
      <c r="B95" s="68" t="s">
        <v>91</v>
      </c>
      <c r="G95" s="41">
        <f t="shared" si="11"/>
        <v>0</v>
      </c>
      <c r="AL95" s="123"/>
      <c r="AM95" s="45">
        <f t="shared" si="14"/>
        <v>0</v>
      </c>
      <c r="AO95" s="334"/>
      <c r="AP95" s="334"/>
    </row>
    <row r="96" spans="1:42" x14ac:dyDescent="0.3">
      <c r="A96" s="41" t="s">
        <v>92</v>
      </c>
      <c r="B96" s="68" t="s">
        <v>92</v>
      </c>
      <c r="G96" s="41">
        <f t="shared" si="11"/>
        <v>0</v>
      </c>
      <c r="AL96" s="123"/>
      <c r="AM96" s="45">
        <f t="shared" si="14"/>
        <v>0</v>
      </c>
      <c r="AO96" s="334"/>
      <c r="AP96" s="334"/>
    </row>
    <row r="97" spans="1:42" x14ac:dyDescent="0.3">
      <c r="A97" s="41" t="s">
        <v>67</v>
      </c>
      <c r="B97" s="68" t="s">
        <v>67</v>
      </c>
      <c r="G97" s="41">
        <f t="shared" si="11"/>
        <v>0</v>
      </c>
      <c r="AL97" s="123"/>
      <c r="AM97" s="45">
        <f t="shared" si="14"/>
        <v>0</v>
      </c>
      <c r="AO97" s="334"/>
      <c r="AP97" s="334"/>
    </row>
    <row r="98" spans="1:42" x14ac:dyDescent="0.3">
      <c r="A98" s="41" t="s">
        <v>59</v>
      </c>
      <c r="B98" s="68" t="s">
        <v>59</v>
      </c>
      <c r="G98" s="41">
        <f t="shared" si="11"/>
        <v>0</v>
      </c>
      <c r="AL98" s="123"/>
      <c r="AM98" s="45">
        <f t="shared" si="14"/>
        <v>0</v>
      </c>
      <c r="AO98" s="334"/>
      <c r="AP98" s="334"/>
    </row>
    <row r="99" spans="1:42" x14ac:dyDescent="0.3">
      <c r="A99" s="41" t="s">
        <v>100</v>
      </c>
      <c r="B99" s="68" t="s">
        <v>100</v>
      </c>
      <c r="G99" s="41">
        <f t="shared" si="11"/>
        <v>0</v>
      </c>
      <c r="AL99" s="123"/>
      <c r="AM99" s="45">
        <f t="shared" si="14"/>
        <v>0</v>
      </c>
      <c r="AO99" s="334"/>
      <c r="AP99" s="334"/>
    </row>
    <row r="100" spans="1:42" x14ac:dyDescent="0.3">
      <c r="A100" s="41" t="s">
        <v>113</v>
      </c>
      <c r="B100" s="69" t="s">
        <v>113</v>
      </c>
      <c r="G100" s="41">
        <f t="shared" si="11"/>
        <v>0</v>
      </c>
      <c r="AL100" s="123"/>
      <c r="AM100" s="45">
        <f t="shared" si="14"/>
        <v>0</v>
      </c>
      <c r="AO100" s="334"/>
      <c r="AP100" s="334"/>
    </row>
    <row r="101" spans="1:42" x14ac:dyDescent="0.3">
      <c r="A101" s="41" t="s">
        <v>115</v>
      </c>
      <c r="B101" s="69" t="s">
        <v>115</v>
      </c>
      <c r="G101" s="41">
        <f t="shared" si="11"/>
        <v>0</v>
      </c>
      <c r="AL101" s="123"/>
      <c r="AM101" s="45">
        <f t="shared" si="14"/>
        <v>0</v>
      </c>
      <c r="AO101" s="334"/>
      <c r="AP101" s="334"/>
    </row>
    <row r="102" spans="1:42" x14ac:dyDescent="0.3">
      <c r="A102" s="41" t="s">
        <v>97</v>
      </c>
      <c r="B102" s="68" t="s">
        <v>97</v>
      </c>
      <c r="G102" s="41">
        <f t="shared" si="11"/>
        <v>0</v>
      </c>
      <c r="AL102" s="123"/>
      <c r="AM102" s="45">
        <f t="shared" si="14"/>
        <v>0</v>
      </c>
      <c r="AO102" s="334"/>
      <c r="AP102" s="334"/>
    </row>
    <row r="103" spans="1:42" x14ac:dyDescent="0.3">
      <c r="A103" s="41" t="s">
        <v>95</v>
      </c>
      <c r="B103" s="68" t="s">
        <v>95</v>
      </c>
      <c r="G103" s="41">
        <f t="shared" si="11"/>
        <v>0</v>
      </c>
      <c r="AL103" s="123"/>
      <c r="AM103" s="45">
        <f t="shared" si="14"/>
        <v>0</v>
      </c>
      <c r="AO103" s="334"/>
      <c r="AP103" s="334"/>
    </row>
    <row r="104" spans="1:42" x14ac:dyDescent="0.3">
      <c r="A104" s="41" t="s">
        <v>120</v>
      </c>
      <c r="B104" s="69" t="s">
        <v>120</v>
      </c>
      <c r="G104" s="41">
        <f t="shared" si="11"/>
        <v>0</v>
      </c>
      <c r="AL104" s="123"/>
      <c r="AM104" s="45">
        <f t="shared" si="14"/>
        <v>0</v>
      </c>
      <c r="AO104" s="334"/>
      <c r="AP104" s="334"/>
    </row>
    <row r="105" spans="1:42" x14ac:dyDescent="0.3">
      <c r="A105" s="41" t="s">
        <v>117</v>
      </c>
      <c r="B105" s="69" t="s">
        <v>117</v>
      </c>
      <c r="G105" s="41">
        <f t="shared" si="11"/>
        <v>0</v>
      </c>
      <c r="AM105" s="45">
        <f t="shared" si="14"/>
        <v>0</v>
      </c>
      <c r="AO105" s="334"/>
      <c r="AP105" s="334"/>
    </row>
    <row r="106" spans="1:42" x14ac:dyDescent="0.3">
      <c r="A106" s="41" t="s">
        <v>118</v>
      </c>
      <c r="B106" s="69" t="s">
        <v>118</v>
      </c>
      <c r="G106" s="41">
        <f t="shared" si="11"/>
        <v>0</v>
      </c>
      <c r="AM106" s="45">
        <f t="shared" si="14"/>
        <v>0</v>
      </c>
      <c r="AO106" s="334"/>
      <c r="AP106" s="334"/>
    </row>
    <row r="107" spans="1:42" x14ac:dyDescent="0.3">
      <c r="A107" s="41" t="s">
        <v>98</v>
      </c>
      <c r="B107" s="68" t="s">
        <v>98</v>
      </c>
      <c r="G107" s="41">
        <f t="shared" si="11"/>
        <v>0</v>
      </c>
      <c r="AM107" s="45">
        <f t="shared" si="14"/>
        <v>0</v>
      </c>
      <c r="AO107" s="334"/>
      <c r="AP107" s="334"/>
    </row>
    <row r="108" spans="1:42" x14ac:dyDescent="0.3">
      <c r="A108" s="41" t="s">
        <v>101</v>
      </c>
      <c r="B108" s="68" t="s">
        <v>101</v>
      </c>
      <c r="G108" s="41">
        <f t="shared" si="11"/>
        <v>0</v>
      </c>
      <c r="AM108" s="45">
        <f t="shared" si="14"/>
        <v>0</v>
      </c>
      <c r="AO108" s="334"/>
      <c r="AP108" s="334"/>
    </row>
    <row r="109" spans="1:42" x14ac:dyDescent="0.3">
      <c r="A109" s="41" t="s">
        <v>105</v>
      </c>
      <c r="B109" s="68" t="s">
        <v>105</v>
      </c>
      <c r="G109" s="41">
        <f t="shared" si="11"/>
        <v>0</v>
      </c>
      <c r="AM109" s="45">
        <f t="shared" si="14"/>
        <v>0</v>
      </c>
      <c r="AO109" s="334"/>
      <c r="AP109" s="334"/>
    </row>
    <row r="110" spans="1:42" x14ac:dyDescent="0.3">
      <c r="A110" s="41" t="s">
        <v>75</v>
      </c>
      <c r="B110" s="68" t="s">
        <v>75</v>
      </c>
      <c r="G110" s="41">
        <f t="shared" si="11"/>
        <v>0</v>
      </c>
      <c r="AM110" s="45">
        <f t="shared" si="14"/>
        <v>0</v>
      </c>
      <c r="AO110" s="334"/>
      <c r="AP110" s="334"/>
    </row>
    <row r="111" spans="1:42" x14ac:dyDescent="0.3">
      <c r="A111" s="41" t="s">
        <v>74</v>
      </c>
      <c r="B111" s="68" t="s">
        <v>74</v>
      </c>
      <c r="G111" s="41">
        <f t="shared" si="11"/>
        <v>0</v>
      </c>
      <c r="AM111" s="45">
        <f t="shared" si="14"/>
        <v>0</v>
      </c>
      <c r="AO111" s="334"/>
      <c r="AP111" s="334"/>
    </row>
    <row r="112" spans="1:42" x14ac:dyDescent="0.3">
      <c r="A112" s="41" t="s">
        <v>132</v>
      </c>
      <c r="B112" s="69" t="s">
        <v>132</v>
      </c>
      <c r="G112" s="41">
        <f t="shared" si="11"/>
        <v>0</v>
      </c>
      <c r="AM112" s="45">
        <f t="shared" si="14"/>
        <v>0</v>
      </c>
      <c r="AO112" s="334"/>
      <c r="AP112" s="334"/>
    </row>
    <row r="113" spans="1:42" x14ac:dyDescent="0.3">
      <c r="A113" s="41" t="s">
        <v>134</v>
      </c>
      <c r="B113" s="68" t="s">
        <v>134</v>
      </c>
      <c r="G113" s="41">
        <f t="shared" si="11"/>
        <v>0</v>
      </c>
      <c r="AM113" s="45">
        <f t="shared" si="14"/>
        <v>0</v>
      </c>
      <c r="AO113" s="334"/>
      <c r="AP113" s="334"/>
    </row>
    <row r="114" spans="1:42" x14ac:dyDescent="0.3">
      <c r="A114" s="41" t="s">
        <v>137</v>
      </c>
      <c r="B114" s="68" t="s">
        <v>137</v>
      </c>
      <c r="G114" s="41">
        <f t="shared" si="11"/>
        <v>0</v>
      </c>
      <c r="AM114" s="45">
        <f t="shared" si="14"/>
        <v>0</v>
      </c>
      <c r="AO114" s="334"/>
      <c r="AP114" s="334"/>
    </row>
    <row r="115" spans="1:42" x14ac:dyDescent="0.3">
      <c r="A115" s="41" t="s">
        <v>136</v>
      </c>
      <c r="B115" s="68" t="s">
        <v>136</v>
      </c>
      <c r="G115" s="41">
        <f t="shared" si="11"/>
        <v>0</v>
      </c>
      <c r="AM115" s="45">
        <f t="shared" si="14"/>
        <v>0</v>
      </c>
      <c r="AO115" s="334"/>
      <c r="AP115" s="334"/>
    </row>
    <row r="116" spans="1:42" x14ac:dyDescent="0.3">
      <c r="A116" s="41" t="s">
        <v>71</v>
      </c>
      <c r="B116" s="68" t="s">
        <v>71</v>
      </c>
      <c r="AM116" s="45">
        <f t="shared" si="14"/>
        <v>0</v>
      </c>
      <c r="AO116" s="334"/>
      <c r="AP116" s="334"/>
    </row>
    <row r="117" spans="1:42" x14ac:dyDescent="0.3">
      <c r="A117" s="41" t="s">
        <v>78</v>
      </c>
      <c r="B117" s="68" t="s">
        <v>78</v>
      </c>
      <c r="AM117" s="45">
        <f t="shared" si="14"/>
        <v>0</v>
      </c>
      <c r="AO117" s="334"/>
      <c r="AP117" s="334"/>
    </row>
    <row r="118" spans="1:42" x14ac:dyDescent="0.3">
      <c r="A118" s="41" t="s">
        <v>125</v>
      </c>
      <c r="B118" s="68" t="s">
        <v>125</v>
      </c>
      <c r="AM118" s="45">
        <f t="shared" si="14"/>
        <v>0</v>
      </c>
      <c r="AO118" s="334"/>
      <c r="AP118" s="334"/>
    </row>
    <row r="119" spans="1:42" x14ac:dyDescent="0.3">
      <c r="A119" s="41" t="s">
        <v>121</v>
      </c>
      <c r="B119" s="70" t="s">
        <v>121</v>
      </c>
      <c r="AM119" s="45">
        <f t="shared" si="14"/>
        <v>0</v>
      </c>
      <c r="AO119" s="334"/>
      <c r="AP119" s="334"/>
    </row>
    <row r="120" spans="1:42" x14ac:dyDescent="0.3">
      <c r="AM120" s="45">
        <f t="shared" si="14"/>
        <v>0</v>
      </c>
      <c r="AO120" s="334"/>
      <c r="AP120" s="334"/>
    </row>
    <row r="121" spans="1:42" x14ac:dyDescent="0.3">
      <c r="A121" s="41">
        <v>14551</v>
      </c>
      <c r="B121" s="41" t="s">
        <v>188</v>
      </c>
      <c r="AM121" s="45">
        <f t="shared" si="14"/>
        <v>0</v>
      </c>
      <c r="AO121" s="334"/>
      <c r="AP121" s="334"/>
    </row>
    <row r="122" spans="1:42" x14ac:dyDescent="0.3">
      <c r="A122" s="41" t="s">
        <v>189</v>
      </c>
      <c r="B122" s="41" t="s">
        <v>190</v>
      </c>
      <c r="AM122" s="45">
        <f t="shared" si="14"/>
        <v>0</v>
      </c>
      <c r="AO122" s="334"/>
      <c r="AP122" s="334"/>
    </row>
    <row r="123" spans="1:42" x14ac:dyDescent="0.3">
      <c r="A123" s="41">
        <v>13681</v>
      </c>
      <c r="B123" s="41" t="s">
        <v>191</v>
      </c>
      <c r="AM123" s="45">
        <f t="shared" si="14"/>
        <v>0</v>
      </c>
      <c r="AO123" s="334"/>
      <c r="AP123" s="334"/>
    </row>
    <row r="124" spans="1:42" x14ac:dyDescent="0.3">
      <c r="A124" s="41" t="s">
        <v>196</v>
      </c>
      <c r="B124" s="41" t="s">
        <v>217</v>
      </c>
      <c r="AM124" s="45">
        <f t="shared" si="14"/>
        <v>0</v>
      </c>
      <c r="AO124" s="334"/>
      <c r="AP124" s="334"/>
    </row>
    <row r="125" spans="1:42" x14ac:dyDescent="0.3">
      <c r="A125" s="41" t="s">
        <v>218</v>
      </c>
      <c r="B125" s="41" t="s">
        <v>219</v>
      </c>
      <c r="AM125" s="45">
        <f t="shared" si="14"/>
        <v>0</v>
      </c>
      <c r="AO125" s="334"/>
      <c r="AP125" s="334"/>
    </row>
    <row r="126" spans="1:42" x14ac:dyDescent="0.3">
      <c r="A126" s="41" t="s">
        <v>220</v>
      </c>
      <c r="B126" s="41" t="s">
        <v>221</v>
      </c>
      <c r="AM126" s="45">
        <f t="shared" si="14"/>
        <v>0</v>
      </c>
      <c r="AO126" s="334"/>
      <c r="AP126" s="334"/>
    </row>
    <row r="127" spans="1:42" x14ac:dyDescent="0.3">
      <c r="A127" s="41" t="s">
        <v>13611</v>
      </c>
      <c r="B127" s="41" t="s">
        <v>13611</v>
      </c>
      <c r="AM127" s="45">
        <f t="shared" si="14"/>
        <v>0</v>
      </c>
      <c r="AO127" s="334"/>
      <c r="AP127" s="334"/>
    </row>
    <row r="128" spans="1:42" x14ac:dyDescent="0.3">
      <c r="A128" s="41" t="s">
        <v>13612</v>
      </c>
      <c r="B128" s="41" t="s">
        <v>13612</v>
      </c>
      <c r="AM128" s="45">
        <f t="shared" si="14"/>
        <v>0</v>
      </c>
      <c r="AO128" s="334"/>
      <c r="AP128" s="334"/>
    </row>
    <row r="129" spans="1:42" x14ac:dyDescent="0.3">
      <c r="A129" s="41" t="s">
        <v>13517</v>
      </c>
      <c r="B129" s="41" t="s">
        <v>13517</v>
      </c>
      <c r="AM129" s="45">
        <f t="shared" si="14"/>
        <v>0</v>
      </c>
      <c r="AO129" s="334"/>
      <c r="AP129" s="334"/>
    </row>
    <row r="130" spans="1:42" x14ac:dyDescent="0.3">
      <c r="A130" s="41" t="s">
        <v>13613</v>
      </c>
      <c r="B130" s="41" t="s">
        <v>13613</v>
      </c>
      <c r="AM130" s="45">
        <f t="shared" si="14"/>
        <v>0</v>
      </c>
      <c r="AO130" s="334"/>
      <c r="AP130" s="334"/>
    </row>
    <row r="131" spans="1:42" x14ac:dyDescent="0.3">
      <c r="A131" s="41" t="s">
        <v>13614</v>
      </c>
      <c r="B131" s="41" t="s">
        <v>13614</v>
      </c>
      <c r="AO131" s="334"/>
      <c r="AP131" s="334"/>
    </row>
    <row r="132" spans="1:42" ht="19.2" x14ac:dyDescent="0.3">
      <c r="A132" s="123" t="s">
        <v>13640</v>
      </c>
      <c r="B132" s="123" t="s">
        <v>13640</v>
      </c>
      <c r="AO132" s="334"/>
      <c r="AP132" s="334"/>
    </row>
    <row r="133" spans="1:42" x14ac:dyDescent="0.3">
      <c r="A133" s="41" t="s">
        <v>13831</v>
      </c>
      <c r="B133" s="41" t="s">
        <v>13612</v>
      </c>
      <c r="AO133" s="334"/>
      <c r="AP133" s="334"/>
    </row>
    <row r="134" spans="1:42" x14ac:dyDescent="0.3">
      <c r="A134" s="41" t="s">
        <v>13832</v>
      </c>
      <c r="B134" s="41" t="s">
        <v>13612</v>
      </c>
      <c r="AO134" s="334"/>
      <c r="AP134" s="334"/>
    </row>
    <row r="135" spans="1:42" x14ac:dyDescent="0.3">
      <c r="A135" s="123" t="s">
        <v>13833</v>
      </c>
      <c r="B135" s="41" t="s">
        <v>13614</v>
      </c>
      <c r="AO135" s="334"/>
      <c r="AP135" s="334"/>
    </row>
    <row r="136" spans="1:42" x14ac:dyDescent="0.3">
      <c r="A136" s="41" t="s">
        <v>13835</v>
      </c>
      <c r="B136" s="123" t="s">
        <v>13640</v>
      </c>
      <c r="AO136" s="334"/>
      <c r="AP136" s="334"/>
    </row>
    <row r="137" spans="1:42" x14ac:dyDescent="0.3">
      <c r="A137" s="123" t="s">
        <v>13836</v>
      </c>
      <c r="B137" s="41" t="s">
        <v>13517</v>
      </c>
      <c r="AO137" s="334"/>
      <c r="AP137" s="334"/>
    </row>
    <row r="138" spans="1:42" x14ac:dyDescent="0.3">
      <c r="AO138" s="334"/>
      <c r="AP138" s="334"/>
    </row>
    <row r="139" spans="1:42" x14ac:dyDescent="0.3">
      <c r="AO139" s="334"/>
      <c r="AP139" s="334"/>
    </row>
    <row r="140" spans="1:42" x14ac:dyDescent="0.3">
      <c r="AO140" s="334"/>
      <c r="AP140" s="334"/>
    </row>
    <row r="141" spans="1:42" x14ac:dyDescent="0.3">
      <c r="AO141" s="334"/>
      <c r="AP141" s="334"/>
    </row>
    <row r="142" spans="1:42" x14ac:dyDescent="0.3">
      <c r="AO142" s="334"/>
      <c r="AP142" s="334"/>
    </row>
    <row r="143" spans="1:42" x14ac:dyDescent="0.3">
      <c r="AO143" s="334"/>
      <c r="AP143" s="334"/>
    </row>
    <row r="144" spans="1:42" x14ac:dyDescent="0.3">
      <c r="AO144" s="334"/>
      <c r="AP144" s="334"/>
    </row>
    <row r="145" spans="41:42" x14ac:dyDescent="0.3">
      <c r="AO145" s="334"/>
      <c r="AP145" s="334"/>
    </row>
    <row r="146" spans="41:42" x14ac:dyDescent="0.3">
      <c r="AO146" s="334"/>
      <c r="AP146" s="334"/>
    </row>
    <row r="147" spans="41:42" x14ac:dyDescent="0.3">
      <c r="AO147" s="334"/>
      <c r="AP147" s="334"/>
    </row>
    <row r="148" spans="41:42" x14ac:dyDescent="0.3">
      <c r="AO148" s="334"/>
      <c r="AP148" s="334"/>
    </row>
    <row r="149" spans="41:42" x14ac:dyDescent="0.3">
      <c r="AO149" s="334"/>
      <c r="AP149" s="334"/>
    </row>
    <row r="150" spans="41:42" x14ac:dyDescent="0.3">
      <c r="AO150" s="334"/>
      <c r="AP150" s="334"/>
    </row>
    <row r="151" spans="41:42" x14ac:dyDescent="0.3">
      <c r="AO151" s="334"/>
      <c r="AP151" s="334"/>
    </row>
    <row r="152" spans="41:42" x14ac:dyDescent="0.3">
      <c r="AO152" s="334"/>
      <c r="AP152" s="334"/>
    </row>
    <row r="153" spans="41:42" x14ac:dyDescent="0.3">
      <c r="AO153" s="334"/>
      <c r="AP153" s="334"/>
    </row>
    <row r="154" spans="41:42" x14ac:dyDescent="0.3">
      <c r="AO154" s="334"/>
      <c r="AP154" s="334"/>
    </row>
    <row r="155" spans="41:42" x14ac:dyDescent="0.3">
      <c r="AO155" s="334"/>
      <c r="AP155" s="334"/>
    </row>
    <row r="156" spans="41:42" x14ac:dyDescent="0.3">
      <c r="AO156" s="334"/>
      <c r="AP156" s="334"/>
    </row>
    <row r="157" spans="41:42" x14ac:dyDescent="0.3">
      <c r="AO157" s="334"/>
      <c r="AP157" s="334"/>
    </row>
    <row r="158" spans="41:42" x14ac:dyDescent="0.3">
      <c r="AO158" s="334"/>
      <c r="AP158" s="334"/>
    </row>
    <row r="159" spans="41:42" x14ac:dyDescent="0.3">
      <c r="AO159" s="334"/>
      <c r="AP159" s="334"/>
    </row>
    <row r="160" spans="41:42" x14ac:dyDescent="0.3">
      <c r="AO160" s="334"/>
      <c r="AP160" s="334"/>
    </row>
    <row r="161" spans="41:42" x14ac:dyDescent="0.3">
      <c r="AO161" s="334"/>
      <c r="AP161" s="334"/>
    </row>
    <row r="162" spans="41:42" x14ac:dyDescent="0.3">
      <c r="AO162" s="334"/>
      <c r="AP162" s="334"/>
    </row>
    <row r="163" spans="41:42" x14ac:dyDescent="0.3">
      <c r="AO163" s="334"/>
      <c r="AP163" s="334"/>
    </row>
    <row r="164" spans="41:42" x14ac:dyDescent="0.3">
      <c r="AO164" s="334"/>
      <c r="AP164" s="334"/>
    </row>
    <row r="165" spans="41:42" x14ac:dyDescent="0.3">
      <c r="AO165" s="334"/>
      <c r="AP165" s="334"/>
    </row>
    <row r="166" spans="41:42" x14ac:dyDescent="0.3">
      <c r="AO166" s="334"/>
      <c r="AP166" s="334"/>
    </row>
    <row r="167" spans="41:42" x14ac:dyDescent="0.3">
      <c r="AO167" s="334"/>
      <c r="AP167" s="334"/>
    </row>
    <row r="168" spans="41:42" x14ac:dyDescent="0.3">
      <c r="AO168" s="334"/>
      <c r="AP168" s="334"/>
    </row>
    <row r="169" spans="41:42" x14ac:dyDescent="0.3">
      <c r="AO169" s="334"/>
      <c r="AP169" s="334"/>
    </row>
    <row r="170" spans="41:42" x14ac:dyDescent="0.3">
      <c r="AO170" s="334"/>
      <c r="AP170" s="334"/>
    </row>
    <row r="171" spans="41:42" x14ac:dyDescent="0.3">
      <c r="AO171" s="334"/>
      <c r="AP171" s="334"/>
    </row>
    <row r="172" spans="41:42" x14ac:dyDescent="0.3">
      <c r="AO172" s="334"/>
      <c r="AP172" s="334"/>
    </row>
    <row r="173" spans="41:42" x14ac:dyDescent="0.3">
      <c r="AO173" s="334"/>
      <c r="AP173" s="334"/>
    </row>
    <row r="174" spans="41:42" x14ac:dyDescent="0.3">
      <c r="AO174" s="334"/>
      <c r="AP174" s="334"/>
    </row>
    <row r="175" spans="41:42" x14ac:dyDescent="0.3">
      <c r="AO175" s="334"/>
      <c r="AP175" s="334"/>
    </row>
    <row r="176" spans="41:42" x14ac:dyDescent="0.3">
      <c r="AO176" s="334"/>
      <c r="AP176" s="334"/>
    </row>
    <row r="177" spans="41:42" x14ac:dyDescent="0.3">
      <c r="AO177" s="334"/>
      <c r="AP177" s="334"/>
    </row>
    <row r="178" spans="41:42" x14ac:dyDescent="0.3">
      <c r="AO178" s="334"/>
      <c r="AP178" s="334"/>
    </row>
    <row r="179" spans="41:42" x14ac:dyDescent="0.3">
      <c r="AO179" s="334"/>
      <c r="AP179" s="334"/>
    </row>
    <row r="180" spans="41:42" x14ac:dyDescent="0.3">
      <c r="AO180" s="334"/>
      <c r="AP180" s="334"/>
    </row>
    <row r="181" spans="41:42" x14ac:dyDescent="0.3">
      <c r="AO181" s="334"/>
      <c r="AP181" s="334"/>
    </row>
    <row r="182" spans="41:42" x14ac:dyDescent="0.3">
      <c r="AO182" s="334"/>
      <c r="AP182" s="334"/>
    </row>
    <row r="183" spans="41:42" x14ac:dyDescent="0.3">
      <c r="AO183" s="334"/>
      <c r="AP183" s="334"/>
    </row>
    <row r="184" spans="41:42" x14ac:dyDescent="0.3">
      <c r="AO184" s="334"/>
      <c r="AP184" s="334"/>
    </row>
    <row r="185" spans="41:42" x14ac:dyDescent="0.3">
      <c r="AO185" s="334"/>
      <c r="AP185" s="334"/>
    </row>
    <row r="186" spans="41:42" x14ac:dyDescent="0.3">
      <c r="AO186" s="334"/>
      <c r="AP186" s="334"/>
    </row>
    <row r="187" spans="41:42" x14ac:dyDescent="0.3">
      <c r="AO187" s="334"/>
      <c r="AP187" s="334"/>
    </row>
    <row r="188" spans="41:42" x14ac:dyDescent="0.3">
      <c r="AO188" s="334"/>
      <c r="AP188" s="334"/>
    </row>
    <row r="189" spans="41:42" x14ac:dyDescent="0.3">
      <c r="AO189" s="334"/>
      <c r="AP189" s="334"/>
    </row>
    <row r="190" spans="41:42" x14ac:dyDescent="0.3">
      <c r="AO190" s="334"/>
      <c r="AP190" s="334"/>
    </row>
    <row r="191" spans="41:42" x14ac:dyDescent="0.3">
      <c r="AO191" s="334"/>
      <c r="AP191" s="334"/>
    </row>
    <row r="192" spans="41:42" x14ac:dyDescent="0.3">
      <c r="AO192" s="334"/>
      <c r="AP192" s="334"/>
    </row>
    <row r="193" spans="41:42" x14ac:dyDescent="0.3">
      <c r="AO193" s="334"/>
      <c r="AP193" s="334"/>
    </row>
    <row r="194" spans="41:42" x14ac:dyDescent="0.3">
      <c r="AO194" s="334"/>
      <c r="AP194" s="334"/>
    </row>
    <row r="195" spans="41:42" x14ac:dyDescent="0.3">
      <c r="AO195" s="334"/>
      <c r="AP195" s="334"/>
    </row>
    <row r="196" spans="41:42" x14ac:dyDescent="0.3">
      <c r="AO196" s="334"/>
      <c r="AP196" s="334"/>
    </row>
    <row r="197" spans="41:42" x14ac:dyDescent="0.3">
      <c r="AO197" s="334"/>
      <c r="AP197" s="334"/>
    </row>
    <row r="198" spans="41:42" x14ac:dyDescent="0.3">
      <c r="AO198" s="334"/>
      <c r="AP198" s="334"/>
    </row>
    <row r="199" spans="41:42" x14ac:dyDescent="0.3">
      <c r="AO199" s="334"/>
      <c r="AP199" s="334"/>
    </row>
    <row r="200" spans="41:42" x14ac:dyDescent="0.3">
      <c r="AO200" s="334"/>
      <c r="AP200" s="334"/>
    </row>
    <row r="201" spans="41:42" x14ac:dyDescent="0.3">
      <c r="AO201" s="334"/>
      <c r="AP201" s="334"/>
    </row>
    <row r="202" spans="41:42" x14ac:dyDescent="0.3">
      <c r="AO202" s="334"/>
      <c r="AP202" s="334"/>
    </row>
    <row r="203" spans="41:42" x14ac:dyDescent="0.3">
      <c r="AO203" s="334"/>
      <c r="AP203" s="334"/>
    </row>
    <row r="204" spans="41:42" x14ac:dyDescent="0.3">
      <c r="AO204" s="334"/>
      <c r="AP204" s="334"/>
    </row>
    <row r="205" spans="41:42" x14ac:dyDescent="0.3">
      <c r="AO205" s="334"/>
      <c r="AP205" s="334"/>
    </row>
    <row r="206" spans="41:42" x14ac:dyDescent="0.3">
      <c r="AO206" s="334"/>
      <c r="AP206" s="334"/>
    </row>
    <row r="207" spans="41:42" x14ac:dyDescent="0.3">
      <c r="AO207" s="334"/>
      <c r="AP207" s="334"/>
    </row>
    <row r="208" spans="41:42" x14ac:dyDescent="0.3">
      <c r="AO208" s="334"/>
      <c r="AP208" s="334"/>
    </row>
    <row r="209" spans="41:42" x14ac:dyDescent="0.3">
      <c r="AO209" s="334"/>
      <c r="AP209" s="334"/>
    </row>
    <row r="210" spans="41:42" x14ac:dyDescent="0.3">
      <c r="AO210" s="334"/>
      <c r="AP210" s="334"/>
    </row>
    <row r="211" spans="41:42" x14ac:dyDescent="0.3">
      <c r="AO211" s="334"/>
      <c r="AP211" s="334"/>
    </row>
    <row r="212" spans="41:42" x14ac:dyDescent="0.3">
      <c r="AO212" s="334"/>
      <c r="AP212" s="334"/>
    </row>
    <row r="213" spans="41:42" x14ac:dyDescent="0.3">
      <c r="AO213" s="334"/>
      <c r="AP213" s="334"/>
    </row>
    <row r="214" spans="41:42" x14ac:dyDescent="0.3">
      <c r="AO214" s="334"/>
      <c r="AP214" s="334"/>
    </row>
    <row r="215" spans="41:42" x14ac:dyDescent="0.3">
      <c r="AO215" s="334"/>
      <c r="AP215" s="334"/>
    </row>
    <row r="216" spans="41:42" x14ac:dyDescent="0.3">
      <c r="AO216" s="334"/>
      <c r="AP216" s="334"/>
    </row>
    <row r="217" spans="41:42" x14ac:dyDescent="0.3">
      <c r="AO217" s="334"/>
      <c r="AP217" s="334"/>
    </row>
    <row r="218" spans="41:42" x14ac:dyDescent="0.3">
      <c r="AO218" s="334"/>
      <c r="AP218" s="334"/>
    </row>
    <row r="219" spans="41:42" x14ac:dyDescent="0.3">
      <c r="AO219" s="334"/>
      <c r="AP219" s="334"/>
    </row>
    <row r="220" spans="41:42" x14ac:dyDescent="0.3">
      <c r="AO220" s="334"/>
      <c r="AP220" s="334"/>
    </row>
    <row r="221" spans="41:42" x14ac:dyDescent="0.3">
      <c r="AO221" s="334"/>
      <c r="AP221" s="334"/>
    </row>
    <row r="222" spans="41:42" x14ac:dyDescent="0.3">
      <c r="AO222" s="334"/>
      <c r="AP222" s="334"/>
    </row>
    <row r="223" spans="41:42" x14ac:dyDescent="0.3">
      <c r="AO223" s="334"/>
      <c r="AP223" s="334"/>
    </row>
    <row r="224" spans="41:42" x14ac:dyDescent="0.3">
      <c r="AO224" s="334"/>
      <c r="AP224" s="334"/>
    </row>
    <row r="225" spans="41:42" x14ac:dyDescent="0.3">
      <c r="AO225" s="334"/>
      <c r="AP225" s="334"/>
    </row>
    <row r="226" spans="41:42" x14ac:dyDescent="0.3">
      <c r="AO226" s="334"/>
      <c r="AP226" s="334"/>
    </row>
    <row r="227" spans="41:42" x14ac:dyDescent="0.3">
      <c r="AO227" s="334"/>
      <c r="AP227" s="334"/>
    </row>
    <row r="228" spans="41:42" x14ac:dyDescent="0.3">
      <c r="AO228" s="334"/>
      <c r="AP228" s="334"/>
    </row>
    <row r="229" spans="41:42" x14ac:dyDescent="0.3">
      <c r="AO229" s="334"/>
      <c r="AP229" s="334"/>
    </row>
    <row r="230" spans="41:42" x14ac:dyDescent="0.3">
      <c r="AO230" s="334"/>
      <c r="AP230" s="334"/>
    </row>
    <row r="231" spans="41:42" x14ac:dyDescent="0.3">
      <c r="AO231" s="334"/>
      <c r="AP231" s="334"/>
    </row>
    <row r="232" spans="41:42" x14ac:dyDescent="0.3">
      <c r="AO232" s="334"/>
      <c r="AP232" s="334"/>
    </row>
    <row r="233" spans="41:42" x14ac:dyDescent="0.3">
      <c r="AO233" s="334"/>
      <c r="AP233" s="334"/>
    </row>
    <row r="234" spans="41:42" x14ac:dyDescent="0.3">
      <c r="AO234" s="334"/>
      <c r="AP234" s="334"/>
    </row>
    <row r="235" spans="41:42" x14ac:dyDescent="0.3">
      <c r="AO235" s="334"/>
      <c r="AP235" s="334"/>
    </row>
    <row r="236" spans="41:42" x14ac:dyDescent="0.3">
      <c r="AO236" s="334"/>
      <c r="AP236" s="334"/>
    </row>
    <row r="237" spans="41:42" x14ac:dyDescent="0.3">
      <c r="AO237" s="334"/>
      <c r="AP237" s="334"/>
    </row>
    <row r="238" spans="41:42" x14ac:dyDescent="0.3">
      <c r="AO238" s="334"/>
      <c r="AP238" s="334"/>
    </row>
    <row r="239" spans="41:42" x14ac:dyDescent="0.3">
      <c r="AO239" s="334"/>
      <c r="AP239" s="334"/>
    </row>
    <row r="240" spans="41:42" x14ac:dyDescent="0.3">
      <c r="AO240" s="334"/>
      <c r="AP240" s="334"/>
    </row>
    <row r="241" spans="41:42" x14ac:dyDescent="0.3">
      <c r="AO241" s="334"/>
      <c r="AP241" s="334"/>
    </row>
    <row r="242" spans="41:42" x14ac:dyDescent="0.3">
      <c r="AO242" s="334"/>
      <c r="AP242" s="334"/>
    </row>
    <row r="243" spans="41:42" x14ac:dyDescent="0.3">
      <c r="AO243" s="334"/>
      <c r="AP243" s="334"/>
    </row>
    <row r="244" spans="41:42" x14ac:dyDescent="0.3">
      <c r="AO244" s="334"/>
      <c r="AP244" s="334"/>
    </row>
    <row r="245" spans="41:42" x14ac:dyDescent="0.3">
      <c r="AO245" s="334"/>
      <c r="AP245" s="334"/>
    </row>
    <row r="246" spans="41:42" x14ac:dyDescent="0.3">
      <c r="AO246" s="334"/>
      <c r="AP246" s="334"/>
    </row>
    <row r="247" spans="41:42" x14ac:dyDescent="0.3">
      <c r="AO247" s="334"/>
      <c r="AP247" s="334"/>
    </row>
    <row r="248" spans="41:42" x14ac:dyDescent="0.3">
      <c r="AO248" s="334"/>
      <c r="AP248" s="334"/>
    </row>
    <row r="249" spans="41:42" x14ac:dyDescent="0.3">
      <c r="AO249" s="334"/>
      <c r="AP249" s="334"/>
    </row>
    <row r="250" spans="41:42" x14ac:dyDescent="0.3">
      <c r="AO250" s="334"/>
      <c r="AP250" s="334"/>
    </row>
    <row r="251" spans="41:42" x14ac:dyDescent="0.3">
      <c r="AO251" s="334"/>
      <c r="AP251" s="334"/>
    </row>
    <row r="252" spans="41:42" x14ac:dyDescent="0.3">
      <c r="AO252" s="334"/>
      <c r="AP252" s="334"/>
    </row>
    <row r="253" spans="41:42" x14ac:dyDescent="0.3">
      <c r="AO253" s="334"/>
      <c r="AP253" s="334"/>
    </row>
    <row r="254" spans="41:42" x14ac:dyDescent="0.3">
      <c r="AO254" s="334"/>
      <c r="AP254" s="334"/>
    </row>
    <row r="255" spans="41:42" x14ac:dyDescent="0.3">
      <c r="AO255" s="334"/>
      <c r="AP255" s="334"/>
    </row>
    <row r="256" spans="41:42" x14ac:dyDescent="0.3">
      <c r="AO256" s="334"/>
      <c r="AP256" s="334"/>
    </row>
    <row r="257" spans="41:42" x14ac:dyDescent="0.3">
      <c r="AO257" s="334"/>
      <c r="AP257" s="334"/>
    </row>
    <row r="258" spans="41:42" x14ac:dyDescent="0.3">
      <c r="AO258" s="334"/>
      <c r="AP258" s="334"/>
    </row>
    <row r="259" spans="41:42" x14ac:dyDescent="0.3">
      <c r="AO259" s="334"/>
      <c r="AP259" s="334"/>
    </row>
    <row r="260" spans="41:42" x14ac:dyDescent="0.3">
      <c r="AO260" s="334"/>
      <c r="AP260" s="334"/>
    </row>
    <row r="261" spans="41:42" x14ac:dyDescent="0.3">
      <c r="AO261" s="334"/>
      <c r="AP261" s="334"/>
    </row>
    <row r="262" spans="41:42" x14ac:dyDescent="0.3">
      <c r="AO262" s="334"/>
      <c r="AP262" s="334"/>
    </row>
    <row r="263" spans="41:42" x14ac:dyDescent="0.3">
      <c r="AO263" s="334"/>
      <c r="AP263" s="334"/>
    </row>
    <row r="264" spans="41:42" x14ac:dyDescent="0.3">
      <c r="AO264" s="334"/>
      <c r="AP264" s="334"/>
    </row>
    <row r="265" spans="41:42" x14ac:dyDescent="0.3">
      <c r="AO265" s="334"/>
      <c r="AP265" s="334"/>
    </row>
    <row r="266" spans="41:42" x14ac:dyDescent="0.3">
      <c r="AO266" s="334"/>
      <c r="AP266" s="334"/>
    </row>
    <row r="267" spans="41:42" x14ac:dyDescent="0.3">
      <c r="AO267" s="334"/>
      <c r="AP267" s="334"/>
    </row>
    <row r="268" spans="41:42" x14ac:dyDescent="0.3">
      <c r="AO268" s="334"/>
      <c r="AP268" s="334"/>
    </row>
    <row r="269" spans="41:42" x14ac:dyDescent="0.3">
      <c r="AO269" s="334"/>
      <c r="AP269" s="334"/>
    </row>
    <row r="270" spans="41:42" x14ac:dyDescent="0.3">
      <c r="AO270" s="334"/>
      <c r="AP270" s="334"/>
    </row>
    <row r="271" spans="41:42" x14ac:dyDescent="0.3">
      <c r="AO271" s="334"/>
      <c r="AP271" s="334"/>
    </row>
    <row r="272" spans="41:42" x14ac:dyDescent="0.3">
      <c r="AO272" s="334"/>
      <c r="AP272" s="334"/>
    </row>
    <row r="273" spans="41:42" x14ac:dyDescent="0.3">
      <c r="AO273" s="334"/>
      <c r="AP273" s="334"/>
    </row>
    <row r="274" spans="41:42" x14ac:dyDescent="0.3">
      <c r="AO274" s="334"/>
      <c r="AP274" s="334"/>
    </row>
    <row r="275" spans="41:42" x14ac:dyDescent="0.3">
      <c r="AO275" s="334"/>
      <c r="AP275" s="334"/>
    </row>
    <row r="276" spans="41:42" x14ac:dyDescent="0.3">
      <c r="AO276" s="334"/>
      <c r="AP276" s="334"/>
    </row>
    <row r="277" spans="41:42" x14ac:dyDescent="0.3">
      <c r="AO277" s="334"/>
      <c r="AP277" s="334"/>
    </row>
    <row r="278" spans="41:42" x14ac:dyDescent="0.3">
      <c r="AO278" s="334"/>
      <c r="AP278" s="334"/>
    </row>
    <row r="279" spans="41:42" x14ac:dyDescent="0.3">
      <c r="AO279" s="334"/>
      <c r="AP279" s="334"/>
    </row>
    <row r="280" spans="41:42" x14ac:dyDescent="0.3">
      <c r="AO280" s="334"/>
      <c r="AP280" s="334"/>
    </row>
    <row r="281" spans="41:42" x14ac:dyDescent="0.3">
      <c r="AO281" s="334"/>
      <c r="AP281" s="334"/>
    </row>
    <row r="282" spans="41:42" x14ac:dyDescent="0.3">
      <c r="AO282" s="334"/>
      <c r="AP282" s="334"/>
    </row>
    <row r="283" spans="41:42" x14ac:dyDescent="0.3">
      <c r="AO283" s="334"/>
      <c r="AP283" s="334"/>
    </row>
    <row r="284" spans="41:42" x14ac:dyDescent="0.3">
      <c r="AO284" s="334"/>
      <c r="AP284" s="334"/>
    </row>
    <row r="285" spans="41:42" x14ac:dyDescent="0.3">
      <c r="AO285" s="334"/>
      <c r="AP285" s="334"/>
    </row>
    <row r="286" spans="41:42" x14ac:dyDescent="0.3">
      <c r="AO286" s="334"/>
      <c r="AP286" s="334"/>
    </row>
    <row r="287" spans="41:42" x14ac:dyDescent="0.3">
      <c r="AO287" s="334"/>
      <c r="AP287" s="334"/>
    </row>
    <row r="288" spans="41:42" x14ac:dyDescent="0.3">
      <c r="AO288" s="334"/>
      <c r="AP288" s="334"/>
    </row>
    <row r="289" spans="41:42" x14ac:dyDescent="0.3">
      <c r="AO289" s="334"/>
      <c r="AP289" s="334"/>
    </row>
    <row r="290" spans="41:42" x14ac:dyDescent="0.3">
      <c r="AO290" s="334"/>
      <c r="AP290" s="334"/>
    </row>
    <row r="291" spans="41:42" x14ac:dyDescent="0.3">
      <c r="AO291" s="334"/>
      <c r="AP291" s="334"/>
    </row>
    <row r="292" spans="41:42" x14ac:dyDescent="0.3">
      <c r="AO292" s="334"/>
      <c r="AP292" s="334"/>
    </row>
    <row r="293" spans="41:42" x14ac:dyDescent="0.3">
      <c r="AO293" s="334"/>
      <c r="AP293" s="334"/>
    </row>
    <row r="294" spans="41:42" x14ac:dyDescent="0.3">
      <c r="AO294" s="334"/>
      <c r="AP294" s="334"/>
    </row>
    <row r="295" spans="41:42" x14ac:dyDescent="0.3">
      <c r="AO295" s="334"/>
      <c r="AP295" s="334"/>
    </row>
    <row r="296" spans="41:42" x14ac:dyDescent="0.3">
      <c r="AO296" s="334"/>
      <c r="AP296" s="334"/>
    </row>
    <row r="297" spans="41:42" x14ac:dyDescent="0.3">
      <c r="AO297" s="334"/>
      <c r="AP297" s="334"/>
    </row>
    <row r="298" spans="41:42" x14ac:dyDescent="0.3">
      <c r="AO298" s="334"/>
      <c r="AP298" s="334"/>
    </row>
    <row r="299" spans="41:42" x14ac:dyDescent="0.3">
      <c r="AO299" s="334"/>
      <c r="AP299" s="334"/>
    </row>
    <row r="300" spans="41:42" x14ac:dyDescent="0.3">
      <c r="AO300" s="334"/>
      <c r="AP300" s="334"/>
    </row>
    <row r="301" spans="41:42" x14ac:dyDescent="0.3">
      <c r="AO301" s="334"/>
      <c r="AP301" s="334"/>
    </row>
    <row r="302" spans="41:42" x14ac:dyDescent="0.3">
      <c r="AO302" s="334"/>
      <c r="AP302" s="334"/>
    </row>
    <row r="303" spans="41:42" x14ac:dyDescent="0.3">
      <c r="AO303" s="334"/>
      <c r="AP303" s="334"/>
    </row>
    <row r="304" spans="41:42" x14ac:dyDescent="0.3">
      <c r="AO304" s="334"/>
      <c r="AP304" s="334"/>
    </row>
    <row r="305" spans="41:42" x14ac:dyDescent="0.3">
      <c r="AO305" s="334"/>
      <c r="AP305" s="334"/>
    </row>
    <row r="306" spans="41:42" x14ac:dyDescent="0.3">
      <c r="AO306" s="334"/>
      <c r="AP306" s="334"/>
    </row>
    <row r="307" spans="41:42" x14ac:dyDescent="0.3">
      <c r="AO307" s="334"/>
      <c r="AP307" s="334"/>
    </row>
    <row r="308" spans="41:42" x14ac:dyDescent="0.3">
      <c r="AO308" s="334"/>
      <c r="AP308" s="334"/>
    </row>
    <row r="309" spans="41:42" x14ac:dyDescent="0.3">
      <c r="AO309" s="334"/>
      <c r="AP309" s="334"/>
    </row>
    <row r="310" spans="41:42" x14ac:dyDescent="0.3">
      <c r="AO310" s="334"/>
      <c r="AP310" s="334"/>
    </row>
    <row r="311" spans="41:42" x14ac:dyDescent="0.3">
      <c r="AO311" s="334"/>
      <c r="AP311" s="334"/>
    </row>
    <row r="312" spans="41:42" x14ac:dyDescent="0.3">
      <c r="AO312" s="334"/>
      <c r="AP312" s="334"/>
    </row>
    <row r="313" spans="41:42" x14ac:dyDescent="0.3">
      <c r="AO313" s="334"/>
      <c r="AP313" s="334"/>
    </row>
    <row r="314" spans="41:42" x14ac:dyDescent="0.3">
      <c r="AO314" s="334"/>
      <c r="AP314" s="334"/>
    </row>
    <row r="315" spans="41:42" x14ac:dyDescent="0.3">
      <c r="AO315" s="334"/>
      <c r="AP315" s="334"/>
    </row>
    <row r="316" spans="41:42" x14ac:dyDescent="0.3">
      <c r="AO316" s="334"/>
      <c r="AP316" s="334"/>
    </row>
    <row r="317" spans="41:42" x14ac:dyDescent="0.3">
      <c r="AO317" s="334"/>
      <c r="AP317" s="334"/>
    </row>
    <row r="318" spans="41:42" x14ac:dyDescent="0.3">
      <c r="AO318" s="334"/>
      <c r="AP318" s="334"/>
    </row>
    <row r="319" spans="41:42" x14ac:dyDescent="0.3">
      <c r="AO319" s="334"/>
      <c r="AP319" s="334"/>
    </row>
    <row r="320" spans="41:42" x14ac:dyDescent="0.3">
      <c r="AO320" s="334"/>
      <c r="AP320" s="334"/>
    </row>
    <row r="321" spans="41:42" x14ac:dyDescent="0.3">
      <c r="AO321" s="334"/>
      <c r="AP321" s="334"/>
    </row>
  </sheetData>
  <autoFilter ref="AL3:AN130" xr:uid="{00000000-0009-0000-0000-000007000000}"/>
  <hyperlinks>
    <hyperlink ref="S21:S23" r:id="rId1" display="https://trigger.macrodroid.com/6c0a04ce-822a-46f6-aafe-2f9026355198/4" xr:uid="{00000000-0004-0000-0700-000000000000}"/>
    <hyperlink ref="S21" r:id="rId2" display="https://trigger.macrodroid.com/6c0a04ce-822a-46f6-aafe-2f9026355198/7" xr:uid="{00000000-0004-0000-0700-000001000000}"/>
    <hyperlink ref="S22" r:id="rId3" display="https://trigger.macrodroid.com/6c0a04ce-822a-46f6-aafe-2f9026355198/8" xr:uid="{00000000-0004-0000-0700-000002000000}"/>
    <hyperlink ref="S23" r:id="rId4" display="https://trigger.macrodroid.com/6c0a04ce-822a-46f6-aafe-2f9026355198/9" xr:uid="{00000000-0004-0000-0700-000003000000}"/>
    <hyperlink ref="S30" r:id="rId5" display="https://trigger.macrodroid.com/6c0a04ce-822a-46f6-aafe-2f9026355198/16" xr:uid="{00000000-0004-0000-0700-000004000000}"/>
    <hyperlink ref="S24" r:id="rId6" display="https://trigger.macrodroid.com/6c0a04ce-822a-46f6-aafe-2f9026355198/10" xr:uid="{00000000-0004-0000-0700-000005000000}"/>
    <hyperlink ref="S25:S29" r:id="rId7" display="https://trigger.macrodroid.com/6c0a04ce-822a-46f6-aafe-2f9026355198/4" xr:uid="{00000000-0004-0000-0700-000006000000}"/>
    <hyperlink ref="S25" r:id="rId8" display="https://trigger.macrodroid.com/6c0a04ce-822a-46f6-aafe-2f9026355198/11" xr:uid="{00000000-0004-0000-0700-000007000000}"/>
    <hyperlink ref="S26" r:id="rId9" display="https://trigger.macrodroid.com/6c0a04ce-822a-46f6-aafe-2f9026355198/12" xr:uid="{00000000-0004-0000-0700-000008000000}"/>
    <hyperlink ref="S27" r:id="rId10" display="https://trigger.macrodroid.com/6c0a04ce-822a-46f6-aafe-2f9026355198/13" xr:uid="{00000000-0004-0000-0700-000009000000}"/>
    <hyperlink ref="S28" r:id="rId11" display="https://trigger.macrodroid.com/6c0a04ce-822a-46f6-aafe-2f9026355198/14" xr:uid="{00000000-0004-0000-0700-00000A000000}"/>
    <hyperlink ref="S29" r:id="rId12" display="https://trigger.macrodroid.com/6c0a04ce-822a-46f6-aafe-2f9026355198/15" xr:uid="{00000000-0004-0000-0700-00000B000000}"/>
    <hyperlink ref="S31:S34" r:id="rId13" display="https://trigger.macrodroid.com/6c0a04ce-822a-46f6-aafe-2f9026355198/16" xr:uid="{00000000-0004-0000-0700-00000C000000}"/>
    <hyperlink ref="S31" r:id="rId14" display="https://trigger.macrodroid.com/6c0a04ce-822a-46f6-aafe-2f9026355198/17" xr:uid="{00000000-0004-0000-0700-00000D000000}"/>
    <hyperlink ref="S34" r:id="rId15" display="https://trigger.macrodroid.com/6c0a04ce-822a-46f6-aafe-2f9026355198/20" xr:uid="{00000000-0004-0000-0700-00000E000000}"/>
    <hyperlink ref="S33" r:id="rId16" display="https://trigger.macrodroid.com/6c0a04ce-822a-46f6-aafe-2f9026355198/19" xr:uid="{00000000-0004-0000-0700-00000F000000}"/>
    <hyperlink ref="S32" r:id="rId17" display="https://trigger.macrodroid.com/6c0a04ce-822a-46f6-aafe-2f9026355198/18" xr:uid="{00000000-0004-0000-0700-000010000000}"/>
  </hyperlinks>
  <pageMargins left="0.7" right="0.7" top="0.75" bottom="0.75" header="0.3" footer="0.3"/>
  <pageSetup paperSize="9" orientation="portrait" verticalDpi="0" r:id="rId18"/>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N1000"/>
  <sheetViews>
    <sheetView showGridLines="0" workbookViewId="0">
      <selection activeCell="C2" sqref="C2"/>
    </sheetView>
  </sheetViews>
  <sheetFormatPr defaultColWidth="11" defaultRowHeight="15" customHeight="1" x14ac:dyDescent="0.25"/>
  <cols>
    <col min="1" max="1" width="17.3984375" style="76" customWidth="1"/>
    <col min="2" max="2" width="15.19921875" style="76" customWidth="1"/>
    <col min="3" max="14" width="9.19921875" style="76" customWidth="1"/>
    <col min="15" max="26" width="7.5" style="76" customWidth="1"/>
    <col min="27" max="16384" width="11" style="76"/>
  </cols>
  <sheetData>
    <row r="1" spans="1:14" ht="26.25" customHeight="1" thickBot="1" x14ac:dyDescent="0.35">
      <c r="A1" s="74" t="s">
        <v>204</v>
      </c>
      <c r="B1" s="74"/>
      <c r="C1" s="465">
        <f>+pt!F11</f>
        <v>52900000</v>
      </c>
      <c r="D1" s="466"/>
      <c r="E1" s="467"/>
      <c r="F1" s="74"/>
      <c r="G1" s="75" t="s">
        <v>205</v>
      </c>
      <c r="H1" s="74"/>
      <c r="I1" s="74"/>
      <c r="J1" s="74"/>
      <c r="K1" s="74"/>
      <c r="L1" s="74"/>
      <c r="M1" s="74"/>
      <c r="N1" s="74"/>
    </row>
    <row r="2" spans="1:14" ht="21" customHeight="1" thickTop="1" x14ac:dyDescent="0.25">
      <c r="A2" s="89"/>
      <c r="B2" s="90">
        <f>C1+10^12</f>
        <v>1000052900000</v>
      </c>
      <c r="C2" s="91">
        <v>1</v>
      </c>
      <c r="D2" s="91">
        <v>2</v>
      </c>
      <c r="E2" s="91">
        <v>3</v>
      </c>
      <c r="F2" s="92">
        <v>4</v>
      </c>
      <c r="G2" s="92">
        <v>5</v>
      </c>
      <c r="H2" s="92">
        <v>6</v>
      </c>
      <c r="I2" s="93">
        <v>7</v>
      </c>
      <c r="J2" s="93">
        <v>8</v>
      </c>
      <c r="K2" s="93">
        <v>9</v>
      </c>
      <c r="L2" s="94">
        <v>10</v>
      </c>
      <c r="M2" s="94">
        <v>11</v>
      </c>
      <c r="N2" s="95">
        <v>12</v>
      </c>
    </row>
    <row r="3" spans="1:14" ht="21" customHeight="1" x14ac:dyDescent="0.25">
      <c r="A3" s="77" t="s">
        <v>206</v>
      </c>
      <c r="B3" s="78"/>
      <c r="C3" s="79">
        <f>VALUE(MID(B2,C2+1,1))</f>
        <v>0</v>
      </c>
      <c r="D3" s="79">
        <f>VALUE(MID(B2,D2+1,1))</f>
        <v>0</v>
      </c>
      <c r="E3" s="79">
        <f>VALUE(MID(B2,E2+1,1))</f>
        <v>0</v>
      </c>
      <c r="F3" s="80">
        <f>VALUE(MID(B2,F2+1,1))</f>
        <v>0</v>
      </c>
      <c r="G3" s="80">
        <f>VALUE(MID(B2,G2+1,1))</f>
        <v>5</v>
      </c>
      <c r="H3" s="80">
        <f>VALUE(MID(B2,H2+1,1))</f>
        <v>2</v>
      </c>
      <c r="I3" s="81">
        <f>VALUE(MID(B2,I2+1,1))</f>
        <v>9</v>
      </c>
      <c r="J3" s="81">
        <f>VALUE(MID(B2,J2+1,1))</f>
        <v>0</v>
      </c>
      <c r="K3" s="81">
        <f>VALUE(MID(B2,K2+1,1))</f>
        <v>0</v>
      </c>
      <c r="L3" s="82">
        <f>VALUE(MID(B2,L2+1,1))</f>
        <v>0</v>
      </c>
      <c r="M3" s="82">
        <f>VALUE(MID(B2,M2+1,1))</f>
        <v>0</v>
      </c>
      <c r="N3" s="83">
        <f>VALUE(MID(B2,N2+1,1))</f>
        <v>0</v>
      </c>
    </row>
    <row r="4" spans="1:14" ht="21" customHeight="1" x14ac:dyDescent="0.25">
      <c r="A4" s="84" t="s">
        <v>207</v>
      </c>
      <c r="B4" s="85"/>
      <c r="C4" s="86"/>
      <c r="D4" s="86" t="s">
        <v>208</v>
      </c>
      <c r="E4" s="86" t="s">
        <v>209</v>
      </c>
      <c r="F4" s="86"/>
      <c r="G4" s="86" t="s">
        <v>208</v>
      </c>
      <c r="H4" s="86" t="s">
        <v>210</v>
      </c>
      <c r="I4" s="86"/>
      <c r="J4" s="86" t="s">
        <v>208</v>
      </c>
      <c r="K4" s="86" t="s">
        <v>211</v>
      </c>
      <c r="L4" s="86"/>
      <c r="M4" s="86" t="s">
        <v>212</v>
      </c>
      <c r="N4" s="86" t="s">
        <v>213</v>
      </c>
    </row>
    <row r="5" spans="1:14" ht="21" customHeight="1" x14ac:dyDescent="0.25">
      <c r="A5" s="87" t="s">
        <v>214</v>
      </c>
      <c r="B5" s="88"/>
      <c r="C5" s="96" t="str">
        <f>IF(C3=0,"",CHOOSE(C3,"một","hai","ba","bốn","năm","sáu","bảy","tám","chín")&amp;" trăm")</f>
        <v/>
      </c>
      <c r="D5" s="97" t="str">
        <f>IF(SUM(C3:D3)=0,"",IF(AND(D3=0,E3=0),"",IF(AND(D3=0,E3&lt;&gt;0),D4,CHOOSE(D3,"mười","hai mươi","ba mươi","bốn mươi","năm mươi","sáu mươi","bảy mươi","tám mươi","chín mươi"))))</f>
        <v/>
      </c>
      <c r="E5" s="97" t="str">
        <f>IF(SUM(C3:E3)=0,"",IF(AND(SUM(C3:D3)&gt;0,E3=0)," "&amp;E4,CHOOSE(E3,IF(D3&gt;0,"mốt","một"),"hai","ba","bốn",IF(D3&gt;0,"lăm","năm"),"sáu","bảy","tám","chín")&amp;" "&amp;E4))</f>
        <v/>
      </c>
      <c r="F5" s="97" t="str">
        <f>IF(SUM(C3:F3)=0,"",IF(SUM(F3:H3)=0,"",IF(F3=0,"không trăm",CHOOSE(F3,"một","hai","ba","bốn","năm","sáu","bảy","tám","chín")&amp;" trăm")))</f>
        <v/>
      </c>
      <c r="G5" s="97" t="str">
        <f>IF(SUM(C3:G3)=0,"",IF(AND(G3=0,H3=0),"",IF(AND(G3=0,H3&lt;&gt;0),G4,CHOOSE(G3,"mười","hai mươi","ba mươi","bốn mươi","năm mươi","sáu mươi","bảy mươi","tám mươi","chín mươi"))))</f>
        <v>năm mươi</v>
      </c>
      <c r="H5" s="97" t="str">
        <f>IF(SUM(F3:H3)=0,"",IF(AND(SUM(C3:G3)&gt;0,H3=0)," "&amp;H4,CHOOSE(H3,IF(G3&gt;0,"mốt","một"),"hai","ba","bốn",IF(G3&gt;0,"lăm","năm"),"sáu","bảy","tám","chín")&amp;" "&amp;H4))</f>
        <v>hai  triệu</v>
      </c>
      <c r="I5" s="97" t="str">
        <f>IF(SUM(C3:I3)=0,"",IF(SUM(I3:K3)=0,"",IF(I3=0,"không trăm",CHOOSE(I3,"một","hai","ba","bốn","năm","sáu","bảy","tám","chín")&amp;" trăm")))</f>
        <v>chín trăm</v>
      </c>
      <c r="J5" s="97" t="str">
        <f>IF(SUM(C3:J3)=0,"",IF(AND(J3=0,K3=0),"",IF(AND(J3=0,K3&lt;&gt;0),J4,CHOOSE(J3,"mười","hai mươi","ba mươi","bốn mươi","năm mươi","sáu mươi","bảy mươi","tám mươi","chín mươi"))))</f>
        <v/>
      </c>
      <c r="K5" s="97" t="str">
        <f>IF(SUM(I3:K3)=0,"",IF(AND(SUM(C3:J3)&gt;0,K3=0)," "&amp;K4,CHOOSE(K3,IF(J3&gt;0,"mốt","một"),"hai","ba","bốn",IF(J3&gt;0,"lăm","năm"),"sáu","bảy","tám","chín")&amp;" "&amp;K4))</f>
        <v xml:space="preserve"> ngàn</v>
      </c>
      <c r="L5" s="97" t="str">
        <f>IF(SUM(C3:L3)=0,"",IF(SUM(L3:N3)=0,"",IF(L3=0,"không trăm",CHOOSE(L3,"một","hai","ba","bốn","năm","sáu","bảy","tám","chín")&amp;" trăm")))</f>
        <v/>
      </c>
      <c r="M5" s="97" t="str">
        <f>IF(SUM(C3:M3)=0,"",IF(AND(M3=0,N3=0),"",IF(AND(M3=0,N3&lt;&gt;0),M4,CHOOSE(M3,"mười","hai mươi","ba mươi","bốn mươi","năm mươi","sáu mươi","bảy mươi","tám mươi","chín mươi"))))</f>
        <v/>
      </c>
      <c r="N5" s="98" t="str">
        <f>IF(SUM(C3:N3)=0,"Không "&amp;N4,IF(AND(SUM(C3:K3)&gt;0,SUM(L3:N3)=0)," "&amp;N4&amp;" chẵn",IF(N3=0," "&amp;N4,CHOOSE(N3,IF(M3&gt;0,"mốt","một"),"hai","ba","bốn",IF(M3&gt;0,"lăm","năm"),"sáu","bảy","tám","chín")&amp;" "&amp;N4)))&amp;"./."</f>
        <v xml:space="preserve"> đồng chẵn./.</v>
      </c>
    </row>
    <row r="6" spans="1:14" ht="21" customHeight="1" x14ac:dyDescent="0.25">
      <c r="A6" s="99" t="s">
        <v>215</v>
      </c>
      <c r="B6" s="100"/>
      <c r="C6" s="101" t="str">
        <f>IF(C5="","",IF(COUNTIF(B5,"")=C2,UPPER(LEFT(C5,1))&amp;RIGHT(C5,LEN(C5)-1),C5))</f>
        <v/>
      </c>
      <c r="D6" s="102" t="str">
        <f>IF(D5="","",IF(COUNTIF(B5:C5,"")=D2,UPPER(LEFT(D5,1))&amp;RIGHT(D5,LEN(D5)-1),D5))</f>
        <v/>
      </c>
      <c r="E6" s="102" t="str">
        <f>IF(E5="","",IF(COUNTIF(B5:D5,"")=E2,UPPER(LEFT(E5,1))&amp;RIGHT(E5,LEN(E5)-1),E5))</f>
        <v/>
      </c>
      <c r="F6" s="102" t="str">
        <f>IF(F5="","",IF(COUNTIF(B5:E5,"")=F2,UPPER(LEFT(F5,1))&amp;RIGHT(F5,LEN(F5)-1),F5))</f>
        <v/>
      </c>
      <c r="G6" s="102" t="str">
        <f>IF(G5="","",IF(COUNTIF(B5:F5,"")=G2,UPPER(LEFT(G5,1))&amp;RIGHT(G5,LEN(G5)-1),G5))</f>
        <v>Năm mươi</v>
      </c>
      <c r="H6" s="102" t="str">
        <f>IF(H5="","",IF(COUNTIF(B5:G5,"")=H2,UPPER(LEFT(H5,1))&amp;RIGHT(H5,LEN(H5)-1),H5))</f>
        <v>hai  triệu</v>
      </c>
      <c r="I6" s="102" t="str">
        <f>IF(I5="","",IF(COUNTIF(B5:H5,"")=I2,UPPER(LEFT(I5,1))&amp;RIGHT(I5,LEN(I5)-1),I5))</f>
        <v>chín trăm</v>
      </c>
      <c r="J6" s="102" t="str">
        <f>IF(J5="","",IF(COUNTIF(B5:I5,"")=J2,UPPER(LEFT(J5,1))&amp;RIGHT(J5,LEN(J5)-1),J5))</f>
        <v/>
      </c>
      <c r="K6" s="102" t="str">
        <f>IF(K5="","",IF(COUNTIF(B5:J5,"")=K2,UPPER(LEFT(K5,1))&amp;RIGHT(K5,LEN(K5)-1),K5))</f>
        <v xml:space="preserve"> ngàn</v>
      </c>
      <c r="L6" s="102" t="str">
        <f>IF(L5="","",IF(COUNTIF(B5:K5,"")=L2,UPPER(LEFT(L5,1))&amp;RIGHT(L5,LEN(L5)-1),L5))</f>
        <v/>
      </c>
      <c r="M6" s="102" t="str">
        <f>IF(M5="","",IF(COUNTIF(B5:L5,"")=M2,UPPER(LEFT(M5,1))&amp;RIGHT(M5,LEN(M5)-1),M5))</f>
        <v/>
      </c>
      <c r="N6" s="103" t="str">
        <f>IF(N5="","",IF(COUNTIF(B5:M5,"")=N2,UPPER(LEFT(N5,1))&amp;RIGHT(N5,LEN(N5)-1),N5))</f>
        <v xml:space="preserve"> đồng chẵn./.</v>
      </c>
    </row>
    <row r="7" spans="1:14" ht="24.75" customHeight="1" x14ac:dyDescent="0.25">
      <c r="A7" s="104" t="s">
        <v>216</v>
      </c>
      <c r="B7" s="105" t="str">
        <f>TRIM(C6&amp;" "&amp;D6&amp;" "&amp;E6&amp;" "&amp;F6&amp;" "&amp;G6&amp;" "&amp;H6&amp;" "&amp;I6&amp;" "&amp;J6&amp;" "&amp;K6&amp;" "&amp;L6&amp;" "&amp;M6&amp;" "&amp;N6)</f>
        <v>Năm mươi hai triệu chín trăm ngàn đồng chẵn./.</v>
      </c>
      <c r="C7" s="106"/>
      <c r="D7" s="106"/>
      <c r="E7" s="106"/>
      <c r="F7" s="106"/>
      <c r="G7" s="106"/>
      <c r="H7" s="106"/>
      <c r="I7" s="106"/>
      <c r="J7" s="106"/>
      <c r="K7" s="106"/>
      <c r="L7" s="106"/>
      <c r="M7" s="106"/>
      <c r="N7" s="107"/>
    </row>
    <row r="8" spans="1:14" ht="13.5" customHeight="1" x14ac:dyDescent="0.25"/>
    <row r="9" spans="1:14" ht="13.5" customHeight="1" x14ac:dyDescent="0.25"/>
    <row r="10" spans="1:14" ht="13.5" customHeight="1" x14ac:dyDescent="0.25"/>
    <row r="11" spans="1:14" ht="13.5" customHeight="1" x14ac:dyDescent="0.25"/>
    <row r="12" spans="1:14" ht="13.5" customHeight="1" x14ac:dyDescent="0.25"/>
    <row r="13" spans="1:14" ht="13.5" customHeight="1" x14ac:dyDescent="0.25"/>
    <row r="14" spans="1:14" ht="13.5" customHeight="1" x14ac:dyDescent="0.25"/>
    <row r="15" spans="1:14" ht="13.5" customHeight="1" x14ac:dyDescent="0.25"/>
    <row r="16" spans="1:14" ht="13.5" customHeight="1" x14ac:dyDescent="0.25"/>
    <row r="17" ht="13.5" customHeight="1" x14ac:dyDescent="0.25"/>
    <row r="18" ht="13.5" customHeight="1" x14ac:dyDescent="0.25"/>
    <row r="19" ht="13.5" customHeight="1" x14ac:dyDescent="0.25"/>
    <row r="20" ht="13.5" customHeight="1" x14ac:dyDescent="0.25"/>
    <row r="21" ht="13.5" customHeight="1" x14ac:dyDescent="0.25"/>
    <row r="22" ht="13.5" customHeight="1" x14ac:dyDescent="0.25"/>
    <row r="23" ht="13.5" customHeight="1" x14ac:dyDescent="0.25"/>
    <row r="24" ht="13.5" customHeight="1" x14ac:dyDescent="0.25"/>
    <row r="25" ht="13.5" customHeight="1" x14ac:dyDescent="0.25"/>
    <row r="26" ht="13.5" customHeight="1" x14ac:dyDescent="0.25"/>
    <row r="27" ht="13.5" customHeight="1" x14ac:dyDescent="0.25"/>
    <row r="28" ht="13.5" customHeight="1" x14ac:dyDescent="0.25"/>
    <row r="29" ht="13.5" customHeight="1" x14ac:dyDescent="0.25"/>
    <row r="30" ht="13.5" customHeight="1" x14ac:dyDescent="0.25"/>
    <row r="31" ht="13.5" customHeight="1" x14ac:dyDescent="0.25"/>
    <row r="32" ht="13.5" customHeight="1" x14ac:dyDescent="0.25"/>
    <row r="33" ht="13.5" customHeight="1" x14ac:dyDescent="0.25"/>
    <row r="34" ht="13.5" customHeight="1" x14ac:dyDescent="0.25"/>
    <row r="35" ht="13.5" customHeight="1" x14ac:dyDescent="0.25"/>
    <row r="36" ht="13.5" customHeight="1" x14ac:dyDescent="0.25"/>
    <row r="37" ht="13.5" customHeight="1" x14ac:dyDescent="0.25"/>
    <row r="38" ht="13.5" customHeight="1" x14ac:dyDescent="0.25"/>
    <row r="39" ht="13.5" customHeight="1" x14ac:dyDescent="0.25"/>
    <row r="40" ht="13.5" customHeight="1" x14ac:dyDescent="0.25"/>
    <row r="41" ht="13.5" customHeight="1" x14ac:dyDescent="0.25"/>
    <row r="42" ht="13.5" customHeight="1" x14ac:dyDescent="0.25"/>
    <row r="43" ht="13.5" customHeight="1" x14ac:dyDescent="0.25"/>
    <row r="44" ht="13.5" customHeight="1" x14ac:dyDescent="0.25"/>
    <row r="45" ht="13.5" customHeight="1" x14ac:dyDescent="0.25"/>
    <row r="46" ht="13.5" customHeight="1" x14ac:dyDescent="0.25"/>
    <row r="47" ht="13.5" customHeight="1" x14ac:dyDescent="0.25"/>
    <row r="48" ht="13.5" customHeight="1" x14ac:dyDescent="0.25"/>
    <row r="49" ht="13.5" customHeight="1" x14ac:dyDescent="0.25"/>
    <row r="50" ht="13.5" customHeight="1" x14ac:dyDescent="0.25"/>
    <row r="51" ht="13.5" customHeight="1" x14ac:dyDescent="0.25"/>
    <row r="52" ht="13.5" customHeight="1" x14ac:dyDescent="0.25"/>
    <row r="53" ht="13.5" customHeight="1" x14ac:dyDescent="0.25"/>
    <row r="54" ht="13.5" customHeight="1" x14ac:dyDescent="0.25"/>
    <row r="55" ht="13.5" customHeight="1" x14ac:dyDescent="0.25"/>
    <row r="56" ht="13.5" customHeight="1" x14ac:dyDescent="0.25"/>
    <row r="57" ht="13.5" customHeight="1" x14ac:dyDescent="0.25"/>
    <row r="58" ht="13.5" customHeight="1" x14ac:dyDescent="0.25"/>
    <row r="59" ht="13.5" customHeight="1" x14ac:dyDescent="0.25"/>
    <row r="60" ht="13.5" customHeight="1" x14ac:dyDescent="0.25"/>
    <row r="61" ht="13.5" customHeight="1" x14ac:dyDescent="0.25"/>
    <row r="62" ht="13.5" customHeight="1" x14ac:dyDescent="0.25"/>
    <row r="63" ht="13.5" customHeight="1" x14ac:dyDescent="0.25"/>
    <row r="64" ht="13.5" customHeight="1" x14ac:dyDescent="0.25"/>
    <row r="65" ht="13.5" customHeight="1" x14ac:dyDescent="0.25"/>
    <row r="66" ht="13.5" customHeight="1" x14ac:dyDescent="0.25"/>
    <row r="67" ht="13.5" customHeight="1" x14ac:dyDescent="0.25"/>
    <row r="68" ht="13.5" customHeight="1" x14ac:dyDescent="0.25"/>
    <row r="69" ht="13.5" customHeight="1" x14ac:dyDescent="0.25"/>
    <row r="70" ht="13.5" customHeight="1" x14ac:dyDescent="0.25"/>
    <row r="71" ht="13.5" customHeight="1" x14ac:dyDescent="0.25"/>
    <row r="72" ht="13.5" customHeight="1" x14ac:dyDescent="0.25"/>
    <row r="73" ht="13.5" customHeight="1" x14ac:dyDescent="0.25"/>
    <row r="74" ht="13.5" customHeight="1" x14ac:dyDescent="0.25"/>
    <row r="75" ht="13.5" customHeight="1" x14ac:dyDescent="0.25"/>
    <row r="76" ht="13.5" customHeight="1" x14ac:dyDescent="0.25"/>
    <row r="77" ht="13.5" customHeight="1" x14ac:dyDescent="0.25"/>
    <row r="78" ht="13.5" customHeight="1" x14ac:dyDescent="0.25"/>
    <row r="79" ht="13.5" customHeight="1" x14ac:dyDescent="0.25"/>
    <row r="80" ht="13.5" customHeight="1" x14ac:dyDescent="0.25"/>
    <row r="81" ht="13.5" customHeight="1" x14ac:dyDescent="0.25"/>
    <row r="82" ht="13.5" customHeight="1" x14ac:dyDescent="0.25"/>
    <row r="83" ht="13.5" customHeight="1" x14ac:dyDescent="0.25"/>
    <row r="84" ht="13.5" customHeight="1" x14ac:dyDescent="0.25"/>
    <row r="85" ht="13.5" customHeight="1" x14ac:dyDescent="0.25"/>
    <row r="86" ht="13.5" customHeight="1" x14ac:dyDescent="0.25"/>
    <row r="87" ht="13.5" customHeight="1" x14ac:dyDescent="0.25"/>
    <row r="88" ht="13.5" customHeight="1" x14ac:dyDescent="0.25"/>
    <row r="89" ht="13.5" customHeight="1" x14ac:dyDescent="0.25"/>
    <row r="90" ht="13.5" customHeight="1" x14ac:dyDescent="0.25"/>
    <row r="91" ht="13.5" customHeight="1" x14ac:dyDescent="0.25"/>
    <row r="92" ht="13.5" customHeight="1" x14ac:dyDescent="0.25"/>
    <row r="93" ht="13.5" customHeight="1" x14ac:dyDescent="0.25"/>
    <row r="94" ht="13.5" customHeight="1" x14ac:dyDescent="0.25"/>
    <row r="95" ht="13.5" customHeight="1" x14ac:dyDescent="0.25"/>
    <row r="96" ht="13.5" customHeight="1" x14ac:dyDescent="0.25"/>
    <row r="97" ht="13.5" customHeight="1" x14ac:dyDescent="0.25"/>
    <row r="98" ht="13.5" customHeight="1" x14ac:dyDescent="0.25"/>
    <row r="99" ht="13.5" customHeight="1" x14ac:dyDescent="0.25"/>
    <row r="100" ht="13.5" customHeight="1" x14ac:dyDescent="0.25"/>
    <row r="101" ht="13.5" customHeight="1" x14ac:dyDescent="0.25"/>
    <row r="102" ht="13.5" customHeight="1" x14ac:dyDescent="0.25"/>
    <row r="103" ht="13.5" customHeight="1" x14ac:dyDescent="0.25"/>
    <row r="104" ht="13.5" customHeight="1" x14ac:dyDescent="0.25"/>
    <row r="105" ht="13.5" customHeight="1" x14ac:dyDescent="0.25"/>
    <row r="106" ht="13.5" customHeight="1" x14ac:dyDescent="0.25"/>
    <row r="107" ht="13.5" customHeight="1" x14ac:dyDescent="0.25"/>
    <row r="108" ht="13.5" customHeight="1" x14ac:dyDescent="0.25"/>
    <row r="109" ht="13.5" customHeight="1" x14ac:dyDescent="0.25"/>
    <row r="110" ht="13.5" customHeight="1" x14ac:dyDescent="0.25"/>
    <row r="111" ht="13.5" customHeight="1" x14ac:dyDescent="0.25"/>
    <row r="112" ht="13.5" customHeight="1" x14ac:dyDescent="0.25"/>
    <row r="113" ht="13.5" customHeight="1" x14ac:dyDescent="0.25"/>
    <row r="114" ht="13.5" customHeight="1" x14ac:dyDescent="0.25"/>
    <row r="115" ht="13.5" customHeight="1" x14ac:dyDescent="0.25"/>
    <row r="116" ht="13.5" customHeight="1" x14ac:dyDescent="0.25"/>
    <row r="117" ht="13.5" customHeight="1" x14ac:dyDescent="0.25"/>
    <row r="118" ht="13.5" customHeight="1" x14ac:dyDescent="0.25"/>
    <row r="119" ht="13.5" customHeight="1" x14ac:dyDescent="0.25"/>
    <row r="120" ht="13.5" customHeight="1" x14ac:dyDescent="0.25"/>
    <row r="121" ht="13.5" customHeight="1" x14ac:dyDescent="0.25"/>
    <row r="122" ht="13.5" customHeight="1" x14ac:dyDescent="0.25"/>
    <row r="123" ht="13.5" customHeight="1" x14ac:dyDescent="0.25"/>
    <row r="124" ht="13.5" customHeight="1" x14ac:dyDescent="0.25"/>
    <row r="125" ht="13.5" customHeight="1" x14ac:dyDescent="0.25"/>
    <row r="126" ht="13.5" customHeight="1" x14ac:dyDescent="0.25"/>
    <row r="127" ht="13.5" customHeight="1" x14ac:dyDescent="0.25"/>
    <row r="128" ht="13.5" customHeight="1" x14ac:dyDescent="0.25"/>
    <row r="129" ht="13.5" customHeight="1" x14ac:dyDescent="0.25"/>
    <row r="130" ht="13.5" customHeight="1" x14ac:dyDescent="0.25"/>
    <row r="131" ht="13.5" customHeight="1" x14ac:dyDescent="0.25"/>
    <row r="132" ht="13.5" customHeight="1" x14ac:dyDescent="0.25"/>
    <row r="133" ht="13.5" customHeight="1" x14ac:dyDescent="0.25"/>
    <row r="134" ht="13.5" customHeight="1" x14ac:dyDescent="0.25"/>
    <row r="135" ht="13.5" customHeight="1" x14ac:dyDescent="0.25"/>
    <row r="136" ht="13.5" customHeight="1" x14ac:dyDescent="0.25"/>
    <row r="137" ht="13.5" customHeight="1" x14ac:dyDescent="0.25"/>
    <row r="138" ht="13.5" customHeight="1" x14ac:dyDescent="0.25"/>
    <row r="139" ht="13.5" customHeight="1" x14ac:dyDescent="0.25"/>
    <row r="140" ht="13.5" customHeight="1" x14ac:dyDescent="0.25"/>
    <row r="141" ht="13.5" customHeight="1" x14ac:dyDescent="0.25"/>
    <row r="142" ht="13.5" customHeight="1" x14ac:dyDescent="0.25"/>
    <row r="143" ht="13.5" customHeight="1" x14ac:dyDescent="0.25"/>
    <row r="144" ht="13.5" customHeight="1" x14ac:dyDescent="0.25"/>
    <row r="145" ht="13.5" customHeight="1" x14ac:dyDescent="0.25"/>
    <row r="146" ht="13.5" customHeight="1" x14ac:dyDescent="0.25"/>
    <row r="147" ht="13.5" customHeight="1" x14ac:dyDescent="0.25"/>
    <row r="148" ht="13.5" customHeight="1" x14ac:dyDescent="0.25"/>
    <row r="149" ht="13.5" customHeight="1" x14ac:dyDescent="0.25"/>
    <row r="150" ht="13.5" customHeight="1" x14ac:dyDescent="0.25"/>
    <row r="151" ht="13.5" customHeight="1" x14ac:dyDescent="0.25"/>
    <row r="152" ht="13.5" customHeight="1" x14ac:dyDescent="0.25"/>
    <row r="153" ht="13.5" customHeight="1" x14ac:dyDescent="0.25"/>
    <row r="154" ht="13.5" customHeight="1" x14ac:dyDescent="0.25"/>
    <row r="155" ht="13.5" customHeight="1" x14ac:dyDescent="0.25"/>
    <row r="156" ht="13.5" customHeight="1" x14ac:dyDescent="0.25"/>
    <row r="157" ht="13.5" customHeight="1" x14ac:dyDescent="0.25"/>
    <row r="158" ht="13.5" customHeight="1" x14ac:dyDescent="0.25"/>
    <row r="159" ht="13.5" customHeight="1" x14ac:dyDescent="0.25"/>
    <row r="160" ht="13.5" customHeight="1" x14ac:dyDescent="0.25"/>
    <row r="161" ht="13.5" customHeight="1" x14ac:dyDescent="0.25"/>
    <row r="162" ht="13.5" customHeight="1" x14ac:dyDescent="0.25"/>
    <row r="163" ht="13.5" customHeight="1" x14ac:dyDescent="0.25"/>
    <row r="164" ht="13.5" customHeight="1" x14ac:dyDescent="0.25"/>
    <row r="165" ht="13.5" customHeight="1" x14ac:dyDescent="0.25"/>
    <row r="166" ht="13.5" customHeight="1" x14ac:dyDescent="0.25"/>
    <row r="167" ht="13.5" customHeight="1" x14ac:dyDescent="0.25"/>
    <row r="168" ht="13.5" customHeight="1" x14ac:dyDescent="0.25"/>
    <row r="169" ht="13.5" customHeight="1" x14ac:dyDescent="0.25"/>
    <row r="170" ht="13.5" customHeight="1" x14ac:dyDescent="0.25"/>
    <row r="171" ht="13.5" customHeight="1" x14ac:dyDescent="0.25"/>
    <row r="172" ht="13.5" customHeight="1" x14ac:dyDescent="0.25"/>
    <row r="173" ht="13.5" customHeight="1" x14ac:dyDescent="0.25"/>
    <row r="174" ht="13.5" customHeight="1" x14ac:dyDescent="0.25"/>
    <row r="175" ht="13.5" customHeight="1" x14ac:dyDescent="0.25"/>
    <row r="176" ht="13.5" customHeight="1" x14ac:dyDescent="0.25"/>
    <row r="177" ht="13.5" customHeight="1" x14ac:dyDescent="0.25"/>
    <row r="178" ht="13.5" customHeight="1" x14ac:dyDescent="0.25"/>
    <row r="179" ht="13.5" customHeight="1" x14ac:dyDescent="0.25"/>
    <row r="180" ht="13.5" customHeight="1" x14ac:dyDescent="0.25"/>
    <row r="181" ht="13.5" customHeight="1" x14ac:dyDescent="0.25"/>
    <row r="182" ht="13.5" customHeight="1" x14ac:dyDescent="0.25"/>
    <row r="183" ht="13.5" customHeight="1" x14ac:dyDescent="0.25"/>
    <row r="184" ht="13.5" customHeight="1" x14ac:dyDescent="0.25"/>
    <row r="185" ht="13.5" customHeight="1" x14ac:dyDescent="0.25"/>
    <row r="186" ht="13.5" customHeight="1" x14ac:dyDescent="0.25"/>
    <row r="187" ht="13.5" customHeight="1" x14ac:dyDescent="0.25"/>
    <row r="188" ht="13.5" customHeight="1" x14ac:dyDescent="0.25"/>
    <row r="189" ht="13.5" customHeight="1" x14ac:dyDescent="0.25"/>
    <row r="190" ht="13.5" customHeight="1" x14ac:dyDescent="0.25"/>
    <row r="191" ht="13.5" customHeight="1" x14ac:dyDescent="0.25"/>
    <row r="192" ht="13.5" customHeight="1" x14ac:dyDescent="0.25"/>
    <row r="193" ht="13.5" customHeight="1" x14ac:dyDescent="0.25"/>
    <row r="194" ht="13.5" customHeight="1" x14ac:dyDescent="0.25"/>
    <row r="195" ht="13.5" customHeight="1" x14ac:dyDescent="0.25"/>
    <row r="196" ht="13.5" customHeight="1" x14ac:dyDescent="0.25"/>
    <row r="197" ht="13.5" customHeight="1" x14ac:dyDescent="0.25"/>
    <row r="198" ht="13.5" customHeight="1" x14ac:dyDescent="0.25"/>
    <row r="199" ht="13.5" customHeight="1" x14ac:dyDescent="0.25"/>
    <row r="200" ht="13.5" customHeight="1" x14ac:dyDescent="0.25"/>
    <row r="201" ht="13.5" customHeight="1" x14ac:dyDescent="0.25"/>
    <row r="202" ht="13.5" customHeight="1" x14ac:dyDescent="0.25"/>
    <row r="203" ht="13.5" customHeight="1" x14ac:dyDescent="0.25"/>
    <row r="204" ht="13.5" customHeight="1" x14ac:dyDescent="0.25"/>
    <row r="205" ht="13.5" customHeight="1" x14ac:dyDescent="0.25"/>
    <row r="206" ht="13.5" customHeight="1" x14ac:dyDescent="0.25"/>
    <row r="207" ht="13.5" customHeight="1" x14ac:dyDescent="0.25"/>
    <row r="208" ht="13.5" customHeight="1" x14ac:dyDescent="0.25"/>
    <row r="209" ht="13.5" customHeight="1" x14ac:dyDescent="0.25"/>
    <row r="210" ht="13.5" customHeight="1" x14ac:dyDescent="0.25"/>
    <row r="211" ht="13.5" customHeight="1" x14ac:dyDescent="0.25"/>
    <row r="212" ht="13.5" customHeight="1" x14ac:dyDescent="0.25"/>
    <row r="213" ht="13.5" customHeight="1" x14ac:dyDescent="0.25"/>
    <row r="214" ht="13.5" customHeight="1" x14ac:dyDescent="0.25"/>
    <row r="215" ht="13.5" customHeight="1" x14ac:dyDescent="0.25"/>
    <row r="216" ht="13.5" customHeight="1" x14ac:dyDescent="0.25"/>
    <row r="217" ht="13.5" customHeight="1" x14ac:dyDescent="0.25"/>
    <row r="218" ht="13.5" customHeight="1" x14ac:dyDescent="0.25"/>
    <row r="219" ht="13.5" customHeight="1" x14ac:dyDescent="0.25"/>
    <row r="220" ht="13.5" customHeight="1" x14ac:dyDescent="0.25"/>
    <row r="221" ht="13.5" customHeight="1" x14ac:dyDescent="0.25"/>
    <row r="222" ht="13.5" customHeight="1" x14ac:dyDescent="0.25"/>
    <row r="223" ht="13.5" customHeight="1" x14ac:dyDescent="0.25"/>
    <row r="224" ht="13.5" customHeight="1" x14ac:dyDescent="0.25"/>
    <row r="225" ht="13.5" customHeight="1" x14ac:dyDescent="0.25"/>
    <row r="226" ht="13.5" customHeight="1" x14ac:dyDescent="0.25"/>
    <row r="227" ht="13.5" customHeight="1" x14ac:dyDescent="0.25"/>
    <row r="228" ht="13.5" customHeight="1" x14ac:dyDescent="0.25"/>
    <row r="229" ht="13.5" customHeight="1" x14ac:dyDescent="0.25"/>
    <row r="230" ht="13.5" customHeight="1" x14ac:dyDescent="0.25"/>
    <row r="231" ht="13.5" customHeight="1" x14ac:dyDescent="0.25"/>
    <row r="232" ht="13.5" customHeight="1" x14ac:dyDescent="0.25"/>
    <row r="233" ht="13.5" customHeight="1" x14ac:dyDescent="0.25"/>
    <row r="234" ht="13.5" customHeight="1" x14ac:dyDescent="0.25"/>
    <row r="235" ht="13.5" customHeight="1" x14ac:dyDescent="0.25"/>
    <row r="236" ht="13.5" customHeight="1" x14ac:dyDescent="0.25"/>
    <row r="237" ht="13.5" customHeight="1" x14ac:dyDescent="0.25"/>
    <row r="238" ht="13.5" customHeight="1" x14ac:dyDescent="0.25"/>
    <row r="239" ht="13.5" customHeight="1" x14ac:dyDescent="0.25"/>
    <row r="240" ht="13.5" customHeight="1" x14ac:dyDescent="0.25"/>
    <row r="241" ht="13.5" customHeight="1" x14ac:dyDescent="0.25"/>
    <row r="242" ht="13.5" customHeight="1" x14ac:dyDescent="0.25"/>
    <row r="243" ht="13.5" customHeight="1" x14ac:dyDescent="0.25"/>
    <row r="244" ht="13.5" customHeight="1" x14ac:dyDescent="0.25"/>
    <row r="245" ht="13.5" customHeight="1" x14ac:dyDescent="0.25"/>
    <row r="246" ht="13.5" customHeight="1" x14ac:dyDescent="0.25"/>
    <row r="247" ht="13.5" customHeight="1" x14ac:dyDescent="0.25"/>
    <row r="248" ht="13.5" customHeight="1" x14ac:dyDescent="0.25"/>
    <row r="249" ht="13.5" customHeight="1" x14ac:dyDescent="0.25"/>
    <row r="250" ht="13.5" customHeight="1" x14ac:dyDescent="0.25"/>
    <row r="251" ht="13.5" customHeight="1" x14ac:dyDescent="0.25"/>
    <row r="252" ht="13.5" customHeight="1" x14ac:dyDescent="0.25"/>
    <row r="253" ht="13.5" customHeight="1" x14ac:dyDescent="0.25"/>
    <row r="254" ht="13.5" customHeight="1" x14ac:dyDescent="0.25"/>
    <row r="255" ht="13.5" customHeight="1" x14ac:dyDescent="0.25"/>
    <row r="256" ht="13.5" customHeight="1" x14ac:dyDescent="0.25"/>
    <row r="257" ht="13.5" customHeight="1" x14ac:dyDescent="0.25"/>
    <row r="258" ht="13.5" customHeight="1" x14ac:dyDescent="0.25"/>
    <row r="259" ht="13.5" customHeight="1" x14ac:dyDescent="0.25"/>
    <row r="260" ht="13.5" customHeight="1" x14ac:dyDescent="0.25"/>
    <row r="261" ht="13.5" customHeight="1" x14ac:dyDescent="0.25"/>
    <row r="262" ht="13.5" customHeight="1" x14ac:dyDescent="0.25"/>
    <row r="263" ht="13.5" customHeight="1" x14ac:dyDescent="0.25"/>
    <row r="264" ht="13.5" customHeight="1" x14ac:dyDescent="0.25"/>
    <row r="265" ht="13.5" customHeight="1" x14ac:dyDescent="0.25"/>
    <row r="266" ht="13.5" customHeight="1" x14ac:dyDescent="0.25"/>
    <row r="267" ht="13.5" customHeight="1" x14ac:dyDescent="0.25"/>
    <row r="268" ht="13.5" customHeight="1" x14ac:dyDescent="0.25"/>
    <row r="269" ht="13.5" customHeight="1" x14ac:dyDescent="0.25"/>
    <row r="270" ht="13.5" customHeight="1" x14ac:dyDescent="0.25"/>
    <row r="271" ht="13.5" customHeight="1" x14ac:dyDescent="0.25"/>
    <row r="272" ht="13.5" customHeight="1" x14ac:dyDescent="0.25"/>
    <row r="273" ht="13.5" customHeight="1" x14ac:dyDescent="0.25"/>
    <row r="274" ht="13.5" customHeight="1" x14ac:dyDescent="0.25"/>
    <row r="275" ht="13.5" customHeight="1" x14ac:dyDescent="0.25"/>
    <row r="276" ht="13.5" customHeight="1" x14ac:dyDescent="0.25"/>
    <row r="277" ht="13.5" customHeight="1" x14ac:dyDescent="0.25"/>
    <row r="278" ht="13.5" customHeight="1" x14ac:dyDescent="0.25"/>
    <row r="279" ht="13.5" customHeight="1" x14ac:dyDescent="0.25"/>
    <row r="280" ht="13.5" customHeight="1" x14ac:dyDescent="0.25"/>
    <row r="281" ht="13.5" customHeight="1" x14ac:dyDescent="0.25"/>
    <row r="282" ht="13.5" customHeight="1" x14ac:dyDescent="0.25"/>
    <row r="283" ht="13.5" customHeight="1" x14ac:dyDescent="0.25"/>
    <row r="284" ht="13.5" customHeight="1" x14ac:dyDescent="0.25"/>
    <row r="285" ht="13.5" customHeight="1" x14ac:dyDescent="0.25"/>
    <row r="286" ht="13.5" customHeight="1" x14ac:dyDescent="0.25"/>
    <row r="287" ht="13.5" customHeight="1" x14ac:dyDescent="0.25"/>
    <row r="288" ht="13.5" customHeight="1" x14ac:dyDescent="0.25"/>
    <row r="289" ht="13.5" customHeight="1" x14ac:dyDescent="0.25"/>
    <row r="290" ht="13.5" customHeight="1" x14ac:dyDescent="0.25"/>
    <row r="291" ht="13.5" customHeight="1" x14ac:dyDescent="0.25"/>
    <row r="292" ht="13.5" customHeight="1" x14ac:dyDescent="0.25"/>
    <row r="293" ht="13.5" customHeight="1" x14ac:dyDescent="0.25"/>
    <row r="294" ht="13.5" customHeight="1" x14ac:dyDescent="0.25"/>
    <row r="295" ht="13.5" customHeight="1" x14ac:dyDescent="0.25"/>
    <row r="296" ht="13.5" customHeight="1" x14ac:dyDescent="0.25"/>
    <row r="297" ht="13.5" customHeight="1" x14ac:dyDescent="0.25"/>
    <row r="298" ht="13.5" customHeight="1" x14ac:dyDescent="0.25"/>
    <row r="299" ht="13.5" customHeight="1" x14ac:dyDescent="0.25"/>
    <row r="300" ht="13.5" customHeight="1" x14ac:dyDescent="0.25"/>
    <row r="301" ht="13.5" customHeight="1" x14ac:dyDescent="0.25"/>
    <row r="302" ht="13.5" customHeight="1" x14ac:dyDescent="0.25"/>
    <row r="303" ht="13.5" customHeight="1" x14ac:dyDescent="0.25"/>
    <row r="304" ht="13.5" customHeight="1" x14ac:dyDescent="0.25"/>
    <row r="305" ht="13.5" customHeight="1" x14ac:dyDescent="0.25"/>
    <row r="306" ht="13.5" customHeight="1" x14ac:dyDescent="0.25"/>
    <row r="307" ht="13.5" customHeight="1" x14ac:dyDescent="0.25"/>
    <row r="308" ht="13.5" customHeight="1" x14ac:dyDescent="0.25"/>
    <row r="309" ht="13.5" customHeight="1" x14ac:dyDescent="0.25"/>
    <row r="310" ht="13.5" customHeight="1" x14ac:dyDescent="0.25"/>
    <row r="311" ht="13.5" customHeight="1" x14ac:dyDescent="0.25"/>
    <row r="312" ht="13.5" customHeight="1" x14ac:dyDescent="0.25"/>
    <row r="313" ht="13.5" customHeight="1" x14ac:dyDescent="0.25"/>
    <row r="314" ht="13.5" customHeight="1" x14ac:dyDescent="0.25"/>
    <row r="315" ht="13.5" customHeight="1" x14ac:dyDescent="0.25"/>
    <row r="316" ht="13.5" customHeight="1" x14ac:dyDescent="0.25"/>
    <row r="317" ht="13.5" customHeight="1" x14ac:dyDescent="0.25"/>
    <row r="318" ht="13.5" customHeight="1" x14ac:dyDescent="0.25"/>
    <row r="319" ht="13.5" customHeight="1" x14ac:dyDescent="0.25"/>
    <row r="320" ht="13.5" customHeight="1" x14ac:dyDescent="0.25"/>
    <row r="321" ht="13.5" customHeight="1" x14ac:dyDescent="0.25"/>
    <row r="322" ht="13.5" customHeight="1" x14ac:dyDescent="0.25"/>
    <row r="323" ht="13.5" customHeight="1" x14ac:dyDescent="0.25"/>
    <row r="324" ht="13.5" customHeight="1" x14ac:dyDescent="0.25"/>
    <row r="325" ht="13.5" customHeight="1" x14ac:dyDescent="0.25"/>
    <row r="326" ht="13.5" customHeight="1" x14ac:dyDescent="0.25"/>
    <row r="327" ht="13.5" customHeight="1" x14ac:dyDescent="0.25"/>
    <row r="328" ht="13.5" customHeight="1" x14ac:dyDescent="0.25"/>
    <row r="329" ht="13.5" customHeight="1" x14ac:dyDescent="0.25"/>
    <row r="330" ht="13.5" customHeight="1" x14ac:dyDescent="0.25"/>
    <row r="331" ht="13.5" customHeight="1" x14ac:dyDescent="0.25"/>
    <row r="332" ht="13.5" customHeight="1" x14ac:dyDescent="0.25"/>
    <row r="333" ht="13.5" customHeight="1" x14ac:dyDescent="0.25"/>
    <row r="334" ht="13.5" customHeight="1" x14ac:dyDescent="0.25"/>
    <row r="335" ht="13.5" customHeight="1" x14ac:dyDescent="0.25"/>
    <row r="336" ht="13.5" customHeight="1" x14ac:dyDescent="0.25"/>
    <row r="337" ht="13.5" customHeight="1" x14ac:dyDescent="0.25"/>
    <row r="338" ht="13.5" customHeight="1" x14ac:dyDescent="0.25"/>
    <row r="339" ht="13.5" customHeight="1" x14ac:dyDescent="0.25"/>
    <row r="340" ht="13.5" customHeight="1" x14ac:dyDescent="0.25"/>
    <row r="341" ht="13.5" customHeight="1" x14ac:dyDescent="0.25"/>
    <row r="342" ht="13.5" customHeight="1" x14ac:dyDescent="0.25"/>
    <row r="343" ht="13.5" customHeight="1" x14ac:dyDescent="0.25"/>
    <row r="344" ht="13.5" customHeight="1" x14ac:dyDescent="0.25"/>
    <row r="345" ht="13.5" customHeight="1" x14ac:dyDescent="0.25"/>
    <row r="346" ht="13.5" customHeight="1" x14ac:dyDescent="0.25"/>
    <row r="347" ht="13.5" customHeight="1" x14ac:dyDescent="0.25"/>
    <row r="348" ht="13.5" customHeight="1" x14ac:dyDescent="0.25"/>
    <row r="349" ht="13.5" customHeight="1" x14ac:dyDescent="0.25"/>
    <row r="350" ht="13.5" customHeight="1" x14ac:dyDescent="0.25"/>
    <row r="351" ht="13.5" customHeight="1" x14ac:dyDescent="0.25"/>
    <row r="352" ht="13.5" customHeight="1" x14ac:dyDescent="0.25"/>
    <row r="353" ht="13.5" customHeight="1" x14ac:dyDescent="0.25"/>
    <row r="354" ht="13.5" customHeight="1" x14ac:dyDescent="0.25"/>
    <row r="355" ht="13.5" customHeight="1" x14ac:dyDescent="0.25"/>
    <row r="356" ht="13.5" customHeight="1" x14ac:dyDescent="0.25"/>
    <row r="357" ht="13.5" customHeight="1" x14ac:dyDescent="0.25"/>
    <row r="358" ht="13.5" customHeight="1" x14ac:dyDescent="0.25"/>
    <row r="359" ht="13.5" customHeight="1" x14ac:dyDescent="0.25"/>
    <row r="360" ht="13.5" customHeight="1" x14ac:dyDescent="0.25"/>
    <row r="361" ht="13.5" customHeight="1" x14ac:dyDescent="0.25"/>
    <row r="362" ht="13.5" customHeight="1" x14ac:dyDescent="0.25"/>
    <row r="363" ht="13.5" customHeight="1" x14ac:dyDescent="0.25"/>
    <row r="364" ht="13.5" customHeight="1" x14ac:dyDescent="0.25"/>
    <row r="365" ht="13.5" customHeight="1" x14ac:dyDescent="0.25"/>
    <row r="366" ht="13.5" customHeight="1" x14ac:dyDescent="0.25"/>
    <row r="367" ht="13.5" customHeight="1" x14ac:dyDescent="0.25"/>
    <row r="368" ht="13.5" customHeight="1" x14ac:dyDescent="0.25"/>
    <row r="369" ht="13.5" customHeight="1" x14ac:dyDescent="0.25"/>
    <row r="370" ht="13.5" customHeight="1" x14ac:dyDescent="0.25"/>
    <row r="371" ht="13.5" customHeight="1" x14ac:dyDescent="0.25"/>
    <row r="372" ht="13.5" customHeight="1" x14ac:dyDescent="0.25"/>
    <row r="373" ht="13.5" customHeight="1" x14ac:dyDescent="0.25"/>
    <row r="374" ht="13.5" customHeight="1" x14ac:dyDescent="0.25"/>
    <row r="375" ht="13.5" customHeight="1" x14ac:dyDescent="0.25"/>
    <row r="376" ht="13.5" customHeight="1" x14ac:dyDescent="0.25"/>
    <row r="377" ht="13.5" customHeight="1" x14ac:dyDescent="0.25"/>
    <row r="378" ht="13.5" customHeight="1" x14ac:dyDescent="0.25"/>
    <row r="379" ht="13.5" customHeight="1" x14ac:dyDescent="0.25"/>
    <row r="380" ht="13.5" customHeight="1" x14ac:dyDescent="0.25"/>
    <row r="381" ht="13.5" customHeight="1" x14ac:dyDescent="0.25"/>
    <row r="382" ht="13.5" customHeight="1" x14ac:dyDescent="0.25"/>
    <row r="383" ht="13.5" customHeight="1" x14ac:dyDescent="0.25"/>
    <row r="384" ht="13.5" customHeight="1" x14ac:dyDescent="0.25"/>
    <row r="385" ht="13.5" customHeight="1" x14ac:dyDescent="0.25"/>
    <row r="386" ht="13.5" customHeight="1" x14ac:dyDescent="0.25"/>
    <row r="387" ht="13.5" customHeight="1" x14ac:dyDescent="0.25"/>
    <row r="388" ht="13.5" customHeight="1" x14ac:dyDescent="0.25"/>
    <row r="389" ht="13.5" customHeight="1" x14ac:dyDescent="0.25"/>
    <row r="390" ht="13.5" customHeight="1" x14ac:dyDescent="0.25"/>
    <row r="391" ht="13.5" customHeight="1" x14ac:dyDescent="0.25"/>
    <row r="392" ht="13.5" customHeight="1" x14ac:dyDescent="0.25"/>
    <row r="393" ht="13.5" customHeight="1" x14ac:dyDescent="0.25"/>
    <row r="394" ht="13.5" customHeight="1" x14ac:dyDescent="0.25"/>
    <row r="395" ht="13.5" customHeight="1" x14ac:dyDescent="0.25"/>
    <row r="396" ht="13.5" customHeight="1" x14ac:dyDescent="0.25"/>
    <row r="397" ht="13.5" customHeight="1" x14ac:dyDescent="0.25"/>
    <row r="398" ht="13.5" customHeight="1" x14ac:dyDescent="0.25"/>
    <row r="399" ht="13.5" customHeight="1" x14ac:dyDescent="0.25"/>
    <row r="400" ht="13.5" customHeight="1" x14ac:dyDescent="0.25"/>
    <row r="401" ht="13.5" customHeight="1" x14ac:dyDescent="0.25"/>
    <row r="402" ht="13.5" customHeight="1" x14ac:dyDescent="0.25"/>
    <row r="403" ht="13.5" customHeight="1" x14ac:dyDescent="0.25"/>
    <row r="404" ht="13.5" customHeight="1" x14ac:dyDescent="0.25"/>
    <row r="405" ht="13.5" customHeight="1" x14ac:dyDescent="0.25"/>
    <row r="406" ht="13.5" customHeight="1" x14ac:dyDescent="0.25"/>
    <row r="407" ht="13.5" customHeight="1" x14ac:dyDescent="0.25"/>
    <row r="408" ht="13.5" customHeight="1" x14ac:dyDescent="0.25"/>
    <row r="409" ht="13.5" customHeight="1" x14ac:dyDescent="0.25"/>
    <row r="410" ht="13.5" customHeight="1" x14ac:dyDescent="0.25"/>
    <row r="411" ht="13.5" customHeight="1" x14ac:dyDescent="0.25"/>
    <row r="412" ht="13.5" customHeight="1" x14ac:dyDescent="0.25"/>
    <row r="413" ht="13.5" customHeight="1" x14ac:dyDescent="0.25"/>
    <row r="414" ht="13.5" customHeight="1" x14ac:dyDescent="0.25"/>
    <row r="415" ht="13.5" customHeight="1" x14ac:dyDescent="0.25"/>
    <row r="416" ht="13.5" customHeight="1" x14ac:dyDescent="0.25"/>
    <row r="417" ht="13.5" customHeight="1" x14ac:dyDescent="0.25"/>
    <row r="418" ht="13.5" customHeight="1" x14ac:dyDescent="0.25"/>
    <row r="419" ht="13.5" customHeight="1" x14ac:dyDescent="0.25"/>
    <row r="420" ht="13.5" customHeight="1" x14ac:dyDescent="0.25"/>
    <row r="421" ht="13.5" customHeight="1" x14ac:dyDescent="0.25"/>
    <row r="422" ht="13.5" customHeight="1" x14ac:dyDescent="0.25"/>
    <row r="423" ht="13.5" customHeight="1" x14ac:dyDescent="0.25"/>
    <row r="424" ht="13.5" customHeight="1" x14ac:dyDescent="0.25"/>
    <row r="425" ht="13.5" customHeight="1" x14ac:dyDescent="0.25"/>
    <row r="426" ht="13.5" customHeight="1" x14ac:dyDescent="0.25"/>
    <row r="427" ht="13.5" customHeight="1" x14ac:dyDescent="0.25"/>
    <row r="428" ht="13.5" customHeight="1" x14ac:dyDescent="0.25"/>
    <row r="429" ht="13.5" customHeight="1" x14ac:dyDescent="0.25"/>
    <row r="430" ht="13.5" customHeight="1" x14ac:dyDescent="0.25"/>
    <row r="431" ht="13.5" customHeight="1" x14ac:dyDescent="0.25"/>
    <row r="432" ht="13.5" customHeight="1" x14ac:dyDescent="0.25"/>
    <row r="433" ht="13.5" customHeight="1" x14ac:dyDescent="0.25"/>
    <row r="434" ht="13.5" customHeight="1" x14ac:dyDescent="0.25"/>
    <row r="435" ht="13.5" customHeight="1" x14ac:dyDescent="0.25"/>
    <row r="436" ht="13.5" customHeight="1" x14ac:dyDescent="0.25"/>
    <row r="437" ht="13.5" customHeight="1" x14ac:dyDescent="0.25"/>
    <row r="438" ht="13.5" customHeight="1" x14ac:dyDescent="0.25"/>
    <row r="439" ht="13.5" customHeight="1" x14ac:dyDescent="0.25"/>
    <row r="440" ht="13.5" customHeight="1" x14ac:dyDescent="0.25"/>
    <row r="441" ht="13.5" customHeight="1" x14ac:dyDescent="0.25"/>
    <row r="442" ht="13.5" customHeight="1" x14ac:dyDescent="0.25"/>
    <row r="443" ht="13.5" customHeight="1" x14ac:dyDescent="0.25"/>
    <row r="444" ht="13.5" customHeight="1" x14ac:dyDescent="0.25"/>
    <row r="445" ht="13.5" customHeight="1" x14ac:dyDescent="0.25"/>
    <row r="446" ht="13.5" customHeight="1" x14ac:dyDescent="0.25"/>
    <row r="447" ht="13.5" customHeight="1" x14ac:dyDescent="0.25"/>
    <row r="448" ht="13.5" customHeight="1" x14ac:dyDescent="0.25"/>
    <row r="449" ht="13.5" customHeight="1" x14ac:dyDescent="0.25"/>
    <row r="450" ht="13.5" customHeight="1" x14ac:dyDescent="0.25"/>
    <row r="451" ht="13.5" customHeight="1" x14ac:dyDescent="0.25"/>
    <row r="452" ht="13.5" customHeight="1" x14ac:dyDescent="0.25"/>
    <row r="453" ht="13.5" customHeight="1" x14ac:dyDescent="0.25"/>
    <row r="454" ht="13.5" customHeight="1" x14ac:dyDescent="0.25"/>
    <row r="455" ht="13.5" customHeight="1" x14ac:dyDescent="0.25"/>
    <row r="456" ht="13.5" customHeight="1" x14ac:dyDescent="0.25"/>
    <row r="457" ht="13.5" customHeight="1" x14ac:dyDescent="0.25"/>
    <row r="458" ht="13.5" customHeight="1" x14ac:dyDescent="0.25"/>
    <row r="459" ht="13.5" customHeight="1" x14ac:dyDescent="0.25"/>
    <row r="460" ht="13.5" customHeight="1" x14ac:dyDescent="0.25"/>
    <row r="461" ht="13.5" customHeight="1" x14ac:dyDescent="0.25"/>
    <row r="462" ht="13.5" customHeight="1" x14ac:dyDescent="0.25"/>
    <row r="463" ht="13.5" customHeight="1" x14ac:dyDescent="0.25"/>
    <row r="464" ht="13.5" customHeight="1" x14ac:dyDescent="0.25"/>
    <row r="465" ht="13.5" customHeight="1" x14ac:dyDescent="0.25"/>
    <row r="466" ht="13.5" customHeight="1" x14ac:dyDescent="0.25"/>
    <row r="467" ht="13.5" customHeight="1" x14ac:dyDescent="0.25"/>
    <row r="468" ht="13.5" customHeight="1" x14ac:dyDescent="0.25"/>
    <row r="469" ht="13.5" customHeight="1" x14ac:dyDescent="0.25"/>
    <row r="470" ht="13.5" customHeight="1" x14ac:dyDescent="0.25"/>
    <row r="471" ht="13.5" customHeight="1" x14ac:dyDescent="0.25"/>
    <row r="472" ht="13.5" customHeight="1" x14ac:dyDescent="0.25"/>
    <row r="473" ht="13.5" customHeight="1" x14ac:dyDescent="0.25"/>
    <row r="474" ht="13.5" customHeight="1" x14ac:dyDescent="0.25"/>
    <row r="475" ht="13.5" customHeight="1" x14ac:dyDescent="0.25"/>
    <row r="476" ht="13.5" customHeight="1" x14ac:dyDescent="0.25"/>
    <row r="477" ht="13.5" customHeight="1" x14ac:dyDescent="0.25"/>
    <row r="478" ht="13.5" customHeight="1" x14ac:dyDescent="0.25"/>
    <row r="479" ht="13.5" customHeight="1" x14ac:dyDescent="0.25"/>
    <row r="480" ht="13.5" customHeight="1" x14ac:dyDescent="0.25"/>
    <row r="481" ht="13.5" customHeight="1" x14ac:dyDescent="0.25"/>
    <row r="482" ht="13.5" customHeight="1" x14ac:dyDescent="0.25"/>
    <row r="483" ht="13.5" customHeight="1" x14ac:dyDescent="0.25"/>
    <row r="484" ht="13.5" customHeight="1" x14ac:dyDescent="0.25"/>
    <row r="485" ht="13.5" customHeight="1" x14ac:dyDescent="0.25"/>
    <row r="486" ht="13.5" customHeight="1" x14ac:dyDescent="0.25"/>
    <row r="487" ht="13.5" customHeight="1" x14ac:dyDescent="0.25"/>
    <row r="488" ht="13.5" customHeight="1" x14ac:dyDescent="0.25"/>
    <row r="489" ht="13.5" customHeight="1" x14ac:dyDescent="0.25"/>
    <row r="490" ht="13.5" customHeight="1" x14ac:dyDescent="0.25"/>
    <row r="491" ht="13.5" customHeight="1" x14ac:dyDescent="0.25"/>
    <row r="492" ht="13.5" customHeight="1" x14ac:dyDescent="0.25"/>
    <row r="493" ht="13.5" customHeight="1" x14ac:dyDescent="0.25"/>
    <row r="494" ht="13.5" customHeight="1" x14ac:dyDescent="0.25"/>
    <row r="495" ht="13.5" customHeight="1" x14ac:dyDescent="0.25"/>
    <row r="496" ht="13.5" customHeight="1" x14ac:dyDescent="0.25"/>
    <row r="497" ht="13.5" customHeight="1" x14ac:dyDescent="0.25"/>
    <row r="498" ht="13.5" customHeight="1" x14ac:dyDescent="0.25"/>
    <row r="499" ht="13.5" customHeight="1" x14ac:dyDescent="0.25"/>
    <row r="500" ht="13.5" customHeight="1" x14ac:dyDescent="0.25"/>
    <row r="501" ht="13.5" customHeight="1" x14ac:dyDescent="0.25"/>
    <row r="502" ht="13.5" customHeight="1" x14ac:dyDescent="0.25"/>
    <row r="503" ht="13.5" customHeight="1" x14ac:dyDescent="0.25"/>
    <row r="504" ht="13.5" customHeight="1" x14ac:dyDescent="0.25"/>
    <row r="505" ht="13.5" customHeight="1" x14ac:dyDescent="0.25"/>
    <row r="506" ht="13.5" customHeight="1" x14ac:dyDescent="0.25"/>
    <row r="507" ht="13.5" customHeight="1" x14ac:dyDescent="0.25"/>
    <row r="508" ht="13.5" customHeight="1" x14ac:dyDescent="0.25"/>
    <row r="509" ht="13.5" customHeight="1" x14ac:dyDescent="0.25"/>
    <row r="510" ht="13.5" customHeight="1" x14ac:dyDescent="0.25"/>
    <row r="511" ht="13.5" customHeight="1" x14ac:dyDescent="0.25"/>
    <row r="512" ht="13.5" customHeight="1" x14ac:dyDescent="0.25"/>
    <row r="513" ht="13.5" customHeight="1" x14ac:dyDescent="0.25"/>
    <row r="514" ht="13.5" customHeight="1" x14ac:dyDescent="0.25"/>
    <row r="515" ht="13.5" customHeight="1" x14ac:dyDescent="0.25"/>
    <row r="516" ht="13.5" customHeight="1" x14ac:dyDescent="0.25"/>
    <row r="517" ht="13.5" customHeight="1" x14ac:dyDescent="0.25"/>
    <row r="518" ht="13.5" customHeight="1" x14ac:dyDescent="0.25"/>
    <row r="519" ht="13.5" customHeight="1" x14ac:dyDescent="0.25"/>
    <row r="520" ht="13.5" customHeight="1" x14ac:dyDescent="0.25"/>
    <row r="521" ht="13.5" customHeight="1" x14ac:dyDescent="0.25"/>
    <row r="522" ht="13.5" customHeight="1" x14ac:dyDescent="0.25"/>
    <row r="523" ht="13.5" customHeight="1" x14ac:dyDescent="0.25"/>
    <row r="524" ht="13.5" customHeight="1" x14ac:dyDescent="0.25"/>
    <row r="525" ht="13.5" customHeight="1" x14ac:dyDescent="0.25"/>
    <row r="526" ht="13.5" customHeight="1" x14ac:dyDescent="0.25"/>
    <row r="527" ht="13.5" customHeight="1" x14ac:dyDescent="0.25"/>
    <row r="528" ht="13.5" customHeight="1" x14ac:dyDescent="0.25"/>
    <row r="529" ht="13.5" customHeight="1" x14ac:dyDescent="0.25"/>
    <row r="530" ht="13.5" customHeight="1" x14ac:dyDescent="0.25"/>
    <row r="531" ht="13.5" customHeight="1" x14ac:dyDescent="0.25"/>
    <row r="532" ht="13.5" customHeight="1" x14ac:dyDescent="0.25"/>
    <row r="533" ht="13.5" customHeight="1" x14ac:dyDescent="0.25"/>
    <row r="534" ht="13.5" customHeight="1" x14ac:dyDescent="0.25"/>
    <row r="535" ht="13.5" customHeight="1" x14ac:dyDescent="0.25"/>
    <row r="536" ht="13.5" customHeight="1" x14ac:dyDescent="0.25"/>
    <row r="537" ht="13.5" customHeight="1" x14ac:dyDescent="0.25"/>
    <row r="538" ht="13.5" customHeight="1" x14ac:dyDescent="0.25"/>
    <row r="539" ht="13.5" customHeight="1" x14ac:dyDescent="0.25"/>
    <row r="540" ht="13.5" customHeight="1" x14ac:dyDescent="0.25"/>
    <row r="541" ht="13.5" customHeight="1" x14ac:dyDescent="0.25"/>
    <row r="542" ht="13.5" customHeight="1" x14ac:dyDescent="0.25"/>
    <row r="543" ht="13.5" customHeight="1" x14ac:dyDescent="0.25"/>
    <row r="544" ht="13.5" customHeight="1" x14ac:dyDescent="0.25"/>
    <row r="545" ht="13.5" customHeight="1" x14ac:dyDescent="0.25"/>
    <row r="546" ht="13.5" customHeight="1" x14ac:dyDescent="0.25"/>
    <row r="547" ht="13.5" customHeight="1" x14ac:dyDescent="0.25"/>
    <row r="548" ht="13.5" customHeight="1" x14ac:dyDescent="0.25"/>
    <row r="549" ht="13.5" customHeight="1" x14ac:dyDescent="0.25"/>
    <row r="550" ht="13.5" customHeight="1" x14ac:dyDescent="0.25"/>
    <row r="551" ht="13.5" customHeight="1" x14ac:dyDescent="0.25"/>
    <row r="552" ht="13.5" customHeight="1" x14ac:dyDescent="0.25"/>
    <row r="553" ht="13.5" customHeight="1" x14ac:dyDescent="0.25"/>
    <row r="554" ht="13.5" customHeight="1" x14ac:dyDescent="0.25"/>
    <row r="555" ht="13.5" customHeight="1" x14ac:dyDescent="0.25"/>
    <row r="556" ht="13.5" customHeight="1" x14ac:dyDescent="0.25"/>
    <row r="557" ht="13.5" customHeight="1" x14ac:dyDescent="0.25"/>
    <row r="558" ht="13.5" customHeight="1" x14ac:dyDescent="0.25"/>
    <row r="559" ht="13.5" customHeight="1" x14ac:dyDescent="0.25"/>
    <row r="560" ht="13.5" customHeight="1" x14ac:dyDescent="0.25"/>
    <row r="561" ht="13.5" customHeight="1" x14ac:dyDescent="0.25"/>
    <row r="562" ht="13.5" customHeight="1" x14ac:dyDescent="0.25"/>
    <row r="563" ht="13.5" customHeight="1" x14ac:dyDescent="0.25"/>
    <row r="564" ht="13.5" customHeight="1" x14ac:dyDescent="0.25"/>
    <row r="565" ht="13.5" customHeight="1" x14ac:dyDescent="0.25"/>
    <row r="566" ht="13.5" customHeight="1" x14ac:dyDescent="0.25"/>
    <row r="567" ht="13.5" customHeight="1" x14ac:dyDescent="0.25"/>
    <row r="568" ht="13.5" customHeight="1" x14ac:dyDescent="0.25"/>
    <row r="569" ht="13.5" customHeight="1" x14ac:dyDescent="0.25"/>
    <row r="570" ht="13.5" customHeight="1" x14ac:dyDescent="0.25"/>
    <row r="571" ht="13.5" customHeight="1" x14ac:dyDescent="0.25"/>
    <row r="572" ht="13.5" customHeight="1" x14ac:dyDescent="0.25"/>
    <row r="573" ht="13.5" customHeight="1" x14ac:dyDescent="0.25"/>
    <row r="574" ht="13.5" customHeight="1" x14ac:dyDescent="0.25"/>
    <row r="575" ht="13.5" customHeight="1" x14ac:dyDescent="0.25"/>
    <row r="576" ht="13.5" customHeight="1" x14ac:dyDescent="0.25"/>
    <row r="577" ht="13.5" customHeight="1" x14ac:dyDescent="0.25"/>
    <row r="578" ht="13.5" customHeight="1" x14ac:dyDescent="0.25"/>
    <row r="579" ht="13.5" customHeight="1" x14ac:dyDescent="0.25"/>
    <row r="580" ht="13.5" customHeight="1" x14ac:dyDescent="0.25"/>
    <row r="581" ht="13.5" customHeight="1" x14ac:dyDescent="0.25"/>
    <row r="582" ht="13.5" customHeight="1" x14ac:dyDescent="0.25"/>
    <row r="583" ht="13.5" customHeight="1" x14ac:dyDescent="0.25"/>
    <row r="584" ht="13.5" customHeight="1" x14ac:dyDescent="0.25"/>
    <row r="585" ht="13.5" customHeight="1" x14ac:dyDescent="0.25"/>
    <row r="586" ht="13.5" customHeight="1" x14ac:dyDescent="0.25"/>
    <row r="587" ht="13.5" customHeight="1" x14ac:dyDescent="0.25"/>
    <row r="588" ht="13.5" customHeight="1" x14ac:dyDescent="0.25"/>
    <row r="589" ht="13.5" customHeight="1" x14ac:dyDescent="0.25"/>
    <row r="590" ht="13.5" customHeight="1" x14ac:dyDescent="0.25"/>
    <row r="591" ht="13.5" customHeight="1" x14ac:dyDescent="0.25"/>
    <row r="592" ht="13.5" customHeight="1" x14ac:dyDescent="0.25"/>
    <row r="593" ht="13.5" customHeight="1" x14ac:dyDescent="0.25"/>
    <row r="594" ht="13.5" customHeight="1" x14ac:dyDescent="0.25"/>
    <row r="595" ht="13.5" customHeight="1" x14ac:dyDescent="0.25"/>
    <row r="596" ht="13.5" customHeight="1" x14ac:dyDescent="0.25"/>
    <row r="597" ht="13.5" customHeight="1" x14ac:dyDescent="0.25"/>
    <row r="598" ht="13.5" customHeight="1" x14ac:dyDescent="0.25"/>
    <row r="599" ht="13.5" customHeight="1" x14ac:dyDescent="0.25"/>
    <row r="600" ht="13.5" customHeight="1" x14ac:dyDescent="0.25"/>
    <row r="601" ht="13.5" customHeight="1" x14ac:dyDescent="0.25"/>
    <row r="602" ht="13.5" customHeight="1" x14ac:dyDescent="0.25"/>
    <row r="603" ht="13.5" customHeight="1" x14ac:dyDescent="0.25"/>
    <row r="604" ht="13.5" customHeight="1" x14ac:dyDescent="0.25"/>
    <row r="605" ht="13.5" customHeight="1" x14ac:dyDescent="0.25"/>
    <row r="606" ht="13.5" customHeight="1" x14ac:dyDescent="0.25"/>
    <row r="607" ht="13.5" customHeight="1" x14ac:dyDescent="0.25"/>
    <row r="608" ht="13.5" customHeight="1" x14ac:dyDescent="0.25"/>
    <row r="609" ht="13.5" customHeight="1" x14ac:dyDescent="0.25"/>
    <row r="610" ht="13.5" customHeight="1" x14ac:dyDescent="0.25"/>
    <row r="611" ht="13.5" customHeight="1" x14ac:dyDescent="0.25"/>
    <row r="612" ht="13.5" customHeight="1" x14ac:dyDescent="0.25"/>
    <row r="613" ht="13.5" customHeight="1" x14ac:dyDescent="0.25"/>
    <row r="614" ht="13.5" customHeight="1" x14ac:dyDescent="0.25"/>
    <row r="615" ht="13.5" customHeight="1" x14ac:dyDescent="0.25"/>
    <row r="616" ht="13.5" customHeight="1" x14ac:dyDescent="0.25"/>
    <row r="617" ht="13.5" customHeight="1" x14ac:dyDescent="0.25"/>
    <row r="618" ht="13.5" customHeight="1" x14ac:dyDescent="0.25"/>
    <row r="619" ht="13.5" customHeight="1" x14ac:dyDescent="0.25"/>
    <row r="620" ht="13.5" customHeight="1" x14ac:dyDescent="0.25"/>
    <row r="621" ht="13.5" customHeight="1" x14ac:dyDescent="0.25"/>
    <row r="622" ht="13.5" customHeight="1" x14ac:dyDescent="0.25"/>
    <row r="623" ht="13.5" customHeight="1" x14ac:dyDescent="0.25"/>
    <row r="624" ht="13.5" customHeight="1" x14ac:dyDescent="0.25"/>
    <row r="625" ht="13.5" customHeight="1" x14ac:dyDescent="0.25"/>
    <row r="626" ht="13.5" customHeight="1" x14ac:dyDescent="0.25"/>
    <row r="627" ht="13.5" customHeight="1" x14ac:dyDescent="0.25"/>
    <row r="628" ht="13.5" customHeight="1" x14ac:dyDescent="0.25"/>
    <row r="629" ht="13.5" customHeight="1" x14ac:dyDescent="0.25"/>
    <row r="630" ht="13.5" customHeight="1" x14ac:dyDescent="0.25"/>
    <row r="631" ht="13.5" customHeight="1" x14ac:dyDescent="0.25"/>
    <row r="632" ht="13.5" customHeight="1" x14ac:dyDescent="0.25"/>
    <row r="633" ht="13.5" customHeight="1" x14ac:dyDescent="0.25"/>
    <row r="634" ht="13.5" customHeight="1" x14ac:dyDescent="0.25"/>
    <row r="635" ht="13.5" customHeight="1" x14ac:dyDescent="0.25"/>
    <row r="636" ht="13.5" customHeight="1" x14ac:dyDescent="0.25"/>
    <row r="637" ht="13.5" customHeight="1" x14ac:dyDescent="0.25"/>
    <row r="638" ht="13.5" customHeight="1" x14ac:dyDescent="0.25"/>
    <row r="639" ht="13.5" customHeight="1" x14ac:dyDescent="0.25"/>
    <row r="640" ht="13.5" customHeight="1" x14ac:dyDescent="0.25"/>
    <row r="641" ht="13.5" customHeight="1" x14ac:dyDescent="0.25"/>
    <row r="642" ht="13.5" customHeight="1" x14ac:dyDescent="0.25"/>
    <row r="643" ht="13.5" customHeight="1" x14ac:dyDescent="0.25"/>
    <row r="644" ht="13.5" customHeight="1" x14ac:dyDescent="0.25"/>
    <row r="645" ht="13.5" customHeight="1" x14ac:dyDescent="0.25"/>
    <row r="646" ht="13.5" customHeight="1" x14ac:dyDescent="0.25"/>
    <row r="647" ht="13.5" customHeight="1" x14ac:dyDescent="0.25"/>
    <row r="648" ht="13.5" customHeight="1" x14ac:dyDescent="0.25"/>
    <row r="649" ht="13.5" customHeight="1" x14ac:dyDescent="0.25"/>
    <row r="650" ht="13.5" customHeight="1" x14ac:dyDescent="0.25"/>
    <row r="651" ht="13.5" customHeight="1" x14ac:dyDescent="0.25"/>
    <row r="652" ht="13.5" customHeight="1" x14ac:dyDescent="0.25"/>
    <row r="653" ht="13.5" customHeight="1" x14ac:dyDescent="0.25"/>
    <row r="654" ht="13.5" customHeight="1" x14ac:dyDescent="0.25"/>
    <row r="655" ht="13.5" customHeight="1" x14ac:dyDescent="0.25"/>
    <row r="656" ht="13.5" customHeight="1" x14ac:dyDescent="0.25"/>
    <row r="657" ht="13.5" customHeight="1" x14ac:dyDescent="0.25"/>
    <row r="658" ht="13.5" customHeight="1" x14ac:dyDescent="0.25"/>
    <row r="659" ht="13.5" customHeight="1" x14ac:dyDescent="0.25"/>
    <row r="660" ht="13.5" customHeight="1" x14ac:dyDescent="0.25"/>
    <row r="661" ht="13.5" customHeight="1" x14ac:dyDescent="0.25"/>
    <row r="662" ht="13.5" customHeight="1" x14ac:dyDescent="0.25"/>
    <row r="663" ht="13.5" customHeight="1" x14ac:dyDescent="0.25"/>
    <row r="664" ht="13.5" customHeight="1" x14ac:dyDescent="0.25"/>
    <row r="665" ht="13.5" customHeight="1" x14ac:dyDescent="0.25"/>
    <row r="666" ht="13.5" customHeight="1" x14ac:dyDescent="0.25"/>
    <row r="667" ht="13.5" customHeight="1" x14ac:dyDescent="0.25"/>
    <row r="668" ht="13.5" customHeight="1" x14ac:dyDescent="0.25"/>
    <row r="669" ht="13.5" customHeight="1" x14ac:dyDescent="0.25"/>
    <row r="670" ht="13.5" customHeight="1" x14ac:dyDescent="0.25"/>
    <row r="671" ht="13.5" customHeight="1" x14ac:dyDescent="0.25"/>
    <row r="672" ht="13.5" customHeight="1" x14ac:dyDescent="0.25"/>
    <row r="673" ht="13.5" customHeight="1" x14ac:dyDescent="0.25"/>
    <row r="674" ht="13.5" customHeight="1" x14ac:dyDescent="0.25"/>
    <row r="675" ht="13.5" customHeight="1" x14ac:dyDescent="0.25"/>
    <row r="676" ht="13.5" customHeight="1" x14ac:dyDescent="0.25"/>
    <row r="677" ht="13.5" customHeight="1" x14ac:dyDescent="0.25"/>
    <row r="678" ht="13.5" customHeight="1" x14ac:dyDescent="0.25"/>
    <row r="679" ht="13.5" customHeight="1" x14ac:dyDescent="0.25"/>
    <row r="680" ht="13.5" customHeight="1" x14ac:dyDescent="0.25"/>
    <row r="681" ht="13.5" customHeight="1" x14ac:dyDescent="0.25"/>
    <row r="682" ht="13.5" customHeight="1" x14ac:dyDescent="0.25"/>
    <row r="683" ht="13.5" customHeight="1" x14ac:dyDescent="0.25"/>
    <row r="684" ht="13.5" customHeight="1" x14ac:dyDescent="0.25"/>
    <row r="685" ht="13.5" customHeight="1" x14ac:dyDescent="0.25"/>
    <row r="686" ht="13.5" customHeight="1" x14ac:dyDescent="0.25"/>
    <row r="687" ht="13.5" customHeight="1" x14ac:dyDescent="0.25"/>
    <row r="688" ht="13.5" customHeight="1" x14ac:dyDescent="0.25"/>
    <row r="689" ht="13.5" customHeight="1" x14ac:dyDescent="0.25"/>
    <row r="690" ht="13.5" customHeight="1" x14ac:dyDescent="0.25"/>
    <row r="691" ht="13.5" customHeight="1" x14ac:dyDescent="0.25"/>
    <row r="692" ht="13.5" customHeight="1" x14ac:dyDescent="0.25"/>
    <row r="693" ht="13.5" customHeight="1" x14ac:dyDescent="0.25"/>
    <row r="694" ht="13.5" customHeight="1" x14ac:dyDescent="0.25"/>
    <row r="695" ht="13.5" customHeight="1" x14ac:dyDescent="0.25"/>
    <row r="696" ht="13.5" customHeight="1" x14ac:dyDescent="0.25"/>
    <row r="697" ht="13.5" customHeight="1" x14ac:dyDescent="0.25"/>
    <row r="698" ht="13.5" customHeight="1" x14ac:dyDescent="0.25"/>
    <row r="699" ht="13.5" customHeight="1" x14ac:dyDescent="0.25"/>
    <row r="700" ht="13.5" customHeight="1" x14ac:dyDescent="0.25"/>
    <row r="701" ht="13.5" customHeight="1" x14ac:dyDescent="0.25"/>
    <row r="702" ht="13.5" customHeight="1" x14ac:dyDescent="0.25"/>
    <row r="703" ht="13.5" customHeight="1" x14ac:dyDescent="0.25"/>
    <row r="704" ht="13.5" customHeight="1" x14ac:dyDescent="0.25"/>
    <row r="705" ht="13.5" customHeight="1" x14ac:dyDescent="0.25"/>
    <row r="706" ht="13.5" customHeight="1" x14ac:dyDescent="0.25"/>
    <row r="707" ht="13.5" customHeight="1" x14ac:dyDescent="0.25"/>
    <row r="708" ht="13.5" customHeight="1" x14ac:dyDescent="0.25"/>
    <row r="709" ht="13.5" customHeight="1" x14ac:dyDescent="0.25"/>
    <row r="710" ht="13.5" customHeight="1" x14ac:dyDescent="0.25"/>
    <row r="711" ht="13.5" customHeight="1" x14ac:dyDescent="0.25"/>
    <row r="712" ht="13.5" customHeight="1" x14ac:dyDescent="0.25"/>
    <row r="713" ht="13.5" customHeight="1" x14ac:dyDescent="0.25"/>
    <row r="714" ht="13.5" customHeight="1" x14ac:dyDescent="0.25"/>
    <row r="715" ht="13.5" customHeight="1" x14ac:dyDescent="0.25"/>
    <row r="716" ht="13.5" customHeight="1" x14ac:dyDescent="0.25"/>
    <row r="717" ht="13.5" customHeight="1" x14ac:dyDescent="0.25"/>
    <row r="718" ht="13.5" customHeight="1" x14ac:dyDescent="0.25"/>
    <row r="719" ht="13.5" customHeight="1" x14ac:dyDescent="0.25"/>
    <row r="720" ht="13.5" customHeight="1" x14ac:dyDescent="0.25"/>
    <row r="721" ht="13.5" customHeight="1" x14ac:dyDescent="0.25"/>
    <row r="722" ht="13.5" customHeight="1" x14ac:dyDescent="0.25"/>
    <row r="723" ht="13.5" customHeight="1" x14ac:dyDescent="0.25"/>
    <row r="724" ht="13.5" customHeight="1" x14ac:dyDescent="0.25"/>
    <row r="725" ht="13.5" customHeight="1" x14ac:dyDescent="0.25"/>
    <row r="726" ht="13.5" customHeight="1" x14ac:dyDescent="0.25"/>
    <row r="727" ht="13.5" customHeight="1" x14ac:dyDescent="0.25"/>
    <row r="728" ht="13.5" customHeight="1" x14ac:dyDescent="0.25"/>
    <row r="729" ht="13.5" customHeight="1" x14ac:dyDescent="0.25"/>
    <row r="730" ht="13.5" customHeight="1" x14ac:dyDescent="0.25"/>
    <row r="731" ht="13.5" customHeight="1" x14ac:dyDescent="0.25"/>
    <row r="732" ht="13.5" customHeight="1" x14ac:dyDescent="0.25"/>
    <row r="733" ht="13.5" customHeight="1" x14ac:dyDescent="0.25"/>
    <row r="734" ht="13.5" customHeight="1" x14ac:dyDescent="0.25"/>
    <row r="735" ht="13.5" customHeight="1" x14ac:dyDescent="0.25"/>
    <row r="736" ht="13.5" customHeight="1" x14ac:dyDescent="0.25"/>
    <row r="737" ht="13.5" customHeight="1" x14ac:dyDescent="0.25"/>
    <row r="738" ht="13.5" customHeight="1" x14ac:dyDescent="0.25"/>
    <row r="739" ht="13.5" customHeight="1" x14ac:dyDescent="0.25"/>
    <row r="740" ht="13.5" customHeight="1" x14ac:dyDescent="0.25"/>
    <row r="741" ht="13.5" customHeight="1" x14ac:dyDescent="0.25"/>
    <row r="742" ht="13.5" customHeight="1" x14ac:dyDescent="0.25"/>
    <row r="743" ht="13.5" customHeight="1" x14ac:dyDescent="0.25"/>
    <row r="744" ht="13.5" customHeight="1" x14ac:dyDescent="0.25"/>
    <row r="745" ht="13.5" customHeight="1" x14ac:dyDescent="0.25"/>
    <row r="746" ht="13.5" customHeight="1" x14ac:dyDescent="0.25"/>
    <row r="747" ht="13.5" customHeight="1" x14ac:dyDescent="0.25"/>
    <row r="748" ht="13.5" customHeight="1" x14ac:dyDescent="0.25"/>
    <row r="749" ht="13.5" customHeight="1" x14ac:dyDescent="0.25"/>
    <row r="750" ht="13.5" customHeight="1" x14ac:dyDescent="0.25"/>
    <row r="751" ht="13.5" customHeight="1" x14ac:dyDescent="0.25"/>
    <row r="752" ht="13.5" customHeight="1" x14ac:dyDescent="0.25"/>
    <row r="753" ht="13.5" customHeight="1" x14ac:dyDescent="0.25"/>
    <row r="754" ht="13.5" customHeight="1" x14ac:dyDescent="0.25"/>
    <row r="755" ht="13.5" customHeight="1" x14ac:dyDescent="0.25"/>
    <row r="756" ht="13.5" customHeight="1" x14ac:dyDescent="0.25"/>
    <row r="757" ht="13.5" customHeight="1" x14ac:dyDescent="0.25"/>
    <row r="758" ht="13.5" customHeight="1" x14ac:dyDescent="0.25"/>
    <row r="759" ht="13.5" customHeight="1" x14ac:dyDescent="0.25"/>
    <row r="760" ht="13.5" customHeight="1" x14ac:dyDescent="0.25"/>
    <row r="761" ht="13.5" customHeight="1" x14ac:dyDescent="0.25"/>
    <row r="762" ht="13.5" customHeight="1" x14ac:dyDescent="0.25"/>
    <row r="763" ht="13.5" customHeight="1" x14ac:dyDescent="0.25"/>
    <row r="764" ht="13.5" customHeight="1" x14ac:dyDescent="0.25"/>
    <row r="765" ht="13.5" customHeight="1" x14ac:dyDescent="0.25"/>
    <row r="766" ht="13.5" customHeight="1" x14ac:dyDescent="0.25"/>
    <row r="767" ht="13.5" customHeight="1" x14ac:dyDescent="0.25"/>
    <row r="768" ht="13.5" customHeight="1" x14ac:dyDescent="0.25"/>
    <row r="769" ht="13.5" customHeight="1" x14ac:dyDescent="0.25"/>
    <row r="770" ht="13.5" customHeight="1" x14ac:dyDescent="0.25"/>
    <row r="771" ht="13.5" customHeight="1" x14ac:dyDescent="0.25"/>
    <row r="772" ht="13.5" customHeight="1" x14ac:dyDescent="0.25"/>
    <row r="773" ht="13.5" customHeight="1" x14ac:dyDescent="0.25"/>
    <row r="774" ht="13.5" customHeight="1" x14ac:dyDescent="0.25"/>
    <row r="775" ht="13.5" customHeight="1" x14ac:dyDescent="0.25"/>
    <row r="776" ht="13.5" customHeight="1" x14ac:dyDescent="0.25"/>
    <row r="777" ht="13.5" customHeight="1" x14ac:dyDescent="0.25"/>
    <row r="778" ht="13.5" customHeight="1" x14ac:dyDescent="0.25"/>
    <row r="779" ht="13.5" customHeight="1" x14ac:dyDescent="0.25"/>
    <row r="780" ht="13.5" customHeight="1" x14ac:dyDescent="0.25"/>
    <row r="781" ht="13.5" customHeight="1" x14ac:dyDescent="0.25"/>
    <row r="782" ht="13.5" customHeight="1" x14ac:dyDescent="0.25"/>
    <row r="783" ht="13.5" customHeight="1" x14ac:dyDescent="0.25"/>
    <row r="784" ht="13.5" customHeight="1" x14ac:dyDescent="0.25"/>
    <row r="785" ht="13.5" customHeight="1" x14ac:dyDescent="0.25"/>
    <row r="786" ht="13.5" customHeight="1" x14ac:dyDescent="0.25"/>
    <row r="787" ht="13.5" customHeight="1" x14ac:dyDescent="0.25"/>
    <row r="788" ht="13.5" customHeight="1" x14ac:dyDescent="0.25"/>
    <row r="789" ht="13.5" customHeight="1" x14ac:dyDescent="0.25"/>
    <row r="790" ht="13.5" customHeight="1" x14ac:dyDescent="0.25"/>
    <row r="791" ht="13.5" customHeight="1" x14ac:dyDescent="0.25"/>
    <row r="792" ht="13.5" customHeight="1" x14ac:dyDescent="0.25"/>
    <row r="793" ht="13.5" customHeight="1" x14ac:dyDescent="0.25"/>
    <row r="794" ht="13.5" customHeight="1" x14ac:dyDescent="0.25"/>
    <row r="795" ht="13.5" customHeight="1" x14ac:dyDescent="0.25"/>
    <row r="796" ht="13.5" customHeight="1" x14ac:dyDescent="0.25"/>
    <row r="797" ht="13.5" customHeight="1" x14ac:dyDescent="0.25"/>
    <row r="798" ht="13.5" customHeight="1" x14ac:dyDescent="0.25"/>
    <row r="799" ht="13.5" customHeight="1" x14ac:dyDescent="0.25"/>
    <row r="800" ht="13.5" customHeight="1" x14ac:dyDescent="0.25"/>
    <row r="801" ht="13.5" customHeight="1" x14ac:dyDescent="0.25"/>
    <row r="802" ht="13.5" customHeight="1" x14ac:dyDescent="0.25"/>
    <row r="803" ht="13.5" customHeight="1" x14ac:dyDescent="0.25"/>
    <row r="804" ht="13.5" customHeight="1" x14ac:dyDescent="0.25"/>
    <row r="805" ht="13.5" customHeight="1" x14ac:dyDescent="0.25"/>
    <row r="806" ht="13.5" customHeight="1" x14ac:dyDescent="0.25"/>
    <row r="807" ht="13.5" customHeight="1" x14ac:dyDescent="0.25"/>
    <row r="808" ht="13.5" customHeight="1" x14ac:dyDescent="0.25"/>
    <row r="809" ht="13.5" customHeight="1" x14ac:dyDescent="0.25"/>
    <row r="810" ht="13.5" customHeight="1" x14ac:dyDescent="0.25"/>
    <row r="811" ht="13.5" customHeight="1" x14ac:dyDescent="0.25"/>
    <row r="812" ht="13.5" customHeight="1" x14ac:dyDescent="0.25"/>
    <row r="813" ht="13.5" customHeight="1" x14ac:dyDescent="0.25"/>
    <row r="814" ht="13.5" customHeight="1" x14ac:dyDescent="0.25"/>
    <row r="815" ht="13.5" customHeight="1" x14ac:dyDescent="0.25"/>
    <row r="816" ht="13.5" customHeight="1" x14ac:dyDescent="0.25"/>
    <row r="817" ht="13.5" customHeight="1" x14ac:dyDescent="0.25"/>
    <row r="818" ht="13.5" customHeight="1" x14ac:dyDescent="0.25"/>
    <row r="819" ht="13.5" customHeight="1" x14ac:dyDescent="0.25"/>
    <row r="820" ht="13.5" customHeight="1" x14ac:dyDescent="0.25"/>
    <row r="821" ht="13.5" customHeight="1" x14ac:dyDescent="0.25"/>
    <row r="822" ht="13.5" customHeight="1" x14ac:dyDescent="0.25"/>
    <row r="823" ht="13.5" customHeight="1" x14ac:dyDescent="0.25"/>
    <row r="824" ht="13.5" customHeight="1" x14ac:dyDescent="0.25"/>
    <row r="825" ht="13.5" customHeight="1" x14ac:dyDescent="0.25"/>
    <row r="826" ht="13.5" customHeight="1" x14ac:dyDescent="0.25"/>
    <row r="827" ht="13.5" customHeight="1" x14ac:dyDescent="0.25"/>
    <row r="828" ht="13.5" customHeight="1" x14ac:dyDescent="0.25"/>
    <row r="829" ht="13.5" customHeight="1" x14ac:dyDescent="0.25"/>
    <row r="830" ht="13.5" customHeight="1" x14ac:dyDescent="0.25"/>
    <row r="831" ht="13.5" customHeight="1" x14ac:dyDescent="0.25"/>
    <row r="832" ht="13.5" customHeight="1" x14ac:dyDescent="0.25"/>
    <row r="833" ht="13.5" customHeight="1" x14ac:dyDescent="0.25"/>
    <row r="834" ht="13.5" customHeight="1" x14ac:dyDescent="0.25"/>
    <row r="835" ht="13.5" customHeight="1" x14ac:dyDescent="0.25"/>
    <row r="836" ht="13.5" customHeight="1" x14ac:dyDescent="0.25"/>
    <row r="837" ht="13.5" customHeight="1" x14ac:dyDescent="0.25"/>
    <row r="838" ht="13.5" customHeight="1" x14ac:dyDescent="0.25"/>
    <row r="839" ht="13.5" customHeight="1" x14ac:dyDescent="0.25"/>
    <row r="840" ht="13.5" customHeight="1" x14ac:dyDescent="0.25"/>
    <row r="841" ht="13.5" customHeight="1" x14ac:dyDescent="0.25"/>
    <row r="842" ht="13.5" customHeight="1" x14ac:dyDescent="0.25"/>
    <row r="843" ht="13.5" customHeight="1" x14ac:dyDescent="0.25"/>
    <row r="844" ht="13.5" customHeight="1" x14ac:dyDescent="0.25"/>
    <row r="845" ht="13.5" customHeight="1" x14ac:dyDescent="0.25"/>
    <row r="846" ht="13.5" customHeight="1" x14ac:dyDescent="0.25"/>
    <row r="847" ht="13.5" customHeight="1" x14ac:dyDescent="0.25"/>
    <row r="848" ht="13.5" customHeight="1" x14ac:dyDescent="0.25"/>
    <row r="849" ht="13.5" customHeight="1" x14ac:dyDescent="0.25"/>
    <row r="850" ht="13.5" customHeight="1" x14ac:dyDescent="0.25"/>
    <row r="851" ht="13.5" customHeight="1" x14ac:dyDescent="0.25"/>
    <row r="852" ht="13.5" customHeight="1" x14ac:dyDescent="0.25"/>
    <row r="853" ht="13.5" customHeight="1" x14ac:dyDescent="0.25"/>
    <row r="854" ht="13.5" customHeight="1" x14ac:dyDescent="0.25"/>
    <row r="855" ht="13.5" customHeight="1" x14ac:dyDescent="0.25"/>
    <row r="856" ht="13.5" customHeight="1" x14ac:dyDescent="0.25"/>
    <row r="857" ht="13.5" customHeight="1" x14ac:dyDescent="0.25"/>
    <row r="858" ht="13.5" customHeight="1" x14ac:dyDescent="0.25"/>
    <row r="859" ht="13.5" customHeight="1" x14ac:dyDescent="0.25"/>
    <row r="860" ht="13.5" customHeight="1" x14ac:dyDescent="0.25"/>
    <row r="861" ht="13.5" customHeight="1" x14ac:dyDescent="0.25"/>
    <row r="862" ht="13.5" customHeight="1" x14ac:dyDescent="0.25"/>
    <row r="863" ht="13.5" customHeight="1" x14ac:dyDescent="0.25"/>
    <row r="864" ht="13.5" customHeight="1" x14ac:dyDescent="0.25"/>
    <row r="865" ht="13.5" customHeight="1" x14ac:dyDescent="0.25"/>
    <row r="866" ht="13.5" customHeight="1" x14ac:dyDescent="0.25"/>
    <row r="867" ht="13.5" customHeight="1" x14ac:dyDescent="0.25"/>
    <row r="868" ht="13.5" customHeight="1" x14ac:dyDescent="0.25"/>
    <row r="869" ht="13.5" customHeight="1" x14ac:dyDescent="0.25"/>
    <row r="870" ht="13.5" customHeight="1" x14ac:dyDescent="0.25"/>
    <row r="871" ht="13.5" customHeight="1" x14ac:dyDescent="0.25"/>
    <row r="872" ht="13.5" customHeight="1" x14ac:dyDescent="0.25"/>
    <row r="873" ht="13.5" customHeight="1" x14ac:dyDescent="0.25"/>
    <row r="874" ht="13.5" customHeight="1" x14ac:dyDescent="0.25"/>
    <row r="875" ht="13.5" customHeight="1" x14ac:dyDescent="0.25"/>
    <row r="876" ht="13.5" customHeight="1" x14ac:dyDescent="0.25"/>
    <row r="877" ht="13.5" customHeight="1" x14ac:dyDescent="0.25"/>
    <row r="878" ht="13.5" customHeight="1" x14ac:dyDescent="0.25"/>
    <row r="879" ht="13.5" customHeight="1" x14ac:dyDescent="0.25"/>
    <row r="880" ht="13.5" customHeight="1" x14ac:dyDescent="0.25"/>
    <row r="881" ht="13.5" customHeight="1" x14ac:dyDescent="0.25"/>
    <row r="882" ht="13.5" customHeight="1" x14ac:dyDescent="0.25"/>
    <row r="883" ht="13.5" customHeight="1" x14ac:dyDescent="0.25"/>
    <row r="884" ht="13.5" customHeight="1" x14ac:dyDescent="0.25"/>
    <row r="885" ht="13.5" customHeight="1" x14ac:dyDescent="0.25"/>
    <row r="886" ht="13.5" customHeight="1" x14ac:dyDescent="0.25"/>
    <row r="887" ht="13.5" customHeight="1" x14ac:dyDescent="0.25"/>
    <row r="888" ht="13.5" customHeight="1" x14ac:dyDescent="0.25"/>
    <row r="889" ht="13.5" customHeight="1" x14ac:dyDescent="0.25"/>
    <row r="890" ht="13.5" customHeight="1" x14ac:dyDescent="0.25"/>
    <row r="891" ht="13.5" customHeight="1" x14ac:dyDescent="0.25"/>
    <row r="892" ht="13.5" customHeight="1" x14ac:dyDescent="0.25"/>
    <row r="893" ht="13.5" customHeight="1" x14ac:dyDescent="0.25"/>
    <row r="894" ht="13.5" customHeight="1" x14ac:dyDescent="0.25"/>
    <row r="895" ht="13.5" customHeight="1" x14ac:dyDescent="0.25"/>
    <row r="896" ht="13.5" customHeight="1" x14ac:dyDescent="0.25"/>
    <row r="897" ht="13.5" customHeight="1" x14ac:dyDescent="0.25"/>
    <row r="898" ht="13.5" customHeight="1" x14ac:dyDescent="0.25"/>
    <row r="899" ht="13.5" customHeight="1" x14ac:dyDescent="0.25"/>
    <row r="900" ht="13.5" customHeight="1" x14ac:dyDescent="0.25"/>
    <row r="901" ht="13.5" customHeight="1" x14ac:dyDescent="0.25"/>
    <row r="902" ht="13.5" customHeight="1" x14ac:dyDescent="0.25"/>
    <row r="903" ht="13.5" customHeight="1" x14ac:dyDescent="0.25"/>
    <row r="904" ht="13.5" customHeight="1" x14ac:dyDescent="0.25"/>
    <row r="905" ht="13.5" customHeight="1" x14ac:dyDescent="0.25"/>
    <row r="906" ht="13.5" customHeight="1" x14ac:dyDescent="0.25"/>
    <row r="907" ht="13.5" customHeight="1" x14ac:dyDescent="0.25"/>
    <row r="908" ht="13.5" customHeight="1" x14ac:dyDescent="0.25"/>
    <row r="909" ht="13.5" customHeight="1" x14ac:dyDescent="0.25"/>
    <row r="910" ht="13.5" customHeight="1" x14ac:dyDescent="0.25"/>
    <row r="911" ht="13.5" customHeight="1" x14ac:dyDescent="0.25"/>
    <row r="912" ht="13.5" customHeight="1" x14ac:dyDescent="0.25"/>
    <row r="913" ht="13.5" customHeight="1" x14ac:dyDescent="0.25"/>
    <row r="914" ht="13.5" customHeight="1" x14ac:dyDescent="0.25"/>
    <row r="915" ht="13.5" customHeight="1" x14ac:dyDescent="0.25"/>
    <row r="916" ht="13.5" customHeight="1" x14ac:dyDescent="0.25"/>
    <row r="917" ht="13.5" customHeight="1" x14ac:dyDescent="0.25"/>
    <row r="918" ht="13.5" customHeight="1" x14ac:dyDescent="0.25"/>
    <row r="919" ht="13.5" customHeight="1" x14ac:dyDescent="0.25"/>
    <row r="920" ht="13.5" customHeight="1" x14ac:dyDescent="0.25"/>
    <row r="921" ht="13.5" customHeight="1" x14ac:dyDescent="0.25"/>
    <row r="922" ht="13.5" customHeight="1" x14ac:dyDescent="0.25"/>
    <row r="923" ht="13.5" customHeight="1" x14ac:dyDescent="0.25"/>
    <row r="924" ht="13.5" customHeight="1" x14ac:dyDescent="0.25"/>
    <row r="925" ht="13.5" customHeight="1" x14ac:dyDescent="0.25"/>
    <row r="926" ht="13.5" customHeight="1" x14ac:dyDescent="0.25"/>
    <row r="927" ht="13.5" customHeight="1" x14ac:dyDescent="0.25"/>
    <row r="928" ht="13.5" customHeight="1" x14ac:dyDescent="0.25"/>
    <row r="929" ht="13.5" customHeight="1" x14ac:dyDescent="0.25"/>
    <row r="930" ht="13.5" customHeight="1" x14ac:dyDescent="0.25"/>
    <row r="931" ht="13.5" customHeight="1" x14ac:dyDescent="0.25"/>
    <row r="932" ht="13.5" customHeight="1" x14ac:dyDescent="0.25"/>
    <row r="933" ht="13.5" customHeight="1" x14ac:dyDescent="0.25"/>
    <row r="934" ht="13.5" customHeight="1" x14ac:dyDescent="0.25"/>
    <row r="935" ht="13.5" customHeight="1" x14ac:dyDescent="0.25"/>
    <row r="936" ht="13.5" customHeight="1" x14ac:dyDescent="0.25"/>
    <row r="937" ht="13.5" customHeight="1" x14ac:dyDescent="0.25"/>
    <row r="938" ht="13.5" customHeight="1" x14ac:dyDescent="0.25"/>
    <row r="939" ht="13.5" customHeight="1" x14ac:dyDescent="0.25"/>
    <row r="940" ht="13.5" customHeight="1" x14ac:dyDescent="0.25"/>
    <row r="941" ht="13.5" customHeight="1" x14ac:dyDescent="0.25"/>
    <row r="942" ht="13.5" customHeight="1" x14ac:dyDescent="0.25"/>
    <row r="943" ht="13.5" customHeight="1" x14ac:dyDescent="0.25"/>
    <row r="944" ht="13.5" customHeight="1" x14ac:dyDescent="0.25"/>
    <row r="945" ht="13.5" customHeight="1" x14ac:dyDescent="0.25"/>
    <row r="946" ht="13.5" customHeight="1" x14ac:dyDescent="0.25"/>
    <row r="947" ht="13.5" customHeight="1" x14ac:dyDescent="0.25"/>
    <row r="948" ht="13.5" customHeight="1" x14ac:dyDescent="0.25"/>
    <row r="949" ht="13.5" customHeight="1" x14ac:dyDescent="0.25"/>
    <row r="950" ht="13.5" customHeight="1" x14ac:dyDescent="0.25"/>
    <row r="951" ht="13.5" customHeight="1" x14ac:dyDescent="0.25"/>
    <row r="952" ht="13.5" customHeight="1" x14ac:dyDescent="0.25"/>
    <row r="953" ht="13.5" customHeight="1" x14ac:dyDescent="0.25"/>
    <row r="954" ht="13.5" customHeight="1" x14ac:dyDescent="0.25"/>
    <row r="955" ht="13.5" customHeight="1" x14ac:dyDescent="0.25"/>
    <row r="956" ht="13.5" customHeight="1" x14ac:dyDescent="0.25"/>
    <row r="957" ht="13.5" customHeight="1" x14ac:dyDescent="0.25"/>
    <row r="958" ht="13.5" customHeight="1" x14ac:dyDescent="0.25"/>
    <row r="959" ht="13.5" customHeight="1" x14ac:dyDescent="0.25"/>
    <row r="960" ht="13.5" customHeight="1" x14ac:dyDescent="0.25"/>
    <row r="961" ht="13.5" customHeight="1" x14ac:dyDescent="0.25"/>
    <row r="962" ht="13.5" customHeight="1" x14ac:dyDescent="0.25"/>
    <row r="963" ht="13.5" customHeight="1" x14ac:dyDescent="0.25"/>
    <row r="964" ht="13.5" customHeight="1" x14ac:dyDescent="0.25"/>
    <row r="965" ht="13.5" customHeight="1" x14ac:dyDescent="0.25"/>
    <row r="966" ht="13.5" customHeight="1" x14ac:dyDescent="0.25"/>
    <row r="967" ht="13.5" customHeight="1" x14ac:dyDescent="0.25"/>
    <row r="968" ht="13.5" customHeight="1" x14ac:dyDescent="0.25"/>
    <row r="969" ht="13.5" customHeight="1" x14ac:dyDescent="0.25"/>
    <row r="970" ht="13.5" customHeight="1" x14ac:dyDescent="0.25"/>
    <row r="971" ht="13.5" customHeight="1" x14ac:dyDescent="0.25"/>
    <row r="972" ht="13.5" customHeight="1" x14ac:dyDescent="0.25"/>
    <row r="973" ht="13.5" customHeight="1" x14ac:dyDescent="0.25"/>
    <row r="974" ht="13.5" customHeight="1" x14ac:dyDescent="0.25"/>
    <row r="975" ht="13.5" customHeight="1" x14ac:dyDescent="0.25"/>
    <row r="976" ht="13.5" customHeight="1" x14ac:dyDescent="0.25"/>
    <row r="977" ht="13.5" customHeight="1" x14ac:dyDescent="0.25"/>
    <row r="978" ht="13.5" customHeight="1" x14ac:dyDescent="0.25"/>
    <row r="979" ht="13.5" customHeight="1" x14ac:dyDescent="0.25"/>
    <row r="980" ht="13.5" customHeight="1" x14ac:dyDescent="0.25"/>
    <row r="981" ht="13.5" customHeight="1" x14ac:dyDescent="0.25"/>
    <row r="982" ht="13.5" customHeight="1" x14ac:dyDescent="0.25"/>
    <row r="983" ht="13.5" customHeight="1" x14ac:dyDescent="0.25"/>
    <row r="984" ht="13.5" customHeight="1" x14ac:dyDescent="0.25"/>
    <row r="985" ht="13.5" customHeight="1" x14ac:dyDescent="0.25"/>
    <row r="986" ht="13.5" customHeight="1" x14ac:dyDescent="0.25"/>
    <row r="987" ht="13.5" customHeight="1" x14ac:dyDescent="0.25"/>
    <row r="988" ht="13.5" customHeight="1" x14ac:dyDescent="0.25"/>
    <row r="989" ht="13.5" customHeight="1" x14ac:dyDescent="0.25"/>
    <row r="990" ht="13.5" customHeight="1" x14ac:dyDescent="0.25"/>
    <row r="991" ht="13.5" customHeight="1" x14ac:dyDescent="0.25"/>
    <row r="992" ht="13.5" customHeight="1" x14ac:dyDescent="0.25"/>
    <row r="993" ht="13.5" customHeight="1" x14ac:dyDescent="0.25"/>
    <row r="994" ht="13.5" customHeight="1" x14ac:dyDescent="0.25"/>
    <row r="995" ht="13.5" customHeight="1" x14ac:dyDescent="0.25"/>
    <row r="996" ht="13.5" customHeight="1" x14ac:dyDescent="0.25"/>
    <row r="997" ht="13.5" customHeight="1" x14ac:dyDescent="0.25"/>
    <row r="998" ht="13.5" customHeight="1" x14ac:dyDescent="0.25"/>
    <row r="999" ht="13.5" customHeight="1" x14ac:dyDescent="0.25"/>
    <row r="1000" ht="13.5" customHeight="1" x14ac:dyDescent="0.25"/>
  </sheetData>
  <mergeCells count="1">
    <mergeCell ref="C1:E1"/>
  </mergeCells>
  <dataValidations count="4">
    <dataValidation type="list" allowBlank="1" showErrorMessage="1" sqref="N4" xr:uid="{00000000-0002-0000-0800-000000000000}">
      <formula1>"đồng,đô la mỹ,euro,yên,frăng,bạt"</formula1>
    </dataValidation>
    <dataValidation type="list" allowBlank="1" showErrorMessage="1" sqref="D4 G4 J4 M4" xr:uid="{00000000-0002-0000-0800-000001000000}">
      <formula1>"linh,lẻ"</formula1>
    </dataValidation>
    <dataValidation type="list" allowBlank="1" showErrorMessage="1" sqref="K4" xr:uid="{00000000-0002-0000-0800-000002000000}">
      <formula1>"nghìn,ngàn"</formula1>
    </dataValidation>
    <dataValidation type="list" allowBlank="1" showErrorMessage="1" sqref="E4" xr:uid="{00000000-0002-0000-0800-000003000000}">
      <formula1>"tỉ,tỷ"</formula1>
    </dataValidation>
  </dataValidations>
  <pageMargins left="0.7" right="0.7" top="0.75" bottom="0.75" header="0" footer="0"/>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outlinePr summaryBelow="0"/>
  </sheetPr>
  <dimension ref="A1:E1682"/>
  <sheetViews>
    <sheetView topLeftCell="A1017" zoomScaleNormal="100" workbookViewId="0">
      <selection activeCell="A1030" sqref="A1030:XFD1030"/>
    </sheetView>
  </sheetViews>
  <sheetFormatPr defaultColWidth="8" defaultRowHeight="14.4" x14ac:dyDescent="0.3"/>
  <cols>
    <col min="1" max="1" width="12.5" style="113" customWidth="1"/>
    <col min="2" max="2" width="28.09765625" style="113" customWidth="1"/>
    <col min="3" max="256" width="8" style="113"/>
    <col min="257" max="257" width="12.5" style="113" customWidth="1"/>
    <col min="258" max="258" width="28.09765625" style="113" customWidth="1"/>
    <col min="259" max="512" width="8" style="113"/>
    <col min="513" max="513" width="12.5" style="113" customWidth="1"/>
    <col min="514" max="514" width="28.09765625" style="113" customWidth="1"/>
    <col min="515" max="768" width="8" style="113"/>
    <col min="769" max="769" width="12.5" style="113" customWidth="1"/>
    <col min="770" max="770" width="28.09765625" style="113" customWidth="1"/>
    <col min="771" max="1024" width="8" style="113"/>
    <col min="1025" max="1025" width="12.5" style="113" customWidth="1"/>
    <col min="1026" max="1026" width="28.09765625" style="113" customWidth="1"/>
    <col min="1027" max="1280" width="8" style="113"/>
    <col min="1281" max="1281" width="12.5" style="113" customWidth="1"/>
    <col min="1282" max="1282" width="28.09765625" style="113" customWidth="1"/>
    <col min="1283" max="1536" width="8" style="113"/>
    <col min="1537" max="1537" width="12.5" style="113" customWidth="1"/>
    <col min="1538" max="1538" width="28.09765625" style="113" customWidth="1"/>
    <col min="1539" max="1792" width="8" style="113"/>
    <col min="1793" max="1793" width="12.5" style="113" customWidth="1"/>
    <col min="1794" max="1794" width="28.09765625" style="113" customWidth="1"/>
    <col min="1795" max="2048" width="8" style="113"/>
    <col min="2049" max="2049" width="12.5" style="113" customWidth="1"/>
    <col min="2050" max="2050" width="28.09765625" style="113" customWidth="1"/>
    <col min="2051" max="2304" width="8" style="113"/>
    <col min="2305" max="2305" width="12.5" style="113" customWidth="1"/>
    <col min="2306" max="2306" width="28.09765625" style="113" customWidth="1"/>
    <col min="2307" max="2560" width="8" style="113"/>
    <col min="2561" max="2561" width="12.5" style="113" customWidth="1"/>
    <col min="2562" max="2562" width="28.09765625" style="113" customWidth="1"/>
    <col min="2563" max="2816" width="8" style="113"/>
    <col min="2817" max="2817" width="12.5" style="113" customWidth="1"/>
    <col min="2818" max="2818" width="28.09765625" style="113" customWidth="1"/>
    <col min="2819" max="3072" width="8" style="113"/>
    <col min="3073" max="3073" width="12.5" style="113" customWidth="1"/>
    <col min="3074" max="3074" width="28.09765625" style="113" customWidth="1"/>
    <col min="3075" max="3328" width="8" style="113"/>
    <col min="3329" max="3329" width="12.5" style="113" customWidth="1"/>
    <col min="3330" max="3330" width="28.09765625" style="113" customWidth="1"/>
    <col min="3331" max="3584" width="8" style="113"/>
    <col min="3585" max="3585" width="12.5" style="113" customWidth="1"/>
    <col min="3586" max="3586" width="28.09765625" style="113" customWidth="1"/>
    <col min="3587" max="3840" width="8" style="113"/>
    <col min="3841" max="3841" width="12.5" style="113" customWidth="1"/>
    <col min="3842" max="3842" width="28.09765625" style="113" customWidth="1"/>
    <col min="3843" max="4096" width="8" style="113"/>
    <col min="4097" max="4097" width="12.5" style="113" customWidth="1"/>
    <col min="4098" max="4098" width="28.09765625" style="113" customWidth="1"/>
    <col min="4099" max="4352" width="8" style="113"/>
    <col min="4353" max="4353" width="12.5" style="113" customWidth="1"/>
    <col min="4354" max="4354" width="28.09765625" style="113" customWidth="1"/>
    <col min="4355" max="4608" width="8" style="113"/>
    <col min="4609" max="4609" width="12.5" style="113" customWidth="1"/>
    <col min="4610" max="4610" width="28.09765625" style="113" customWidth="1"/>
    <col min="4611" max="4864" width="8" style="113"/>
    <col min="4865" max="4865" width="12.5" style="113" customWidth="1"/>
    <col min="4866" max="4866" width="28.09765625" style="113" customWidth="1"/>
    <col min="4867" max="5120" width="8" style="113"/>
    <col min="5121" max="5121" width="12.5" style="113" customWidth="1"/>
    <col min="5122" max="5122" width="28.09765625" style="113" customWidth="1"/>
    <col min="5123" max="5376" width="8" style="113"/>
    <col min="5377" max="5377" width="12.5" style="113" customWidth="1"/>
    <col min="5378" max="5378" width="28.09765625" style="113" customWidth="1"/>
    <col min="5379" max="5632" width="8" style="113"/>
    <col min="5633" max="5633" width="12.5" style="113" customWidth="1"/>
    <col min="5634" max="5634" width="28.09765625" style="113" customWidth="1"/>
    <col min="5635" max="5888" width="8" style="113"/>
    <col min="5889" max="5889" width="12.5" style="113" customWidth="1"/>
    <col min="5890" max="5890" width="28.09765625" style="113" customWidth="1"/>
    <col min="5891" max="6144" width="8" style="113"/>
    <col min="6145" max="6145" width="12.5" style="113" customWidth="1"/>
    <col min="6146" max="6146" width="28.09765625" style="113" customWidth="1"/>
    <col min="6147" max="6400" width="8" style="113"/>
    <col min="6401" max="6401" width="12.5" style="113" customWidth="1"/>
    <col min="6402" max="6402" width="28.09765625" style="113" customWidth="1"/>
    <col min="6403" max="6656" width="8" style="113"/>
    <col min="6657" max="6657" width="12.5" style="113" customWidth="1"/>
    <col min="6658" max="6658" width="28.09765625" style="113" customWidth="1"/>
    <col min="6659" max="6912" width="8" style="113"/>
    <col min="6913" max="6913" width="12.5" style="113" customWidth="1"/>
    <col min="6914" max="6914" width="28.09765625" style="113" customWidth="1"/>
    <col min="6915" max="7168" width="8" style="113"/>
    <col min="7169" max="7169" width="12.5" style="113" customWidth="1"/>
    <col min="7170" max="7170" width="28.09765625" style="113" customWidth="1"/>
    <col min="7171" max="7424" width="8" style="113"/>
    <col min="7425" max="7425" width="12.5" style="113" customWidth="1"/>
    <col min="7426" max="7426" width="28.09765625" style="113" customWidth="1"/>
    <col min="7427" max="7680" width="8" style="113"/>
    <col min="7681" max="7681" width="12.5" style="113" customWidth="1"/>
    <col min="7682" max="7682" width="28.09765625" style="113" customWidth="1"/>
    <col min="7683" max="7936" width="8" style="113"/>
    <col min="7937" max="7937" width="12.5" style="113" customWidth="1"/>
    <col min="7938" max="7938" width="28.09765625" style="113" customWidth="1"/>
    <col min="7939" max="8192" width="8" style="113"/>
    <col min="8193" max="8193" width="12.5" style="113" customWidth="1"/>
    <col min="8194" max="8194" width="28.09765625" style="113" customWidth="1"/>
    <col min="8195" max="8448" width="8" style="113"/>
    <col min="8449" max="8449" width="12.5" style="113" customWidth="1"/>
    <col min="8450" max="8450" width="28.09765625" style="113" customWidth="1"/>
    <col min="8451" max="8704" width="8" style="113"/>
    <col min="8705" max="8705" width="12.5" style="113" customWidth="1"/>
    <col min="8706" max="8706" width="28.09765625" style="113" customWidth="1"/>
    <col min="8707" max="8960" width="8" style="113"/>
    <col min="8961" max="8961" width="12.5" style="113" customWidth="1"/>
    <col min="8962" max="8962" width="28.09765625" style="113" customWidth="1"/>
    <col min="8963" max="9216" width="8" style="113"/>
    <col min="9217" max="9217" width="12.5" style="113" customWidth="1"/>
    <col min="9218" max="9218" width="28.09765625" style="113" customWidth="1"/>
    <col min="9219" max="9472" width="8" style="113"/>
    <col min="9473" max="9473" width="12.5" style="113" customWidth="1"/>
    <col min="9474" max="9474" width="28.09765625" style="113" customWidth="1"/>
    <col min="9475" max="9728" width="8" style="113"/>
    <col min="9729" max="9729" width="12.5" style="113" customWidth="1"/>
    <col min="9730" max="9730" width="28.09765625" style="113" customWidth="1"/>
    <col min="9731" max="9984" width="8" style="113"/>
    <col min="9985" max="9985" width="12.5" style="113" customWidth="1"/>
    <col min="9986" max="9986" width="28.09765625" style="113" customWidth="1"/>
    <col min="9987" max="10240" width="8" style="113"/>
    <col min="10241" max="10241" width="12.5" style="113" customWidth="1"/>
    <col min="10242" max="10242" width="28.09765625" style="113" customWidth="1"/>
    <col min="10243" max="10496" width="8" style="113"/>
    <col min="10497" max="10497" width="12.5" style="113" customWidth="1"/>
    <col min="10498" max="10498" width="28.09765625" style="113" customWidth="1"/>
    <col min="10499" max="10752" width="8" style="113"/>
    <col min="10753" max="10753" width="12.5" style="113" customWidth="1"/>
    <col min="10754" max="10754" width="28.09765625" style="113" customWidth="1"/>
    <col min="10755" max="11008" width="8" style="113"/>
    <col min="11009" max="11009" width="12.5" style="113" customWidth="1"/>
    <col min="11010" max="11010" width="28.09765625" style="113" customWidth="1"/>
    <col min="11011" max="11264" width="8" style="113"/>
    <col min="11265" max="11265" width="12.5" style="113" customWidth="1"/>
    <col min="11266" max="11266" width="28.09765625" style="113" customWidth="1"/>
    <col min="11267" max="11520" width="8" style="113"/>
    <col min="11521" max="11521" width="12.5" style="113" customWidth="1"/>
    <col min="11522" max="11522" width="28.09765625" style="113" customWidth="1"/>
    <col min="11523" max="11776" width="8" style="113"/>
    <col min="11777" max="11777" width="12.5" style="113" customWidth="1"/>
    <col min="11778" max="11778" width="28.09765625" style="113" customWidth="1"/>
    <col min="11779" max="12032" width="8" style="113"/>
    <col min="12033" max="12033" width="12.5" style="113" customWidth="1"/>
    <col min="12034" max="12034" width="28.09765625" style="113" customWidth="1"/>
    <col min="12035" max="12288" width="8" style="113"/>
    <col min="12289" max="12289" width="12.5" style="113" customWidth="1"/>
    <col min="12290" max="12290" width="28.09765625" style="113" customWidth="1"/>
    <col min="12291" max="12544" width="8" style="113"/>
    <col min="12545" max="12545" width="12.5" style="113" customWidth="1"/>
    <col min="12546" max="12546" width="28.09765625" style="113" customWidth="1"/>
    <col min="12547" max="12800" width="8" style="113"/>
    <col min="12801" max="12801" width="12.5" style="113" customWidth="1"/>
    <col min="12802" max="12802" width="28.09765625" style="113" customWidth="1"/>
    <col min="12803" max="13056" width="8" style="113"/>
    <col min="13057" max="13057" width="12.5" style="113" customWidth="1"/>
    <col min="13058" max="13058" width="28.09765625" style="113" customWidth="1"/>
    <col min="13059" max="13312" width="8" style="113"/>
    <col min="13313" max="13313" width="12.5" style="113" customWidth="1"/>
    <col min="13314" max="13314" width="28.09765625" style="113" customWidth="1"/>
    <col min="13315" max="13568" width="8" style="113"/>
    <col min="13569" max="13569" width="12.5" style="113" customWidth="1"/>
    <col min="13570" max="13570" width="28.09765625" style="113" customWidth="1"/>
    <col min="13571" max="13824" width="8" style="113"/>
    <col min="13825" max="13825" width="12.5" style="113" customWidth="1"/>
    <col min="13826" max="13826" width="28.09765625" style="113" customWidth="1"/>
    <col min="13827" max="14080" width="8" style="113"/>
    <col min="14081" max="14081" width="12.5" style="113" customWidth="1"/>
    <col min="14082" max="14082" width="28.09765625" style="113" customWidth="1"/>
    <col min="14083" max="14336" width="8" style="113"/>
    <col min="14337" max="14337" width="12.5" style="113" customWidth="1"/>
    <col min="14338" max="14338" width="28.09765625" style="113" customWidth="1"/>
    <col min="14339" max="14592" width="8" style="113"/>
    <col min="14593" max="14593" width="12.5" style="113" customWidth="1"/>
    <col min="14594" max="14594" width="28.09765625" style="113" customWidth="1"/>
    <col min="14595" max="14848" width="8" style="113"/>
    <col min="14849" max="14849" width="12.5" style="113" customWidth="1"/>
    <col min="14850" max="14850" width="28.09765625" style="113" customWidth="1"/>
    <col min="14851" max="15104" width="8" style="113"/>
    <col min="15105" max="15105" width="12.5" style="113" customWidth="1"/>
    <col min="15106" max="15106" width="28.09765625" style="113" customWidth="1"/>
    <col min="15107" max="15360" width="8" style="113"/>
    <col min="15361" max="15361" width="12.5" style="113" customWidth="1"/>
    <col min="15362" max="15362" width="28.09765625" style="113" customWidth="1"/>
    <col min="15363" max="15616" width="8" style="113"/>
    <col min="15617" max="15617" width="12.5" style="113" customWidth="1"/>
    <col min="15618" max="15618" width="28.09765625" style="113" customWidth="1"/>
    <col min="15619" max="15872" width="8" style="113"/>
    <col min="15873" max="15873" width="12.5" style="113" customWidth="1"/>
    <col min="15874" max="15874" width="28.09765625" style="113" customWidth="1"/>
    <col min="15875" max="16128" width="8" style="113"/>
    <col min="16129" max="16129" width="12.5" style="113" customWidth="1"/>
    <col min="16130" max="16130" width="28.09765625" style="113" customWidth="1"/>
    <col min="16131" max="16384" width="8" style="113"/>
  </cols>
  <sheetData>
    <row r="1" spans="1:5" ht="17.399999999999999" x14ac:dyDescent="0.3">
      <c r="A1" s="437" t="s">
        <v>10729</v>
      </c>
      <c r="B1" s="437"/>
    </row>
    <row r="2" spans="1:5" ht="15" customHeight="1" x14ac:dyDescent="0.3">
      <c r="A2" s="121" t="s">
        <v>10730</v>
      </c>
      <c r="B2" s="121" t="s">
        <v>227</v>
      </c>
    </row>
    <row r="3" spans="1:5" x14ac:dyDescent="0.3">
      <c r="A3" s="122" t="s">
        <v>10731</v>
      </c>
      <c r="B3" s="122" t="s">
        <v>10732</v>
      </c>
      <c r="C3" s="113" t="str">
        <f>+A3</f>
        <v>128.HS</v>
      </c>
      <c r="D3" s="113" t="s">
        <v>13848</v>
      </c>
      <c r="E3" s="113" t="str">
        <f>B3</f>
        <v>DKG&lt;-&gt;Chuyển tải 128-HS</v>
      </c>
    </row>
    <row r="4" spans="1:5" x14ac:dyDescent="0.3">
      <c r="A4" s="122" t="s">
        <v>10733</v>
      </c>
      <c r="B4" s="122" t="s">
        <v>10734</v>
      </c>
      <c r="C4" s="113" t="str">
        <f t="shared" ref="C4:C67" si="0">+A4</f>
        <v>189.HS</v>
      </c>
      <c r="D4" s="113" t="s">
        <v>13849</v>
      </c>
      <c r="E4" s="113" t="str">
        <f t="shared" ref="E4:E67" si="1">B4</f>
        <v>DKG&lt;-&gt;Chuyển tải 189-HS</v>
      </c>
    </row>
    <row r="5" spans="1:5" x14ac:dyDescent="0.3">
      <c r="A5" s="122" t="s">
        <v>224</v>
      </c>
      <c r="B5" s="122" t="s">
        <v>225</v>
      </c>
      <c r="C5" s="113" t="str">
        <f t="shared" si="0"/>
        <v>AD.HP.DKG</v>
      </c>
      <c r="D5" s="113" t="s">
        <v>13850</v>
      </c>
      <c r="E5" s="113" t="str">
        <f t="shared" si="1"/>
        <v>DKG&lt;-&gt;An Dương, Hải Phòng</v>
      </c>
    </row>
    <row r="6" spans="1:5" x14ac:dyDescent="0.3">
      <c r="A6" s="122" t="s">
        <v>10735</v>
      </c>
      <c r="B6" s="122" t="s">
        <v>10736</v>
      </c>
      <c r="C6" s="113" t="str">
        <f t="shared" si="0"/>
        <v>AD.HP.DKS</v>
      </c>
      <c r="D6" s="113" t="s">
        <v>13851</v>
      </c>
      <c r="E6" s="113" t="str">
        <f t="shared" si="1"/>
        <v>DKS&lt;-&gt;An Dương, Hải Phòng</v>
      </c>
    </row>
    <row r="7" spans="1:5" x14ac:dyDescent="0.3">
      <c r="A7" s="122" t="s">
        <v>10737</v>
      </c>
      <c r="B7" s="122" t="s">
        <v>10738</v>
      </c>
      <c r="C7" s="113" t="str">
        <f t="shared" si="0"/>
        <v>AD.HP.THG</v>
      </c>
      <c r="D7" s="113" t="s">
        <v>13852</v>
      </c>
      <c r="E7" s="113" t="str">
        <f t="shared" si="1"/>
        <v>THG&lt;-&gt;An Dương, Hải Phòng</v>
      </c>
    </row>
    <row r="8" spans="1:5" x14ac:dyDescent="0.3">
      <c r="A8" s="122" t="s">
        <v>10739</v>
      </c>
      <c r="B8" s="122" t="s">
        <v>10740</v>
      </c>
      <c r="C8" s="113" t="str">
        <f t="shared" si="0"/>
        <v>AL.HP.DKG</v>
      </c>
      <c r="D8" s="113" t="s">
        <v>13853</v>
      </c>
      <c r="E8" s="113" t="str">
        <f t="shared" si="1"/>
        <v>DKG&lt;-&gt;An Lão, Hải Phòng</v>
      </c>
    </row>
    <row r="9" spans="1:5" x14ac:dyDescent="0.3">
      <c r="A9" s="122" t="s">
        <v>10741</v>
      </c>
      <c r="B9" s="122" t="s">
        <v>10742</v>
      </c>
      <c r="C9" s="113" t="str">
        <f t="shared" si="0"/>
        <v>AL.HP.DKS</v>
      </c>
      <c r="D9" s="113" t="s">
        <v>13854</v>
      </c>
      <c r="E9" s="113" t="str">
        <f t="shared" si="1"/>
        <v>DKS&lt;-&gt;An Lão, Hải Phòng</v>
      </c>
    </row>
    <row r="10" spans="1:5" x14ac:dyDescent="0.3">
      <c r="A10" s="122" t="s">
        <v>10743</v>
      </c>
      <c r="B10" s="122" t="s">
        <v>10744</v>
      </c>
      <c r="C10" s="113" t="str">
        <f t="shared" si="0"/>
        <v>AL.HP.THG</v>
      </c>
      <c r="D10" s="113" t="s">
        <v>13855</v>
      </c>
      <c r="E10" s="113" t="str">
        <f t="shared" si="1"/>
        <v>THG&lt;-&gt;An Lão, Hải Phòng</v>
      </c>
    </row>
    <row r="11" spans="1:5" x14ac:dyDescent="0.3">
      <c r="A11" s="122" t="s">
        <v>10745</v>
      </c>
      <c r="B11" s="122" t="s">
        <v>10746</v>
      </c>
      <c r="C11" s="113" t="str">
        <f t="shared" si="0"/>
        <v>AS.NA.DKG</v>
      </c>
      <c r="D11" s="113" t="s">
        <v>13856</v>
      </c>
      <c r="E11" s="113" t="str">
        <f t="shared" si="1"/>
        <v>DKG&lt;-&gt;Anh Sơn, Nghệ An</v>
      </c>
    </row>
    <row r="12" spans="1:5" x14ac:dyDescent="0.3">
      <c r="A12" s="122" t="s">
        <v>10747</v>
      </c>
      <c r="B12" s="122" t="s">
        <v>10748</v>
      </c>
      <c r="C12" s="113" t="str">
        <f t="shared" si="0"/>
        <v>AT.HY.DKG</v>
      </c>
      <c r="D12" s="113" t="s">
        <v>13857</v>
      </c>
      <c r="E12" s="113" t="str">
        <f t="shared" si="1"/>
        <v>DKG&lt;-&gt;Ân Thi, Hưng Yên</v>
      </c>
    </row>
    <row r="13" spans="1:5" x14ac:dyDescent="0.3">
      <c r="A13" s="122" t="s">
        <v>10749</v>
      </c>
      <c r="B13" s="122" t="s">
        <v>10750</v>
      </c>
      <c r="C13" s="113" t="str">
        <f t="shared" si="0"/>
        <v>AT.HY.THG</v>
      </c>
      <c r="D13" s="113" t="s">
        <v>13858</v>
      </c>
      <c r="E13" s="113" t="str">
        <f t="shared" si="1"/>
        <v>THG&lt;-&gt;Ân Thi, Hưng Yên</v>
      </c>
    </row>
    <row r="14" spans="1:5" x14ac:dyDescent="0.3">
      <c r="A14" s="122" t="s">
        <v>10751</v>
      </c>
      <c r="B14" s="122" t="s">
        <v>10752</v>
      </c>
      <c r="C14" s="113" t="str">
        <f t="shared" si="0"/>
        <v>BD.HN.DKG</v>
      </c>
      <c r="D14" s="113" t="s">
        <v>13859</v>
      </c>
      <c r="E14" s="113" t="str">
        <f t="shared" si="1"/>
        <v>DKG&lt;-&gt;Bình Đà, Hà Nội</v>
      </c>
    </row>
    <row r="15" spans="1:5" x14ac:dyDescent="0.3">
      <c r="A15" s="122" t="s">
        <v>10753</v>
      </c>
      <c r="B15" s="122" t="s">
        <v>10754</v>
      </c>
      <c r="C15" s="113" t="str">
        <f t="shared" si="0"/>
        <v>BD.HN.DKS</v>
      </c>
      <c r="D15" s="113" t="s">
        <v>13860</v>
      </c>
      <c r="E15" s="113" t="str">
        <f t="shared" si="1"/>
        <v>DKS&lt;-&gt;Bình Đà, Hà Nội</v>
      </c>
    </row>
    <row r="16" spans="1:5" x14ac:dyDescent="0.3">
      <c r="A16" s="122" t="s">
        <v>10755</v>
      </c>
      <c r="B16" s="122" t="s">
        <v>10756</v>
      </c>
      <c r="C16" s="113" t="str">
        <f t="shared" si="0"/>
        <v>BD.HN.THG</v>
      </c>
      <c r="D16" s="113" t="s">
        <v>13861</v>
      </c>
      <c r="E16" s="113" t="str">
        <f t="shared" si="1"/>
        <v>THG&lt;-&gt;Bình Đà, Hà Nội</v>
      </c>
    </row>
    <row r="17" spans="1:5" x14ac:dyDescent="0.3">
      <c r="A17" s="122" t="s">
        <v>10757</v>
      </c>
      <c r="B17" s="122" t="s">
        <v>10758</v>
      </c>
      <c r="C17" s="113" t="str">
        <f t="shared" si="0"/>
        <v>BD.QB.DKG</v>
      </c>
      <c r="D17" s="113" t="s">
        <v>13862</v>
      </c>
      <c r="E17" s="113" t="str">
        <f t="shared" si="1"/>
        <v>DKG&lt;-&gt;Ba Đồn, Quảng Bình</v>
      </c>
    </row>
    <row r="18" spans="1:5" x14ac:dyDescent="0.3">
      <c r="A18" s="122" t="s">
        <v>10759</v>
      </c>
      <c r="B18" s="122" t="s">
        <v>10760</v>
      </c>
      <c r="C18" s="113" t="str">
        <f t="shared" si="0"/>
        <v>BG.HD.DKG</v>
      </c>
      <c r="D18" s="113" t="s">
        <v>13863</v>
      </c>
      <c r="E18" s="113" t="str">
        <f t="shared" si="1"/>
        <v>DKG&lt;-&gt;Bình Giang, Hải Dương</v>
      </c>
    </row>
    <row r="19" spans="1:5" x14ac:dyDescent="0.3">
      <c r="A19" s="122" t="s">
        <v>10761</v>
      </c>
      <c r="B19" s="122" t="s">
        <v>10762</v>
      </c>
      <c r="C19" s="113" t="str">
        <f t="shared" si="0"/>
        <v>BG.HD.DKS</v>
      </c>
      <c r="D19" s="113" t="s">
        <v>13864</v>
      </c>
      <c r="E19" s="113" t="str">
        <f t="shared" si="1"/>
        <v>DKS&lt;-&gt;Bình Giang, Hải Dương</v>
      </c>
    </row>
    <row r="20" spans="1:5" x14ac:dyDescent="0.3">
      <c r="A20" s="122" t="s">
        <v>10763</v>
      </c>
      <c r="B20" s="122" t="s">
        <v>10764</v>
      </c>
      <c r="C20" s="113" t="str">
        <f t="shared" si="0"/>
        <v>BH.BG.DKG</v>
      </c>
      <c r="D20" s="113" t="s">
        <v>13865</v>
      </c>
      <c r="E20" s="113" t="str">
        <f t="shared" si="1"/>
        <v>DKG&lt;-&gt;Bố Hạ, Bắc Giang</v>
      </c>
    </row>
    <row r="21" spans="1:5" x14ac:dyDescent="0.3">
      <c r="A21" s="122" t="s">
        <v>10765</v>
      </c>
      <c r="B21" s="122" t="s">
        <v>10766</v>
      </c>
      <c r="C21" s="113" t="str">
        <f t="shared" si="0"/>
        <v>BH.BG.DKS</v>
      </c>
      <c r="D21" s="113" t="s">
        <v>13866</v>
      </c>
      <c r="E21" s="113" t="str">
        <f t="shared" si="1"/>
        <v>DKS&lt;-&gt;Bố Hạ, Bắc Giang</v>
      </c>
    </row>
    <row r="22" spans="1:5" x14ac:dyDescent="0.3">
      <c r="A22" s="122" t="s">
        <v>10767</v>
      </c>
      <c r="B22" s="122" t="s">
        <v>10764</v>
      </c>
      <c r="C22" s="113" t="str">
        <f t="shared" si="0"/>
        <v>BH.BG.THG</v>
      </c>
      <c r="D22" s="113" t="s">
        <v>13865</v>
      </c>
      <c r="E22" s="113" t="str">
        <f t="shared" si="1"/>
        <v>DKG&lt;-&gt;Bố Hạ, Bắc Giang</v>
      </c>
    </row>
    <row r="23" spans="1:5" x14ac:dyDescent="0.3">
      <c r="A23" s="122" t="s">
        <v>10768</v>
      </c>
      <c r="B23" s="122" t="s">
        <v>10769</v>
      </c>
      <c r="C23" s="113" t="str">
        <f t="shared" si="0"/>
        <v>BHDS</v>
      </c>
      <c r="D23" s="113" t="s">
        <v>10769</v>
      </c>
      <c r="E23" s="113" t="str">
        <f t="shared" si="1"/>
        <v>Bảo hiểm dân sự cho xe</v>
      </c>
    </row>
    <row r="24" spans="1:5" x14ac:dyDescent="0.3">
      <c r="A24" s="122" t="s">
        <v>10770</v>
      </c>
      <c r="B24" s="122" t="s">
        <v>10771</v>
      </c>
      <c r="C24" s="113" t="str">
        <f t="shared" si="0"/>
        <v>BHVC</v>
      </c>
      <c r="D24" s="113" t="s">
        <v>10771</v>
      </c>
      <c r="E24" s="113" t="str">
        <f t="shared" si="1"/>
        <v>Bảo hiểm vật chất</v>
      </c>
    </row>
    <row r="25" spans="1:5" x14ac:dyDescent="0.3">
      <c r="A25" s="122" t="s">
        <v>10772</v>
      </c>
      <c r="B25" s="122" t="s">
        <v>10773</v>
      </c>
      <c r="C25" s="113" t="str">
        <f t="shared" si="0"/>
        <v>BL.HN.DKG</v>
      </c>
      <c r="D25" s="113" t="s">
        <v>13867</v>
      </c>
      <c r="E25" s="113" t="str">
        <f t="shared" si="1"/>
        <v>DKG&lt;-&gt;Ba La, Hà Đông, Hà Nội</v>
      </c>
    </row>
    <row r="26" spans="1:5" x14ac:dyDescent="0.3">
      <c r="A26" s="122" t="s">
        <v>10774</v>
      </c>
      <c r="B26" s="122" t="s">
        <v>10775</v>
      </c>
      <c r="C26" s="113" t="str">
        <f t="shared" si="0"/>
        <v>BL.HN.THG</v>
      </c>
      <c r="D26" s="113" t="s">
        <v>13868</v>
      </c>
      <c r="E26" s="113" t="str">
        <f t="shared" si="1"/>
        <v>THG&lt;-&gt;Ba La, Hà Đông, Hà Nội</v>
      </c>
    </row>
    <row r="27" spans="1:5" x14ac:dyDescent="0.3">
      <c r="A27" s="122" t="s">
        <v>10776</v>
      </c>
      <c r="B27" s="122" t="s">
        <v>10777</v>
      </c>
      <c r="C27" s="113" t="str">
        <f t="shared" si="0"/>
        <v>BL.HNA.DKG</v>
      </c>
      <c r="D27" s="113" t="s">
        <v>13869</v>
      </c>
      <c r="E27" s="113" t="str">
        <f t="shared" si="1"/>
        <v>DKG&lt;-&gt;Bình Lục, Hà Nam</v>
      </c>
    </row>
    <row r="28" spans="1:5" x14ac:dyDescent="0.3">
      <c r="A28" s="122" t="s">
        <v>10778</v>
      </c>
      <c r="B28" s="122" t="s">
        <v>10779</v>
      </c>
      <c r="C28" s="113" t="str">
        <f t="shared" si="0"/>
        <v>BL.HNA.THG</v>
      </c>
      <c r="D28" s="113" t="s">
        <v>13870</v>
      </c>
      <c r="E28" s="113" t="str">
        <f t="shared" si="1"/>
        <v>THG&lt;-&gt;Bình Lục, hà Nam</v>
      </c>
    </row>
    <row r="29" spans="1:5" x14ac:dyDescent="0.3">
      <c r="A29" s="122" t="s">
        <v>10780</v>
      </c>
      <c r="B29" s="122" t="s">
        <v>10781</v>
      </c>
      <c r="C29" s="113" t="str">
        <f t="shared" si="0"/>
        <v>BM.HNA.DKG</v>
      </c>
      <c r="D29" s="113" t="s">
        <v>13871</v>
      </c>
      <c r="E29" s="113" t="str">
        <f t="shared" si="1"/>
        <v>DKG&lt;-&gt;Bình Mỹ, Hà Nam</v>
      </c>
    </row>
    <row r="30" spans="1:5" x14ac:dyDescent="0.3">
      <c r="A30" s="122" t="s">
        <v>10782</v>
      </c>
      <c r="B30" s="122" t="s">
        <v>10783</v>
      </c>
      <c r="C30" s="113" t="str">
        <f t="shared" si="0"/>
        <v>BN.LC.DKG</v>
      </c>
      <c r="D30" s="113" t="s">
        <v>13872</v>
      </c>
      <c r="E30" s="113" t="str">
        <f t="shared" si="1"/>
        <v>DKG&lt;-&gt;Bảo Nhai, Lào Cai</v>
      </c>
    </row>
    <row r="31" spans="1:5" x14ac:dyDescent="0.3">
      <c r="A31" s="122" t="s">
        <v>10784</v>
      </c>
      <c r="B31" s="122" t="s">
        <v>10785</v>
      </c>
      <c r="C31" s="113" t="str">
        <f t="shared" si="0"/>
        <v>BS.HN.DKG</v>
      </c>
      <c r="D31" s="113" t="s">
        <v>13873</v>
      </c>
      <c r="E31" s="113" t="str">
        <f t="shared" si="1"/>
        <v>DKG&lt;-&gt;Biển Sắt, Hà Đông, Hà Nội</v>
      </c>
    </row>
    <row r="32" spans="1:5" x14ac:dyDescent="0.3">
      <c r="A32" s="122" t="s">
        <v>10786</v>
      </c>
      <c r="B32" s="122" t="s">
        <v>10787</v>
      </c>
      <c r="C32" s="113" t="str">
        <f t="shared" si="0"/>
        <v>BS.HN.THG</v>
      </c>
      <c r="D32" s="113" t="s">
        <v>13874</v>
      </c>
      <c r="E32" s="113" t="str">
        <f t="shared" si="1"/>
        <v>THG&lt;-&gt;Biển Sắt, Hà Đông, Hà Nội</v>
      </c>
    </row>
    <row r="33" spans="1:5" x14ac:dyDescent="0.3">
      <c r="A33" s="122" t="s">
        <v>10788</v>
      </c>
      <c r="B33" s="122" t="s">
        <v>10789</v>
      </c>
      <c r="C33" s="113" t="str">
        <f t="shared" si="0"/>
        <v>BS.LS.DKG</v>
      </c>
      <c r="D33" s="113" t="s">
        <v>13875</v>
      </c>
      <c r="E33" s="113" t="str">
        <f t="shared" si="1"/>
        <v>DKG&lt;-&gt;Bắc Sơn, Lạng Sơn</v>
      </c>
    </row>
    <row r="34" spans="1:5" x14ac:dyDescent="0.3">
      <c r="A34" s="122" t="s">
        <v>10790</v>
      </c>
      <c r="B34" s="122" t="s">
        <v>10791</v>
      </c>
      <c r="C34" s="113" t="str">
        <f t="shared" si="0"/>
        <v>BS.TH.DKG</v>
      </c>
      <c r="D34" s="113" t="s">
        <v>13876</v>
      </c>
      <c r="E34" s="113" t="str">
        <f t="shared" si="1"/>
        <v>DKG&lt;-&gt;Bỉm Sơn (đường HCM), Thanh Hóa</v>
      </c>
    </row>
    <row r="35" spans="1:5" x14ac:dyDescent="0.3">
      <c r="A35" s="122" t="s">
        <v>10792</v>
      </c>
      <c r="B35" s="122" t="s">
        <v>10793</v>
      </c>
      <c r="C35" s="113" t="str">
        <f t="shared" si="0"/>
        <v>BS.TH.DKS</v>
      </c>
      <c r="D35" s="113" t="s">
        <v>13877</v>
      </c>
      <c r="E35" s="113" t="str">
        <f t="shared" si="1"/>
        <v>DKS&lt;-&gt;Bỉm Sơn, Thanh Hóa</v>
      </c>
    </row>
    <row r="36" spans="1:5" x14ac:dyDescent="0.3">
      <c r="A36" s="122" t="s">
        <v>10794</v>
      </c>
      <c r="B36" s="122" t="s">
        <v>10795</v>
      </c>
      <c r="C36" s="113" t="str">
        <f t="shared" si="0"/>
        <v>BS.TH.THG</v>
      </c>
      <c r="D36" s="113" t="s">
        <v>13878</v>
      </c>
      <c r="E36" s="113" t="str">
        <f t="shared" si="1"/>
        <v>THG&lt;-&gt;Bỉm Sơn (đường HCM), Thanh Hóa</v>
      </c>
    </row>
    <row r="37" spans="1:5" x14ac:dyDescent="0.3">
      <c r="A37" s="122" t="s">
        <v>10796</v>
      </c>
      <c r="B37" s="122" t="s">
        <v>10797</v>
      </c>
      <c r="C37" s="113" t="str">
        <f t="shared" si="0"/>
        <v>BT.HN.DKG</v>
      </c>
      <c r="D37" s="113" t="s">
        <v>13879</v>
      </c>
      <c r="E37" s="113" t="str">
        <f t="shared" si="1"/>
        <v>DKG&lt;-&gt;Ba Thá, Hà Nội</v>
      </c>
    </row>
    <row r="38" spans="1:5" x14ac:dyDescent="0.3">
      <c r="A38" s="122" t="s">
        <v>10798</v>
      </c>
      <c r="B38" s="122" t="s">
        <v>10799</v>
      </c>
      <c r="C38" s="113" t="str">
        <f t="shared" si="0"/>
        <v>BT.NA.DKG</v>
      </c>
      <c r="D38" s="113" t="s">
        <v>13880</v>
      </c>
      <c r="E38" s="113" t="str">
        <f t="shared" si="1"/>
        <v>DKG&lt;-&gt;Cầu Bến Thủy, Nghệ An</v>
      </c>
    </row>
    <row r="39" spans="1:5" x14ac:dyDescent="0.3">
      <c r="A39" s="122" t="s">
        <v>10800</v>
      </c>
      <c r="B39" s="122" t="s">
        <v>10801</v>
      </c>
      <c r="C39" s="113" t="str">
        <f t="shared" si="0"/>
        <v>BT.NA.THG</v>
      </c>
      <c r="D39" s="113" t="s">
        <v>13881</v>
      </c>
      <c r="E39" s="113" t="str">
        <f t="shared" si="1"/>
        <v>THG&lt;-&gt;Cầu Bến Thủy, Nghệ An</v>
      </c>
    </row>
    <row r="40" spans="1:5" x14ac:dyDescent="0.3">
      <c r="A40" s="122" t="s">
        <v>10802</v>
      </c>
      <c r="B40" s="122" t="s">
        <v>10803</v>
      </c>
      <c r="C40" s="113" t="str">
        <f t="shared" si="0"/>
        <v>BT.QB.DKG</v>
      </c>
      <c r="D40" s="113" t="s">
        <v>13882</v>
      </c>
      <c r="E40" s="113" t="str">
        <f t="shared" si="1"/>
        <v>DKG&lt;-&gt;Bố Trạch, Quảng Bình</v>
      </c>
    </row>
    <row r="41" spans="1:5" x14ac:dyDescent="0.3">
      <c r="A41" s="122" t="s">
        <v>10804</v>
      </c>
      <c r="B41" s="122" t="s">
        <v>10805</v>
      </c>
      <c r="C41" s="113" t="str">
        <f t="shared" si="0"/>
        <v>BV.HN.DKG</v>
      </c>
      <c r="D41" s="113" t="s">
        <v>13883</v>
      </c>
      <c r="E41" s="113" t="str">
        <f t="shared" si="1"/>
        <v>DKG&lt;-&gt;Ba Vì, Hà Nội</v>
      </c>
    </row>
    <row r="42" spans="1:5" x14ac:dyDescent="0.3">
      <c r="A42" s="122" t="s">
        <v>10806</v>
      </c>
      <c r="B42" s="122" t="s">
        <v>10807</v>
      </c>
      <c r="C42" s="113" t="str">
        <f t="shared" si="0"/>
        <v>BV.HN.DKS</v>
      </c>
      <c r="D42" s="113" t="s">
        <v>13884</v>
      </c>
      <c r="E42" s="113" t="str">
        <f t="shared" si="1"/>
        <v>DKS&lt;-&gt;Ba Vì, Hà Nội</v>
      </c>
    </row>
    <row r="43" spans="1:5" x14ac:dyDescent="0.3">
      <c r="A43" s="122" t="s">
        <v>10808</v>
      </c>
      <c r="B43" s="122" t="s">
        <v>10809</v>
      </c>
      <c r="C43" s="113" t="str">
        <f t="shared" si="0"/>
        <v>BV.HN.THG</v>
      </c>
      <c r="D43" s="113" t="s">
        <v>13885</v>
      </c>
      <c r="E43" s="113" t="str">
        <f t="shared" si="1"/>
        <v>THG&lt;-&gt;Ba Vì, Hà Nội</v>
      </c>
    </row>
    <row r="44" spans="1:5" x14ac:dyDescent="0.3">
      <c r="A44" s="122" t="s">
        <v>10810</v>
      </c>
      <c r="B44" s="122" t="s">
        <v>10811</v>
      </c>
      <c r="C44" s="113" t="str">
        <f t="shared" si="0"/>
        <v>BV.HP.DKS</v>
      </c>
      <c r="D44" s="113" t="s">
        <v>13886</v>
      </c>
      <c r="E44" s="113" t="str">
        <f t="shared" si="1"/>
        <v>DKS&lt;-&gt;Bùi Viện, Hải Phòng</v>
      </c>
    </row>
    <row r="45" spans="1:5" x14ac:dyDescent="0.3">
      <c r="A45" s="122" t="s">
        <v>10812</v>
      </c>
      <c r="B45" s="122" t="s">
        <v>10813</v>
      </c>
      <c r="C45" s="113" t="str">
        <f t="shared" si="0"/>
        <v>BX.HD.DKG</v>
      </c>
      <c r="D45" s="113" t="s">
        <v>13887</v>
      </c>
      <c r="E45" s="113" t="str">
        <f t="shared" si="1"/>
        <v>DKG&lt;-&gt;Bình Xuyên, Hải Dương</v>
      </c>
    </row>
    <row r="46" spans="1:5" x14ac:dyDescent="0.3">
      <c r="A46" s="122" t="s">
        <v>10814</v>
      </c>
      <c r="B46" s="122" t="s">
        <v>10815</v>
      </c>
      <c r="C46" s="113" t="str">
        <f t="shared" si="0"/>
        <v>BX.VP.DKG</v>
      </c>
      <c r="D46" s="113" t="s">
        <v>13888</v>
      </c>
      <c r="E46" s="113" t="str">
        <f t="shared" si="1"/>
        <v>DKG&lt;-&gt;Bình Xuyên, Vĩnh Phúc</v>
      </c>
    </row>
    <row r="47" spans="1:5" x14ac:dyDescent="0.3">
      <c r="A47" s="122" t="s">
        <v>10816</v>
      </c>
      <c r="B47" s="122" t="s">
        <v>10817</v>
      </c>
      <c r="C47" s="113" t="str">
        <f t="shared" si="0"/>
        <v>BX.VP.DKS</v>
      </c>
      <c r="D47" s="113" t="s">
        <v>13889</v>
      </c>
      <c r="E47" s="113" t="str">
        <f t="shared" si="1"/>
        <v>DKS&lt;-&gt;Bình Xuyên, Vĩnh Phúc</v>
      </c>
    </row>
    <row r="48" spans="1:5" x14ac:dyDescent="0.3">
      <c r="A48" s="122" t="s">
        <v>10818</v>
      </c>
      <c r="B48" s="122" t="s">
        <v>10819</v>
      </c>
      <c r="C48" s="113" t="str">
        <f t="shared" si="0"/>
        <v>BX.VP.THG</v>
      </c>
      <c r="D48" s="113" t="s">
        <v>13890</v>
      </c>
      <c r="E48" s="113" t="str">
        <f t="shared" si="1"/>
        <v>THG&lt;-&gt;Bình Xuyên, Vĩnh Phúc</v>
      </c>
    </row>
    <row r="49" spans="1:5" x14ac:dyDescent="0.3">
      <c r="A49" s="122" t="s">
        <v>10820</v>
      </c>
      <c r="B49" s="122" t="s">
        <v>10821</v>
      </c>
      <c r="C49" s="113" t="str">
        <f t="shared" si="0"/>
        <v>CB.HD.DKG</v>
      </c>
      <c r="D49" s="113" t="s">
        <v>13891</v>
      </c>
      <c r="E49" s="113" t="str">
        <f t="shared" si="1"/>
        <v>DKG&lt;-&gt;Cầu Bình, Hải Dương</v>
      </c>
    </row>
    <row r="50" spans="1:5" x14ac:dyDescent="0.3">
      <c r="A50" s="122" t="s">
        <v>10822</v>
      </c>
      <c r="B50" s="122" t="s">
        <v>10823</v>
      </c>
      <c r="C50" s="113" t="str">
        <f t="shared" si="0"/>
        <v>CB.HD.THG</v>
      </c>
      <c r="D50" s="113" t="s">
        <v>13892</v>
      </c>
      <c r="E50" s="113" t="str">
        <f t="shared" si="1"/>
        <v>THG&lt;-&gt;Cầu Bình, Hải Dương</v>
      </c>
    </row>
    <row r="51" spans="1:5" x14ac:dyDescent="0.3">
      <c r="A51" s="122" t="s">
        <v>10824</v>
      </c>
      <c r="B51" s="122" t="s">
        <v>10825</v>
      </c>
      <c r="C51" s="113" t="str">
        <f t="shared" si="0"/>
        <v>CBT.NA.DKS</v>
      </c>
      <c r="D51" s="113" t="s">
        <v>13893</v>
      </c>
      <c r="E51" s="113" t="str">
        <f t="shared" si="1"/>
        <v>DKS&lt;-&gt;Cầu Bến Thủy, Nghệ An</v>
      </c>
    </row>
    <row r="52" spans="1:5" x14ac:dyDescent="0.3">
      <c r="A52" s="122" t="s">
        <v>10826</v>
      </c>
      <c r="B52" s="122" t="s">
        <v>10827</v>
      </c>
      <c r="C52" s="113" t="str">
        <f t="shared" si="0"/>
        <v>CD.HD.DKG</v>
      </c>
      <c r="D52" s="113" t="s">
        <v>13894</v>
      </c>
      <c r="E52" s="113" t="str">
        <f t="shared" si="1"/>
        <v>DKG&lt;-&gt;Cổ Dũng, Hải Dương</v>
      </c>
    </row>
    <row r="53" spans="1:5" x14ac:dyDescent="0.3">
      <c r="A53" s="122" t="s">
        <v>10828</v>
      </c>
      <c r="B53" s="122" t="s">
        <v>10829</v>
      </c>
      <c r="C53" s="113" t="str">
        <f t="shared" si="0"/>
        <v>CD.HN.DKG</v>
      </c>
      <c r="D53" s="113" t="s">
        <v>13895</v>
      </c>
      <c r="E53" s="113" t="str">
        <f t="shared" si="1"/>
        <v>DKG&lt;-&gt;Cầu Diễn, Hà Nội</v>
      </c>
    </row>
    <row r="54" spans="1:5" x14ac:dyDescent="0.3">
      <c r="A54" s="122" t="s">
        <v>10830</v>
      </c>
      <c r="B54" s="122" t="s">
        <v>10831</v>
      </c>
      <c r="C54" s="113" t="str">
        <f t="shared" si="0"/>
        <v>CDC.HY.DKG</v>
      </c>
      <c r="D54" s="113" t="s">
        <v>13896</v>
      </c>
      <c r="E54" s="113" t="str">
        <f t="shared" si="1"/>
        <v>DKG&lt;-&gt;Chợ Đường Cái, Hưng Yên</v>
      </c>
    </row>
    <row r="55" spans="1:5" x14ac:dyDescent="0.3">
      <c r="A55" s="122" t="s">
        <v>10832</v>
      </c>
      <c r="B55" s="122" t="s">
        <v>10833</v>
      </c>
      <c r="C55" s="113" t="str">
        <f t="shared" si="0"/>
        <v>CDC.HY.THG</v>
      </c>
      <c r="D55" s="113" t="s">
        <v>13897</v>
      </c>
      <c r="E55" s="113" t="str">
        <f t="shared" si="1"/>
        <v>THG&lt;-&gt;Chợ Đường Cái, Hưng Yên</v>
      </c>
    </row>
    <row r="56" spans="1:5" x14ac:dyDescent="0.3">
      <c r="A56" s="122" t="s">
        <v>10834</v>
      </c>
      <c r="B56" s="122" t="s">
        <v>10835</v>
      </c>
      <c r="C56" s="113" t="str">
        <f t="shared" si="0"/>
        <v>CDP.TN.DKG</v>
      </c>
      <c r="D56" s="113" t="s">
        <v>13898</v>
      </c>
      <c r="E56" s="113" t="str">
        <f t="shared" si="1"/>
        <v>DKG&lt;-&gt;Cầu Đa Phúc, Thái Nguyên</v>
      </c>
    </row>
    <row r="57" spans="1:5" x14ac:dyDescent="0.3">
      <c r="A57" s="122" t="s">
        <v>10836</v>
      </c>
      <c r="B57" s="122" t="s">
        <v>10837</v>
      </c>
      <c r="C57" s="113" t="str">
        <f t="shared" si="0"/>
        <v>CDP.TN.THG</v>
      </c>
      <c r="D57" s="113" t="s">
        <v>13899</v>
      </c>
      <c r="E57" s="113" t="str">
        <f t="shared" si="1"/>
        <v>THG&lt;-&gt;Cầu Đa Phúc, Thái Nguyên</v>
      </c>
    </row>
    <row r="58" spans="1:5" x14ac:dyDescent="0.3">
      <c r="A58" s="122" t="s">
        <v>10838</v>
      </c>
      <c r="B58" s="122" t="s">
        <v>10839</v>
      </c>
      <c r="C58" s="113" t="str">
        <f t="shared" si="0"/>
        <v>CDV.189</v>
      </c>
      <c r="D58" s="113" t="s">
        <v>13900</v>
      </c>
      <c r="E58" s="113" t="str">
        <f t="shared" si="1"/>
        <v>DKG&lt;-&gt;Chuyển tải khu vực CĐV-189</v>
      </c>
    </row>
    <row r="59" spans="1:5" x14ac:dyDescent="0.3">
      <c r="A59" s="122" t="s">
        <v>10840</v>
      </c>
      <c r="B59" s="122" t="s">
        <v>10841</v>
      </c>
      <c r="C59" s="113" t="str">
        <f t="shared" si="0"/>
        <v>CDV.CDV</v>
      </c>
      <c r="D59" s="113" t="s">
        <v>10841</v>
      </c>
      <c r="E59" s="113" t="str">
        <f t="shared" si="1"/>
        <v>DKS&lt;-&gt;Chuyển tải khu vực CĐV-CĐV</v>
      </c>
    </row>
    <row r="60" spans="1:5" x14ac:dyDescent="0.3">
      <c r="A60" s="122" t="s">
        <v>10842</v>
      </c>
      <c r="B60" s="122" t="s">
        <v>10843</v>
      </c>
      <c r="C60" s="113" t="str">
        <f t="shared" si="0"/>
        <v>CDV.DKS</v>
      </c>
      <c r="D60" s="113" t="s">
        <v>10843</v>
      </c>
      <c r="E60" s="113" t="str">
        <f t="shared" si="1"/>
        <v>DKS&lt;-&gt;Cảng Đình Vũ DKS</v>
      </c>
    </row>
    <row r="61" spans="1:5" x14ac:dyDescent="0.3">
      <c r="A61" s="122" t="s">
        <v>10844</v>
      </c>
      <c r="B61" s="122" t="s">
        <v>10845</v>
      </c>
      <c r="C61" s="113" t="str">
        <f t="shared" si="0"/>
        <v>CDV.HS</v>
      </c>
      <c r="D61" s="113" t="s">
        <v>13901</v>
      </c>
      <c r="E61" s="113" t="str">
        <f t="shared" si="1"/>
        <v>DKG&lt;-&gt;Chuyển tải khu vực CĐV-HS</v>
      </c>
    </row>
    <row r="62" spans="1:5" x14ac:dyDescent="0.3">
      <c r="A62" s="122" t="s">
        <v>10846</v>
      </c>
      <c r="B62" s="122" t="s">
        <v>10847</v>
      </c>
      <c r="C62" s="113" t="str">
        <f t="shared" si="0"/>
        <v>CG.HD.DKG</v>
      </c>
      <c r="D62" s="113" t="s">
        <v>13902</v>
      </c>
      <c r="E62" s="113" t="str">
        <f t="shared" si="1"/>
        <v>DKG&lt;-&gt;Cẩm Giàng, Hải Dương</v>
      </c>
    </row>
    <row r="63" spans="1:5" x14ac:dyDescent="0.3">
      <c r="A63" s="122" t="s">
        <v>10848</v>
      </c>
      <c r="B63" s="122" t="s">
        <v>10849</v>
      </c>
      <c r="C63" s="113" t="str">
        <f t="shared" si="0"/>
        <v>CG.HD.DKS</v>
      </c>
      <c r="D63" s="113" t="s">
        <v>13903</v>
      </c>
      <c r="E63" s="113" t="str">
        <f t="shared" si="1"/>
        <v>DKS&lt;-&gt;Cẩm Giàng, Hải Dương</v>
      </c>
    </row>
    <row r="64" spans="1:5" x14ac:dyDescent="0.3">
      <c r="A64" s="122" t="s">
        <v>10850</v>
      </c>
      <c r="B64" s="122" t="s">
        <v>10851</v>
      </c>
      <c r="C64" s="113" t="str">
        <f t="shared" si="0"/>
        <v>CG.HD.THG</v>
      </c>
      <c r="D64" s="113" t="s">
        <v>13904</v>
      </c>
      <c r="E64" s="113" t="str">
        <f t="shared" si="1"/>
        <v>THG&lt;-&gt;Cẩm Giàng, Hải Dương</v>
      </c>
    </row>
    <row r="65" spans="1:5" x14ac:dyDescent="0.3">
      <c r="A65" s="122" t="s">
        <v>10852</v>
      </c>
      <c r="B65" s="122" t="s">
        <v>10853</v>
      </c>
      <c r="C65" s="113" t="str">
        <f t="shared" si="0"/>
        <v>CG.HY.DKG</v>
      </c>
      <c r="D65" s="113" t="s">
        <v>13905</v>
      </c>
      <c r="E65" s="113" t="str">
        <f t="shared" si="1"/>
        <v>DKG&lt;-&gt;Chợ Gạo, Hưng Yên</v>
      </c>
    </row>
    <row r="66" spans="1:5" x14ac:dyDescent="0.3">
      <c r="A66" s="122" t="s">
        <v>10854</v>
      </c>
      <c r="B66" s="122" t="s">
        <v>10855</v>
      </c>
      <c r="C66" s="113" t="str">
        <f t="shared" si="0"/>
        <v>CG.HY.DKS</v>
      </c>
      <c r="D66" s="113" t="s">
        <v>13906</v>
      </c>
      <c r="E66" s="113" t="str">
        <f t="shared" si="1"/>
        <v>DKS&lt;-&gt;Chợ Gạo, Hưng Yên</v>
      </c>
    </row>
    <row r="67" spans="1:5" x14ac:dyDescent="0.3">
      <c r="A67" s="122" t="s">
        <v>10856</v>
      </c>
      <c r="B67" s="122" t="s">
        <v>10857</v>
      </c>
      <c r="C67" s="113" t="str">
        <f t="shared" si="0"/>
        <v>CG.HY.THG</v>
      </c>
      <c r="D67" s="113" t="s">
        <v>13907</v>
      </c>
      <c r="E67" s="113" t="str">
        <f t="shared" si="1"/>
        <v>THG&lt;-&gt;Chợ Gạo, Hưng Yên</v>
      </c>
    </row>
    <row r="68" spans="1:5" x14ac:dyDescent="0.3">
      <c r="A68" s="122" t="s">
        <v>10858</v>
      </c>
      <c r="B68" s="122" t="s">
        <v>10859</v>
      </c>
      <c r="C68" s="113" t="str">
        <f t="shared" ref="C68:C131" si="2">+A68</f>
        <v>CH.BN.DKG</v>
      </c>
      <c r="D68" s="113" t="s">
        <v>13908</v>
      </c>
      <c r="E68" s="113" t="str">
        <f t="shared" ref="E68:E131" si="3">B68</f>
        <v>DKG&lt;-&gt;Cầu Hồ, Bắc Ninh</v>
      </c>
    </row>
    <row r="69" spans="1:5" x14ac:dyDescent="0.3">
      <c r="A69" s="122" t="s">
        <v>10860</v>
      </c>
      <c r="B69" s="122" t="s">
        <v>10861</v>
      </c>
      <c r="C69" s="113" t="str">
        <f t="shared" si="2"/>
        <v>CH.BN.THG</v>
      </c>
      <c r="D69" s="113" t="s">
        <v>13909</v>
      </c>
      <c r="E69" s="113" t="str">
        <f t="shared" si="3"/>
        <v>THG&lt;-&gt;Cầu Hồ, Bắc Ninh</v>
      </c>
    </row>
    <row r="70" spans="1:5" x14ac:dyDescent="0.3">
      <c r="A70" s="122" t="s">
        <v>10862</v>
      </c>
      <c r="B70" s="122" t="s">
        <v>10863</v>
      </c>
      <c r="C70" s="113" t="str">
        <f t="shared" si="2"/>
        <v>CH.HP.DKS</v>
      </c>
      <c r="D70" s="113" t="s">
        <v>13910</v>
      </c>
      <c r="E70" s="113" t="str">
        <f t="shared" si="3"/>
        <v>DKS&lt;-&gt;Cát Hải, Hải Phòng</v>
      </c>
    </row>
    <row r="71" spans="1:5" x14ac:dyDescent="0.3">
      <c r="A71" s="122" t="s">
        <v>10864</v>
      </c>
      <c r="B71" s="122" t="s">
        <v>10865</v>
      </c>
      <c r="C71" s="113" t="str">
        <f t="shared" si="2"/>
        <v>CHOVAY</v>
      </c>
      <c r="D71" s="113" t="s">
        <v>10865</v>
      </c>
      <c r="E71" s="113" t="str">
        <f t="shared" si="3"/>
        <v>Cho vay</v>
      </c>
    </row>
    <row r="72" spans="1:5" x14ac:dyDescent="0.3">
      <c r="A72" s="122" t="s">
        <v>10866</v>
      </c>
      <c r="B72" s="122" t="s">
        <v>10867</v>
      </c>
      <c r="C72" s="113" t="str">
        <f t="shared" si="2"/>
        <v>CHP.189</v>
      </c>
      <c r="D72" s="113" t="s">
        <v>13911</v>
      </c>
      <c r="E72" s="113" t="str">
        <f t="shared" si="3"/>
        <v>DKG&lt;-&gt;Chuyển tải CHP-189</v>
      </c>
    </row>
    <row r="73" spans="1:5" x14ac:dyDescent="0.3">
      <c r="A73" s="122" t="s">
        <v>10868</v>
      </c>
      <c r="B73" s="122" t="s">
        <v>10869</v>
      </c>
      <c r="C73" s="113" t="str">
        <f t="shared" si="2"/>
        <v>CHP.BAIKHAC</v>
      </c>
      <c r="D73" s="113" t="s">
        <v>13912</v>
      </c>
      <c r="E73" s="113" t="str">
        <f t="shared" si="3"/>
        <v>DKG&lt;-&gt;Chuyển tải CHP-Các bãi khác</v>
      </c>
    </row>
    <row r="74" spans="1:5" x14ac:dyDescent="0.3">
      <c r="A74" s="122" t="s">
        <v>10870</v>
      </c>
      <c r="B74" s="122" t="s">
        <v>10871</v>
      </c>
      <c r="C74" s="113" t="str">
        <f t="shared" si="2"/>
        <v>CHP.HS</v>
      </c>
      <c r="D74" s="113" t="s">
        <v>13913</v>
      </c>
      <c r="E74" s="113" t="str">
        <f t="shared" si="3"/>
        <v>DKG&lt;-&gt;Chuyển tải CHP-HS</v>
      </c>
    </row>
    <row r="75" spans="1:5" x14ac:dyDescent="0.3">
      <c r="A75" s="122" t="s">
        <v>10872</v>
      </c>
      <c r="B75" s="122" t="s">
        <v>10873</v>
      </c>
      <c r="C75" s="113" t="str">
        <f t="shared" si="2"/>
        <v>CL.HD.DKG</v>
      </c>
      <c r="D75" s="113" t="s">
        <v>13914</v>
      </c>
      <c r="E75" s="113" t="str">
        <f t="shared" si="3"/>
        <v>DKG&lt;-&gt;Chí Linh, Sao Đỏ, Hải Dương</v>
      </c>
    </row>
    <row r="76" spans="1:5" x14ac:dyDescent="0.3">
      <c r="A76" s="122" t="s">
        <v>10874</v>
      </c>
      <c r="B76" s="122" t="s">
        <v>10875</v>
      </c>
      <c r="C76" s="113" t="str">
        <f t="shared" si="2"/>
        <v>CL.HD.DKS</v>
      </c>
      <c r="D76" s="113" t="s">
        <v>13915</v>
      </c>
      <c r="E76" s="113" t="str">
        <f t="shared" si="3"/>
        <v>DKS&lt;-&gt;Chí Linh, Sao Đỏ, Hải Dương</v>
      </c>
    </row>
    <row r="77" spans="1:5" x14ac:dyDescent="0.3">
      <c r="A77" s="122" t="s">
        <v>10876</v>
      </c>
      <c r="B77" s="122" t="s">
        <v>10877</v>
      </c>
      <c r="C77" s="113" t="str">
        <f t="shared" si="2"/>
        <v>CL.HD.THG</v>
      </c>
      <c r="D77" s="113" t="s">
        <v>13916</v>
      </c>
      <c r="E77" s="113" t="str">
        <f t="shared" si="3"/>
        <v>THG&lt;-&gt;Chí Linh, Sao Đỏ, Hải Dương</v>
      </c>
    </row>
    <row r="78" spans="1:5" x14ac:dyDescent="0.3">
      <c r="A78" s="122" t="s">
        <v>10878</v>
      </c>
      <c r="B78" s="122" t="s">
        <v>10879</v>
      </c>
      <c r="C78" s="113" t="str">
        <f t="shared" si="2"/>
        <v>CL.HT.DKG</v>
      </c>
      <c r="D78" s="113" t="s">
        <v>13917</v>
      </c>
      <c r="E78" s="113" t="str">
        <f t="shared" si="3"/>
        <v>DKG&lt;-&gt;Can Lộc, Hà Tĩnh</v>
      </c>
    </row>
    <row r="79" spans="1:5" x14ac:dyDescent="0.3">
      <c r="A79" s="122" t="s">
        <v>10880</v>
      </c>
      <c r="B79" s="122" t="s">
        <v>10881</v>
      </c>
      <c r="C79" s="113" t="str">
        <f t="shared" si="2"/>
        <v>CL.HT.THG</v>
      </c>
      <c r="D79" s="113" t="s">
        <v>13918</v>
      </c>
      <c r="E79" s="113" t="str">
        <f t="shared" si="3"/>
        <v>THG&lt;-&gt;Can Lộc, Hà Tĩnh</v>
      </c>
    </row>
    <row r="80" spans="1:5" x14ac:dyDescent="0.3">
      <c r="A80" s="122" t="s">
        <v>10882</v>
      </c>
      <c r="B80" s="122" t="s">
        <v>10883</v>
      </c>
      <c r="C80" s="113" t="str">
        <f t="shared" si="2"/>
        <v>CL.NA.DKG</v>
      </c>
      <c r="D80" s="113" t="s">
        <v>13919</v>
      </c>
      <c r="E80" s="113" t="str">
        <f t="shared" si="3"/>
        <v>DKG&lt;-&gt;Cửa Lò, Nghệ An</v>
      </c>
    </row>
    <row r="81" spans="1:5" x14ac:dyDescent="0.3">
      <c r="A81" s="122" t="s">
        <v>10884</v>
      </c>
      <c r="B81" s="122" t="s">
        <v>10885</v>
      </c>
      <c r="C81" s="113" t="str">
        <f t="shared" si="2"/>
        <v>CL.ND.DKG</v>
      </c>
      <c r="D81" s="113" t="s">
        <v>13920</v>
      </c>
      <c r="E81" s="113" t="str">
        <f t="shared" si="3"/>
        <v>DKG&lt;-&gt;Cổ Lễ, Nam Định</v>
      </c>
    </row>
    <row r="82" spans="1:5" x14ac:dyDescent="0.3">
      <c r="A82" s="122" t="s">
        <v>10886</v>
      </c>
      <c r="B82" s="122" t="s">
        <v>10887</v>
      </c>
      <c r="C82" s="113" t="str">
        <f t="shared" si="2"/>
        <v>CL.ND.DKS</v>
      </c>
      <c r="D82" s="113" t="s">
        <v>13921</v>
      </c>
      <c r="E82" s="113" t="str">
        <f t="shared" si="3"/>
        <v>DKS&lt;-&gt;Cổ Lễ, Nam Định</v>
      </c>
    </row>
    <row r="83" spans="1:5" x14ac:dyDescent="0.3">
      <c r="A83" s="122" t="s">
        <v>10888</v>
      </c>
      <c r="B83" s="122" t="s">
        <v>10889</v>
      </c>
      <c r="C83" s="113" t="str">
        <f t="shared" si="2"/>
        <v>CL.ND.THG</v>
      </c>
      <c r="D83" s="113" t="s">
        <v>13922</v>
      </c>
      <c r="E83" s="113" t="str">
        <f t="shared" si="3"/>
        <v>THG&lt;-&gt;Cổ Lễ, Nam Định</v>
      </c>
    </row>
    <row r="84" spans="1:5" x14ac:dyDescent="0.3">
      <c r="A84" s="122" t="s">
        <v>10890</v>
      </c>
      <c r="B84" s="122" t="s">
        <v>10891</v>
      </c>
      <c r="C84" s="113" t="str">
        <f t="shared" si="2"/>
        <v>CL.QN.DKS</v>
      </c>
      <c r="D84" s="113" t="s">
        <v>13923</v>
      </c>
      <c r="E84" s="113" t="str">
        <f t="shared" si="3"/>
        <v>DKS&lt;-&gt;Cái Lân, Quảng Ninh</v>
      </c>
    </row>
    <row r="85" spans="1:5" x14ac:dyDescent="0.3">
      <c r="A85" s="122" t="s">
        <v>10892</v>
      </c>
      <c r="B85" s="122" t="s">
        <v>10893</v>
      </c>
      <c r="C85" s="113" t="str">
        <f t="shared" si="2"/>
        <v>CLDAU</v>
      </c>
      <c r="D85" s="113" t="s">
        <v>10893</v>
      </c>
      <c r="E85" s="113" t="str">
        <f t="shared" si="3"/>
        <v>Chênh lệch dầu</v>
      </c>
    </row>
    <row r="86" spans="1:5" x14ac:dyDescent="0.3">
      <c r="A86" s="122" t="s">
        <v>10894</v>
      </c>
      <c r="B86" s="122" t="s">
        <v>10895</v>
      </c>
      <c r="C86" s="113" t="str">
        <f t="shared" si="2"/>
        <v>CLH.DKS</v>
      </c>
      <c r="D86" s="113" t="s">
        <v>10895</v>
      </c>
      <c r="E86" s="113" t="str">
        <f t="shared" si="3"/>
        <v>DKS&lt;-&gt;Vinfas (Cát Hải)</v>
      </c>
    </row>
    <row r="87" spans="1:5" x14ac:dyDescent="0.3">
      <c r="A87" s="122" t="s">
        <v>10896</v>
      </c>
      <c r="B87" s="122" t="s">
        <v>10897</v>
      </c>
      <c r="C87" s="113" t="str">
        <f t="shared" si="2"/>
        <v>CLH.HS</v>
      </c>
      <c r="D87" s="113" t="s">
        <v>13924</v>
      </c>
      <c r="E87" s="113" t="str">
        <f t="shared" si="3"/>
        <v>DKG&lt;-&gt;Chuyển tải khu vực CLH-HS</v>
      </c>
    </row>
    <row r="88" spans="1:5" x14ac:dyDescent="0.3">
      <c r="A88" s="122" t="s">
        <v>10898</v>
      </c>
      <c r="B88" s="122" t="s">
        <v>10899</v>
      </c>
      <c r="C88" s="113" t="str">
        <f t="shared" si="2"/>
        <v>CLLUAT</v>
      </c>
      <c r="D88" s="113" t="s">
        <v>10899</v>
      </c>
      <c r="E88" s="113" t="str">
        <f t="shared" si="3"/>
        <v>Chênh lệch luật</v>
      </c>
    </row>
    <row r="89" spans="1:5" x14ac:dyDescent="0.3">
      <c r="A89" s="122" t="s">
        <v>10900</v>
      </c>
      <c r="B89" s="122" t="s">
        <v>10901</v>
      </c>
      <c r="C89" s="113" t="str">
        <f t="shared" si="2"/>
        <v>CM.HN.DKG</v>
      </c>
      <c r="D89" s="113" t="s">
        <v>13925</v>
      </c>
      <c r="E89" s="113" t="str">
        <f t="shared" si="3"/>
        <v>DKG&lt;-&gt;Chương Mỹ, Hà Nội</v>
      </c>
    </row>
    <row r="90" spans="1:5" x14ac:dyDescent="0.3">
      <c r="A90" s="122" t="s">
        <v>10902</v>
      </c>
      <c r="B90" s="122" t="s">
        <v>10903</v>
      </c>
      <c r="C90" s="113" t="str">
        <f t="shared" si="2"/>
        <v>CM.HN.DKS</v>
      </c>
      <c r="D90" s="113" t="s">
        <v>13926</v>
      </c>
      <c r="E90" s="113" t="str">
        <f t="shared" si="3"/>
        <v>DKS&lt;-&gt;Chương Mỹ, Hà Nội</v>
      </c>
    </row>
    <row r="91" spans="1:5" x14ac:dyDescent="0.3">
      <c r="A91" s="122" t="s">
        <v>10904</v>
      </c>
      <c r="B91" s="122" t="s">
        <v>10905</v>
      </c>
      <c r="C91" s="113" t="str">
        <f t="shared" si="2"/>
        <v>CN.HN.DKG</v>
      </c>
      <c r="D91" s="113" t="s">
        <v>13927</v>
      </c>
      <c r="E91" s="113" t="str">
        <f t="shared" si="3"/>
        <v>DKG&lt;-&gt;Canh Nậu, Hà Nội</v>
      </c>
    </row>
    <row r="92" spans="1:5" x14ac:dyDescent="0.3">
      <c r="A92" s="122" t="s">
        <v>10906</v>
      </c>
      <c r="B92" s="122" t="s">
        <v>10907</v>
      </c>
      <c r="C92" s="113" t="str">
        <f t="shared" si="2"/>
        <v>CN.TB.DKG</v>
      </c>
      <c r="D92" s="113" t="s">
        <v>13928</v>
      </c>
      <c r="E92" s="113" t="str">
        <f t="shared" si="3"/>
        <v>DKG&lt;-&gt;Cầu Nghìn, Thái Bình</v>
      </c>
    </row>
    <row r="93" spans="1:5" x14ac:dyDescent="0.3">
      <c r="A93" s="122" t="s">
        <v>10908</v>
      </c>
      <c r="B93" s="122" t="s">
        <v>10909</v>
      </c>
      <c r="C93" s="113" t="str">
        <f t="shared" si="2"/>
        <v>CN.TB.THG</v>
      </c>
      <c r="D93" s="113" t="s">
        <v>13929</v>
      </c>
      <c r="E93" s="113" t="str">
        <f t="shared" si="3"/>
        <v>THG&lt;-&gt;Cầu Nghìn, Thái Bình</v>
      </c>
    </row>
    <row r="94" spans="1:5" x14ac:dyDescent="0.3">
      <c r="A94" s="122" t="s">
        <v>10910</v>
      </c>
      <c r="B94" s="122" t="s">
        <v>10911</v>
      </c>
      <c r="C94" s="113" t="str">
        <f t="shared" si="2"/>
        <v>CONKE</v>
      </c>
      <c r="D94" s="113" t="s">
        <v>10911</v>
      </c>
      <c r="E94" s="113" t="str">
        <f t="shared" si="3"/>
        <v>Mua con kê</v>
      </c>
    </row>
    <row r="95" spans="1:5" x14ac:dyDescent="0.3">
      <c r="A95" s="122" t="s">
        <v>10912</v>
      </c>
      <c r="B95" s="122" t="s">
        <v>10913</v>
      </c>
      <c r="C95" s="113" t="str">
        <f t="shared" si="2"/>
        <v>CP.HB.DKG</v>
      </c>
      <c r="D95" s="113" t="s">
        <v>13930</v>
      </c>
      <c r="E95" s="113" t="str">
        <f t="shared" si="3"/>
        <v>DKG&lt;-&gt;Cao Phong, Hòa Bình</v>
      </c>
    </row>
    <row r="96" spans="1:5" x14ac:dyDescent="0.3">
      <c r="A96" s="122" t="s">
        <v>10914</v>
      </c>
      <c r="B96" s="122" t="s">
        <v>10915</v>
      </c>
      <c r="C96" s="113" t="str">
        <f t="shared" si="2"/>
        <v>CP.QN.DKG</v>
      </c>
      <c r="D96" s="113" t="s">
        <v>13931</v>
      </c>
      <c r="E96" s="113" t="str">
        <f t="shared" si="3"/>
        <v>DKG&lt;-&gt;Cẩm Phả, Quảng Ninh</v>
      </c>
    </row>
    <row r="97" spans="1:5" x14ac:dyDescent="0.3">
      <c r="A97" s="122" t="s">
        <v>10916</v>
      </c>
      <c r="B97" s="122" t="s">
        <v>10917</v>
      </c>
      <c r="C97" s="113" t="str">
        <f t="shared" si="2"/>
        <v>CP.QN.DKS</v>
      </c>
      <c r="D97" s="113" t="s">
        <v>13932</v>
      </c>
      <c r="E97" s="113" t="str">
        <f t="shared" si="3"/>
        <v>DKS&lt;-&gt;Cẩm Phả, Quảng Ninh</v>
      </c>
    </row>
    <row r="98" spans="1:5" x14ac:dyDescent="0.3">
      <c r="A98" s="122" t="s">
        <v>10918</v>
      </c>
      <c r="B98" s="122" t="s">
        <v>10919</v>
      </c>
      <c r="C98" s="113" t="str">
        <f t="shared" si="2"/>
        <v>CP.QN.THG</v>
      </c>
      <c r="D98" s="113" t="s">
        <v>13933</v>
      </c>
      <c r="E98" s="113" t="str">
        <f t="shared" si="3"/>
        <v>THG&lt;-&gt;Cẩm Phả, Quảng Ninh</v>
      </c>
    </row>
    <row r="99" spans="1:5" x14ac:dyDescent="0.3">
      <c r="A99" s="122" t="s">
        <v>10920</v>
      </c>
      <c r="B99" s="122" t="s">
        <v>10921</v>
      </c>
      <c r="C99" s="113" t="str">
        <f t="shared" si="2"/>
        <v>CPMH</v>
      </c>
      <c r="D99" s="113" t="s">
        <v>10921</v>
      </c>
      <c r="E99" s="113" t="str">
        <f t="shared" si="3"/>
        <v>Chi phí mua hàng</v>
      </c>
    </row>
    <row r="100" spans="1:5" x14ac:dyDescent="0.3">
      <c r="A100" s="122" t="s">
        <v>10922</v>
      </c>
      <c r="B100" s="122" t="s">
        <v>10923</v>
      </c>
      <c r="C100" s="113" t="str">
        <f t="shared" si="2"/>
        <v>CS7.HP.DKG</v>
      </c>
      <c r="D100" s="113" t="s">
        <v>13934</v>
      </c>
      <c r="E100" s="113" t="str">
        <f t="shared" si="3"/>
        <v>DKG&lt;-&gt;Cây Số 7, Hải Phòng</v>
      </c>
    </row>
    <row r="101" spans="1:5" x14ac:dyDescent="0.3">
      <c r="A101" s="122" t="s">
        <v>10924</v>
      </c>
      <c r="B101" s="122" t="s">
        <v>10925</v>
      </c>
      <c r="C101" s="113" t="str">
        <f t="shared" si="2"/>
        <v>CS7.HP.THG</v>
      </c>
      <c r="D101" s="113" t="s">
        <v>13935</v>
      </c>
      <c r="E101" s="113" t="str">
        <f t="shared" si="3"/>
        <v>THG&lt;-&gt;Cây Số 7, Hải Phòng</v>
      </c>
    </row>
    <row r="102" spans="1:5" x14ac:dyDescent="0.3">
      <c r="A102" s="122" t="s">
        <v>10926</v>
      </c>
      <c r="B102" s="122" t="s">
        <v>10927</v>
      </c>
      <c r="C102" s="113" t="str">
        <f t="shared" si="2"/>
        <v>CUAGO</v>
      </c>
      <c r="D102" s="113" t="s">
        <v>10927</v>
      </c>
      <c r="E102" s="113" t="str">
        <f t="shared" si="3"/>
        <v>Cưa gỗ</v>
      </c>
    </row>
    <row r="103" spans="1:5" x14ac:dyDescent="0.3">
      <c r="A103" s="122" t="s">
        <v>10928</v>
      </c>
      <c r="B103" s="122" t="s">
        <v>10929</v>
      </c>
      <c r="C103" s="113" t="str">
        <f t="shared" si="2"/>
        <v>CX.HT.DKG</v>
      </c>
      <c r="D103" s="113" t="s">
        <v>13936</v>
      </c>
      <c r="E103" s="113" t="str">
        <f t="shared" si="3"/>
        <v>DKG&lt;-&gt;Cẩm Xuyên, Hà Tĩnh</v>
      </c>
    </row>
    <row r="104" spans="1:5" x14ac:dyDescent="0.3">
      <c r="A104" s="122" t="s">
        <v>10930</v>
      </c>
      <c r="B104" s="122" t="s">
        <v>10931</v>
      </c>
      <c r="C104" s="113" t="str">
        <f t="shared" si="2"/>
        <v>D5M.HP.DKS</v>
      </c>
      <c r="D104" s="113" t="s">
        <v>13937</v>
      </c>
      <c r="E104" s="113" t="str">
        <f t="shared" si="3"/>
        <v>DKS&lt;-&gt;Đường 5 mới, Hải Phòng</v>
      </c>
    </row>
    <row r="105" spans="1:5" x14ac:dyDescent="0.3">
      <c r="A105" s="122" t="s">
        <v>10932</v>
      </c>
      <c r="B105" s="122" t="s">
        <v>10933</v>
      </c>
      <c r="C105" s="113" t="str">
        <f t="shared" si="2"/>
        <v>DA.HN.DKG</v>
      </c>
      <c r="D105" s="113" t="s">
        <v>13938</v>
      </c>
      <c r="E105" s="113" t="str">
        <f t="shared" si="3"/>
        <v>DKG&lt;-&gt;Đông Anh, Hà Nội</v>
      </c>
    </row>
    <row r="106" spans="1:5" x14ac:dyDescent="0.3">
      <c r="A106" s="122" t="s">
        <v>10934</v>
      </c>
      <c r="B106" s="122" t="s">
        <v>10935</v>
      </c>
      <c r="C106" s="113" t="str">
        <f t="shared" si="2"/>
        <v>DA.HN.DKS</v>
      </c>
      <c r="D106" s="113" t="s">
        <v>13939</v>
      </c>
      <c r="E106" s="113" t="str">
        <f t="shared" si="3"/>
        <v>DKS&lt;-&gt;Đông Anh, Hà Nội</v>
      </c>
    </row>
    <row r="107" spans="1:5" x14ac:dyDescent="0.3">
      <c r="A107" s="122" t="s">
        <v>10936</v>
      </c>
      <c r="B107" s="122" t="s">
        <v>10937</v>
      </c>
      <c r="C107" s="113" t="str">
        <f t="shared" si="2"/>
        <v>DA.HN.THG</v>
      </c>
      <c r="D107" s="113" t="s">
        <v>13940</v>
      </c>
      <c r="E107" s="113" t="str">
        <f t="shared" si="3"/>
        <v>THG&lt;-&gt;Đông Anh, Hà Nội</v>
      </c>
    </row>
    <row r="108" spans="1:5" x14ac:dyDescent="0.3">
      <c r="A108" s="122" t="s">
        <v>10938</v>
      </c>
      <c r="B108" s="122" t="s">
        <v>10939</v>
      </c>
      <c r="C108" s="113" t="str">
        <f t="shared" si="2"/>
        <v>DC.NA.DKG</v>
      </c>
      <c r="D108" s="113" t="s">
        <v>13941</v>
      </c>
      <c r="E108" s="113" t="str">
        <f t="shared" si="3"/>
        <v>DKG&lt;-&gt;Diễn Châu, Nghệ An</v>
      </c>
    </row>
    <row r="109" spans="1:5" x14ac:dyDescent="0.3">
      <c r="A109" s="122" t="s">
        <v>10940</v>
      </c>
      <c r="B109" s="122" t="s">
        <v>10941</v>
      </c>
      <c r="C109" s="113" t="str">
        <f t="shared" si="2"/>
        <v>DC.NA.THG</v>
      </c>
      <c r="D109" s="113" t="s">
        <v>13942</v>
      </c>
      <c r="E109" s="113" t="str">
        <f t="shared" si="3"/>
        <v>THG&lt;-&gt;Diễn Châu, Nghệ An</v>
      </c>
    </row>
    <row r="110" spans="1:5" x14ac:dyDescent="0.3">
      <c r="A110" s="122" t="s">
        <v>10942</v>
      </c>
      <c r="B110" s="122" t="s">
        <v>10943</v>
      </c>
      <c r="C110" s="113" t="str">
        <f t="shared" si="2"/>
        <v>DD.BN.DKS</v>
      </c>
      <c r="D110" s="113" t="s">
        <v>13943</v>
      </c>
      <c r="E110" s="113" t="str">
        <f t="shared" si="3"/>
        <v>DKS&lt;-&gt;Đại Đồng, Bắc Ninh</v>
      </c>
    </row>
    <row r="111" spans="1:5" x14ac:dyDescent="0.3">
      <c r="A111" s="122" t="s">
        <v>10944</v>
      </c>
      <c r="B111" s="122" t="s">
        <v>10945</v>
      </c>
      <c r="C111" s="113" t="str">
        <f t="shared" si="2"/>
        <v>DD.HN.DKS</v>
      </c>
      <c r="D111" s="113" t="s">
        <v>13944</v>
      </c>
      <c r="E111" s="113" t="str">
        <f t="shared" si="3"/>
        <v>DKS&lt;-&gt;Đống Đa, Hà Nội</v>
      </c>
    </row>
    <row r="112" spans="1:5" x14ac:dyDescent="0.3">
      <c r="A112" s="122" t="s">
        <v>10946</v>
      </c>
      <c r="B112" s="122" t="s">
        <v>10947</v>
      </c>
      <c r="C112" s="113" t="str">
        <f t="shared" si="2"/>
        <v>DD.HP.DKS</v>
      </c>
      <c r="D112" s="113" t="s">
        <v>13945</v>
      </c>
      <c r="E112" s="113" t="str">
        <f t="shared" si="3"/>
        <v>DKS&lt;-&gt;Đồng Đạt, Hải Phòng</v>
      </c>
    </row>
    <row r="113" spans="1:5" x14ac:dyDescent="0.3">
      <c r="A113" s="122" t="s">
        <v>10948</v>
      </c>
      <c r="B113" s="122" t="s">
        <v>10949</v>
      </c>
      <c r="C113" s="113" t="str">
        <f t="shared" si="2"/>
        <v>DD.TB.DKG</v>
      </c>
      <c r="D113" s="113" t="s">
        <v>13946</v>
      </c>
      <c r="E113" s="113" t="str">
        <f t="shared" si="3"/>
        <v>DKG&lt;-&gt;Diêm Điều, Thái Bình</v>
      </c>
    </row>
    <row r="114" spans="1:5" x14ac:dyDescent="0.3">
      <c r="A114" s="122" t="s">
        <v>10950</v>
      </c>
      <c r="B114" s="122" t="s">
        <v>10951</v>
      </c>
      <c r="C114" s="113" t="str">
        <f t="shared" si="2"/>
        <v>DD.TB.THG</v>
      </c>
      <c r="D114" s="113" t="s">
        <v>13947</v>
      </c>
      <c r="E114" s="113" t="str">
        <f t="shared" si="3"/>
        <v>THG&lt;-&gt;Diêm Điều, Thái Bình</v>
      </c>
    </row>
    <row r="115" spans="1:5" x14ac:dyDescent="0.3">
      <c r="A115" s="122" t="s">
        <v>10952</v>
      </c>
      <c r="B115" s="122" t="s">
        <v>10953</v>
      </c>
      <c r="C115" s="113" t="str">
        <f t="shared" si="2"/>
        <v>DD.VP.DKS</v>
      </c>
      <c r="D115" s="113" t="s">
        <v>13948</v>
      </c>
      <c r="E115" s="113" t="str">
        <f t="shared" si="3"/>
        <v>DKS&lt;-&gt;Đại Đồng, Vĩnh Phúc</v>
      </c>
    </row>
    <row r="116" spans="1:5" x14ac:dyDescent="0.3">
      <c r="A116" s="122" t="s">
        <v>10954</v>
      </c>
      <c r="B116" s="122" t="s">
        <v>10955</v>
      </c>
      <c r="C116" s="113" t="str">
        <f t="shared" si="2"/>
        <v>DG.HN.DKG</v>
      </c>
      <c r="D116" s="113" t="s">
        <v>13949</v>
      </c>
      <c r="E116" s="113" t="str">
        <f t="shared" si="3"/>
        <v>DKG&lt;-&gt;Đức Giang, Hà Nội</v>
      </c>
    </row>
    <row r="117" spans="1:5" x14ac:dyDescent="0.3">
      <c r="A117" s="122" t="s">
        <v>10956</v>
      </c>
      <c r="B117" s="122" t="s">
        <v>10957</v>
      </c>
      <c r="C117" s="113" t="str">
        <f t="shared" si="2"/>
        <v>DG.HN.DKS</v>
      </c>
      <c r="D117" s="113" t="s">
        <v>13950</v>
      </c>
      <c r="E117" s="113" t="str">
        <f t="shared" si="3"/>
        <v>DKS&lt;-&gt;Đức Giang, Hà Nội</v>
      </c>
    </row>
    <row r="118" spans="1:5" x14ac:dyDescent="0.3">
      <c r="A118" s="122" t="s">
        <v>10958</v>
      </c>
      <c r="B118" s="122" t="s">
        <v>10959</v>
      </c>
      <c r="C118" s="113" t="str">
        <f t="shared" si="2"/>
        <v>DH.PT.DKG</v>
      </c>
      <c r="D118" s="113" t="s">
        <v>13951</v>
      </c>
      <c r="E118" s="113" t="str">
        <f t="shared" si="3"/>
        <v>DKG&lt;-&gt;Đoan Hùng, Phú Thọ</v>
      </c>
    </row>
    <row r="119" spans="1:5" x14ac:dyDescent="0.3">
      <c r="A119" s="122" t="s">
        <v>10960</v>
      </c>
      <c r="B119" s="122" t="s">
        <v>10961</v>
      </c>
      <c r="C119" s="113" t="str">
        <f t="shared" si="2"/>
        <v>DH.PT.DKS</v>
      </c>
      <c r="D119" s="113" t="s">
        <v>13952</v>
      </c>
      <c r="E119" s="113" t="str">
        <f t="shared" si="3"/>
        <v>DKS&lt;-&gt;Đoan Hùng, Phú Thọ</v>
      </c>
    </row>
    <row r="120" spans="1:5" x14ac:dyDescent="0.3">
      <c r="A120" s="122" t="s">
        <v>10962</v>
      </c>
      <c r="B120" s="122" t="s">
        <v>10963</v>
      </c>
      <c r="C120" s="113" t="str">
        <f t="shared" si="2"/>
        <v>DH.TB.DKG</v>
      </c>
      <c r="D120" s="113" t="s">
        <v>13953</v>
      </c>
      <c r="E120" s="113" t="str">
        <f t="shared" si="3"/>
        <v>DKG&lt;-&gt;Đông Hưng, Thái Bình</v>
      </c>
    </row>
    <row r="121" spans="1:5" x14ac:dyDescent="0.3">
      <c r="A121" s="122" t="s">
        <v>10964</v>
      </c>
      <c r="B121" s="122" t="s">
        <v>10965</v>
      </c>
      <c r="C121" s="113" t="str">
        <f t="shared" si="2"/>
        <v>DH.TB.DKS</v>
      </c>
      <c r="D121" s="113" t="s">
        <v>13954</v>
      </c>
      <c r="E121" s="113" t="str">
        <f t="shared" si="3"/>
        <v>DKS&lt;-&gt;Đông Hưng, Thái Bình</v>
      </c>
    </row>
    <row r="122" spans="1:5" x14ac:dyDescent="0.3">
      <c r="A122" s="122" t="s">
        <v>10966</v>
      </c>
      <c r="B122" s="122" t="s">
        <v>10967</v>
      </c>
      <c r="C122" s="113" t="str">
        <f t="shared" si="2"/>
        <v>DH.TB.THG</v>
      </c>
      <c r="D122" s="113" t="s">
        <v>13955</v>
      </c>
      <c r="E122" s="113" t="str">
        <f t="shared" si="3"/>
        <v>THG&lt;-&gt;Đông Hưng, Thái Bình</v>
      </c>
    </row>
    <row r="123" spans="1:5" x14ac:dyDescent="0.3">
      <c r="A123" s="122" t="s">
        <v>10968</v>
      </c>
      <c r="B123" s="122" t="s">
        <v>10969</v>
      </c>
      <c r="C123" s="113" t="str">
        <f t="shared" si="2"/>
        <v>DH.TN.DKS</v>
      </c>
      <c r="D123" s="113" t="s">
        <v>13956</v>
      </c>
      <c r="E123" s="113" t="str">
        <f t="shared" si="3"/>
        <v>DKS&lt;-&gt;Đồng Hỷ, Thái Nguyên</v>
      </c>
    </row>
    <row r="124" spans="1:5" x14ac:dyDescent="0.3">
      <c r="A124" s="122" t="s">
        <v>10970</v>
      </c>
      <c r="B124" s="122" t="s">
        <v>10971</v>
      </c>
      <c r="C124" s="113" t="str">
        <f t="shared" si="2"/>
        <v>DIEN</v>
      </c>
      <c r="D124" s="113" t="s">
        <v>10971</v>
      </c>
      <c r="E124" s="113" t="str">
        <f t="shared" si="3"/>
        <v>Điện sinh hoạt</v>
      </c>
    </row>
    <row r="125" spans="1:5" x14ac:dyDescent="0.3">
      <c r="A125" s="122" t="s">
        <v>10972</v>
      </c>
      <c r="B125" s="122" t="s">
        <v>10973</v>
      </c>
      <c r="C125" s="113" t="str">
        <f t="shared" si="2"/>
        <v>DK.BG.DKS</v>
      </c>
      <c r="D125" s="113" t="s">
        <v>13957</v>
      </c>
      <c r="E125" s="113" t="str">
        <f t="shared" si="3"/>
        <v>DKS&lt;-&gt;Dĩnh Kế, Bắc Giang</v>
      </c>
    </row>
    <row r="126" spans="1:5" x14ac:dyDescent="0.3">
      <c r="A126" s="122" t="s">
        <v>10974</v>
      </c>
      <c r="B126" s="122" t="s">
        <v>10975</v>
      </c>
      <c r="C126" s="113" t="str">
        <f t="shared" si="2"/>
        <v>DK.HP.DKS</v>
      </c>
      <c r="D126" s="113" t="s">
        <v>13958</v>
      </c>
      <c r="E126" s="113" t="str">
        <f t="shared" si="3"/>
        <v>DKS&lt;-&gt;Dương Kinh, Hải Phòng</v>
      </c>
    </row>
    <row r="127" spans="1:5" x14ac:dyDescent="0.3">
      <c r="A127" s="122" t="s">
        <v>10976</v>
      </c>
      <c r="B127" s="122" t="s">
        <v>10977</v>
      </c>
      <c r="C127" s="113" t="str">
        <f t="shared" si="2"/>
        <v>DL.HY.DKG</v>
      </c>
      <c r="D127" s="113" t="s">
        <v>13959</v>
      </c>
      <c r="E127" s="113" t="str">
        <f t="shared" si="3"/>
        <v>DKG&lt;-&gt;Dốc Lã, Hưng Yên</v>
      </c>
    </row>
    <row r="128" spans="1:5" x14ac:dyDescent="0.3">
      <c r="A128" s="122" t="s">
        <v>10978</v>
      </c>
      <c r="B128" s="122" t="s">
        <v>10979</v>
      </c>
      <c r="C128" s="113" t="str">
        <f t="shared" si="2"/>
        <v>DL.HY.THG</v>
      </c>
      <c r="D128" s="113" t="s">
        <v>13960</v>
      </c>
      <c r="E128" s="113" t="str">
        <f t="shared" si="3"/>
        <v>THG&lt;-&gt;Dốc Lã, Hưng Yên</v>
      </c>
    </row>
    <row r="129" spans="1:5" x14ac:dyDescent="0.3">
      <c r="A129" s="122" t="s">
        <v>10980</v>
      </c>
      <c r="B129" s="122" t="s">
        <v>10981</v>
      </c>
      <c r="C129" s="113" t="str">
        <f t="shared" si="2"/>
        <v>DL.NA.DKG</v>
      </c>
      <c r="D129" s="113" t="s">
        <v>13961</v>
      </c>
      <c r="E129" s="113" t="str">
        <f t="shared" si="3"/>
        <v>DKG&lt;-&gt;Đô Lương, Nghệ An</v>
      </c>
    </row>
    <row r="130" spans="1:5" x14ac:dyDescent="0.3">
      <c r="A130" s="122" t="s">
        <v>10982</v>
      </c>
      <c r="B130" s="122" t="s">
        <v>10983</v>
      </c>
      <c r="C130" s="113" t="str">
        <f t="shared" si="2"/>
        <v>DL.NA.DKS</v>
      </c>
      <c r="D130" s="113" t="s">
        <v>13962</v>
      </c>
      <c r="E130" s="113" t="str">
        <f t="shared" si="3"/>
        <v>DKS&lt;-&gt;Đô Lương, Nghệ An</v>
      </c>
    </row>
    <row r="131" spans="1:5" x14ac:dyDescent="0.3">
      <c r="A131" s="122" t="s">
        <v>10984</v>
      </c>
      <c r="B131" s="122" t="s">
        <v>10985</v>
      </c>
      <c r="C131" s="113" t="str">
        <f t="shared" si="2"/>
        <v>DL.NA.THG</v>
      </c>
      <c r="D131" s="113" t="s">
        <v>13963</v>
      </c>
      <c r="E131" s="113" t="str">
        <f t="shared" si="3"/>
        <v>THG&lt;-&gt;Đô Lương, Nghệ An</v>
      </c>
    </row>
    <row r="132" spans="1:5" x14ac:dyDescent="0.3">
      <c r="A132" s="122" t="s">
        <v>10986</v>
      </c>
      <c r="B132" s="122" t="s">
        <v>10987</v>
      </c>
      <c r="C132" s="113" t="str">
        <f t="shared" ref="C132:C195" si="4">+A132</f>
        <v>DL.VP.DKG</v>
      </c>
      <c r="D132" s="113" t="s">
        <v>13964</v>
      </c>
      <c r="E132" s="113" t="str">
        <f t="shared" ref="E132:E195" si="5">B132</f>
        <v>DKG&lt;-&gt;Đại Lải, Vĩnh Phúc</v>
      </c>
    </row>
    <row r="133" spans="1:5" x14ac:dyDescent="0.3">
      <c r="A133" s="122" t="s">
        <v>10988</v>
      </c>
      <c r="B133" s="122" t="s">
        <v>10989</v>
      </c>
      <c r="C133" s="113" t="str">
        <f t="shared" si="4"/>
        <v>DLTL.HN.DKS</v>
      </c>
      <c r="D133" s="113" t="s">
        <v>13965</v>
      </c>
      <c r="E133" s="113" t="str">
        <f t="shared" si="5"/>
        <v>DKS&lt;-&gt;Đại lộ Thăng Long, Hà Nội</v>
      </c>
    </row>
    <row r="134" spans="1:5" x14ac:dyDescent="0.3">
      <c r="A134" s="122" t="s">
        <v>10573</v>
      </c>
      <c r="B134" s="122" t="s">
        <v>10990</v>
      </c>
      <c r="C134" s="113" t="str">
        <f t="shared" si="4"/>
        <v>DO</v>
      </c>
      <c r="D134" s="113" t="s">
        <v>10990</v>
      </c>
      <c r="E134" s="113" t="str">
        <f t="shared" si="5"/>
        <v>Dầu DO</v>
      </c>
    </row>
    <row r="135" spans="1:5" x14ac:dyDescent="0.3">
      <c r="A135" s="122" t="s">
        <v>10991</v>
      </c>
      <c r="B135" s="122" t="s">
        <v>10992</v>
      </c>
      <c r="C135" s="113" t="str">
        <f t="shared" si="4"/>
        <v>DONGBUAKL</v>
      </c>
      <c r="D135" s="113" t="s">
        <v>10992</v>
      </c>
      <c r="E135" s="113" t="str">
        <f t="shared" si="5"/>
        <v>Đóng búa kiểm lâm</v>
      </c>
    </row>
    <row r="136" spans="1:5" x14ac:dyDescent="0.3">
      <c r="A136" s="122" t="s">
        <v>10993</v>
      </c>
      <c r="B136" s="122" t="s">
        <v>10994</v>
      </c>
      <c r="C136" s="113" t="str">
        <f t="shared" si="4"/>
        <v>DONGDAI</v>
      </c>
      <c r="D136" s="113" t="s">
        <v>10994</v>
      </c>
      <c r="E136" s="113" t="str">
        <f t="shared" si="5"/>
        <v>Đóng đai kiện hàng</v>
      </c>
    </row>
    <row r="137" spans="1:5" x14ac:dyDescent="0.3">
      <c r="A137" s="122" t="s">
        <v>10995</v>
      </c>
      <c r="B137" s="122" t="s">
        <v>10996</v>
      </c>
      <c r="C137" s="113" t="str">
        <f t="shared" si="4"/>
        <v>DONRACPHUNNUOC</v>
      </c>
      <c r="D137" s="113" t="s">
        <v>13966</v>
      </c>
      <c r="E137" s="113" t="str">
        <f t="shared" si="5"/>
        <v>Dọn rác, phun nước</v>
      </c>
    </row>
    <row r="138" spans="1:5" x14ac:dyDescent="0.3">
      <c r="A138" s="122" t="s">
        <v>10997</v>
      </c>
      <c r="B138" s="122" t="s">
        <v>10998</v>
      </c>
      <c r="C138" s="113" t="str">
        <f t="shared" si="4"/>
        <v>DP.HN.DKG</v>
      </c>
      <c r="D138" s="113" t="s">
        <v>13967</v>
      </c>
      <c r="E138" s="113" t="str">
        <f t="shared" si="5"/>
        <v>DKG&lt;-&gt;Đan Phượng, Hà Nội</v>
      </c>
    </row>
    <row r="139" spans="1:5" x14ac:dyDescent="0.3">
      <c r="A139" s="122" t="s">
        <v>10999</v>
      </c>
      <c r="B139" s="122" t="s">
        <v>11000</v>
      </c>
      <c r="C139" s="113" t="str">
        <f t="shared" si="4"/>
        <v>DP.HN.DKS</v>
      </c>
      <c r="D139" s="113" t="s">
        <v>13968</v>
      </c>
      <c r="E139" s="113" t="str">
        <f t="shared" si="5"/>
        <v>DKS&lt;-&gt;Đan Phượng, Hà Nội</v>
      </c>
    </row>
    <row r="140" spans="1:5" x14ac:dyDescent="0.3">
      <c r="A140" s="122" t="s">
        <v>11001</v>
      </c>
      <c r="B140" s="122" t="s">
        <v>11002</v>
      </c>
      <c r="C140" s="113" t="str">
        <f t="shared" si="4"/>
        <v>DP.HN.THG</v>
      </c>
      <c r="D140" s="113" t="s">
        <v>13969</v>
      </c>
      <c r="E140" s="113" t="str">
        <f t="shared" si="5"/>
        <v>THG&lt;-&gt;Đan Phượng, Hà Nội</v>
      </c>
    </row>
    <row r="141" spans="1:5" x14ac:dyDescent="0.3">
      <c r="A141" s="122" t="s">
        <v>11003</v>
      </c>
      <c r="B141" s="122" t="s">
        <v>11004</v>
      </c>
      <c r="C141" s="113" t="str">
        <f t="shared" si="4"/>
        <v>DS.HP.DKG</v>
      </c>
      <c r="D141" s="113" t="s">
        <v>13970</v>
      </c>
      <c r="E141" s="113" t="str">
        <f t="shared" si="5"/>
        <v>DKG&lt;-&gt;Đồ Sơn, Hải Phòng</v>
      </c>
    </row>
    <row r="142" spans="1:5" x14ac:dyDescent="0.3">
      <c r="A142" s="122" t="s">
        <v>11005</v>
      </c>
      <c r="B142" s="122" t="s">
        <v>11006</v>
      </c>
      <c r="C142" s="113" t="str">
        <f t="shared" si="4"/>
        <v>DS.HP.DKS</v>
      </c>
      <c r="D142" s="113" t="s">
        <v>13971</v>
      </c>
      <c r="E142" s="113" t="str">
        <f t="shared" si="5"/>
        <v>DKS&lt;-&gt;Đồ Sơn, Hải Phòng</v>
      </c>
    </row>
    <row r="143" spans="1:5" x14ac:dyDescent="0.3">
      <c r="A143" s="122" t="s">
        <v>11007</v>
      </c>
      <c r="B143" s="122" t="s">
        <v>11008</v>
      </c>
      <c r="C143" s="113" t="str">
        <f t="shared" si="4"/>
        <v>DS.HP.THG</v>
      </c>
      <c r="D143" s="113" t="s">
        <v>13972</v>
      </c>
      <c r="E143" s="113" t="str">
        <f t="shared" si="5"/>
        <v>THG&lt;-&gt;Đồ Sơn, Hải Phòng</v>
      </c>
    </row>
    <row r="144" spans="1:5" x14ac:dyDescent="0.3">
      <c r="A144" s="122" t="s">
        <v>11009</v>
      </c>
      <c r="B144" s="122" t="s">
        <v>11010</v>
      </c>
      <c r="C144" s="113" t="str">
        <f t="shared" si="4"/>
        <v>DS.TH.DKG</v>
      </c>
      <c r="D144" s="113" t="s">
        <v>13973</v>
      </c>
      <c r="E144" s="113" t="str">
        <f t="shared" si="5"/>
        <v>DKG&lt;-&gt;Đông Sơn, Thanh Hóa</v>
      </c>
    </row>
    <row r="145" spans="1:5" x14ac:dyDescent="0.3">
      <c r="A145" s="122" t="s">
        <v>11011</v>
      </c>
      <c r="B145" s="122" t="s">
        <v>11012</v>
      </c>
      <c r="C145" s="113" t="str">
        <f t="shared" si="4"/>
        <v>DS.TH.DKS</v>
      </c>
      <c r="D145" s="113" t="s">
        <v>13974</v>
      </c>
      <c r="E145" s="113" t="str">
        <f t="shared" si="5"/>
        <v>DKS&lt;-&gt;Đông Sơn, Thanh Hóa</v>
      </c>
    </row>
    <row r="146" spans="1:5" x14ac:dyDescent="0.3">
      <c r="A146" s="122" t="s">
        <v>11013</v>
      </c>
      <c r="B146" s="122" t="s">
        <v>11014</v>
      </c>
      <c r="C146" s="113" t="str">
        <f t="shared" si="4"/>
        <v>DT.BG.DKS</v>
      </c>
      <c r="D146" s="113" t="s">
        <v>13975</v>
      </c>
      <c r="E146" s="113" t="str">
        <f t="shared" si="5"/>
        <v>DKS&lt;-&gt;Đình Trám, Bắc Giang</v>
      </c>
    </row>
    <row r="147" spans="1:5" x14ac:dyDescent="0.3">
      <c r="A147" s="122" t="s">
        <v>11015</v>
      </c>
      <c r="B147" s="122" t="s">
        <v>11016</v>
      </c>
      <c r="C147" s="113" t="str">
        <f t="shared" si="4"/>
        <v>DT.HNA.DKG</v>
      </c>
      <c r="D147" s="113" t="s">
        <v>13976</v>
      </c>
      <c r="E147" s="113" t="str">
        <f t="shared" si="5"/>
        <v>DKG&lt;-&gt;Duy Tiên, Hà Nam</v>
      </c>
    </row>
    <row r="148" spans="1:5" x14ac:dyDescent="0.3">
      <c r="A148" s="122" t="s">
        <v>11017</v>
      </c>
      <c r="B148" s="122" t="s">
        <v>11018</v>
      </c>
      <c r="C148" s="113" t="str">
        <f t="shared" si="4"/>
        <v>DT.HNA.DKS</v>
      </c>
      <c r="D148" s="113" t="s">
        <v>13977</v>
      </c>
      <c r="E148" s="113" t="str">
        <f t="shared" si="5"/>
        <v>DKS&lt;-&gt;Duy Tiên, Hà Nam</v>
      </c>
    </row>
    <row r="149" spans="1:5" x14ac:dyDescent="0.3">
      <c r="A149" s="122" t="s">
        <v>11019</v>
      </c>
      <c r="B149" s="122" t="s">
        <v>11020</v>
      </c>
      <c r="C149" s="113" t="str">
        <f t="shared" si="4"/>
        <v>DT.HNA.THG</v>
      </c>
      <c r="D149" s="113" t="s">
        <v>13978</v>
      </c>
      <c r="E149" s="113" t="str">
        <f t="shared" si="5"/>
        <v>THG&lt;-&gt;Duy Tiên, Hà Nam</v>
      </c>
    </row>
    <row r="150" spans="1:5" x14ac:dyDescent="0.3">
      <c r="A150" s="122" t="s">
        <v>11021</v>
      </c>
      <c r="B150" s="122" t="s">
        <v>11022</v>
      </c>
      <c r="C150" s="113" t="str">
        <f t="shared" si="4"/>
        <v>DT.HT.DKG</v>
      </c>
      <c r="D150" s="113" t="s">
        <v>13979</v>
      </c>
      <c r="E150" s="113" t="str">
        <f t="shared" si="5"/>
        <v>DKG&lt;-&gt;Đức Thọ, Hà tĩnh</v>
      </c>
    </row>
    <row r="151" spans="1:5" x14ac:dyDescent="0.3">
      <c r="A151" s="122" t="s">
        <v>11023</v>
      </c>
      <c r="B151" s="122" t="s">
        <v>11024</v>
      </c>
      <c r="C151" s="113" t="str">
        <f t="shared" si="4"/>
        <v>DT.QN.DKG</v>
      </c>
      <c r="D151" s="113" t="s">
        <v>13980</v>
      </c>
      <c r="E151" s="113" t="str">
        <f t="shared" si="5"/>
        <v>DKG&lt;-&gt;Đông Triều, Quảng Ninh</v>
      </c>
    </row>
    <row r="152" spans="1:5" x14ac:dyDescent="0.3">
      <c r="A152" s="122" t="s">
        <v>11025</v>
      </c>
      <c r="B152" s="122" t="s">
        <v>11026</v>
      </c>
      <c r="C152" s="113" t="str">
        <f t="shared" si="4"/>
        <v>DT.QN.THG</v>
      </c>
      <c r="D152" s="113" t="s">
        <v>13981</v>
      </c>
      <c r="E152" s="113" t="str">
        <f t="shared" si="5"/>
        <v>THG&lt;-&gt;Đông Triều, Quảng Ninh</v>
      </c>
    </row>
    <row r="153" spans="1:5" x14ac:dyDescent="0.3">
      <c r="A153" s="122" t="s">
        <v>11027</v>
      </c>
      <c r="B153" s="122" t="s">
        <v>11028</v>
      </c>
      <c r="C153" s="113" t="str">
        <f t="shared" si="4"/>
        <v>DT.TN.DKG</v>
      </c>
      <c r="D153" s="113" t="s">
        <v>13982</v>
      </c>
      <c r="E153" s="113" t="str">
        <f t="shared" si="5"/>
        <v>DKG&lt;-&gt;Đại Từ, Thái Nguyên</v>
      </c>
    </row>
    <row r="154" spans="1:5" x14ac:dyDescent="0.3">
      <c r="A154" s="122" t="s">
        <v>11029</v>
      </c>
      <c r="B154" s="122" t="s">
        <v>11030</v>
      </c>
      <c r="C154" s="113" t="str">
        <f t="shared" si="4"/>
        <v>DT.TN.DKS</v>
      </c>
      <c r="D154" s="113" t="s">
        <v>13983</v>
      </c>
      <c r="E154" s="113" t="str">
        <f t="shared" si="5"/>
        <v>DKS&lt;-&gt;Đại Từ, Thái Nguyên</v>
      </c>
    </row>
    <row r="155" spans="1:5" x14ac:dyDescent="0.3">
      <c r="A155" s="122" t="s">
        <v>11031</v>
      </c>
      <c r="B155" s="122" t="s">
        <v>11032</v>
      </c>
      <c r="C155" s="113" t="str">
        <f t="shared" si="4"/>
        <v>DV.HNA.DKG</v>
      </c>
      <c r="D155" s="113" t="s">
        <v>13984</v>
      </c>
      <c r="E155" s="113" t="str">
        <f t="shared" si="5"/>
        <v>DKG&lt;-&gt;Đồng Văn, Hà Nam</v>
      </c>
    </row>
    <row r="156" spans="1:5" x14ac:dyDescent="0.3">
      <c r="A156" s="122" t="s">
        <v>11033</v>
      </c>
      <c r="B156" s="122" t="s">
        <v>11034</v>
      </c>
      <c r="C156" s="113" t="str">
        <f t="shared" si="4"/>
        <v>DV.HNA.DKS</v>
      </c>
      <c r="D156" s="113" t="s">
        <v>13985</v>
      </c>
      <c r="E156" s="113" t="str">
        <f t="shared" si="5"/>
        <v>DKS&lt;-&gt;Đồng Văn, Hà Nam</v>
      </c>
    </row>
    <row r="157" spans="1:5" x14ac:dyDescent="0.3">
      <c r="A157" s="122" t="s">
        <v>11035</v>
      </c>
      <c r="B157" s="122" t="s">
        <v>11036</v>
      </c>
      <c r="C157" s="113" t="str">
        <f t="shared" si="4"/>
        <v>DV.HNA.THG</v>
      </c>
      <c r="D157" s="113" t="s">
        <v>13986</v>
      </c>
      <c r="E157" s="113" t="str">
        <f t="shared" si="5"/>
        <v>THG&lt;-&gt;Đồng Văn, Hà Nam</v>
      </c>
    </row>
    <row r="158" spans="1:5" x14ac:dyDescent="0.3">
      <c r="A158" s="122" t="s">
        <v>11037</v>
      </c>
      <c r="B158" s="122" t="s">
        <v>11038</v>
      </c>
      <c r="C158" s="113" t="str">
        <f t="shared" si="4"/>
        <v>DVKHAC</v>
      </c>
      <c r="D158" s="113" t="s">
        <v>11038</v>
      </c>
      <c r="E158" s="113" t="str">
        <f t="shared" si="5"/>
        <v>Dịch vụ khác</v>
      </c>
    </row>
    <row r="159" spans="1:5" x14ac:dyDescent="0.3">
      <c r="A159" s="122" t="s">
        <v>11039</v>
      </c>
      <c r="B159" s="122" t="s">
        <v>11040</v>
      </c>
      <c r="C159" s="113" t="str">
        <f t="shared" si="4"/>
        <v>DX.HN.DKG</v>
      </c>
      <c r="D159" s="113" t="s">
        <v>13987</v>
      </c>
      <c r="E159" s="113" t="str">
        <f t="shared" si="5"/>
        <v>DKG&lt;-&gt;Đỗ Xá, Hà Nội</v>
      </c>
    </row>
    <row r="160" spans="1:5" x14ac:dyDescent="0.3">
      <c r="A160" s="122" t="s">
        <v>11041</v>
      </c>
      <c r="B160" s="122" t="s">
        <v>11042</v>
      </c>
      <c r="C160" s="113" t="str">
        <f t="shared" si="4"/>
        <v>DX.HN.THG</v>
      </c>
      <c r="D160" s="113" t="s">
        <v>13988</v>
      </c>
      <c r="E160" s="113" t="str">
        <f t="shared" si="5"/>
        <v>THG&lt;-&gt;Đỗ Xá, Hà Nội</v>
      </c>
    </row>
    <row r="161" spans="1:5" x14ac:dyDescent="0.3">
      <c r="A161" s="122" t="s">
        <v>11043</v>
      </c>
      <c r="B161" s="122" t="s">
        <v>11044</v>
      </c>
      <c r="C161" s="113" t="str">
        <f t="shared" si="4"/>
        <v>DY.NA.DKG</v>
      </c>
      <c r="D161" s="113" t="s">
        <v>13989</v>
      </c>
      <c r="E161" s="113" t="str">
        <f t="shared" si="5"/>
        <v>DKG&lt;-&gt;Diễn Yên, Nghệ An</v>
      </c>
    </row>
    <row r="162" spans="1:5" x14ac:dyDescent="0.3">
      <c r="A162" s="122" t="s">
        <v>11045</v>
      </c>
      <c r="B162" s="122" t="s">
        <v>11046</v>
      </c>
      <c r="C162" s="113" t="str">
        <f t="shared" si="4"/>
        <v>GB.BN.DKG</v>
      </c>
      <c r="D162" s="113" t="s">
        <v>13990</v>
      </c>
      <c r="E162" s="113" t="str">
        <f t="shared" si="5"/>
        <v>DKG&lt;-&gt;Gia Bình, Bắc Ninh</v>
      </c>
    </row>
    <row r="163" spans="1:5" x14ac:dyDescent="0.3">
      <c r="A163" s="122" t="s">
        <v>11047</v>
      </c>
      <c r="B163" s="122" t="s">
        <v>11048</v>
      </c>
      <c r="C163" s="113" t="str">
        <f t="shared" si="4"/>
        <v>GB.BN.DKS</v>
      </c>
      <c r="D163" s="113" t="s">
        <v>13991</v>
      </c>
      <c r="E163" s="113" t="str">
        <f t="shared" si="5"/>
        <v>DKS&lt;-&gt;Gia Bình, Bắc Ninh</v>
      </c>
    </row>
    <row r="164" spans="1:5" x14ac:dyDescent="0.3">
      <c r="A164" s="122" t="s">
        <v>11049</v>
      </c>
      <c r="B164" s="122" t="s">
        <v>11050</v>
      </c>
      <c r="C164" s="113" t="str">
        <f t="shared" si="4"/>
        <v>GB.BN.THG</v>
      </c>
      <c r="D164" s="113" t="s">
        <v>13992</v>
      </c>
      <c r="E164" s="113" t="str">
        <f t="shared" si="5"/>
        <v>THG&lt;-&gt;Gia Bình, Bắc Ninh</v>
      </c>
    </row>
    <row r="165" spans="1:5" x14ac:dyDescent="0.3">
      <c r="A165" s="122" t="s">
        <v>11051</v>
      </c>
      <c r="B165" s="122" t="s">
        <v>11052</v>
      </c>
      <c r="C165" s="113" t="str">
        <f t="shared" si="4"/>
        <v>GD.QN.DKG</v>
      </c>
      <c r="D165" s="113" t="s">
        <v>13993</v>
      </c>
      <c r="E165" s="113" t="str">
        <f t="shared" si="5"/>
        <v>DKG&lt;-&gt;Giếng Đáy, Quảng Ninh</v>
      </c>
    </row>
    <row r="166" spans="1:5" x14ac:dyDescent="0.3">
      <c r="A166" s="122" t="s">
        <v>11053</v>
      </c>
      <c r="B166" s="122" t="s">
        <v>11054</v>
      </c>
      <c r="C166" s="113" t="str">
        <f t="shared" si="4"/>
        <v>GD.QN.THG</v>
      </c>
      <c r="D166" s="113" t="s">
        <v>13994</v>
      </c>
      <c r="E166" s="113" t="str">
        <f t="shared" si="5"/>
        <v>THG&lt;-&gt;Giếng Đáy, Quảng Ninh</v>
      </c>
    </row>
    <row r="167" spans="1:5" x14ac:dyDescent="0.3">
      <c r="A167" s="122" t="s">
        <v>11055</v>
      </c>
      <c r="B167" s="122" t="s">
        <v>11056</v>
      </c>
      <c r="C167" s="113" t="str">
        <f t="shared" si="4"/>
        <v>GK.NB.DKS</v>
      </c>
      <c r="D167" s="113" t="s">
        <v>13995</v>
      </c>
      <c r="E167" s="113" t="str">
        <f t="shared" si="5"/>
        <v>DKS&lt;-&gt;Gián Khẩu, Ninh Bình</v>
      </c>
    </row>
    <row r="168" spans="1:5" x14ac:dyDescent="0.3">
      <c r="A168" s="122" t="s">
        <v>11057</v>
      </c>
      <c r="B168" s="122" t="s">
        <v>11058</v>
      </c>
      <c r="C168" s="113" t="str">
        <f t="shared" si="4"/>
        <v>GL.HD.DKG</v>
      </c>
      <c r="D168" s="113" t="s">
        <v>13996</v>
      </c>
      <c r="E168" s="113" t="str">
        <f t="shared" si="5"/>
        <v>DKG&lt;-&gt;Gia Lộc, Hải Dương</v>
      </c>
    </row>
    <row r="169" spans="1:5" x14ac:dyDescent="0.3">
      <c r="A169" s="122" t="s">
        <v>11059</v>
      </c>
      <c r="B169" s="122" t="s">
        <v>11060</v>
      </c>
      <c r="C169" s="113" t="str">
        <f t="shared" si="4"/>
        <v>GL.HD.THG</v>
      </c>
      <c r="D169" s="113" t="s">
        <v>13997</v>
      </c>
      <c r="E169" s="113" t="str">
        <f t="shared" si="5"/>
        <v>THG&lt;-&gt;Gia Lộc, Hải Dương</v>
      </c>
    </row>
    <row r="170" spans="1:5" x14ac:dyDescent="0.3">
      <c r="A170" s="122" t="s">
        <v>11061</v>
      </c>
      <c r="B170" s="122" t="s">
        <v>11062</v>
      </c>
      <c r="C170" s="113" t="str">
        <f t="shared" si="4"/>
        <v>GL.HN.DKG</v>
      </c>
      <c r="D170" s="113" t="s">
        <v>13998</v>
      </c>
      <c r="E170" s="113" t="str">
        <f t="shared" si="5"/>
        <v>DKG&lt;-&gt;Gia Lâm, Hà Nội</v>
      </c>
    </row>
    <row r="171" spans="1:5" x14ac:dyDescent="0.3">
      <c r="A171" s="122" t="s">
        <v>11063</v>
      </c>
      <c r="B171" s="122" t="s">
        <v>11064</v>
      </c>
      <c r="C171" s="113" t="str">
        <f t="shared" si="4"/>
        <v>GL.HN.DKS</v>
      </c>
      <c r="D171" s="113" t="s">
        <v>13999</v>
      </c>
      <c r="E171" s="113" t="str">
        <f t="shared" si="5"/>
        <v>DKS&lt;-&gt;Gia Lâm, Hà Nội</v>
      </c>
    </row>
    <row r="172" spans="1:5" x14ac:dyDescent="0.3">
      <c r="A172" s="122" t="s">
        <v>11065</v>
      </c>
      <c r="B172" s="122" t="s">
        <v>11066</v>
      </c>
      <c r="C172" s="113" t="str">
        <f t="shared" si="4"/>
        <v>GL.HN.THG</v>
      </c>
      <c r="D172" s="113" t="s">
        <v>14000</v>
      </c>
      <c r="E172" s="113" t="str">
        <f t="shared" si="5"/>
        <v>THG&lt;-&gt;Gia Lâm, Hà Nội</v>
      </c>
    </row>
    <row r="173" spans="1:5" x14ac:dyDescent="0.3">
      <c r="A173" s="122" t="s">
        <v>11067</v>
      </c>
      <c r="B173" s="122" t="s">
        <v>11068</v>
      </c>
      <c r="C173" s="113" t="str">
        <f t="shared" si="4"/>
        <v>GP.HN.DKS</v>
      </c>
      <c r="D173" s="113" t="s">
        <v>14001</v>
      </c>
      <c r="E173" s="113" t="str">
        <f t="shared" si="5"/>
        <v>DKS&lt;-&gt;Giải Phóng, Hà Nội</v>
      </c>
    </row>
    <row r="174" spans="1:5" x14ac:dyDescent="0.3">
      <c r="A174" s="122" t="s">
        <v>11069</v>
      </c>
      <c r="B174" s="122" t="s">
        <v>11070</v>
      </c>
      <c r="C174" s="113" t="str">
        <f t="shared" si="4"/>
        <v>GT.ND.DKG</v>
      </c>
      <c r="D174" s="113" t="s">
        <v>14002</v>
      </c>
      <c r="E174" s="113" t="str">
        <f t="shared" si="5"/>
        <v>DKG&lt;-&gt;Giao Thủy, Nam Định</v>
      </c>
    </row>
    <row r="175" spans="1:5" x14ac:dyDescent="0.3">
      <c r="A175" s="122" t="s">
        <v>11071</v>
      </c>
      <c r="B175" s="122" t="s">
        <v>11072</v>
      </c>
      <c r="C175" s="113" t="str">
        <f t="shared" si="4"/>
        <v>GTGT</v>
      </c>
      <c r="D175" s="113" t="s">
        <v>11072</v>
      </c>
      <c r="E175" s="113" t="str">
        <f t="shared" si="5"/>
        <v>Thuế GTGT</v>
      </c>
    </row>
    <row r="176" spans="1:5" x14ac:dyDescent="0.3">
      <c r="A176" s="122" t="s">
        <v>11073</v>
      </c>
      <c r="B176" s="122" t="s">
        <v>11074</v>
      </c>
      <c r="C176" s="113" t="str">
        <f t="shared" si="4"/>
        <v>GUIXE</v>
      </c>
      <c r="D176" s="113" t="s">
        <v>11074</v>
      </c>
      <c r="E176" s="113" t="str">
        <f t="shared" si="5"/>
        <v>Gửi xe</v>
      </c>
    </row>
    <row r="177" spans="1:5" x14ac:dyDescent="0.3">
      <c r="A177" s="122" t="s">
        <v>11075</v>
      </c>
      <c r="B177" s="122" t="s">
        <v>11076</v>
      </c>
      <c r="C177" s="113" t="str">
        <f t="shared" si="4"/>
        <v>GV.NB.DKG</v>
      </c>
      <c r="D177" s="113" t="s">
        <v>14003</v>
      </c>
      <c r="E177" s="113" t="str">
        <f t="shared" si="5"/>
        <v>DKG&lt;-&gt;Gia Viễn, Ninh Bình</v>
      </c>
    </row>
    <row r="178" spans="1:5" x14ac:dyDescent="0.3">
      <c r="A178" s="122" t="s">
        <v>11077</v>
      </c>
      <c r="B178" s="122" t="s">
        <v>11078</v>
      </c>
      <c r="C178" s="113" t="str">
        <f t="shared" si="4"/>
        <v>GV.NB.DKS</v>
      </c>
      <c r="D178" s="113" t="s">
        <v>14004</v>
      </c>
      <c r="E178" s="113" t="str">
        <f t="shared" si="5"/>
        <v>DKS&lt;-&gt;Gia Viễn, Ninh Bình</v>
      </c>
    </row>
    <row r="179" spans="1:5" x14ac:dyDescent="0.3">
      <c r="A179" s="122" t="s">
        <v>11079</v>
      </c>
      <c r="B179" s="122" t="s">
        <v>11080</v>
      </c>
      <c r="C179" s="113" t="str">
        <f t="shared" si="4"/>
        <v>GVB.ND.DKG</v>
      </c>
      <c r="D179" s="113" t="s">
        <v>14005</v>
      </c>
      <c r="E179" s="113" t="str">
        <f t="shared" si="5"/>
        <v>DKG&lt;-&gt;Gôi Vụ Bản, Nam Định</v>
      </c>
    </row>
    <row r="180" spans="1:5" x14ac:dyDescent="0.3">
      <c r="A180" s="122" t="s">
        <v>11081</v>
      </c>
      <c r="B180" s="122" t="s">
        <v>11082</v>
      </c>
      <c r="C180" s="113" t="str">
        <f t="shared" si="4"/>
        <v>HACONT</v>
      </c>
      <c r="D180" s="113" t="s">
        <v>11082</v>
      </c>
      <c r="E180" s="113" t="str">
        <f t="shared" si="5"/>
        <v>Hạ cont từ xe đầu kéo xuống bãi</v>
      </c>
    </row>
    <row r="181" spans="1:5" x14ac:dyDescent="0.3">
      <c r="A181" s="122" t="s">
        <v>11083</v>
      </c>
      <c r="B181" s="122" t="s">
        <v>11084</v>
      </c>
      <c r="C181" s="113" t="str">
        <f t="shared" si="4"/>
        <v>HAGOPHAN</v>
      </c>
      <c r="D181" s="113" t="s">
        <v>11084</v>
      </c>
      <c r="E181" s="113" t="str">
        <f t="shared" si="5"/>
        <v>Hạ gỗ phản từ xe xuống bãi</v>
      </c>
    </row>
    <row r="182" spans="1:5" x14ac:dyDescent="0.3">
      <c r="A182" s="122" t="s">
        <v>11085</v>
      </c>
      <c r="B182" s="122" t="s">
        <v>11086</v>
      </c>
      <c r="C182" s="113" t="str">
        <f t="shared" si="4"/>
        <v>HAGOTRON</v>
      </c>
      <c r="D182" s="113" t="s">
        <v>11086</v>
      </c>
      <c r="E182" s="113" t="str">
        <f t="shared" si="5"/>
        <v>Hạ gỗ tròn từ xe xuống bãi</v>
      </c>
    </row>
    <row r="183" spans="1:5" x14ac:dyDescent="0.3">
      <c r="A183" s="122" t="s">
        <v>11087</v>
      </c>
      <c r="B183" s="122" t="s">
        <v>11088</v>
      </c>
      <c r="C183" s="113" t="str">
        <f t="shared" si="4"/>
        <v>HAGOXE</v>
      </c>
      <c r="D183" s="113" t="s">
        <v>14006</v>
      </c>
      <c r="E183" s="113" t="str">
        <f t="shared" si="5"/>
        <v>Hạ gỗ xẻ, đóng kiện từ xe xuống bãi</v>
      </c>
    </row>
    <row r="184" spans="1:5" x14ac:dyDescent="0.3">
      <c r="A184" s="122" t="s">
        <v>11089</v>
      </c>
      <c r="B184" s="122" t="s">
        <v>11090</v>
      </c>
      <c r="C184" s="113" t="str">
        <f t="shared" si="4"/>
        <v>HAIQUAN</v>
      </c>
      <c r="D184" s="113" t="s">
        <v>11090</v>
      </c>
      <c r="E184" s="113" t="str">
        <f t="shared" si="5"/>
        <v>Phí làm thủ tục Hải quan</v>
      </c>
    </row>
    <row r="185" spans="1:5" x14ac:dyDescent="0.3">
      <c r="A185" s="122" t="s">
        <v>11091</v>
      </c>
      <c r="B185" s="122" t="s">
        <v>11092</v>
      </c>
      <c r="C185" s="113" t="str">
        <f t="shared" si="4"/>
        <v>HB.HP.DKG</v>
      </c>
      <c r="D185" s="113" t="s">
        <v>14007</v>
      </c>
      <c r="E185" s="113" t="str">
        <f t="shared" si="5"/>
        <v>DKG&lt;-&gt;Hồng Bàng, Hải Phòng</v>
      </c>
    </row>
    <row r="186" spans="1:5" x14ac:dyDescent="0.3">
      <c r="A186" s="122" t="s">
        <v>11093</v>
      </c>
      <c r="B186" s="122" t="s">
        <v>11094</v>
      </c>
      <c r="C186" s="113" t="str">
        <f t="shared" si="4"/>
        <v>HB.HP.DKS</v>
      </c>
      <c r="D186" s="113" t="s">
        <v>14008</v>
      </c>
      <c r="E186" s="113" t="str">
        <f t="shared" si="5"/>
        <v>DKS&lt;-&gt;Hồng Bàng, Hải Phòng</v>
      </c>
    </row>
    <row r="187" spans="1:5" x14ac:dyDescent="0.3">
      <c r="A187" s="122" t="s">
        <v>11095</v>
      </c>
      <c r="B187" s="122" t="s">
        <v>11096</v>
      </c>
      <c r="C187" s="113" t="str">
        <f t="shared" si="4"/>
        <v>HB.HP.THG</v>
      </c>
      <c r="D187" s="113" t="s">
        <v>14009</v>
      </c>
      <c r="E187" s="113" t="str">
        <f t="shared" si="5"/>
        <v>THG&lt;-&gt;Hồng Bàng, Hải Phòng</v>
      </c>
    </row>
    <row r="188" spans="1:5" x14ac:dyDescent="0.3">
      <c r="A188" s="122" t="s">
        <v>11097</v>
      </c>
      <c r="B188" s="122" t="s">
        <v>11098</v>
      </c>
      <c r="C188" s="113" t="str">
        <f t="shared" si="4"/>
        <v>HB.ND.DKG</v>
      </c>
      <c r="D188" s="113" t="s">
        <v>14010</v>
      </c>
      <c r="E188" s="113" t="str">
        <f t="shared" si="5"/>
        <v>DKG&lt;-&gt;Hữu Bị, Nam Định</v>
      </c>
    </row>
    <row r="189" spans="1:5" x14ac:dyDescent="0.3">
      <c r="A189" s="122" t="s">
        <v>11099</v>
      </c>
      <c r="B189" s="122" t="s">
        <v>11100</v>
      </c>
      <c r="C189" s="113" t="str">
        <f t="shared" si="4"/>
        <v>HB.QN.DKG</v>
      </c>
      <c r="D189" s="113" t="s">
        <v>14011</v>
      </c>
      <c r="E189" s="113" t="str">
        <f t="shared" si="5"/>
        <v>DKG&lt;-&gt;Hoành Bồ, Quảng Ninh</v>
      </c>
    </row>
    <row r="190" spans="1:5" x14ac:dyDescent="0.3">
      <c r="A190" s="122" t="s">
        <v>11101</v>
      </c>
      <c r="B190" s="122" t="s">
        <v>11102</v>
      </c>
      <c r="C190" s="113" t="str">
        <f t="shared" si="4"/>
        <v>HC.HP.DKS</v>
      </c>
      <c r="D190" s="113" t="s">
        <v>14012</v>
      </c>
      <c r="E190" s="113" t="str">
        <f t="shared" si="5"/>
        <v>DKS&lt;-&gt;Hùng Cường, Hải Phòng</v>
      </c>
    </row>
    <row r="191" spans="1:5" x14ac:dyDescent="0.3">
      <c r="A191" s="122" t="s">
        <v>11103</v>
      </c>
      <c r="B191" s="122" t="s">
        <v>11104</v>
      </c>
      <c r="C191" s="113" t="str">
        <f t="shared" si="4"/>
        <v>HD.HN.DKG</v>
      </c>
      <c r="D191" s="113" t="s">
        <v>14013</v>
      </c>
      <c r="E191" s="113" t="str">
        <f t="shared" si="5"/>
        <v>DKG&lt;-&gt;Hà Đông, Hà Nội</v>
      </c>
    </row>
    <row r="192" spans="1:5" x14ac:dyDescent="0.3">
      <c r="A192" s="122" t="s">
        <v>11105</v>
      </c>
      <c r="B192" s="122" t="s">
        <v>11106</v>
      </c>
      <c r="C192" s="113" t="str">
        <f t="shared" si="4"/>
        <v>HD.HN.DKS</v>
      </c>
      <c r="D192" s="113" t="s">
        <v>14014</v>
      </c>
      <c r="E192" s="113" t="str">
        <f t="shared" si="5"/>
        <v>DKS&lt;-&gt;Hà Đông, Hà Nội</v>
      </c>
    </row>
    <row r="193" spans="1:5" x14ac:dyDescent="0.3">
      <c r="A193" s="122" t="s">
        <v>11107</v>
      </c>
      <c r="B193" s="122" t="s">
        <v>11108</v>
      </c>
      <c r="C193" s="113" t="str">
        <f t="shared" si="4"/>
        <v>HD.HN.THG</v>
      </c>
      <c r="D193" s="113" t="s">
        <v>14015</v>
      </c>
      <c r="E193" s="113" t="str">
        <f t="shared" si="5"/>
        <v>THG&lt;-&gt;Hà Đông, Hà Nội</v>
      </c>
    </row>
    <row r="194" spans="1:5" x14ac:dyDescent="0.3">
      <c r="A194" s="122" t="s">
        <v>11109</v>
      </c>
      <c r="B194" s="122" t="s">
        <v>11110</v>
      </c>
      <c r="C194" s="113" t="str">
        <f t="shared" si="4"/>
        <v>HDU.HN.DKS</v>
      </c>
      <c r="D194" s="113" t="s">
        <v>14016</v>
      </c>
      <c r="E194" s="113" t="str">
        <f t="shared" si="5"/>
        <v>DKS&lt;-&gt;Hoài Đức, Hà Nội</v>
      </c>
    </row>
    <row r="195" spans="1:5" x14ac:dyDescent="0.3">
      <c r="A195" s="122" t="s">
        <v>11111</v>
      </c>
      <c r="B195" s="122" t="s">
        <v>11112</v>
      </c>
      <c r="C195" s="113" t="str">
        <f t="shared" si="4"/>
        <v>HG.QN.DKG</v>
      </c>
      <c r="D195" s="113" t="s">
        <v>14017</v>
      </c>
      <c r="E195" s="113" t="str">
        <f t="shared" si="5"/>
        <v>DKG&lt;-&gt;Hòn Gai, Quảng Ninh</v>
      </c>
    </row>
    <row r="196" spans="1:5" x14ac:dyDescent="0.3">
      <c r="A196" s="122" t="s">
        <v>11113</v>
      </c>
      <c r="B196" s="122" t="s">
        <v>11114</v>
      </c>
      <c r="C196" s="113" t="str">
        <f t="shared" ref="C196:C259" si="6">+A196</f>
        <v>HG.QN.THG</v>
      </c>
      <c r="D196" s="113" t="s">
        <v>14018</v>
      </c>
      <c r="E196" s="113" t="str">
        <f t="shared" ref="E196:E259" si="7">B196</f>
        <v>THG&lt;-&gt;Hòn Gai, Quảng Ninh</v>
      </c>
    </row>
    <row r="197" spans="1:5" x14ac:dyDescent="0.3">
      <c r="A197" s="122" t="s">
        <v>11115</v>
      </c>
      <c r="B197" s="122" t="s">
        <v>11116</v>
      </c>
      <c r="C197" s="113" t="str">
        <f t="shared" si="6"/>
        <v>HH.BG.DKG</v>
      </c>
      <c r="D197" s="113" t="s">
        <v>14019</v>
      </c>
      <c r="E197" s="113" t="str">
        <f t="shared" si="7"/>
        <v>DKG&lt;-&gt;Hiệp Hòa, Bắc Giang</v>
      </c>
    </row>
    <row r="198" spans="1:5" x14ac:dyDescent="0.3">
      <c r="A198" s="122" t="s">
        <v>11117</v>
      </c>
      <c r="B198" s="122" t="s">
        <v>11118</v>
      </c>
      <c r="C198" s="113" t="str">
        <f t="shared" si="6"/>
        <v>HH.BG.DKS</v>
      </c>
      <c r="D198" s="113" t="s">
        <v>14020</v>
      </c>
      <c r="E198" s="113" t="str">
        <f t="shared" si="7"/>
        <v>DKS&lt;-&gt;Hiệp Hòa, Bắc Giang</v>
      </c>
    </row>
    <row r="199" spans="1:5" x14ac:dyDescent="0.3">
      <c r="A199" s="122" t="s">
        <v>11119</v>
      </c>
      <c r="B199" s="122" t="s">
        <v>11120</v>
      </c>
      <c r="C199" s="113" t="str">
        <f t="shared" si="6"/>
        <v>HH.BG.THG</v>
      </c>
      <c r="D199" s="113" t="s">
        <v>14021</v>
      </c>
      <c r="E199" s="113" t="str">
        <f t="shared" si="7"/>
        <v>THG&lt;-&gt;Hiệp Hòa, Bắc Giang</v>
      </c>
    </row>
    <row r="200" spans="1:5" x14ac:dyDescent="0.3">
      <c r="A200" s="122" t="s">
        <v>11121</v>
      </c>
      <c r="B200" s="122" t="s">
        <v>11122</v>
      </c>
      <c r="C200" s="113" t="str">
        <f t="shared" si="6"/>
        <v>HH.ND.DKG</v>
      </c>
      <c r="D200" s="113" t="s">
        <v>13847</v>
      </c>
      <c r="E200" s="113" t="str">
        <f t="shared" si="7"/>
        <v>DKG&lt;-&gt;Hải Hậu, Nam Định</v>
      </c>
    </row>
    <row r="201" spans="1:5" x14ac:dyDescent="0.3">
      <c r="A201" s="122" t="s">
        <v>11123</v>
      </c>
      <c r="B201" s="122" t="s">
        <v>11124</v>
      </c>
      <c r="C201" s="113" t="str">
        <f t="shared" si="6"/>
        <v>HH.ND.DKS</v>
      </c>
      <c r="D201" s="113" t="s">
        <v>14022</v>
      </c>
      <c r="E201" s="113" t="str">
        <f t="shared" si="7"/>
        <v>DKS&lt;-&gt;Hải Hậu, Nam Định</v>
      </c>
    </row>
    <row r="202" spans="1:5" x14ac:dyDescent="0.3">
      <c r="A202" s="122" t="s">
        <v>11125</v>
      </c>
      <c r="B202" s="122" t="s">
        <v>11126</v>
      </c>
      <c r="C202" s="113" t="str">
        <f t="shared" si="6"/>
        <v>HH.ND.THG</v>
      </c>
      <c r="D202" s="113" t="s">
        <v>14023</v>
      </c>
      <c r="E202" s="113" t="str">
        <f t="shared" si="7"/>
        <v>THG&lt;-&gt;Hải Hậu, Nam Định</v>
      </c>
    </row>
    <row r="203" spans="1:5" x14ac:dyDescent="0.3">
      <c r="A203" s="122" t="s">
        <v>11127</v>
      </c>
      <c r="B203" s="122" t="s">
        <v>11128</v>
      </c>
      <c r="C203" s="113" t="str">
        <f t="shared" si="6"/>
        <v>HH.PT.DKS</v>
      </c>
      <c r="D203" s="113" t="s">
        <v>14024</v>
      </c>
      <c r="E203" s="113" t="str">
        <f t="shared" si="7"/>
        <v>DKS&lt;-&gt;Hạ Hòa, Phú Thọ</v>
      </c>
    </row>
    <row r="204" spans="1:5" x14ac:dyDescent="0.3">
      <c r="A204" s="122" t="s">
        <v>11129</v>
      </c>
      <c r="B204" s="122" t="s">
        <v>11130</v>
      </c>
      <c r="C204" s="113" t="str">
        <f t="shared" si="6"/>
        <v>HH.QN.DKG</v>
      </c>
      <c r="D204" s="113" t="s">
        <v>14025</v>
      </c>
      <c r="E204" s="113" t="str">
        <f t="shared" si="7"/>
        <v>DKG&lt;-&gt;Hải Hà, Quảng Ninh</v>
      </c>
    </row>
    <row r="205" spans="1:5" x14ac:dyDescent="0.3">
      <c r="A205" s="122" t="s">
        <v>11131</v>
      </c>
      <c r="B205" s="122" t="s">
        <v>11132</v>
      </c>
      <c r="C205" s="113" t="str">
        <f t="shared" si="6"/>
        <v>HH.TB.DKG</v>
      </c>
      <c r="D205" s="113" t="s">
        <v>14026</v>
      </c>
      <c r="E205" s="113" t="str">
        <f t="shared" si="7"/>
        <v>DKG&lt;-&gt;Hưng Hà, Thái Bình</v>
      </c>
    </row>
    <row r="206" spans="1:5" x14ac:dyDescent="0.3">
      <c r="A206" s="122" t="s">
        <v>11133</v>
      </c>
      <c r="B206" s="122" t="s">
        <v>11134</v>
      </c>
      <c r="C206" s="113" t="str">
        <f t="shared" si="6"/>
        <v>HH.TB.DKS</v>
      </c>
      <c r="D206" s="113" t="s">
        <v>14027</v>
      </c>
      <c r="E206" s="113" t="str">
        <f t="shared" si="7"/>
        <v>DKS&lt;-&gt;Hưng Hà, Thái Bình</v>
      </c>
    </row>
    <row r="207" spans="1:5" x14ac:dyDescent="0.3">
      <c r="A207" s="122" t="s">
        <v>11135</v>
      </c>
      <c r="B207" s="122" t="s">
        <v>11136</v>
      </c>
      <c r="C207" s="113" t="str">
        <f t="shared" si="6"/>
        <v>HH.TB.THG</v>
      </c>
      <c r="D207" s="113" t="s">
        <v>14028</v>
      </c>
      <c r="E207" s="113" t="str">
        <f t="shared" si="7"/>
        <v>THG&lt;-&gt;Hưng Hà, Thái Bình</v>
      </c>
    </row>
    <row r="208" spans="1:5" x14ac:dyDescent="0.3">
      <c r="A208" s="122" t="s">
        <v>11137</v>
      </c>
      <c r="B208" s="122" t="s">
        <v>11138</v>
      </c>
      <c r="C208" s="113" t="str">
        <f t="shared" si="6"/>
        <v>HH.TH.DKG</v>
      </c>
      <c r="D208" s="113" t="s">
        <v>14029</v>
      </c>
      <c r="E208" s="113" t="str">
        <f t="shared" si="7"/>
        <v>DKG&lt;-&gt;Hoàng Hóa, Thanh Hóa</v>
      </c>
    </row>
    <row r="209" spans="1:5" x14ac:dyDescent="0.3">
      <c r="A209" s="122" t="s">
        <v>11139</v>
      </c>
      <c r="B209" s="122" t="s">
        <v>11140</v>
      </c>
      <c r="C209" s="113" t="str">
        <f t="shared" si="6"/>
        <v>HH.TH.THG</v>
      </c>
      <c r="D209" s="113" t="s">
        <v>14030</v>
      </c>
      <c r="E209" s="113" t="str">
        <f t="shared" si="7"/>
        <v>THG&lt;-&gt;Hoàng Hóa, Thanh Hóa</v>
      </c>
    </row>
    <row r="210" spans="1:5" x14ac:dyDescent="0.3">
      <c r="A210" s="122" t="s">
        <v>11141</v>
      </c>
      <c r="B210" s="122" t="s">
        <v>11142</v>
      </c>
      <c r="C210" s="113" t="str">
        <f t="shared" si="6"/>
        <v>HH001</v>
      </c>
      <c r="D210" s="113" t="s">
        <v>11142</v>
      </c>
      <c r="E210" s="113" t="str">
        <f t="shared" si="7"/>
        <v>Sting</v>
      </c>
    </row>
    <row r="211" spans="1:5" x14ac:dyDescent="0.3">
      <c r="A211" s="122" t="s">
        <v>11143</v>
      </c>
      <c r="B211" s="122" t="s">
        <v>11144</v>
      </c>
      <c r="C211" s="113" t="str">
        <f t="shared" si="6"/>
        <v>HH002</v>
      </c>
      <c r="D211" s="113" t="s">
        <v>11144</v>
      </c>
      <c r="E211" s="113" t="str">
        <f t="shared" si="7"/>
        <v>Bò húc</v>
      </c>
    </row>
    <row r="212" spans="1:5" x14ac:dyDescent="0.3">
      <c r="A212" s="122" t="s">
        <v>11145</v>
      </c>
      <c r="B212" s="122" t="s">
        <v>11146</v>
      </c>
      <c r="C212" s="113" t="str">
        <f t="shared" si="6"/>
        <v>HH003</v>
      </c>
      <c r="D212" s="113" t="s">
        <v>11146</v>
      </c>
      <c r="E212" s="113" t="str">
        <f t="shared" si="7"/>
        <v>Pepsi</v>
      </c>
    </row>
    <row r="213" spans="1:5" x14ac:dyDescent="0.3">
      <c r="A213" s="122" t="s">
        <v>11147</v>
      </c>
      <c r="B213" s="122" t="s">
        <v>11148</v>
      </c>
      <c r="C213" s="113" t="str">
        <f t="shared" si="6"/>
        <v>HH004</v>
      </c>
      <c r="D213" s="113" t="s">
        <v>14031</v>
      </c>
      <c r="E213" s="113" t="str">
        <f t="shared" si="7"/>
        <v>Aqua 0,5L</v>
      </c>
    </row>
    <row r="214" spans="1:5" x14ac:dyDescent="0.3">
      <c r="A214" s="122" t="s">
        <v>11149</v>
      </c>
      <c r="B214" s="122" t="s">
        <v>11150</v>
      </c>
      <c r="C214" s="113" t="str">
        <f t="shared" si="6"/>
        <v>HH005</v>
      </c>
      <c r="D214" s="113" t="s">
        <v>14032</v>
      </c>
      <c r="E214" s="113" t="str">
        <f t="shared" si="7"/>
        <v>Aqua 1,5L</v>
      </c>
    </row>
    <row r="215" spans="1:5" x14ac:dyDescent="0.3">
      <c r="A215" s="122" t="s">
        <v>11151</v>
      </c>
      <c r="B215" s="122" t="s">
        <v>11152</v>
      </c>
      <c r="C215" s="113" t="str">
        <f t="shared" si="6"/>
        <v>HH006</v>
      </c>
      <c r="D215" s="113" t="s">
        <v>11152</v>
      </c>
      <c r="E215" s="113" t="str">
        <f t="shared" si="7"/>
        <v>Dr Thanh</v>
      </c>
    </row>
    <row r="216" spans="1:5" x14ac:dyDescent="0.3">
      <c r="A216" s="122" t="s">
        <v>11153</v>
      </c>
      <c r="B216" s="122" t="s">
        <v>11154</v>
      </c>
      <c r="C216" s="113" t="str">
        <f t="shared" si="6"/>
        <v>HH007</v>
      </c>
      <c r="D216" s="113" t="s">
        <v>11154</v>
      </c>
      <c r="E216" s="113" t="str">
        <f t="shared" si="7"/>
        <v>247</v>
      </c>
    </row>
    <row r="217" spans="1:5" x14ac:dyDescent="0.3">
      <c r="A217" s="122" t="s">
        <v>11155</v>
      </c>
      <c r="B217" s="122" t="s">
        <v>11156</v>
      </c>
      <c r="C217" s="113" t="str">
        <f t="shared" si="6"/>
        <v>HH008</v>
      </c>
      <c r="D217" s="113" t="s">
        <v>11156</v>
      </c>
      <c r="E217" s="113" t="str">
        <f t="shared" si="7"/>
        <v>Chanh muối 360</v>
      </c>
    </row>
    <row r="218" spans="1:5" x14ac:dyDescent="0.3">
      <c r="A218" s="122" t="s">
        <v>11157</v>
      </c>
      <c r="B218" s="122" t="s">
        <v>11158</v>
      </c>
      <c r="C218" s="113" t="str">
        <f t="shared" si="6"/>
        <v>HH009</v>
      </c>
      <c r="D218" s="113" t="s">
        <v>11158</v>
      </c>
      <c r="E218" s="113" t="str">
        <f t="shared" si="7"/>
        <v>Trà xanh không độ</v>
      </c>
    </row>
    <row r="219" spans="1:5" x14ac:dyDescent="0.3">
      <c r="A219" s="122" t="s">
        <v>11159</v>
      </c>
      <c r="B219" s="122" t="s">
        <v>11160</v>
      </c>
      <c r="C219" s="113" t="str">
        <f t="shared" si="6"/>
        <v>HH010</v>
      </c>
      <c r="D219" s="113" t="s">
        <v>11160</v>
      </c>
      <c r="E219" s="113" t="str">
        <f t="shared" si="7"/>
        <v>Nước cam</v>
      </c>
    </row>
    <row r="220" spans="1:5" x14ac:dyDescent="0.3">
      <c r="A220" s="122" t="s">
        <v>11161</v>
      </c>
      <c r="B220" s="122" t="s">
        <v>11162</v>
      </c>
      <c r="C220" s="113" t="str">
        <f t="shared" si="6"/>
        <v>HH011</v>
      </c>
      <c r="D220" s="113" t="s">
        <v>11162</v>
      </c>
      <c r="E220" s="113" t="str">
        <f t="shared" si="7"/>
        <v>Nước khoáng Quang Hanh</v>
      </c>
    </row>
    <row r="221" spans="1:5" x14ac:dyDescent="0.3">
      <c r="A221" s="122" t="s">
        <v>11163</v>
      </c>
      <c r="B221" s="122" t="s">
        <v>11164</v>
      </c>
      <c r="C221" s="113" t="str">
        <f t="shared" si="6"/>
        <v>HH012</v>
      </c>
      <c r="D221" s="113" t="s">
        <v>11164</v>
      </c>
      <c r="E221" s="113" t="str">
        <f t="shared" si="7"/>
        <v>Revive</v>
      </c>
    </row>
    <row r="222" spans="1:5" x14ac:dyDescent="0.3">
      <c r="A222" s="122" t="s">
        <v>11165</v>
      </c>
      <c r="B222" s="122" t="s">
        <v>11166</v>
      </c>
      <c r="C222" s="113" t="str">
        <f t="shared" si="6"/>
        <v>HH013</v>
      </c>
      <c r="D222" s="113" t="s">
        <v>11166</v>
      </c>
      <c r="E222" s="113" t="str">
        <f t="shared" si="7"/>
        <v>Bia chai Hà Nội</v>
      </c>
    </row>
    <row r="223" spans="1:5" x14ac:dyDescent="0.3">
      <c r="A223" s="122" t="s">
        <v>11167</v>
      </c>
      <c r="B223" s="122" t="s">
        <v>11168</v>
      </c>
      <c r="C223" s="113" t="str">
        <f t="shared" si="6"/>
        <v>HH014</v>
      </c>
      <c r="D223" s="113" t="s">
        <v>11168</v>
      </c>
      <c r="E223" s="113" t="str">
        <f t="shared" si="7"/>
        <v>Bia 333</v>
      </c>
    </row>
    <row r="224" spans="1:5" x14ac:dyDescent="0.3">
      <c r="A224" s="122" t="s">
        <v>11169</v>
      </c>
      <c r="B224" s="122" t="s">
        <v>11170</v>
      </c>
      <c r="C224" s="113" t="str">
        <f t="shared" si="6"/>
        <v>HH015</v>
      </c>
      <c r="D224" s="113" t="s">
        <v>11170</v>
      </c>
      <c r="E224" s="113" t="str">
        <f t="shared" si="7"/>
        <v>Thuốc lá Thăng Long</v>
      </c>
    </row>
    <row r="225" spans="1:5" x14ac:dyDescent="0.3">
      <c r="A225" s="122" t="s">
        <v>11171</v>
      </c>
      <c r="B225" s="122" t="s">
        <v>11172</v>
      </c>
      <c r="C225" s="113" t="str">
        <f t="shared" si="6"/>
        <v>HH016</v>
      </c>
      <c r="D225" s="113" t="s">
        <v>11172</v>
      </c>
      <c r="E225" s="113" t="str">
        <f t="shared" si="7"/>
        <v>Thuốc lá Vina</v>
      </c>
    </row>
    <row r="226" spans="1:5" x14ac:dyDescent="0.3">
      <c r="A226" s="122" t="s">
        <v>11173</v>
      </c>
      <c r="B226" s="122" t="s">
        <v>11174</v>
      </c>
      <c r="C226" s="113" t="str">
        <f t="shared" si="6"/>
        <v>HH017</v>
      </c>
      <c r="D226" s="113" t="s">
        <v>11174</v>
      </c>
      <c r="E226" s="113" t="str">
        <f t="shared" si="7"/>
        <v>Thuốc lá Mèo</v>
      </c>
    </row>
    <row r="227" spans="1:5" x14ac:dyDescent="0.3">
      <c r="A227" s="122" t="s">
        <v>11175</v>
      </c>
      <c r="B227" s="122" t="s">
        <v>11176</v>
      </c>
      <c r="C227" s="113" t="str">
        <f t="shared" si="6"/>
        <v>HH018</v>
      </c>
      <c r="D227" s="113" t="s">
        <v>11176</v>
      </c>
      <c r="E227" s="113" t="str">
        <f t="shared" si="7"/>
        <v>Thuốc lá 555</v>
      </c>
    </row>
    <row r="228" spans="1:5" x14ac:dyDescent="0.3">
      <c r="A228" s="122" t="s">
        <v>11177</v>
      </c>
      <c r="B228" s="122" t="s">
        <v>11178</v>
      </c>
      <c r="C228" s="113" t="str">
        <f t="shared" si="6"/>
        <v>HH019</v>
      </c>
      <c r="D228" s="113" t="s">
        <v>11178</v>
      </c>
      <c r="E228" s="113" t="str">
        <f t="shared" si="7"/>
        <v>Thuốc lá Ngựa</v>
      </c>
    </row>
    <row r="229" spans="1:5" x14ac:dyDescent="0.3">
      <c r="A229" s="122" t="s">
        <v>11179</v>
      </c>
      <c r="B229" s="122" t="s">
        <v>11180</v>
      </c>
      <c r="C229" s="113" t="str">
        <f t="shared" si="6"/>
        <v>HH020</v>
      </c>
      <c r="D229" s="113" t="s">
        <v>11180</v>
      </c>
      <c r="E229" s="113" t="str">
        <f t="shared" si="7"/>
        <v>Thẻ Điện Thoại</v>
      </c>
    </row>
    <row r="230" spans="1:5" x14ac:dyDescent="0.3">
      <c r="A230" s="122" t="s">
        <v>11181</v>
      </c>
      <c r="B230" s="122" t="s">
        <v>11182</v>
      </c>
      <c r="C230" s="113" t="str">
        <f t="shared" si="6"/>
        <v>HH021</v>
      </c>
      <c r="D230" s="113" t="s">
        <v>11182</v>
      </c>
      <c r="E230" s="113" t="str">
        <f t="shared" si="7"/>
        <v>Trà Olong (Matcha)</v>
      </c>
    </row>
    <row r="231" spans="1:5" x14ac:dyDescent="0.3">
      <c r="A231" s="122" t="s">
        <v>11183</v>
      </c>
      <c r="B231" s="122" t="s">
        <v>11184</v>
      </c>
      <c r="C231" s="113" t="str">
        <f t="shared" si="6"/>
        <v>HH022</v>
      </c>
      <c r="D231" s="113" t="s">
        <v>11184</v>
      </c>
      <c r="E231" s="113" t="str">
        <f t="shared" si="7"/>
        <v>7 Up</v>
      </c>
    </row>
    <row r="232" spans="1:5" x14ac:dyDescent="0.3">
      <c r="A232" s="122" t="s">
        <v>11185</v>
      </c>
      <c r="B232" s="122" t="s">
        <v>11186</v>
      </c>
      <c r="C232" s="113" t="str">
        <f t="shared" si="6"/>
        <v>HH023</v>
      </c>
      <c r="D232" s="113" t="s">
        <v>11186</v>
      </c>
      <c r="E232" s="113" t="str">
        <f t="shared" si="7"/>
        <v>Cocacola lon</v>
      </c>
    </row>
    <row r="233" spans="1:5" x14ac:dyDescent="0.3">
      <c r="A233" s="122" t="s">
        <v>11187</v>
      </c>
      <c r="B233" s="122" t="s">
        <v>11188</v>
      </c>
      <c r="C233" s="113" t="str">
        <f t="shared" si="6"/>
        <v>HH024</v>
      </c>
      <c r="D233" s="113" t="s">
        <v>11188</v>
      </c>
      <c r="E233" s="113" t="str">
        <f t="shared" si="7"/>
        <v>Kẹo Cao Su</v>
      </c>
    </row>
    <row r="234" spans="1:5" x14ac:dyDescent="0.3">
      <c r="A234" s="122" t="s">
        <v>11189</v>
      </c>
      <c r="B234" s="122" t="s">
        <v>11190</v>
      </c>
      <c r="C234" s="113" t="str">
        <f t="shared" si="6"/>
        <v>HH025</v>
      </c>
      <c r="D234" s="113" t="s">
        <v>14033</v>
      </c>
      <c r="E234" s="113" t="str">
        <f t="shared" si="7"/>
        <v>Cafe bột.</v>
      </c>
    </row>
    <row r="235" spans="1:5" x14ac:dyDescent="0.3">
      <c r="A235" s="122" t="s">
        <v>11191</v>
      </c>
      <c r="B235" s="122" t="s">
        <v>11192</v>
      </c>
      <c r="C235" s="113" t="str">
        <f t="shared" si="6"/>
        <v>HH026</v>
      </c>
      <c r="D235" s="113" t="s">
        <v>11192</v>
      </c>
      <c r="E235" s="113" t="str">
        <f t="shared" si="7"/>
        <v>Sơn A300</v>
      </c>
    </row>
    <row r="236" spans="1:5" x14ac:dyDescent="0.3">
      <c r="A236" s="122" t="s">
        <v>11193</v>
      </c>
      <c r="B236" s="122" t="s">
        <v>11194</v>
      </c>
      <c r="C236" s="113" t="str">
        <f t="shared" si="6"/>
        <v>HH027</v>
      </c>
      <c r="D236" s="113" t="s">
        <v>14034</v>
      </c>
      <c r="E236" s="113" t="str">
        <f t="shared" si="7"/>
        <v>Sơn HP 0,5 Lít đỏ</v>
      </c>
    </row>
    <row r="237" spans="1:5" x14ac:dyDescent="0.3">
      <c r="A237" s="122" t="s">
        <v>11195</v>
      </c>
      <c r="B237" s="122" t="s">
        <v>11196</v>
      </c>
      <c r="C237" s="113" t="str">
        <f t="shared" si="6"/>
        <v>HH028</v>
      </c>
      <c r="D237" s="113" t="s">
        <v>14035</v>
      </c>
      <c r="E237" s="113" t="str">
        <f t="shared" si="7"/>
        <v>Sơn HP 0,5 Lít xanh lá</v>
      </c>
    </row>
    <row r="238" spans="1:5" x14ac:dyDescent="0.3">
      <c r="A238" s="122" t="s">
        <v>11197</v>
      </c>
      <c r="B238" s="122" t="s">
        <v>11198</v>
      </c>
      <c r="C238" s="113" t="str">
        <f t="shared" si="6"/>
        <v>HH029</v>
      </c>
      <c r="D238" s="113" t="s">
        <v>11198</v>
      </c>
      <c r="E238" s="113" t="str">
        <f t="shared" si="7"/>
        <v>Chổi nhựa vàng nhỏ</v>
      </c>
    </row>
    <row r="239" spans="1:5" x14ac:dyDescent="0.3">
      <c r="A239" s="122" t="s">
        <v>11199</v>
      </c>
      <c r="B239" s="122" t="s">
        <v>11200</v>
      </c>
      <c r="C239" s="113" t="str">
        <f t="shared" si="6"/>
        <v>HH030</v>
      </c>
      <c r="D239" s="113" t="s">
        <v>11200</v>
      </c>
      <c r="E239" s="113" t="str">
        <f t="shared" si="7"/>
        <v>Chổi nhựa vàng lớn</v>
      </c>
    </row>
    <row r="240" spans="1:5" x14ac:dyDescent="0.3">
      <c r="A240" s="122" t="s">
        <v>11201</v>
      </c>
      <c r="B240" s="122" t="s">
        <v>11202</v>
      </c>
      <c r="C240" s="113" t="str">
        <f t="shared" si="6"/>
        <v>HH031</v>
      </c>
      <c r="D240" s="113" t="s">
        <v>11202</v>
      </c>
      <c r="E240" s="113" t="str">
        <f t="shared" si="7"/>
        <v>Thước dây 5m</v>
      </c>
    </row>
    <row r="241" spans="1:5" x14ac:dyDescent="0.3">
      <c r="A241" s="122" t="s">
        <v>11203</v>
      </c>
      <c r="B241" s="122" t="s">
        <v>11204</v>
      </c>
      <c r="C241" s="113" t="str">
        <f t="shared" si="6"/>
        <v>HH032</v>
      </c>
      <c r="D241" s="113" t="s">
        <v>11204</v>
      </c>
      <c r="E241" s="113" t="str">
        <f t="shared" si="7"/>
        <v>Thước dây 10m</v>
      </c>
    </row>
    <row r="242" spans="1:5" x14ac:dyDescent="0.3">
      <c r="A242" s="122" t="s">
        <v>11205</v>
      </c>
      <c r="B242" s="122" t="s">
        <v>11206</v>
      </c>
      <c r="C242" s="113" t="str">
        <f t="shared" si="6"/>
        <v>HH033</v>
      </c>
      <c r="D242" s="113" t="s">
        <v>11206</v>
      </c>
      <c r="E242" s="113" t="str">
        <f t="shared" si="7"/>
        <v>Sữa Fami</v>
      </c>
    </row>
    <row r="243" spans="1:5" x14ac:dyDescent="0.3">
      <c r="A243" s="122" t="s">
        <v>11207</v>
      </c>
      <c r="B243" s="122" t="s">
        <v>11208</v>
      </c>
      <c r="C243" s="113" t="str">
        <f t="shared" si="6"/>
        <v>HH034</v>
      </c>
      <c r="D243" s="113" t="s">
        <v>11208</v>
      </c>
      <c r="E243" s="113" t="str">
        <f t="shared" si="7"/>
        <v>MD</v>
      </c>
    </row>
    <row r="244" spans="1:5" x14ac:dyDescent="0.3">
      <c r="A244" s="122" t="s">
        <v>11209</v>
      </c>
      <c r="B244" s="122" t="s">
        <v>11210</v>
      </c>
      <c r="C244" s="113" t="str">
        <f t="shared" si="6"/>
        <v>HH035</v>
      </c>
      <c r="D244" s="113" t="s">
        <v>11210</v>
      </c>
      <c r="E244" s="113" t="str">
        <f t="shared" si="7"/>
        <v>Bút TQ số 8</v>
      </c>
    </row>
    <row r="245" spans="1:5" x14ac:dyDescent="0.3">
      <c r="A245" s="122" t="s">
        <v>11211</v>
      </c>
      <c r="B245" s="122" t="s">
        <v>11212</v>
      </c>
      <c r="C245" s="113" t="str">
        <f t="shared" si="6"/>
        <v>HH036</v>
      </c>
      <c r="D245" s="113" t="s">
        <v>11212</v>
      </c>
      <c r="E245" s="113" t="str">
        <f t="shared" si="7"/>
        <v>Bàn chải có cán Sài Gòn bé</v>
      </c>
    </row>
    <row r="246" spans="1:5" x14ac:dyDescent="0.3">
      <c r="A246" s="122" t="s">
        <v>11213</v>
      </c>
      <c r="B246" s="122" t="s">
        <v>11214</v>
      </c>
      <c r="C246" s="113" t="str">
        <f t="shared" si="6"/>
        <v>HH037</v>
      </c>
      <c r="D246" s="113" t="s">
        <v>11214</v>
      </c>
      <c r="E246" s="113" t="str">
        <f t="shared" si="7"/>
        <v>Sơn Nhũ</v>
      </c>
    </row>
    <row r="247" spans="1:5" x14ac:dyDescent="0.3">
      <c r="A247" s="122" t="s">
        <v>11215</v>
      </c>
      <c r="B247" s="122" t="s">
        <v>11216</v>
      </c>
      <c r="C247" s="113" t="str">
        <f t="shared" si="6"/>
        <v>HH038</v>
      </c>
      <c r="D247" s="113" t="s">
        <v>11216</v>
      </c>
      <c r="E247" s="113" t="str">
        <f t="shared" si="7"/>
        <v>Thuốc lá Thăng Long (loại mới)</v>
      </c>
    </row>
    <row r="248" spans="1:5" x14ac:dyDescent="0.3">
      <c r="A248" s="122" t="s">
        <v>11217</v>
      </c>
      <c r="B248" s="122" t="s">
        <v>11218</v>
      </c>
      <c r="C248" s="113" t="str">
        <f t="shared" si="6"/>
        <v>HH039</v>
      </c>
      <c r="D248" s="113" t="s">
        <v>11218</v>
      </c>
      <c r="E248" s="113" t="str">
        <f t="shared" si="7"/>
        <v>Lavi</v>
      </c>
    </row>
    <row r="249" spans="1:5" x14ac:dyDescent="0.3">
      <c r="A249" s="122" t="s">
        <v>11219</v>
      </c>
      <c r="B249" s="122" t="s">
        <v>11220</v>
      </c>
      <c r="C249" s="113" t="str">
        <f t="shared" si="6"/>
        <v>HH040</v>
      </c>
      <c r="D249" s="113" t="s">
        <v>11220</v>
      </c>
      <c r="E249" s="113" t="str">
        <f t="shared" si="7"/>
        <v>Dasan</v>
      </c>
    </row>
    <row r="250" spans="1:5" x14ac:dyDescent="0.3">
      <c r="A250" s="122" t="s">
        <v>11221</v>
      </c>
      <c r="B250" s="122" t="s">
        <v>11222</v>
      </c>
      <c r="C250" s="113" t="str">
        <f t="shared" si="6"/>
        <v>HH041</v>
      </c>
      <c r="D250" s="113" t="s">
        <v>11222</v>
      </c>
      <c r="E250" s="113" t="str">
        <f t="shared" si="7"/>
        <v>Nutri</v>
      </c>
    </row>
    <row r="251" spans="1:5" x14ac:dyDescent="0.3">
      <c r="A251" s="122" t="s">
        <v>11223</v>
      </c>
      <c r="B251" s="122" t="s">
        <v>11224</v>
      </c>
      <c r="C251" s="113" t="str">
        <f t="shared" si="6"/>
        <v>HH042</v>
      </c>
      <c r="D251" s="113" t="s">
        <v>11224</v>
      </c>
      <c r="E251" s="113" t="str">
        <f t="shared" si="7"/>
        <v>Cocacola chai nhựa</v>
      </c>
    </row>
    <row r="252" spans="1:5" x14ac:dyDescent="0.3">
      <c r="A252" s="122" t="s">
        <v>11225</v>
      </c>
      <c r="B252" s="122" t="s">
        <v>11226</v>
      </c>
      <c r="C252" s="113" t="str">
        <f t="shared" si="6"/>
        <v>HH043</v>
      </c>
      <c r="D252" s="113" t="s">
        <v>11226</v>
      </c>
      <c r="E252" s="113" t="str">
        <f t="shared" si="7"/>
        <v>Nước Yến</v>
      </c>
    </row>
    <row r="253" spans="1:5" x14ac:dyDescent="0.3">
      <c r="A253" s="122" t="s">
        <v>11227</v>
      </c>
      <c r="B253" s="122" t="s">
        <v>11228</v>
      </c>
      <c r="C253" s="113" t="str">
        <f t="shared" si="6"/>
        <v>HH044</v>
      </c>
      <c r="D253" s="113" t="s">
        <v>11228</v>
      </c>
      <c r="E253" s="113" t="str">
        <f t="shared" si="7"/>
        <v>Sữa đậu</v>
      </c>
    </row>
    <row r="254" spans="1:5" x14ac:dyDescent="0.3">
      <c r="A254" s="122" t="s">
        <v>11229</v>
      </c>
      <c r="B254" s="122" t="s">
        <v>11230</v>
      </c>
      <c r="C254" s="113" t="str">
        <f t="shared" si="6"/>
        <v>HH045</v>
      </c>
      <c r="D254" s="113" t="s">
        <v>11230</v>
      </c>
      <c r="E254" s="113" t="str">
        <f t="shared" si="7"/>
        <v>Nước bí đao</v>
      </c>
    </row>
    <row r="255" spans="1:5" x14ac:dyDescent="0.3">
      <c r="A255" s="122" t="s">
        <v>11231</v>
      </c>
      <c r="B255" s="122" t="s">
        <v>11232</v>
      </c>
      <c r="C255" s="113" t="str">
        <f t="shared" si="6"/>
        <v>HH046</v>
      </c>
      <c r="D255" s="113" t="s">
        <v>11232</v>
      </c>
      <c r="E255" s="113" t="str">
        <f t="shared" si="7"/>
        <v>Aquarius</v>
      </c>
    </row>
    <row r="256" spans="1:5" x14ac:dyDescent="0.3">
      <c r="A256" s="122" t="s">
        <v>11233</v>
      </c>
      <c r="B256" s="122" t="s">
        <v>11234</v>
      </c>
      <c r="C256" s="113" t="str">
        <f t="shared" si="6"/>
        <v>HH047</v>
      </c>
      <c r="D256" s="113" t="s">
        <v>11234</v>
      </c>
      <c r="E256" s="113" t="str">
        <f t="shared" si="7"/>
        <v>C2</v>
      </c>
    </row>
    <row r="257" spans="1:5" x14ac:dyDescent="0.3">
      <c r="A257" s="122" t="s">
        <v>11235</v>
      </c>
      <c r="B257" s="122" t="s">
        <v>11236</v>
      </c>
      <c r="C257" s="113" t="str">
        <f t="shared" si="6"/>
        <v>HH048</v>
      </c>
      <c r="D257" s="113" t="s">
        <v>11236</v>
      </c>
      <c r="E257" s="113" t="str">
        <f t="shared" si="7"/>
        <v>Latte</v>
      </c>
    </row>
    <row r="258" spans="1:5" x14ac:dyDescent="0.3">
      <c r="A258" s="122" t="s">
        <v>11237</v>
      </c>
      <c r="B258" s="122" t="s">
        <v>11238</v>
      </c>
      <c r="C258" s="113" t="str">
        <f t="shared" si="6"/>
        <v>HH049</v>
      </c>
      <c r="D258" s="113" t="s">
        <v>11238</v>
      </c>
      <c r="E258" s="113" t="str">
        <f t="shared" si="7"/>
        <v>IC đào</v>
      </c>
    </row>
    <row r="259" spans="1:5" x14ac:dyDescent="0.3">
      <c r="A259" s="122" t="s">
        <v>11239</v>
      </c>
      <c r="B259" s="122" t="s">
        <v>11240</v>
      </c>
      <c r="C259" s="113" t="str">
        <f t="shared" si="6"/>
        <v>HH050</v>
      </c>
      <c r="D259" s="113" t="s">
        <v>11240</v>
      </c>
      <c r="E259" s="113" t="str">
        <f t="shared" si="7"/>
        <v>Sprite</v>
      </c>
    </row>
    <row r="260" spans="1:5" x14ac:dyDescent="0.3">
      <c r="A260" s="122" t="s">
        <v>11241</v>
      </c>
      <c r="B260" s="122" t="s">
        <v>11242</v>
      </c>
      <c r="C260" s="113" t="str">
        <f t="shared" ref="C260:C323" si="8">+A260</f>
        <v>HH051</v>
      </c>
      <c r="D260" s="113" t="s">
        <v>11242</v>
      </c>
      <c r="E260" s="113" t="str">
        <f t="shared" ref="E260:E323" si="9">B260</f>
        <v>Trisisoy</v>
      </c>
    </row>
    <row r="261" spans="1:5" x14ac:dyDescent="0.3">
      <c r="A261" s="122" t="s">
        <v>11243</v>
      </c>
      <c r="B261" s="122" t="s">
        <v>11244</v>
      </c>
      <c r="C261" s="113" t="str">
        <f t="shared" si="8"/>
        <v>HH052</v>
      </c>
      <c r="D261" s="113" t="s">
        <v>11244</v>
      </c>
      <c r="E261" s="113" t="str">
        <f t="shared" si="9"/>
        <v>Bàn chải sắt</v>
      </c>
    </row>
    <row r="262" spans="1:5" x14ac:dyDescent="0.3">
      <c r="A262" s="122" t="s">
        <v>11245</v>
      </c>
      <c r="B262" s="122" t="s">
        <v>11246</v>
      </c>
      <c r="C262" s="113" t="str">
        <f t="shared" si="8"/>
        <v>HH053</v>
      </c>
      <c r="D262" s="113" t="s">
        <v>11246</v>
      </c>
      <c r="E262" s="113" t="str">
        <f t="shared" si="9"/>
        <v>Chổi 3VM</v>
      </c>
    </row>
    <row r="263" spans="1:5" x14ac:dyDescent="0.3">
      <c r="A263" s="122" t="s">
        <v>11247</v>
      </c>
      <c r="B263" s="122" t="s">
        <v>11248</v>
      </c>
      <c r="C263" s="113" t="str">
        <f t="shared" si="8"/>
        <v>HH054</v>
      </c>
      <c r="D263" s="113" t="s">
        <v>11248</v>
      </c>
      <c r="E263" s="113" t="str">
        <f t="shared" si="9"/>
        <v>Chổi 2VM</v>
      </c>
    </row>
    <row r="264" spans="1:5" x14ac:dyDescent="0.3">
      <c r="A264" s="122" t="s">
        <v>11249</v>
      </c>
      <c r="B264" s="122" t="s">
        <v>11250</v>
      </c>
      <c r="C264" s="113" t="str">
        <f t="shared" si="8"/>
        <v>HH055</v>
      </c>
      <c r="D264" s="113" t="s">
        <v>11250</v>
      </c>
      <c r="E264" s="113" t="str">
        <f t="shared" si="9"/>
        <v>Thước 20m</v>
      </c>
    </row>
    <row r="265" spans="1:5" x14ac:dyDescent="0.3">
      <c r="A265" s="122" t="s">
        <v>11251</v>
      </c>
      <c r="B265" s="122" t="s">
        <v>11252</v>
      </c>
      <c r="C265" s="113" t="str">
        <f t="shared" si="8"/>
        <v>HH056</v>
      </c>
      <c r="D265" s="113" t="s">
        <v>11252</v>
      </c>
      <c r="E265" s="113" t="str">
        <f t="shared" si="9"/>
        <v>Thuốc lá Man</v>
      </c>
    </row>
    <row r="266" spans="1:5" x14ac:dyDescent="0.3">
      <c r="A266" s="122" t="s">
        <v>11253</v>
      </c>
      <c r="B266" s="122" t="s">
        <v>11254</v>
      </c>
      <c r="C266" s="113" t="str">
        <f t="shared" si="8"/>
        <v>HH057</v>
      </c>
      <c r="D266" s="113" t="s">
        <v>11254</v>
      </c>
      <c r="E266" s="113" t="str">
        <f t="shared" si="9"/>
        <v>Nước củ quả ép</v>
      </c>
    </row>
    <row r="267" spans="1:5" x14ac:dyDescent="0.3">
      <c r="A267" s="122" t="s">
        <v>11255</v>
      </c>
      <c r="B267" s="122" t="s">
        <v>11256</v>
      </c>
      <c r="C267" s="113" t="str">
        <f t="shared" si="8"/>
        <v>HH058</v>
      </c>
      <c r="D267" s="113" t="s">
        <v>11256</v>
      </c>
      <c r="E267" s="113" t="str">
        <f t="shared" si="9"/>
        <v>Găng bạt</v>
      </c>
    </row>
    <row r="268" spans="1:5" x14ac:dyDescent="0.3">
      <c r="A268" s="122" t="s">
        <v>11257</v>
      </c>
      <c r="B268" s="122" t="s">
        <v>11258</v>
      </c>
      <c r="C268" s="113" t="str">
        <f t="shared" si="8"/>
        <v>HH059</v>
      </c>
      <c r="D268" s="113" t="s">
        <v>11258</v>
      </c>
      <c r="E268" s="113" t="str">
        <f t="shared" si="9"/>
        <v>Găng sợi ngòi</v>
      </c>
    </row>
    <row r="269" spans="1:5" x14ac:dyDescent="0.3">
      <c r="A269" s="122" t="s">
        <v>11259</v>
      </c>
      <c r="B269" s="122" t="s">
        <v>11260</v>
      </c>
      <c r="C269" s="113" t="str">
        <f t="shared" si="8"/>
        <v>HH060</v>
      </c>
      <c r="D269" s="113" t="s">
        <v>11260</v>
      </c>
      <c r="E269" s="113" t="str">
        <f t="shared" si="9"/>
        <v>Khẩu trang đẹp</v>
      </c>
    </row>
    <row r="270" spans="1:5" x14ac:dyDescent="0.3">
      <c r="A270" s="122" t="s">
        <v>11261</v>
      </c>
      <c r="B270" s="122" t="s">
        <v>11262</v>
      </c>
      <c r="C270" s="113" t="str">
        <f t="shared" si="8"/>
        <v>HH061</v>
      </c>
      <c r="D270" s="113" t="s">
        <v>11262</v>
      </c>
      <c r="E270" s="113" t="str">
        <f t="shared" si="9"/>
        <v>Bút vẽ</v>
      </c>
    </row>
    <row r="271" spans="1:5" x14ac:dyDescent="0.3">
      <c r="A271" s="122" t="s">
        <v>11263</v>
      </c>
      <c r="B271" s="122" t="s">
        <v>11264</v>
      </c>
      <c r="C271" s="113" t="str">
        <f t="shared" si="8"/>
        <v>HH062</v>
      </c>
      <c r="D271" s="113" t="s">
        <v>14036</v>
      </c>
      <c r="E271" s="113" t="str">
        <f t="shared" si="9"/>
        <v>Sơn HP 0,5 Lít Cánh Gián</v>
      </c>
    </row>
    <row r="272" spans="1:5" x14ac:dyDescent="0.3">
      <c r="A272" s="122" t="s">
        <v>11265</v>
      </c>
      <c r="B272" s="122" t="s">
        <v>11266</v>
      </c>
      <c r="C272" s="113" t="str">
        <f t="shared" si="8"/>
        <v>HH063</v>
      </c>
      <c r="D272" s="113" t="s">
        <v>14037</v>
      </c>
      <c r="E272" s="113" t="str">
        <f t="shared" si="9"/>
        <v>Chổi 2,5VM</v>
      </c>
    </row>
    <row r="273" spans="1:5" x14ac:dyDescent="0.3">
      <c r="A273" s="122" t="s">
        <v>11267</v>
      </c>
      <c r="B273" s="122" t="s">
        <v>11268</v>
      </c>
      <c r="C273" s="113" t="str">
        <f t="shared" si="8"/>
        <v>HH064</v>
      </c>
      <c r="D273" s="113" t="s">
        <v>11268</v>
      </c>
      <c r="E273" s="113" t="str">
        <f t="shared" si="9"/>
        <v>Nước uống Thái Lan</v>
      </c>
    </row>
    <row r="274" spans="1:5" x14ac:dyDescent="0.3">
      <c r="A274" s="122" t="s">
        <v>11269</v>
      </c>
      <c r="B274" s="122" t="s">
        <v>11270</v>
      </c>
      <c r="C274" s="113" t="str">
        <f t="shared" si="8"/>
        <v>HH065</v>
      </c>
      <c r="D274" s="113" t="s">
        <v>11270</v>
      </c>
      <c r="E274" s="113" t="str">
        <f t="shared" si="9"/>
        <v>Khăn mặt</v>
      </c>
    </row>
    <row r="275" spans="1:5" x14ac:dyDescent="0.3">
      <c r="A275" s="122" t="s">
        <v>11271</v>
      </c>
      <c r="B275" s="122" t="s">
        <v>11272</v>
      </c>
      <c r="C275" s="113" t="str">
        <f t="shared" si="8"/>
        <v>HH066</v>
      </c>
      <c r="D275" s="113" t="s">
        <v>11272</v>
      </c>
      <c r="E275" s="113" t="str">
        <f t="shared" si="9"/>
        <v>Kem đánh răng</v>
      </c>
    </row>
    <row r="276" spans="1:5" x14ac:dyDescent="0.3">
      <c r="A276" s="122" t="s">
        <v>11273</v>
      </c>
      <c r="B276" s="122" t="s">
        <v>11274</v>
      </c>
      <c r="C276" s="113" t="str">
        <f t="shared" si="8"/>
        <v>HH067</v>
      </c>
      <c r="D276" s="113" t="s">
        <v>11274</v>
      </c>
      <c r="E276" s="113" t="str">
        <f t="shared" si="9"/>
        <v>Bàn chải đánh răng</v>
      </c>
    </row>
    <row r="277" spans="1:5" x14ac:dyDescent="0.3">
      <c r="A277" s="122" t="s">
        <v>11275</v>
      </c>
      <c r="B277" s="122" t="s">
        <v>11276</v>
      </c>
      <c r="C277" s="113" t="str">
        <f t="shared" si="8"/>
        <v>HH068</v>
      </c>
      <c r="D277" s="113" t="s">
        <v>11276</v>
      </c>
      <c r="E277" s="113" t="str">
        <f t="shared" si="9"/>
        <v>Khăn ướt</v>
      </c>
    </row>
    <row r="278" spans="1:5" x14ac:dyDescent="0.3">
      <c r="A278" s="122" t="s">
        <v>11277</v>
      </c>
      <c r="B278" s="122" t="s">
        <v>11278</v>
      </c>
      <c r="C278" s="113" t="str">
        <f t="shared" si="8"/>
        <v>HH069</v>
      </c>
      <c r="D278" s="113" t="s">
        <v>11278</v>
      </c>
      <c r="E278" s="113" t="str">
        <f t="shared" si="9"/>
        <v>Găng tráng nhựa</v>
      </c>
    </row>
    <row r="279" spans="1:5" x14ac:dyDescent="0.3">
      <c r="A279" s="122" t="s">
        <v>11279</v>
      </c>
      <c r="B279" s="122" t="s">
        <v>11280</v>
      </c>
      <c r="C279" s="113" t="str">
        <f t="shared" si="8"/>
        <v>HH070</v>
      </c>
      <c r="D279" s="113" t="s">
        <v>11280</v>
      </c>
      <c r="E279" s="113" t="str">
        <f t="shared" si="9"/>
        <v>Xà phòng Lifeboy</v>
      </c>
    </row>
    <row r="280" spans="1:5" x14ac:dyDescent="0.3">
      <c r="A280" s="122" t="s">
        <v>11281</v>
      </c>
      <c r="B280" s="122" t="s">
        <v>11282</v>
      </c>
      <c r="C280" s="113" t="str">
        <f t="shared" si="8"/>
        <v>HH071</v>
      </c>
      <c r="D280" s="113" t="s">
        <v>11282</v>
      </c>
      <c r="E280" s="113" t="str">
        <f t="shared" si="9"/>
        <v>Bật Lửa</v>
      </c>
    </row>
    <row r="281" spans="1:5" x14ac:dyDescent="0.3">
      <c r="A281" s="122" t="s">
        <v>11283</v>
      </c>
      <c r="B281" s="122" t="s">
        <v>11284</v>
      </c>
      <c r="C281" s="113" t="str">
        <f t="shared" si="8"/>
        <v>HH072</v>
      </c>
      <c r="D281" s="113" t="s">
        <v>14038</v>
      </c>
      <c r="E281" s="113" t="str">
        <f t="shared" si="9"/>
        <v>Nhân trần, quả La Hán</v>
      </c>
    </row>
    <row r="282" spans="1:5" x14ac:dyDescent="0.3">
      <c r="A282" s="122" t="s">
        <v>11285</v>
      </c>
      <c r="B282" s="122" t="s">
        <v>11286</v>
      </c>
      <c r="C282" s="113" t="str">
        <f t="shared" si="8"/>
        <v>HH073</v>
      </c>
      <c r="D282" s="113" t="s">
        <v>11286</v>
      </c>
      <c r="E282" s="113" t="str">
        <f t="shared" si="9"/>
        <v>Thuốc Lào</v>
      </c>
    </row>
    <row r="283" spans="1:5" x14ac:dyDescent="0.3">
      <c r="A283" s="122" t="s">
        <v>11287</v>
      </c>
      <c r="B283" s="122" t="s">
        <v>11288</v>
      </c>
      <c r="C283" s="113" t="str">
        <f t="shared" si="8"/>
        <v>HH074</v>
      </c>
      <c r="D283" s="113" t="s">
        <v>11288</v>
      </c>
      <c r="E283" s="113" t="str">
        <f t="shared" si="9"/>
        <v>Chè đắng</v>
      </c>
    </row>
    <row r="284" spans="1:5" x14ac:dyDescent="0.3">
      <c r="A284" s="122" t="s">
        <v>11289</v>
      </c>
      <c r="B284" s="122" t="s">
        <v>11290</v>
      </c>
      <c r="C284" s="113" t="str">
        <f t="shared" si="8"/>
        <v>HH075</v>
      </c>
      <c r="D284" s="113" t="s">
        <v>11290</v>
      </c>
      <c r="E284" s="113" t="str">
        <f t="shared" si="9"/>
        <v>Sữa đặc</v>
      </c>
    </row>
    <row r="285" spans="1:5" x14ac:dyDescent="0.3">
      <c r="A285" s="122" t="s">
        <v>11291</v>
      </c>
      <c r="B285" s="122" t="s">
        <v>11292</v>
      </c>
      <c r="C285" s="113" t="str">
        <f t="shared" si="8"/>
        <v>HH076</v>
      </c>
      <c r="D285" s="113" t="s">
        <v>11292</v>
      </c>
      <c r="E285" s="113" t="str">
        <f t="shared" si="9"/>
        <v>Bút bi</v>
      </c>
    </row>
    <row r="286" spans="1:5" x14ac:dyDescent="0.3">
      <c r="A286" s="122" t="s">
        <v>11293</v>
      </c>
      <c r="B286" s="122" t="s">
        <v>11294</v>
      </c>
      <c r="C286" s="113" t="str">
        <f t="shared" si="8"/>
        <v>HH077</v>
      </c>
      <c r="D286" s="113" t="s">
        <v>11294</v>
      </c>
      <c r="E286" s="113" t="str">
        <f t="shared" si="9"/>
        <v>Phấn sáp</v>
      </c>
    </row>
    <row r="287" spans="1:5" x14ac:dyDescent="0.3">
      <c r="A287" s="122" t="s">
        <v>11295</v>
      </c>
      <c r="B287" s="122" t="s">
        <v>11296</v>
      </c>
      <c r="C287" s="113" t="str">
        <f t="shared" si="8"/>
        <v>HH078</v>
      </c>
      <c r="D287" s="113" t="s">
        <v>11296</v>
      </c>
      <c r="E287" s="113" t="str">
        <f t="shared" si="9"/>
        <v>Chè khô</v>
      </c>
    </row>
    <row r="288" spans="1:5" x14ac:dyDescent="0.3">
      <c r="A288" s="122" t="s">
        <v>11297</v>
      </c>
      <c r="B288" s="122" t="s">
        <v>11298</v>
      </c>
      <c r="C288" s="113" t="str">
        <f t="shared" si="8"/>
        <v>HH079</v>
      </c>
      <c r="D288" s="113" t="s">
        <v>11298</v>
      </c>
      <c r="E288" s="113" t="str">
        <f t="shared" si="9"/>
        <v>Bánh chuối</v>
      </c>
    </row>
    <row r="289" spans="1:5" x14ac:dyDescent="0.3">
      <c r="A289" s="122" t="s">
        <v>11299</v>
      </c>
      <c r="B289" s="122" t="s">
        <v>11300</v>
      </c>
      <c r="C289" s="113" t="str">
        <f t="shared" si="8"/>
        <v>HH080</v>
      </c>
      <c r="D289" s="113" t="s">
        <v>11300</v>
      </c>
      <c r="E289" s="113" t="str">
        <f t="shared" si="9"/>
        <v>Bánh dừa</v>
      </c>
    </row>
    <row r="290" spans="1:5" x14ac:dyDescent="0.3">
      <c r="A290" s="122" t="s">
        <v>11301</v>
      </c>
      <c r="B290" s="122" t="s">
        <v>11302</v>
      </c>
      <c r="C290" s="113" t="str">
        <f t="shared" si="8"/>
        <v>HH081</v>
      </c>
      <c r="D290" s="113" t="s">
        <v>11302</v>
      </c>
      <c r="E290" s="113" t="str">
        <f t="shared" si="9"/>
        <v>Bánh Cosy</v>
      </c>
    </row>
    <row r="291" spans="1:5" x14ac:dyDescent="0.3">
      <c r="A291" s="122" t="s">
        <v>11303</v>
      </c>
      <c r="B291" s="122" t="s">
        <v>11304</v>
      </c>
      <c r="C291" s="113" t="str">
        <f t="shared" si="8"/>
        <v>HH082</v>
      </c>
      <c r="D291" s="113" t="s">
        <v>11304</v>
      </c>
      <c r="E291" s="113" t="str">
        <f t="shared" si="9"/>
        <v>Kẹo lạc</v>
      </c>
    </row>
    <row r="292" spans="1:5" x14ac:dyDescent="0.3">
      <c r="A292" s="122" t="s">
        <v>11305</v>
      </c>
      <c r="B292" s="122" t="s">
        <v>11306</v>
      </c>
      <c r="C292" s="113" t="str">
        <f t="shared" si="8"/>
        <v>HH083</v>
      </c>
      <c r="D292" s="113" t="s">
        <v>11306</v>
      </c>
      <c r="E292" s="113" t="str">
        <f t="shared" si="9"/>
        <v>Lương khô</v>
      </c>
    </row>
    <row r="293" spans="1:5" x14ac:dyDescent="0.3">
      <c r="A293" s="122" t="s">
        <v>11307</v>
      </c>
      <c r="B293" s="122" t="s">
        <v>11308</v>
      </c>
      <c r="C293" s="113" t="str">
        <f t="shared" si="8"/>
        <v>HH084</v>
      </c>
      <c r="D293" s="113" t="s">
        <v>11308</v>
      </c>
      <c r="E293" s="113" t="str">
        <f t="shared" si="9"/>
        <v>Dao cạo</v>
      </c>
    </row>
    <row r="294" spans="1:5" x14ac:dyDescent="0.3">
      <c r="A294" s="122" t="s">
        <v>11309</v>
      </c>
      <c r="B294" s="122" t="s">
        <v>11310</v>
      </c>
      <c r="C294" s="113" t="str">
        <f t="shared" si="8"/>
        <v>HH085</v>
      </c>
      <c r="D294" s="113" t="s">
        <v>11310</v>
      </c>
      <c r="E294" s="113" t="str">
        <f t="shared" si="9"/>
        <v>Bánh mỳ nho</v>
      </c>
    </row>
    <row r="295" spans="1:5" x14ac:dyDescent="0.3">
      <c r="A295" s="122" t="s">
        <v>11311</v>
      </c>
      <c r="B295" s="122" t="s">
        <v>11312</v>
      </c>
      <c r="C295" s="113" t="str">
        <f t="shared" si="8"/>
        <v>HH086</v>
      </c>
      <c r="D295" s="113" t="s">
        <v>11312</v>
      </c>
      <c r="E295" s="113" t="str">
        <f t="shared" si="9"/>
        <v>Nón lá</v>
      </c>
    </row>
    <row r="296" spans="1:5" x14ac:dyDescent="0.3">
      <c r="A296" s="122" t="s">
        <v>11313</v>
      </c>
      <c r="B296" s="122" t="s">
        <v>11314</v>
      </c>
      <c r="C296" s="113" t="str">
        <f t="shared" si="8"/>
        <v>HH087</v>
      </c>
      <c r="D296" s="113" t="s">
        <v>11314</v>
      </c>
      <c r="E296" s="113" t="str">
        <f t="shared" si="9"/>
        <v>Bánh Chocopie</v>
      </c>
    </row>
    <row r="297" spans="1:5" x14ac:dyDescent="0.3">
      <c r="A297" s="122" t="s">
        <v>11315</v>
      </c>
      <c r="B297" s="122" t="s">
        <v>11316</v>
      </c>
      <c r="C297" s="113" t="str">
        <f t="shared" si="8"/>
        <v>HH088</v>
      </c>
      <c r="D297" s="113" t="s">
        <v>11316</v>
      </c>
      <c r="E297" s="113" t="str">
        <f t="shared" si="9"/>
        <v>Cao Sâm</v>
      </c>
    </row>
    <row r="298" spans="1:5" x14ac:dyDescent="0.3">
      <c r="A298" s="122" t="s">
        <v>11317</v>
      </c>
      <c r="B298" s="122" t="s">
        <v>11318</v>
      </c>
      <c r="C298" s="113" t="str">
        <f t="shared" si="8"/>
        <v>HH089</v>
      </c>
      <c r="D298" s="113" t="s">
        <v>11318</v>
      </c>
      <c r="E298" s="113" t="str">
        <f t="shared" si="9"/>
        <v>Keo sữa</v>
      </c>
    </row>
    <row r="299" spans="1:5" x14ac:dyDescent="0.3">
      <c r="A299" s="122" t="s">
        <v>11319</v>
      </c>
      <c r="B299" s="122" t="s">
        <v>11320</v>
      </c>
      <c r="C299" s="113" t="str">
        <f t="shared" si="8"/>
        <v>HH090</v>
      </c>
      <c r="D299" s="113" t="s">
        <v>11320</v>
      </c>
      <c r="E299" s="113" t="str">
        <f t="shared" si="9"/>
        <v>Bay nhỏ</v>
      </c>
    </row>
    <row r="300" spans="1:5" x14ac:dyDescent="0.3">
      <c r="A300" s="122" t="s">
        <v>11321</v>
      </c>
      <c r="B300" s="122" t="s">
        <v>11322</v>
      </c>
      <c r="C300" s="113" t="str">
        <f t="shared" si="8"/>
        <v>HH091</v>
      </c>
      <c r="D300" s="113" t="s">
        <v>11322</v>
      </c>
      <c r="E300" s="113" t="str">
        <f t="shared" si="9"/>
        <v>Thuốc lá Man ngoại</v>
      </c>
    </row>
    <row r="301" spans="1:5" x14ac:dyDescent="0.3">
      <c r="A301" s="122" t="s">
        <v>11323</v>
      </c>
      <c r="B301" s="122" t="s">
        <v>11324</v>
      </c>
      <c r="C301" s="113" t="str">
        <f t="shared" si="8"/>
        <v>HH092</v>
      </c>
      <c r="D301" s="113" t="s">
        <v>14039</v>
      </c>
      <c r="E301" s="113" t="str">
        <f t="shared" si="9"/>
        <v>Dasan 1,5 Lit</v>
      </c>
    </row>
    <row r="302" spans="1:5" x14ac:dyDescent="0.3">
      <c r="A302" s="122" t="s">
        <v>11325</v>
      </c>
      <c r="B302" s="122" t="s">
        <v>11326</v>
      </c>
      <c r="C302" s="113" t="str">
        <f t="shared" si="8"/>
        <v>HH093</v>
      </c>
      <c r="D302" s="113" t="s">
        <v>11326</v>
      </c>
      <c r="E302" s="113" t="str">
        <f t="shared" si="9"/>
        <v>Bả Sơn</v>
      </c>
    </row>
    <row r="303" spans="1:5" x14ac:dyDescent="0.3">
      <c r="A303" s="122" t="s">
        <v>11327</v>
      </c>
      <c r="B303" s="122" t="s">
        <v>11328</v>
      </c>
      <c r="C303" s="113" t="str">
        <f t="shared" si="8"/>
        <v>HH094</v>
      </c>
      <c r="D303" s="113" t="s">
        <v>11328</v>
      </c>
      <c r="E303" s="113" t="str">
        <f t="shared" si="9"/>
        <v>Mũ cối</v>
      </c>
    </row>
    <row r="304" spans="1:5" x14ac:dyDescent="0.3">
      <c r="A304" s="122" t="s">
        <v>11329</v>
      </c>
      <c r="B304" s="122" t="s">
        <v>11330</v>
      </c>
      <c r="C304" s="113" t="str">
        <f t="shared" si="8"/>
        <v>HH095</v>
      </c>
      <c r="D304" s="113" t="s">
        <v>11330</v>
      </c>
      <c r="E304" s="113" t="str">
        <f t="shared" si="9"/>
        <v>Comando</v>
      </c>
    </row>
    <row r="305" spans="1:5" x14ac:dyDescent="0.3">
      <c r="A305" s="122" t="s">
        <v>11331</v>
      </c>
      <c r="B305" s="122" t="s">
        <v>11332</v>
      </c>
      <c r="C305" s="113" t="str">
        <f t="shared" si="8"/>
        <v>HH096</v>
      </c>
      <c r="D305" s="113" t="s">
        <v>11332</v>
      </c>
      <c r="E305" s="113" t="str">
        <f t="shared" si="9"/>
        <v>Áo mưa bộ</v>
      </c>
    </row>
    <row r="306" spans="1:5" x14ac:dyDescent="0.3">
      <c r="A306" s="122" t="s">
        <v>11333</v>
      </c>
      <c r="B306" s="122" t="s">
        <v>11334</v>
      </c>
      <c r="C306" s="113" t="str">
        <f t="shared" si="8"/>
        <v>HH097</v>
      </c>
      <c r="D306" s="113" t="s">
        <v>11334</v>
      </c>
      <c r="E306" s="113" t="str">
        <f t="shared" si="9"/>
        <v>Sấu ngâm</v>
      </c>
    </row>
    <row r="307" spans="1:5" x14ac:dyDescent="0.3">
      <c r="A307" s="122" t="s">
        <v>11335</v>
      </c>
      <c r="B307" s="122" t="s">
        <v>11336</v>
      </c>
      <c r="C307" s="113" t="str">
        <f t="shared" si="8"/>
        <v>HH098</v>
      </c>
      <c r="D307" s="113" t="s">
        <v>11336</v>
      </c>
      <c r="E307" s="113" t="str">
        <f t="shared" si="9"/>
        <v>Lốp xe nâng Solideal-Srilanka 26-25 hiệu LM E3 28PR</v>
      </c>
    </row>
    <row r="308" spans="1:5" x14ac:dyDescent="0.3">
      <c r="A308" s="122" t="s">
        <v>11337</v>
      </c>
      <c r="B308" s="122" t="s">
        <v>11338</v>
      </c>
      <c r="C308" s="113" t="str">
        <f t="shared" si="8"/>
        <v>HH099</v>
      </c>
      <c r="D308" s="113" t="s">
        <v>14040</v>
      </c>
      <c r="E308" s="113" t="str">
        <f t="shared" si="9"/>
        <v>Trà đào, trà chanh</v>
      </c>
    </row>
    <row r="309" spans="1:5" x14ac:dyDescent="0.3">
      <c r="A309" s="122" t="s">
        <v>11339</v>
      </c>
      <c r="B309" s="122" t="s">
        <v>11340</v>
      </c>
      <c r="C309" s="113" t="str">
        <f t="shared" si="8"/>
        <v>HH101</v>
      </c>
      <c r="D309" s="113" t="s">
        <v>11340</v>
      </c>
      <c r="E309" s="113" t="str">
        <f t="shared" si="9"/>
        <v>Khẩu trang mới</v>
      </c>
    </row>
    <row r="310" spans="1:5" x14ac:dyDescent="0.3">
      <c r="A310" s="122" t="s">
        <v>11341</v>
      </c>
      <c r="B310" s="122" t="s">
        <v>11342</v>
      </c>
      <c r="C310" s="113" t="str">
        <f t="shared" si="8"/>
        <v>HH102</v>
      </c>
      <c r="D310" s="113" t="s">
        <v>11342</v>
      </c>
      <c r="E310" s="113" t="str">
        <f t="shared" si="9"/>
        <v>Ve sơn</v>
      </c>
    </row>
    <row r="311" spans="1:5" x14ac:dyDescent="0.3">
      <c r="A311" s="122" t="s">
        <v>11343</v>
      </c>
      <c r="B311" s="122" t="s">
        <v>11344</v>
      </c>
      <c r="C311" s="113" t="str">
        <f t="shared" si="8"/>
        <v>HH103</v>
      </c>
      <c r="D311" s="113" t="s">
        <v>11344</v>
      </c>
      <c r="E311" s="113" t="str">
        <f t="shared" si="9"/>
        <v>Giấy in</v>
      </c>
    </row>
    <row r="312" spans="1:5" x14ac:dyDescent="0.3">
      <c r="A312" s="122" t="s">
        <v>11345</v>
      </c>
      <c r="B312" s="122" t="s">
        <v>11346</v>
      </c>
      <c r="C312" s="113" t="str">
        <f t="shared" si="8"/>
        <v>HH104</v>
      </c>
      <c r="D312" s="113" t="s">
        <v>11346</v>
      </c>
      <c r="E312" s="113" t="str">
        <f t="shared" si="9"/>
        <v>Thuốc lá Thăng Long (xanh)</v>
      </c>
    </row>
    <row r="313" spans="1:5" x14ac:dyDescent="0.3">
      <c r="A313" s="122" t="s">
        <v>11347</v>
      </c>
      <c r="B313" s="122" t="s">
        <v>11348</v>
      </c>
      <c r="C313" s="113" t="str">
        <f t="shared" si="8"/>
        <v>HH106</v>
      </c>
      <c r="D313" s="113" t="s">
        <v>11348</v>
      </c>
      <c r="E313" s="113" t="str">
        <f t="shared" si="9"/>
        <v>Xô nhựa</v>
      </c>
    </row>
    <row r="314" spans="1:5" x14ac:dyDescent="0.3">
      <c r="A314" s="122" t="s">
        <v>11349</v>
      </c>
      <c r="B314" s="122" t="s">
        <v>11350</v>
      </c>
      <c r="C314" s="113" t="str">
        <f t="shared" si="8"/>
        <v>HH107</v>
      </c>
      <c r="D314" s="113" t="s">
        <v>11350</v>
      </c>
      <c r="E314" s="113" t="str">
        <f t="shared" si="9"/>
        <v>Lipton</v>
      </c>
    </row>
    <row r="315" spans="1:5" x14ac:dyDescent="0.3">
      <c r="A315" s="122" t="s">
        <v>11351</v>
      </c>
      <c r="B315" s="122" t="s">
        <v>11352</v>
      </c>
      <c r="C315" s="113" t="str">
        <f t="shared" si="8"/>
        <v>HH108</v>
      </c>
      <c r="D315" s="113" t="s">
        <v>11352</v>
      </c>
      <c r="E315" s="113" t="str">
        <f t="shared" si="9"/>
        <v>Nước sinh hoạt</v>
      </c>
    </row>
    <row r="316" spans="1:5" x14ac:dyDescent="0.3">
      <c r="A316" s="122" t="s">
        <v>11353</v>
      </c>
      <c r="B316" s="122" t="s">
        <v>11354</v>
      </c>
      <c r="C316" s="113" t="str">
        <f t="shared" si="8"/>
        <v>HH109</v>
      </c>
      <c r="D316" s="113" t="s">
        <v>14041</v>
      </c>
      <c r="E316" s="113" t="str">
        <f t="shared" si="9"/>
        <v>Phí thoát, vận hành, xử lý nước sinh hoạt</v>
      </c>
    </row>
    <row r="317" spans="1:5" x14ac:dyDescent="0.3">
      <c r="A317" s="122" t="s">
        <v>11355</v>
      </c>
      <c r="B317" s="122" t="s">
        <v>11356</v>
      </c>
      <c r="C317" s="113" t="str">
        <f t="shared" si="8"/>
        <v>HH110</v>
      </c>
      <c r="D317" s="113" t="s">
        <v>14042</v>
      </c>
      <c r="E317" s="113" t="str">
        <f t="shared" si="9"/>
        <v>Thước 7,5m</v>
      </c>
    </row>
    <row r="318" spans="1:5" x14ac:dyDescent="0.3">
      <c r="A318" s="122" t="s">
        <v>11357</v>
      </c>
      <c r="B318" s="122" t="s">
        <v>11358</v>
      </c>
      <c r="C318" s="113" t="str">
        <f t="shared" si="8"/>
        <v>HK.HT.DKG</v>
      </c>
      <c r="D318" s="113" t="s">
        <v>14043</v>
      </c>
      <c r="E318" s="113" t="str">
        <f t="shared" si="9"/>
        <v>DKG&lt;-&gt;Hương Khê, Hà Tĩnh</v>
      </c>
    </row>
    <row r="319" spans="1:5" x14ac:dyDescent="0.3">
      <c r="A319" s="122" t="s">
        <v>11359</v>
      </c>
      <c r="B319" s="122" t="s">
        <v>11360</v>
      </c>
      <c r="C319" s="113" t="str">
        <f t="shared" si="8"/>
        <v>HK.QN.DKG</v>
      </c>
      <c r="D319" s="113" t="s">
        <v>14044</v>
      </c>
      <c r="E319" s="113" t="str">
        <f t="shared" si="9"/>
        <v>DKG&lt;-&gt;Hà Khẩu, Quảng Ninh</v>
      </c>
    </row>
    <row r="320" spans="1:5" x14ac:dyDescent="0.3">
      <c r="A320" s="122" t="s">
        <v>11361</v>
      </c>
      <c r="B320" s="122" t="s">
        <v>11362</v>
      </c>
      <c r="C320" s="113" t="str">
        <f t="shared" si="8"/>
        <v>HK.QN.THG</v>
      </c>
      <c r="D320" s="113" t="s">
        <v>14045</v>
      </c>
      <c r="E320" s="113" t="str">
        <f t="shared" si="9"/>
        <v>THG&lt;-&gt;Hà Khẩu, Quảng Ninh</v>
      </c>
    </row>
    <row r="321" spans="1:5" x14ac:dyDescent="0.3">
      <c r="A321" s="122" t="s">
        <v>11363</v>
      </c>
      <c r="B321" s="122" t="s">
        <v>11364</v>
      </c>
      <c r="C321" s="113" t="str">
        <f t="shared" si="8"/>
        <v>HK.YB.DKG</v>
      </c>
      <c r="D321" s="113" t="s">
        <v>14046</v>
      </c>
      <c r="E321" s="113" t="str">
        <f t="shared" si="9"/>
        <v>DKG&lt;-&gt;Hưng Khánh, Yên Bái</v>
      </c>
    </row>
    <row r="322" spans="1:5" x14ac:dyDescent="0.3">
      <c r="A322" s="122" t="s">
        <v>11365</v>
      </c>
      <c r="B322" s="122" t="s">
        <v>11366</v>
      </c>
      <c r="C322" s="113" t="str">
        <f t="shared" si="8"/>
        <v>HL.BN.DKG</v>
      </c>
      <c r="D322" s="113" t="s">
        <v>14047</v>
      </c>
      <c r="E322" s="113" t="str">
        <f t="shared" si="9"/>
        <v>DKG&lt;-&gt;Hòa Lạc, Bắc Ninh</v>
      </c>
    </row>
    <row r="323" spans="1:5" x14ac:dyDescent="0.3">
      <c r="A323" s="122" t="s">
        <v>11367</v>
      </c>
      <c r="B323" s="122" t="s">
        <v>11368</v>
      </c>
      <c r="C323" s="113" t="str">
        <f t="shared" si="8"/>
        <v>HL.BN.THG</v>
      </c>
      <c r="D323" s="113" t="s">
        <v>14048</v>
      </c>
      <c r="E323" s="113" t="str">
        <f t="shared" si="9"/>
        <v>THG&lt;-&gt;Hòa Lạc, Bắc Ninh</v>
      </c>
    </row>
    <row r="324" spans="1:5" x14ac:dyDescent="0.3">
      <c r="A324" s="122" t="s">
        <v>11369</v>
      </c>
      <c r="B324" s="122" t="s">
        <v>11370</v>
      </c>
      <c r="C324" s="113" t="str">
        <f t="shared" ref="C324:C387" si="10">+A324</f>
        <v>HL.HN.DKG</v>
      </c>
      <c r="D324" s="113" t="s">
        <v>14049</v>
      </c>
      <c r="E324" s="113" t="str">
        <f t="shared" ref="E324:E387" si="11">B324</f>
        <v>DKG&lt;-&gt;Hòa Lạc, Hà Nội</v>
      </c>
    </row>
    <row r="325" spans="1:5" x14ac:dyDescent="0.3">
      <c r="A325" s="122" t="s">
        <v>11371</v>
      </c>
      <c r="B325" s="122" t="s">
        <v>11372</v>
      </c>
      <c r="C325" s="113" t="str">
        <f t="shared" si="10"/>
        <v>HL.HP.DKG</v>
      </c>
      <c r="D325" s="113" t="s">
        <v>14050</v>
      </c>
      <c r="E325" s="113" t="str">
        <f t="shared" si="11"/>
        <v>DKG&lt;-&gt;Hạ Lý, Hải Phòng</v>
      </c>
    </row>
    <row r="326" spans="1:5" x14ac:dyDescent="0.3">
      <c r="A326" s="122" t="s">
        <v>11373</v>
      </c>
      <c r="B326" s="122" t="s">
        <v>11374</v>
      </c>
      <c r="C326" s="113" t="str">
        <f t="shared" si="10"/>
        <v>HL.HP.THG</v>
      </c>
      <c r="D326" s="113" t="s">
        <v>14051</v>
      </c>
      <c r="E326" s="113" t="str">
        <f t="shared" si="11"/>
        <v>THG&lt;-&gt;Hạ Lý, Hải Phòng</v>
      </c>
    </row>
    <row r="327" spans="1:5" x14ac:dyDescent="0.3">
      <c r="A327" s="122" t="s">
        <v>11375</v>
      </c>
      <c r="B327" s="122" t="s">
        <v>11376</v>
      </c>
      <c r="C327" s="113" t="str">
        <f t="shared" si="10"/>
        <v>HL.HT.DKG</v>
      </c>
      <c r="D327" s="113" t="s">
        <v>14052</v>
      </c>
      <c r="E327" s="113" t="str">
        <f t="shared" si="11"/>
        <v>DKG&lt;-&gt;Hồng Lĩnh, Hà Tĩnh</v>
      </c>
    </row>
    <row r="328" spans="1:5" x14ac:dyDescent="0.3">
      <c r="A328" s="122" t="s">
        <v>11377</v>
      </c>
      <c r="B328" s="122" t="s">
        <v>11378</v>
      </c>
      <c r="C328" s="113" t="str">
        <f t="shared" si="10"/>
        <v>HL.LS.DKS</v>
      </c>
      <c r="D328" s="113" t="s">
        <v>14053</v>
      </c>
      <c r="E328" s="113" t="str">
        <f t="shared" si="11"/>
        <v>DKS&lt;-&gt;Hữu Lũng, Lạng Sơn</v>
      </c>
    </row>
    <row r="329" spans="1:5" x14ac:dyDescent="0.3">
      <c r="A329" s="122" t="s">
        <v>11379</v>
      </c>
      <c r="B329" s="122" t="s">
        <v>11380</v>
      </c>
      <c r="C329" s="113" t="str">
        <f t="shared" si="10"/>
        <v>HL.NB.DKG</v>
      </c>
      <c r="D329" s="113" t="s">
        <v>14054</v>
      </c>
      <c r="E329" s="113" t="str">
        <f t="shared" si="11"/>
        <v>DKG&lt;-&gt;Hoa Lư, Ninh Bình</v>
      </c>
    </row>
    <row r="330" spans="1:5" x14ac:dyDescent="0.3">
      <c r="A330" s="122" t="s">
        <v>11381</v>
      </c>
      <c r="B330" s="122" t="s">
        <v>11382</v>
      </c>
      <c r="C330" s="113" t="str">
        <f t="shared" si="10"/>
        <v>HL.QN.DKG</v>
      </c>
      <c r="D330" s="113" t="s">
        <v>14055</v>
      </c>
      <c r="E330" s="113" t="str">
        <f t="shared" si="11"/>
        <v>DKG&lt;-&gt;Hạ Long, Quảng Ninh</v>
      </c>
    </row>
    <row r="331" spans="1:5" x14ac:dyDescent="0.3">
      <c r="A331" s="122" t="s">
        <v>11383</v>
      </c>
      <c r="B331" s="122" t="s">
        <v>11384</v>
      </c>
      <c r="C331" s="113" t="str">
        <f t="shared" si="10"/>
        <v>HL.QN.DKS</v>
      </c>
      <c r="D331" s="113" t="s">
        <v>14056</v>
      </c>
      <c r="E331" s="113" t="str">
        <f t="shared" si="11"/>
        <v>DKS&lt;-&gt;Hạ Long, Quảng Ninh</v>
      </c>
    </row>
    <row r="332" spans="1:5" x14ac:dyDescent="0.3">
      <c r="A332" s="122" t="s">
        <v>11385</v>
      </c>
      <c r="B332" s="122" t="s">
        <v>11386</v>
      </c>
      <c r="C332" s="113" t="str">
        <f t="shared" si="10"/>
        <v>HL.QN.THG</v>
      </c>
      <c r="D332" s="113" t="s">
        <v>14057</v>
      </c>
      <c r="E332" s="113" t="str">
        <f t="shared" si="11"/>
        <v>THG&lt;-&gt;Hạ Long, Quảng Ninh</v>
      </c>
    </row>
    <row r="333" spans="1:5" x14ac:dyDescent="0.3">
      <c r="A333" s="122" t="s">
        <v>11387</v>
      </c>
      <c r="B333" s="122" t="s">
        <v>11388</v>
      </c>
      <c r="C333" s="113" t="str">
        <f t="shared" si="10"/>
        <v>HL.TH.DKG</v>
      </c>
      <c r="D333" s="113" t="s">
        <v>14058</v>
      </c>
      <c r="E333" s="113" t="str">
        <f t="shared" si="11"/>
        <v>DKG&lt;-&gt;Hậu Lộc, Thanh Hóa</v>
      </c>
    </row>
    <row r="334" spans="1:5" x14ac:dyDescent="0.3">
      <c r="A334" s="122" t="s">
        <v>11389</v>
      </c>
      <c r="B334" s="122" t="s">
        <v>11390</v>
      </c>
      <c r="C334" s="113" t="str">
        <f t="shared" si="10"/>
        <v>HL.TH.DKS</v>
      </c>
      <c r="D334" s="113" t="s">
        <v>14059</v>
      </c>
      <c r="E334" s="113" t="str">
        <f t="shared" si="11"/>
        <v>DKS&lt;-&gt;Hậu Lộc, Thanh Hóa</v>
      </c>
    </row>
    <row r="335" spans="1:5" x14ac:dyDescent="0.3">
      <c r="A335" s="122" t="s">
        <v>11391</v>
      </c>
      <c r="B335" s="122" t="s">
        <v>11392</v>
      </c>
      <c r="C335" s="113" t="str">
        <f t="shared" si="10"/>
        <v>HL.TH.THG</v>
      </c>
      <c r="D335" s="113" t="s">
        <v>14060</v>
      </c>
      <c r="E335" s="113" t="str">
        <f t="shared" si="11"/>
        <v>THG&lt;-&gt;Hậu Lộc, Thanh Hóa</v>
      </c>
    </row>
    <row r="336" spans="1:5" x14ac:dyDescent="0.3">
      <c r="A336" s="122" t="s">
        <v>11393</v>
      </c>
      <c r="B336" s="122" t="s">
        <v>11394</v>
      </c>
      <c r="C336" s="113" t="str">
        <f t="shared" si="10"/>
        <v>HM.HN.DKS</v>
      </c>
      <c r="D336" s="113" t="s">
        <v>14061</v>
      </c>
      <c r="E336" s="113" t="str">
        <f t="shared" si="11"/>
        <v>DKS&lt;-&gt;Hoàng Mai, Hà Nội</v>
      </c>
    </row>
    <row r="337" spans="1:5" x14ac:dyDescent="0.3">
      <c r="A337" s="122" t="s">
        <v>11395</v>
      </c>
      <c r="B337" s="122" t="s">
        <v>11396</v>
      </c>
      <c r="C337" s="113" t="str">
        <f t="shared" si="10"/>
        <v>HN.NA.DKG</v>
      </c>
      <c r="D337" s="113" t="s">
        <v>14062</v>
      </c>
      <c r="E337" s="113" t="str">
        <f t="shared" si="11"/>
        <v>DKG&lt;-&gt;Hưng Nguyên, Nghệ An</v>
      </c>
    </row>
    <row r="338" spans="1:5" x14ac:dyDescent="0.3">
      <c r="A338" s="122" t="s">
        <v>11397</v>
      </c>
      <c r="B338" s="122" t="s">
        <v>11398</v>
      </c>
      <c r="C338" s="113" t="str">
        <f t="shared" si="10"/>
        <v>HOAHONG</v>
      </c>
      <c r="D338" s="113" t="s">
        <v>11398</v>
      </c>
      <c r="E338" s="113" t="str">
        <f t="shared" si="11"/>
        <v>Hoa hồng cho chủ gỗ (Nhà nước)</v>
      </c>
    </row>
    <row r="339" spans="1:5" x14ac:dyDescent="0.3">
      <c r="A339" s="122" t="s">
        <v>11399</v>
      </c>
      <c r="B339" s="122" t="s">
        <v>11400</v>
      </c>
      <c r="C339" s="113" t="str">
        <f t="shared" si="10"/>
        <v>HS.CB</v>
      </c>
      <c r="D339" s="113" t="s">
        <v>14063</v>
      </c>
      <c r="E339" s="113" t="str">
        <f t="shared" si="11"/>
        <v>DKG&lt;-&gt;Chuyển tải HS.CB</v>
      </c>
    </row>
    <row r="340" spans="1:5" x14ac:dyDescent="0.3">
      <c r="A340" s="122" t="s">
        <v>11401</v>
      </c>
      <c r="B340" s="122" t="s">
        <v>11402</v>
      </c>
      <c r="C340" s="113" t="str">
        <f t="shared" si="10"/>
        <v>HS.HA</v>
      </c>
      <c r="D340" s="113" t="s">
        <v>14064</v>
      </c>
      <c r="E340" s="113" t="str">
        <f t="shared" si="11"/>
        <v>DKG&lt;-&gt;Chuyển tải HS-HA</v>
      </c>
    </row>
    <row r="341" spans="1:5" x14ac:dyDescent="0.3">
      <c r="A341" s="122" t="s">
        <v>11403</v>
      </c>
      <c r="B341" s="122" t="s">
        <v>11404</v>
      </c>
      <c r="C341" s="113" t="str">
        <f t="shared" si="10"/>
        <v>HS.HP.DKG</v>
      </c>
      <c r="D341" s="113" t="s">
        <v>14065</v>
      </c>
      <c r="E341" s="113" t="str">
        <f t="shared" si="11"/>
        <v>DKG&lt;-&gt;Hồ Sen, Hải Phòng</v>
      </c>
    </row>
    <row r="342" spans="1:5" x14ac:dyDescent="0.3">
      <c r="A342" s="122" t="s">
        <v>11405</v>
      </c>
      <c r="B342" s="122" t="s">
        <v>11406</v>
      </c>
      <c r="C342" s="113" t="str">
        <f t="shared" si="10"/>
        <v>HS.HP.THG</v>
      </c>
      <c r="D342" s="113" t="s">
        <v>14066</v>
      </c>
      <c r="E342" s="113" t="str">
        <f t="shared" si="11"/>
        <v>THG&lt;-&gt;Hồ Sen, Hải Phòng</v>
      </c>
    </row>
    <row r="343" spans="1:5" x14ac:dyDescent="0.3">
      <c r="A343" s="122" t="s">
        <v>11407</v>
      </c>
      <c r="B343" s="122" t="s">
        <v>11408</v>
      </c>
      <c r="C343" s="113" t="str">
        <f t="shared" si="10"/>
        <v>HS.HT.DKG</v>
      </c>
      <c r="D343" s="113" t="s">
        <v>14067</v>
      </c>
      <c r="E343" s="113" t="str">
        <f t="shared" si="11"/>
        <v>DKG&lt;-&gt;Hương Sơn, Hà Tĩnh</v>
      </c>
    </row>
    <row r="344" spans="1:5" x14ac:dyDescent="0.3">
      <c r="A344" s="122" t="s">
        <v>11409</v>
      </c>
      <c r="B344" s="122" t="s">
        <v>11410</v>
      </c>
      <c r="C344" s="113" t="str">
        <f t="shared" si="10"/>
        <v>HT.TH.DKG</v>
      </c>
      <c r="D344" s="113" t="s">
        <v>14068</v>
      </c>
      <c r="E344" s="113" t="str">
        <f t="shared" si="11"/>
        <v>DKG&lt;-&gt;Hà Trung, Thanh Hóa</v>
      </c>
    </row>
    <row r="345" spans="1:5" x14ac:dyDescent="0.3">
      <c r="A345" s="122" t="s">
        <v>11411</v>
      </c>
      <c r="B345" s="122" t="s">
        <v>11412</v>
      </c>
      <c r="C345" s="113" t="str">
        <f t="shared" si="10"/>
        <v>HT.TH.THG</v>
      </c>
      <c r="D345" s="113" t="s">
        <v>14069</v>
      </c>
      <c r="E345" s="113" t="str">
        <f t="shared" si="11"/>
        <v>THG&lt;-&gt;Hà Trung, Thanh Hóa</v>
      </c>
    </row>
    <row r="346" spans="1:5" x14ac:dyDescent="0.3">
      <c r="A346" s="122" t="s">
        <v>11413</v>
      </c>
      <c r="B346" s="122" t="s">
        <v>11414</v>
      </c>
      <c r="C346" s="113" t="str">
        <f t="shared" si="10"/>
        <v>HX.HP.DKS</v>
      </c>
      <c r="D346" s="113" t="s">
        <v>14070</v>
      </c>
      <c r="E346" s="113" t="str">
        <f t="shared" si="11"/>
        <v>DKS&lt;-&gt;Hồng Xuân, Hải Phòng (CS7)</v>
      </c>
    </row>
    <row r="347" spans="1:5" x14ac:dyDescent="0.3">
      <c r="A347" s="122" t="s">
        <v>11415</v>
      </c>
      <c r="B347" s="122" t="s">
        <v>11416</v>
      </c>
      <c r="C347" s="113" t="str">
        <f t="shared" si="10"/>
        <v>HX.PT.DKG</v>
      </c>
      <c r="D347" s="113" t="s">
        <v>14071</v>
      </c>
      <c r="E347" s="113" t="str">
        <f t="shared" si="11"/>
        <v>DKG&lt;-&gt;Hoàng Xá, Phú Thọ</v>
      </c>
    </row>
    <row r="348" spans="1:5" x14ac:dyDescent="0.3">
      <c r="A348" s="122" t="s">
        <v>11417</v>
      </c>
      <c r="B348" s="122" t="s">
        <v>11418</v>
      </c>
      <c r="C348" s="113" t="str">
        <f t="shared" si="10"/>
        <v>HX.QT.DKG</v>
      </c>
      <c r="D348" s="113" t="s">
        <v>14072</v>
      </c>
      <c r="E348" s="113" t="str">
        <f t="shared" si="11"/>
        <v>DKG&lt;-&gt;Hồ Xá, Quảng trị</v>
      </c>
    </row>
    <row r="349" spans="1:5" x14ac:dyDescent="0.3">
      <c r="A349" s="122" t="s">
        <v>11419</v>
      </c>
      <c r="B349" s="122" t="s">
        <v>11420</v>
      </c>
      <c r="C349" s="113" t="str">
        <f t="shared" si="10"/>
        <v>KA.HP.DKG</v>
      </c>
      <c r="D349" s="113" t="s">
        <v>14073</v>
      </c>
      <c r="E349" s="113" t="str">
        <f t="shared" si="11"/>
        <v>DKG&lt;-&gt;Kiến An, Hải Phòng</v>
      </c>
    </row>
    <row r="350" spans="1:5" x14ac:dyDescent="0.3">
      <c r="A350" s="122" t="s">
        <v>11421</v>
      </c>
      <c r="B350" s="122" t="s">
        <v>11422</v>
      </c>
      <c r="C350" s="113" t="str">
        <f t="shared" si="10"/>
        <v>KA.HP.DKS</v>
      </c>
      <c r="D350" s="113" t="s">
        <v>14074</v>
      </c>
      <c r="E350" s="113" t="str">
        <f t="shared" si="11"/>
        <v>DKS&lt;-&gt;Kiến An, Hải Phòng</v>
      </c>
    </row>
    <row r="351" spans="1:5" x14ac:dyDescent="0.3">
      <c r="A351" s="122" t="s">
        <v>11423</v>
      </c>
      <c r="B351" s="122" t="s">
        <v>11424</v>
      </c>
      <c r="C351" s="113" t="str">
        <f t="shared" si="10"/>
        <v>KA.HP.THG</v>
      </c>
      <c r="D351" s="113" t="s">
        <v>14075</v>
      </c>
      <c r="E351" s="113" t="str">
        <f t="shared" si="11"/>
        <v>THG&lt;-&gt;Kiến An, Hải Phòng</v>
      </c>
    </row>
    <row r="352" spans="1:5" x14ac:dyDescent="0.3">
      <c r="A352" s="122" t="s">
        <v>11425</v>
      </c>
      <c r="B352" s="122" t="s">
        <v>11426</v>
      </c>
      <c r="C352" s="113" t="str">
        <f t="shared" si="10"/>
        <v>KA.HT.DKG</v>
      </c>
      <c r="D352" s="113" t="s">
        <v>14076</v>
      </c>
      <c r="E352" s="113" t="str">
        <f t="shared" si="11"/>
        <v>DKG&lt;-&gt;Kỳ Anh, Hà Tĩnh</v>
      </c>
    </row>
    <row r="353" spans="1:5" x14ac:dyDescent="0.3">
      <c r="A353" s="122" t="s">
        <v>11427</v>
      </c>
      <c r="B353" s="122" t="s">
        <v>11428</v>
      </c>
      <c r="C353" s="113" t="str">
        <f t="shared" si="10"/>
        <v>KB.HB.DKS</v>
      </c>
      <c r="D353" s="113" t="s">
        <v>14077</v>
      </c>
      <c r="E353" s="113" t="str">
        <f t="shared" si="11"/>
        <v>DKS&lt;-&gt;Kim Bôi, Hòa Bình</v>
      </c>
    </row>
    <row r="354" spans="1:5" x14ac:dyDescent="0.3">
      <c r="A354" s="122" t="s">
        <v>11429</v>
      </c>
      <c r="B354" s="122" t="s">
        <v>11430</v>
      </c>
      <c r="C354" s="113" t="str">
        <f t="shared" si="10"/>
        <v>KB.HNA.DKG</v>
      </c>
      <c r="D354" s="113" t="s">
        <v>14078</v>
      </c>
      <c r="E354" s="113" t="str">
        <f t="shared" si="11"/>
        <v>DKG&lt;-&gt;Kim Bảng, Hà Nam</v>
      </c>
    </row>
    <row r="355" spans="1:5" x14ac:dyDescent="0.3">
      <c r="A355" s="122" t="s">
        <v>11431</v>
      </c>
      <c r="B355" s="122" t="s">
        <v>11432</v>
      </c>
      <c r="C355" s="113" t="str">
        <f t="shared" si="10"/>
        <v>KB.HNA.DKS</v>
      </c>
      <c r="D355" s="113" t="s">
        <v>14079</v>
      </c>
      <c r="E355" s="113" t="str">
        <f t="shared" si="11"/>
        <v>DKS&lt;-&gt;Kim Bảng, Hà Nam</v>
      </c>
    </row>
    <row r="356" spans="1:5" x14ac:dyDescent="0.3">
      <c r="A356" s="122" t="s">
        <v>11433</v>
      </c>
      <c r="B356" s="122" t="s">
        <v>11434</v>
      </c>
      <c r="C356" s="113" t="str">
        <f t="shared" si="10"/>
        <v>KB.HNA.THG</v>
      </c>
      <c r="D356" s="113" t="s">
        <v>14080</v>
      </c>
      <c r="E356" s="113" t="str">
        <f t="shared" si="11"/>
        <v>THG&lt;-&gt;Kim Bảng, Hà Nam</v>
      </c>
    </row>
    <row r="357" spans="1:5" x14ac:dyDescent="0.3">
      <c r="A357" s="122" t="s">
        <v>11435</v>
      </c>
      <c r="B357" s="122" t="s">
        <v>11436</v>
      </c>
      <c r="C357" s="113" t="str">
        <f t="shared" si="10"/>
        <v>KC.HY.DKG</v>
      </c>
      <c r="D357" s="113" t="s">
        <v>14081</v>
      </c>
      <c r="E357" s="113" t="str">
        <f t="shared" si="11"/>
        <v>DKG&lt;-&gt;Khoái Châu, Hưng Yên</v>
      </c>
    </row>
    <row r="358" spans="1:5" x14ac:dyDescent="0.3">
      <c r="A358" s="122" t="s">
        <v>11437</v>
      </c>
      <c r="B358" s="122" t="s">
        <v>11438</v>
      </c>
      <c r="C358" s="113" t="str">
        <f t="shared" si="10"/>
        <v>KC.HY.DKS</v>
      </c>
      <c r="D358" s="113" t="s">
        <v>14082</v>
      </c>
      <c r="E358" s="113" t="str">
        <f t="shared" si="11"/>
        <v>DKS&lt;-&gt;Khoái Châu, Hưng Yên</v>
      </c>
    </row>
    <row r="359" spans="1:5" x14ac:dyDescent="0.3">
      <c r="A359" s="122" t="s">
        <v>11439</v>
      </c>
      <c r="B359" s="122" t="s">
        <v>11440</v>
      </c>
      <c r="C359" s="113" t="str">
        <f t="shared" si="10"/>
        <v>KC.HY.THG</v>
      </c>
      <c r="D359" s="113" t="s">
        <v>14083</v>
      </c>
      <c r="E359" s="113" t="str">
        <f t="shared" si="11"/>
        <v>THG&lt;-&gt;Khoái Châu, Hưng Yên</v>
      </c>
    </row>
    <row r="360" spans="1:5" x14ac:dyDescent="0.3">
      <c r="A360" s="122" t="s">
        <v>11441</v>
      </c>
      <c r="B360" s="122" t="s">
        <v>11442</v>
      </c>
      <c r="C360" s="113" t="str">
        <f t="shared" si="10"/>
        <v>KCNTD.HP.DKS</v>
      </c>
      <c r="D360" s="113" t="s">
        <v>14084</v>
      </c>
      <c r="E360" s="113" t="str">
        <f t="shared" si="11"/>
        <v>DKS&lt;-&gt;KCN Tràng Duệ, Hải Phòng</v>
      </c>
    </row>
    <row r="361" spans="1:5" x14ac:dyDescent="0.3">
      <c r="A361" s="122" t="s">
        <v>11443</v>
      </c>
      <c r="B361" s="122" t="s">
        <v>11444</v>
      </c>
      <c r="C361" s="113" t="str">
        <f t="shared" si="10"/>
        <v>KD.HY.DKG</v>
      </c>
      <c r="D361" s="113" t="s">
        <v>14085</v>
      </c>
      <c r="E361" s="113" t="str">
        <f t="shared" si="11"/>
        <v>DKG&lt;-&gt;Kim Động, Hưng Yên</v>
      </c>
    </row>
    <row r="362" spans="1:5" x14ac:dyDescent="0.3">
      <c r="A362" s="122" t="s">
        <v>11445</v>
      </c>
      <c r="B362" s="122" t="s">
        <v>11446</v>
      </c>
      <c r="C362" s="113" t="str">
        <f t="shared" si="10"/>
        <v>KD.HY.DKS</v>
      </c>
      <c r="D362" s="113" t="s">
        <v>14086</v>
      </c>
      <c r="E362" s="113" t="str">
        <f t="shared" si="11"/>
        <v>DKS&lt;-&gt;Kim Động, Hưng Yên</v>
      </c>
    </row>
    <row r="363" spans="1:5" x14ac:dyDescent="0.3">
      <c r="A363" s="122" t="s">
        <v>11447</v>
      </c>
      <c r="B363" s="122" t="s">
        <v>11448</v>
      </c>
      <c r="C363" s="113" t="str">
        <f t="shared" si="10"/>
        <v>KD.HY.THG</v>
      </c>
      <c r="D363" s="113" t="s">
        <v>14087</v>
      </c>
      <c r="E363" s="113" t="str">
        <f t="shared" si="11"/>
        <v>THG&lt;-&gt;Kim Động, Hưng Yên</v>
      </c>
    </row>
    <row r="364" spans="1:5" x14ac:dyDescent="0.3">
      <c r="A364" s="122" t="s">
        <v>11449</v>
      </c>
      <c r="B364" s="122" t="s">
        <v>11450</v>
      </c>
      <c r="C364" s="113" t="str">
        <f t="shared" si="10"/>
        <v>KH.DKG</v>
      </c>
      <c r="D364" s="113" t="s">
        <v>14088</v>
      </c>
      <c r="E364" s="113" t="str">
        <f t="shared" si="11"/>
        <v>DKG&lt;-&gt;K/H …</v>
      </c>
    </row>
    <row r="365" spans="1:5" x14ac:dyDescent="0.3">
      <c r="A365" s="122" t="s">
        <v>11451</v>
      </c>
      <c r="B365" s="122" t="s">
        <v>11452</v>
      </c>
      <c r="C365" s="113" t="str">
        <f t="shared" si="10"/>
        <v>KH.DKS</v>
      </c>
      <c r="D365" s="113" t="s">
        <v>11452</v>
      </c>
      <c r="E365" s="113" t="str">
        <f t="shared" si="11"/>
        <v>DKS&lt;-&gt;K/H …</v>
      </c>
    </row>
    <row r="366" spans="1:5" x14ac:dyDescent="0.3">
      <c r="A366" s="122" t="s">
        <v>11453</v>
      </c>
      <c r="B366" s="122" t="s">
        <v>11454</v>
      </c>
      <c r="C366" s="113" t="str">
        <f t="shared" si="10"/>
        <v>KH.THG</v>
      </c>
      <c r="D366" s="113" t="s">
        <v>11454</v>
      </c>
      <c r="E366" s="113" t="str">
        <f t="shared" si="11"/>
        <v>THG&lt;-&gt;K/H …</v>
      </c>
    </row>
    <row r="367" spans="1:5" x14ac:dyDescent="0.3">
      <c r="A367" s="122" t="s">
        <v>11455</v>
      </c>
      <c r="B367" s="122" t="s">
        <v>11456</v>
      </c>
      <c r="C367" s="113" t="str">
        <f t="shared" si="10"/>
        <v>KHOANXAU</v>
      </c>
      <c r="D367" s="113" t="s">
        <v>11456</v>
      </c>
      <c r="E367" s="113" t="str">
        <f t="shared" si="11"/>
        <v>Khoán xẩu gỗ</v>
      </c>
    </row>
    <row r="368" spans="1:5" x14ac:dyDescent="0.3">
      <c r="A368" s="122" t="s">
        <v>11457</v>
      </c>
      <c r="B368" s="122" t="s">
        <v>11458</v>
      </c>
      <c r="C368" s="113" t="str">
        <f t="shared" si="10"/>
        <v>KIEMLAMNHAP</v>
      </c>
      <c r="D368" s="113" t="s">
        <v>11458</v>
      </c>
      <c r="E368" s="113" t="str">
        <f t="shared" si="11"/>
        <v>Làm Kiểm lâm nhập</v>
      </c>
    </row>
    <row r="369" spans="1:5" x14ac:dyDescent="0.3">
      <c r="A369" s="122" t="s">
        <v>11459</v>
      </c>
      <c r="B369" s="122" t="s">
        <v>11460</v>
      </c>
      <c r="C369" s="113" t="str">
        <f t="shared" si="10"/>
        <v>KIEMLAMXUAT</v>
      </c>
      <c r="D369" s="113" t="s">
        <v>11460</v>
      </c>
      <c r="E369" s="113" t="str">
        <f t="shared" si="11"/>
        <v>Làm kiểm lâm xuất</v>
      </c>
    </row>
    <row r="370" spans="1:5" x14ac:dyDescent="0.3">
      <c r="A370" s="122" t="s">
        <v>11461</v>
      </c>
      <c r="B370" s="122" t="s">
        <v>11462</v>
      </c>
      <c r="C370" s="113" t="str">
        <f t="shared" si="10"/>
        <v>KM.2000</v>
      </c>
      <c r="D370" s="113" t="s">
        <v>14089</v>
      </c>
      <c r="E370" s="113" t="str">
        <f t="shared" si="11"/>
        <v>K/M chủ gỗ 2.000 đ/m3</v>
      </c>
    </row>
    <row r="371" spans="1:5" x14ac:dyDescent="0.3">
      <c r="A371" s="122" t="s">
        <v>11463</v>
      </c>
      <c r="B371" s="122" t="s">
        <v>11464</v>
      </c>
      <c r="C371" s="113" t="str">
        <f t="shared" si="10"/>
        <v>KM.5000</v>
      </c>
      <c r="D371" s="113" t="s">
        <v>14090</v>
      </c>
      <c r="E371" s="113" t="str">
        <f t="shared" si="11"/>
        <v>K/M chủ gỗ 5.000 đ/m3</v>
      </c>
    </row>
    <row r="372" spans="1:5" x14ac:dyDescent="0.3">
      <c r="A372" s="122" t="s">
        <v>11465</v>
      </c>
      <c r="B372" s="122" t="s">
        <v>11466</v>
      </c>
      <c r="C372" s="113" t="str">
        <f t="shared" si="10"/>
        <v>KM.HD.DKG</v>
      </c>
      <c r="D372" s="113" t="s">
        <v>14091</v>
      </c>
      <c r="E372" s="113" t="str">
        <f t="shared" si="11"/>
        <v>DKG&lt;-&gt;Kinh Môn, Hải Dương</v>
      </c>
    </row>
    <row r="373" spans="1:5" x14ac:dyDescent="0.3">
      <c r="A373" s="122" t="s">
        <v>11467</v>
      </c>
      <c r="B373" s="122" t="s">
        <v>11468</v>
      </c>
      <c r="C373" s="113" t="str">
        <f t="shared" si="10"/>
        <v>KM.HD.THG</v>
      </c>
      <c r="D373" s="113" t="s">
        <v>14092</v>
      </c>
      <c r="E373" s="113" t="str">
        <f t="shared" si="11"/>
        <v>THG&lt;-&gt;Kinh Môn, Hải Dương</v>
      </c>
    </row>
    <row r="374" spans="1:5" x14ac:dyDescent="0.3">
      <c r="A374" s="122" t="s">
        <v>11469</v>
      </c>
      <c r="B374" s="122" t="s">
        <v>11470</v>
      </c>
      <c r="C374" s="113" t="str">
        <f t="shared" si="10"/>
        <v>KP.NB.DKS</v>
      </c>
      <c r="D374" s="113" t="s">
        <v>14093</v>
      </c>
      <c r="E374" s="113" t="str">
        <f t="shared" si="11"/>
        <v>DKS&lt;-&gt;Khánh Phú, Ninh Bình</v>
      </c>
    </row>
    <row r="375" spans="1:5" x14ac:dyDescent="0.3">
      <c r="A375" s="122" t="s">
        <v>11471</v>
      </c>
      <c r="B375" s="122" t="s">
        <v>11472</v>
      </c>
      <c r="C375" s="113" t="str">
        <f t="shared" si="10"/>
        <v>KS.HB.DKS</v>
      </c>
      <c r="D375" s="113" t="s">
        <v>14094</v>
      </c>
      <c r="E375" s="113" t="str">
        <f t="shared" si="11"/>
        <v>DKS&lt;-&gt;Kỳ Sơn, Hòa Bình</v>
      </c>
    </row>
    <row r="376" spans="1:5" x14ac:dyDescent="0.3">
      <c r="A376" s="122" t="s">
        <v>11473</v>
      </c>
      <c r="B376" s="122" t="s">
        <v>11474</v>
      </c>
      <c r="C376" s="113" t="str">
        <f t="shared" si="10"/>
        <v>KS.HD.DKG</v>
      </c>
      <c r="D376" s="113" t="s">
        <v>14095</v>
      </c>
      <c r="E376" s="113" t="str">
        <f t="shared" si="11"/>
        <v>DKG&lt;-&gt;Kẻ Sặt, Hải Dương</v>
      </c>
    </row>
    <row r="377" spans="1:5" x14ac:dyDescent="0.3">
      <c r="A377" s="122" t="s">
        <v>11475</v>
      </c>
      <c r="B377" s="122" t="s">
        <v>11476</v>
      </c>
      <c r="C377" s="113" t="str">
        <f t="shared" si="10"/>
        <v>KS.HD.THG</v>
      </c>
      <c r="D377" s="113" t="s">
        <v>14096</v>
      </c>
      <c r="E377" s="113" t="str">
        <f t="shared" si="11"/>
        <v>THG&lt;-&gt;Kẻ Sặt, Hải Dương</v>
      </c>
    </row>
    <row r="378" spans="1:5" x14ac:dyDescent="0.3">
      <c r="A378" s="122" t="s">
        <v>11477</v>
      </c>
      <c r="B378" s="122" t="s">
        <v>11478</v>
      </c>
      <c r="C378" s="113" t="str">
        <f t="shared" si="10"/>
        <v>KS.NB.DKG</v>
      </c>
      <c r="D378" s="113" t="s">
        <v>14097</v>
      </c>
      <c r="E378" s="113" t="str">
        <f t="shared" si="11"/>
        <v>DKG&lt;-&gt;Kim Sơn, Ninh Bình</v>
      </c>
    </row>
    <row r="379" spans="1:5" x14ac:dyDescent="0.3">
      <c r="A379" s="122" t="s">
        <v>11479</v>
      </c>
      <c r="B379" s="122" t="s">
        <v>11480</v>
      </c>
      <c r="C379" s="113" t="str">
        <f t="shared" si="10"/>
        <v>KS.NB.THG</v>
      </c>
      <c r="D379" s="113" t="s">
        <v>14098</v>
      </c>
      <c r="E379" s="113" t="str">
        <f t="shared" si="11"/>
        <v>THG&lt;-&gt;Kim Sơn, Ninh Bình</v>
      </c>
    </row>
    <row r="380" spans="1:5" x14ac:dyDescent="0.3">
      <c r="A380" s="122" t="s">
        <v>11481</v>
      </c>
      <c r="B380" s="122" t="s">
        <v>11482</v>
      </c>
      <c r="C380" s="113" t="str">
        <f t="shared" si="10"/>
        <v>KT.HD.DKG</v>
      </c>
      <c r="D380" s="113" t="s">
        <v>14099</v>
      </c>
      <c r="E380" s="113" t="str">
        <f t="shared" si="11"/>
        <v>DKG&lt;-&gt;Kim Thành, Hải Dương</v>
      </c>
    </row>
    <row r="381" spans="1:5" x14ac:dyDescent="0.3">
      <c r="A381" s="122" t="s">
        <v>11483</v>
      </c>
      <c r="B381" s="122" t="s">
        <v>11484</v>
      </c>
      <c r="C381" s="113" t="str">
        <f t="shared" si="10"/>
        <v>KT.HD.DKS</v>
      </c>
      <c r="D381" s="113" t="s">
        <v>14100</v>
      </c>
      <c r="E381" s="113" t="str">
        <f t="shared" si="11"/>
        <v>DKS&lt;-&gt;Kim Thành, Hải Dương</v>
      </c>
    </row>
    <row r="382" spans="1:5" x14ac:dyDescent="0.3">
      <c r="A382" s="122" t="s">
        <v>11485</v>
      </c>
      <c r="B382" s="122" t="s">
        <v>11486</v>
      </c>
      <c r="C382" s="113" t="str">
        <f t="shared" si="10"/>
        <v>KT.HD.THG</v>
      </c>
      <c r="D382" s="113" t="s">
        <v>14101</v>
      </c>
      <c r="E382" s="113" t="str">
        <f t="shared" si="11"/>
        <v>THG&lt;-&gt;Kim Thành, Hải Dương</v>
      </c>
    </row>
    <row r="383" spans="1:5" x14ac:dyDescent="0.3">
      <c r="A383" s="122" t="s">
        <v>11487</v>
      </c>
      <c r="B383" s="122" t="s">
        <v>11488</v>
      </c>
      <c r="C383" s="113" t="str">
        <f t="shared" si="10"/>
        <v>KT.HP.DKG</v>
      </c>
      <c r="D383" s="113" t="s">
        <v>14102</v>
      </c>
      <c r="E383" s="113" t="str">
        <f t="shared" si="11"/>
        <v>DKG&lt;-&gt;Kiến Thụy, Hải Phòng</v>
      </c>
    </row>
    <row r="384" spans="1:5" x14ac:dyDescent="0.3">
      <c r="A384" s="122" t="s">
        <v>11489</v>
      </c>
      <c r="B384" s="122" t="s">
        <v>11490</v>
      </c>
      <c r="C384" s="113" t="str">
        <f t="shared" si="10"/>
        <v>KT.HP.DKS</v>
      </c>
      <c r="D384" s="113" t="s">
        <v>14103</v>
      </c>
      <c r="E384" s="113" t="str">
        <f t="shared" si="11"/>
        <v>DKS&lt;-&gt;Kiến Thụy, Hải Phòng</v>
      </c>
    </row>
    <row r="385" spans="1:5" x14ac:dyDescent="0.3">
      <c r="A385" s="122" t="s">
        <v>11491</v>
      </c>
      <c r="B385" s="122" t="s">
        <v>11492</v>
      </c>
      <c r="C385" s="113" t="str">
        <f t="shared" si="10"/>
        <v>KT.HP.THG</v>
      </c>
      <c r="D385" s="113" t="s">
        <v>14104</v>
      </c>
      <c r="E385" s="113" t="str">
        <f t="shared" si="11"/>
        <v>THG&lt;-&gt;Kiến Thụy, Hải Phòng</v>
      </c>
    </row>
    <row r="386" spans="1:5" x14ac:dyDescent="0.3">
      <c r="A386" s="122" t="s">
        <v>11493</v>
      </c>
      <c r="B386" s="122" t="s">
        <v>11494</v>
      </c>
      <c r="C386" s="113" t="str">
        <f t="shared" si="10"/>
        <v>KX.TB.DKG</v>
      </c>
      <c r="D386" s="113" t="s">
        <v>14105</v>
      </c>
      <c r="E386" s="113" t="str">
        <f t="shared" si="11"/>
        <v>DKG&lt;-&gt;Kiến Xương, Thái Bình</v>
      </c>
    </row>
    <row r="387" spans="1:5" x14ac:dyDescent="0.3">
      <c r="A387" s="122" t="s">
        <v>11495</v>
      </c>
      <c r="B387" s="122" t="s">
        <v>11496</v>
      </c>
      <c r="C387" s="113" t="str">
        <f t="shared" si="10"/>
        <v>KX.TB.THG</v>
      </c>
      <c r="D387" s="113" t="s">
        <v>14106</v>
      </c>
      <c r="E387" s="113" t="str">
        <f t="shared" si="11"/>
        <v>THG&lt;-&gt;Kiến Xương, Thái Bình</v>
      </c>
    </row>
    <row r="388" spans="1:5" x14ac:dyDescent="0.3">
      <c r="A388" s="122" t="s">
        <v>11497</v>
      </c>
      <c r="B388" s="122" t="s">
        <v>11498</v>
      </c>
      <c r="C388" s="113" t="str">
        <f t="shared" ref="C388:C451" si="12">+A388</f>
        <v>LB.HN.DKS</v>
      </c>
      <c r="D388" s="113" t="s">
        <v>14107</v>
      </c>
      <c r="E388" s="113" t="str">
        <f t="shared" ref="E388:E451" si="13">B388</f>
        <v>DKS&lt;-&gt;Long Biên, Hà Nội</v>
      </c>
    </row>
    <row r="389" spans="1:5" x14ac:dyDescent="0.3">
      <c r="A389" s="122" t="s">
        <v>11499</v>
      </c>
      <c r="B389" s="122" t="s">
        <v>11500</v>
      </c>
      <c r="C389" s="113" t="str">
        <f t="shared" si="12"/>
        <v>LB.LS.DKG</v>
      </c>
      <c r="D389" s="113" t="s">
        <v>14108</v>
      </c>
      <c r="E389" s="113" t="str">
        <f t="shared" si="13"/>
        <v>DKG&lt;-&gt;TT. Lộc Bình, Lạng Sơn</v>
      </c>
    </row>
    <row r="390" spans="1:5" x14ac:dyDescent="0.3">
      <c r="A390" s="122" t="s">
        <v>11501</v>
      </c>
      <c r="B390" s="122" t="s">
        <v>11502</v>
      </c>
      <c r="C390" s="113" t="str">
        <f t="shared" si="12"/>
        <v>LB.LS.THG</v>
      </c>
      <c r="D390" s="113" t="s">
        <v>14109</v>
      </c>
      <c r="E390" s="113" t="str">
        <f t="shared" si="13"/>
        <v>THG&lt;-&gt;TT. Lộc Bình, Lạng Sơn</v>
      </c>
    </row>
    <row r="391" spans="1:5" x14ac:dyDescent="0.3">
      <c r="A391" s="122" t="s">
        <v>11503</v>
      </c>
      <c r="B391" s="122" t="s">
        <v>11504</v>
      </c>
      <c r="C391" s="113" t="str">
        <f t="shared" si="12"/>
        <v>LC.DN.DKG</v>
      </c>
      <c r="D391" s="113" t="s">
        <v>14110</v>
      </c>
      <c r="E391" s="113" t="str">
        <f t="shared" si="13"/>
        <v>DKG&lt;-&gt;Liên Chiểu, Đà Nẵng</v>
      </c>
    </row>
    <row r="392" spans="1:5" x14ac:dyDescent="0.3">
      <c r="A392" s="122" t="s">
        <v>11505</v>
      </c>
      <c r="B392" s="122" t="s">
        <v>11506</v>
      </c>
      <c r="C392" s="113" t="str">
        <f t="shared" si="12"/>
        <v>LC.HD.DKG</v>
      </c>
      <c r="D392" s="113" t="s">
        <v>14111</v>
      </c>
      <c r="E392" s="113" t="str">
        <f t="shared" si="13"/>
        <v>DKG&lt;-&gt;Lai Cách, Hải Dương</v>
      </c>
    </row>
    <row r="393" spans="1:5" x14ac:dyDescent="0.3">
      <c r="A393" s="122" t="s">
        <v>11507</v>
      </c>
      <c r="B393" s="122" t="s">
        <v>11508</v>
      </c>
      <c r="C393" s="113" t="str">
        <f t="shared" si="12"/>
        <v>LC.HD.THG</v>
      </c>
      <c r="D393" s="113" t="s">
        <v>14112</v>
      </c>
      <c r="E393" s="113" t="str">
        <f t="shared" si="13"/>
        <v>THG&lt;-&gt;Lai Cách, Hải Dương</v>
      </c>
    </row>
    <row r="394" spans="1:5" x14ac:dyDescent="0.3">
      <c r="A394" s="122" t="s">
        <v>11509</v>
      </c>
      <c r="B394" s="122" t="s">
        <v>11510</v>
      </c>
      <c r="C394" s="113" t="str">
        <f t="shared" si="12"/>
        <v>LC.HP.DKS</v>
      </c>
      <c r="D394" s="113" t="s">
        <v>14113</v>
      </c>
      <c r="E394" s="113" t="str">
        <f t="shared" si="13"/>
        <v>DKS&lt;-&gt;Lê Chân, Hải Phòng</v>
      </c>
    </row>
    <row r="395" spans="1:5" x14ac:dyDescent="0.3">
      <c r="A395" s="122" t="s">
        <v>11511</v>
      </c>
      <c r="B395" s="122" t="s">
        <v>11512</v>
      </c>
      <c r="C395" s="113" t="str">
        <f t="shared" si="12"/>
        <v>LD.HN.DKG</v>
      </c>
      <c r="D395" s="113" t="s">
        <v>14114</v>
      </c>
      <c r="E395" s="113" t="str">
        <f t="shared" si="13"/>
        <v>DKG&lt;-&gt;La Dương, Hà Đông, Hà Nội</v>
      </c>
    </row>
    <row r="396" spans="1:5" x14ac:dyDescent="0.3">
      <c r="A396" s="122" t="s">
        <v>11513</v>
      </c>
      <c r="B396" s="122" t="s">
        <v>11514</v>
      </c>
      <c r="C396" s="113" t="str">
        <f t="shared" si="12"/>
        <v>LD.HN.THG</v>
      </c>
      <c r="D396" s="113" t="s">
        <v>14115</v>
      </c>
      <c r="E396" s="113" t="str">
        <f t="shared" si="13"/>
        <v>THG&lt;-&gt;La Dương, Hà Đông, Hà Nội</v>
      </c>
    </row>
    <row r="397" spans="1:5" x14ac:dyDescent="0.3">
      <c r="A397" s="122" t="s">
        <v>11515</v>
      </c>
      <c r="B397" s="122" t="s">
        <v>11516</v>
      </c>
      <c r="C397" s="113" t="str">
        <f t="shared" si="12"/>
        <v>LD.HY.DKG</v>
      </c>
      <c r="D397" s="113" t="s">
        <v>14116</v>
      </c>
      <c r="E397" s="113" t="str">
        <f t="shared" si="13"/>
        <v>DKG&lt;-&gt;Lạc Đạo, Hưng Yên</v>
      </c>
    </row>
    <row r="398" spans="1:5" x14ac:dyDescent="0.3">
      <c r="A398" s="122" t="s">
        <v>11517</v>
      </c>
      <c r="B398" s="122" t="s">
        <v>11518</v>
      </c>
      <c r="C398" s="113" t="str">
        <f t="shared" si="12"/>
        <v>LD.HY.DKS</v>
      </c>
      <c r="D398" s="113" t="s">
        <v>14117</v>
      </c>
      <c r="E398" s="113" t="str">
        <f t="shared" si="13"/>
        <v>DKS&lt;-&gt;Lâm Động, Hưng Yên</v>
      </c>
    </row>
    <row r="399" spans="1:5" x14ac:dyDescent="0.3">
      <c r="A399" s="122" t="s">
        <v>11519</v>
      </c>
      <c r="B399" s="122" t="s">
        <v>11520</v>
      </c>
      <c r="C399" s="113" t="str">
        <f t="shared" si="12"/>
        <v>LD.HY.THG</v>
      </c>
      <c r="D399" s="113" t="s">
        <v>14118</v>
      </c>
      <c r="E399" s="113" t="str">
        <f t="shared" si="13"/>
        <v>THG&lt;-&gt;Lạc Đạo, Hưng Yên</v>
      </c>
    </row>
    <row r="400" spans="1:5" x14ac:dyDescent="0.3">
      <c r="A400" s="122" t="s">
        <v>11521</v>
      </c>
      <c r="B400" s="122" t="s">
        <v>11522</v>
      </c>
      <c r="C400" s="113" t="str">
        <f t="shared" si="12"/>
        <v>LDA.HN.DKG</v>
      </c>
      <c r="D400" s="113" t="s">
        <v>14119</v>
      </c>
      <c r="E400" s="113" t="str">
        <f t="shared" si="13"/>
        <v>DKG&lt;-&gt;Linh Đàm, Hà Nội</v>
      </c>
    </row>
    <row r="401" spans="1:5" x14ac:dyDescent="0.3">
      <c r="A401" s="122" t="s">
        <v>11523</v>
      </c>
      <c r="B401" s="122" t="s">
        <v>11524</v>
      </c>
      <c r="C401" s="113" t="str">
        <f t="shared" si="12"/>
        <v>LG.BG.DKG</v>
      </c>
      <c r="D401" s="113" t="s">
        <v>14120</v>
      </c>
      <c r="E401" s="113" t="str">
        <f t="shared" si="13"/>
        <v>DKG&lt;-&gt;Lạng Giang, Bắc Giang</v>
      </c>
    </row>
    <row r="402" spans="1:5" x14ac:dyDescent="0.3">
      <c r="A402" s="122" t="s">
        <v>11525</v>
      </c>
      <c r="B402" s="122" t="s">
        <v>11526</v>
      </c>
      <c r="C402" s="113" t="str">
        <f t="shared" si="12"/>
        <v>LG.BG.DKS</v>
      </c>
      <c r="D402" s="113" t="s">
        <v>14121</v>
      </c>
      <c r="E402" s="113" t="str">
        <f t="shared" si="13"/>
        <v>DKS&lt;-&gt;Lạng Giang, Bắc Giang</v>
      </c>
    </row>
    <row r="403" spans="1:5" x14ac:dyDescent="0.3">
      <c r="A403" s="122" t="s">
        <v>11527</v>
      </c>
      <c r="B403" s="122" t="s">
        <v>11528</v>
      </c>
      <c r="C403" s="113" t="str">
        <f t="shared" si="12"/>
        <v>LG.BG.THG</v>
      </c>
      <c r="D403" s="113" t="s">
        <v>14122</v>
      </c>
      <c r="E403" s="113" t="str">
        <f t="shared" si="13"/>
        <v>THG&lt;-&gt;Lạng Giang, Bắc Giang</v>
      </c>
    </row>
    <row r="404" spans="1:5" x14ac:dyDescent="0.3">
      <c r="A404" s="122" t="s">
        <v>11529</v>
      </c>
      <c r="B404" s="122" t="s">
        <v>11530</v>
      </c>
      <c r="C404" s="113" t="str">
        <f t="shared" si="12"/>
        <v>LH.TN.DKG</v>
      </c>
      <c r="D404" s="113" t="s">
        <v>14123</v>
      </c>
      <c r="E404" s="113" t="str">
        <f t="shared" si="13"/>
        <v>DKG&lt;-&gt;La Hiên, Thái Nguyên</v>
      </c>
    </row>
    <row r="405" spans="1:5" x14ac:dyDescent="0.3">
      <c r="A405" s="122" t="s">
        <v>11531</v>
      </c>
      <c r="B405" s="122" t="s">
        <v>11532</v>
      </c>
      <c r="C405" s="113" t="str">
        <f t="shared" si="12"/>
        <v>LK.HD.DKG</v>
      </c>
      <c r="D405" s="113" t="s">
        <v>14124</v>
      </c>
      <c r="E405" s="113" t="str">
        <f t="shared" si="13"/>
        <v>DKG&lt;-&gt;Lai Khê, Hải Dương</v>
      </c>
    </row>
    <row r="406" spans="1:5" x14ac:dyDescent="0.3">
      <c r="A406" s="122" t="s">
        <v>11533</v>
      </c>
      <c r="B406" s="122" t="s">
        <v>11534</v>
      </c>
      <c r="C406" s="113" t="str">
        <f t="shared" si="12"/>
        <v>LK.HD.THG</v>
      </c>
      <c r="D406" s="113" t="s">
        <v>14125</v>
      </c>
      <c r="E406" s="113" t="str">
        <f t="shared" si="13"/>
        <v>THG&lt;-&gt;Lai Khê, Hải Dương</v>
      </c>
    </row>
    <row r="407" spans="1:5" x14ac:dyDescent="0.3">
      <c r="A407" s="122" t="s">
        <v>11535</v>
      </c>
      <c r="B407" s="122" t="s">
        <v>11536</v>
      </c>
      <c r="C407" s="113" t="str">
        <f t="shared" si="12"/>
        <v>LM.HN.DKG</v>
      </c>
      <c r="D407" s="113" t="s">
        <v>14126</v>
      </c>
      <c r="E407" s="113" t="str">
        <f t="shared" si="13"/>
        <v>DKG&lt;-&gt;Liêm Mạc, Hà Nội</v>
      </c>
    </row>
    <row r="408" spans="1:5" x14ac:dyDescent="0.3">
      <c r="A408" s="122" t="s">
        <v>11537</v>
      </c>
      <c r="B408" s="122" t="s">
        <v>11538</v>
      </c>
      <c r="C408" s="113" t="str">
        <f t="shared" si="12"/>
        <v>LM.HN.THG</v>
      </c>
      <c r="D408" s="113" t="s">
        <v>14127</v>
      </c>
      <c r="E408" s="113" t="str">
        <f t="shared" si="13"/>
        <v>THG&lt;-&gt;Liêm Mạc, Hà Nội</v>
      </c>
    </row>
    <row r="409" spans="1:5" x14ac:dyDescent="0.3">
      <c r="A409" s="122" t="s">
        <v>11539</v>
      </c>
      <c r="B409" s="122" t="s">
        <v>11540</v>
      </c>
      <c r="C409" s="113" t="str">
        <f t="shared" si="12"/>
        <v>LM.TH.DKS</v>
      </c>
      <c r="D409" s="113" t="s">
        <v>14128</v>
      </c>
      <c r="E409" s="113" t="str">
        <f t="shared" si="13"/>
        <v>DKS&lt;-&gt;Lễ Môn, Thanh Hóa</v>
      </c>
    </row>
    <row r="410" spans="1:5" x14ac:dyDescent="0.3">
      <c r="A410" s="122" t="s">
        <v>11541</v>
      </c>
      <c r="B410" s="122" t="s">
        <v>11542</v>
      </c>
      <c r="C410" s="113" t="str">
        <f t="shared" si="12"/>
        <v>LN.BG.DKG</v>
      </c>
      <c r="D410" s="113" t="s">
        <v>14129</v>
      </c>
      <c r="E410" s="113" t="str">
        <f t="shared" si="13"/>
        <v>DKG&lt;-&gt;Lục Ngạn, Bắc Giang</v>
      </c>
    </row>
    <row r="411" spans="1:5" x14ac:dyDescent="0.3">
      <c r="A411" s="122" t="s">
        <v>11543</v>
      </c>
      <c r="B411" s="122" t="s">
        <v>11544</v>
      </c>
      <c r="C411" s="113" t="str">
        <f t="shared" si="12"/>
        <v>LN.BG.THG</v>
      </c>
      <c r="D411" s="113" t="s">
        <v>14130</v>
      </c>
      <c r="E411" s="113" t="str">
        <f t="shared" si="13"/>
        <v>THG&lt;-&gt;Lục Ngạn, Bắc Giang</v>
      </c>
    </row>
    <row r="412" spans="1:5" x14ac:dyDescent="0.3">
      <c r="A412" s="122" t="s">
        <v>11545</v>
      </c>
      <c r="B412" s="122" t="s">
        <v>11546</v>
      </c>
      <c r="C412" s="113" t="str">
        <f t="shared" si="12"/>
        <v>LN.HNA.DKG</v>
      </c>
      <c r="D412" s="113" t="s">
        <v>14131</v>
      </c>
      <c r="E412" s="113" t="str">
        <f t="shared" si="13"/>
        <v>DKG&lt;-&gt;Lý Nhân, Hà Nam</v>
      </c>
    </row>
    <row r="413" spans="1:5" x14ac:dyDescent="0.3">
      <c r="A413" s="122" t="s">
        <v>11547</v>
      </c>
      <c r="B413" s="122" t="s">
        <v>11548</v>
      </c>
      <c r="C413" s="113" t="str">
        <f t="shared" si="12"/>
        <v>LN.HNA.DKS</v>
      </c>
      <c r="D413" s="113" t="s">
        <v>14132</v>
      </c>
      <c r="E413" s="113" t="str">
        <f t="shared" si="13"/>
        <v>DKS&lt;-&gt;Lý Nhân, Hà Nam</v>
      </c>
    </row>
    <row r="414" spans="1:5" x14ac:dyDescent="0.3">
      <c r="A414" s="122" t="s">
        <v>11549</v>
      </c>
      <c r="B414" s="122" t="s">
        <v>11550</v>
      </c>
      <c r="C414" s="113" t="str">
        <f t="shared" si="12"/>
        <v>LN.HNA.THG</v>
      </c>
      <c r="D414" s="113" t="s">
        <v>14133</v>
      </c>
      <c r="E414" s="113" t="str">
        <f t="shared" si="13"/>
        <v>THG&lt;-&gt;Lý Nhân, Hà Nam</v>
      </c>
    </row>
    <row r="415" spans="1:5" x14ac:dyDescent="0.3">
      <c r="A415" s="122" t="s">
        <v>11551</v>
      </c>
      <c r="B415" s="122" t="s">
        <v>11552</v>
      </c>
      <c r="C415" s="113" t="str">
        <f t="shared" si="12"/>
        <v>LNA.BG.DKG</v>
      </c>
      <c r="D415" s="113" t="s">
        <v>14134</v>
      </c>
      <c r="E415" s="113" t="str">
        <f t="shared" si="13"/>
        <v>DKG&lt;-&gt;Lục Nam, Bắc Giang</v>
      </c>
    </row>
    <row r="416" spans="1:5" x14ac:dyDescent="0.3">
      <c r="A416" s="122" t="s">
        <v>11553</v>
      </c>
      <c r="B416" s="122" t="s">
        <v>11554</v>
      </c>
      <c r="C416" s="113" t="str">
        <f t="shared" si="12"/>
        <v>LNA.BG.DKS</v>
      </c>
      <c r="D416" s="113" t="s">
        <v>14135</v>
      </c>
      <c r="E416" s="113" t="str">
        <f t="shared" si="13"/>
        <v>DKS&lt;-&gt;Lục Nam, Bắc Giang</v>
      </c>
    </row>
    <row r="417" spans="1:5" x14ac:dyDescent="0.3">
      <c r="A417" s="122" t="s">
        <v>11555</v>
      </c>
      <c r="B417" s="122" t="s">
        <v>11556</v>
      </c>
      <c r="C417" s="113" t="str">
        <f t="shared" si="12"/>
        <v>LNA.BG.THG</v>
      </c>
      <c r="D417" s="113" t="s">
        <v>14136</v>
      </c>
      <c r="E417" s="113" t="str">
        <f t="shared" si="13"/>
        <v>THG&lt;-&gt;Lục Nam, Bắc Giang</v>
      </c>
    </row>
    <row r="418" spans="1:5" x14ac:dyDescent="0.3">
      <c r="A418" s="122" t="s">
        <v>11557</v>
      </c>
      <c r="B418" s="122" t="s">
        <v>11558</v>
      </c>
      <c r="C418" s="113" t="str">
        <f t="shared" si="12"/>
        <v>LNG.BG.DKS</v>
      </c>
      <c r="D418" s="113" t="s">
        <v>14137</v>
      </c>
      <c r="E418" s="113" t="str">
        <f t="shared" si="13"/>
        <v>DKS&lt;-&gt;Lục Ngạn, Bắc Giang</v>
      </c>
    </row>
    <row r="419" spans="1:5" x14ac:dyDescent="0.3">
      <c r="A419" s="122" t="s">
        <v>11559</v>
      </c>
      <c r="B419" s="122" t="s">
        <v>11560</v>
      </c>
      <c r="C419" s="113" t="str">
        <f t="shared" si="12"/>
        <v>LPXD</v>
      </c>
      <c r="D419" s="113" t="s">
        <v>11560</v>
      </c>
      <c r="E419" s="113" t="str">
        <f t="shared" si="13"/>
        <v>Lệ phí xăng dầu</v>
      </c>
    </row>
    <row r="420" spans="1:5" x14ac:dyDescent="0.3">
      <c r="A420" s="122" t="s">
        <v>11561</v>
      </c>
      <c r="B420" s="122" t="s">
        <v>11562</v>
      </c>
      <c r="C420" s="113" t="str">
        <f t="shared" si="12"/>
        <v>LS.HB.DKS</v>
      </c>
      <c r="D420" s="113" t="s">
        <v>14138</v>
      </c>
      <c r="E420" s="113" t="str">
        <f t="shared" si="13"/>
        <v>DKS&lt;-&gt;Lương Sơn, Hòa Bình</v>
      </c>
    </row>
    <row r="421" spans="1:5" x14ac:dyDescent="0.3">
      <c r="A421" s="122" t="s">
        <v>11563</v>
      </c>
      <c r="B421" s="122" t="s">
        <v>11564</v>
      </c>
      <c r="C421" s="113" t="str">
        <f t="shared" si="12"/>
        <v>LT.BN.DKG</v>
      </c>
      <c r="D421" s="113" t="s">
        <v>14139</v>
      </c>
      <c r="E421" s="113" t="str">
        <f t="shared" si="13"/>
        <v>DKG&lt;-&gt;Lương Tài, Bắc Ninh</v>
      </c>
    </row>
    <row r="422" spans="1:5" x14ac:dyDescent="0.3">
      <c r="A422" s="122" t="s">
        <v>11565</v>
      </c>
      <c r="B422" s="122" t="s">
        <v>11566</v>
      </c>
      <c r="C422" s="113" t="str">
        <f t="shared" si="12"/>
        <v>LT.BN.THG</v>
      </c>
      <c r="D422" s="113" t="s">
        <v>14140</v>
      </c>
      <c r="E422" s="113" t="str">
        <f t="shared" si="13"/>
        <v>THG&lt;-&gt;Lương Tài, Bắc Ninh</v>
      </c>
    </row>
    <row r="423" spans="1:5" x14ac:dyDescent="0.3">
      <c r="A423" s="122" t="s">
        <v>11567</v>
      </c>
      <c r="B423" s="122" t="s">
        <v>11568</v>
      </c>
      <c r="C423" s="113" t="str">
        <f t="shared" si="12"/>
        <v>LT.HB.DKG</v>
      </c>
      <c r="D423" s="113" t="s">
        <v>14141</v>
      </c>
      <c r="E423" s="113" t="str">
        <f t="shared" si="13"/>
        <v>DKG&lt;-&gt;Lạc Thủy, Hòa Bình</v>
      </c>
    </row>
    <row r="424" spans="1:5" x14ac:dyDescent="0.3">
      <c r="A424" s="122" t="s">
        <v>11569</v>
      </c>
      <c r="B424" s="122" t="s">
        <v>11570</v>
      </c>
      <c r="C424" s="113" t="str">
        <f t="shared" si="12"/>
        <v>LT.PT.DKG</v>
      </c>
      <c r="D424" s="113" t="s">
        <v>14142</v>
      </c>
      <c r="E424" s="113" t="str">
        <f t="shared" si="13"/>
        <v>DKG&lt;-&gt;Lâm Thao, Phú Thọ</v>
      </c>
    </row>
    <row r="425" spans="1:5" x14ac:dyDescent="0.3">
      <c r="A425" s="122" t="s">
        <v>11571</v>
      </c>
      <c r="B425" s="122" t="s">
        <v>11572</v>
      </c>
      <c r="C425" s="113" t="str">
        <f t="shared" si="12"/>
        <v>LT.QB.DKG</v>
      </c>
      <c r="D425" s="113" t="s">
        <v>14143</v>
      </c>
      <c r="E425" s="113" t="str">
        <f t="shared" si="13"/>
        <v>DKG&lt;-&gt;Lệ Thủy, Quảng Bình</v>
      </c>
    </row>
    <row r="426" spans="1:5" x14ac:dyDescent="0.3">
      <c r="A426" s="122" t="s">
        <v>11573</v>
      </c>
      <c r="B426" s="122" t="s">
        <v>11574</v>
      </c>
      <c r="C426" s="113" t="str">
        <f t="shared" si="12"/>
        <v>LT.VP.DKG</v>
      </c>
      <c r="D426" s="113" t="s">
        <v>14144</v>
      </c>
      <c r="E426" s="113" t="str">
        <f t="shared" si="13"/>
        <v>DKG&lt;-&gt;Lập Thạch, Vĩnh Phúc</v>
      </c>
    </row>
    <row r="427" spans="1:5" x14ac:dyDescent="0.3">
      <c r="A427" s="122" t="s">
        <v>11575</v>
      </c>
      <c r="B427" s="122" t="s">
        <v>11576</v>
      </c>
      <c r="C427" s="113" t="str">
        <f t="shared" si="12"/>
        <v>LT.VP.DKS</v>
      </c>
      <c r="D427" s="113" t="s">
        <v>14145</v>
      </c>
      <c r="E427" s="113" t="str">
        <f t="shared" si="13"/>
        <v>DKS&lt;-&gt;Lập Thạch, Vĩnh Phúc</v>
      </c>
    </row>
    <row r="428" spans="1:5" x14ac:dyDescent="0.3">
      <c r="A428" s="122" t="s">
        <v>11577</v>
      </c>
      <c r="B428" s="122" t="s">
        <v>11578</v>
      </c>
      <c r="C428" s="113" t="str">
        <f t="shared" si="12"/>
        <v>LT.VP.THG</v>
      </c>
      <c r="D428" s="113" t="s">
        <v>14146</v>
      </c>
      <c r="E428" s="113" t="str">
        <f t="shared" si="13"/>
        <v>THG&lt;-&gt;Lập Thạch, Vĩnh Phúc</v>
      </c>
    </row>
    <row r="429" spans="1:5" x14ac:dyDescent="0.3">
      <c r="A429" s="122" t="s">
        <v>11579</v>
      </c>
      <c r="B429" s="122" t="s">
        <v>11580</v>
      </c>
      <c r="C429" s="113" t="str">
        <f t="shared" si="12"/>
        <v>LUUBAI</v>
      </c>
      <c r="D429" s="113" t="s">
        <v>11580</v>
      </c>
      <c r="E429" s="113" t="str">
        <f t="shared" si="13"/>
        <v>Lưu bãi</v>
      </c>
    </row>
    <row r="430" spans="1:5" x14ac:dyDescent="0.3">
      <c r="A430" s="122" t="s">
        <v>11581</v>
      </c>
      <c r="B430" s="122" t="s">
        <v>11582</v>
      </c>
      <c r="C430" s="113" t="str">
        <f t="shared" si="12"/>
        <v>LUUCAXE</v>
      </c>
      <c r="D430" s="113" t="s">
        <v>11582</v>
      </c>
      <c r="E430" s="113" t="str">
        <f t="shared" si="13"/>
        <v>Lưu ca xe</v>
      </c>
    </row>
    <row r="431" spans="1:5" x14ac:dyDescent="0.3">
      <c r="A431" s="122" t="s">
        <v>11583</v>
      </c>
      <c r="B431" s="122" t="s">
        <v>11584</v>
      </c>
      <c r="C431" s="113" t="str">
        <f t="shared" si="12"/>
        <v>LUUKHO</v>
      </c>
      <c r="D431" s="113" t="s">
        <v>11584</v>
      </c>
      <c r="E431" s="113" t="str">
        <f t="shared" si="13"/>
        <v>Lưu kho</v>
      </c>
    </row>
    <row r="432" spans="1:5" x14ac:dyDescent="0.3">
      <c r="A432" s="122" t="s">
        <v>11585</v>
      </c>
      <c r="B432" s="122" t="s">
        <v>11586</v>
      </c>
      <c r="C432" s="113" t="str">
        <f t="shared" si="12"/>
        <v>MA.YB.DKS</v>
      </c>
      <c r="D432" s="113" t="s">
        <v>14147</v>
      </c>
      <c r="E432" s="113" t="str">
        <f t="shared" si="13"/>
        <v>DKS&lt;-&gt;Mậu Á, Yên bái</v>
      </c>
    </row>
    <row r="433" spans="1:5" x14ac:dyDescent="0.3">
      <c r="A433" s="122" t="s">
        <v>11587</v>
      </c>
      <c r="B433" s="122" t="s">
        <v>11588</v>
      </c>
      <c r="C433" s="113" t="str">
        <f t="shared" si="12"/>
        <v>MC.QN.DKG</v>
      </c>
      <c r="D433" s="113" t="s">
        <v>14148</v>
      </c>
      <c r="E433" s="113" t="str">
        <f t="shared" si="13"/>
        <v>DKG&lt;-&gt;Móng Cái, Quảng Ninh</v>
      </c>
    </row>
    <row r="434" spans="1:5" x14ac:dyDescent="0.3">
      <c r="A434" s="122" t="s">
        <v>11589</v>
      </c>
      <c r="B434" s="122" t="s">
        <v>11590</v>
      </c>
      <c r="C434" s="113" t="str">
        <f t="shared" si="12"/>
        <v>MC.QN.THG</v>
      </c>
      <c r="D434" s="113" t="s">
        <v>14149</v>
      </c>
      <c r="E434" s="113" t="str">
        <f t="shared" si="13"/>
        <v>THG&lt;-&gt;Móng Cái, Quảng Ninh</v>
      </c>
    </row>
    <row r="435" spans="1:5" x14ac:dyDescent="0.3">
      <c r="A435" s="122" t="s">
        <v>11591</v>
      </c>
      <c r="B435" s="122" t="s">
        <v>11592</v>
      </c>
      <c r="C435" s="113" t="str">
        <f t="shared" si="12"/>
        <v>MD.HN.DKG</v>
      </c>
      <c r="D435" s="113" t="s">
        <v>14150</v>
      </c>
      <c r="E435" s="113" t="str">
        <f t="shared" si="13"/>
        <v>DKG&lt;-&gt;Mỹ Đức, Hà Nội</v>
      </c>
    </row>
    <row r="436" spans="1:5" x14ac:dyDescent="0.3">
      <c r="A436" s="122" t="s">
        <v>11593</v>
      </c>
      <c r="B436" s="122" t="s">
        <v>11594</v>
      </c>
      <c r="C436" s="113" t="str">
        <f t="shared" si="12"/>
        <v>MD.HN.DKS</v>
      </c>
      <c r="D436" s="113" t="s">
        <v>14151</v>
      </c>
      <c r="E436" s="113" t="str">
        <f t="shared" si="13"/>
        <v>DKS&lt;-&gt;Mỹ Đình, Hà Nội</v>
      </c>
    </row>
    <row r="437" spans="1:5" x14ac:dyDescent="0.3">
      <c r="A437" s="122" t="s">
        <v>11595</v>
      </c>
      <c r="B437" s="122" t="s">
        <v>11596</v>
      </c>
      <c r="C437" s="113" t="str">
        <f t="shared" si="12"/>
        <v>MH.HY.DKG</v>
      </c>
      <c r="D437" s="113" t="s">
        <v>14152</v>
      </c>
      <c r="E437" s="113" t="str">
        <f t="shared" si="13"/>
        <v>DKG&lt;-&gt;Mỹ Hào, Hưng Yên</v>
      </c>
    </row>
    <row r="438" spans="1:5" x14ac:dyDescent="0.3">
      <c r="A438" s="122" t="s">
        <v>11597</v>
      </c>
      <c r="B438" s="122" t="s">
        <v>11598</v>
      </c>
      <c r="C438" s="113" t="str">
        <f t="shared" si="12"/>
        <v>MH.HY.DKS</v>
      </c>
      <c r="D438" s="113" t="s">
        <v>14153</v>
      </c>
      <c r="E438" s="113" t="str">
        <f t="shared" si="13"/>
        <v>DKS&lt;-&gt;Mỹ Hào, Hưng Yên</v>
      </c>
    </row>
    <row r="439" spans="1:5" x14ac:dyDescent="0.3">
      <c r="A439" s="122" t="s">
        <v>11599</v>
      </c>
      <c r="B439" s="122" t="s">
        <v>11600</v>
      </c>
      <c r="C439" s="113" t="str">
        <f t="shared" si="12"/>
        <v>MH.HY.THG</v>
      </c>
      <c r="D439" s="113" t="s">
        <v>14154</v>
      </c>
      <c r="E439" s="113" t="str">
        <f t="shared" si="13"/>
        <v>THG&lt;-&gt;Mỹ Hào, Hưng Yên</v>
      </c>
    </row>
    <row r="440" spans="1:5" x14ac:dyDescent="0.3">
      <c r="A440" s="122" t="s">
        <v>11601</v>
      </c>
      <c r="B440" s="122" t="s">
        <v>11602</v>
      </c>
      <c r="C440" s="113" t="str">
        <f t="shared" si="12"/>
        <v>MHL.LS.DKG</v>
      </c>
      <c r="D440" s="113" t="s">
        <v>14155</v>
      </c>
      <c r="E440" s="113" t="str">
        <f t="shared" si="13"/>
        <v>DKG&lt;-&gt;Mẹt_Hữu Lũng, Lạng Sơn</v>
      </c>
    </row>
    <row r="441" spans="1:5" x14ac:dyDescent="0.3">
      <c r="A441" s="122" t="s">
        <v>11603</v>
      </c>
      <c r="B441" s="122" t="s">
        <v>11604</v>
      </c>
      <c r="C441" s="113" t="str">
        <f t="shared" si="12"/>
        <v>MK.QN.DKG</v>
      </c>
      <c r="D441" s="113" t="s">
        <v>14156</v>
      </c>
      <c r="E441" s="113" t="str">
        <f t="shared" si="13"/>
        <v>DKG&lt;-&gt;Mạo Khê, Quảng Ninh</v>
      </c>
    </row>
    <row r="442" spans="1:5" x14ac:dyDescent="0.3">
      <c r="A442" s="122" t="s">
        <v>11605</v>
      </c>
      <c r="B442" s="122" t="s">
        <v>11606</v>
      </c>
      <c r="C442" s="113" t="str">
        <f t="shared" si="12"/>
        <v>MK.QN.THG</v>
      </c>
      <c r="D442" s="113" t="s">
        <v>14157</v>
      </c>
      <c r="E442" s="113" t="str">
        <f t="shared" si="13"/>
        <v>THG&lt;-&gt;Mạo Khê, Quảng Ninh</v>
      </c>
    </row>
    <row r="443" spans="1:5" x14ac:dyDescent="0.3">
      <c r="A443" s="122" t="s">
        <v>11607</v>
      </c>
      <c r="B443" s="122" t="s">
        <v>11608</v>
      </c>
      <c r="C443" s="113" t="str">
        <f t="shared" si="12"/>
        <v>ML.HN.DKS</v>
      </c>
      <c r="D443" s="113" t="s">
        <v>14158</v>
      </c>
      <c r="E443" s="113" t="str">
        <f t="shared" si="13"/>
        <v>DKS&lt;-&gt;Mê Linh, Hà Nội</v>
      </c>
    </row>
    <row r="444" spans="1:5" x14ac:dyDescent="0.3">
      <c r="A444" s="122" t="s">
        <v>11609</v>
      </c>
      <c r="B444" s="122" t="s">
        <v>11610</v>
      </c>
      <c r="C444" s="113" t="str">
        <f t="shared" si="12"/>
        <v>ML.ND.DKG</v>
      </c>
      <c r="D444" s="113" t="s">
        <v>14159</v>
      </c>
      <c r="E444" s="113" t="str">
        <f t="shared" si="13"/>
        <v>DKG&lt;-&gt;Mỹ Lộc, Nam Định</v>
      </c>
    </row>
    <row r="445" spans="1:5" x14ac:dyDescent="0.3">
      <c r="A445" s="122" t="s">
        <v>11611</v>
      </c>
      <c r="B445" s="122" t="s">
        <v>11612</v>
      </c>
      <c r="C445" s="113" t="str">
        <f t="shared" si="12"/>
        <v>ML.ND.THG</v>
      </c>
      <c r="D445" s="113" t="s">
        <v>14160</v>
      </c>
      <c r="E445" s="113" t="str">
        <f t="shared" si="13"/>
        <v>THG&lt;-&gt;Mỹ Lộc, Nam Định</v>
      </c>
    </row>
    <row r="446" spans="1:5" x14ac:dyDescent="0.3">
      <c r="A446" s="122" t="s">
        <v>11613</v>
      </c>
      <c r="B446" s="122" t="s">
        <v>11614</v>
      </c>
      <c r="C446" s="113" t="str">
        <f t="shared" si="12"/>
        <v>MT.HP.DKS</v>
      </c>
      <c r="D446" s="113" t="s">
        <v>14161</v>
      </c>
      <c r="E446" s="113" t="str">
        <f t="shared" si="13"/>
        <v>DKS&lt;-&gt;Minh Thành, Hải Phòng</v>
      </c>
    </row>
    <row r="447" spans="1:5" x14ac:dyDescent="0.3">
      <c r="A447" s="122" t="s">
        <v>11615</v>
      </c>
      <c r="B447" s="122" t="s">
        <v>11616</v>
      </c>
      <c r="C447" s="113" t="str">
        <f t="shared" si="12"/>
        <v>MT.ND.DKG</v>
      </c>
      <c r="D447" s="113" t="s">
        <v>14162</v>
      </c>
      <c r="E447" s="113" t="str">
        <f t="shared" si="13"/>
        <v>DKG&lt;-&gt;Mỹ Thuận, Nam Định</v>
      </c>
    </row>
    <row r="448" spans="1:5" x14ac:dyDescent="0.3">
      <c r="A448" s="122" t="s">
        <v>11617</v>
      </c>
      <c r="B448" s="122" t="s">
        <v>11618</v>
      </c>
      <c r="C448" s="113" t="str">
        <f t="shared" si="12"/>
        <v>NANGCONT</v>
      </c>
      <c r="D448" s="113" t="s">
        <v>11618</v>
      </c>
      <c r="E448" s="113" t="str">
        <f t="shared" si="13"/>
        <v>Nâng cont từ bãi lên xe đầu kéo</v>
      </c>
    </row>
    <row r="449" spans="1:5" x14ac:dyDescent="0.3">
      <c r="A449" s="122" t="s">
        <v>11619</v>
      </c>
      <c r="B449" s="122" t="s">
        <v>11620</v>
      </c>
      <c r="C449" s="113" t="str">
        <f t="shared" si="12"/>
        <v>NANGGOHOP</v>
      </c>
      <c r="D449" s="113" t="s">
        <v>11620</v>
      </c>
      <c r="E449" s="113" t="str">
        <f t="shared" si="13"/>
        <v>Nâng gỗ hộp từ bãi lên xe</v>
      </c>
    </row>
    <row r="450" spans="1:5" x14ac:dyDescent="0.3">
      <c r="A450" s="122" t="s">
        <v>11621</v>
      </c>
      <c r="B450" s="122" t="s">
        <v>11622</v>
      </c>
      <c r="C450" s="113" t="str">
        <f t="shared" si="12"/>
        <v>NANGGOPHAN</v>
      </c>
      <c r="D450" s="113" t="s">
        <v>11622</v>
      </c>
      <c r="E450" s="113" t="str">
        <f t="shared" si="13"/>
        <v>Nâng gỗ phản từ bãi lên xe</v>
      </c>
    </row>
    <row r="451" spans="1:5" x14ac:dyDescent="0.3">
      <c r="A451" s="122" t="s">
        <v>11623</v>
      </c>
      <c r="B451" s="122" t="s">
        <v>11624</v>
      </c>
      <c r="C451" s="113" t="str">
        <f t="shared" si="12"/>
        <v>NANGGOTRAC</v>
      </c>
      <c r="D451" s="113" t="s">
        <v>11624</v>
      </c>
      <c r="E451" s="113" t="str">
        <f t="shared" si="13"/>
        <v>Nâng gỗ trắc/gỗ rời khác từ bãi lên xe</v>
      </c>
    </row>
    <row r="452" spans="1:5" x14ac:dyDescent="0.3">
      <c r="A452" s="122" t="s">
        <v>11625</v>
      </c>
      <c r="B452" s="122" t="s">
        <v>11626</v>
      </c>
      <c r="C452" s="113" t="str">
        <f t="shared" ref="C452:C515" si="14">+A452</f>
        <v>NANGGOTRON</v>
      </c>
      <c r="D452" s="113" t="s">
        <v>11626</v>
      </c>
      <c r="E452" s="113" t="str">
        <f t="shared" ref="E452:E515" si="15">B452</f>
        <v>Nâng gỗ tròn từ bãi lên xe</v>
      </c>
    </row>
    <row r="453" spans="1:5" x14ac:dyDescent="0.3">
      <c r="A453" s="122" t="s">
        <v>11627</v>
      </c>
      <c r="B453" s="122" t="s">
        <v>11628</v>
      </c>
      <c r="C453" s="113" t="str">
        <f t="shared" si="14"/>
        <v>NANGGOXE</v>
      </c>
      <c r="D453" s="113" t="s">
        <v>14163</v>
      </c>
      <c r="E453" s="113" t="str">
        <f t="shared" si="15"/>
        <v>Nâng gỗ xẻ, đóng kiện từ bãi lên xe</v>
      </c>
    </row>
    <row r="454" spans="1:5" x14ac:dyDescent="0.3">
      <c r="A454" s="122" t="s">
        <v>11629</v>
      </c>
      <c r="B454" s="122" t="s">
        <v>11630</v>
      </c>
      <c r="C454" s="113" t="str">
        <f t="shared" si="14"/>
        <v>NB.HP.DKS</v>
      </c>
      <c r="D454" s="113" t="s">
        <v>14164</v>
      </c>
      <c r="E454" s="113" t="str">
        <f t="shared" si="15"/>
        <v>DKS&lt;-&gt;Nam Bắc, Hải Phòng</v>
      </c>
    </row>
    <row r="455" spans="1:5" x14ac:dyDescent="0.3">
      <c r="A455" s="122" t="s">
        <v>11631</v>
      </c>
      <c r="B455" s="122" t="s">
        <v>11632</v>
      </c>
      <c r="C455" s="113" t="str">
        <f t="shared" si="14"/>
        <v>NC.TH.DKG</v>
      </c>
      <c r="D455" s="113" t="s">
        <v>14165</v>
      </c>
      <c r="E455" s="113" t="str">
        <f t="shared" si="15"/>
        <v>DKG&lt;-&gt;Nông Cống, Thanh Hóa</v>
      </c>
    </row>
    <row r="456" spans="1:5" x14ac:dyDescent="0.3">
      <c r="A456" s="122" t="s">
        <v>11633</v>
      </c>
      <c r="B456" s="122" t="s">
        <v>11634</v>
      </c>
      <c r="C456" s="113" t="str">
        <f t="shared" si="14"/>
        <v>ND.NA.DKG</v>
      </c>
      <c r="D456" s="113" t="s">
        <v>14166</v>
      </c>
      <c r="E456" s="113" t="str">
        <f t="shared" si="15"/>
        <v>DKG&lt;-&gt;Nam Đàn, Nghệ An</v>
      </c>
    </row>
    <row r="457" spans="1:5" x14ac:dyDescent="0.3">
      <c r="A457" s="122" t="s">
        <v>11635</v>
      </c>
      <c r="B457" s="122" t="s">
        <v>11636</v>
      </c>
      <c r="C457" s="113" t="str">
        <f t="shared" si="14"/>
        <v>ND.NA.DKS</v>
      </c>
      <c r="D457" s="113" t="s">
        <v>14167</v>
      </c>
      <c r="E457" s="113" t="str">
        <f t="shared" si="15"/>
        <v>DKS&lt;-&gt;Nam Đàn, Nghệ An</v>
      </c>
    </row>
    <row r="458" spans="1:5" x14ac:dyDescent="0.3">
      <c r="A458" s="122" t="s">
        <v>11637</v>
      </c>
      <c r="B458" s="122" t="s">
        <v>11638</v>
      </c>
      <c r="C458" s="113" t="str">
        <f t="shared" si="14"/>
        <v>ND.NA.THG</v>
      </c>
      <c r="D458" s="113" t="s">
        <v>14168</v>
      </c>
      <c r="E458" s="113" t="str">
        <f t="shared" si="15"/>
        <v>THG&lt;-&gt;Nam Đàn, Nghệ An</v>
      </c>
    </row>
    <row r="459" spans="1:5" x14ac:dyDescent="0.3">
      <c r="A459" s="122" t="s">
        <v>11639</v>
      </c>
      <c r="B459" s="122" t="s">
        <v>11640</v>
      </c>
      <c r="C459" s="113" t="str">
        <f t="shared" si="14"/>
        <v>NG.HD.DKG</v>
      </c>
      <c r="D459" s="113" t="s">
        <v>14169</v>
      </c>
      <c r="E459" s="113" t="str">
        <f t="shared" si="15"/>
        <v>DKG&lt;-&gt;Ninh Giang, Hải Dương</v>
      </c>
    </row>
    <row r="460" spans="1:5" x14ac:dyDescent="0.3">
      <c r="A460" s="122" t="s">
        <v>11641</v>
      </c>
      <c r="B460" s="122" t="s">
        <v>11642</v>
      </c>
      <c r="C460" s="113" t="str">
        <f t="shared" si="14"/>
        <v>NG.HD.DKS</v>
      </c>
      <c r="D460" s="113" t="s">
        <v>14170</v>
      </c>
      <c r="E460" s="113" t="str">
        <f t="shared" si="15"/>
        <v>DKS&lt;-&gt;Ninh Giang, Hải Dương</v>
      </c>
    </row>
    <row r="461" spans="1:5" x14ac:dyDescent="0.3">
      <c r="A461" s="122" t="s">
        <v>11643</v>
      </c>
      <c r="B461" s="122" t="s">
        <v>11644</v>
      </c>
      <c r="C461" s="113" t="str">
        <f t="shared" si="14"/>
        <v>NG.HD.THG</v>
      </c>
      <c r="D461" s="113" t="s">
        <v>14171</v>
      </c>
      <c r="E461" s="113" t="str">
        <f t="shared" si="15"/>
        <v>THG&lt;-&gt;Ninh Giang, Hải Dương</v>
      </c>
    </row>
    <row r="462" spans="1:5" x14ac:dyDescent="0.3">
      <c r="A462" s="122" t="s">
        <v>11645</v>
      </c>
      <c r="B462" s="122" t="s">
        <v>11646</v>
      </c>
      <c r="C462" s="113" t="str">
        <f t="shared" si="14"/>
        <v>NGD.NA.DKG</v>
      </c>
      <c r="D462" s="113" t="s">
        <v>14172</v>
      </c>
      <c r="E462" s="113" t="str">
        <f t="shared" si="15"/>
        <v>DKG&lt;-&gt;Nghĩa Đàn, Nghệ An</v>
      </c>
    </row>
    <row r="463" spans="1:5" x14ac:dyDescent="0.3">
      <c r="A463" s="122" t="s">
        <v>11647</v>
      </c>
      <c r="B463" s="122" t="s">
        <v>11648</v>
      </c>
      <c r="C463" s="113" t="str">
        <f t="shared" si="14"/>
        <v>NGS.TH.DKG</v>
      </c>
      <c r="D463" s="113" t="s">
        <v>14173</v>
      </c>
      <c r="E463" s="113" t="str">
        <f t="shared" si="15"/>
        <v>DKG&lt;-&gt;Nghi Sơn, Thanh Hóa</v>
      </c>
    </row>
    <row r="464" spans="1:5" x14ac:dyDescent="0.3">
      <c r="A464" s="122" t="s">
        <v>11649</v>
      </c>
      <c r="B464" s="122" t="s">
        <v>11650</v>
      </c>
      <c r="C464" s="113" t="str">
        <f t="shared" si="14"/>
        <v>NH.HN.DKG</v>
      </c>
      <c r="D464" s="113" t="s">
        <v>14174</v>
      </c>
      <c r="E464" s="113" t="str">
        <f t="shared" si="15"/>
        <v>DKG&lt;-&gt;Ngọc Hồi, Hà Nội</v>
      </c>
    </row>
    <row r="465" spans="1:5" x14ac:dyDescent="0.3">
      <c r="A465" s="122" t="s">
        <v>11651</v>
      </c>
      <c r="B465" s="122" t="s">
        <v>11652</v>
      </c>
      <c r="C465" s="113" t="str">
        <f t="shared" si="14"/>
        <v>NH.HN.DKS</v>
      </c>
      <c r="D465" s="113" t="s">
        <v>14175</v>
      </c>
      <c r="E465" s="113" t="str">
        <f t="shared" si="15"/>
        <v>DKS&lt;-&gt;Ngọc Hồi, Hà Nội</v>
      </c>
    </row>
    <row r="466" spans="1:5" x14ac:dyDescent="0.3">
      <c r="A466" s="122" t="s">
        <v>11653</v>
      </c>
      <c r="B466" s="122" t="s">
        <v>11654</v>
      </c>
      <c r="C466" s="113" t="str">
        <f t="shared" si="14"/>
        <v>NH.ND.DKG</v>
      </c>
      <c r="D466" s="113" t="s">
        <v>14176</v>
      </c>
      <c r="E466" s="113" t="str">
        <f t="shared" si="15"/>
        <v>DKG&lt;-&gt;Nghĩa Hưng, Nam Định</v>
      </c>
    </row>
    <row r="467" spans="1:5" x14ac:dyDescent="0.3">
      <c r="A467" s="122" t="s">
        <v>11655</v>
      </c>
      <c r="B467" s="122" t="s">
        <v>11656</v>
      </c>
      <c r="C467" s="113" t="str">
        <f t="shared" si="14"/>
        <v>NH.ND.DKS</v>
      </c>
      <c r="D467" s="113" t="s">
        <v>14177</v>
      </c>
      <c r="E467" s="113" t="str">
        <f t="shared" si="15"/>
        <v>DKS&lt;-&gt;Nghĩa Hưng, Nam Định</v>
      </c>
    </row>
    <row r="468" spans="1:5" x14ac:dyDescent="0.3">
      <c r="A468" s="122" t="s">
        <v>11657</v>
      </c>
      <c r="B468" s="122" t="s">
        <v>11658</v>
      </c>
      <c r="C468" s="113" t="str">
        <f t="shared" si="14"/>
        <v>NH.ND.THG</v>
      </c>
      <c r="D468" s="113" t="s">
        <v>14178</v>
      </c>
      <c r="E468" s="113" t="str">
        <f t="shared" si="15"/>
        <v>THG&lt;-&gt;Nghĩa Hưng, Nam Định</v>
      </c>
    </row>
    <row r="469" spans="1:5" x14ac:dyDescent="0.3">
      <c r="A469" s="122" t="s">
        <v>11659</v>
      </c>
      <c r="B469" s="122" t="s">
        <v>11660</v>
      </c>
      <c r="C469" s="113" t="str">
        <f t="shared" si="14"/>
        <v>NH.TQ.DKG</v>
      </c>
      <c r="D469" s="113" t="s">
        <v>14179</v>
      </c>
      <c r="E469" s="113" t="str">
        <f t="shared" si="15"/>
        <v>DKG&lt;-&gt;Na Hang, Tuyên Quang</v>
      </c>
    </row>
    <row r="470" spans="1:5" x14ac:dyDescent="0.3">
      <c r="A470" s="122" t="s">
        <v>11661</v>
      </c>
      <c r="B470" s="122" t="s">
        <v>11662</v>
      </c>
      <c r="C470" s="113" t="str">
        <f t="shared" si="14"/>
        <v>NL.NA.DKG</v>
      </c>
      <c r="D470" s="113" t="s">
        <v>14180</v>
      </c>
      <c r="E470" s="113" t="str">
        <f t="shared" si="15"/>
        <v>DKG&lt;-&gt;Nghi Lộc, Nghệ An</v>
      </c>
    </row>
    <row r="471" spans="1:5" x14ac:dyDescent="0.3">
      <c r="A471" s="122" t="s">
        <v>11663</v>
      </c>
      <c r="B471" s="122" t="s">
        <v>11664</v>
      </c>
      <c r="C471" s="113" t="str">
        <f t="shared" si="14"/>
        <v>NL.NA.DKS</v>
      </c>
      <c r="D471" s="113" t="s">
        <v>14181</v>
      </c>
      <c r="E471" s="113" t="str">
        <f t="shared" si="15"/>
        <v>DKS&lt;-&gt;Nghi Lộc, Nghệ An</v>
      </c>
    </row>
    <row r="472" spans="1:5" x14ac:dyDescent="0.3">
      <c r="A472" s="122" t="s">
        <v>11665</v>
      </c>
      <c r="B472" s="122" t="s">
        <v>11666</v>
      </c>
      <c r="C472" s="113" t="str">
        <f t="shared" si="14"/>
        <v>NL.YB.DKS</v>
      </c>
      <c r="D472" s="113" t="s">
        <v>14182</v>
      </c>
      <c r="E472" s="113" t="str">
        <f t="shared" si="15"/>
        <v>DKS&lt;-&gt;Nghĩa Lộ, Yên Bái</v>
      </c>
    </row>
    <row r="473" spans="1:5" x14ac:dyDescent="0.3">
      <c r="A473" s="122" t="s">
        <v>11667</v>
      </c>
      <c r="B473" s="122" t="s">
        <v>11668</v>
      </c>
      <c r="C473" s="113" t="str">
        <f t="shared" si="14"/>
        <v>NP.HP.DKS</v>
      </c>
      <c r="D473" s="113" t="s">
        <v>14183</v>
      </c>
      <c r="E473" s="113" t="str">
        <f t="shared" si="15"/>
        <v>DKS&lt;-&gt;Ngũ Phúc, Hải Phòng</v>
      </c>
    </row>
    <row r="474" spans="1:5" x14ac:dyDescent="0.3">
      <c r="A474" s="122" t="s">
        <v>11669</v>
      </c>
      <c r="B474" s="122" t="s">
        <v>11670</v>
      </c>
      <c r="C474" s="113" t="str">
        <f t="shared" si="14"/>
        <v>NP.NB.DKS</v>
      </c>
      <c r="D474" s="113" t="s">
        <v>14184</v>
      </c>
      <c r="E474" s="113" t="str">
        <f t="shared" si="15"/>
        <v>DKS&lt;-&gt;Ninh Phong, Ninh Bình</v>
      </c>
    </row>
    <row r="475" spans="1:5" x14ac:dyDescent="0.3">
      <c r="A475" s="122" t="s">
        <v>11671</v>
      </c>
      <c r="B475" s="122" t="s">
        <v>11672</v>
      </c>
      <c r="C475" s="113" t="str">
        <f t="shared" si="14"/>
        <v>NQ.HY.DKS</v>
      </c>
      <c r="D475" s="113" t="s">
        <v>14185</v>
      </c>
      <c r="E475" s="113" t="str">
        <f t="shared" si="15"/>
        <v>DKS&lt;-&gt;Như Quỳnh, Hưng Yên</v>
      </c>
    </row>
    <row r="476" spans="1:5" x14ac:dyDescent="0.3">
      <c r="A476" s="122" t="s">
        <v>11673</v>
      </c>
      <c r="B476" s="122" t="s">
        <v>11674</v>
      </c>
      <c r="C476" s="113" t="str">
        <f t="shared" si="14"/>
        <v>NQ.NB.DKG</v>
      </c>
      <c r="D476" s="113" t="s">
        <v>14186</v>
      </c>
      <c r="E476" s="113" t="str">
        <f t="shared" si="15"/>
        <v>DKG&lt;-&gt;Nho Quan, Ninh Bình</v>
      </c>
    </row>
    <row r="477" spans="1:5" x14ac:dyDescent="0.3">
      <c r="A477" s="122" t="s">
        <v>11675</v>
      </c>
      <c r="B477" s="122" t="s">
        <v>11676</v>
      </c>
      <c r="C477" s="113" t="str">
        <f t="shared" si="14"/>
        <v>NS.HD.DKG</v>
      </c>
      <c r="D477" s="113" t="s">
        <v>14187</v>
      </c>
      <c r="E477" s="113" t="str">
        <f t="shared" si="15"/>
        <v>DKG&lt;-&gt;Nam Sách, Hải Dương</v>
      </c>
    </row>
    <row r="478" spans="1:5" x14ac:dyDescent="0.3">
      <c r="A478" s="122" t="s">
        <v>11677</v>
      </c>
      <c r="B478" s="122" t="s">
        <v>11678</v>
      </c>
      <c r="C478" s="113" t="str">
        <f t="shared" si="14"/>
        <v>NS.HD.DKS</v>
      </c>
      <c r="D478" s="113" t="s">
        <v>14188</v>
      </c>
      <c r="E478" s="113" t="str">
        <f t="shared" si="15"/>
        <v>DKS&lt;-&gt;Nam Sách, Hải Dương</v>
      </c>
    </row>
    <row r="479" spans="1:5" x14ac:dyDescent="0.3">
      <c r="A479" s="122" t="s">
        <v>11679</v>
      </c>
      <c r="B479" s="122" t="s">
        <v>11680</v>
      </c>
      <c r="C479" s="113" t="str">
        <f t="shared" si="14"/>
        <v>NS.HD.THG</v>
      </c>
      <c r="D479" s="113" t="s">
        <v>14189</v>
      </c>
      <c r="E479" s="113" t="str">
        <f t="shared" si="15"/>
        <v>THG&lt;-&gt;Nam Sách, Hải Dương</v>
      </c>
    </row>
    <row r="480" spans="1:5" x14ac:dyDescent="0.3">
      <c r="A480" s="122" t="s">
        <v>11681</v>
      </c>
      <c r="B480" s="122" t="s">
        <v>11682</v>
      </c>
      <c r="C480" s="113" t="str">
        <f t="shared" si="14"/>
        <v>NS.HN.DKG</v>
      </c>
      <c r="D480" s="113" t="s">
        <v>14190</v>
      </c>
      <c r="E480" s="113" t="str">
        <f t="shared" si="15"/>
        <v>DKG&lt;-&gt;Ninh Sở, Hà Nội</v>
      </c>
    </row>
    <row r="481" spans="1:5" x14ac:dyDescent="0.3">
      <c r="A481" s="122" t="s">
        <v>11683</v>
      </c>
      <c r="B481" s="122" t="s">
        <v>11684</v>
      </c>
      <c r="C481" s="113" t="str">
        <f t="shared" si="14"/>
        <v>NS.HN.THG</v>
      </c>
      <c r="D481" s="113" t="s">
        <v>14191</v>
      </c>
      <c r="E481" s="113" t="str">
        <f t="shared" si="15"/>
        <v>THG&lt;-&gt;Ninh Sở, Hà Nội</v>
      </c>
    </row>
    <row r="482" spans="1:5" x14ac:dyDescent="0.3">
      <c r="A482" s="122" t="s">
        <v>11685</v>
      </c>
      <c r="B482" s="122" t="s">
        <v>11686</v>
      </c>
      <c r="C482" s="113" t="str">
        <f t="shared" si="14"/>
        <v>NS.TH.DKG</v>
      </c>
      <c r="D482" s="113" t="s">
        <v>14192</v>
      </c>
      <c r="E482" s="113" t="str">
        <f t="shared" si="15"/>
        <v>DKG&lt;-&gt;Nga Sơn, Thanh Hóa</v>
      </c>
    </row>
    <row r="483" spans="1:5" x14ac:dyDescent="0.3">
      <c r="A483" s="122" t="s">
        <v>11687</v>
      </c>
      <c r="B483" s="122" t="s">
        <v>11688</v>
      </c>
      <c r="C483" s="113" t="str">
        <f t="shared" si="14"/>
        <v>NS.TH.DKS</v>
      </c>
      <c r="D483" s="113" t="s">
        <v>14193</v>
      </c>
      <c r="E483" s="113" t="str">
        <f t="shared" si="15"/>
        <v>DKS&lt;-&gt;Nghi Sơn, Thanh Hóa</v>
      </c>
    </row>
    <row r="484" spans="1:5" x14ac:dyDescent="0.3">
      <c r="A484" s="122" t="s">
        <v>11689</v>
      </c>
      <c r="B484" s="122" t="s">
        <v>11690</v>
      </c>
      <c r="C484" s="113" t="str">
        <f t="shared" si="14"/>
        <v>NS.TH.THG</v>
      </c>
      <c r="D484" s="113" t="s">
        <v>14194</v>
      </c>
      <c r="E484" s="113" t="str">
        <f t="shared" si="15"/>
        <v>THG&lt;-&gt;Nga Sơn, Thanh Hóa</v>
      </c>
    </row>
    <row r="485" spans="1:5" x14ac:dyDescent="0.3">
      <c r="A485" s="122" t="s">
        <v>11691</v>
      </c>
      <c r="B485" s="122" t="s">
        <v>11692</v>
      </c>
      <c r="C485" s="113" t="str">
        <f t="shared" si="14"/>
        <v>NT.HN.DKS</v>
      </c>
      <c r="D485" s="113" t="s">
        <v>14195</v>
      </c>
      <c r="E485" s="113" t="str">
        <f t="shared" si="15"/>
        <v>DKS&lt;-&gt;Nguyễn Trãi, Hà Nội</v>
      </c>
    </row>
    <row r="486" spans="1:5" x14ac:dyDescent="0.3">
      <c r="A486" s="122" t="s">
        <v>11693</v>
      </c>
      <c r="B486" s="122" t="s">
        <v>11694</v>
      </c>
      <c r="C486" s="113" t="str">
        <f t="shared" si="14"/>
        <v>NT.HP.DKG</v>
      </c>
      <c r="D486" s="113" t="s">
        <v>14196</v>
      </c>
      <c r="E486" s="113" t="str">
        <f t="shared" si="15"/>
        <v>DKG&lt;-&gt;Nội thành, Hải Phòng</v>
      </c>
    </row>
    <row r="487" spans="1:5" x14ac:dyDescent="0.3">
      <c r="A487" s="122" t="s">
        <v>11695</v>
      </c>
      <c r="B487" s="122" t="s">
        <v>11694</v>
      </c>
      <c r="C487" s="113" t="str">
        <f t="shared" si="14"/>
        <v>NT.HP.THG</v>
      </c>
      <c r="D487" s="113" t="s">
        <v>14196</v>
      </c>
      <c r="E487" s="113" t="str">
        <f t="shared" si="15"/>
        <v>DKG&lt;-&gt;Nội thành, Hải Phòng</v>
      </c>
    </row>
    <row r="488" spans="1:5" x14ac:dyDescent="0.3">
      <c r="A488" s="122" t="s">
        <v>11696</v>
      </c>
      <c r="B488" s="122" t="s">
        <v>11697</v>
      </c>
      <c r="C488" s="113" t="str">
        <f t="shared" si="14"/>
        <v>NT.ND.DKG</v>
      </c>
      <c r="D488" s="113" t="s">
        <v>14197</v>
      </c>
      <c r="E488" s="113" t="str">
        <f t="shared" si="15"/>
        <v>DKG&lt;-&gt;Nam Trực, Nam Định</v>
      </c>
    </row>
    <row r="489" spans="1:5" x14ac:dyDescent="0.3">
      <c r="A489" s="122" t="s">
        <v>11698</v>
      </c>
      <c r="B489" s="122" t="s">
        <v>11699</v>
      </c>
      <c r="C489" s="113" t="str">
        <f t="shared" si="14"/>
        <v>NT.ND.DKS</v>
      </c>
      <c r="D489" s="113" t="s">
        <v>14198</v>
      </c>
      <c r="E489" s="113" t="str">
        <f t="shared" si="15"/>
        <v>DKS&lt;-&gt;Nam Trực, Nam Định</v>
      </c>
    </row>
    <row r="490" spans="1:5" x14ac:dyDescent="0.3">
      <c r="A490" s="122" t="s">
        <v>11700</v>
      </c>
      <c r="B490" s="122" t="s">
        <v>11701</v>
      </c>
      <c r="C490" s="113" t="str">
        <f t="shared" si="14"/>
        <v>NT.ND.THG</v>
      </c>
      <c r="D490" s="113" t="s">
        <v>14199</v>
      </c>
      <c r="E490" s="113" t="str">
        <f t="shared" si="15"/>
        <v>THG&lt;-&gt;Nam Trực, Nam Định</v>
      </c>
    </row>
    <row r="491" spans="1:5" x14ac:dyDescent="0.3">
      <c r="A491" s="122" t="s">
        <v>11702</v>
      </c>
      <c r="B491" s="122" t="s">
        <v>11703</v>
      </c>
      <c r="C491" s="113" t="str">
        <f t="shared" si="14"/>
        <v>NT.TH.DKG</v>
      </c>
      <c r="D491" s="113" t="s">
        <v>14200</v>
      </c>
      <c r="E491" s="113" t="str">
        <f t="shared" si="15"/>
        <v>DKG&lt;-&gt;Như Thanh, Thanh Hóa</v>
      </c>
    </row>
    <row r="492" spans="1:5" x14ac:dyDescent="0.3">
      <c r="A492" s="122" t="s">
        <v>11704</v>
      </c>
      <c r="B492" s="122" t="s">
        <v>11705</v>
      </c>
      <c r="C492" s="113" t="str">
        <f t="shared" si="14"/>
        <v>NTL.HN.DKS</v>
      </c>
      <c r="D492" s="113" t="s">
        <v>14201</v>
      </c>
      <c r="E492" s="113" t="str">
        <f t="shared" si="15"/>
        <v>DKS&lt;-&gt;Nam Từ Liêm, Hà Nội</v>
      </c>
    </row>
    <row r="493" spans="1:5" x14ac:dyDescent="0.3">
      <c r="A493" s="122" t="s">
        <v>11706</v>
      </c>
      <c r="B493" s="122" t="s">
        <v>11352</v>
      </c>
      <c r="C493" s="113" t="str">
        <f t="shared" si="14"/>
        <v>NUOC</v>
      </c>
      <c r="D493" s="113" t="s">
        <v>11352</v>
      </c>
      <c r="E493" s="113" t="str">
        <f t="shared" si="15"/>
        <v>Nước sinh hoạt</v>
      </c>
    </row>
    <row r="494" spans="1:5" x14ac:dyDescent="0.3">
      <c r="A494" s="122" t="s">
        <v>11707</v>
      </c>
      <c r="B494" s="122" t="s">
        <v>11708</v>
      </c>
      <c r="C494" s="113" t="str">
        <f t="shared" si="14"/>
        <v>NX.HT.DKG</v>
      </c>
      <c r="D494" s="113" t="s">
        <v>14202</v>
      </c>
      <c r="E494" s="113" t="str">
        <f t="shared" si="15"/>
        <v>DKG&lt;-&gt;Nghi Xuân, Hà Tĩnh</v>
      </c>
    </row>
    <row r="495" spans="1:5" x14ac:dyDescent="0.3">
      <c r="A495" s="122" t="s">
        <v>11709</v>
      </c>
      <c r="B495" s="122" t="s">
        <v>11710</v>
      </c>
      <c r="C495" s="113" t="str">
        <f t="shared" si="14"/>
        <v>OB.ND.DKG</v>
      </c>
      <c r="D495" s="113" t="s">
        <v>14203</v>
      </c>
      <c r="E495" s="113" t="str">
        <f t="shared" si="15"/>
        <v>DKG&lt;-&gt;Ông Bách, TP. Nam Định</v>
      </c>
    </row>
    <row r="496" spans="1:5" x14ac:dyDescent="0.3">
      <c r="A496" s="122" t="s">
        <v>11711</v>
      </c>
      <c r="B496" s="122" t="s">
        <v>11712</v>
      </c>
      <c r="C496" s="113" t="str">
        <f t="shared" si="14"/>
        <v>OB.ND.THG</v>
      </c>
      <c r="D496" s="113" t="s">
        <v>14204</v>
      </c>
      <c r="E496" s="113" t="str">
        <f t="shared" si="15"/>
        <v>THG&lt;-&gt;Ông Bách, TP. Nam Định</v>
      </c>
    </row>
    <row r="497" spans="1:5" x14ac:dyDescent="0.3">
      <c r="A497" s="122" t="s">
        <v>11713</v>
      </c>
      <c r="B497" s="122" t="s">
        <v>11714</v>
      </c>
      <c r="C497" s="113" t="str">
        <f t="shared" si="14"/>
        <v>OD.HP.DKG</v>
      </c>
      <c r="D497" s="113" t="s">
        <v>14205</v>
      </c>
      <c r="E497" s="113" t="str">
        <f t="shared" si="15"/>
        <v>DKG&lt;-&gt;Ông Doãn, Đa Phúc, Hải Phòng</v>
      </c>
    </row>
    <row r="498" spans="1:5" x14ac:dyDescent="0.3">
      <c r="A498" s="122" t="s">
        <v>11715</v>
      </c>
      <c r="B498" s="122" t="s">
        <v>11716</v>
      </c>
      <c r="C498" s="113" t="str">
        <f t="shared" si="14"/>
        <v>OD.HP.THG</v>
      </c>
      <c r="D498" s="113" t="s">
        <v>14206</v>
      </c>
      <c r="E498" s="113" t="str">
        <f t="shared" si="15"/>
        <v>THG&lt;-&gt;Ông Doãn, Đa Phúc, Hải Phòng</v>
      </c>
    </row>
    <row r="499" spans="1:5" x14ac:dyDescent="0.3">
      <c r="A499" s="122" t="s">
        <v>11717</v>
      </c>
      <c r="B499" s="122" t="s">
        <v>11718</v>
      </c>
      <c r="C499" s="113" t="str">
        <f t="shared" si="14"/>
        <v>OH.HP.DKG</v>
      </c>
      <c r="D499" s="113" t="s">
        <v>14207</v>
      </c>
      <c r="E499" s="113" t="str">
        <f t="shared" si="15"/>
        <v>DKG&lt;-&gt;Ông Hữu, Rế, Hải Phòng</v>
      </c>
    </row>
    <row r="500" spans="1:5" x14ac:dyDescent="0.3">
      <c r="A500" s="122" t="s">
        <v>11719</v>
      </c>
      <c r="B500" s="122" t="s">
        <v>11720</v>
      </c>
      <c r="C500" s="113" t="str">
        <f t="shared" si="14"/>
        <v>OH.HP.THG</v>
      </c>
      <c r="D500" s="113" t="s">
        <v>14208</v>
      </c>
      <c r="E500" s="113" t="str">
        <f t="shared" si="15"/>
        <v>THG&lt;-&gt;Ông Hữu, Rế, Hải Phòng</v>
      </c>
    </row>
    <row r="501" spans="1:5" x14ac:dyDescent="0.3">
      <c r="A501" s="122" t="s">
        <v>11721</v>
      </c>
      <c r="B501" s="122" t="s">
        <v>11722</v>
      </c>
      <c r="C501" s="113" t="str">
        <f t="shared" si="14"/>
        <v>OHP.VP.DKG</v>
      </c>
      <c r="D501" s="113" t="s">
        <v>14209</v>
      </c>
      <c r="E501" s="113" t="str">
        <f t="shared" si="15"/>
        <v>DKG&lt;-&gt;Ông Huyền Phóng, Vĩnh Phúc</v>
      </c>
    </row>
    <row r="502" spans="1:5" x14ac:dyDescent="0.3">
      <c r="A502" s="122" t="s">
        <v>11723</v>
      </c>
      <c r="B502" s="122" t="s">
        <v>11724</v>
      </c>
      <c r="C502" s="113" t="str">
        <f t="shared" si="14"/>
        <v>OHP.VP.THG</v>
      </c>
      <c r="D502" s="113" t="s">
        <v>14210</v>
      </c>
      <c r="E502" s="113" t="str">
        <f t="shared" si="15"/>
        <v>THG&lt;-&gt;Ông Huyền Phóng, Vĩnh Phúc</v>
      </c>
    </row>
    <row r="503" spans="1:5" x14ac:dyDescent="0.3">
      <c r="A503" s="122" t="s">
        <v>11725</v>
      </c>
      <c r="B503" s="122" t="s">
        <v>11726</v>
      </c>
      <c r="C503" s="113" t="str">
        <f t="shared" si="14"/>
        <v>OL.ND.DKG</v>
      </c>
      <c r="D503" s="113" t="s">
        <v>14211</v>
      </c>
      <c r="E503" s="113" t="str">
        <f t="shared" si="15"/>
        <v>DKG&lt;-&gt;Ông Lợi, Xuân Trường, Nam Định</v>
      </c>
    </row>
    <row r="504" spans="1:5" x14ac:dyDescent="0.3">
      <c r="A504" s="122" t="s">
        <v>11727</v>
      </c>
      <c r="B504" s="122" t="s">
        <v>11728</v>
      </c>
      <c r="C504" s="113" t="str">
        <f t="shared" si="14"/>
        <v>OL.ND.THG</v>
      </c>
      <c r="D504" s="113" t="s">
        <v>14212</v>
      </c>
      <c r="E504" s="113" t="str">
        <f t="shared" si="15"/>
        <v>THG&lt;-&gt;Ông Lợi, Xuân Trường, Nam Định</v>
      </c>
    </row>
    <row r="505" spans="1:5" x14ac:dyDescent="0.3">
      <c r="A505" s="122" t="s">
        <v>11729</v>
      </c>
      <c r="B505" s="122" t="s">
        <v>11730</v>
      </c>
      <c r="C505" s="113" t="str">
        <f t="shared" si="14"/>
        <v>OL.TB.DKG</v>
      </c>
      <c r="D505" s="113" t="s">
        <v>14213</v>
      </c>
      <c r="E505" s="113" t="str">
        <f t="shared" si="15"/>
        <v>DKG&lt;-&gt;Ông Long, TP. Thái Bình</v>
      </c>
    </row>
    <row r="506" spans="1:5" x14ac:dyDescent="0.3">
      <c r="A506" s="122" t="s">
        <v>11731</v>
      </c>
      <c r="B506" s="122" t="s">
        <v>11732</v>
      </c>
      <c r="C506" s="113" t="str">
        <f t="shared" si="14"/>
        <v>OL.TB.THG</v>
      </c>
      <c r="D506" s="113" t="s">
        <v>14214</v>
      </c>
      <c r="E506" s="113" t="str">
        <f t="shared" si="15"/>
        <v>THG&lt;-&gt;Ông Long, TP. Thái Bình</v>
      </c>
    </row>
    <row r="507" spans="1:5" x14ac:dyDescent="0.3">
      <c r="A507" s="122" t="s">
        <v>11733</v>
      </c>
      <c r="B507" s="122" t="s">
        <v>11734</v>
      </c>
      <c r="C507" s="113" t="str">
        <f t="shared" si="14"/>
        <v>OS.HD.DKG</v>
      </c>
      <c r="D507" s="113" t="s">
        <v>14215</v>
      </c>
      <c r="E507" s="113" t="str">
        <f t="shared" si="15"/>
        <v>DKG&lt;-&gt;Ông Sự, Thanh Miện, Hải Dương</v>
      </c>
    </row>
    <row r="508" spans="1:5" x14ac:dyDescent="0.3">
      <c r="A508" s="122" t="s">
        <v>11735</v>
      </c>
      <c r="B508" s="122" t="s">
        <v>11736</v>
      </c>
      <c r="C508" s="113" t="str">
        <f t="shared" si="14"/>
        <v>OS.HD.THG</v>
      </c>
      <c r="D508" s="113" t="s">
        <v>14216</v>
      </c>
      <c r="E508" s="113" t="str">
        <f t="shared" si="15"/>
        <v>THG&lt;-&gt;Ông Sự, Thanh Miện, Hải Dương</v>
      </c>
    </row>
    <row r="509" spans="1:5" x14ac:dyDescent="0.3">
      <c r="A509" s="122" t="s">
        <v>11737</v>
      </c>
      <c r="B509" s="122" t="s">
        <v>11738</v>
      </c>
      <c r="C509" s="113" t="str">
        <f t="shared" si="14"/>
        <v>OT.HD.DKG</v>
      </c>
      <c r="D509" s="113" t="s">
        <v>14217</v>
      </c>
      <c r="E509" s="113" t="str">
        <f t="shared" si="15"/>
        <v>DKG&lt;-&gt;Ông Thủy, Cẩm Giàng, Hải Dương</v>
      </c>
    </row>
    <row r="510" spans="1:5" x14ac:dyDescent="0.3">
      <c r="A510" s="122" t="s">
        <v>11739</v>
      </c>
      <c r="B510" s="122" t="s">
        <v>11740</v>
      </c>
      <c r="C510" s="113" t="str">
        <f t="shared" si="14"/>
        <v>OT.HD.THG</v>
      </c>
      <c r="D510" s="113" t="s">
        <v>14218</v>
      </c>
      <c r="E510" s="113" t="str">
        <f t="shared" si="15"/>
        <v>THG&lt;-&gt;Ông Thủy, Cẩm Giàng, Hải Dương</v>
      </c>
    </row>
    <row r="511" spans="1:5" x14ac:dyDescent="0.3">
      <c r="A511" s="122" t="s">
        <v>11741</v>
      </c>
      <c r="B511" s="122" t="s">
        <v>11742</v>
      </c>
      <c r="C511" s="113" t="str">
        <f t="shared" si="14"/>
        <v>OT.HN.DKG</v>
      </c>
      <c r="D511" s="113" t="s">
        <v>14219</v>
      </c>
      <c r="E511" s="113" t="str">
        <f t="shared" si="15"/>
        <v>DKG&lt;-&gt;Ông Tôn, Giải Phòng, Hà Nội</v>
      </c>
    </row>
    <row r="512" spans="1:5" x14ac:dyDescent="0.3">
      <c r="A512" s="122" t="s">
        <v>11743</v>
      </c>
      <c r="B512" s="122" t="s">
        <v>11744</v>
      </c>
      <c r="C512" s="113" t="str">
        <f t="shared" si="14"/>
        <v>OT.HN.THG</v>
      </c>
      <c r="D512" s="113" t="s">
        <v>14220</v>
      </c>
      <c r="E512" s="113" t="str">
        <f t="shared" si="15"/>
        <v>THG&lt;-&gt;Ông Tôn, Giải Phòng, Hà Nội</v>
      </c>
    </row>
    <row r="513" spans="1:5" x14ac:dyDescent="0.3">
      <c r="A513" s="122" t="s">
        <v>11745</v>
      </c>
      <c r="B513" s="122" t="s">
        <v>11746</v>
      </c>
      <c r="C513" s="113" t="str">
        <f t="shared" si="14"/>
        <v>OT.ND.DKG</v>
      </c>
      <c r="D513" s="113" t="s">
        <v>14221</v>
      </c>
      <c r="E513" s="113" t="str">
        <f t="shared" si="15"/>
        <v>DKG&lt;-&gt;Ông Tuấn, TP. Nam Định</v>
      </c>
    </row>
    <row r="514" spans="1:5" x14ac:dyDescent="0.3">
      <c r="A514" s="122" t="s">
        <v>11747</v>
      </c>
      <c r="B514" s="122" t="s">
        <v>11748</v>
      </c>
      <c r="C514" s="113" t="str">
        <f t="shared" si="14"/>
        <v>OT.ND.THG</v>
      </c>
      <c r="D514" s="113" t="s">
        <v>14222</v>
      </c>
      <c r="E514" s="113" t="str">
        <f t="shared" si="15"/>
        <v>THG&lt;-&gt;Ông Tuấn, TP. Nam Định</v>
      </c>
    </row>
    <row r="515" spans="1:5" x14ac:dyDescent="0.3">
      <c r="A515" s="122" t="s">
        <v>11749</v>
      </c>
      <c r="B515" s="122" t="s">
        <v>11750</v>
      </c>
      <c r="C515" s="113" t="str">
        <f t="shared" si="14"/>
        <v>OT.QN.DKG</v>
      </c>
      <c r="D515" s="113" t="s">
        <v>14223</v>
      </c>
      <c r="E515" s="113" t="str">
        <f t="shared" si="15"/>
        <v>DKG&lt;-&gt;Ông Thăng, Giếng Đáy, Quảng Ninh</v>
      </c>
    </row>
    <row r="516" spans="1:5" x14ac:dyDescent="0.3">
      <c r="A516" s="122" t="s">
        <v>11751</v>
      </c>
      <c r="B516" s="122" t="s">
        <v>11752</v>
      </c>
      <c r="C516" s="113" t="str">
        <f t="shared" ref="C516:C579" si="16">+A516</f>
        <v>OT.QN.THG</v>
      </c>
      <c r="D516" s="113" t="s">
        <v>14224</v>
      </c>
      <c r="E516" s="113" t="str">
        <f t="shared" ref="E516:E579" si="17">B516</f>
        <v>THG&lt;-&gt;Ông Thăng, Giếng Đáy, Quảng Ninh</v>
      </c>
    </row>
    <row r="517" spans="1:5" x14ac:dyDescent="0.3">
      <c r="A517" s="122" t="s">
        <v>11753</v>
      </c>
      <c r="B517" s="122" t="s">
        <v>11754</v>
      </c>
      <c r="C517" s="113" t="str">
        <f t="shared" si="16"/>
        <v>OV.HP.DKG</v>
      </c>
      <c r="D517" s="113" t="s">
        <v>14225</v>
      </c>
      <c r="E517" s="113" t="str">
        <f t="shared" si="17"/>
        <v>DKG&lt;-&gt;Ông Vũ, Dương Kinh, Hải Phòng</v>
      </c>
    </row>
    <row r="518" spans="1:5" x14ac:dyDescent="0.3">
      <c r="A518" s="122" t="s">
        <v>11755</v>
      </c>
      <c r="B518" s="122" t="s">
        <v>11756</v>
      </c>
      <c r="C518" s="113" t="str">
        <f t="shared" si="16"/>
        <v>OV.HP.THG</v>
      </c>
      <c r="D518" s="113" t="s">
        <v>14226</v>
      </c>
      <c r="E518" s="113" t="str">
        <f t="shared" si="17"/>
        <v>THG&lt;-&gt;Ông Vũ, Dương Kinh, Hải Phòng</v>
      </c>
    </row>
    <row r="519" spans="1:5" x14ac:dyDescent="0.3">
      <c r="A519" s="122" t="s">
        <v>11757</v>
      </c>
      <c r="B519" s="122" t="s">
        <v>11758</v>
      </c>
      <c r="C519" s="113" t="str">
        <f t="shared" si="16"/>
        <v>PC.BN.DKG</v>
      </c>
      <c r="D519" s="113" t="s">
        <v>14227</v>
      </c>
      <c r="E519" s="113" t="str">
        <f t="shared" si="17"/>
        <v>DKG&lt;-&gt;Phố Chờ, Bắc Ninh</v>
      </c>
    </row>
    <row r="520" spans="1:5" x14ac:dyDescent="0.3">
      <c r="A520" s="122" t="s">
        <v>11759</v>
      </c>
      <c r="B520" s="122" t="s">
        <v>11760</v>
      </c>
      <c r="C520" s="113" t="str">
        <f t="shared" si="16"/>
        <v>PC.BN.DKS</v>
      </c>
      <c r="D520" s="113" t="s">
        <v>14228</v>
      </c>
      <c r="E520" s="113" t="str">
        <f t="shared" si="17"/>
        <v>DKS&lt;-&gt;Phố Chờ, Bắc Ninh</v>
      </c>
    </row>
    <row r="521" spans="1:5" x14ac:dyDescent="0.3">
      <c r="A521" s="122" t="s">
        <v>11761</v>
      </c>
      <c r="B521" s="122" t="s">
        <v>11762</v>
      </c>
      <c r="C521" s="113" t="str">
        <f t="shared" si="16"/>
        <v>PC.BN.THG</v>
      </c>
      <c r="D521" s="113" t="s">
        <v>14229</v>
      </c>
      <c r="E521" s="113" t="str">
        <f t="shared" si="17"/>
        <v>THG&lt;-&gt;Phố Chờ, Bắc Ninh</v>
      </c>
    </row>
    <row r="522" spans="1:5" x14ac:dyDescent="0.3">
      <c r="A522" s="122" t="s">
        <v>11763</v>
      </c>
      <c r="B522" s="122" t="s">
        <v>11764</v>
      </c>
      <c r="C522" s="113" t="str">
        <f t="shared" si="16"/>
        <v>PC.HY.DKG</v>
      </c>
      <c r="D522" s="113" t="s">
        <v>14230</v>
      </c>
      <c r="E522" s="113" t="str">
        <f t="shared" si="17"/>
        <v>DKG&lt;-&gt;Phủ Cừ, Hưng Yên</v>
      </c>
    </row>
    <row r="523" spans="1:5" x14ac:dyDescent="0.3">
      <c r="A523" s="122" t="s">
        <v>11765</v>
      </c>
      <c r="B523" s="122" t="s">
        <v>11766</v>
      </c>
      <c r="C523" s="113" t="str">
        <f t="shared" si="16"/>
        <v>PC.HY.THG</v>
      </c>
      <c r="D523" s="113" t="s">
        <v>14231</v>
      </c>
      <c r="E523" s="113" t="str">
        <f t="shared" si="17"/>
        <v>THG&lt;-&gt;Phủ Cừ, Hưng Yên</v>
      </c>
    </row>
    <row r="524" spans="1:5" x14ac:dyDescent="0.3">
      <c r="A524" s="122" t="s">
        <v>11767</v>
      </c>
      <c r="B524" s="122" t="s">
        <v>11768</v>
      </c>
      <c r="C524" s="113" t="str">
        <f t="shared" si="16"/>
        <v>PC.PT.DKG</v>
      </c>
      <c r="D524" s="113" t="s">
        <v>14232</v>
      </c>
      <c r="E524" s="113" t="str">
        <f t="shared" si="17"/>
        <v>DKG&lt;-&gt;Phong Châu, Phú Thọ</v>
      </c>
    </row>
    <row r="525" spans="1:5" x14ac:dyDescent="0.3">
      <c r="A525" s="122" t="s">
        <v>11769</v>
      </c>
      <c r="B525" s="122" t="s">
        <v>11770</v>
      </c>
      <c r="C525" s="113" t="str">
        <f t="shared" si="16"/>
        <v>PL.HD.DKG</v>
      </c>
      <c r="D525" s="113" t="s">
        <v>14233</v>
      </c>
      <c r="E525" s="113" t="str">
        <f t="shared" si="17"/>
        <v>DKG&lt;-&gt;Phả Lại, Hải Dương</v>
      </c>
    </row>
    <row r="526" spans="1:5" x14ac:dyDescent="0.3">
      <c r="A526" s="122" t="s">
        <v>11771</v>
      </c>
      <c r="B526" s="122" t="s">
        <v>11772</v>
      </c>
      <c r="C526" s="113" t="str">
        <f t="shared" si="16"/>
        <v>PL.HD.THG</v>
      </c>
      <c r="D526" s="113" t="s">
        <v>14234</v>
      </c>
      <c r="E526" s="113" t="str">
        <f t="shared" si="17"/>
        <v>THG&lt;-&gt;Phả Lại, Hải Dương</v>
      </c>
    </row>
    <row r="527" spans="1:5" x14ac:dyDescent="0.3">
      <c r="A527" s="122" t="s">
        <v>11773</v>
      </c>
      <c r="B527" s="122" t="s">
        <v>11774</v>
      </c>
      <c r="C527" s="113" t="str">
        <f t="shared" si="16"/>
        <v>PL.HNA.DKG</v>
      </c>
      <c r="D527" s="113" t="s">
        <v>14235</v>
      </c>
      <c r="E527" s="113" t="str">
        <f t="shared" si="17"/>
        <v>DKG&lt;-&gt;Phủ Lý, Hà Nam</v>
      </c>
    </row>
    <row r="528" spans="1:5" x14ac:dyDescent="0.3">
      <c r="A528" s="122" t="s">
        <v>11775</v>
      </c>
      <c r="B528" s="122" t="s">
        <v>11776</v>
      </c>
      <c r="C528" s="113" t="str">
        <f t="shared" si="16"/>
        <v>PL.HNA.DKS</v>
      </c>
      <c r="D528" s="113" t="s">
        <v>14236</v>
      </c>
      <c r="E528" s="113" t="str">
        <f t="shared" si="17"/>
        <v>DKS&lt;-&gt;Phủ Lý, Hà Nam</v>
      </c>
    </row>
    <row r="529" spans="1:5" x14ac:dyDescent="0.3">
      <c r="A529" s="122" t="s">
        <v>11777</v>
      </c>
      <c r="B529" s="122" t="s">
        <v>11778</v>
      </c>
      <c r="C529" s="113" t="str">
        <f t="shared" si="16"/>
        <v>PL.HNA.THG</v>
      </c>
      <c r="D529" s="113" t="s">
        <v>14237</v>
      </c>
      <c r="E529" s="113" t="str">
        <f t="shared" si="17"/>
        <v>THG&lt;-&gt;Phủ Lý, Hà Nam</v>
      </c>
    </row>
    <row r="530" spans="1:5" x14ac:dyDescent="0.3">
      <c r="A530" s="122" t="s">
        <v>11779</v>
      </c>
      <c r="B530" s="122" t="s">
        <v>11780</v>
      </c>
      <c r="C530" s="113" t="str">
        <f t="shared" si="16"/>
        <v>PL.TN.DKG</v>
      </c>
      <c r="D530" s="113" t="s">
        <v>14238</v>
      </c>
      <c r="E530" s="113" t="str">
        <f t="shared" si="17"/>
        <v>DKG&lt;-&gt;Phú Lương, Thái Nguyên</v>
      </c>
    </row>
    <row r="531" spans="1:5" x14ac:dyDescent="0.3">
      <c r="A531" s="122" t="s">
        <v>11781</v>
      </c>
      <c r="B531" s="122" t="s">
        <v>11782</v>
      </c>
      <c r="C531" s="113" t="str">
        <f t="shared" si="16"/>
        <v>PL.TN.DKS</v>
      </c>
      <c r="D531" s="113" t="s">
        <v>14239</v>
      </c>
      <c r="E531" s="113" t="str">
        <f t="shared" si="17"/>
        <v>DKS&lt;-&gt;Phú Lương, Thái Nguyên</v>
      </c>
    </row>
    <row r="532" spans="1:5" x14ac:dyDescent="0.3">
      <c r="A532" s="122" t="s">
        <v>11783</v>
      </c>
      <c r="B532" s="122" t="s">
        <v>11784</v>
      </c>
      <c r="C532" s="113" t="str">
        <f t="shared" si="16"/>
        <v>PN.HY.DKG</v>
      </c>
      <c r="D532" s="113" t="s">
        <v>14240</v>
      </c>
      <c r="E532" s="113" t="str">
        <f t="shared" si="17"/>
        <v>DKG&lt;-&gt;Phố Nối, Hưng Yên</v>
      </c>
    </row>
    <row r="533" spans="1:5" x14ac:dyDescent="0.3">
      <c r="A533" s="122" t="s">
        <v>11785</v>
      </c>
      <c r="B533" s="122" t="s">
        <v>11786</v>
      </c>
      <c r="C533" s="113" t="str">
        <f t="shared" si="16"/>
        <v>PN.HY.DKS</v>
      </c>
      <c r="D533" s="113" t="s">
        <v>14241</v>
      </c>
      <c r="E533" s="113" t="str">
        <f t="shared" si="17"/>
        <v>DKS&lt;-&gt;Phố Nối, Hưng Yên</v>
      </c>
    </row>
    <row r="534" spans="1:5" x14ac:dyDescent="0.3">
      <c r="A534" s="122" t="s">
        <v>11787</v>
      </c>
      <c r="B534" s="122" t="s">
        <v>11788</v>
      </c>
      <c r="C534" s="113" t="str">
        <f t="shared" si="16"/>
        <v>PN.HY.THG</v>
      </c>
      <c r="D534" s="113" t="s">
        <v>14242</v>
      </c>
      <c r="E534" s="113" t="str">
        <f t="shared" si="17"/>
        <v>THG&lt;-&gt;Phố Nối, Hưng Yên</v>
      </c>
    </row>
    <row r="535" spans="1:5" x14ac:dyDescent="0.3">
      <c r="A535" s="122" t="s">
        <v>11789</v>
      </c>
      <c r="B535" s="122" t="s">
        <v>11790</v>
      </c>
      <c r="C535" s="113" t="str">
        <f t="shared" si="16"/>
        <v>PN.PT.DKG</v>
      </c>
      <c r="D535" s="113" t="s">
        <v>14243</v>
      </c>
      <c r="E535" s="113" t="str">
        <f t="shared" si="17"/>
        <v>DKG&lt;-&gt;Phù Ninh, Phú Thọ</v>
      </c>
    </row>
    <row r="536" spans="1:5" x14ac:dyDescent="0.3">
      <c r="A536" s="122" t="s">
        <v>11791</v>
      </c>
      <c r="B536" s="122" t="s">
        <v>11792</v>
      </c>
      <c r="C536" s="113" t="str">
        <f t="shared" si="16"/>
        <v>PN.PT.DKS</v>
      </c>
      <c r="D536" s="113" t="s">
        <v>14244</v>
      </c>
      <c r="E536" s="113" t="str">
        <f t="shared" si="17"/>
        <v>DKS&lt;-&gt;Phù Ninh, Phú Thọ</v>
      </c>
    </row>
    <row r="537" spans="1:5" x14ac:dyDescent="0.3">
      <c r="A537" s="122" t="s">
        <v>11793</v>
      </c>
      <c r="B537" s="122" t="s">
        <v>11794</v>
      </c>
      <c r="C537" s="113" t="str">
        <f t="shared" si="16"/>
        <v>PNA.HY.DKS</v>
      </c>
      <c r="D537" s="113" t="s">
        <v>14245</v>
      </c>
      <c r="E537" s="113" t="str">
        <f t="shared" si="17"/>
        <v>DKS&lt;-&gt;Phố Nối A, Hưng Yên</v>
      </c>
    </row>
    <row r="538" spans="1:5" x14ac:dyDescent="0.3">
      <c r="A538" s="122" t="s">
        <v>11795</v>
      </c>
      <c r="B538" s="122" t="s">
        <v>11796</v>
      </c>
      <c r="C538" s="113" t="str">
        <f t="shared" si="16"/>
        <v>PT.BN.DKG</v>
      </c>
      <c r="D538" s="113" t="s">
        <v>14246</v>
      </c>
      <c r="E538" s="113" t="str">
        <f t="shared" si="17"/>
        <v>DKG&lt;-&gt;Phật Tích, Bắc Ninh</v>
      </c>
    </row>
    <row r="539" spans="1:5" x14ac:dyDescent="0.3">
      <c r="A539" s="122" t="s">
        <v>11797</v>
      </c>
      <c r="B539" s="122" t="s">
        <v>11798</v>
      </c>
      <c r="C539" s="113" t="str">
        <f t="shared" si="16"/>
        <v>PT.BN.THG</v>
      </c>
      <c r="D539" s="113" t="s">
        <v>14247</v>
      </c>
      <c r="E539" s="113" t="str">
        <f t="shared" si="17"/>
        <v>THG&lt;-&gt;Phật Tích, Bắc Ninh</v>
      </c>
    </row>
    <row r="540" spans="1:5" x14ac:dyDescent="0.3">
      <c r="A540" s="122" t="s">
        <v>11799</v>
      </c>
      <c r="B540" s="122" t="s">
        <v>11800</v>
      </c>
      <c r="C540" s="113" t="str">
        <f t="shared" si="16"/>
        <v>PT.HD.DKG</v>
      </c>
      <c r="D540" s="113" t="s">
        <v>14248</v>
      </c>
      <c r="E540" s="113" t="str">
        <f t="shared" si="17"/>
        <v>DKG&lt;-&gt;Phú Thái, Hải Dương</v>
      </c>
    </row>
    <row r="541" spans="1:5" x14ac:dyDescent="0.3">
      <c r="A541" s="122" t="s">
        <v>11801</v>
      </c>
      <c r="B541" s="122" t="s">
        <v>11802</v>
      </c>
      <c r="C541" s="113" t="str">
        <f t="shared" si="16"/>
        <v>PT.HD.THG</v>
      </c>
      <c r="D541" s="113" t="s">
        <v>14249</v>
      </c>
      <c r="E541" s="113" t="str">
        <f t="shared" si="17"/>
        <v>THG&lt;-&gt;Phú Thái, Hải Dương</v>
      </c>
    </row>
    <row r="542" spans="1:5" x14ac:dyDescent="0.3">
      <c r="A542" s="122" t="s">
        <v>11803</v>
      </c>
      <c r="B542" s="122" t="s">
        <v>11804</v>
      </c>
      <c r="C542" s="113" t="str">
        <f t="shared" si="16"/>
        <v>PT.HN.DKG</v>
      </c>
      <c r="D542" s="113" t="s">
        <v>14250</v>
      </c>
      <c r="E542" s="113" t="str">
        <f t="shared" si="17"/>
        <v>DKG&lt;-&gt;Phúc Thọ, Hà Nội</v>
      </c>
    </row>
    <row r="543" spans="1:5" x14ac:dyDescent="0.3">
      <c r="A543" s="122" t="s">
        <v>11805</v>
      </c>
      <c r="B543" s="122" t="s">
        <v>11806</v>
      </c>
      <c r="C543" s="113" t="str">
        <f t="shared" si="16"/>
        <v>PT.HN.DKS</v>
      </c>
      <c r="D543" s="113" t="s">
        <v>14251</v>
      </c>
      <c r="E543" s="113" t="str">
        <f t="shared" si="17"/>
        <v>DKS&lt;-&gt;Phúc Thọ, Hà Nội</v>
      </c>
    </row>
    <row r="544" spans="1:5" x14ac:dyDescent="0.3">
      <c r="A544" s="122" t="s">
        <v>11807</v>
      </c>
      <c r="B544" s="122" t="s">
        <v>11808</v>
      </c>
      <c r="C544" s="113" t="str">
        <f t="shared" si="16"/>
        <v>PT.HN.THG</v>
      </c>
      <c r="D544" s="113" t="s">
        <v>14252</v>
      </c>
      <c r="E544" s="113" t="str">
        <f t="shared" si="17"/>
        <v>THG&lt;-&gt;Phúc Thọ, Hà Nội</v>
      </c>
    </row>
    <row r="545" spans="1:5" x14ac:dyDescent="0.3">
      <c r="A545" s="122" t="s">
        <v>11809</v>
      </c>
      <c r="B545" s="122" t="s">
        <v>11810</v>
      </c>
      <c r="C545" s="113" t="str">
        <f t="shared" si="16"/>
        <v>PV.TTH.DKG</v>
      </c>
      <c r="D545" s="113" t="s">
        <v>14253</v>
      </c>
      <c r="E545" s="113" t="str">
        <f t="shared" si="17"/>
        <v>DKG&lt;-&gt;Phú Vang, Thừa Thiên Huế</v>
      </c>
    </row>
    <row r="546" spans="1:5" x14ac:dyDescent="0.3">
      <c r="A546" s="122" t="s">
        <v>11811</v>
      </c>
      <c r="B546" s="122" t="s">
        <v>11812</v>
      </c>
      <c r="C546" s="113" t="str">
        <f t="shared" si="16"/>
        <v>PX.HN.DKG</v>
      </c>
      <c r="D546" s="113" t="s">
        <v>14254</v>
      </c>
      <c r="E546" s="113" t="str">
        <f t="shared" si="17"/>
        <v>DKG&lt;-&gt;Phú Xuyên, Hà Nội</v>
      </c>
    </row>
    <row r="547" spans="1:5" x14ac:dyDescent="0.3">
      <c r="A547" s="122" t="s">
        <v>11813</v>
      </c>
      <c r="B547" s="122" t="s">
        <v>11814</v>
      </c>
      <c r="C547" s="113" t="str">
        <f t="shared" si="16"/>
        <v>PX.HN.DKS</v>
      </c>
      <c r="D547" s="113" t="s">
        <v>14255</v>
      </c>
      <c r="E547" s="113" t="str">
        <f t="shared" si="17"/>
        <v>DKS&lt;-&gt;Phú Xuyên, Hà Nội</v>
      </c>
    </row>
    <row r="548" spans="1:5" x14ac:dyDescent="0.3">
      <c r="A548" s="122" t="s">
        <v>11815</v>
      </c>
      <c r="B548" s="122" t="s">
        <v>11816</v>
      </c>
      <c r="C548" s="113" t="str">
        <f t="shared" si="16"/>
        <v>PX.HN.THG</v>
      </c>
      <c r="D548" s="113" t="s">
        <v>14256</v>
      </c>
      <c r="E548" s="113" t="str">
        <f t="shared" si="17"/>
        <v>THG&lt;-&gt;Phú Xuyên, Hà Nội</v>
      </c>
    </row>
    <row r="549" spans="1:5" x14ac:dyDescent="0.3">
      <c r="A549" s="122" t="s">
        <v>11817</v>
      </c>
      <c r="B549" s="122" t="s">
        <v>11818</v>
      </c>
      <c r="C549" s="113" t="str">
        <f t="shared" si="16"/>
        <v>PX.TN.DKS</v>
      </c>
      <c r="D549" s="113" t="s">
        <v>14257</v>
      </c>
      <c r="E549" s="113" t="str">
        <f t="shared" si="17"/>
        <v>DKS&lt;-&gt;Phùng Xá, Thái Nguyên</v>
      </c>
    </row>
    <row r="550" spans="1:5" x14ac:dyDescent="0.3">
      <c r="A550" s="122" t="s">
        <v>11819</v>
      </c>
      <c r="B550" s="122" t="s">
        <v>11820</v>
      </c>
      <c r="C550" s="113" t="str">
        <f t="shared" si="16"/>
        <v>PY.TN.DKG</v>
      </c>
      <c r="D550" s="113" t="s">
        <v>14258</v>
      </c>
      <c r="E550" s="113" t="str">
        <f t="shared" si="17"/>
        <v>DKG&lt;-&gt;Phổ Yên, Thái Nguyên</v>
      </c>
    </row>
    <row r="551" spans="1:5" x14ac:dyDescent="0.3">
      <c r="A551" s="122" t="s">
        <v>11821</v>
      </c>
      <c r="B551" s="122" t="s">
        <v>11822</v>
      </c>
      <c r="C551" s="113" t="str">
        <f t="shared" si="16"/>
        <v>PY.TN.DKS</v>
      </c>
      <c r="D551" s="113" t="s">
        <v>14259</v>
      </c>
      <c r="E551" s="113" t="str">
        <f t="shared" si="17"/>
        <v>DKS&lt;-&gt;Phổ Yên, Thái Nguyên</v>
      </c>
    </row>
    <row r="552" spans="1:5" x14ac:dyDescent="0.3">
      <c r="A552" s="122" t="s">
        <v>11823</v>
      </c>
      <c r="B552" s="122" t="s">
        <v>11824</v>
      </c>
      <c r="C552" s="113" t="str">
        <f t="shared" si="16"/>
        <v>PY.VP.DKG</v>
      </c>
      <c r="D552" s="113" t="s">
        <v>14260</v>
      </c>
      <c r="E552" s="113" t="str">
        <f t="shared" si="17"/>
        <v>DKG&lt;-&gt;Phúc Yên, Vĩnh Phúc</v>
      </c>
    </row>
    <row r="553" spans="1:5" x14ac:dyDescent="0.3">
      <c r="A553" s="122" t="s">
        <v>11825</v>
      </c>
      <c r="B553" s="122" t="s">
        <v>11826</v>
      </c>
      <c r="C553" s="113" t="str">
        <f t="shared" si="16"/>
        <v>PY.VP.THG</v>
      </c>
      <c r="D553" s="113" t="s">
        <v>14261</v>
      </c>
      <c r="E553" s="113" t="str">
        <f t="shared" si="17"/>
        <v>THG&lt;-&gt;Phúc Yên, Vĩnh Phúc</v>
      </c>
    </row>
    <row r="554" spans="1:5" x14ac:dyDescent="0.3">
      <c r="A554" s="122" t="s">
        <v>11827</v>
      </c>
      <c r="B554" s="122" t="s">
        <v>11828</v>
      </c>
      <c r="C554" s="113" t="str">
        <f t="shared" si="16"/>
        <v>QB.HN.DKG</v>
      </c>
      <c r="D554" s="113" t="s">
        <v>14262</v>
      </c>
      <c r="E554" s="113" t="str">
        <f t="shared" si="17"/>
        <v>DKG&lt;-&gt;Quảng Bị, Hà Nội</v>
      </c>
    </row>
    <row r="555" spans="1:5" x14ac:dyDescent="0.3">
      <c r="A555" s="122" t="s">
        <v>11829</v>
      </c>
      <c r="B555" s="122" t="s">
        <v>11830</v>
      </c>
      <c r="C555" s="113" t="str">
        <f t="shared" si="16"/>
        <v>QC.HD.DKG</v>
      </c>
      <c r="D555" s="113" t="s">
        <v>14263</v>
      </c>
      <c r="E555" s="113" t="str">
        <f t="shared" si="17"/>
        <v>DKG&lt;-&gt;Quý Cao, Hải Dương</v>
      </c>
    </row>
    <row r="556" spans="1:5" x14ac:dyDescent="0.3">
      <c r="A556" s="122" t="s">
        <v>11831</v>
      </c>
      <c r="B556" s="122" t="s">
        <v>11832</v>
      </c>
      <c r="C556" s="113" t="str">
        <f t="shared" si="16"/>
        <v>QC.TB.DKG</v>
      </c>
      <c r="D556" s="113" t="s">
        <v>14264</v>
      </c>
      <c r="E556" s="113" t="str">
        <f t="shared" si="17"/>
        <v>DKG&lt;-&gt;Quỳnh Côi, Thái Bình</v>
      </c>
    </row>
    <row r="557" spans="1:5" x14ac:dyDescent="0.3">
      <c r="A557" s="122" t="s">
        <v>11833</v>
      </c>
      <c r="B557" s="122" t="s">
        <v>11834</v>
      </c>
      <c r="C557" s="113" t="str">
        <f t="shared" si="16"/>
        <v>QC.TB.THG</v>
      </c>
      <c r="D557" s="113" t="s">
        <v>14265</v>
      </c>
      <c r="E557" s="113" t="str">
        <f t="shared" si="17"/>
        <v>THG&lt;-&gt;Quỳnh Côi, Thái Bình</v>
      </c>
    </row>
    <row r="558" spans="1:5" x14ac:dyDescent="0.3">
      <c r="A558" s="122" t="s">
        <v>11835</v>
      </c>
      <c r="B558" s="122" t="s">
        <v>11836</v>
      </c>
      <c r="C558" s="113" t="str">
        <f t="shared" si="16"/>
        <v>QG.HD.DKG</v>
      </c>
      <c r="D558" s="113" t="s">
        <v>14266</v>
      </c>
      <c r="E558" s="113" t="str">
        <f t="shared" si="17"/>
        <v>DKG&lt;-&gt;Quán Gỏi, Hải Dương</v>
      </c>
    </row>
    <row r="559" spans="1:5" x14ac:dyDescent="0.3">
      <c r="A559" s="122" t="s">
        <v>11837</v>
      </c>
      <c r="B559" s="122" t="s">
        <v>11838</v>
      </c>
      <c r="C559" s="113" t="str">
        <f t="shared" si="16"/>
        <v>QG.HD.DKS</v>
      </c>
      <c r="D559" s="113" t="s">
        <v>14267</v>
      </c>
      <c r="E559" s="113" t="str">
        <f t="shared" si="17"/>
        <v>DKS&lt;-&gt;Quán Gỏi, Hải Dương</v>
      </c>
    </row>
    <row r="560" spans="1:5" x14ac:dyDescent="0.3">
      <c r="A560" s="122" t="s">
        <v>11839</v>
      </c>
      <c r="B560" s="122" t="s">
        <v>11840</v>
      </c>
      <c r="C560" s="113" t="str">
        <f t="shared" si="16"/>
        <v>QG.HD.THG</v>
      </c>
      <c r="D560" s="113" t="s">
        <v>14268</v>
      </c>
      <c r="E560" s="113" t="str">
        <f t="shared" si="17"/>
        <v>THG&lt;-&gt;Quán Gỏi, Hải Dương</v>
      </c>
    </row>
    <row r="561" spans="1:5" x14ac:dyDescent="0.3">
      <c r="A561" s="122" t="s">
        <v>11841</v>
      </c>
      <c r="B561" s="122" t="s">
        <v>11842</v>
      </c>
      <c r="C561" s="113" t="str">
        <f t="shared" si="16"/>
        <v>QH.NA.DKG</v>
      </c>
      <c r="D561" s="113" t="s">
        <v>14269</v>
      </c>
      <c r="E561" s="113" t="str">
        <f t="shared" si="17"/>
        <v>DKG&lt;-&gt;Quỳ Hợp, Nghệ An</v>
      </c>
    </row>
    <row r="562" spans="1:5" x14ac:dyDescent="0.3">
      <c r="A562" s="122" t="s">
        <v>11843</v>
      </c>
      <c r="B562" s="122" t="s">
        <v>11844</v>
      </c>
      <c r="C562" s="113" t="str">
        <f t="shared" si="16"/>
        <v>QH.NA.DKS</v>
      </c>
      <c r="D562" s="113" t="s">
        <v>14270</v>
      </c>
      <c r="E562" s="113" t="str">
        <f t="shared" si="17"/>
        <v>DKS&lt;-&gt;Quỳ Hợp, Nghệ An</v>
      </c>
    </row>
    <row r="563" spans="1:5" x14ac:dyDescent="0.3">
      <c r="A563" s="122" t="s">
        <v>11845</v>
      </c>
      <c r="B563" s="122" t="s">
        <v>11846</v>
      </c>
      <c r="C563" s="113" t="str">
        <f t="shared" si="16"/>
        <v>QH.QN.DKG</v>
      </c>
      <c r="D563" s="113" t="s">
        <v>14271</v>
      </c>
      <c r="E563" s="113" t="str">
        <f t="shared" si="17"/>
        <v>DKG&lt;-&gt;Quang Hanh, Quảng Ninh</v>
      </c>
    </row>
    <row r="564" spans="1:5" x14ac:dyDescent="0.3">
      <c r="A564" s="122" t="s">
        <v>11847</v>
      </c>
      <c r="B564" s="122" t="s">
        <v>11848</v>
      </c>
      <c r="C564" s="113" t="str">
        <f t="shared" si="16"/>
        <v>QH.TH.DKS</v>
      </c>
      <c r="D564" s="113" t="s">
        <v>14272</v>
      </c>
      <c r="E564" s="113" t="str">
        <f t="shared" si="17"/>
        <v>DKS&lt;-&gt;Quan Hóa, Thanh Hóa</v>
      </c>
    </row>
    <row r="565" spans="1:5" x14ac:dyDescent="0.3">
      <c r="A565" s="122" t="s">
        <v>11849</v>
      </c>
      <c r="B565" s="122" t="s">
        <v>11850</v>
      </c>
      <c r="C565" s="113" t="str">
        <f t="shared" si="16"/>
        <v>QL.NA.DKG</v>
      </c>
      <c r="D565" s="113" t="s">
        <v>14273</v>
      </c>
      <c r="E565" s="113" t="str">
        <f t="shared" si="17"/>
        <v>DKG&lt;-&gt;Quỳnh Lưu, Nghệ An</v>
      </c>
    </row>
    <row r="566" spans="1:5" x14ac:dyDescent="0.3">
      <c r="A566" s="122" t="s">
        <v>11851</v>
      </c>
      <c r="B566" s="122" t="s">
        <v>11852</v>
      </c>
      <c r="C566" s="113" t="str">
        <f t="shared" si="16"/>
        <v>QL.NA.DKS</v>
      </c>
      <c r="D566" s="113" t="s">
        <v>14274</v>
      </c>
      <c r="E566" s="113" t="str">
        <f t="shared" si="17"/>
        <v>DKS&lt;-&gt;Quỳnh Lưu, Nghệ An</v>
      </c>
    </row>
    <row r="567" spans="1:5" x14ac:dyDescent="0.3">
      <c r="A567" s="122" t="s">
        <v>11853</v>
      </c>
      <c r="B567" s="122" t="s">
        <v>11854</v>
      </c>
      <c r="C567" s="113" t="str">
        <f t="shared" si="16"/>
        <v>QL.NA.THG</v>
      </c>
      <c r="D567" s="113" t="s">
        <v>14275</v>
      </c>
      <c r="E567" s="113" t="str">
        <f t="shared" si="17"/>
        <v>THG&lt;-&gt;Quỳnh Lưu, Nghệ An</v>
      </c>
    </row>
    <row r="568" spans="1:5" x14ac:dyDescent="0.3">
      <c r="A568" s="122" t="s">
        <v>11855</v>
      </c>
      <c r="B568" s="122" t="s">
        <v>11856</v>
      </c>
      <c r="C568" s="113" t="str">
        <f t="shared" si="16"/>
        <v>QM.VP.DKS</v>
      </c>
      <c r="D568" s="113" t="s">
        <v>14276</v>
      </c>
      <c r="E568" s="113" t="str">
        <f t="shared" si="17"/>
        <v>DKS&lt;-&gt;Quang Minh, Vĩnh Phúc</v>
      </c>
    </row>
    <row r="569" spans="1:5" x14ac:dyDescent="0.3">
      <c r="A569" s="122" t="s">
        <v>11857</v>
      </c>
      <c r="B569" s="122" t="s">
        <v>11858</v>
      </c>
      <c r="C569" s="113" t="str">
        <f t="shared" si="16"/>
        <v>QO.HN.DKG</v>
      </c>
      <c r="D569" s="113" t="s">
        <v>14277</v>
      </c>
      <c r="E569" s="113" t="str">
        <f t="shared" si="17"/>
        <v>DKG&lt;-&gt;Quốc Oai, Hà Nội</v>
      </c>
    </row>
    <row r="570" spans="1:5" x14ac:dyDescent="0.3">
      <c r="A570" s="122" t="s">
        <v>11859</v>
      </c>
      <c r="B570" s="122" t="s">
        <v>11860</v>
      </c>
      <c r="C570" s="113" t="str">
        <f t="shared" si="16"/>
        <v>QO.HN.DKS</v>
      </c>
      <c r="D570" s="113" t="s">
        <v>14278</v>
      </c>
      <c r="E570" s="113" t="str">
        <f t="shared" si="17"/>
        <v>DKS&lt;-&gt;Quốc Oai, Hà Nội</v>
      </c>
    </row>
    <row r="571" spans="1:5" x14ac:dyDescent="0.3">
      <c r="A571" s="122" t="s">
        <v>11861</v>
      </c>
      <c r="B571" s="122" t="s">
        <v>11862</v>
      </c>
      <c r="C571" s="113" t="str">
        <f t="shared" si="16"/>
        <v>QO.HN.THG</v>
      </c>
      <c r="D571" s="113" t="s">
        <v>14279</v>
      </c>
      <c r="E571" s="113" t="str">
        <f t="shared" si="17"/>
        <v>THG&lt;-&gt;Quốc Oai, Hà Nội</v>
      </c>
    </row>
    <row r="572" spans="1:5" x14ac:dyDescent="0.3">
      <c r="A572" s="122" t="s">
        <v>11863</v>
      </c>
      <c r="B572" s="122" t="s">
        <v>11864</v>
      </c>
      <c r="C572" s="113" t="str">
        <f t="shared" si="16"/>
        <v>QP.TB.DKG</v>
      </c>
      <c r="D572" s="113" t="s">
        <v>14280</v>
      </c>
      <c r="E572" s="113" t="str">
        <f t="shared" si="17"/>
        <v>DKG&lt;-&gt;Quỳnh Phụ, Thái Bình</v>
      </c>
    </row>
    <row r="573" spans="1:5" x14ac:dyDescent="0.3">
      <c r="A573" s="122" t="s">
        <v>11865</v>
      </c>
      <c r="B573" s="122" t="s">
        <v>11866</v>
      </c>
      <c r="C573" s="113" t="str">
        <f t="shared" si="16"/>
        <v>QP.TB.DKS</v>
      </c>
      <c r="D573" s="113" t="s">
        <v>14281</v>
      </c>
      <c r="E573" s="113" t="str">
        <f t="shared" si="17"/>
        <v>DKS&lt;-&gt;Quỳnh Phụ, Thái Bình</v>
      </c>
    </row>
    <row r="574" spans="1:5" x14ac:dyDescent="0.3">
      <c r="A574" s="122" t="s">
        <v>11867</v>
      </c>
      <c r="B574" s="122" t="s">
        <v>11868</v>
      </c>
      <c r="C574" s="113" t="str">
        <f t="shared" si="16"/>
        <v>QP.TB.THG</v>
      </c>
      <c r="D574" s="113" t="s">
        <v>14282</v>
      </c>
      <c r="E574" s="113" t="str">
        <f t="shared" si="17"/>
        <v>THG&lt;-&gt;Quỳnh Phụ, Thái Bình</v>
      </c>
    </row>
    <row r="575" spans="1:5" x14ac:dyDescent="0.3">
      <c r="A575" s="122" t="s">
        <v>11869</v>
      </c>
      <c r="B575" s="122" t="s">
        <v>11870</v>
      </c>
      <c r="C575" s="113" t="str">
        <f t="shared" si="16"/>
        <v>QT.HP.DKG</v>
      </c>
      <c r="D575" s="113" t="s">
        <v>14283</v>
      </c>
      <c r="E575" s="113" t="str">
        <f t="shared" si="17"/>
        <v>DKG&lt;-&gt;Quán Toan, Hải Phòng</v>
      </c>
    </row>
    <row r="576" spans="1:5" x14ac:dyDescent="0.3">
      <c r="A576" s="122" t="s">
        <v>11871</v>
      </c>
      <c r="B576" s="122" t="s">
        <v>11872</v>
      </c>
      <c r="C576" s="113" t="str">
        <f t="shared" si="16"/>
        <v>QT.HP.DKS</v>
      </c>
      <c r="D576" s="113" t="s">
        <v>14284</v>
      </c>
      <c r="E576" s="113" t="str">
        <f t="shared" si="17"/>
        <v>DKS&lt;-&gt;Quán Toan, Hải Phòng</v>
      </c>
    </row>
    <row r="577" spans="1:5" x14ac:dyDescent="0.3">
      <c r="A577" s="122" t="s">
        <v>11873</v>
      </c>
      <c r="B577" s="122" t="s">
        <v>11874</v>
      </c>
      <c r="C577" s="113" t="str">
        <f t="shared" si="16"/>
        <v>QT.HP.THG</v>
      </c>
      <c r="D577" s="113" t="s">
        <v>14285</v>
      </c>
      <c r="E577" s="113" t="str">
        <f t="shared" si="17"/>
        <v>THG&lt;-&gt;Quán Toan, Hải Phòng</v>
      </c>
    </row>
    <row r="578" spans="1:5" x14ac:dyDescent="0.3">
      <c r="A578" s="122" t="s">
        <v>11875</v>
      </c>
      <c r="B578" s="122" t="s">
        <v>11876</v>
      </c>
      <c r="C578" s="113" t="str">
        <f t="shared" si="16"/>
        <v>QT.QB.DKG</v>
      </c>
      <c r="D578" s="113" t="s">
        <v>14286</v>
      </c>
      <c r="E578" s="113" t="str">
        <f t="shared" si="17"/>
        <v>DKG&lt;-&gt;Quảng Trạch, Quảng Bình</v>
      </c>
    </row>
    <row r="579" spans="1:5" x14ac:dyDescent="0.3">
      <c r="A579" s="122" t="s">
        <v>11877</v>
      </c>
      <c r="B579" s="122" t="s">
        <v>11878</v>
      </c>
      <c r="C579" s="113" t="str">
        <f t="shared" si="16"/>
        <v>QV.BN.DKG</v>
      </c>
      <c r="D579" s="113" t="s">
        <v>14287</v>
      </c>
      <c r="E579" s="113" t="str">
        <f t="shared" si="17"/>
        <v>DKG&lt;-&gt;Quế Võ, Bắc Ninh</v>
      </c>
    </row>
    <row r="580" spans="1:5" x14ac:dyDescent="0.3">
      <c r="A580" s="122" t="s">
        <v>11879</v>
      </c>
      <c r="B580" s="122" t="s">
        <v>11880</v>
      </c>
      <c r="C580" s="113" t="str">
        <f t="shared" ref="C580:C643" si="18">+A580</f>
        <v>QV.BN.DKS</v>
      </c>
      <c r="D580" s="113" t="s">
        <v>14288</v>
      </c>
      <c r="E580" s="113" t="str">
        <f t="shared" ref="E580:E643" si="19">B580</f>
        <v>DKS&lt;-&gt;Quế Võ, Bắc Ninh</v>
      </c>
    </row>
    <row r="581" spans="1:5" x14ac:dyDescent="0.3">
      <c r="A581" s="122" t="s">
        <v>11881</v>
      </c>
      <c r="B581" s="122" t="s">
        <v>11882</v>
      </c>
      <c r="C581" s="113" t="str">
        <f t="shared" si="18"/>
        <v>QV.BN.THG</v>
      </c>
      <c r="D581" s="113" t="s">
        <v>14289</v>
      </c>
      <c r="E581" s="113" t="str">
        <f t="shared" si="19"/>
        <v>THG&lt;-&gt;Quế Võ, Bắc Ninh</v>
      </c>
    </row>
    <row r="582" spans="1:5" x14ac:dyDescent="0.3">
      <c r="A582" s="122" t="s">
        <v>11883</v>
      </c>
      <c r="B582" s="122" t="s">
        <v>11884</v>
      </c>
      <c r="C582" s="113" t="str">
        <f t="shared" si="18"/>
        <v>QX.TH.DKG</v>
      </c>
      <c r="D582" s="113" t="s">
        <v>14290</v>
      </c>
      <c r="E582" s="113" t="str">
        <f t="shared" si="19"/>
        <v>DKG&lt;-&gt;Quảng Xương, Thanh Hóa</v>
      </c>
    </row>
    <row r="583" spans="1:5" x14ac:dyDescent="0.3">
      <c r="A583" s="122" t="s">
        <v>11885</v>
      </c>
      <c r="B583" s="122" t="s">
        <v>11886</v>
      </c>
      <c r="C583" s="113" t="str">
        <f t="shared" si="18"/>
        <v>QX.TH.DKS</v>
      </c>
      <c r="D583" s="113" t="s">
        <v>14291</v>
      </c>
      <c r="E583" s="113" t="str">
        <f t="shared" si="19"/>
        <v>DKS&lt;-&gt;Quảng Xương, Thanh Hóa</v>
      </c>
    </row>
    <row r="584" spans="1:5" x14ac:dyDescent="0.3">
      <c r="A584" s="122" t="s">
        <v>11887</v>
      </c>
      <c r="B584" s="122" t="s">
        <v>11888</v>
      </c>
      <c r="C584" s="113" t="str">
        <f t="shared" si="18"/>
        <v>QX.TH.THG</v>
      </c>
      <c r="D584" s="113" t="s">
        <v>14292</v>
      </c>
      <c r="E584" s="113" t="str">
        <f t="shared" si="19"/>
        <v>THG&lt;-&gt;Quảng Xương, Thanh Hóa</v>
      </c>
    </row>
    <row r="585" spans="1:5" x14ac:dyDescent="0.3">
      <c r="A585" s="122" t="s">
        <v>11889</v>
      </c>
      <c r="B585" s="122" t="s">
        <v>11890</v>
      </c>
      <c r="C585" s="113" t="str">
        <f t="shared" si="18"/>
        <v>QY.QN.DKG</v>
      </c>
      <c r="D585" s="113" t="s">
        <v>14293</v>
      </c>
      <c r="E585" s="113" t="str">
        <f t="shared" si="19"/>
        <v>DKG&lt;-&gt;Quảng Yên, Quảng Ninh</v>
      </c>
    </row>
    <row r="586" spans="1:5" x14ac:dyDescent="0.3">
      <c r="A586" s="122" t="s">
        <v>11891</v>
      </c>
      <c r="B586" s="122" t="s">
        <v>11892</v>
      </c>
      <c r="C586" s="113" t="str">
        <f t="shared" si="18"/>
        <v>QY.QN.THG</v>
      </c>
      <c r="D586" s="113" t="s">
        <v>14294</v>
      </c>
      <c r="E586" s="113" t="str">
        <f t="shared" si="19"/>
        <v>THG&lt;-&gt;Quảng Yên, Quảng Ninh</v>
      </c>
    </row>
    <row r="587" spans="1:5" x14ac:dyDescent="0.3">
      <c r="A587" s="122" t="s">
        <v>11893</v>
      </c>
      <c r="B587" s="122" t="s">
        <v>11894</v>
      </c>
      <c r="C587" s="113" t="str">
        <f t="shared" si="18"/>
        <v>RUTDO</v>
      </c>
      <c r="D587" s="113" t="s">
        <v>11894</v>
      </c>
      <c r="E587" s="113" t="str">
        <f t="shared" si="19"/>
        <v>Rút đo gỗ</v>
      </c>
    </row>
    <row r="588" spans="1:5" x14ac:dyDescent="0.3">
      <c r="A588" s="122" t="s">
        <v>11895</v>
      </c>
      <c r="B588" s="122" t="s">
        <v>11896</v>
      </c>
      <c r="C588" s="113" t="str">
        <f t="shared" si="18"/>
        <v>RUTGOHOP</v>
      </c>
      <c r="D588" s="113" t="s">
        <v>11896</v>
      </c>
      <c r="E588" s="113" t="str">
        <f t="shared" si="19"/>
        <v>Rút gỗ hộp trong cont ra bãi</v>
      </c>
    </row>
    <row r="589" spans="1:5" x14ac:dyDescent="0.3">
      <c r="A589" s="122" t="s">
        <v>11897</v>
      </c>
      <c r="B589" s="122" t="s">
        <v>11898</v>
      </c>
      <c r="C589" s="113" t="str">
        <f t="shared" si="18"/>
        <v>RUTGOPHAN</v>
      </c>
      <c r="D589" s="113" t="s">
        <v>11898</v>
      </c>
      <c r="E589" s="113" t="str">
        <f t="shared" si="19"/>
        <v>Rút gỗ phản trong cont ra bãi</v>
      </c>
    </row>
    <row r="590" spans="1:5" x14ac:dyDescent="0.3">
      <c r="A590" s="122" t="s">
        <v>11899</v>
      </c>
      <c r="B590" s="122" t="s">
        <v>11900</v>
      </c>
      <c r="C590" s="113" t="str">
        <f t="shared" si="18"/>
        <v>RUTGOTRAC</v>
      </c>
      <c r="D590" s="113" t="s">
        <v>11900</v>
      </c>
      <c r="E590" s="113" t="str">
        <f t="shared" si="19"/>
        <v>Rút gỗ trắc trong cont ra bãi</v>
      </c>
    </row>
    <row r="591" spans="1:5" x14ac:dyDescent="0.3">
      <c r="A591" s="122" t="s">
        <v>11901</v>
      </c>
      <c r="B591" s="122" t="s">
        <v>11902</v>
      </c>
      <c r="C591" s="113" t="str">
        <f t="shared" si="18"/>
        <v>RUTGOTRON</v>
      </c>
      <c r="D591" s="113" t="s">
        <v>11902</v>
      </c>
      <c r="E591" s="113" t="str">
        <f t="shared" si="19"/>
        <v>Rút gỗ tròn trong cont ra bãi</v>
      </c>
    </row>
    <row r="592" spans="1:5" x14ac:dyDescent="0.3">
      <c r="A592" s="122" t="s">
        <v>11903</v>
      </c>
      <c r="B592" s="122" t="s">
        <v>11904</v>
      </c>
      <c r="C592" s="113" t="str">
        <f t="shared" si="18"/>
        <v>RUTGOXE</v>
      </c>
      <c r="D592" s="113" t="s">
        <v>14295</v>
      </c>
      <c r="E592" s="113" t="str">
        <f t="shared" si="19"/>
        <v>Rút gỗ xẻ, đóng kiện trong cont ra bãi</v>
      </c>
    </row>
    <row r="593" spans="1:5" x14ac:dyDescent="0.3">
      <c r="A593" s="122" t="s">
        <v>11905</v>
      </c>
      <c r="B593" s="122" t="s">
        <v>11906</v>
      </c>
      <c r="C593" s="113" t="str">
        <f t="shared" si="18"/>
        <v>RX.TH.DKG</v>
      </c>
      <c r="D593" s="113" t="s">
        <v>14296</v>
      </c>
      <c r="E593" s="113" t="str">
        <f t="shared" si="19"/>
        <v>DKG&lt;-&gt;Rốc Xây, Bỉm Sơn, Thanh Hóa</v>
      </c>
    </row>
    <row r="594" spans="1:5" x14ac:dyDescent="0.3">
      <c r="A594" s="122" t="s">
        <v>11907</v>
      </c>
      <c r="B594" s="122" t="s">
        <v>11908</v>
      </c>
      <c r="C594" s="113" t="str">
        <f t="shared" si="18"/>
        <v>RX.TH.THG</v>
      </c>
      <c r="D594" s="113" t="s">
        <v>14297</v>
      </c>
      <c r="E594" s="113" t="str">
        <f t="shared" si="19"/>
        <v>THG&lt;-&gt;Rốc Xây, Bỉm Sơn, Thanh Hóa</v>
      </c>
    </row>
    <row r="595" spans="1:5" x14ac:dyDescent="0.3">
      <c r="A595" s="122" t="s">
        <v>11909</v>
      </c>
      <c r="B595" s="122" t="s">
        <v>11910</v>
      </c>
      <c r="C595" s="113" t="str">
        <f t="shared" si="18"/>
        <v>SC.TN.DKG</v>
      </c>
      <c r="D595" s="113" t="s">
        <v>14298</v>
      </c>
      <c r="E595" s="113" t="str">
        <f t="shared" si="19"/>
        <v>DKG&lt;-&gt;Sông Công, Thái Nguyên</v>
      </c>
    </row>
    <row r="596" spans="1:5" x14ac:dyDescent="0.3">
      <c r="A596" s="122" t="s">
        <v>11911</v>
      </c>
      <c r="B596" s="122" t="s">
        <v>11912</v>
      </c>
      <c r="C596" s="113" t="str">
        <f t="shared" si="18"/>
        <v>SC.TN.DKS</v>
      </c>
      <c r="D596" s="113" t="s">
        <v>14299</v>
      </c>
      <c r="E596" s="113" t="str">
        <f t="shared" si="19"/>
        <v>DKS&lt;-&gt;Sông Công, Thái Nguyên</v>
      </c>
    </row>
    <row r="597" spans="1:5" x14ac:dyDescent="0.3">
      <c r="A597" s="122" t="s">
        <v>11913</v>
      </c>
      <c r="B597" s="122" t="s">
        <v>11914</v>
      </c>
      <c r="C597" s="113" t="str">
        <f t="shared" si="18"/>
        <v>SD.BG.DKS</v>
      </c>
      <c r="D597" s="113" t="s">
        <v>14300</v>
      </c>
      <c r="E597" s="113" t="str">
        <f t="shared" si="19"/>
        <v>DKS&lt;-&gt;Sơn Động, Bắc Giang</v>
      </c>
    </row>
    <row r="598" spans="1:5" x14ac:dyDescent="0.3">
      <c r="A598" s="122" t="s">
        <v>11915</v>
      </c>
      <c r="B598" s="122" t="s">
        <v>11916</v>
      </c>
      <c r="C598" s="113" t="str">
        <f t="shared" si="18"/>
        <v>SD.HN.DKS</v>
      </c>
      <c r="D598" s="113" t="s">
        <v>14301</v>
      </c>
      <c r="E598" s="113" t="str">
        <f t="shared" si="19"/>
        <v>DKS&lt;-&gt;Sài Đồng, Hà Nội</v>
      </c>
    </row>
    <row r="599" spans="1:5" x14ac:dyDescent="0.3">
      <c r="A599" s="122" t="s">
        <v>11917</v>
      </c>
      <c r="B599" s="122" t="s">
        <v>11918</v>
      </c>
      <c r="C599" s="113" t="str">
        <f t="shared" si="18"/>
        <v>SD.HP.DKG</v>
      </c>
      <c r="D599" s="113" t="s">
        <v>14302</v>
      </c>
      <c r="E599" s="113" t="str">
        <f t="shared" si="19"/>
        <v>DKG&lt;-&gt;Sở Dầu, Hải Phòng</v>
      </c>
    </row>
    <row r="600" spans="1:5" x14ac:dyDescent="0.3">
      <c r="A600" s="122" t="s">
        <v>11919</v>
      </c>
      <c r="B600" s="122" t="s">
        <v>11920</v>
      </c>
      <c r="C600" s="113" t="str">
        <f t="shared" si="18"/>
        <v>SD.HP.DKS</v>
      </c>
      <c r="D600" s="113" t="s">
        <v>14303</v>
      </c>
      <c r="E600" s="113" t="str">
        <f t="shared" si="19"/>
        <v>DKS&lt;-&gt;Sở Dầu, Hải Phòng</v>
      </c>
    </row>
    <row r="601" spans="1:5" x14ac:dyDescent="0.3">
      <c r="A601" s="122" t="s">
        <v>11921</v>
      </c>
      <c r="B601" s="122" t="s">
        <v>11922</v>
      </c>
      <c r="C601" s="113" t="str">
        <f t="shared" si="18"/>
        <v>SD.TQ.DKS</v>
      </c>
      <c r="D601" s="113" t="s">
        <v>14304</v>
      </c>
      <c r="E601" s="113" t="str">
        <f t="shared" si="19"/>
        <v>DKS&lt;-&gt;Sơn Dương, Tuyên Quang</v>
      </c>
    </row>
    <row r="602" spans="1:5" x14ac:dyDescent="0.3">
      <c r="A602" s="122" t="s">
        <v>11923</v>
      </c>
      <c r="B602" s="122" t="s">
        <v>11924</v>
      </c>
      <c r="C602" s="113" t="str">
        <f t="shared" si="18"/>
        <v>SK.BG.DKS</v>
      </c>
      <c r="D602" s="113" t="s">
        <v>14305</v>
      </c>
      <c r="E602" s="113" t="str">
        <f t="shared" si="19"/>
        <v>DKS&lt;-&gt;Sông Khuê, Bắc Giang</v>
      </c>
    </row>
    <row r="603" spans="1:5" x14ac:dyDescent="0.3">
      <c r="A603" s="122" t="s">
        <v>11925</v>
      </c>
      <c r="B603" s="122" t="s">
        <v>11926</v>
      </c>
      <c r="C603" s="113" t="str">
        <f t="shared" si="18"/>
        <v>SS.HN.DKG</v>
      </c>
      <c r="D603" s="113" t="s">
        <v>14306</v>
      </c>
      <c r="E603" s="113" t="str">
        <f t="shared" si="19"/>
        <v>DKG&lt;-&gt;Sóc Sơn, Hà Nội</v>
      </c>
    </row>
    <row r="604" spans="1:5" x14ac:dyDescent="0.3">
      <c r="A604" s="122" t="s">
        <v>11927</v>
      </c>
      <c r="B604" s="122" t="s">
        <v>11928</v>
      </c>
      <c r="C604" s="113" t="str">
        <f t="shared" si="18"/>
        <v>SS.HN.DKS</v>
      </c>
      <c r="D604" s="113" t="s">
        <v>14307</v>
      </c>
      <c r="E604" s="113" t="str">
        <f t="shared" si="19"/>
        <v>DKS&lt;-&gt;Sóc Sơn, Hà Nội</v>
      </c>
    </row>
    <row r="605" spans="1:5" x14ac:dyDescent="0.3">
      <c r="A605" s="122" t="s">
        <v>11929</v>
      </c>
      <c r="B605" s="122" t="s">
        <v>11930</v>
      </c>
      <c r="C605" s="113" t="str">
        <f t="shared" si="18"/>
        <v>SS.HN.THG</v>
      </c>
      <c r="D605" s="113" t="s">
        <v>14308</v>
      </c>
      <c r="E605" s="113" t="str">
        <f t="shared" si="19"/>
        <v>THG&lt;-&gt;Sóc Sơn, Hà Nội</v>
      </c>
    </row>
    <row r="606" spans="1:5" x14ac:dyDescent="0.3">
      <c r="A606" s="122" t="s">
        <v>11931</v>
      </c>
      <c r="B606" s="122" t="s">
        <v>11932</v>
      </c>
      <c r="C606" s="113" t="str">
        <f t="shared" si="18"/>
        <v>SS.TH.DKG</v>
      </c>
      <c r="D606" s="113" t="s">
        <v>14309</v>
      </c>
      <c r="E606" s="113" t="str">
        <f t="shared" si="19"/>
        <v>DKG&lt;-&gt;Sầm Sơn, Thanh Hóa</v>
      </c>
    </row>
    <row r="607" spans="1:5" x14ac:dyDescent="0.3">
      <c r="A607" s="122" t="s">
        <v>11933</v>
      </c>
      <c r="B607" s="122" t="s">
        <v>11934</v>
      </c>
      <c r="C607" s="113" t="str">
        <f t="shared" si="18"/>
        <v>SS.TH.THG</v>
      </c>
      <c r="D607" s="113" t="s">
        <v>14310</v>
      </c>
      <c r="E607" s="113" t="str">
        <f t="shared" si="19"/>
        <v>THG&lt;-&gt;Sầm Sơn, Thanh Hóa</v>
      </c>
    </row>
    <row r="608" spans="1:5" x14ac:dyDescent="0.3">
      <c r="A608" s="122" t="s">
        <v>11935</v>
      </c>
      <c r="B608" s="122" t="s">
        <v>11936</v>
      </c>
      <c r="C608" s="113" t="str">
        <f t="shared" si="18"/>
        <v>ST.HN.DKG</v>
      </c>
      <c r="D608" s="113" t="s">
        <v>14311</v>
      </c>
      <c r="E608" s="113" t="str">
        <f t="shared" si="19"/>
        <v>DKG&lt;-&gt;Sơn Tây (Ba Vì), Hà Nội</v>
      </c>
    </row>
    <row r="609" spans="1:5" x14ac:dyDescent="0.3">
      <c r="A609" s="122" t="s">
        <v>11937</v>
      </c>
      <c r="B609" s="122" t="s">
        <v>11938</v>
      </c>
      <c r="C609" s="113" t="str">
        <f t="shared" si="18"/>
        <v>ST.HN.DKS</v>
      </c>
      <c r="D609" s="113" t="s">
        <v>14312</v>
      </c>
      <c r="E609" s="113" t="str">
        <f t="shared" si="19"/>
        <v>DKS&lt;-&gt;Sơn Tây, Hà Nội</v>
      </c>
    </row>
    <row r="610" spans="1:5" x14ac:dyDescent="0.3">
      <c r="A610" s="122" t="s">
        <v>11939</v>
      </c>
      <c r="B610" s="122" t="s">
        <v>11940</v>
      </c>
      <c r="C610" s="113" t="str">
        <f t="shared" si="18"/>
        <v>ST.HN.THG</v>
      </c>
      <c r="D610" s="113" t="s">
        <v>14313</v>
      </c>
      <c r="E610" s="113" t="str">
        <f t="shared" si="19"/>
        <v>THG&lt;-&gt;Sơn Tây (Ba Vì), Hà Nội</v>
      </c>
    </row>
    <row r="611" spans="1:5" x14ac:dyDescent="0.3">
      <c r="A611" s="122" t="s">
        <v>11941</v>
      </c>
      <c r="B611" s="122" t="s">
        <v>11942</v>
      </c>
      <c r="C611" s="113" t="str">
        <f t="shared" si="18"/>
        <v>TB.PT.DKG</v>
      </c>
      <c r="D611" s="113" t="s">
        <v>14314</v>
      </c>
      <c r="E611" s="113" t="str">
        <f t="shared" si="19"/>
        <v>DKG&lt;-&gt;Thanh Ba, Phú Thọ</v>
      </c>
    </row>
    <row r="612" spans="1:5" x14ac:dyDescent="0.3">
      <c r="A612" s="122" t="s">
        <v>11943</v>
      </c>
      <c r="B612" s="122" t="s">
        <v>11944</v>
      </c>
      <c r="C612" s="113" t="str">
        <f t="shared" si="18"/>
        <v>TB.PT.DKS</v>
      </c>
      <c r="D612" s="113" t="s">
        <v>14315</v>
      </c>
      <c r="E612" s="113" t="str">
        <f t="shared" si="19"/>
        <v>DKS&lt;-&gt;Thanh Ba, Phú Thọ</v>
      </c>
    </row>
    <row r="613" spans="1:5" x14ac:dyDescent="0.3">
      <c r="A613" s="122" t="s">
        <v>11945</v>
      </c>
      <c r="B613" s="122" t="s">
        <v>11946</v>
      </c>
      <c r="C613" s="113" t="str">
        <f t="shared" si="18"/>
        <v>TC.BN.DKG</v>
      </c>
      <c r="D613" s="113" t="s">
        <v>14316</v>
      </c>
      <c r="E613" s="113" t="str">
        <f t="shared" si="19"/>
        <v>DKG&lt;-&gt;Thị Cầu, Bắc Ninh</v>
      </c>
    </row>
    <row r="614" spans="1:5" x14ac:dyDescent="0.3">
      <c r="A614" s="122" t="s">
        <v>11947</v>
      </c>
      <c r="B614" s="122" t="s">
        <v>11948</v>
      </c>
      <c r="C614" s="113" t="str">
        <f t="shared" si="18"/>
        <v>TC.BN.THG</v>
      </c>
      <c r="D614" s="113" t="s">
        <v>14317</v>
      </c>
      <c r="E614" s="113" t="str">
        <f t="shared" si="19"/>
        <v>THG&lt;-&gt;Thị Cầu, Bắc Ninh</v>
      </c>
    </row>
    <row r="615" spans="1:5" x14ac:dyDescent="0.3">
      <c r="A615" s="122" t="s">
        <v>11949</v>
      </c>
      <c r="B615" s="122" t="s">
        <v>11950</v>
      </c>
      <c r="C615" s="113" t="str">
        <f t="shared" si="18"/>
        <v>TC.HN.DKG</v>
      </c>
      <c r="D615" s="113" t="s">
        <v>14318</v>
      </c>
      <c r="E615" s="113" t="str">
        <f t="shared" si="19"/>
        <v>DKG&lt;-&gt;Trường Chinh, Hà Nội</v>
      </c>
    </row>
    <row r="616" spans="1:5" x14ac:dyDescent="0.3">
      <c r="A616" s="122" t="s">
        <v>11951</v>
      </c>
      <c r="B616" s="122" t="s">
        <v>11952</v>
      </c>
      <c r="C616" s="113" t="str">
        <f t="shared" si="18"/>
        <v>TC.NA.DKG</v>
      </c>
      <c r="D616" s="113" t="s">
        <v>14319</v>
      </c>
      <c r="E616" s="113" t="str">
        <f t="shared" si="19"/>
        <v>DKG&lt;-&gt;Thanh Chương, Nghệ An</v>
      </c>
    </row>
    <row r="617" spans="1:5" x14ac:dyDescent="0.3">
      <c r="A617" s="122" t="s">
        <v>11953</v>
      </c>
      <c r="B617" s="122" t="s">
        <v>11954</v>
      </c>
      <c r="C617" s="113" t="str">
        <f t="shared" si="18"/>
        <v>TD.BN.DKG</v>
      </c>
      <c r="D617" s="113" t="s">
        <v>14320</v>
      </c>
      <c r="E617" s="113" t="str">
        <f t="shared" si="19"/>
        <v>DKG&lt;-&gt;Tiên Du, Bắc Ninh</v>
      </c>
    </row>
    <row r="618" spans="1:5" x14ac:dyDescent="0.3">
      <c r="A618" s="122" t="s">
        <v>11955</v>
      </c>
      <c r="B618" s="122" t="s">
        <v>11956</v>
      </c>
      <c r="C618" s="113" t="str">
        <f t="shared" si="18"/>
        <v>TD.BN.DKS</v>
      </c>
      <c r="D618" s="113" t="s">
        <v>14321</v>
      </c>
      <c r="E618" s="113" t="str">
        <f t="shared" si="19"/>
        <v>DKS&lt;-&gt;Tiên Du, Bắc Ninh</v>
      </c>
    </row>
    <row r="619" spans="1:5" x14ac:dyDescent="0.3">
      <c r="A619" s="122" t="s">
        <v>11957</v>
      </c>
      <c r="B619" s="122" t="s">
        <v>11958</v>
      </c>
      <c r="C619" s="113" t="str">
        <f t="shared" si="18"/>
        <v>TD.BN.THG</v>
      </c>
      <c r="D619" s="113" t="s">
        <v>14322</v>
      </c>
      <c r="E619" s="113" t="str">
        <f t="shared" si="19"/>
        <v>THG&lt;-&gt;Tiên Du, Bắc Ninh</v>
      </c>
    </row>
    <row r="620" spans="1:5" x14ac:dyDescent="0.3">
      <c r="A620" s="122" t="s">
        <v>11959</v>
      </c>
      <c r="B620" s="122" t="s">
        <v>11960</v>
      </c>
      <c r="C620" s="113" t="str">
        <f t="shared" si="18"/>
        <v>TD.NB.DKG</v>
      </c>
      <c r="D620" s="113" t="s">
        <v>14323</v>
      </c>
      <c r="E620" s="113" t="str">
        <f t="shared" si="19"/>
        <v>DKG&lt;-&gt;Tam Điệp, Ninh Bình</v>
      </c>
    </row>
    <row r="621" spans="1:5" x14ac:dyDescent="0.3">
      <c r="A621" s="122" t="s">
        <v>11961</v>
      </c>
      <c r="B621" s="122" t="s">
        <v>11962</v>
      </c>
      <c r="C621" s="113" t="str">
        <f t="shared" si="18"/>
        <v>TD.NB.THG</v>
      </c>
      <c r="D621" s="113" t="s">
        <v>14324</v>
      </c>
      <c r="E621" s="113" t="str">
        <f t="shared" si="19"/>
        <v>THG&lt;-&gt;Tam Điệp, Ninh Bình</v>
      </c>
    </row>
    <row r="622" spans="1:5" x14ac:dyDescent="0.3">
      <c r="A622" s="122" t="s">
        <v>11963</v>
      </c>
      <c r="B622" s="122" t="s">
        <v>11964</v>
      </c>
      <c r="C622" s="113" t="str">
        <f t="shared" si="18"/>
        <v>TD.VP.DKG</v>
      </c>
      <c r="D622" s="113" t="s">
        <v>14325</v>
      </c>
      <c r="E622" s="113" t="str">
        <f t="shared" si="19"/>
        <v>DKG&lt;-&gt;Tam Dương, Vĩnh Phúc</v>
      </c>
    </row>
    <row r="623" spans="1:5" x14ac:dyDescent="0.3">
      <c r="A623" s="122" t="s">
        <v>11965</v>
      </c>
      <c r="B623" s="122" t="s">
        <v>11966</v>
      </c>
      <c r="C623" s="113" t="str">
        <f t="shared" si="18"/>
        <v>TD.VP.DKS</v>
      </c>
      <c r="D623" s="113" t="s">
        <v>14326</v>
      </c>
      <c r="E623" s="113" t="str">
        <f t="shared" si="19"/>
        <v>DKS&lt;-&gt;Tam Đảo, Vĩnh Phúc</v>
      </c>
    </row>
    <row r="624" spans="1:5" x14ac:dyDescent="0.3">
      <c r="A624" s="122" t="s">
        <v>11967</v>
      </c>
      <c r="B624" s="122" t="s">
        <v>11968</v>
      </c>
      <c r="C624" s="113" t="str">
        <f t="shared" si="18"/>
        <v>TDA.VP.DKG</v>
      </c>
      <c r="D624" s="113" t="s">
        <v>14327</v>
      </c>
      <c r="E624" s="113" t="str">
        <f t="shared" si="19"/>
        <v>DKG&lt;-&gt;Tam Đảo, Vĩnh Phúc</v>
      </c>
    </row>
    <row r="625" spans="1:5" x14ac:dyDescent="0.3">
      <c r="A625" s="122" t="s">
        <v>11969</v>
      </c>
      <c r="B625" s="122" t="s">
        <v>11970</v>
      </c>
      <c r="C625" s="113" t="str">
        <f t="shared" si="18"/>
        <v>TG.TH.DKG</v>
      </c>
      <c r="D625" s="113" t="s">
        <v>14328</v>
      </c>
      <c r="E625" s="113" t="str">
        <f t="shared" si="19"/>
        <v>DKG&lt;-&gt;Tĩnh Gia, Thanh Hóa</v>
      </c>
    </row>
    <row r="626" spans="1:5" x14ac:dyDescent="0.3">
      <c r="A626" s="122" t="s">
        <v>11971</v>
      </c>
      <c r="B626" s="122" t="s">
        <v>11972</v>
      </c>
      <c r="C626" s="113" t="str">
        <f t="shared" si="18"/>
        <v>TG.TH.DKS</v>
      </c>
      <c r="D626" s="113" t="s">
        <v>14329</v>
      </c>
      <c r="E626" s="113" t="str">
        <f t="shared" si="19"/>
        <v>DKS&lt;-&gt;Tĩnh Gia, Thanh Hóa</v>
      </c>
    </row>
    <row r="627" spans="1:5" x14ac:dyDescent="0.3">
      <c r="A627" s="122" t="s">
        <v>11973</v>
      </c>
      <c r="B627" s="122" t="s">
        <v>11974</v>
      </c>
      <c r="C627" s="113" t="str">
        <f t="shared" si="18"/>
        <v>TG.TH.THG</v>
      </c>
      <c r="D627" s="113" t="s">
        <v>14330</v>
      </c>
      <c r="E627" s="113" t="str">
        <f t="shared" si="19"/>
        <v>THG&lt;-&gt;Tĩnh Gia, Thanh Hóa</v>
      </c>
    </row>
    <row r="628" spans="1:5" x14ac:dyDescent="0.3">
      <c r="A628" s="122" t="s">
        <v>11975</v>
      </c>
      <c r="B628" s="122" t="s">
        <v>11976</v>
      </c>
      <c r="C628" s="113" t="str">
        <f t="shared" si="18"/>
        <v>TH.HD.DKG</v>
      </c>
      <c r="D628" s="113" t="s">
        <v>14331</v>
      </c>
      <c r="E628" s="113" t="str">
        <f t="shared" si="19"/>
        <v>DKG&lt;-&gt;Thanh Hà, Hải Dương</v>
      </c>
    </row>
    <row r="629" spans="1:5" x14ac:dyDescent="0.3">
      <c r="A629" s="122" t="s">
        <v>11977</v>
      </c>
      <c r="B629" s="122" t="s">
        <v>11978</v>
      </c>
      <c r="C629" s="113" t="str">
        <f t="shared" si="18"/>
        <v>TH.HD.DKS</v>
      </c>
      <c r="D629" s="113" t="s">
        <v>14332</v>
      </c>
      <c r="E629" s="113" t="str">
        <f t="shared" si="19"/>
        <v>DKS&lt;-&gt;Thanh Hà, Hải Dương</v>
      </c>
    </row>
    <row r="630" spans="1:5" x14ac:dyDescent="0.3">
      <c r="A630" s="122" t="s">
        <v>11979</v>
      </c>
      <c r="B630" s="122" t="s">
        <v>11980</v>
      </c>
      <c r="C630" s="113" t="str">
        <f t="shared" si="18"/>
        <v>TH.HD.THG</v>
      </c>
      <c r="D630" s="113" t="s">
        <v>14333</v>
      </c>
      <c r="E630" s="113" t="str">
        <f t="shared" si="19"/>
        <v>THG&lt;-&gt;Thanh Hà, Hải Dương</v>
      </c>
    </row>
    <row r="631" spans="1:5" x14ac:dyDescent="0.3">
      <c r="A631" s="122" t="s">
        <v>11981</v>
      </c>
      <c r="B631" s="122" t="s">
        <v>11982</v>
      </c>
      <c r="C631" s="113" t="str">
        <f t="shared" si="18"/>
        <v>TH.NA.DKG</v>
      </c>
      <c r="D631" s="113" t="s">
        <v>14334</v>
      </c>
      <c r="E631" s="113" t="str">
        <f t="shared" si="19"/>
        <v>DKG&lt;-&gt;Thái Hòa, Nghệ An</v>
      </c>
    </row>
    <row r="632" spans="1:5" x14ac:dyDescent="0.3">
      <c r="A632" s="122" t="s">
        <v>11983</v>
      </c>
      <c r="B632" s="122" t="s">
        <v>11984</v>
      </c>
      <c r="C632" s="113" t="str">
        <f t="shared" si="18"/>
        <v>TH.QB.DKG</v>
      </c>
      <c r="D632" s="113" t="s">
        <v>14335</v>
      </c>
      <c r="E632" s="113" t="str">
        <f t="shared" si="19"/>
        <v>DKG&lt;-&gt;Tuyên Hóa, Quảng Bình</v>
      </c>
    </row>
    <row r="633" spans="1:5" x14ac:dyDescent="0.3">
      <c r="A633" s="122" t="s">
        <v>11985</v>
      </c>
      <c r="B633" s="122" t="s">
        <v>11986</v>
      </c>
      <c r="C633" s="113" t="str">
        <f t="shared" si="18"/>
        <v>TH.TB.DKG</v>
      </c>
      <c r="D633" s="113" t="s">
        <v>14336</v>
      </c>
      <c r="E633" s="113" t="str">
        <f t="shared" si="19"/>
        <v>DKG&lt;-&gt;Tiền Hải, Thái Bình</v>
      </c>
    </row>
    <row r="634" spans="1:5" x14ac:dyDescent="0.3">
      <c r="A634" s="122" t="s">
        <v>11987</v>
      </c>
      <c r="B634" s="122" t="s">
        <v>11988</v>
      </c>
      <c r="C634" s="113" t="str">
        <f t="shared" si="18"/>
        <v>TH.TB.DKS</v>
      </c>
      <c r="D634" s="113" t="s">
        <v>14337</v>
      </c>
      <c r="E634" s="113" t="str">
        <f t="shared" si="19"/>
        <v>DKS&lt;-&gt;Tiền Hải, Thái Bình</v>
      </c>
    </row>
    <row r="635" spans="1:5" x14ac:dyDescent="0.3">
      <c r="A635" s="122" t="s">
        <v>11989</v>
      </c>
      <c r="B635" s="122" t="s">
        <v>11990</v>
      </c>
      <c r="C635" s="113" t="str">
        <f t="shared" si="18"/>
        <v>TH.TH.DKG</v>
      </c>
      <c r="D635" s="113" t="s">
        <v>14338</v>
      </c>
      <c r="E635" s="113" t="str">
        <f t="shared" si="19"/>
        <v>DKG&lt;-&gt;Thiệu Hóa, Thanh Hóa</v>
      </c>
    </row>
    <row r="636" spans="1:5" x14ac:dyDescent="0.3">
      <c r="A636" s="122" t="s">
        <v>11991</v>
      </c>
      <c r="B636" s="122" t="s">
        <v>11992</v>
      </c>
      <c r="C636" s="113" t="str">
        <f t="shared" si="18"/>
        <v>THUEBAI</v>
      </c>
      <c r="D636" s="113" t="s">
        <v>11992</v>
      </c>
      <c r="E636" s="113" t="str">
        <f t="shared" si="19"/>
        <v>Thuê bãi</v>
      </c>
    </row>
    <row r="637" spans="1:5" x14ac:dyDescent="0.3">
      <c r="A637" s="122" t="s">
        <v>11993</v>
      </c>
      <c r="B637" s="122" t="s">
        <v>11994</v>
      </c>
      <c r="C637" s="113" t="str">
        <f t="shared" si="18"/>
        <v>TIENCAN</v>
      </c>
      <c r="D637" s="113" t="s">
        <v>11994</v>
      </c>
      <c r="E637" s="113" t="str">
        <f t="shared" si="19"/>
        <v>Tiền cân</v>
      </c>
    </row>
    <row r="638" spans="1:5" x14ac:dyDescent="0.3">
      <c r="A638" s="122" t="s">
        <v>11995</v>
      </c>
      <c r="B638" s="122" t="s">
        <v>11996</v>
      </c>
      <c r="C638" s="113" t="str">
        <f t="shared" si="18"/>
        <v>TK.HD.DKG</v>
      </c>
      <c r="D638" s="113" t="s">
        <v>14339</v>
      </c>
      <c r="E638" s="113" t="str">
        <f t="shared" si="19"/>
        <v>DKG&lt;-&gt;Tứ Kỳ, Hải Dương</v>
      </c>
    </row>
    <row r="639" spans="1:5" x14ac:dyDescent="0.3">
      <c r="A639" s="122" t="s">
        <v>11997</v>
      </c>
      <c r="B639" s="122" t="s">
        <v>11998</v>
      </c>
      <c r="C639" s="113" t="str">
        <f t="shared" si="18"/>
        <v>TK.HD.DKS</v>
      </c>
      <c r="D639" s="113" t="s">
        <v>14340</v>
      </c>
      <c r="E639" s="113" t="str">
        <f t="shared" si="19"/>
        <v>DKS&lt;-&gt;Tứ Kỳ, Hải Dương</v>
      </c>
    </row>
    <row r="640" spans="1:5" x14ac:dyDescent="0.3">
      <c r="A640" s="122" t="s">
        <v>11999</v>
      </c>
      <c r="B640" s="122" t="s">
        <v>12000</v>
      </c>
      <c r="C640" s="113" t="str">
        <f t="shared" si="18"/>
        <v>TK.HD.THG</v>
      </c>
      <c r="D640" s="113" t="s">
        <v>14341</v>
      </c>
      <c r="E640" s="113" t="str">
        <f t="shared" si="19"/>
        <v>THG&lt;-&gt;Tứ Kỳ, Hải Dương</v>
      </c>
    </row>
    <row r="641" spans="1:5" x14ac:dyDescent="0.3">
      <c r="A641" s="122" t="s">
        <v>12001</v>
      </c>
      <c r="B641" s="122" t="s">
        <v>12002</v>
      </c>
      <c r="C641" s="113" t="str">
        <f t="shared" si="18"/>
        <v>TK.NA.DKG</v>
      </c>
      <c r="D641" s="113" t="s">
        <v>14342</v>
      </c>
      <c r="E641" s="113" t="str">
        <f t="shared" si="19"/>
        <v>DKG&lt;-&gt;Tân Kỳ, Nghệ An</v>
      </c>
    </row>
    <row r="642" spans="1:5" x14ac:dyDescent="0.3">
      <c r="A642" s="122" t="s">
        <v>12003</v>
      </c>
      <c r="B642" s="122" t="s">
        <v>12004</v>
      </c>
      <c r="C642" s="113" t="str">
        <f t="shared" si="18"/>
        <v>TKGNBN</v>
      </c>
      <c r="D642" s="113" t="s">
        <v>12004</v>
      </c>
      <c r="E642" s="113" t="str">
        <f t="shared" si="19"/>
        <v>Thủ kho + Giao nhận + Bảo vệ</v>
      </c>
    </row>
    <row r="643" spans="1:5" x14ac:dyDescent="0.3">
      <c r="A643" s="122" t="s">
        <v>12005</v>
      </c>
      <c r="B643" s="122" t="s">
        <v>12006</v>
      </c>
      <c r="C643" s="113" t="str">
        <f t="shared" si="18"/>
        <v>TL.CB.DKG</v>
      </c>
      <c r="D643" s="113" t="s">
        <v>14343</v>
      </c>
      <c r="E643" s="113" t="str">
        <f t="shared" si="19"/>
        <v>DKG&lt;-&gt;Trà Lĩnh, Cao Bằng</v>
      </c>
    </row>
    <row r="644" spans="1:5" x14ac:dyDescent="0.3">
      <c r="A644" s="122" t="s">
        <v>12007</v>
      </c>
      <c r="B644" s="122" t="s">
        <v>12008</v>
      </c>
      <c r="C644" s="113" t="str">
        <f t="shared" ref="C644:C707" si="20">+A644</f>
        <v>TL.HN.DKS</v>
      </c>
      <c r="D644" s="113" t="s">
        <v>14344</v>
      </c>
      <c r="E644" s="113" t="str">
        <f t="shared" ref="E644:E707" si="21">B644</f>
        <v>DKS&lt;-&gt;Từ Liêm, Hà Nội</v>
      </c>
    </row>
    <row r="645" spans="1:5" x14ac:dyDescent="0.3">
      <c r="A645" s="122" t="s">
        <v>12009</v>
      </c>
      <c r="B645" s="122" t="s">
        <v>12010</v>
      </c>
      <c r="C645" s="113" t="str">
        <f t="shared" si="20"/>
        <v>TL.HNA.DKG</v>
      </c>
      <c r="D645" s="113" t="s">
        <v>14345</v>
      </c>
      <c r="E645" s="113" t="str">
        <f t="shared" si="21"/>
        <v>DKG&lt;-&gt;Thanh Liêm, Hà Nam</v>
      </c>
    </row>
    <row r="646" spans="1:5" x14ac:dyDescent="0.3">
      <c r="A646" s="122" t="s">
        <v>12011</v>
      </c>
      <c r="B646" s="122" t="s">
        <v>12012</v>
      </c>
      <c r="C646" s="113" t="str">
        <f t="shared" si="20"/>
        <v>TL.HNA.DKS</v>
      </c>
      <c r="D646" s="113" t="s">
        <v>14346</v>
      </c>
      <c r="E646" s="113" t="str">
        <f t="shared" si="21"/>
        <v>DKS&lt;-&gt;Thanh Liêm, Hà Nam</v>
      </c>
    </row>
    <row r="647" spans="1:5" x14ac:dyDescent="0.3">
      <c r="A647" s="122" t="s">
        <v>12013</v>
      </c>
      <c r="B647" s="122" t="s">
        <v>12014</v>
      </c>
      <c r="C647" s="113" t="str">
        <f t="shared" si="20"/>
        <v>TL.HNA.THG</v>
      </c>
      <c r="D647" s="113" t="s">
        <v>14347</v>
      </c>
      <c r="E647" s="113" t="str">
        <f t="shared" si="21"/>
        <v>THG&lt;-&gt;Thanh Liêm, Hà Nam</v>
      </c>
    </row>
    <row r="648" spans="1:5" x14ac:dyDescent="0.3">
      <c r="A648" s="122" t="s">
        <v>12015</v>
      </c>
      <c r="B648" s="122" t="s">
        <v>12016</v>
      </c>
      <c r="C648" s="113" t="str">
        <f t="shared" si="20"/>
        <v>TL.HP.DKG</v>
      </c>
      <c r="D648" s="113" t="s">
        <v>14348</v>
      </c>
      <c r="E648" s="113" t="str">
        <f t="shared" si="21"/>
        <v>DKG&lt;-&gt;Tiên Lãng, Hải Phòng</v>
      </c>
    </row>
    <row r="649" spans="1:5" x14ac:dyDescent="0.3">
      <c r="A649" s="122" t="s">
        <v>12017</v>
      </c>
      <c r="B649" s="122" t="s">
        <v>12018</v>
      </c>
      <c r="C649" s="113" t="str">
        <f t="shared" si="20"/>
        <v>TL.HP.DKS</v>
      </c>
      <c r="D649" s="113" t="s">
        <v>14349</v>
      </c>
      <c r="E649" s="113" t="str">
        <f t="shared" si="21"/>
        <v>DKS&lt;-&gt;Tiên Lãng, Hải Phòng</v>
      </c>
    </row>
    <row r="650" spans="1:5" x14ac:dyDescent="0.3">
      <c r="A650" s="122" t="s">
        <v>12019</v>
      </c>
      <c r="B650" s="122" t="s">
        <v>12020</v>
      </c>
      <c r="C650" s="113" t="str">
        <f t="shared" si="20"/>
        <v>TL.HP.THG</v>
      </c>
      <c r="D650" s="113" t="s">
        <v>14350</v>
      </c>
      <c r="E650" s="113" t="str">
        <f t="shared" si="21"/>
        <v>THG&lt;-&gt;Tiên Lãng, Hải Phòng</v>
      </c>
    </row>
    <row r="651" spans="1:5" x14ac:dyDescent="0.3">
      <c r="A651" s="122" t="s">
        <v>12021</v>
      </c>
      <c r="B651" s="122" t="s">
        <v>12022</v>
      </c>
      <c r="C651" s="113" t="str">
        <f t="shared" si="20"/>
        <v>TL.HS</v>
      </c>
      <c r="D651" s="113" t="s">
        <v>14351</v>
      </c>
      <c r="E651" s="113" t="str">
        <f t="shared" si="21"/>
        <v>DKG&lt;-&gt;Chuyển tải cảng Tự Long-HS</v>
      </c>
    </row>
    <row r="652" spans="1:5" x14ac:dyDescent="0.3">
      <c r="A652" s="122" t="s">
        <v>12023</v>
      </c>
      <c r="B652" s="122" t="s">
        <v>12024</v>
      </c>
      <c r="C652" s="113" t="str">
        <f t="shared" si="20"/>
        <v>TL.HY.DKG</v>
      </c>
      <c r="D652" s="113" t="s">
        <v>14352</v>
      </c>
      <c r="E652" s="113" t="str">
        <f t="shared" si="21"/>
        <v>DKG&lt;-&gt;Tiên Lữ, Hưng Yên</v>
      </c>
    </row>
    <row r="653" spans="1:5" x14ac:dyDescent="0.3">
      <c r="A653" s="122" t="s">
        <v>12025</v>
      </c>
      <c r="B653" s="122" t="s">
        <v>12026</v>
      </c>
      <c r="C653" s="113" t="str">
        <f t="shared" si="20"/>
        <v>TL.HY.THG</v>
      </c>
      <c r="D653" s="113" t="s">
        <v>14353</v>
      </c>
      <c r="E653" s="113" t="str">
        <f t="shared" si="21"/>
        <v>THG&lt;-&gt;Tiên Lữ, Hưng Yên</v>
      </c>
    </row>
    <row r="654" spans="1:5" x14ac:dyDescent="0.3">
      <c r="A654" s="122" t="s">
        <v>12027</v>
      </c>
      <c r="B654" s="122" t="s">
        <v>12028</v>
      </c>
      <c r="C654" s="113" t="str">
        <f t="shared" si="20"/>
        <v>TL.VP.DKG</v>
      </c>
      <c r="D654" s="113" t="s">
        <v>14354</v>
      </c>
      <c r="E654" s="113" t="str">
        <f t="shared" si="21"/>
        <v>DKG&lt;-&gt;Thanh Lãng, Vĩnh Phúc</v>
      </c>
    </row>
    <row r="655" spans="1:5" x14ac:dyDescent="0.3">
      <c r="A655" s="122" t="s">
        <v>12029</v>
      </c>
      <c r="B655" s="122" t="s">
        <v>12030</v>
      </c>
      <c r="C655" s="113" t="str">
        <f t="shared" si="20"/>
        <v>TL.VP.DKS</v>
      </c>
      <c r="D655" s="113" t="s">
        <v>14355</v>
      </c>
      <c r="E655" s="113" t="str">
        <f t="shared" si="21"/>
        <v>DKS&lt;-&gt;Thanh Lãng, Vĩnh Phúc</v>
      </c>
    </row>
    <row r="656" spans="1:5" x14ac:dyDescent="0.3">
      <c r="A656" s="122" t="s">
        <v>12031</v>
      </c>
      <c r="B656" s="122" t="s">
        <v>12032</v>
      </c>
      <c r="C656" s="113" t="str">
        <f t="shared" si="20"/>
        <v>TL.VP.THG</v>
      </c>
      <c r="D656" s="113" t="s">
        <v>14356</v>
      </c>
      <c r="E656" s="113" t="str">
        <f t="shared" si="21"/>
        <v>THG&lt;-&gt;Thanh Lãng, Vĩnh Phúc</v>
      </c>
    </row>
    <row r="657" spans="1:5" x14ac:dyDescent="0.3">
      <c r="A657" s="122" t="s">
        <v>12033</v>
      </c>
      <c r="B657" s="122" t="s">
        <v>12034</v>
      </c>
      <c r="C657" s="113" t="str">
        <f t="shared" si="20"/>
        <v>TM.HD.DKG</v>
      </c>
      <c r="D657" s="113" t="s">
        <v>14357</v>
      </c>
      <c r="E657" s="113" t="str">
        <f t="shared" si="21"/>
        <v>DKG&lt;-&gt;Thanh Miện, Hải Dương</v>
      </c>
    </row>
    <row r="658" spans="1:5" x14ac:dyDescent="0.3">
      <c r="A658" s="122" t="s">
        <v>12035</v>
      </c>
      <c r="B658" s="122" t="s">
        <v>12036</v>
      </c>
      <c r="C658" s="113" t="str">
        <f t="shared" si="20"/>
        <v>TM.HD.DKS</v>
      </c>
      <c r="D658" s="113" t="s">
        <v>14358</v>
      </c>
      <c r="E658" s="113" t="str">
        <f t="shared" si="21"/>
        <v>DKS&lt;-&gt;Thanh Miện, Hải Dương</v>
      </c>
    </row>
    <row r="659" spans="1:5" x14ac:dyDescent="0.3">
      <c r="A659" s="122" t="s">
        <v>12037</v>
      </c>
      <c r="B659" s="122" t="s">
        <v>12038</v>
      </c>
      <c r="C659" s="113" t="str">
        <f t="shared" si="20"/>
        <v>TM.HD.THG</v>
      </c>
      <c r="D659" s="113" t="s">
        <v>14359</v>
      </c>
      <c r="E659" s="113" t="str">
        <f t="shared" si="21"/>
        <v>THG&lt;-&gt;Thanh Miện, Hải Dương</v>
      </c>
    </row>
    <row r="660" spans="1:5" x14ac:dyDescent="0.3">
      <c r="A660" s="122" t="s">
        <v>12039</v>
      </c>
      <c r="B660" s="122" t="s">
        <v>12040</v>
      </c>
      <c r="C660" s="113" t="str">
        <f t="shared" si="20"/>
        <v>TN.HN.DKS</v>
      </c>
      <c r="D660" s="113" t="s">
        <v>14360</v>
      </c>
      <c r="E660" s="113" t="str">
        <f t="shared" si="21"/>
        <v>DKS&lt;-&gt;Trôi Nhổn, Hà Nội</v>
      </c>
    </row>
    <row r="661" spans="1:5" x14ac:dyDescent="0.3">
      <c r="A661" s="122" t="s">
        <v>12041</v>
      </c>
      <c r="B661" s="122" t="s">
        <v>12042</v>
      </c>
      <c r="C661" s="113" t="str">
        <f t="shared" si="20"/>
        <v>TN.HNA.DKS</v>
      </c>
      <c r="D661" s="113" t="s">
        <v>14361</v>
      </c>
      <c r="E661" s="113" t="str">
        <f t="shared" si="21"/>
        <v>DKS&lt;-&gt;Tây Nam, Hà Nam</v>
      </c>
    </row>
    <row r="662" spans="1:5" x14ac:dyDescent="0.3">
      <c r="A662" s="122" t="s">
        <v>12043</v>
      </c>
      <c r="B662" s="122" t="s">
        <v>12044</v>
      </c>
      <c r="C662" s="113" t="str">
        <f t="shared" si="20"/>
        <v>TN.HP.DKS</v>
      </c>
      <c r="D662" s="113" t="s">
        <v>14362</v>
      </c>
      <c r="E662" s="113" t="str">
        <f t="shared" si="21"/>
        <v>DKS&lt;-&gt;Thủy Nguyên, Hải Phòng</v>
      </c>
    </row>
    <row r="663" spans="1:5" x14ac:dyDescent="0.3">
      <c r="A663" s="122" t="s">
        <v>12045</v>
      </c>
      <c r="B663" s="122" t="s">
        <v>12046</v>
      </c>
      <c r="C663" s="113" t="str">
        <f t="shared" si="20"/>
        <v>TN.ND.DKG</v>
      </c>
      <c r="D663" s="113" t="s">
        <v>14363</v>
      </c>
      <c r="E663" s="113" t="str">
        <f t="shared" si="21"/>
        <v>DKG&lt;-&gt;Trực Ninh, Nam Định</v>
      </c>
    </row>
    <row r="664" spans="1:5" x14ac:dyDescent="0.3">
      <c r="A664" s="122" t="s">
        <v>12047</v>
      </c>
      <c r="B664" s="122" t="s">
        <v>12048</v>
      </c>
      <c r="C664" s="113" t="str">
        <f t="shared" si="20"/>
        <v>TN.ND.THG</v>
      </c>
      <c r="D664" s="113" t="s">
        <v>14364</v>
      </c>
      <c r="E664" s="113" t="str">
        <f t="shared" si="21"/>
        <v>THG&lt;-&gt;Trực Ninh, Nam Định</v>
      </c>
    </row>
    <row r="665" spans="1:5" x14ac:dyDescent="0.3">
      <c r="A665" s="122" t="s">
        <v>12049</v>
      </c>
      <c r="B665" s="122" t="s">
        <v>12050</v>
      </c>
      <c r="C665" s="113" t="str">
        <f t="shared" si="20"/>
        <v>TN.PT.DKG</v>
      </c>
      <c r="D665" s="113" t="s">
        <v>14365</v>
      </c>
      <c r="E665" s="113" t="str">
        <f t="shared" si="21"/>
        <v>DKG&lt;-&gt;Tam Nông, Phú Thọ</v>
      </c>
    </row>
    <row r="666" spans="1:5" x14ac:dyDescent="0.3">
      <c r="A666" s="122" t="s">
        <v>12051</v>
      </c>
      <c r="B666" s="122" t="s">
        <v>12052</v>
      </c>
      <c r="C666" s="113" t="str">
        <f t="shared" si="20"/>
        <v>TN.PT.DKS</v>
      </c>
      <c r="D666" s="113" t="s">
        <v>14366</v>
      </c>
      <c r="E666" s="113" t="str">
        <f t="shared" si="21"/>
        <v>DKS&lt;-&gt;Tam Nông, Phú Thọ</v>
      </c>
    </row>
    <row r="667" spans="1:5" x14ac:dyDescent="0.3">
      <c r="A667" s="122" t="s">
        <v>12053</v>
      </c>
      <c r="B667" s="122" t="s">
        <v>12054</v>
      </c>
      <c r="C667" s="113" t="str">
        <f t="shared" si="20"/>
        <v>TNG.HP.DKG</v>
      </c>
      <c r="D667" s="113" t="s">
        <v>14367</v>
      </c>
      <c r="E667" s="113" t="str">
        <f t="shared" si="21"/>
        <v>DKG&lt;-&gt;Thủy Nguyên Gần, Hải Phòng</v>
      </c>
    </row>
    <row r="668" spans="1:5" x14ac:dyDescent="0.3">
      <c r="A668" s="122" t="s">
        <v>12055</v>
      </c>
      <c r="B668" s="122" t="s">
        <v>12056</v>
      </c>
      <c r="C668" s="113" t="str">
        <f t="shared" si="20"/>
        <v>TNG.HP.THG</v>
      </c>
      <c r="D668" s="113" t="s">
        <v>14368</v>
      </c>
      <c r="E668" s="113" t="str">
        <f t="shared" si="21"/>
        <v>THG&lt;-&gt;Thủy Nguyên Gần, Hải Phòng</v>
      </c>
    </row>
    <row r="669" spans="1:5" x14ac:dyDescent="0.3">
      <c r="A669" s="122" t="s">
        <v>12057</v>
      </c>
      <c r="B669" s="122" t="s">
        <v>12058</v>
      </c>
      <c r="C669" s="113" t="str">
        <f t="shared" si="20"/>
        <v>TNX.HP.DKG</v>
      </c>
      <c r="D669" s="113" t="s">
        <v>14369</v>
      </c>
      <c r="E669" s="113" t="str">
        <f t="shared" si="21"/>
        <v>DKG&lt;-&gt;Thủy Nguyên Xa, Hải Phòng</v>
      </c>
    </row>
    <row r="670" spans="1:5" x14ac:dyDescent="0.3">
      <c r="A670" s="122" t="s">
        <v>12059</v>
      </c>
      <c r="B670" s="122" t="s">
        <v>12060</v>
      </c>
      <c r="C670" s="113" t="str">
        <f t="shared" si="20"/>
        <v>TNX.HP.THG</v>
      </c>
      <c r="D670" s="113" t="s">
        <v>14370</v>
      </c>
      <c r="E670" s="113" t="str">
        <f t="shared" si="21"/>
        <v>THG&lt;-&gt;Thủy Nguyên Xa, Hải Phòng</v>
      </c>
    </row>
    <row r="671" spans="1:5" x14ac:dyDescent="0.3">
      <c r="A671" s="122" t="s">
        <v>12061</v>
      </c>
      <c r="B671" s="122" t="s">
        <v>12062</v>
      </c>
      <c r="C671" s="113" t="str">
        <f t="shared" si="20"/>
        <v>TO.HD.DKG</v>
      </c>
      <c r="D671" s="113" t="s">
        <v>14371</v>
      </c>
      <c r="E671" s="113" t="str">
        <f t="shared" si="21"/>
        <v>DKG&lt;-&gt;Từ Ô, Hải Dương</v>
      </c>
    </row>
    <row r="672" spans="1:5" x14ac:dyDescent="0.3">
      <c r="A672" s="122" t="s">
        <v>12063</v>
      </c>
      <c r="B672" s="122" t="s">
        <v>12064</v>
      </c>
      <c r="C672" s="113" t="str">
        <f t="shared" si="20"/>
        <v>TO.HD.THG</v>
      </c>
      <c r="D672" s="113" t="s">
        <v>14372</v>
      </c>
      <c r="E672" s="113" t="str">
        <f t="shared" si="21"/>
        <v>THG&lt;-&gt;Từ Ô, Hải Dương</v>
      </c>
    </row>
    <row r="673" spans="1:5" x14ac:dyDescent="0.3">
      <c r="A673" s="122" t="s">
        <v>12065</v>
      </c>
      <c r="B673" s="122" t="s">
        <v>12066</v>
      </c>
      <c r="C673" s="113" t="str">
        <f t="shared" si="20"/>
        <v>TO.HN.DKG</v>
      </c>
      <c r="D673" s="113" t="s">
        <v>14373</v>
      </c>
      <c r="E673" s="113" t="str">
        <f t="shared" si="21"/>
        <v>DKG&lt;-&gt;Thanh Oai, Hà Nội</v>
      </c>
    </row>
    <row r="674" spans="1:5" x14ac:dyDescent="0.3">
      <c r="A674" s="122" t="s">
        <v>12067</v>
      </c>
      <c r="B674" s="122" t="s">
        <v>12068</v>
      </c>
      <c r="C674" s="113" t="str">
        <f t="shared" si="20"/>
        <v>TO.HN.DKS</v>
      </c>
      <c r="D674" s="113" t="s">
        <v>14374</v>
      </c>
      <c r="E674" s="113" t="str">
        <f t="shared" si="21"/>
        <v>DKS&lt;-&gt;Thanh Oai, Hà Nội</v>
      </c>
    </row>
    <row r="675" spans="1:5" x14ac:dyDescent="0.3">
      <c r="A675" s="122" t="s">
        <v>12069</v>
      </c>
      <c r="B675" s="122" t="s">
        <v>12070</v>
      </c>
      <c r="C675" s="113" t="str">
        <f t="shared" si="20"/>
        <v>TO.HN.THG</v>
      </c>
      <c r="D675" s="113" t="s">
        <v>14375</v>
      </c>
      <c r="E675" s="113" t="str">
        <f t="shared" si="21"/>
        <v>THG&lt;-&gt;Thanh Oai, Hà Nội</v>
      </c>
    </row>
    <row r="676" spans="1:5" x14ac:dyDescent="0.3">
      <c r="A676" s="122" t="s">
        <v>12071</v>
      </c>
      <c r="B676" s="122" t="s">
        <v>12072</v>
      </c>
      <c r="C676" s="113" t="str">
        <f t="shared" si="20"/>
        <v>TP.BG.DKG</v>
      </c>
      <c r="D676" s="113" t="s">
        <v>14376</v>
      </c>
      <c r="E676" s="113" t="str">
        <f t="shared" si="21"/>
        <v>DKG&lt;-&gt;TP. Bắc Giang</v>
      </c>
    </row>
    <row r="677" spans="1:5" x14ac:dyDescent="0.3">
      <c r="A677" s="122" t="s">
        <v>12073</v>
      </c>
      <c r="B677" s="122" t="s">
        <v>12074</v>
      </c>
      <c r="C677" s="113" t="str">
        <f t="shared" si="20"/>
        <v>TP.BG.DKS</v>
      </c>
      <c r="D677" s="113" t="s">
        <v>14377</v>
      </c>
      <c r="E677" s="113" t="str">
        <f t="shared" si="21"/>
        <v>DKS&lt;-&gt;TP. Bắc Giang</v>
      </c>
    </row>
    <row r="678" spans="1:5" x14ac:dyDescent="0.3">
      <c r="A678" s="122" t="s">
        <v>12075</v>
      </c>
      <c r="B678" s="122" t="s">
        <v>12076</v>
      </c>
      <c r="C678" s="113" t="str">
        <f t="shared" si="20"/>
        <v>TP.BG.THG</v>
      </c>
      <c r="D678" s="113" t="s">
        <v>14378</v>
      </c>
      <c r="E678" s="113" t="str">
        <f t="shared" si="21"/>
        <v>THG&lt;-&gt;TP. Bắc Giang</v>
      </c>
    </row>
    <row r="679" spans="1:5" x14ac:dyDescent="0.3">
      <c r="A679" s="122" t="s">
        <v>12077</v>
      </c>
      <c r="B679" s="122" t="s">
        <v>12799</v>
      </c>
      <c r="C679" s="113" t="str">
        <f t="shared" si="20"/>
        <v>TP.BN.DKG</v>
      </c>
      <c r="D679" s="113" t="s">
        <v>14379</v>
      </c>
      <c r="E679" s="113" t="str">
        <f t="shared" si="21"/>
        <v>DKG&lt;-&gt;TP. Bắc Ninh</v>
      </c>
    </row>
    <row r="680" spans="1:5" x14ac:dyDescent="0.3">
      <c r="A680" s="122" t="s">
        <v>12078</v>
      </c>
      <c r="B680" s="122" t="s">
        <v>12079</v>
      </c>
      <c r="C680" s="113" t="str">
        <f t="shared" si="20"/>
        <v>TP.BN.DKS</v>
      </c>
      <c r="D680" s="113" t="s">
        <v>14380</v>
      </c>
      <c r="E680" s="113" t="str">
        <f t="shared" si="21"/>
        <v>DKS&lt;-&gt;TP. Bắc Ninh</v>
      </c>
    </row>
    <row r="681" spans="1:5" x14ac:dyDescent="0.3">
      <c r="A681" s="122" t="s">
        <v>12080</v>
      </c>
      <c r="B681" s="122" t="s">
        <v>12081</v>
      </c>
      <c r="C681" s="113" t="str">
        <f t="shared" si="20"/>
        <v>TP.BN.THG</v>
      </c>
      <c r="D681" s="113" t="s">
        <v>14381</v>
      </c>
      <c r="E681" s="113" t="str">
        <f t="shared" si="21"/>
        <v>THG&lt;-&gt;Thành Phố, Bắc Ninh</v>
      </c>
    </row>
    <row r="682" spans="1:5" x14ac:dyDescent="0.3">
      <c r="A682" s="122" t="s">
        <v>12082</v>
      </c>
      <c r="B682" s="122" t="s">
        <v>12083</v>
      </c>
      <c r="C682" s="113" t="str">
        <f t="shared" si="20"/>
        <v>TP.CB.DKG</v>
      </c>
      <c r="D682" s="113" t="s">
        <v>14382</v>
      </c>
      <c r="E682" s="113" t="str">
        <f t="shared" si="21"/>
        <v>DKG&lt;-&gt;TP. Cao Bằng</v>
      </c>
    </row>
    <row r="683" spans="1:5" x14ac:dyDescent="0.3">
      <c r="A683" s="122" t="s">
        <v>12084</v>
      </c>
      <c r="B683" s="122" t="s">
        <v>12085</v>
      </c>
      <c r="C683" s="113" t="str">
        <f t="shared" si="20"/>
        <v>TP.H.DKG</v>
      </c>
      <c r="D683" s="113" t="s">
        <v>14383</v>
      </c>
      <c r="E683" s="113" t="str">
        <f t="shared" si="21"/>
        <v>DKG&lt;-&gt;TP. Huế</v>
      </c>
    </row>
    <row r="684" spans="1:5" x14ac:dyDescent="0.3">
      <c r="A684" s="122" t="s">
        <v>12086</v>
      </c>
      <c r="B684" s="122" t="s">
        <v>12087</v>
      </c>
      <c r="C684" s="113" t="str">
        <f t="shared" si="20"/>
        <v>TP.HB.DKG</v>
      </c>
      <c r="D684" s="113" t="s">
        <v>14384</v>
      </c>
      <c r="E684" s="113" t="str">
        <f t="shared" si="21"/>
        <v>DKG&lt;-&gt;TP. Hòa Bình</v>
      </c>
    </row>
    <row r="685" spans="1:5" x14ac:dyDescent="0.3">
      <c r="A685" s="122" t="s">
        <v>12088</v>
      </c>
      <c r="B685" s="122" t="s">
        <v>12089</v>
      </c>
      <c r="C685" s="113" t="str">
        <f t="shared" si="20"/>
        <v>TP.HB.DKS</v>
      </c>
      <c r="D685" s="113" t="s">
        <v>14385</v>
      </c>
      <c r="E685" s="113" t="str">
        <f t="shared" si="21"/>
        <v>DKS&lt;-&gt;TP. Hòa Bình</v>
      </c>
    </row>
    <row r="686" spans="1:5" x14ac:dyDescent="0.3">
      <c r="A686" s="122" t="s">
        <v>12090</v>
      </c>
      <c r="B686" s="122" t="s">
        <v>12091</v>
      </c>
      <c r="C686" s="113" t="str">
        <f t="shared" si="20"/>
        <v>TP.HB.THG</v>
      </c>
      <c r="D686" s="113" t="s">
        <v>14386</v>
      </c>
      <c r="E686" s="113" t="str">
        <f t="shared" si="21"/>
        <v>THG&lt;-&gt;TP. Hòa Bình</v>
      </c>
    </row>
    <row r="687" spans="1:5" x14ac:dyDescent="0.3">
      <c r="A687" s="122" t="s">
        <v>12092</v>
      </c>
      <c r="B687" s="122" t="s">
        <v>12093</v>
      </c>
      <c r="C687" s="113" t="str">
        <f t="shared" si="20"/>
        <v>TP.HD.DKG</v>
      </c>
      <c r="D687" s="113" t="s">
        <v>14387</v>
      </c>
      <c r="E687" s="113" t="str">
        <f t="shared" si="21"/>
        <v>DKG&lt;-&gt;TP. Hải Dương</v>
      </c>
    </row>
    <row r="688" spans="1:5" x14ac:dyDescent="0.3">
      <c r="A688" s="122" t="s">
        <v>12094</v>
      </c>
      <c r="B688" s="122" t="s">
        <v>12095</v>
      </c>
      <c r="C688" s="113" t="str">
        <f t="shared" si="20"/>
        <v>TP.HD.DKS</v>
      </c>
      <c r="D688" s="113" t="s">
        <v>14388</v>
      </c>
      <c r="E688" s="113" t="str">
        <f t="shared" si="21"/>
        <v>DKS&lt;-&gt;TP, Hải Dương</v>
      </c>
    </row>
    <row r="689" spans="1:5" x14ac:dyDescent="0.3">
      <c r="A689" s="122" t="s">
        <v>12096</v>
      </c>
      <c r="B689" s="122" t="s">
        <v>12097</v>
      </c>
      <c r="C689" s="113" t="str">
        <f t="shared" si="20"/>
        <v>TP.HD.THG</v>
      </c>
      <c r="D689" s="113" t="s">
        <v>14389</v>
      </c>
      <c r="E689" s="113" t="str">
        <f t="shared" si="21"/>
        <v>THG&lt;-&gt;TP. Hải Dương</v>
      </c>
    </row>
    <row r="690" spans="1:5" x14ac:dyDescent="0.3">
      <c r="A690" s="122" t="s">
        <v>12098</v>
      </c>
      <c r="B690" s="122" t="s">
        <v>12099</v>
      </c>
      <c r="C690" s="113" t="str">
        <f t="shared" si="20"/>
        <v>TP.HG.DKG</v>
      </c>
      <c r="D690" s="113" t="s">
        <v>14390</v>
      </c>
      <c r="E690" s="113" t="str">
        <f t="shared" si="21"/>
        <v>DKG&lt;-&gt;TP. Hà Giang</v>
      </c>
    </row>
    <row r="691" spans="1:5" x14ac:dyDescent="0.3">
      <c r="A691" s="122" t="s">
        <v>12100</v>
      </c>
      <c r="B691" s="122" t="s">
        <v>12101</v>
      </c>
      <c r="C691" s="113" t="str">
        <f t="shared" si="20"/>
        <v>TP.HN.DKG</v>
      </c>
      <c r="D691" s="113" t="s">
        <v>14391</v>
      </c>
      <c r="E691" s="113" t="str">
        <f t="shared" si="21"/>
        <v>DKG&lt;-&gt;Tân Phú, Hà Nội</v>
      </c>
    </row>
    <row r="692" spans="1:5" x14ac:dyDescent="0.3">
      <c r="A692" s="122" t="s">
        <v>12102</v>
      </c>
      <c r="B692" s="122" t="s">
        <v>12103</v>
      </c>
      <c r="C692" s="113" t="str">
        <f t="shared" si="20"/>
        <v>TP.HN.DKS</v>
      </c>
      <c r="D692" s="113" t="s">
        <v>14392</v>
      </c>
      <c r="E692" s="113" t="str">
        <f t="shared" si="21"/>
        <v>DKS&lt;-&gt;TP. Hà Nội</v>
      </c>
    </row>
    <row r="693" spans="1:5" x14ac:dyDescent="0.3">
      <c r="A693" s="122" t="s">
        <v>12104</v>
      </c>
      <c r="B693" s="122" t="s">
        <v>12105</v>
      </c>
      <c r="C693" s="113" t="str">
        <f t="shared" si="20"/>
        <v>TP.HT.DKG</v>
      </c>
      <c r="D693" s="113" t="s">
        <v>14393</v>
      </c>
      <c r="E693" s="113" t="str">
        <f t="shared" si="21"/>
        <v>DKG&lt;-&gt;TP. Hà Tĩnh</v>
      </c>
    </row>
    <row r="694" spans="1:5" x14ac:dyDescent="0.3">
      <c r="A694" s="122" t="s">
        <v>12106</v>
      </c>
      <c r="B694" s="122" t="s">
        <v>12107</v>
      </c>
      <c r="C694" s="113" t="str">
        <f t="shared" si="20"/>
        <v>TP.HT.THG</v>
      </c>
      <c r="D694" s="113" t="s">
        <v>14394</v>
      </c>
      <c r="E694" s="113" t="str">
        <f t="shared" si="21"/>
        <v>THG&lt;-&gt;TP. Hà Tĩnh</v>
      </c>
    </row>
    <row r="695" spans="1:5" x14ac:dyDescent="0.3">
      <c r="A695" s="122" t="s">
        <v>12108</v>
      </c>
      <c r="B695" s="122" t="s">
        <v>12109</v>
      </c>
      <c r="C695" s="113" t="str">
        <f t="shared" si="20"/>
        <v>TP.HY.DKG</v>
      </c>
      <c r="D695" s="113" t="s">
        <v>14395</v>
      </c>
      <c r="E695" s="113" t="str">
        <f t="shared" si="21"/>
        <v>DKG&lt;-&gt;TP Hưng Yên</v>
      </c>
    </row>
    <row r="696" spans="1:5" x14ac:dyDescent="0.3">
      <c r="A696" s="122" t="s">
        <v>12110</v>
      </c>
      <c r="B696" s="122" t="s">
        <v>12111</v>
      </c>
      <c r="C696" s="113" t="str">
        <f t="shared" si="20"/>
        <v>TP.LC.DKG</v>
      </c>
      <c r="D696" s="113" t="s">
        <v>14396</v>
      </c>
      <c r="E696" s="113" t="str">
        <f t="shared" si="21"/>
        <v>DKG&lt;-&gt;TP. Lào Cai</v>
      </c>
    </row>
    <row r="697" spans="1:5" x14ac:dyDescent="0.3">
      <c r="A697" s="122" t="s">
        <v>12112</v>
      </c>
      <c r="B697" s="122" t="s">
        <v>12113</v>
      </c>
      <c r="C697" s="113" t="str">
        <f t="shared" si="20"/>
        <v>TP.LS.DKG</v>
      </c>
      <c r="D697" s="113" t="s">
        <v>14397</v>
      </c>
      <c r="E697" s="113" t="str">
        <f t="shared" si="21"/>
        <v>DKG&lt;-&gt;TP. Lạng Sơn</v>
      </c>
    </row>
    <row r="698" spans="1:5" x14ac:dyDescent="0.3">
      <c r="A698" s="122" t="s">
        <v>12114</v>
      </c>
      <c r="B698" s="122" t="s">
        <v>12115</v>
      </c>
      <c r="C698" s="113" t="str">
        <f t="shared" si="20"/>
        <v>TP.LS.THG</v>
      </c>
      <c r="D698" s="113" t="s">
        <v>14398</v>
      </c>
      <c r="E698" s="113" t="str">
        <f t="shared" si="21"/>
        <v>THG&lt;-&gt;TP. Lạng Sơn</v>
      </c>
    </row>
    <row r="699" spans="1:5" x14ac:dyDescent="0.3">
      <c r="A699" s="122" t="s">
        <v>12116</v>
      </c>
      <c r="B699" s="122" t="s">
        <v>12117</v>
      </c>
      <c r="C699" s="113" t="str">
        <f t="shared" si="20"/>
        <v>TP.NB.DKG</v>
      </c>
      <c r="D699" s="113" t="s">
        <v>14399</v>
      </c>
      <c r="E699" s="113" t="str">
        <f t="shared" si="21"/>
        <v>DKG&lt;-&gt;TP. Ninh Bình</v>
      </c>
    </row>
    <row r="700" spans="1:5" x14ac:dyDescent="0.3">
      <c r="A700" s="122" t="s">
        <v>12118</v>
      </c>
      <c r="B700" s="122" t="s">
        <v>12119</v>
      </c>
      <c r="C700" s="113" t="str">
        <f t="shared" si="20"/>
        <v>TP.NB.DKS</v>
      </c>
      <c r="D700" s="113" t="s">
        <v>14400</v>
      </c>
      <c r="E700" s="113" t="str">
        <f t="shared" si="21"/>
        <v>DKS&lt;-&gt;TP. Ninh Bình</v>
      </c>
    </row>
    <row r="701" spans="1:5" x14ac:dyDescent="0.3">
      <c r="A701" s="122" t="s">
        <v>12120</v>
      </c>
      <c r="B701" s="122" t="s">
        <v>12121</v>
      </c>
      <c r="C701" s="113" t="str">
        <f t="shared" si="20"/>
        <v>TP.NB.THG</v>
      </c>
      <c r="D701" s="113" t="s">
        <v>14401</v>
      </c>
      <c r="E701" s="113" t="str">
        <f t="shared" si="21"/>
        <v>THG&lt;-&gt;TP. Ninh Bình</v>
      </c>
    </row>
    <row r="702" spans="1:5" x14ac:dyDescent="0.3">
      <c r="A702" s="122" t="s">
        <v>12122</v>
      </c>
      <c r="B702" s="122" t="s">
        <v>12123</v>
      </c>
      <c r="C702" s="113" t="str">
        <f t="shared" si="20"/>
        <v>TP.ND.DKG</v>
      </c>
      <c r="D702" s="113" t="s">
        <v>14402</v>
      </c>
      <c r="E702" s="113" t="str">
        <f t="shared" si="21"/>
        <v>DKG&lt;-&gt;TP. Nam Định</v>
      </c>
    </row>
    <row r="703" spans="1:5" x14ac:dyDescent="0.3">
      <c r="A703" s="122" t="s">
        <v>12124</v>
      </c>
      <c r="B703" s="122" t="s">
        <v>12125</v>
      </c>
      <c r="C703" s="113" t="str">
        <f t="shared" si="20"/>
        <v>TP.ND.DKS</v>
      </c>
      <c r="D703" s="113" t="s">
        <v>14403</v>
      </c>
      <c r="E703" s="113" t="str">
        <f t="shared" si="21"/>
        <v>DKS&lt;-&gt;TP. Nam Định</v>
      </c>
    </row>
    <row r="704" spans="1:5" x14ac:dyDescent="0.3">
      <c r="A704" s="122" t="s">
        <v>12126</v>
      </c>
      <c r="B704" s="122" t="s">
        <v>12127</v>
      </c>
      <c r="C704" s="113" t="str">
        <f t="shared" si="20"/>
        <v>TP.ND.THG</v>
      </c>
      <c r="D704" s="113" t="s">
        <v>14404</v>
      </c>
      <c r="E704" s="113" t="str">
        <f t="shared" si="21"/>
        <v>THG&lt;-&gt;TP. Nam Định</v>
      </c>
    </row>
    <row r="705" spans="1:5" x14ac:dyDescent="0.3">
      <c r="A705" s="122" t="s">
        <v>12128</v>
      </c>
      <c r="B705" s="122" t="s">
        <v>12129</v>
      </c>
      <c r="C705" s="113" t="str">
        <f t="shared" si="20"/>
        <v>TP.QB.DKG</v>
      </c>
      <c r="D705" s="113" t="s">
        <v>14405</v>
      </c>
      <c r="E705" s="113" t="str">
        <f t="shared" si="21"/>
        <v>DKG&lt;-&gt;TP. Quảng Bình</v>
      </c>
    </row>
    <row r="706" spans="1:5" x14ac:dyDescent="0.3">
      <c r="A706" s="122" t="s">
        <v>12130</v>
      </c>
      <c r="B706" s="122" t="s">
        <v>12131</v>
      </c>
      <c r="C706" s="113" t="str">
        <f t="shared" si="20"/>
        <v>TP.QT.DKG</v>
      </c>
      <c r="D706" s="113" t="s">
        <v>14406</v>
      </c>
      <c r="E706" s="113" t="str">
        <f t="shared" si="21"/>
        <v>DKG&lt;-&gt;TP. Quảng Trị</v>
      </c>
    </row>
    <row r="707" spans="1:5" x14ac:dyDescent="0.3">
      <c r="A707" s="122" t="s">
        <v>12132</v>
      </c>
      <c r="B707" s="122" t="s">
        <v>12133</v>
      </c>
      <c r="C707" s="113" t="str">
        <f t="shared" si="20"/>
        <v>TP.SP.DKG</v>
      </c>
      <c r="D707" s="113" t="s">
        <v>14407</v>
      </c>
      <c r="E707" s="113" t="str">
        <f t="shared" si="21"/>
        <v>DKG&lt;-&gt;TP. Sa Pa</v>
      </c>
    </row>
    <row r="708" spans="1:5" x14ac:dyDescent="0.3">
      <c r="A708" s="122" t="s">
        <v>12134</v>
      </c>
      <c r="B708" s="122" t="s">
        <v>12135</v>
      </c>
      <c r="C708" s="113" t="str">
        <f t="shared" ref="C708:C771" si="22">+A708</f>
        <v>TP.TB.DKG</v>
      </c>
      <c r="D708" s="113" t="s">
        <v>14408</v>
      </c>
      <c r="E708" s="113" t="str">
        <f t="shared" ref="E708:E771" si="23">B708</f>
        <v>DKG&lt;-&gt;TP. Thái Bình</v>
      </c>
    </row>
    <row r="709" spans="1:5" x14ac:dyDescent="0.3">
      <c r="A709" s="122" t="s">
        <v>12136</v>
      </c>
      <c r="B709" s="122" t="s">
        <v>12137</v>
      </c>
      <c r="C709" s="113" t="str">
        <f t="shared" si="22"/>
        <v>TP.TB.DKS</v>
      </c>
      <c r="D709" s="113" t="s">
        <v>14409</v>
      </c>
      <c r="E709" s="113" t="str">
        <f t="shared" si="23"/>
        <v>DKS&lt;-&gt;TP. Thái Bình</v>
      </c>
    </row>
    <row r="710" spans="1:5" x14ac:dyDescent="0.3">
      <c r="A710" s="122" t="s">
        <v>12138</v>
      </c>
      <c r="B710" s="122" t="s">
        <v>12139</v>
      </c>
      <c r="C710" s="113" t="str">
        <f t="shared" si="22"/>
        <v>TP.TB.THG</v>
      </c>
      <c r="D710" s="113" t="s">
        <v>14410</v>
      </c>
      <c r="E710" s="113" t="str">
        <f t="shared" si="23"/>
        <v>THG&lt;-&gt;TP. Thái Bình</v>
      </c>
    </row>
    <row r="711" spans="1:5" x14ac:dyDescent="0.3">
      <c r="A711" s="122" t="s">
        <v>12140</v>
      </c>
      <c r="B711" s="122" t="s">
        <v>12141</v>
      </c>
      <c r="C711" s="113" t="str">
        <f t="shared" si="22"/>
        <v>TP.TH.DKG</v>
      </c>
      <c r="D711" s="113" t="s">
        <v>14411</v>
      </c>
      <c r="E711" s="113" t="str">
        <f t="shared" si="23"/>
        <v>DKG&lt;-&gt;TP. Thanh Hóa</v>
      </c>
    </row>
    <row r="712" spans="1:5" x14ac:dyDescent="0.3">
      <c r="A712" s="122" t="s">
        <v>12142</v>
      </c>
      <c r="B712" s="122" t="s">
        <v>12143</v>
      </c>
      <c r="C712" s="113" t="str">
        <f t="shared" si="22"/>
        <v>TP.TH.THG</v>
      </c>
      <c r="D712" s="113" t="s">
        <v>14412</v>
      </c>
      <c r="E712" s="113" t="str">
        <f t="shared" si="23"/>
        <v>THG&lt;-&gt;TP. Thanh Hóa</v>
      </c>
    </row>
    <row r="713" spans="1:5" x14ac:dyDescent="0.3">
      <c r="A713" s="122" t="s">
        <v>12144</v>
      </c>
      <c r="B713" s="122" t="s">
        <v>12145</v>
      </c>
      <c r="C713" s="113" t="str">
        <f t="shared" si="22"/>
        <v>TP.TN.DKG</v>
      </c>
      <c r="D713" s="113" t="s">
        <v>14413</v>
      </c>
      <c r="E713" s="113" t="str">
        <f t="shared" si="23"/>
        <v>DKG&lt;-&gt;TP. Thái Nguyên</v>
      </c>
    </row>
    <row r="714" spans="1:5" x14ac:dyDescent="0.3">
      <c r="A714" s="122" t="s">
        <v>12146</v>
      </c>
      <c r="B714" s="122" t="s">
        <v>12147</v>
      </c>
      <c r="C714" s="113" t="str">
        <f t="shared" si="22"/>
        <v>TP.TN.DKS</v>
      </c>
      <c r="D714" s="113" t="s">
        <v>14414</v>
      </c>
      <c r="E714" s="113" t="str">
        <f t="shared" si="23"/>
        <v>DKS&lt;-&gt;TP. Thái Nguyên</v>
      </c>
    </row>
    <row r="715" spans="1:5" x14ac:dyDescent="0.3">
      <c r="A715" s="122" t="s">
        <v>12148</v>
      </c>
      <c r="B715" s="122" t="s">
        <v>12149</v>
      </c>
      <c r="C715" s="113" t="str">
        <f t="shared" si="22"/>
        <v>TP.TN.THG</v>
      </c>
      <c r="D715" s="113" t="s">
        <v>14415</v>
      </c>
      <c r="E715" s="113" t="str">
        <f t="shared" si="23"/>
        <v>THG&lt;-&gt;TP. Thái Nguyên</v>
      </c>
    </row>
    <row r="716" spans="1:5" x14ac:dyDescent="0.3">
      <c r="A716" s="122" t="s">
        <v>12150</v>
      </c>
      <c r="B716" s="122" t="s">
        <v>12151</v>
      </c>
      <c r="C716" s="113" t="str">
        <f t="shared" si="22"/>
        <v>TP.TQ.DKG</v>
      </c>
      <c r="D716" s="113" t="s">
        <v>14416</v>
      </c>
      <c r="E716" s="113" t="str">
        <f t="shared" si="23"/>
        <v>DKG&lt;-&gt;TP. Tuyên Quang</v>
      </c>
    </row>
    <row r="717" spans="1:5" x14ac:dyDescent="0.3">
      <c r="A717" s="122" t="s">
        <v>12152</v>
      </c>
      <c r="B717" s="122" t="s">
        <v>12153</v>
      </c>
      <c r="C717" s="113" t="str">
        <f t="shared" si="22"/>
        <v>TP.VT.DKG</v>
      </c>
      <c r="D717" s="113" t="s">
        <v>14417</v>
      </c>
      <c r="E717" s="113" t="str">
        <f t="shared" si="23"/>
        <v>DKG&lt;-&gt;TP. Việt Trì</v>
      </c>
    </row>
    <row r="718" spans="1:5" x14ac:dyDescent="0.3">
      <c r="A718" s="122" t="s">
        <v>12154</v>
      </c>
      <c r="B718" s="122" t="s">
        <v>12155</v>
      </c>
      <c r="C718" s="113" t="str">
        <f t="shared" si="22"/>
        <v>TP.VT.DKS</v>
      </c>
      <c r="D718" s="113" t="s">
        <v>14418</v>
      </c>
      <c r="E718" s="113" t="str">
        <f t="shared" si="23"/>
        <v>DKS&lt;-&gt;TP. Việt Trì</v>
      </c>
    </row>
    <row r="719" spans="1:5" x14ac:dyDescent="0.3">
      <c r="A719" s="122" t="s">
        <v>12156</v>
      </c>
      <c r="B719" s="122" t="s">
        <v>12157</v>
      </c>
      <c r="C719" s="113" t="str">
        <f t="shared" si="22"/>
        <v>TP.VT.THG</v>
      </c>
      <c r="D719" s="113" t="s">
        <v>14419</v>
      </c>
      <c r="E719" s="113" t="str">
        <f t="shared" si="23"/>
        <v>THG&lt;-&gt;TP. Việt Trì</v>
      </c>
    </row>
    <row r="720" spans="1:5" x14ac:dyDescent="0.3">
      <c r="A720" s="122" t="s">
        <v>12158</v>
      </c>
      <c r="B720" s="122" t="s">
        <v>12159</v>
      </c>
      <c r="C720" s="113" t="str">
        <f t="shared" si="22"/>
        <v>TP.YB.DKG</v>
      </c>
      <c r="D720" s="113" t="s">
        <v>14420</v>
      </c>
      <c r="E720" s="113" t="str">
        <f t="shared" si="23"/>
        <v>DKG&lt;-&gt;TP. Yên bái</v>
      </c>
    </row>
    <row r="721" spans="1:5" x14ac:dyDescent="0.3">
      <c r="A721" s="122" t="s">
        <v>12160</v>
      </c>
      <c r="B721" s="122" t="s">
        <v>12161</v>
      </c>
      <c r="C721" s="113" t="str">
        <f t="shared" si="22"/>
        <v>TP.YB.DKS</v>
      </c>
      <c r="D721" s="113" t="s">
        <v>14421</v>
      </c>
      <c r="E721" s="113" t="str">
        <f t="shared" si="23"/>
        <v>DKS&lt;-&gt;TP. Yên bái</v>
      </c>
    </row>
    <row r="722" spans="1:5" x14ac:dyDescent="0.3">
      <c r="A722" s="122" t="s">
        <v>12162</v>
      </c>
      <c r="B722" s="122" t="s">
        <v>12163</v>
      </c>
      <c r="C722" s="113" t="str">
        <f t="shared" si="22"/>
        <v>TP.YB.THG</v>
      </c>
      <c r="D722" s="113" t="s">
        <v>14422</v>
      </c>
      <c r="E722" s="113" t="str">
        <f t="shared" si="23"/>
        <v>THG&lt;-&gt;TP. Yên Bái</v>
      </c>
    </row>
    <row r="723" spans="1:5" x14ac:dyDescent="0.3">
      <c r="A723" s="122" t="s">
        <v>12164</v>
      </c>
      <c r="B723" s="122" t="s">
        <v>12165</v>
      </c>
      <c r="C723" s="113" t="str">
        <f t="shared" si="22"/>
        <v>TPV.NA.DKG</v>
      </c>
      <c r="D723" s="113" t="s">
        <v>14423</v>
      </c>
      <c r="E723" s="113" t="str">
        <f t="shared" si="23"/>
        <v>DKG&lt;-&gt;TP. Vinh, Nghệ An</v>
      </c>
    </row>
    <row r="724" spans="1:5" x14ac:dyDescent="0.3">
      <c r="A724" s="122" t="s">
        <v>12166</v>
      </c>
      <c r="B724" s="122" t="s">
        <v>12167</v>
      </c>
      <c r="C724" s="113" t="str">
        <f t="shared" si="22"/>
        <v>TPV.NA.DKS</v>
      </c>
      <c r="D724" s="113" t="s">
        <v>14424</v>
      </c>
      <c r="E724" s="113" t="str">
        <f t="shared" si="23"/>
        <v>DKS&lt;-&gt;TP. Vinh, Nghệ An</v>
      </c>
    </row>
    <row r="725" spans="1:5" x14ac:dyDescent="0.3">
      <c r="A725" s="122" t="s">
        <v>12168</v>
      </c>
      <c r="B725" s="122" t="s">
        <v>12169</v>
      </c>
      <c r="C725" s="113" t="str">
        <f t="shared" si="22"/>
        <v>TPV.NA.THG</v>
      </c>
      <c r="D725" s="113" t="s">
        <v>14425</v>
      </c>
      <c r="E725" s="113" t="str">
        <f t="shared" si="23"/>
        <v>THG&lt;-&gt;TP. Vinh, Nghệ An</v>
      </c>
    </row>
    <row r="726" spans="1:5" x14ac:dyDescent="0.3">
      <c r="A726" s="122" t="s">
        <v>12170</v>
      </c>
      <c r="B726" s="122" t="s">
        <v>12171</v>
      </c>
      <c r="C726" s="113" t="str">
        <f t="shared" si="22"/>
        <v>TQ.HY.DKS</v>
      </c>
      <c r="D726" s="113" t="s">
        <v>14426</v>
      </c>
      <c r="E726" s="113" t="str">
        <f t="shared" si="23"/>
        <v>DKS&lt;-&gt;Tân Quang, Hưng Yên</v>
      </c>
    </row>
    <row r="727" spans="1:5" x14ac:dyDescent="0.3">
      <c r="A727" s="122" t="s">
        <v>12172</v>
      </c>
      <c r="B727" s="122" t="s">
        <v>12173</v>
      </c>
      <c r="C727" s="113" t="str">
        <f t="shared" si="22"/>
        <v>TRT.HN.DKG</v>
      </c>
      <c r="D727" s="113" t="s">
        <v>14427</v>
      </c>
      <c r="E727" s="113" t="str">
        <f t="shared" si="23"/>
        <v>DKG&lt;-&gt;Trạm Trôi, Hoài Đức, Hà Nội</v>
      </c>
    </row>
    <row r="728" spans="1:5" x14ac:dyDescent="0.3">
      <c r="A728" s="122" t="s">
        <v>12174</v>
      </c>
      <c r="B728" s="122" t="s">
        <v>12175</v>
      </c>
      <c r="C728" s="113" t="str">
        <f t="shared" si="22"/>
        <v>TS.BN.DKG</v>
      </c>
      <c r="D728" s="113" t="s">
        <v>14428</v>
      </c>
      <c r="E728" s="113" t="str">
        <f t="shared" si="23"/>
        <v>DKG&lt;-&gt;Từ Sơn, Bắc Ninh</v>
      </c>
    </row>
    <row r="729" spans="1:5" x14ac:dyDescent="0.3">
      <c r="A729" s="122" t="s">
        <v>12176</v>
      </c>
      <c r="B729" s="122" t="s">
        <v>12177</v>
      </c>
      <c r="C729" s="113" t="str">
        <f t="shared" si="22"/>
        <v>TS.BN.DKS</v>
      </c>
      <c r="D729" s="113" t="s">
        <v>14429</v>
      </c>
      <c r="E729" s="113" t="str">
        <f t="shared" si="23"/>
        <v>DKS&lt;-&gt;Từ Sơn, Bắc Ninh</v>
      </c>
    </row>
    <row r="730" spans="1:5" x14ac:dyDescent="0.3">
      <c r="A730" s="122" t="s">
        <v>12178</v>
      </c>
      <c r="B730" s="122" t="s">
        <v>12179</v>
      </c>
      <c r="C730" s="113" t="str">
        <f t="shared" si="22"/>
        <v>TS.BN.THG</v>
      </c>
      <c r="D730" s="113" t="s">
        <v>14430</v>
      </c>
      <c r="E730" s="113" t="str">
        <f t="shared" si="23"/>
        <v>THG&lt;-&gt;Từ Sơn, Bắc Ninh</v>
      </c>
    </row>
    <row r="731" spans="1:5" x14ac:dyDescent="0.3">
      <c r="A731" s="122" t="s">
        <v>12180</v>
      </c>
      <c r="B731" s="122" t="s">
        <v>12181</v>
      </c>
      <c r="C731" s="113" t="str">
        <f t="shared" si="22"/>
        <v>TS.HN.DKG</v>
      </c>
      <c r="D731" s="113" t="s">
        <v>14431</v>
      </c>
      <c r="E731" s="113" t="str">
        <f t="shared" si="23"/>
        <v>DKG&lt;-&gt;Trúc Sơn, Hà Nội</v>
      </c>
    </row>
    <row r="732" spans="1:5" x14ac:dyDescent="0.3">
      <c r="A732" s="122" t="s">
        <v>12182</v>
      </c>
      <c r="B732" s="122" t="s">
        <v>12183</v>
      </c>
      <c r="C732" s="113" t="str">
        <f t="shared" si="22"/>
        <v>TS.HN.THG</v>
      </c>
      <c r="D732" s="113" t="s">
        <v>14432</v>
      </c>
      <c r="E732" s="113" t="str">
        <f t="shared" si="23"/>
        <v>THG&lt;-&gt;Trúc Sơn, Hà Nội</v>
      </c>
    </row>
    <row r="733" spans="1:5" x14ac:dyDescent="0.3">
      <c r="A733" s="122" t="s">
        <v>12184</v>
      </c>
      <c r="B733" s="122" t="s">
        <v>12185</v>
      </c>
      <c r="C733" s="113" t="str">
        <f t="shared" si="22"/>
        <v>TS.PT.DKS</v>
      </c>
      <c r="D733" s="113" t="s">
        <v>14433</v>
      </c>
      <c r="E733" s="113" t="str">
        <f t="shared" si="23"/>
        <v>DKS&lt;-&gt;Thanh Sơn, Phú Thọ</v>
      </c>
    </row>
    <row r="734" spans="1:5" x14ac:dyDescent="0.3">
      <c r="A734" s="122" t="s">
        <v>12186</v>
      </c>
      <c r="B734" s="122" t="s">
        <v>12187</v>
      </c>
      <c r="C734" s="113" t="str">
        <f t="shared" si="22"/>
        <v>TS.TH.DKG</v>
      </c>
      <c r="D734" s="113" t="s">
        <v>14434</v>
      </c>
      <c r="E734" s="113" t="str">
        <f t="shared" si="23"/>
        <v>DKG&lt;-&gt;Triệu Sơn, Thanh Hóa</v>
      </c>
    </row>
    <row r="735" spans="1:5" x14ac:dyDescent="0.3">
      <c r="A735" s="122" t="s">
        <v>12188</v>
      </c>
      <c r="B735" s="122" t="s">
        <v>12189</v>
      </c>
      <c r="C735" s="113" t="str">
        <f t="shared" si="22"/>
        <v>TS.TH.THG</v>
      </c>
      <c r="D735" s="113" t="s">
        <v>14435</v>
      </c>
      <c r="E735" s="113" t="str">
        <f t="shared" si="23"/>
        <v>THG&lt;-&gt;Triệu Sơn, Thanh Hóa</v>
      </c>
    </row>
    <row r="736" spans="1:5" x14ac:dyDescent="0.3">
      <c r="A736" s="122" t="s">
        <v>12190</v>
      </c>
      <c r="B736" s="122" t="s">
        <v>12191</v>
      </c>
      <c r="C736" s="113" t="str">
        <f t="shared" si="22"/>
        <v>TT.BN.DKG</v>
      </c>
      <c r="D736" s="113" t="s">
        <v>14436</v>
      </c>
      <c r="E736" s="113" t="str">
        <f t="shared" si="23"/>
        <v>DKG&lt;-&gt;Thuận Thành, Bắc Ninh</v>
      </c>
    </row>
    <row r="737" spans="1:5" x14ac:dyDescent="0.3">
      <c r="A737" s="122" t="s">
        <v>12192</v>
      </c>
      <c r="B737" s="122" t="s">
        <v>12193</v>
      </c>
      <c r="C737" s="113" t="str">
        <f t="shared" si="22"/>
        <v>TT.BN.DKS</v>
      </c>
      <c r="D737" s="113" t="s">
        <v>14437</v>
      </c>
      <c r="E737" s="113" t="str">
        <f t="shared" si="23"/>
        <v>DKS&lt;-&gt;Thuận Thành, Bắc Ninh</v>
      </c>
    </row>
    <row r="738" spans="1:5" x14ac:dyDescent="0.3">
      <c r="A738" s="122" t="s">
        <v>12194</v>
      </c>
      <c r="B738" s="122" t="s">
        <v>12195</v>
      </c>
      <c r="C738" s="113" t="str">
        <f t="shared" si="22"/>
        <v>TT.BN.THG</v>
      </c>
      <c r="D738" s="113" t="s">
        <v>14438</v>
      </c>
      <c r="E738" s="113" t="str">
        <f t="shared" si="23"/>
        <v>THG&lt;-&gt;Thuận Thành, Bắc Ninh</v>
      </c>
    </row>
    <row r="739" spans="1:5" x14ac:dyDescent="0.3">
      <c r="A739" s="122" t="s">
        <v>12196</v>
      </c>
      <c r="B739" s="122" t="s">
        <v>12197</v>
      </c>
      <c r="C739" s="113" t="str">
        <f t="shared" si="22"/>
        <v>TT.HD.DKS</v>
      </c>
      <c r="D739" s="113" t="s">
        <v>14439</v>
      </c>
      <c r="E739" s="113" t="str">
        <f t="shared" si="23"/>
        <v>DKS&lt;-&gt;Tân Trường, Hải Dương</v>
      </c>
    </row>
    <row r="740" spans="1:5" x14ac:dyDescent="0.3">
      <c r="A740" s="122" t="s">
        <v>12198</v>
      </c>
      <c r="B740" s="122" t="s">
        <v>12199</v>
      </c>
      <c r="C740" s="113" t="str">
        <f t="shared" si="22"/>
        <v>TT.HN.DKG</v>
      </c>
      <c r="D740" s="113" t="s">
        <v>14440</v>
      </c>
      <c r="E740" s="113" t="str">
        <f t="shared" si="23"/>
        <v>DKG&lt;-&gt;Thạch Thất, Hà Nội</v>
      </c>
    </row>
    <row r="741" spans="1:5" x14ac:dyDescent="0.3">
      <c r="A741" s="122" t="s">
        <v>12200</v>
      </c>
      <c r="B741" s="122" t="s">
        <v>12201</v>
      </c>
      <c r="C741" s="113" t="str">
        <f t="shared" si="22"/>
        <v>TT.HN.DKS</v>
      </c>
      <c r="D741" s="113" t="s">
        <v>14441</v>
      </c>
      <c r="E741" s="113" t="str">
        <f t="shared" si="23"/>
        <v>DKS&lt;-&gt;Thạch Thất, Hà Nội</v>
      </c>
    </row>
    <row r="742" spans="1:5" x14ac:dyDescent="0.3">
      <c r="A742" s="122" t="s">
        <v>12202</v>
      </c>
      <c r="B742" s="122" t="s">
        <v>12203</v>
      </c>
      <c r="C742" s="113" t="str">
        <f t="shared" si="22"/>
        <v>TT.HN.THG</v>
      </c>
      <c r="D742" s="113" t="s">
        <v>14442</v>
      </c>
      <c r="E742" s="113" t="str">
        <f t="shared" si="23"/>
        <v>THG&lt;-&gt;Thạch Thất, Hà Nội</v>
      </c>
    </row>
    <row r="743" spans="1:5" x14ac:dyDescent="0.3">
      <c r="A743" s="122" t="s">
        <v>12204</v>
      </c>
      <c r="B743" s="122" t="s">
        <v>12205</v>
      </c>
      <c r="C743" s="113" t="str">
        <f t="shared" si="22"/>
        <v>TT.PT.DKG</v>
      </c>
      <c r="D743" s="113" t="s">
        <v>14443</v>
      </c>
      <c r="E743" s="113" t="str">
        <f t="shared" si="23"/>
        <v>DKG&lt;-&gt;Thanh Thủy, Phú Thọ</v>
      </c>
    </row>
    <row r="744" spans="1:5" x14ac:dyDescent="0.3">
      <c r="A744" s="122" t="s">
        <v>12206</v>
      </c>
      <c r="B744" s="122" t="s">
        <v>12207</v>
      </c>
      <c r="C744" s="113" t="str">
        <f t="shared" si="22"/>
        <v>TT.TB.DKG</v>
      </c>
      <c r="D744" s="113" t="s">
        <v>14444</v>
      </c>
      <c r="E744" s="113" t="str">
        <f t="shared" si="23"/>
        <v>DKG&lt;-&gt;Thái Thụy, Thái Bình</v>
      </c>
    </row>
    <row r="745" spans="1:5" x14ac:dyDescent="0.3">
      <c r="A745" s="122" t="s">
        <v>12208</v>
      </c>
      <c r="B745" s="122" t="s">
        <v>12209</v>
      </c>
      <c r="C745" s="113" t="str">
        <f t="shared" si="22"/>
        <v>TT.TB.THG</v>
      </c>
      <c r="D745" s="113" t="s">
        <v>14445</v>
      </c>
      <c r="E745" s="113" t="str">
        <f t="shared" si="23"/>
        <v>THG&lt;-&gt;Thái Thụy, Thái Bình</v>
      </c>
    </row>
    <row r="746" spans="1:5" x14ac:dyDescent="0.3">
      <c r="A746" s="122" t="s">
        <v>12210</v>
      </c>
      <c r="B746" s="122" t="s">
        <v>12211</v>
      </c>
      <c r="C746" s="113" t="str">
        <f t="shared" si="22"/>
        <v>TT.TH.DKG</v>
      </c>
      <c r="D746" s="113" t="s">
        <v>14446</v>
      </c>
      <c r="E746" s="113" t="str">
        <f t="shared" si="23"/>
        <v>DKG&lt;-&gt;Thạch Thành, Thanh Hóa</v>
      </c>
    </row>
    <row r="747" spans="1:5" x14ac:dyDescent="0.3">
      <c r="A747" s="122" t="s">
        <v>12212</v>
      </c>
      <c r="B747" s="122" t="s">
        <v>12213</v>
      </c>
      <c r="C747" s="113" t="str">
        <f t="shared" si="22"/>
        <v>TTI.HN.DKG</v>
      </c>
      <c r="D747" s="113" t="s">
        <v>14447</v>
      </c>
      <c r="E747" s="113" t="str">
        <f t="shared" si="23"/>
        <v>DKG&lt;-&gt;Thường Tín, Hà Nội</v>
      </c>
    </row>
    <row r="748" spans="1:5" x14ac:dyDescent="0.3">
      <c r="A748" s="122" t="s">
        <v>12214</v>
      </c>
      <c r="B748" s="122" t="s">
        <v>12215</v>
      </c>
      <c r="C748" s="113" t="str">
        <f t="shared" si="22"/>
        <v>TTI.HN.DKS</v>
      </c>
      <c r="D748" s="113" t="s">
        <v>14448</v>
      </c>
      <c r="E748" s="113" t="str">
        <f t="shared" si="23"/>
        <v>DKS&lt;-&gt;Thường Tín, Hà Nội</v>
      </c>
    </row>
    <row r="749" spans="1:5" x14ac:dyDescent="0.3">
      <c r="A749" s="122" t="s">
        <v>12216</v>
      </c>
      <c r="B749" s="122" t="s">
        <v>12217</v>
      </c>
      <c r="C749" s="113" t="str">
        <f t="shared" si="22"/>
        <v>TTI.HN.THG</v>
      </c>
      <c r="D749" s="113" t="s">
        <v>14449</v>
      </c>
      <c r="E749" s="113" t="str">
        <f t="shared" si="23"/>
        <v>THG&lt;-&gt;Thường Tín, Hà Nội</v>
      </c>
    </row>
    <row r="750" spans="1:5" x14ac:dyDescent="0.3">
      <c r="A750" s="122" t="s">
        <v>12218</v>
      </c>
      <c r="B750" s="122" t="s">
        <v>12219</v>
      </c>
      <c r="C750" s="113" t="str">
        <f t="shared" si="22"/>
        <v>TTK.BG.DKG</v>
      </c>
      <c r="D750" s="113" t="s">
        <v>14450</v>
      </c>
      <c r="E750" s="113" t="str">
        <f t="shared" si="23"/>
        <v>DKG&lt;-&gt;Thị Trấn Kép, Bắc Giang</v>
      </c>
    </row>
    <row r="751" spans="1:5" x14ac:dyDescent="0.3">
      <c r="A751" s="122" t="s">
        <v>12220</v>
      </c>
      <c r="B751" s="122" t="s">
        <v>12221</v>
      </c>
      <c r="C751" s="113" t="str">
        <f t="shared" si="22"/>
        <v>TTK.BG.THG</v>
      </c>
      <c r="D751" s="113" t="s">
        <v>14451</v>
      </c>
      <c r="E751" s="113" t="str">
        <f t="shared" si="23"/>
        <v>THG&lt;-&gt;Thị Trấn Kép, Bắc Giang</v>
      </c>
    </row>
    <row r="752" spans="1:5" x14ac:dyDescent="0.3">
      <c r="A752" s="122" t="s">
        <v>12222</v>
      </c>
      <c r="B752" s="122" t="s">
        <v>12223</v>
      </c>
      <c r="C752" s="113" t="str">
        <f t="shared" si="22"/>
        <v>TTR.HN.DKG</v>
      </c>
      <c r="D752" s="113" t="s">
        <v>14452</v>
      </c>
      <c r="E752" s="113" t="str">
        <f t="shared" si="23"/>
        <v>DKG&lt;-&gt;Thanh Trì, Hà Nội</v>
      </c>
    </row>
    <row r="753" spans="1:5" x14ac:dyDescent="0.3">
      <c r="A753" s="122" t="s">
        <v>12224</v>
      </c>
      <c r="B753" s="122" t="s">
        <v>12225</v>
      </c>
      <c r="C753" s="113" t="str">
        <f t="shared" si="22"/>
        <v>TTR.HN.DKS</v>
      </c>
      <c r="D753" s="113" t="s">
        <v>14453</v>
      </c>
      <c r="E753" s="113" t="str">
        <f t="shared" si="23"/>
        <v>DKS&lt;-&gt;Thanh Trì, Hà Nội</v>
      </c>
    </row>
    <row r="754" spans="1:5" x14ac:dyDescent="0.3">
      <c r="A754" s="122" t="s">
        <v>12226</v>
      </c>
      <c r="B754" s="122" t="s">
        <v>12227</v>
      </c>
      <c r="C754" s="113" t="str">
        <f t="shared" si="22"/>
        <v>TTR.HN.THG</v>
      </c>
      <c r="D754" s="113" t="s">
        <v>14454</v>
      </c>
      <c r="E754" s="113" t="str">
        <f t="shared" si="23"/>
        <v>THG&lt;-&gt;Thanh Trì, Hà Nội</v>
      </c>
    </row>
    <row r="755" spans="1:5" x14ac:dyDescent="0.3">
      <c r="A755" s="122" t="s">
        <v>12228</v>
      </c>
      <c r="B755" s="122" t="s">
        <v>12229</v>
      </c>
      <c r="C755" s="113" t="str">
        <f t="shared" si="22"/>
        <v>TTRI.HN.DKG</v>
      </c>
      <c r="D755" s="113" t="s">
        <v>14455</v>
      </c>
      <c r="E755" s="113" t="str">
        <f t="shared" si="23"/>
        <v>DKG&lt;-&gt;Tam Trinh, Hà Nội</v>
      </c>
    </row>
    <row r="756" spans="1:5" x14ac:dyDescent="0.3">
      <c r="A756" s="122" t="s">
        <v>12230</v>
      </c>
      <c r="B756" s="122" t="s">
        <v>12231</v>
      </c>
      <c r="C756" s="113" t="str">
        <f t="shared" si="22"/>
        <v>TTV.BG.DKG</v>
      </c>
      <c r="D756" s="113" t="s">
        <v>14456</v>
      </c>
      <c r="E756" s="113" t="str">
        <f t="shared" si="23"/>
        <v>DKG&lt;-&gt;Thị Trấn Vôi, Bắc Giang</v>
      </c>
    </row>
    <row r="757" spans="1:5" x14ac:dyDescent="0.3">
      <c r="A757" s="122" t="s">
        <v>12232</v>
      </c>
      <c r="B757" s="122" t="s">
        <v>12233</v>
      </c>
      <c r="C757" s="113" t="str">
        <f t="shared" si="22"/>
        <v>TTV.BG.THG</v>
      </c>
      <c r="D757" s="113" t="s">
        <v>14457</v>
      </c>
      <c r="E757" s="113" t="str">
        <f t="shared" si="23"/>
        <v>THG&lt;-&gt;Thị Trấn Vôi, Bắc Giang</v>
      </c>
    </row>
    <row r="758" spans="1:5" x14ac:dyDescent="0.3">
      <c r="A758" s="122" t="s">
        <v>12234</v>
      </c>
      <c r="B758" s="122" t="s">
        <v>12235</v>
      </c>
      <c r="C758" s="113" t="str">
        <f t="shared" si="22"/>
        <v>TV.PT.DKS</v>
      </c>
      <c r="D758" s="113" t="s">
        <v>14458</v>
      </c>
      <c r="E758" s="113" t="str">
        <f t="shared" si="23"/>
        <v>DKS&lt;-&gt;Thụy Vân, Phú Thọ</v>
      </c>
    </row>
    <row r="759" spans="1:5" x14ac:dyDescent="0.3">
      <c r="A759" s="122" t="s">
        <v>12236</v>
      </c>
      <c r="B759" s="122" t="s">
        <v>12237</v>
      </c>
      <c r="C759" s="113" t="str">
        <f t="shared" si="22"/>
        <v>TX.HY.DKG</v>
      </c>
      <c r="D759" s="113" t="s">
        <v>14459</v>
      </c>
      <c r="E759" s="113" t="str">
        <f t="shared" si="23"/>
        <v>DKG&lt;-&gt;TX. Hưng Yên</v>
      </c>
    </row>
    <row r="760" spans="1:5" x14ac:dyDescent="0.3">
      <c r="A760" s="122" t="s">
        <v>12238</v>
      </c>
      <c r="B760" s="122" t="s">
        <v>12239</v>
      </c>
      <c r="C760" s="113" t="str">
        <f t="shared" si="22"/>
        <v>TX.HY.THG</v>
      </c>
      <c r="D760" s="113" t="s">
        <v>14460</v>
      </c>
      <c r="E760" s="113" t="str">
        <f t="shared" si="23"/>
        <v>THG&lt;-&gt;TX. Hưng Yên</v>
      </c>
    </row>
    <row r="761" spans="1:5" x14ac:dyDescent="0.3">
      <c r="A761" s="122" t="s">
        <v>12240</v>
      </c>
      <c r="B761" s="122" t="s">
        <v>12241</v>
      </c>
      <c r="C761" s="113" t="str">
        <f t="shared" si="22"/>
        <v>TX.PT.DKG</v>
      </c>
      <c r="D761" s="113" t="s">
        <v>14461</v>
      </c>
      <c r="E761" s="113" t="str">
        <f t="shared" si="23"/>
        <v>DKG&lt;-&gt;Thị Xã, Phú Thọ</v>
      </c>
    </row>
    <row r="762" spans="1:5" x14ac:dyDescent="0.3">
      <c r="A762" s="122" t="s">
        <v>12242</v>
      </c>
      <c r="B762" s="122" t="s">
        <v>12243</v>
      </c>
      <c r="C762" s="113" t="str">
        <f t="shared" si="22"/>
        <v>TX.TH.DKG</v>
      </c>
      <c r="D762" s="113" t="s">
        <v>14462</v>
      </c>
      <c r="E762" s="113" t="str">
        <f t="shared" si="23"/>
        <v>DKG&lt;-&gt;Thọ Xuân, Thanh Hóa</v>
      </c>
    </row>
    <row r="763" spans="1:5" x14ac:dyDescent="0.3">
      <c r="A763" s="122" t="s">
        <v>12244</v>
      </c>
      <c r="B763" s="122" t="s">
        <v>12245</v>
      </c>
      <c r="C763" s="113" t="str">
        <f t="shared" si="22"/>
        <v>TX.TH.DKS</v>
      </c>
      <c r="D763" s="113" t="s">
        <v>14463</v>
      </c>
      <c r="E763" s="113" t="str">
        <f t="shared" si="23"/>
        <v>DKS&lt;-&gt;Thọ Xuân, Thanh Hóa</v>
      </c>
    </row>
    <row r="764" spans="1:5" x14ac:dyDescent="0.3">
      <c r="A764" s="122" t="s">
        <v>12246</v>
      </c>
      <c r="B764" s="122" t="s">
        <v>12247</v>
      </c>
      <c r="C764" s="113" t="str">
        <f t="shared" si="22"/>
        <v>TX.TH.THG</v>
      </c>
      <c r="D764" s="113" t="s">
        <v>14464</v>
      </c>
      <c r="E764" s="113" t="str">
        <f t="shared" si="23"/>
        <v>THG&lt;-&gt;Thọ Xuân, Thanh Hóa</v>
      </c>
    </row>
    <row r="765" spans="1:5" x14ac:dyDescent="0.3">
      <c r="A765" s="122" t="s">
        <v>12248</v>
      </c>
      <c r="B765" s="122" t="s">
        <v>12249</v>
      </c>
      <c r="C765" s="113" t="str">
        <f t="shared" si="22"/>
        <v>TY.BG.DKG</v>
      </c>
      <c r="D765" s="113" t="s">
        <v>14465</v>
      </c>
      <c r="E765" s="113" t="str">
        <f t="shared" si="23"/>
        <v>DKG&lt;-&gt;Tân Yên, Bắc Giang</v>
      </c>
    </row>
    <row r="766" spans="1:5" x14ac:dyDescent="0.3">
      <c r="A766" s="122" t="s">
        <v>12250</v>
      </c>
      <c r="B766" s="122" t="s">
        <v>12251</v>
      </c>
      <c r="C766" s="113" t="str">
        <f t="shared" si="22"/>
        <v>TY.HN.DKG</v>
      </c>
      <c r="D766" s="113" t="s">
        <v>14466</v>
      </c>
      <c r="E766" s="113" t="str">
        <f t="shared" si="23"/>
        <v>DKG&lt;-&gt;Trường Yên, Hà Nội</v>
      </c>
    </row>
    <row r="767" spans="1:5" x14ac:dyDescent="0.3">
      <c r="A767" s="122" t="s">
        <v>12252</v>
      </c>
      <c r="B767" s="122" t="s">
        <v>12253</v>
      </c>
      <c r="C767" s="113" t="str">
        <f t="shared" si="22"/>
        <v>UB.QN.DKG</v>
      </c>
      <c r="D767" s="113" t="s">
        <v>14467</v>
      </c>
      <c r="E767" s="113" t="str">
        <f t="shared" si="23"/>
        <v>DKG&lt;-&gt;Uông Bí, Quảng Ninh</v>
      </c>
    </row>
    <row r="768" spans="1:5" x14ac:dyDescent="0.3">
      <c r="A768" s="122" t="s">
        <v>12254</v>
      </c>
      <c r="B768" s="122" t="s">
        <v>12255</v>
      </c>
      <c r="C768" s="113" t="str">
        <f t="shared" si="22"/>
        <v>UB.QN.DKS</v>
      </c>
      <c r="D768" s="113" t="s">
        <v>14468</v>
      </c>
      <c r="E768" s="113" t="str">
        <f t="shared" si="23"/>
        <v>DKS&lt;-&gt;Uông Bí, Quảng Ninh</v>
      </c>
    </row>
    <row r="769" spans="1:5" x14ac:dyDescent="0.3">
      <c r="A769" s="122" t="s">
        <v>12256</v>
      </c>
      <c r="B769" s="122" t="s">
        <v>12257</v>
      </c>
      <c r="C769" s="113" t="str">
        <f t="shared" si="22"/>
        <v>UB.QN.THG</v>
      </c>
      <c r="D769" s="113" t="s">
        <v>14469</v>
      </c>
      <c r="E769" s="113" t="str">
        <f t="shared" si="23"/>
        <v>THG&lt;-&gt;Uông Bí, Quảng Ninh</v>
      </c>
    </row>
    <row r="770" spans="1:5" x14ac:dyDescent="0.3">
      <c r="A770" s="122" t="s">
        <v>12258</v>
      </c>
      <c r="B770" s="122" t="s">
        <v>12259</v>
      </c>
      <c r="C770" s="113" t="str">
        <f t="shared" si="22"/>
        <v>UH.HN.DKG</v>
      </c>
      <c r="D770" s="113" t="s">
        <v>14470</v>
      </c>
      <c r="E770" s="113" t="str">
        <f t="shared" si="23"/>
        <v>DKG&lt;-&gt;Ứng Hòa, Hà Nội</v>
      </c>
    </row>
    <row r="771" spans="1:5" x14ac:dyDescent="0.3">
      <c r="A771" s="122" t="s">
        <v>12260</v>
      </c>
      <c r="B771" s="122" t="s">
        <v>12261</v>
      </c>
      <c r="C771" s="113" t="str">
        <f t="shared" si="22"/>
        <v>UH.HN.THG</v>
      </c>
      <c r="D771" s="113" t="s">
        <v>14471</v>
      </c>
      <c r="E771" s="113" t="str">
        <f t="shared" si="23"/>
        <v>THG&lt;-&gt;Ứng Hòa, Hà Nội</v>
      </c>
    </row>
    <row r="772" spans="1:5" x14ac:dyDescent="0.3">
      <c r="A772" s="122" t="s">
        <v>12262</v>
      </c>
      <c r="B772" s="122" t="s">
        <v>12263</v>
      </c>
      <c r="C772" s="113" t="str">
        <f t="shared" ref="C772:C835" si="24">+A772</f>
        <v>VB.HP.DKG</v>
      </c>
      <c r="D772" s="113" t="s">
        <v>14472</v>
      </c>
      <c r="E772" s="113" t="str">
        <f t="shared" ref="E772:E835" si="25">B772</f>
        <v>DKG&lt;-&gt;Vĩnh Bảo, Hải Phòng</v>
      </c>
    </row>
    <row r="773" spans="1:5" x14ac:dyDescent="0.3">
      <c r="A773" s="122" t="s">
        <v>12264</v>
      </c>
      <c r="B773" s="122" t="s">
        <v>12265</v>
      </c>
      <c r="C773" s="113" t="str">
        <f t="shared" si="24"/>
        <v>VB.HP.THG</v>
      </c>
      <c r="D773" s="113" t="s">
        <v>14473</v>
      </c>
      <c r="E773" s="113" t="str">
        <f t="shared" si="25"/>
        <v>THG&lt;-&gt;Vĩnh Bảo, Hải Phòng</v>
      </c>
    </row>
    <row r="774" spans="1:5" x14ac:dyDescent="0.3">
      <c r="A774" s="122" t="s">
        <v>12266</v>
      </c>
      <c r="B774" s="122" t="s">
        <v>12267</v>
      </c>
      <c r="C774" s="113" t="str">
        <f t="shared" si="24"/>
        <v>VB.LC.DKG</v>
      </c>
      <c r="D774" s="113" t="s">
        <v>14474</v>
      </c>
      <c r="E774" s="113" t="str">
        <f t="shared" si="25"/>
        <v>DKG&lt;-&gt;Văn Bản, Lào Cai</v>
      </c>
    </row>
    <row r="775" spans="1:5" x14ac:dyDescent="0.3">
      <c r="A775" s="122" t="s">
        <v>12268</v>
      </c>
      <c r="B775" s="122" t="s">
        <v>12269</v>
      </c>
      <c r="C775" s="113" t="str">
        <f t="shared" si="24"/>
        <v>VB.ND.DKG</v>
      </c>
      <c r="D775" s="113" t="s">
        <v>14475</v>
      </c>
      <c r="E775" s="113" t="str">
        <f t="shared" si="25"/>
        <v>DKG&lt;-&gt;Vụ Bản, Nam Định</v>
      </c>
    </row>
    <row r="776" spans="1:5" x14ac:dyDescent="0.3">
      <c r="A776" s="122" t="s">
        <v>12270</v>
      </c>
      <c r="B776" s="122" t="s">
        <v>12271</v>
      </c>
      <c r="C776" s="113" t="str">
        <f t="shared" si="24"/>
        <v>VD.HN.DKG</v>
      </c>
      <c r="D776" s="113" t="s">
        <v>14476</v>
      </c>
      <c r="E776" s="113" t="str">
        <f t="shared" si="25"/>
        <v>DKG&lt;-&gt;Văn Điển, Hà Nội</v>
      </c>
    </row>
    <row r="777" spans="1:5" x14ac:dyDescent="0.3">
      <c r="A777" s="122" t="s">
        <v>12272</v>
      </c>
      <c r="B777" s="122" t="s">
        <v>12273</v>
      </c>
      <c r="C777" s="113" t="str">
        <f t="shared" si="24"/>
        <v>VD.HN.DKS</v>
      </c>
      <c r="D777" s="113" t="s">
        <v>14477</v>
      </c>
      <c r="E777" s="113" t="str">
        <f t="shared" si="25"/>
        <v>DKS&lt;-&gt;Văn Điển, Hà Nội</v>
      </c>
    </row>
    <row r="778" spans="1:5" x14ac:dyDescent="0.3">
      <c r="A778" s="122" t="s">
        <v>12274</v>
      </c>
      <c r="B778" s="122" t="s">
        <v>12275</v>
      </c>
      <c r="C778" s="113" t="str">
        <f t="shared" si="24"/>
        <v>VD.HN.THG</v>
      </c>
      <c r="D778" s="113" t="s">
        <v>14478</v>
      </c>
      <c r="E778" s="113" t="str">
        <f t="shared" si="25"/>
        <v>THG&lt;-&gt;Văn Điển, Hà Nội</v>
      </c>
    </row>
    <row r="779" spans="1:5" x14ac:dyDescent="0.3">
      <c r="A779" s="122" t="s">
        <v>12276</v>
      </c>
      <c r="B779" s="122" t="s">
        <v>12277</v>
      </c>
      <c r="C779" s="113" t="str">
        <f t="shared" si="24"/>
        <v>VD.QN.DKS</v>
      </c>
      <c r="D779" s="113" t="s">
        <v>14479</v>
      </c>
      <c r="E779" s="113" t="str">
        <f t="shared" si="25"/>
        <v>DKS&lt;-&gt;Vân Đồn, Quảng Ninh</v>
      </c>
    </row>
    <row r="780" spans="1:5" x14ac:dyDescent="0.3">
      <c r="A780" s="122" t="s">
        <v>12278</v>
      </c>
      <c r="B780" s="122" t="s">
        <v>12279</v>
      </c>
      <c r="C780" s="113" t="str">
        <f t="shared" si="24"/>
        <v>VDI.HN.DKG</v>
      </c>
      <c r="D780" s="113" t="s">
        <v>14480</v>
      </c>
      <c r="E780" s="113" t="str">
        <f t="shared" si="25"/>
        <v>DKG&lt;-&gt;Vân Đình, Hà Nội</v>
      </c>
    </row>
    <row r="781" spans="1:5" x14ac:dyDescent="0.3">
      <c r="A781" s="122" t="s">
        <v>12280</v>
      </c>
      <c r="B781" s="122" t="s">
        <v>12281</v>
      </c>
      <c r="C781" s="113" t="str">
        <f t="shared" si="24"/>
        <v>VDI.HN.THG</v>
      </c>
      <c r="D781" s="113" t="s">
        <v>14481</v>
      </c>
      <c r="E781" s="113" t="str">
        <f t="shared" si="25"/>
        <v>THG&lt;-&gt;Vân Đình, Hà Nội</v>
      </c>
    </row>
    <row r="782" spans="1:5" x14ac:dyDescent="0.3">
      <c r="A782" s="122" t="s">
        <v>12282</v>
      </c>
      <c r="B782" s="122" t="s">
        <v>12283</v>
      </c>
      <c r="C782" s="113" t="str">
        <f t="shared" si="24"/>
        <v>VG.HY.DKG</v>
      </c>
      <c r="D782" s="113" t="s">
        <v>14482</v>
      </c>
      <c r="E782" s="113" t="str">
        <f t="shared" si="25"/>
        <v>DKG&lt;-&gt;Văn Giang, Hưng Yên</v>
      </c>
    </row>
    <row r="783" spans="1:5" x14ac:dyDescent="0.3">
      <c r="A783" s="122" t="s">
        <v>12284</v>
      </c>
      <c r="B783" s="122" t="s">
        <v>12285</v>
      </c>
      <c r="C783" s="113" t="str">
        <f t="shared" si="24"/>
        <v>VG.HY.DKS</v>
      </c>
      <c r="D783" s="113" t="s">
        <v>14483</v>
      </c>
      <c r="E783" s="113" t="str">
        <f t="shared" si="25"/>
        <v>DKS&lt;-&gt;Văn Giang, Hưng Yên</v>
      </c>
    </row>
    <row r="784" spans="1:5" x14ac:dyDescent="0.3">
      <c r="A784" s="122" t="s">
        <v>12286</v>
      </c>
      <c r="B784" s="122" t="s">
        <v>12287</v>
      </c>
      <c r="C784" s="113" t="str">
        <f t="shared" si="24"/>
        <v>VK.BG.DKG</v>
      </c>
      <c r="D784" s="113" t="s">
        <v>14484</v>
      </c>
      <c r="E784" s="113" t="str">
        <f t="shared" si="25"/>
        <v>DKG&lt;-&gt;Vĩnh Kế, Bắc Giang</v>
      </c>
    </row>
    <row r="785" spans="1:5" x14ac:dyDescent="0.3">
      <c r="A785" s="122" t="s">
        <v>12288</v>
      </c>
      <c r="B785" s="122" t="s">
        <v>12287</v>
      </c>
      <c r="C785" s="113" t="str">
        <f t="shared" si="24"/>
        <v>VK.BG.THG</v>
      </c>
      <c r="D785" s="113" t="s">
        <v>14484</v>
      </c>
      <c r="E785" s="113" t="str">
        <f t="shared" si="25"/>
        <v>DKG&lt;-&gt;Vĩnh Kế, Bắc Giang</v>
      </c>
    </row>
    <row r="786" spans="1:5" x14ac:dyDescent="0.3">
      <c r="A786" s="122" t="s">
        <v>12289</v>
      </c>
      <c r="B786" s="122" t="s">
        <v>12290</v>
      </c>
      <c r="C786" s="113" t="str">
        <f t="shared" si="24"/>
        <v>VL.HY.DKG</v>
      </c>
      <c r="D786" s="113" t="s">
        <v>14485</v>
      </c>
      <c r="E786" s="113" t="str">
        <f t="shared" si="25"/>
        <v>DKG&lt;-&gt;Văn Lâm, Hưng Yên</v>
      </c>
    </row>
    <row r="787" spans="1:5" x14ac:dyDescent="0.3">
      <c r="A787" s="122" t="s">
        <v>12291</v>
      </c>
      <c r="B787" s="122" t="s">
        <v>12292</v>
      </c>
      <c r="C787" s="113" t="str">
        <f t="shared" si="24"/>
        <v>VL.HY.DKS</v>
      </c>
      <c r="D787" s="113" t="s">
        <v>14486</v>
      </c>
      <c r="E787" s="113" t="str">
        <f t="shared" si="25"/>
        <v>DKS&lt;-&gt;Văn Lâm, Hưng Yên</v>
      </c>
    </row>
    <row r="788" spans="1:5" x14ac:dyDescent="0.3">
      <c r="A788" s="122" t="s">
        <v>12293</v>
      </c>
      <c r="B788" s="122" t="s">
        <v>12294</v>
      </c>
      <c r="C788" s="113" t="str">
        <f t="shared" si="24"/>
        <v>VL.HY.THG</v>
      </c>
      <c r="D788" s="113" t="s">
        <v>14487</v>
      </c>
      <c r="E788" s="113" t="str">
        <f t="shared" si="25"/>
        <v>THG&lt;-&gt;Văn Lâm, Hưng Yên</v>
      </c>
    </row>
    <row r="789" spans="1:5" x14ac:dyDescent="0.3">
      <c r="A789" s="122" t="s">
        <v>12295</v>
      </c>
      <c r="B789" s="122" t="s">
        <v>12296</v>
      </c>
      <c r="C789" s="113" t="str">
        <f t="shared" si="24"/>
        <v>VL.QT.DKG</v>
      </c>
      <c r="D789" s="113" t="s">
        <v>14488</v>
      </c>
      <c r="E789" s="113" t="str">
        <f t="shared" si="25"/>
        <v>DKG&lt;-&gt;Vĩnh Linh, Quảng Trị</v>
      </c>
    </row>
    <row r="790" spans="1:5" x14ac:dyDescent="0.3">
      <c r="A790" s="122" t="s">
        <v>12297</v>
      </c>
      <c r="B790" s="122" t="s">
        <v>12298</v>
      </c>
      <c r="C790" s="113" t="str">
        <f t="shared" si="24"/>
        <v>VN.HP.DKG</v>
      </c>
      <c r="D790" s="113" t="s">
        <v>14489</v>
      </c>
      <c r="E790" s="113" t="str">
        <f t="shared" si="25"/>
        <v>DKG&lt;-&gt;Vĩnh Niệm, Hải Phòng</v>
      </c>
    </row>
    <row r="791" spans="1:5" x14ac:dyDescent="0.3">
      <c r="A791" s="122" t="s">
        <v>12299</v>
      </c>
      <c r="B791" s="122" t="s">
        <v>12300</v>
      </c>
      <c r="C791" s="113" t="str">
        <f t="shared" si="24"/>
        <v>VN.HP.THG</v>
      </c>
      <c r="D791" s="113" t="s">
        <v>14490</v>
      </c>
      <c r="E791" s="113" t="str">
        <f t="shared" si="25"/>
        <v>THG&lt;-&gt;Vĩnh Niệm, Hải Phòng</v>
      </c>
    </row>
    <row r="792" spans="1:5" x14ac:dyDescent="0.3">
      <c r="A792" s="122" t="s">
        <v>12301</v>
      </c>
      <c r="B792" s="122" t="s">
        <v>12302</v>
      </c>
      <c r="C792" s="113" t="str">
        <f t="shared" si="24"/>
        <v>VN.QB.DKG</v>
      </c>
      <c r="D792" s="113" t="s">
        <v>14491</v>
      </c>
      <c r="E792" s="113" t="str">
        <f t="shared" si="25"/>
        <v>DKG&lt;-&gt;Vạn Ninh, Quảng Bình</v>
      </c>
    </row>
    <row r="793" spans="1:5" x14ac:dyDescent="0.3">
      <c r="A793" s="122" t="s">
        <v>12303</v>
      </c>
      <c r="B793" s="122" t="s">
        <v>12304</v>
      </c>
      <c r="C793" s="113" t="str">
        <f t="shared" si="24"/>
        <v>VN.TN.DKS</v>
      </c>
      <c r="D793" s="113" t="s">
        <v>14492</v>
      </c>
      <c r="E793" s="113" t="str">
        <f t="shared" si="25"/>
        <v>DKS&lt;-&gt;Võ Nhai, Thái Nguyên</v>
      </c>
    </row>
    <row r="794" spans="1:5" x14ac:dyDescent="0.3">
      <c r="A794" s="122" t="s">
        <v>12305</v>
      </c>
      <c r="B794" s="122" t="s">
        <v>12306</v>
      </c>
      <c r="C794" s="113" t="str">
        <f t="shared" si="24"/>
        <v>VT.BG.DKS</v>
      </c>
      <c r="D794" s="113" t="s">
        <v>14493</v>
      </c>
      <c r="E794" s="113" t="str">
        <f t="shared" si="25"/>
        <v>DKS&lt;-&gt;Vân Trung, Bắc Giang</v>
      </c>
    </row>
    <row r="795" spans="1:5" x14ac:dyDescent="0.3">
      <c r="A795" s="122" t="s">
        <v>12307</v>
      </c>
      <c r="B795" s="122" t="s">
        <v>12308</v>
      </c>
      <c r="C795" s="113" t="str">
        <f t="shared" si="24"/>
        <v>VT.HN.DKS</v>
      </c>
      <c r="D795" s="113" t="s">
        <v>14494</v>
      </c>
      <c r="E795" s="113" t="str">
        <f t="shared" si="25"/>
        <v>DKS&lt;-&gt;Vĩnh Tuy, Hà Nội</v>
      </c>
    </row>
    <row r="796" spans="1:5" x14ac:dyDescent="0.3">
      <c r="A796" s="122" t="s">
        <v>12309</v>
      </c>
      <c r="B796" s="122" t="s">
        <v>12310</v>
      </c>
      <c r="C796" s="113" t="str">
        <f t="shared" si="24"/>
        <v>VT.HNA.DKG</v>
      </c>
      <c r="D796" s="113" t="s">
        <v>14495</v>
      </c>
      <c r="E796" s="113" t="str">
        <f t="shared" si="25"/>
        <v>DKG&lt;-&gt;Vĩnh Trụ, Hà Nam</v>
      </c>
    </row>
    <row r="797" spans="1:5" x14ac:dyDescent="0.3">
      <c r="A797" s="122" t="s">
        <v>12311</v>
      </c>
      <c r="B797" s="122" t="s">
        <v>12312</v>
      </c>
      <c r="C797" s="113" t="str">
        <f t="shared" si="24"/>
        <v>VT.HNA.THG</v>
      </c>
      <c r="D797" s="113" t="s">
        <v>14496</v>
      </c>
      <c r="E797" s="113" t="str">
        <f t="shared" si="25"/>
        <v>THG&lt;-&gt;Vĩnh Trụ, Hà Nam</v>
      </c>
    </row>
    <row r="798" spans="1:5" x14ac:dyDescent="0.3">
      <c r="A798" s="122" t="s">
        <v>12313</v>
      </c>
      <c r="B798" s="122" t="s">
        <v>12314</v>
      </c>
      <c r="C798" s="113" t="str">
        <f t="shared" si="24"/>
        <v>VT.PT.DKS</v>
      </c>
      <c r="D798" s="113" t="s">
        <v>14497</v>
      </c>
      <c r="E798" s="113" t="str">
        <f t="shared" si="25"/>
        <v>DKS&lt;-&gt;Việt Trì, Phú Thọ</v>
      </c>
    </row>
    <row r="799" spans="1:5" x14ac:dyDescent="0.3">
      <c r="A799" s="122" t="s">
        <v>12315</v>
      </c>
      <c r="B799" s="122" t="s">
        <v>12316</v>
      </c>
      <c r="C799" s="113" t="str">
        <f t="shared" si="24"/>
        <v>VT.TB.DKG</v>
      </c>
      <c r="D799" s="113" t="s">
        <v>14498</v>
      </c>
      <c r="E799" s="113" t="str">
        <f t="shared" si="25"/>
        <v>DKG&lt;-&gt;Vũ Thư, Thái Bình</v>
      </c>
    </row>
    <row r="800" spans="1:5" x14ac:dyDescent="0.3">
      <c r="A800" s="122" t="s">
        <v>12317</v>
      </c>
      <c r="B800" s="122" t="s">
        <v>12318</v>
      </c>
      <c r="C800" s="113" t="str">
        <f t="shared" si="24"/>
        <v>VT.VP.DKG</v>
      </c>
      <c r="D800" s="113" t="s">
        <v>14499</v>
      </c>
      <c r="E800" s="113" t="str">
        <f t="shared" si="25"/>
        <v>DKG&lt;-&gt;Vĩnh Tường, Vĩnh Phúc</v>
      </c>
    </row>
    <row r="801" spans="1:5" x14ac:dyDescent="0.3">
      <c r="A801" s="122" t="s">
        <v>12319</v>
      </c>
      <c r="B801" s="122" t="s">
        <v>12320</v>
      </c>
      <c r="C801" s="113" t="str">
        <f t="shared" si="24"/>
        <v>VT.VP.DKS</v>
      </c>
      <c r="D801" s="113" t="s">
        <v>14500</v>
      </c>
      <c r="E801" s="113" t="str">
        <f t="shared" si="25"/>
        <v>DKS&lt;-&gt;Vĩnh Tường, Vĩnh Phúc</v>
      </c>
    </row>
    <row r="802" spans="1:5" x14ac:dyDescent="0.3">
      <c r="A802" s="122" t="s">
        <v>12321</v>
      </c>
      <c r="B802" s="122" t="s">
        <v>12322</v>
      </c>
      <c r="C802" s="113" t="str">
        <f t="shared" si="24"/>
        <v>VT.VP.THG</v>
      </c>
      <c r="D802" s="113" t="s">
        <v>14501</v>
      </c>
      <c r="E802" s="113" t="str">
        <f t="shared" si="25"/>
        <v>THG&lt;-&gt;Vĩnh Tường, Vĩnh Phúc</v>
      </c>
    </row>
    <row r="803" spans="1:5" x14ac:dyDescent="0.3">
      <c r="A803" s="122" t="s">
        <v>10616</v>
      </c>
      <c r="B803" s="122" t="s">
        <v>12323</v>
      </c>
      <c r="C803" s="113" t="str">
        <f t="shared" si="24"/>
        <v>VT00001</v>
      </c>
      <c r="D803" s="113" t="s">
        <v>12323</v>
      </c>
      <c r="E803" s="113" t="str">
        <f t="shared" si="25"/>
        <v>Cây trồng</v>
      </c>
    </row>
    <row r="804" spans="1:5" x14ac:dyDescent="0.3">
      <c r="A804" s="122" t="s">
        <v>12324</v>
      </c>
      <c r="B804" s="122" t="s">
        <v>12325</v>
      </c>
      <c r="C804" s="113" t="str">
        <f t="shared" si="24"/>
        <v>VT001</v>
      </c>
      <c r="D804" s="113" t="s">
        <v>12325</v>
      </c>
      <c r="E804" s="113" t="str">
        <f t="shared" si="25"/>
        <v>Ắc quy</v>
      </c>
    </row>
    <row r="805" spans="1:5" x14ac:dyDescent="0.3">
      <c r="A805" s="122" t="s">
        <v>12326</v>
      </c>
      <c r="B805" s="122" t="s">
        <v>12327</v>
      </c>
      <c r="C805" s="113" t="str">
        <f t="shared" si="24"/>
        <v>VT002</v>
      </c>
      <c r="D805" s="113" t="s">
        <v>12327</v>
      </c>
      <c r="E805" s="113" t="str">
        <f t="shared" si="25"/>
        <v>Lốp</v>
      </c>
    </row>
    <row r="806" spans="1:5" x14ac:dyDescent="0.3">
      <c r="A806" s="122" t="s">
        <v>12328</v>
      </c>
      <c r="B806" s="122" t="s">
        <v>12329</v>
      </c>
      <c r="C806" s="113" t="str">
        <f t="shared" si="24"/>
        <v>VT003</v>
      </c>
      <c r="D806" s="113" t="s">
        <v>12329</v>
      </c>
      <c r="E806" s="113" t="str">
        <f t="shared" si="25"/>
        <v>Dầu máy</v>
      </c>
    </row>
    <row r="807" spans="1:5" x14ac:dyDescent="0.3">
      <c r="A807" s="122" t="s">
        <v>12330</v>
      </c>
      <c r="B807" s="122" t="s">
        <v>12331</v>
      </c>
      <c r="C807" s="113" t="str">
        <f t="shared" si="24"/>
        <v>VT004</v>
      </c>
      <c r="D807" s="113" t="s">
        <v>12331</v>
      </c>
      <c r="E807" s="113" t="str">
        <f t="shared" si="25"/>
        <v>Dầu thủy lực</v>
      </c>
    </row>
    <row r="808" spans="1:5" x14ac:dyDescent="0.3">
      <c r="A808" s="122" t="s">
        <v>12332</v>
      </c>
      <c r="B808" s="122" t="s">
        <v>12333</v>
      </c>
      <c r="C808" s="113" t="str">
        <f t="shared" si="24"/>
        <v>VT005</v>
      </c>
      <c r="D808" s="113" t="s">
        <v>12333</v>
      </c>
      <c r="E808" s="113" t="str">
        <f t="shared" si="25"/>
        <v>Dầu cầu</v>
      </c>
    </row>
    <row r="809" spans="1:5" x14ac:dyDescent="0.3">
      <c r="A809" s="122" t="s">
        <v>12334</v>
      </c>
      <c r="B809" s="122" t="s">
        <v>12335</v>
      </c>
      <c r="C809" s="113" t="str">
        <f t="shared" si="24"/>
        <v>VT006</v>
      </c>
      <c r="D809" s="113" t="s">
        <v>12335</v>
      </c>
      <c r="E809" s="113" t="str">
        <f t="shared" si="25"/>
        <v>Nước làm mát</v>
      </c>
    </row>
    <row r="810" spans="1:5" x14ac:dyDescent="0.3">
      <c r="A810" s="122" t="s">
        <v>12336</v>
      </c>
      <c r="B810" s="122" t="s">
        <v>12337</v>
      </c>
      <c r="C810" s="113" t="str">
        <f t="shared" si="24"/>
        <v>VT007</v>
      </c>
      <c r="D810" s="113" t="s">
        <v>12337</v>
      </c>
      <c r="E810" s="113" t="str">
        <f t="shared" si="25"/>
        <v>Dầu hộp số</v>
      </c>
    </row>
    <row r="811" spans="1:5" x14ac:dyDescent="0.3">
      <c r="A811" s="122" t="s">
        <v>12338</v>
      </c>
      <c r="B811" s="122" t="s">
        <v>12339</v>
      </c>
      <c r="C811" s="113" t="str">
        <f t="shared" si="24"/>
        <v>VT008</v>
      </c>
      <c r="D811" s="113" t="s">
        <v>12339</v>
      </c>
      <c r="E811" s="113" t="str">
        <f t="shared" si="25"/>
        <v>Dầu 2T</v>
      </c>
    </row>
    <row r="812" spans="1:5" x14ac:dyDescent="0.3">
      <c r="A812" s="122" t="s">
        <v>12340</v>
      </c>
      <c r="B812" s="122" t="s">
        <v>12341</v>
      </c>
      <c r="C812" s="113" t="str">
        <f t="shared" si="24"/>
        <v>VT009</v>
      </c>
      <c r="D812" s="113" t="s">
        <v>12341</v>
      </c>
      <c r="E812" s="113" t="str">
        <f t="shared" si="25"/>
        <v>Săm</v>
      </c>
    </row>
    <row r="813" spans="1:5" x14ac:dyDescent="0.3">
      <c r="A813" s="122" t="s">
        <v>12342</v>
      </c>
      <c r="B813" s="122" t="s">
        <v>12343</v>
      </c>
      <c r="C813" s="113" t="str">
        <f t="shared" si="24"/>
        <v>VT010</v>
      </c>
      <c r="D813" s="113" t="s">
        <v>12343</v>
      </c>
      <c r="E813" s="113" t="str">
        <f t="shared" si="25"/>
        <v>Yếm</v>
      </c>
    </row>
    <row r="814" spans="1:5" x14ac:dyDescent="0.3">
      <c r="A814" s="122" t="s">
        <v>12344</v>
      </c>
      <c r="B814" s="122" t="s">
        <v>12345</v>
      </c>
      <c r="C814" s="113" t="str">
        <f t="shared" si="24"/>
        <v>VT011</v>
      </c>
      <c r="D814" s="113" t="s">
        <v>12345</v>
      </c>
      <c r="E814" s="113" t="str">
        <f t="shared" si="25"/>
        <v>Tăng ống 10</v>
      </c>
    </row>
    <row r="815" spans="1:5" x14ac:dyDescent="0.3">
      <c r="A815" s="122" t="s">
        <v>12346</v>
      </c>
      <c r="B815" s="122" t="s">
        <v>12347</v>
      </c>
      <c r="C815" s="113" t="str">
        <f t="shared" si="24"/>
        <v>VT012</v>
      </c>
      <c r="D815" s="113" t="s">
        <v>12347</v>
      </c>
      <c r="E815" s="113" t="str">
        <f t="shared" si="25"/>
        <v>Tăng vuông 26</v>
      </c>
    </row>
    <row r="816" spans="1:5" x14ac:dyDescent="0.3">
      <c r="A816" s="122" t="s">
        <v>12348</v>
      </c>
      <c r="B816" s="122" t="s">
        <v>12349</v>
      </c>
      <c r="C816" s="113" t="str">
        <f t="shared" si="24"/>
        <v>VT013</v>
      </c>
      <c r="D816" s="113" t="s">
        <v>12349</v>
      </c>
      <c r="E816" s="113" t="str">
        <f t="shared" si="25"/>
        <v>Xích đúc 10</v>
      </c>
    </row>
    <row r="817" spans="1:5" x14ac:dyDescent="0.3">
      <c r="A817" s="122" t="s">
        <v>12350</v>
      </c>
      <c r="B817" s="122" t="s">
        <v>12351</v>
      </c>
      <c r="C817" s="113" t="str">
        <f t="shared" si="24"/>
        <v>VT014</v>
      </c>
      <c r="D817" s="113" t="s">
        <v>12351</v>
      </c>
      <c r="E817" s="113" t="str">
        <f t="shared" si="25"/>
        <v>Xích Cont 12</v>
      </c>
    </row>
    <row r="818" spans="1:5" x14ac:dyDescent="0.3">
      <c r="A818" s="122" t="s">
        <v>12352</v>
      </c>
      <c r="B818" s="122" t="s">
        <v>12353</v>
      </c>
      <c r="C818" s="113" t="str">
        <f t="shared" si="24"/>
        <v>VT015</v>
      </c>
      <c r="D818" s="113" t="s">
        <v>12353</v>
      </c>
      <c r="E818" s="113" t="str">
        <f t="shared" si="25"/>
        <v>Mã lý số 20</v>
      </c>
    </row>
    <row r="819" spans="1:5" x14ac:dyDescent="0.3">
      <c r="A819" s="122" t="s">
        <v>12354</v>
      </c>
      <c r="B819" s="122" t="s">
        <v>12355</v>
      </c>
      <c r="C819" s="113" t="str">
        <f t="shared" si="24"/>
        <v>VT016</v>
      </c>
      <c r="D819" s="113" t="s">
        <v>12355</v>
      </c>
      <c r="E819" s="113" t="str">
        <f t="shared" si="25"/>
        <v>Mỡ bò (bơm mỡ)</v>
      </c>
    </row>
    <row r="820" spans="1:5" x14ac:dyDescent="0.3">
      <c r="A820" s="122" t="s">
        <v>12356</v>
      </c>
      <c r="B820" s="122" t="s">
        <v>12357</v>
      </c>
      <c r="C820" s="113" t="str">
        <f t="shared" si="24"/>
        <v>VT017</v>
      </c>
      <c r="D820" s="113" t="s">
        <v>12357</v>
      </c>
      <c r="E820" s="113" t="str">
        <f t="shared" si="25"/>
        <v>Mỡ chịu nhiệt (bảo dưỡng)</v>
      </c>
    </row>
    <row r="821" spans="1:5" x14ac:dyDescent="0.3">
      <c r="A821" s="122" t="s">
        <v>12358</v>
      </c>
      <c r="B821" s="122" t="s">
        <v>12359</v>
      </c>
      <c r="C821" s="113" t="str">
        <f t="shared" si="24"/>
        <v>VT018</v>
      </c>
      <c r="D821" s="113" t="s">
        <v>12359</v>
      </c>
      <c r="E821" s="113" t="str">
        <f t="shared" si="25"/>
        <v>Móc xích 10</v>
      </c>
    </row>
    <row r="822" spans="1:5" x14ac:dyDescent="0.3">
      <c r="A822" s="122" t="s">
        <v>12360</v>
      </c>
      <c r="B822" s="122" t="s">
        <v>12361</v>
      </c>
      <c r="C822" s="113" t="str">
        <f t="shared" si="24"/>
        <v>VT019</v>
      </c>
      <c r="D822" s="113" t="s">
        <v>12361</v>
      </c>
      <c r="E822" s="113" t="str">
        <f t="shared" si="25"/>
        <v>Nối xích 10</v>
      </c>
    </row>
    <row r="823" spans="1:5" x14ac:dyDescent="0.3">
      <c r="A823" s="122" t="s">
        <v>12362</v>
      </c>
      <c r="B823" s="122" t="s">
        <v>12363</v>
      </c>
      <c r="C823" s="113" t="str">
        <f t="shared" si="24"/>
        <v>VT020</v>
      </c>
      <c r="D823" s="113" t="s">
        <v>12363</v>
      </c>
      <c r="E823" s="113" t="str">
        <f t="shared" si="25"/>
        <v>Gioăng ngáo hơi</v>
      </c>
    </row>
    <row r="824" spans="1:5" x14ac:dyDescent="0.3">
      <c r="A824" s="122" t="s">
        <v>12364</v>
      </c>
      <c r="B824" s="122" t="s">
        <v>12365</v>
      </c>
      <c r="C824" s="113" t="str">
        <f t="shared" si="24"/>
        <v>VT021</v>
      </c>
      <c r="D824" s="113" t="s">
        <v>12365</v>
      </c>
      <c r="E824" s="113" t="str">
        <f t="shared" si="25"/>
        <v>Ngáo hơi</v>
      </c>
    </row>
    <row r="825" spans="1:5" x14ac:dyDescent="0.3">
      <c r="A825" s="122" t="s">
        <v>12366</v>
      </c>
      <c r="B825" s="122" t="s">
        <v>12367</v>
      </c>
      <c r="C825" s="113" t="str">
        <f t="shared" si="24"/>
        <v>VT022</v>
      </c>
      <c r="D825" s="113" t="s">
        <v>12367</v>
      </c>
      <c r="E825" s="113" t="str">
        <f t="shared" si="25"/>
        <v>San tan 12</v>
      </c>
    </row>
    <row r="826" spans="1:5" x14ac:dyDescent="0.3">
      <c r="A826" s="122" t="s">
        <v>12368</v>
      </c>
      <c r="B826" s="122" t="s">
        <v>12369</v>
      </c>
      <c r="C826" s="113" t="str">
        <f t="shared" si="24"/>
        <v>VT023</v>
      </c>
      <c r="D826" s="113" t="s">
        <v>12369</v>
      </c>
      <c r="E826" s="113" t="str">
        <f t="shared" si="25"/>
        <v>Bóng cabin dài faiton (bóng hơi cabin)</v>
      </c>
    </row>
    <row r="827" spans="1:5" x14ac:dyDescent="0.3">
      <c r="A827" s="122" t="s">
        <v>12370</v>
      </c>
      <c r="B827" s="122" t="s">
        <v>12371</v>
      </c>
      <c r="C827" s="113" t="str">
        <f t="shared" si="24"/>
        <v>VT024</v>
      </c>
      <c r="D827" s="113" t="s">
        <v>12371</v>
      </c>
      <c r="E827" s="113" t="str">
        <f t="shared" si="25"/>
        <v>Lọc 51649</v>
      </c>
    </row>
    <row r="828" spans="1:5" x14ac:dyDescent="0.3">
      <c r="A828" s="122" t="s">
        <v>12372</v>
      </c>
      <c r="B828" s="122" t="s">
        <v>12373</v>
      </c>
      <c r="C828" s="113" t="str">
        <f t="shared" si="24"/>
        <v>VT025</v>
      </c>
      <c r="D828" s="113" t="s">
        <v>12373</v>
      </c>
      <c r="E828" s="113" t="str">
        <f t="shared" si="25"/>
        <v>Lọc 177047</v>
      </c>
    </row>
    <row r="829" spans="1:5" x14ac:dyDescent="0.3">
      <c r="A829" s="122" t="s">
        <v>12374</v>
      </c>
      <c r="B829" s="122" t="s">
        <v>12375</v>
      </c>
      <c r="C829" s="113" t="str">
        <f t="shared" si="24"/>
        <v>VT026</v>
      </c>
      <c r="D829" s="113" t="s">
        <v>12375</v>
      </c>
      <c r="E829" s="113" t="str">
        <f t="shared" si="25"/>
        <v>Lọc 055</v>
      </c>
    </row>
    <row r="830" spans="1:5" x14ac:dyDescent="0.3">
      <c r="A830" s="122" t="s">
        <v>12376</v>
      </c>
      <c r="B830" s="122" t="s">
        <v>12377</v>
      </c>
      <c r="C830" s="113" t="str">
        <f t="shared" si="24"/>
        <v>VT027</v>
      </c>
      <c r="D830" s="113" t="s">
        <v>12377</v>
      </c>
      <c r="E830" s="113" t="str">
        <f t="shared" si="25"/>
        <v>Côn 39 đen CH</v>
      </c>
    </row>
    <row r="831" spans="1:5" x14ac:dyDescent="0.3">
      <c r="A831" s="122" t="s">
        <v>12378</v>
      </c>
      <c r="B831" s="122" t="s">
        <v>12379</v>
      </c>
      <c r="C831" s="113" t="str">
        <f t="shared" si="24"/>
        <v>VT028</v>
      </c>
      <c r="D831" s="113" t="s">
        <v>12379</v>
      </c>
      <c r="E831" s="113" t="str">
        <f t="shared" si="25"/>
        <v>Lọc Diezel TQ</v>
      </c>
    </row>
    <row r="832" spans="1:5" x14ac:dyDescent="0.3">
      <c r="A832" s="122" t="s">
        <v>12380</v>
      </c>
      <c r="B832" s="122" t="s">
        <v>12381</v>
      </c>
      <c r="C832" s="113" t="str">
        <f t="shared" si="24"/>
        <v>VT030</v>
      </c>
      <c r="D832" s="113" t="s">
        <v>12381</v>
      </c>
      <c r="E832" s="113" t="str">
        <f t="shared" si="25"/>
        <v>Lọc nhớt MF 2010BD</v>
      </c>
    </row>
    <row r="833" spans="1:5" x14ac:dyDescent="0.3">
      <c r="A833" s="122" t="s">
        <v>12382</v>
      </c>
      <c r="B833" s="122" t="s">
        <v>12383</v>
      </c>
      <c r="C833" s="113" t="str">
        <f t="shared" si="24"/>
        <v>VT039</v>
      </c>
      <c r="D833" s="113" t="s">
        <v>12383</v>
      </c>
      <c r="E833" s="113" t="str">
        <f t="shared" si="25"/>
        <v>Lọc nhớt MF 208BD</v>
      </c>
    </row>
    <row r="834" spans="1:5" x14ac:dyDescent="0.3">
      <c r="A834" s="122" t="s">
        <v>12384</v>
      </c>
      <c r="B834" s="122" t="s">
        <v>12385</v>
      </c>
      <c r="C834" s="113" t="str">
        <f t="shared" si="24"/>
        <v>VT040</v>
      </c>
      <c r="D834" s="113" t="s">
        <v>12385</v>
      </c>
      <c r="E834" s="113" t="str">
        <f t="shared" si="25"/>
        <v>Lốc kê</v>
      </c>
    </row>
    <row r="835" spans="1:5" x14ac:dyDescent="0.3">
      <c r="A835" s="122" t="s">
        <v>12386</v>
      </c>
      <c r="B835" s="122" t="s">
        <v>12387</v>
      </c>
      <c r="C835" s="113" t="str">
        <f t="shared" si="24"/>
        <v>VT041</v>
      </c>
      <c r="D835" s="113" t="s">
        <v>12387</v>
      </c>
      <c r="E835" s="113" t="str">
        <f t="shared" si="25"/>
        <v>Lọc nhớt S60 FF</v>
      </c>
    </row>
    <row r="836" spans="1:5" x14ac:dyDescent="0.3">
      <c r="A836" s="122" t="s">
        <v>12388</v>
      </c>
      <c r="B836" s="122" t="s">
        <v>12389</v>
      </c>
      <c r="C836" s="113" t="str">
        <f t="shared" ref="C836:C899" si="26">+A836</f>
        <v>VT042</v>
      </c>
      <c r="D836" s="113" t="s">
        <v>12389</v>
      </c>
      <c r="E836" s="113" t="str">
        <f t="shared" ref="E836:E899" si="27">B836</f>
        <v>Ắc nhíp WC</v>
      </c>
    </row>
    <row r="837" spans="1:5" x14ac:dyDescent="0.3">
      <c r="A837" s="122" t="s">
        <v>12390</v>
      </c>
      <c r="B837" s="122" t="s">
        <v>12391</v>
      </c>
      <c r="C837" s="113" t="str">
        <f t="shared" si="26"/>
        <v>VT043</v>
      </c>
      <c r="D837" s="113" t="s">
        <v>12391</v>
      </c>
      <c r="E837" s="113" t="str">
        <f t="shared" si="27"/>
        <v>Cút nước xanh xịn</v>
      </c>
    </row>
    <row r="838" spans="1:5" x14ac:dyDescent="0.3">
      <c r="A838" s="122" t="s">
        <v>12392</v>
      </c>
      <c r="B838" s="122" t="s">
        <v>12393</v>
      </c>
      <c r="C838" s="113" t="str">
        <f t="shared" si="26"/>
        <v>VT052</v>
      </c>
      <c r="D838" s="113" t="s">
        <v>12393</v>
      </c>
      <c r="E838" s="113" t="str">
        <f t="shared" si="27"/>
        <v>Dầu hộp số (Texa1888-xe nâng)</v>
      </c>
    </row>
    <row r="839" spans="1:5" x14ac:dyDescent="0.3">
      <c r="A839" s="122" t="s">
        <v>12394</v>
      </c>
      <c r="B839" s="122" t="s">
        <v>12395</v>
      </c>
      <c r="C839" s="113" t="str">
        <f t="shared" si="26"/>
        <v>VT053</v>
      </c>
      <c r="D839" s="113" t="s">
        <v>12395</v>
      </c>
      <c r="E839" s="113" t="str">
        <f t="shared" si="27"/>
        <v>Săm+yếm 1100-20 ĐL</v>
      </c>
    </row>
    <row r="840" spans="1:5" x14ac:dyDescent="0.3">
      <c r="A840" s="122" t="s">
        <v>12396</v>
      </c>
      <c r="B840" s="122" t="s">
        <v>12397</v>
      </c>
      <c r="C840" s="113" t="str">
        <f t="shared" si="26"/>
        <v>VT054</v>
      </c>
      <c r="D840" s="113" t="s">
        <v>12397</v>
      </c>
      <c r="E840" s="113" t="str">
        <f t="shared" si="27"/>
        <v>Quang nhíp móc 38</v>
      </c>
    </row>
    <row r="841" spans="1:5" x14ac:dyDescent="0.3">
      <c r="A841" s="122" t="s">
        <v>12398</v>
      </c>
      <c r="B841" s="122" t="s">
        <v>12399</v>
      </c>
      <c r="C841" s="113" t="str">
        <f t="shared" si="26"/>
        <v>VT055</v>
      </c>
      <c r="D841" s="113" t="s">
        <v>12399</v>
      </c>
      <c r="E841" s="113" t="str">
        <f t="shared" si="27"/>
        <v>Lọc 3620</v>
      </c>
    </row>
    <row r="842" spans="1:5" x14ac:dyDescent="0.3">
      <c r="A842" s="122" t="s">
        <v>12400</v>
      </c>
      <c r="B842" s="122" t="s">
        <v>12401</v>
      </c>
      <c r="C842" s="113" t="str">
        <f t="shared" si="26"/>
        <v>VT056</v>
      </c>
      <c r="D842" s="113" t="s">
        <v>12401</v>
      </c>
      <c r="E842" s="113" t="str">
        <f t="shared" si="27"/>
        <v>Lọc nhớt 1 cam 7154BD</v>
      </c>
    </row>
    <row r="843" spans="1:5" x14ac:dyDescent="0.3">
      <c r="A843" s="122" t="s">
        <v>12402</v>
      </c>
      <c r="B843" s="122" t="s">
        <v>12403</v>
      </c>
      <c r="C843" s="113" t="str">
        <f t="shared" si="26"/>
        <v>VT057</v>
      </c>
      <c r="D843" s="113" t="s">
        <v>12403</v>
      </c>
      <c r="E843" s="113" t="str">
        <f t="shared" si="27"/>
        <v>Phớt mooc 6 lỗ</v>
      </c>
    </row>
    <row r="844" spans="1:5" x14ac:dyDescent="0.3">
      <c r="A844" s="122" t="s">
        <v>12404</v>
      </c>
      <c r="B844" s="122" t="s">
        <v>12405</v>
      </c>
      <c r="C844" s="113" t="str">
        <f t="shared" si="26"/>
        <v>VT058</v>
      </c>
      <c r="D844" s="113" t="s">
        <v>12405</v>
      </c>
      <c r="E844" s="113" t="str">
        <f t="shared" si="27"/>
        <v>Bóng hơi đế nhôm WC</v>
      </c>
    </row>
    <row r="845" spans="1:5" x14ac:dyDescent="0.3">
      <c r="A845" s="122" t="s">
        <v>12406</v>
      </c>
      <c r="B845" s="122" t="s">
        <v>12407</v>
      </c>
      <c r="C845" s="113" t="str">
        <f t="shared" si="26"/>
        <v>VT059</v>
      </c>
      <c r="D845" s="113" t="s">
        <v>12407</v>
      </c>
      <c r="E845" s="113" t="str">
        <f t="shared" si="27"/>
        <v>Lọc nhớt DD 15 BD</v>
      </c>
    </row>
    <row r="846" spans="1:5" x14ac:dyDescent="0.3">
      <c r="A846" s="122" t="s">
        <v>12408</v>
      </c>
      <c r="B846" s="122" t="s">
        <v>12409</v>
      </c>
      <c r="C846" s="113" t="str">
        <f t="shared" si="26"/>
        <v>VT060</v>
      </c>
      <c r="D846" s="113" t="s">
        <v>14502</v>
      </c>
      <c r="E846" s="113" t="str">
        <f t="shared" si="27"/>
        <v>Sắt làm thùng đồ,bảo hiểm mooc</v>
      </c>
    </row>
    <row r="847" spans="1:5" x14ac:dyDescent="0.3">
      <c r="A847" s="122" t="s">
        <v>12410</v>
      </c>
      <c r="B847" s="122" t="s">
        <v>12411</v>
      </c>
      <c r="C847" s="113" t="str">
        <f t="shared" si="26"/>
        <v>VT061</v>
      </c>
      <c r="D847" s="113" t="s">
        <v>12411</v>
      </c>
      <c r="E847" s="113" t="str">
        <f t="shared" si="27"/>
        <v>Lọc nhớt 375</v>
      </c>
    </row>
    <row r="848" spans="1:5" x14ac:dyDescent="0.3">
      <c r="A848" s="122" t="s">
        <v>12412</v>
      </c>
      <c r="B848" s="122" t="s">
        <v>12413</v>
      </c>
      <c r="C848" s="113" t="str">
        <f t="shared" si="26"/>
        <v>VT068</v>
      </c>
      <c r="D848" s="113" t="s">
        <v>12413</v>
      </c>
      <c r="E848" s="113" t="str">
        <f t="shared" si="27"/>
        <v>Lọc nhớt 2 cam đô</v>
      </c>
    </row>
    <row r="849" spans="1:5" x14ac:dyDescent="0.3">
      <c r="A849" s="122" t="s">
        <v>12414</v>
      </c>
      <c r="B849" s="122" t="s">
        <v>12415</v>
      </c>
      <c r="C849" s="113" t="str">
        <f t="shared" si="26"/>
        <v>VT069</v>
      </c>
      <c r="D849" s="113" t="s">
        <v>12415</v>
      </c>
      <c r="E849" s="113" t="str">
        <f t="shared" si="27"/>
        <v>Xích 14 đúc</v>
      </c>
    </row>
    <row r="850" spans="1:5" x14ac:dyDescent="0.3">
      <c r="A850" s="122" t="s">
        <v>12416</v>
      </c>
      <c r="B850" s="122" t="s">
        <v>12417</v>
      </c>
      <c r="C850" s="113" t="str">
        <f t="shared" si="26"/>
        <v>VT070</v>
      </c>
      <c r="D850" s="113" t="s">
        <v>12417</v>
      </c>
      <c r="E850" s="113" t="str">
        <f t="shared" si="27"/>
        <v>Móc xích 14</v>
      </c>
    </row>
    <row r="851" spans="1:5" x14ac:dyDescent="0.3">
      <c r="A851" s="122" t="s">
        <v>12418</v>
      </c>
      <c r="B851" s="122" t="s">
        <v>12419</v>
      </c>
      <c r="C851" s="113" t="str">
        <f t="shared" si="26"/>
        <v>VT071</v>
      </c>
      <c r="D851" s="113" t="s">
        <v>12419</v>
      </c>
      <c r="E851" s="113" t="str">
        <f t="shared" si="27"/>
        <v>Lọc diesel 2 cam Đô</v>
      </c>
    </row>
    <row r="852" spans="1:5" x14ac:dyDescent="0.3">
      <c r="A852" s="122" t="s">
        <v>12420</v>
      </c>
      <c r="B852" s="122" t="s">
        <v>12421</v>
      </c>
      <c r="C852" s="113" t="str">
        <f t="shared" si="26"/>
        <v>VT072</v>
      </c>
      <c r="D852" s="113" t="s">
        <v>14503</v>
      </c>
      <c r="E852" s="113" t="str">
        <f t="shared" si="27"/>
        <v>Lốp 26.5_25 Deestone Thái (xe nâng)</v>
      </c>
    </row>
    <row r="853" spans="1:5" x14ac:dyDescent="0.3">
      <c r="A853" s="122" t="s">
        <v>12422</v>
      </c>
      <c r="B853" s="122" t="s">
        <v>12423</v>
      </c>
      <c r="C853" s="113" t="str">
        <f t="shared" si="26"/>
        <v>VT073</v>
      </c>
      <c r="D853" s="113" t="s">
        <v>12423</v>
      </c>
      <c r="E853" s="113" t="str">
        <f t="shared" si="27"/>
        <v>Bơm nước MF</v>
      </c>
    </row>
    <row r="854" spans="1:5" x14ac:dyDescent="0.3">
      <c r="A854" s="122" t="s">
        <v>12424</v>
      </c>
      <c r="B854" s="122" t="s">
        <v>12425</v>
      </c>
      <c r="C854" s="113" t="str">
        <f t="shared" si="26"/>
        <v>VT074</v>
      </c>
      <c r="D854" s="113" t="s">
        <v>12425</v>
      </c>
      <c r="E854" s="113" t="str">
        <f t="shared" si="27"/>
        <v>Lọc 559000</v>
      </c>
    </row>
    <row r="855" spans="1:5" x14ac:dyDescent="0.3">
      <c r="A855" s="122" t="s">
        <v>12426</v>
      </c>
      <c r="B855" s="122" t="s">
        <v>12427</v>
      </c>
      <c r="C855" s="113" t="str">
        <f t="shared" si="26"/>
        <v>VT075</v>
      </c>
      <c r="D855" s="113" t="s">
        <v>12427</v>
      </c>
      <c r="E855" s="113" t="str">
        <f t="shared" si="27"/>
        <v>Lọc nhớt CNC</v>
      </c>
    </row>
    <row r="856" spans="1:5" x14ac:dyDescent="0.3">
      <c r="A856" s="122" t="s">
        <v>12428</v>
      </c>
      <c r="B856" s="122" t="s">
        <v>12429</v>
      </c>
      <c r="C856" s="113" t="str">
        <f t="shared" si="26"/>
        <v>VT076</v>
      </c>
      <c r="D856" s="113" t="s">
        <v>12429</v>
      </c>
      <c r="E856" s="113" t="str">
        <f t="shared" si="27"/>
        <v>Lọc M14 3639</v>
      </c>
    </row>
    <row r="857" spans="1:5" x14ac:dyDescent="0.3">
      <c r="A857" s="122" t="s">
        <v>12430</v>
      </c>
      <c r="B857" s="122" t="s">
        <v>12431</v>
      </c>
      <c r="C857" s="113" t="str">
        <f t="shared" si="26"/>
        <v>VT077</v>
      </c>
      <c r="D857" s="113" t="s">
        <v>12431</v>
      </c>
      <c r="E857" s="113" t="str">
        <f t="shared" si="27"/>
        <v>Bạt da</v>
      </c>
    </row>
    <row r="858" spans="1:5" x14ac:dyDescent="0.3">
      <c r="A858" s="122" t="s">
        <v>12432</v>
      </c>
      <c r="B858" s="122" t="s">
        <v>12433</v>
      </c>
      <c r="C858" s="113" t="str">
        <f t="shared" si="26"/>
        <v>VT078</v>
      </c>
      <c r="D858" s="113" t="s">
        <v>12433</v>
      </c>
      <c r="E858" s="113" t="str">
        <f t="shared" si="27"/>
        <v>Bạt dứa</v>
      </c>
    </row>
    <row r="859" spans="1:5" x14ac:dyDescent="0.3">
      <c r="A859" s="122" t="s">
        <v>12434</v>
      </c>
      <c r="B859" s="122" t="s">
        <v>12435</v>
      </c>
      <c r="C859" s="113" t="str">
        <f t="shared" si="26"/>
        <v>VT079</v>
      </c>
      <c r="D859" s="113" t="s">
        <v>12435</v>
      </c>
      <c r="E859" s="113" t="str">
        <f t="shared" si="27"/>
        <v>Tăng bạt</v>
      </c>
    </row>
    <row r="860" spans="1:5" x14ac:dyDescent="0.3">
      <c r="A860" s="122" t="s">
        <v>12436</v>
      </c>
      <c r="B860" s="122" t="s">
        <v>12437</v>
      </c>
      <c r="C860" s="113" t="str">
        <f t="shared" si="26"/>
        <v>VT080</v>
      </c>
      <c r="D860" s="113" t="s">
        <v>12437</v>
      </c>
      <c r="E860" s="113" t="str">
        <f t="shared" si="27"/>
        <v>Dây chằng bạt</v>
      </c>
    </row>
    <row r="861" spans="1:5" x14ac:dyDescent="0.3">
      <c r="A861" s="122" t="s">
        <v>12438</v>
      </c>
      <c r="B861" s="122" t="s">
        <v>12439</v>
      </c>
      <c r="C861" s="113" t="str">
        <f t="shared" si="26"/>
        <v>VT081</v>
      </c>
      <c r="D861" s="113" t="s">
        <v>12439</v>
      </c>
      <c r="E861" s="113" t="str">
        <f t="shared" si="27"/>
        <v>Tăng giật 10</v>
      </c>
    </row>
    <row r="862" spans="1:5" x14ac:dyDescent="0.3">
      <c r="A862" s="122" t="s">
        <v>12440</v>
      </c>
      <c r="B862" s="122" t="s">
        <v>12441</v>
      </c>
      <c r="C862" s="113" t="str">
        <f t="shared" si="26"/>
        <v>VT082</v>
      </c>
      <c r="D862" s="113" t="s">
        <v>14504</v>
      </c>
      <c r="E862" s="113" t="str">
        <f t="shared" si="27"/>
        <v>Lốp 26.5-25 28PR VEM 99</v>
      </c>
    </row>
    <row r="863" spans="1:5" x14ac:dyDescent="0.3">
      <c r="A863" s="122" t="s">
        <v>12442</v>
      </c>
      <c r="B863" s="122" t="s">
        <v>12443</v>
      </c>
      <c r="C863" s="113" t="str">
        <f t="shared" si="26"/>
        <v>VT085</v>
      </c>
      <c r="D863" s="113" t="s">
        <v>12443</v>
      </c>
      <c r="E863" s="113" t="str">
        <f t="shared" si="27"/>
        <v>tăng xích</v>
      </c>
    </row>
    <row r="864" spans="1:5" x14ac:dyDescent="0.3">
      <c r="A864" s="122" t="s">
        <v>12444</v>
      </c>
      <c r="B864" s="122" t="s">
        <v>12445</v>
      </c>
      <c r="C864" s="113" t="str">
        <f t="shared" si="26"/>
        <v>VT086</v>
      </c>
      <c r="D864" s="113" t="s">
        <v>12445</v>
      </c>
      <c r="E864" s="113" t="str">
        <f t="shared" si="27"/>
        <v>Cọc dài để chở ống</v>
      </c>
    </row>
    <row r="865" spans="1:5" x14ac:dyDescent="0.3">
      <c r="A865" s="122" t="s">
        <v>12446</v>
      </c>
      <c r="B865" s="122" t="s">
        <v>12447</v>
      </c>
      <c r="C865" s="113" t="str">
        <f t="shared" si="26"/>
        <v>VT108</v>
      </c>
      <c r="D865" s="113" t="s">
        <v>12447</v>
      </c>
      <c r="E865" s="113" t="str">
        <f t="shared" si="27"/>
        <v>Gạch</v>
      </c>
    </row>
    <row r="866" spans="1:5" x14ac:dyDescent="0.3">
      <c r="A866" s="122" t="s">
        <v>12448</v>
      </c>
      <c r="B866" s="122" t="s">
        <v>12449</v>
      </c>
      <c r="C866" s="113" t="str">
        <f t="shared" si="26"/>
        <v>VT109</v>
      </c>
      <c r="D866" s="113" t="s">
        <v>12449</v>
      </c>
      <c r="E866" s="113" t="str">
        <f t="shared" si="27"/>
        <v>Cát</v>
      </c>
    </row>
    <row r="867" spans="1:5" x14ac:dyDescent="0.3">
      <c r="A867" s="122" t="s">
        <v>12450</v>
      </c>
      <c r="B867" s="122" t="s">
        <v>12451</v>
      </c>
      <c r="C867" s="113" t="str">
        <f t="shared" si="26"/>
        <v>VT110</v>
      </c>
      <c r="D867" s="113" t="s">
        <v>12451</v>
      </c>
      <c r="E867" s="113" t="str">
        <f t="shared" si="27"/>
        <v>Sắt thép</v>
      </c>
    </row>
    <row r="868" spans="1:5" x14ac:dyDescent="0.3">
      <c r="A868" s="122" t="s">
        <v>12452</v>
      </c>
      <c r="B868" s="122" t="s">
        <v>12453</v>
      </c>
      <c r="C868" s="113" t="str">
        <f t="shared" si="26"/>
        <v>VT111</v>
      </c>
      <c r="D868" s="113" t="s">
        <v>12453</v>
      </c>
      <c r="E868" s="113" t="str">
        <f t="shared" si="27"/>
        <v>Xi măng</v>
      </c>
    </row>
    <row r="869" spans="1:5" x14ac:dyDescent="0.3">
      <c r="A869" s="122" t="s">
        <v>12454</v>
      </c>
      <c r="B869" s="122" t="s">
        <v>12455</v>
      </c>
      <c r="C869" s="113" t="str">
        <f t="shared" si="26"/>
        <v>VT113</v>
      </c>
      <c r="D869" s="113" t="s">
        <v>12455</v>
      </c>
      <c r="E869" s="113" t="str">
        <f t="shared" si="27"/>
        <v>Vật tư lẻ</v>
      </c>
    </row>
    <row r="870" spans="1:5" x14ac:dyDescent="0.3">
      <c r="A870" s="122" t="s">
        <v>12456</v>
      </c>
      <c r="B870" s="122" t="s">
        <v>12457</v>
      </c>
      <c r="C870" s="113" t="str">
        <f t="shared" si="26"/>
        <v>VT114</v>
      </c>
      <c r="D870" s="113" t="s">
        <v>12457</v>
      </c>
      <c r="E870" s="113" t="str">
        <f t="shared" si="27"/>
        <v>Thiết bị nước</v>
      </c>
    </row>
    <row r="871" spans="1:5" x14ac:dyDescent="0.3">
      <c r="A871" s="122" t="s">
        <v>12458</v>
      </c>
      <c r="B871" s="122" t="s">
        <v>12459</v>
      </c>
      <c r="C871" s="113" t="str">
        <f t="shared" si="26"/>
        <v>VT115</v>
      </c>
      <c r="D871" s="113" t="s">
        <v>12459</v>
      </c>
      <c r="E871" s="113" t="str">
        <f t="shared" si="27"/>
        <v>thiết bị điện</v>
      </c>
    </row>
    <row r="872" spans="1:5" x14ac:dyDescent="0.3">
      <c r="A872" s="122" t="s">
        <v>12460</v>
      </c>
      <c r="B872" s="122" t="s">
        <v>12461</v>
      </c>
      <c r="C872" s="113" t="str">
        <f t="shared" si="26"/>
        <v>VT18</v>
      </c>
      <c r="D872" s="113" t="s">
        <v>12461</v>
      </c>
      <c r="E872" s="113" t="str">
        <f t="shared" si="27"/>
        <v>Ắc dài+ ngắn</v>
      </c>
    </row>
    <row r="873" spans="1:5" x14ac:dyDescent="0.3">
      <c r="A873" s="122" t="s">
        <v>12462</v>
      </c>
      <c r="B873" s="122" t="s">
        <v>12463</v>
      </c>
      <c r="C873" s="113" t="str">
        <f t="shared" si="26"/>
        <v>VT19</v>
      </c>
      <c r="D873" s="113" t="s">
        <v>12463</v>
      </c>
      <c r="E873" s="113" t="str">
        <f t="shared" si="27"/>
        <v>Bạc 65</v>
      </c>
    </row>
    <row r="874" spans="1:5" x14ac:dyDescent="0.3">
      <c r="A874" s="122" t="s">
        <v>12464</v>
      </c>
      <c r="B874" s="122" t="s">
        <v>12465</v>
      </c>
      <c r="C874" s="113" t="str">
        <f t="shared" si="26"/>
        <v>VT20</v>
      </c>
      <c r="D874" s="113" t="s">
        <v>14505</v>
      </c>
      <c r="E874" s="113" t="str">
        <f t="shared" si="27"/>
        <v>Bạc 66.5</v>
      </c>
    </row>
    <row r="875" spans="1:5" x14ac:dyDescent="0.3">
      <c r="A875" s="122" t="s">
        <v>12466</v>
      </c>
      <c r="B875" s="122" t="s">
        <v>12467</v>
      </c>
      <c r="C875" s="113" t="str">
        <f t="shared" si="26"/>
        <v>VT21</v>
      </c>
      <c r="D875" s="113" t="s">
        <v>12467</v>
      </c>
      <c r="E875" s="113" t="str">
        <f t="shared" si="27"/>
        <v>Bát phanh</v>
      </c>
    </row>
    <row r="876" spans="1:5" x14ac:dyDescent="0.3">
      <c r="A876" s="122" t="s">
        <v>12468</v>
      </c>
      <c r="B876" s="122" t="s">
        <v>12469</v>
      </c>
      <c r="C876" s="113" t="str">
        <f t="shared" si="26"/>
        <v>VT22</v>
      </c>
      <c r="D876" s="113" t="s">
        <v>12469</v>
      </c>
      <c r="E876" s="113" t="str">
        <f t="shared" si="27"/>
        <v>Bi 445 XF</v>
      </c>
    </row>
    <row r="877" spans="1:5" x14ac:dyDescent="0.3">
      <c r="A877" s="122" t="s">
        <v>12470</v>
      </c>
      <c r="B877" s="122" t="s">
        <v>12471</v>
      </c>
      <c r="C877" s="113" t="str">
        <f t="shared" si="26"/>
        <v>VT23</v>
      </c>
      <c r="D877" s="113" t="s">
        <v>12471</v>
      </c>
      <c r="E877" s="113" t="str">
        <f t="shared" si="27"/>
        <v>Cle 14</v>
      </c>
    </row>
    <row r="878" spans="1:5" x14ac:dyDescent="0.3">
      <c r="A878" s="122" t="s">
        <v>12472</v>
      </c>
      <c r="B878" s="122" t="s">
        <v>12473</v>
      </c>
      <c r="C878" s="113" t="str">
        <f t="shared" si="26"/>
        <v>VT24</v>
      </c>
      <c r="D878" s="113" t="s">
        <v>12473</v>
      </c>
      <c r="E878" s="113" t="str">
        <f t="shared" si="27"/>
        <v>Cle 21</v>
      </c>
    </row>
    <row r="879" spans="1:5" x14ac:dyDescent="0.3">
      <c r="A879" s="122" t="s">
        <v>12474</v>
      </c>
      <c r="B879" s="122" t="s">
        <v>12475</v>
      </c>
      <c r="C879" s="113" t="str">
        <f t="shared" si="26"/>
        <v>VT25</v>
      </c>
      <c r="D879" s="113" t="s">
        <v>12475</v>
      </c>
      <c r="E879" s="113" t="str">
        <f t="shared" si="27"/>
        <v>Dầu trợ lái</v>
      </c>
    </row>
    <row r="880" spans="1:5" x14ac:dyDescent="0.3">
      <c r="A880" s="122" t="s">
        <v>12476</v>
      </c>
      <c r="B880" s="122" t="s">
        <v>12477</v>
      </c>
      <c r="C880" s="113" t="str">
        <f t="shared" si="26"/>
        <v>VT26</v>
      </c>
      <c r="D880" s="113" t="s">
        <v>12477</v>
      </c>
      <c r="E880" s="113" t="str">
        <f t="shared" si="27"/>
        <v>Giảm sóc trước maxfocer meritor</v>
      </c>
    </row>
    <row r="881" spans="1:5" x14ac:dyDescent="0.3">
      <c r="A881" s="122" t="s">
        <v>12478</v>
      </c>
      <c r="B881" s="122" t="s">
        <v>12479</v>
      </c>
      <c r="C881" s="113" t="str">
        <f t="shared" si="26"/>
        <v>VT27</v>
      </c>
      <c r="D881" s="113" t="s">
        <v>12479</v>
      </c>
      <c r="E881" s="113" t="str">
        <f t="shared" si="27"/>
        <v>Keo xám</v>
      </c>
    </row>
    <row r="882" spans="1:5" x14ac:dyDescent="0.3">
      <c r="A882" s="122" t="s">
        <v>12480</v>
      </c>
      <c r="B882" s="122" t="s">
        <v>12481</v>
      </c>
      <c r="C882" s="113" t="str">
        <f t="shared" si="26"/>
        <v>VT28</v>
      </c>
      <c r="D882" s="113" t="s">
        <v>12481</v>
      </c>
      <c r="E882" s="113" t="str">
        <f t="shared" si="27"/>
        <v>Lạt rút to</v>
      </c>
    </row>
    <row r="883" spans="1:5" x14ac:dyDescent="0.3">
      <c r="A883" s="122" t="s">
        <v>12482</v>
      </c>
      <c r="B883" s="122" t="s">
        <v>12483</v>
      </c>
      <c r="C883" s="113" t="str">
        <f t="shared" si="26"/>
        <v>VT29</v>
      </c>
      <c r="D883" s="113" t="s">
        <v>12483</v>
      </c>
      <c r="E883" s="113" t="str">
        <f t="shared" si="27"/>
        <v>Lò so hồi san tích</v>
      </c>
    </row>
    <row r="884" spans="1:5" x14ac:dyDescent="0.3">
      <c r="A884" s="122" t="s">
        <v>12484</v>
      </c>
      <c r="B884" s="122" t="s">
        <v>12485</v>
      </c>
      <c r="C884" s="113" t="str">
        <f t="shared" si="26"/>
        <v>VT30</v>
      </c>
      <c r="D884" s="113" t="s">
        <v>12485</v>
      </c>
      <c r="E884" s="113" t="str">
        <f t="shared" si="27"/>
        <v>Lò so phanh nhỏ</v>
      </c>
    </row>
    <row r="885" spans="1:5" x14ac:dyDescent="0.3">
      <c r="A885" s="122" t="s">
        <v>12486</v>
      </c>
      <c r="B885" s="122" t="s">
        <v>12487</v>
      </c>
      <c r="C885" s="113" t="str">
        <f t="shared" si="26"/>
        <v>VT31</v>
      </c>
      <c r="D885" s="113" t="s">
        <v>12487</v>
      </c>
      <c r="E885" s="113" t="str">
        <f t="shared" si="27"/>
        <v>Lò so phanh to</v>
      </c>
    </row>
    <row r="886" spans="1:5" x14ac:dyDescent="0.3">
      <c r="A886" s="122" t="s">
        <v>12488</v>
      </c>
      <c r="B886" s="122" t="s">
        <v>12489</v>
      </c>
      <c r="C886" s="113" t="str">
        <f t="shared" si="26"/>
        <v>VT32</v>
      </c>
      <c r="D886" s="113" t="s">
        <v>12489</v>
      </c>
      <c r="E886" s="113" t="str">
        <f t="shared" si="27"/>
        <v>Lọc 440</v>
      </c>
    </row>
    <row r="887" spans="1:5" x14ac:dyDescent="0.3">
      <c r="A887" s="122" t="s">
        <v>12490</v>
      </c>
      <c r="B887" s="122" t="s">
        <v>12491</v>
      </c>
      <c r="C887" s="113" t="str">
        <f t="shared" si="26"/>
        <v>VT33</v>
      </c>
      <c r="D887" s="113" t="s">
        <v>12491</v>
      </c>
      <c r="E887" s="113" t="str">
        <f t="shared" si="27"/>
        <v>Lọc 552100</v>
      </c>
    </row>
    <row r="888" spans="1:5" x14ac:dyDescent="0.3">
      <c r="A888" s="122" t="s">
        <v>12492</v>
      </c>
      <c r="B888" s="122" t="s">
        <v>12493</v>
      </c>
      <c r="C888" s="113" t="str">
        <f t="shared" si="26"/>
        <v>VT34</v>
      </c>
      <c r="D888" s="113" t="s">
        <v>12493</v>
      </c>
      <c r="E888" s="113" t="str">
        <f t="shared" si="27"/>
        <v>Lọc 9080 BD</v>
      </c>
    </row>
    <row r="889" spans="1:5" x14ac:dyDescent="0.3">
      <c r="A889" s="122" t="s">
        <v>12494</v>
      </c>
      <c r="B889" s="122" t="s">
        <v>12495</v>
      </c>
      <c r="C889" s="113" t="str">
        <f t="shared" si="26"/>
        <v>VT35</v>
      </c>
      <c r="D889" s="113" t="s">
        <v>12495</v>
      </c>
      <c r="E889" s="113" t="str">
        <f t="shared" si="27"/>
        <v>Lọc CC 1013</v>
      </c>
    </row>
    <row r="890" spans="1:5" x14ac:dyDescent="0.3">
      <c r="A890" s="122" t="s">
        <v>12496</v>
      </c>
      <c r="B890" s="122" t="s">
        <v>12497</v>
      </c>
      <c r="C890" s="113" t="str">
        <f t="shared" si="26"/>
        <v>VT36</v>
      </c>
      <c r="D890" s="113" t="s">
        <v>12497</v>
      </c>
      <c r="E890" s="113" t="str">
        <f t="shared" si="27"/>
        <v>Lọc diezen 33450 WIX</v>
      </c>
    </row>
    <row r="891" spans="1:5" x14ac:dyDescent="0.3">
      <c r="A891" s="122" t="s">
        <v>12498</v>
      </c>
      <c r="B891" s="122" t="s">
        <v>12499</v>
      </c>
      <c r="C891" s="113" t="str">
        <f t="shared" si="26"/>
        <v>VT37</v>
      </c>
      <c r="D891" s="113" t="s">
        <v>12499</v>
      </c>
      <c r="E891" s="113" t="str">
        <f t="shared" si="27"/>
        <v>Lọc LF 14000 fleetgat</v>
      </c>
    </row>
    <row r="892" spans="1:5" x14ac:dyDescent="0.3">
      <c r="A892" s="122" t="s">
        <v>12500</v>
      </c>
      <c r="B892" s="122" t="s">
        <v>12501</v>
      </c>
      <c r="C892" s="113" t="str">
        <f t="shared" si="26"/>
        <v>VT38</v>
      </c>
      <c r="D892" s="113" t="s">
        <v>12501</v>
      </c>
      <c r="E892" s="113" t="str">
        <f t="shared" si="27"/>
        <v>Lọc LF 3000</v>
      </c>
    </row>
    <row r="893" spans="1:5" x14ac:dyDescent="0.3">
      <c r="A893" s="122" t="s">
        <v>12502</v>
      </c>
      <c r="B893" s="122" t="s">
        <v>12503</v>
      </c>
      <c r="C893" s="113" t="str">
        <f t="shared" si="26"/>
        <v>VT39</v>
      </c>
      <c r="D893" s="113" t="s">
        <v>12503</v>
      </c>
      <c r="E893" s="113" t="str">
        <f t="shared" si="27"/>
        <v>Lọc nhớt 2cam 9080</v>
      </c>
    </row>
    <row r="894" spans="1:5" x14ac:dyDescent="0.3">
      <c r="A894" s="122" t="s">
        <v>12504</v>
      </c>
      <c r="B894" s="122" t="s">
        <v>12505</v>
      </c>
      <c r="C894" s="113" t="str">
        <f t="shared" si="26"/>
        <v>VT40</v>
      </c>
      <c r="D894" s="113" t="s">
        <v>12505</v>
      </c>
      <c r="E894" s="113" t="str">
        <f t="shared" si="27"/>
        <v>Lọc nhớt hovo A7 (JX0818)</v>
      </c>
    </row>
    <row r="895" spans="1:5" x14ac:dyDescent="0.3">
      <c r="A895" s="122" t="s">
        <v>12506</v>
      </c>
      <c r="B895" s="122" t="s">
        <v>12507</v>
      </c>
      <c r="C895" s="113" t="str">
        <f t="shared" si="26"/>
        <v>VT41</v>
      </c>
      <c r="D895" s="113" t="s">
        <v>12507</v>
      </c>
      <c r="E895" s="113" t="str">
        <f t="shared" si="27"/>
        <v>Loc thả đô</v>
      </c>
    </row>
    <row r="896" spans="1:5" x14ac:dyDescent="0.3">
      <c r="A896" s="122" t="s">
        <v>12508</v>
      </c>
      <c r="B896" s="122" t="s">
        <v>12509</v>
      </c>
      <c r="C896" s="113" t="str">
        <f t="shared" si="26"/>
        <v>VT42</v>
      </c>
      <c r="D896" s="113" t="s">
        <v>12509</v>
      </c>
      <c r="E896" s="113" t="str">
        <f t="shared" si="27"/>
        <v>Lưỡi cưa</v>
      </c>
    </row>
    <row r="897" spans="1:5" x14ac:dyDescent="0.3">
      <c r="A897" s="122" t="s">
        <v>12510</v>
      </c>
      <c r="B897" s="122" t="s">
        <v>12511</v>
      </c>
      <c r="C897" s="113" t="str">
        <f t="shared" si="26"/>
        <v>VT43</v>
      </c>
      <c r="D897" s="113" t="s">
        <v>12511</v>
      </c>
      <c r="E897" s="113" t="str">
        <f t="shared" si="27"/>
        <v>Mỡ L3</v>
      </c>
    </row>
    <row r="898" spans="1:5" x14ac:dyDescent="0.3">
      <c r="A898" s="122" t="s">
        <v>12512</v>
      </c>
      <c r="B898" s="122" t="s">
        <v>12513</v>
      </c>
      <c r="C898" s="113" t="str">
        <f t="shared" si="26"/>
        <v>VT44</v>
      </c>
      <c r="D898" s="113" t="s">
        <v>12513</v>
      </c>
      <c r="E898" s="113" t="str">
        <f t="shared" si="27"/>
        <v>Ốc bắt gật gù</v>
      </c>
    </row>
    <row r="899" spans="1:5" x14ac:dyDescent="0.3">
      <c r="A899" s="122" t="s">
        <v>12514</v>
      </c>
      <c r="B899" s="122" t="s">
        <v>12515</v>
      </c>
      <c r="C899" s="113" t="str">
        <f t="shared" si="26"/>
        <v>VT45</v>
      </c>
      <c r="D899" s="113" t="s">
        <v>12515</v>
      </c>
      <c r="E899" s="113" t="str">
        <f t="shared" si="27"/>
        <v>Ốc bắt tay giằng</v>
      </c>
    </row>
    <row r="900" spans="1:5" x14ac:dyDescent="0.3">
      <c r="A900" s="122" t="s">
        <v>12516</v>
      </c>
      <c r="B900" s="122" t="s">
        <v>12517</v>
      </c>
      <c r="C900" s="113" t="str">
        <f t="shared" ref="C900:C963" si="28">+A900</f>
        <v>VT46</v>
      </c>
      <c r="D900" s="113" t="s">
        <v>12517</v>
      </c>
      <c r="E900" s="113" t="str">
        <f t="shared" ref="E900:E963" si="29">B900</f>
        <v>Phớt trước new</v>
      </c>
    </row>
    <row r="901" spans="1:5" x14ac:dyDescent="0.3">
      <c r="A901" s="122" t="s">
        <v>12518</v>
      </c>
      <c r="B901" s="122" t="s">
        <v>12519</v>
      </c>
      <c r="C901" s="113" t="str">
        <f t="shared" si="28"/>
        <v>VT47</v>
      </c>
      <c r="D901" s="113" t="s">
        <v>12519</v>
      </c>
      <c r="E901" s="113" t="str">
        <f t="shared" si="29"/>
        <v>Quai nhê bé</v>
      </c>
    </row>
    <row r="902" spans="1:5" x14ac:dyDescent="0.3">
      <c r="A902" s="122" t="s">
        <v>12520</v>
      </c>
      <c r="B902" s="122" t="s">
        <v>12521</v>
      </c>
      <c r="C902" s="113" t="str">
        <f t="shared" si="28"/>
        <v>VT48</v>
      </c>
      <c r="D902" s="113" t="s">
        <v>12521</v>
      </c>
      <c r="E902" s="113" t="str">
        <f t="shared" si="29"/>
        <v>San tích 28R</v>
      </c>
    </row>
    <row r="903" spans="1:5" x14ac:dyDescent="0.3">
      <c r="A903" s="122" t="s">
        <v>12522</v>
      </c>
      <c r="B903" s="122" t="s">
        <v>12523</v>
      </c>
      <c r="C903" s="113" t="str">
        <f t="shared" si="28"/>
        <v>VT49</v>
      </c>
      <c r="D903" s="113" t="s">
        <v>12523</v>
      </c>
      <c r="E903" s="113" t="str">
        <f t="shared" si="29"/>
        <v>San tích 10R</v>
      </c>
    </row>
    <row r="904" spans="1:5" x14ac:dyDescent="0.3">
      <c r="A904" s="122" t="s">
        <v>12524</v>
      </c>
      <c r="B904" s="122" t="s">
        <v>12525</v>
      </c>
      <c r="C904" s="113" t="str">
        <f t="shared" si="28"/>
        <v>VT50</v>
      </c>
      <c r="D904" s="113" t="s">
        <v>12525</v>
      </c>
      <c r="E904" s="113" t="str">
        <f t="shared" si="29"/>
        <v>San tích 37R</v>
      </c>
    </row>
    <row r="905" spans="1:5" x14ac:dyDescent="0.3">
      <c r="A905" s="122" t="s">
        <v>12526</v>
      </c>
      <c r="B905" s="122" t="s">
        <v>12527</v>
      </c>
      <c r="C905" s="113" t="str">
        <f t="shared" si="28"/>
        <v>VT51</v>
      </c>
      <c r="D905" s="113" t="s">
        <v>12527</v>
      </c>
      <c r="E905" s="113" t="str">
        <f t="shared" si="29"/>
        <v>San tan bóng đời 1 lá</v>
      </c>
    </row>
    <row r="906" spans="1:5" x14ac:dyDescent="0.3">
      <c r="A906" s="122" t="s">
        <v>12528</v>
      </c>
      <c r="B906" s="122" t="s">
        <v>12529</v>
      </c>
      <c r="C906" s="113" t="str">
        <f t="shared" si="28"/>
        <v>VT52</v>
      </c>
      <c r="D906" s="113" t="s">
        <v>12529</v>
      </c>
      <c r="E906" s="113" t="str">
        <f t="shared" si="29"/>
        <v>Lọc diezel W962/7</v>
      </c>
    </row>
    <row r="907" spans="1:5" x14ac:dyDescent="0.3">
      <c r="A907" s="122" t="s">
        <v>12530</v>
      </c>
      <c r="B907" s="122" t="s">
        <v>12531</v>
      </c>
      <c r="C907" s="113" t="str">
        <f t="shared" si="28"/>
        <v>VT53</v>
      </c>
      <c r="D907" s="113" t="s">
        <v>12531</v>
      </c>
      <c r="E907" s="113" t="str">
        <f t="shared" si="29"/>
        <v>Giấy ráp</v>
      </c>
    </row>
    <row r="908" spans="1:5" x14ac:dyDescent="0.3">
      <c r="A908" s="122" t="s">
        <v>12532</v>
      </c>
      <c r="B908" s="122" t="s">
        <v>12533</v>
      </c>
      <c r="C908" s="113" t="str">
        <f t="shared" si="28"/>
        <v>VT54</v>
      </c>
      <c r="D908" s="113" t="s">
        <v>14506</v>
      </c>
      <c r="E908" s="113" t="str">
        <f t="shared" si="29"/>
        <v>Bìa 0.5 ly</v>
      </c>
    </row>
    <row r="909" spans="1:5" x14ac:dyDescent="0.3">
      <c r="A909" s="122" t="s">
        <v>12534</v>
      </c>
      <c r="B909" s="122" t="s">
        <v>12535</v>
      </c>
      <c r="C909" s="113" t="str">
        <f t="shared" si="28"/>
        <v>VT56</v>
      </c>
      <c r="D909" s="113" t="s">
        <v>12535</v>
      </c>
      <c r="E909" s="113" t="str">
        <f t="shared" si="29"/>
        <v>Khẩu 16</v>
      </c>
    </row>
    <row r="910" spans="1:5" x14ac:dyDescent="0.3">
      <c r="A910" s="122" t="s">
        <v>12536</v>
      </c>
      <c r="B910" s="122" t="s">
        <v>12537</v>
      </c>
      <c r="C910" s="113" t="str">
        <f t="shared" si="28"/>
        <v>VT57</v>
      </c>
      <c r="D910" s="113" t="s">
        <v>12537</v>
      </c>
      <c r="E910" s="113" t="str">
        <f t="shared" si="29"/>
        <v>Hộp cắt già xịn</v>
      </c>
    </row>
    <row r="911" spans="1:5" x14ac:dyDescent="0.3">
      <c r="A911" s="122" t="s">
        <v>12538</v>
      </c>
      <c r="B911" s="122" t="s">
        <v>12539</v>
      </c>
      <c r="C911" s="113" t="str">
        <f t="shared" si="28"/>
        <v>VT58</v>
      </c>
      <c r="D911" s="113" t="s">
        <v>12539</v>
      </c>
      <c r="E911" s="113" t="str">
        <f t="shared" si="29"/>
        <v>Khẩu 12</v>
      </c>
    </row>
    <row r="912" spans="1:5" x14ac:dyDescent="0.3">
      <c r="A912" s="122" t="s">
        <v>12540</v>
      </c>
      <c r="B912" s="122" t="s">
        <v>12541</v>
      </c>
      <c r="C912" s="113" t="str">
        <f t="shared" si="28"/>
        <v>VT59</v>
      </c>
      <c r="D912" s="113" t="s">
        <v>12541</v>
      </c>
      <c r="E912" s="113" t="str">
        <f t="shared" si="29"/>
        <v>Cle 10</v>
      </c>
    </row>
    <row r="913" spans="1:5" x14ac:dyDescent="0.3">
      <c r="A913" s="122" t="s">
        <v>12542</v>
      </c>
      <c r="B913" s="122" t="s">
        <v>12543</v>
      </c>
      <c r="C913" s="113" t="str">
        <f t="shared" si="28"/>
        <v>VT60</v>
      </c>
      <c r="D913" s="113" t="s">
        <v>12543</v>
      </c>
      <c r="E913" s="113" t="str">
        <f t="shared" si="29"/>
        <v>Bóng H1 Philip</v>
      </c>
    </row>
    <row r="914" spans="1:5" x14ac:dyDescent="0.3">
      <c r="A914" s="122" t="s">
        <v>12544</v>
      </c>
      <c r="B914" s="122" t="s">
        <v>12545</v>
      </c>
      <c r="C914" s="113" t="str">
        <f t="shared" si="28"/>
        <v>VT61</v>
      </c>
      <c r="D914" s="113" t="s">
        <v>12545</v>
      </c>
      <c r="E914" s="113" t="str">
        <f t="shared" si="29"/>
        <v>Bóng hộp</v>
      </c>
    </row>
    <row r="915" spans="1:5" x14ac:dyDescent="0.3">
      <c r="A915" s="122" t="s">
        <v>12546</v>
      </c>
      <c r="B915" s="122" t="s">
        <v>12547</v>
      </c>
      <c r="C915" s="113" t="str">
        <f t="shared" si="28"/>
        <v>VT62</v>
      </c>
      <c r="D915" s="113" t="s">
        <v>12547</v>
      </c>
      <c r="E915" s="113" t="str">
        <f t="shared" si="29"/>
        <v>Lốp 1100R20 Bridgestone Thái M798</v>
      </c>
    </row>
    <row r="916" spans="1:5" x14ac:dyDescent="0.3">
      <c r="A916" s="122" t="s">
        <v>12548</v>
      </c>
      <c r="B916" s="122" t="s">
        <v>12549</v>
      </c>
      <c r="C916" s="113" t="str">
        <f t="shared" si="28"/>
        <v>VT63</v>
      </c>
      <c r="D916" s="113" t="s">
        <v>12549</v>
      </c>
      <c r="E916" s="113" t="str">
        <f t="shared" si="29"/>
        <v>Lốp 1200R20 Bridgestone Thái M857</v>
      </c>
    </row>
    <row r="917" spans="1:5" x14ac:dyDescent="0.3">
      <c r="A917" s="122" t="s">
        <v>12550</v>
      </c>
      <c r="B917" s="122" t="s">
        <v>12551</v>
      </c>
      <c r="C917" s="113" t="str">
        <f t="shared" si="28"/>
        <v>VT64</v>
      </c>
      <c r="D917" s="113" t="s">
        <v>12551</v>
      </c>
      <c r="E917" s="113" t="str">
        <f t="shared" si="29"/>
        <v>Lốp 12R225 Firestone Thái D600</v>
      </c>
    </row>
    <row r="918" spans="1:5" x14ac:dyDescent="0.3">
      <c r="A918" s="122" t="s">
        <v>12552</v>
      </c>
      <c r="B918" s="122" t="s">
        <v>12553</v>
      </c>
      <c r="C918" s="113" t="str">
        <f t="shared" si="28"/>
        <v>VT65</v>
      </c>
      <c r="D918" s="113" t="s">
        <v>12553</v>
      </c>
      <c r="E918" s="113" t="str">
        <f t="shared" si="29"/>
        <v>Lốp 295/75R225 Firestone Thái D663</v>
      </c>
    </row>
    <row r="919" spans="1:5" x14ac:dyDescent="0.3">
      <c r="A919" s="122" t="s">
        <v>12554</v>
      </c>
      <c r="B919" s="122" t="s">
        <v>12555</v>
      </c>
      <c r="C919" s="113" t="str">
        <f t="shared" si="28"/>
        <v>VT66</v>
      </c>
      <c r="D919" s="113" t="s">
        <v>12555</v>
      </c>
      <c r="E919" s="113" t="str">
        <f t="shared" si="29"/>
        <v>Lọc nước BD</v>
      </c>
    </row>
    <row r="920" spans="1:5" x14ac:dyDescent="0.3">
      <c r="A920" s="122" t="s">
        <v>12556</v>
      </c>
      <c r="B920" s="122" t="s">
        <v>12557</v>
      </c>
      <c r="C920" s="113" t="str">
        <f t="shared" si="28"/>
        <v>VT67</v>
      </c>
      <c r="D920" s="113" t="s">
        <v>12557</v>
      </c>
      <c r="E920" s="113" t="str">
        <f t="shared" si="29"/>
        <v>Nắp may ơ sau ngao</v>
      </c>
    </row>
    <row r="921" spans="1:5" x14ac:dyDescent="0.3">
      <c r="A921" s="122" t="s">
        <v>12558</v>
      </c>
      <c r="B921" s="122" t="s">
        <v>12559</v>
      </c>
      <c r="C921" s="113" t="str">
        <f t="shared" si="28"/>
        <v>VT68</v>
      </c>
      <c r="D921" s="113" t="s">
        <v>12559</v>
      </c>
      <c r="E921" s="113" t="str">
        <f t="shared" si="29"/>
        <v>Bi 3782 Nhật</v>
      </c>
    </row>
    <row r="922" spans="1:5" x14ac:dyDescent="0.3">
      <c r="A922" s="122" t="s">
        <v>12560</v>
      </c>
      <c r="B922" s="122" t="s">
        <v>12561</v>
      </c>
      <c r="C922" s="113" t="str">
        <f t="shared" si="28"/>
        <v>VT69</v>
      </c>
      <c r="D922" s="113" t="s">
        <v>12561</v>
      </c>
      <c r="E922" s="113" t="str">
        <f t="shared" si="29"/>
        <v>Bi 212049 Nhật</v>
      </c>
    </row>
    <row r="923" spans="1:5" x14ac:dyDescent="0.3">
      <c r="A923" s="122" t="s">
        <v>12562</v>
      </c>
      <c r="B923" s="122" t="s">
        <v>12563</v>
      </c>
      <c r="C923" s="113" t="str">
        <f t="shared" si="28"/>
        <v>VT70</v>
      </c>
      <c r="D923" s="113" t="s">
        <v>12563</v>
      </c>
      <c r="E923" s="113" t="str">
        <f t="shared" si="29"/>
        <v>Lọc PL 420</v>
      </c>
    </row>
    <row r="924" spans="1:5" x14ac:dyDescent="0.3">
      <c r="A924" s="122" t="s">
        <v>12564</v>
      </c>
      <c r="B924" s="122" t="s">
        <v>12565</v>
      </c>
      <c r="C924" s="113" t="str">
        <f t="shared" si="28"/>
        <v>VT71</v>
      </c>
      <c r="D924" s="113" t="s">
        <v>12565</v>
      </c>
      <c r="E924" s="113" t="str">
        <f t="shared" si="29"/>
        <v>Dầu phanh</v>
      </c>
    </row>
    <row r="925" spans="1:5" x14ac:dyDescent="0.3">
      <c r="A925" s="122" t="s">
        <v>12566</v>
      </c>
      <c r="B925" s="122" t="s">
        <v>12567</v>
      </c>
      <c r="C925" s="113" t="str">
        <f t="shared" si="28"/>
        <v>VT72</v>
      </c>
      <c r="D925" s="113" t="s">
        <v>12567</v>
      </c>
      <c r="E925" s="113" t="str">
        <f t="shared" si="29"/>
        <v>Giảm sóc cabin gabiel</v>
      </c>
    </row>
    <row r="926" spans="1:5" x14ac:dyDescent="0.3">
      <c r="A926" s="122" t="s">
        <v>12568</v>
      </c>
      <c r="B926" s="122" t="s">
        <v>12569</v>
      </c>
      <c r="C926" s="113" t="str">
        <f t="shared" si="28"/>
        <v>VT73</v>
      </c>
      <c r="D926" s="113" t="s">
        <v>12569</v>
      </c>
      <c r="E926" s="113" t="str">
        <f t="shared" si="29"/>
        <v>Giảm sóc sau ngao gabiel</v>
      </c>
    </row>
    <row r="927" spans="1:5" x14ac:dyDescent="0.3">
      <c r="A927" s="122" t="s">
        <v>12570</v>
      </c>
      <c r="B927" s="122" t="s">
        <v>12571</v>
      </c>
      <c r="C927" s="113" t="str">
        <f t="shared" si="28"/>
        <v>VT74</v>
      </c>
      <c r="D927" s="113" t="s">
        <v>12571</v>
      </c>
      <c r="E927" s="113" t="str">
        <f t="shared" si="29"/>
        <v>Lốp 11R225 Firestone Thái D663</v>
      </c>
    </row>
    <row r="928" spans="1:5" x14ac:dyDescent="0.3">
      <c r="A928" s="122" t="s">
        <v>12572</v>
      </c>
      <c r="B928" s="122" t="s">
        <v>12573</v>
      </c>
      <c r="C928" s="113" t="str">
        <f t="shared" si="28"/>
        <v>VT75</v>
      </c>
      <c r="D928" s="113" t="s">
        <v>14507</v>
      </c>
      <c r="E928" s="113" t="str">
        <f t="shared" si="29"/>
        <v>Lốp xe nâng JK 23.5-25 20PR VEM 99</v>
      </c>
    </row>
    <row r="929" spans="1:5" x14ac:dyDescent="0.3">
      <c r="A929" s="122" t="s">
        <v>12574</v>
      </c>
      <c r="B929" s="122" t="s">
        <v>12575</v>
      </c>
      <c r="C929" s="113" t="str">
        <f t="shared" si="28"/>
        <v>VT76</v>
      </c>
      <c r="D929" s="113" t="s">
        <v>14508</v>
      </c>
      <c r="E929" s="113" t="str">
        <f t="shared" si="29"/>
        <v>Lốp xe nâng  bánh đặc casumina 7.00-12</v>
      </c>
    </row>
    <row r="930" spans="1:5" x14ac:dyDescent="0.3">
      <c r="A930" s="122" t="s">
        <v>12576</v>
      </c>
      <c r="B930" s="122" t="s">
        <v>12577</v>
      </c>
      <c r="C930" s="113" t="str">
        <f t="shared" si="28"/>
        <v>VT77</v>
      </c>
      <c r="D930" s="113" t="s">
        <v>12577</v>
      </c>
      <c r="E930" s="113" t="str">
        <f t="shared" si="29"/>
        <v>Me - xe máy số</v>
      </c>
    </row>
    <row r="931" spans="1:5" x14ac:dyDescent="0.3">
      <c r="A931" s="122" t="s">
        <v>12578</v>
      </c>
      <c r="B931" s="122" t="s">
        <v>12579</v>
      </c>
      <c r="C931" s="113" t="str">
        <f t="shared" si="28"/>
        <v>VT78</v>
      </c>
      <c r="D931" s="113" t="s">
        <v>12579</v>
      </c>
      <c r="E931" s="113" t="str">
        <f t="shared" si="29"/>
        <v>Bạt che hàng khổ 7m x 4m</v>
      </c>
    </row>
    <row r="932" spans="1:5" x14ac:dyDescent="0.3">
      <c r="A932" s="122" t="s">
        <v>12580</v>
      </c>
      <c r="B932" s="122" t="s">
        <v>12581</v>
      </c>
      <c r="C932" s="113" t="str">
        <f t="shared" si="28"/>
        <v>VT79</v>
      </c>
      <c r="D932" s="113" t="s">
        <v>14509</v>
      </c>
      <c r="E932" s="113" t="str">
        <f t="shared" si="29"/>
        <v>Lốp xe nâng JK 26.5-25 28PR E3 L3 VEM 99</v>
      </c>
    </row>
    <row r="933" spans="1:5" x14ac:dyDescent="0.3">
      <c r="A933" s="122" t="s">
        <v>12582</v>
      </c>
      <c r="B933" s="122" t="s">
        <v>12583</v>
      </c>
      <c r="C933" s="113" t="str">
        <f t="shared" si="28"/>
        <v>VV.HN.DKG</v>
      </c>
      <c r="D933" s="113" t="s">
        <v>14510</v>
      </c>
      <c r="E933" s="113" t="str">
        <f t="shared" si="29"/>
        <v>DKG&lt;-&gt;Văn Võ, Hà Nội</v>
      </c>
    </row>
    <row r="934" spans="1:5" x14ac:dyDescent="0.3">
      <c r="A934" s="122" t="s">
        <v>12584</v>
      </c>
      <c r="B934" s="122" t="s">
        <v>12585</v>
      </c>
      <c r="C934" s="113" t="str">
        <f t="shared" si="28"/>
        <v>VY.BG.DKG</v>
      </c>
      <c r="D934" s="113" t="s">
        <v>14511</v>
      </c>
      <c r="E934" s="113" t="str">
        <f t="shared" si="29"/>
        <v>DKG&lt;-&gt;Việt Yên, Bắc Giang</v>
      </c>
    </row>
    <row r="935" spans="1:5" x14ac:dyDescent="0.3">
      <c r="A935" s="122" t="s">
        <v>12586</v>
      </c>
      <c r="B935" s="122" t="s">
        <v>12587</v>
      </c>
      <c r="C935" s="113" t="str">
        <f t="shared" si="28"/>
        <v>VY.BG.DKS</v>
      </c>
      <c r="D935" s="113" t="s">
        <v>14512</v>
      </c>
      <c r="E935" s="113" t="str">
        <f t="shared" si="29"/>
        <v>DKS&lt;-&gt;Việt Yên, Bắc Giang</v>
      </c>
    </row>
    <row r="936" spans="1:5" x14ac:dyDescent="0.3">
      <c r="A936" s="122" t="s">
        <v>12588</v>
      </c>
      <c r="B936" s="122" t="s">
        <v>12585</v>
      </c>
      <c r="C936" s="113" t="str">
        <f t="shared" si="28"/>
        <v>VY.BG.THG</v>
      </c>
      <c r="D936" s="113" t="s">
        <v>14511</v>
      </c>
      <c r="E936" s="113" t="str">
        <f t="shared" si="29"/>
        <v>DKG&lt;-&gt;Việt Yên, Bắc Giang</v>
      </c>
    </row>
    <row r="937" spans="1:5" x14ac:dyDescent="0.3">
      <c r="A937" s="122" t="s">
        <v>12589</v>
      </c>
      <c r="B937" s="122" t="s">
        <v>12590</v>
      </c>
      <c r="C937" s="113" t="str">
        <f t="shared" si="28"/>
        <v>VY.VP.DKG</v>
      </c>
      <c r="D937" s="113" t="s">
        <v>14513</v>
      </c>
      <c r="E937" s="113" t="str">
        <f t="shared" si="29"/>
        <v>DKG&lt;-&gt;Vĩnh Yên, Vĩnh Phúc</v>
      </c>
    </row>
    <row r="938" spans="1:5" x14ac:dyDescent="0.3">
      <c r="A938" s="122" t="s">
        <v>12591</v>
      </c>
      <c r="B938" s="122" t="s">
        <v>12592</v>
      </c>
      <c r="C938" s="113" t="str">
        <f t="shared" si="28"/>
        <v>VY.VP.THG</v>
      </c>
      <c r="D938" s="113" t="s">
        <v>14514</v>
      </c>
      <c r="E938" s="113" t="str">
        <f t="shared" si="29"/>
        <v>THG&lt;-&gt;Vĩnh Yên, Vĩnh Phúc</v>
      </c>
    </row>
    <row r="939" spans="1:5" x14ac:dyDescent="0.3">
      <c r="A939" s="122" t="s">
        <v>12593</v>
      </c>
      <c r="B939" s="122" t="s">
        <v>12594</v>
      </c>
      <c r="C939" s="113" t="str">
        <f t="shared" si="28"/>
        <v>XA.HT.DKG</v>
      </c>
      <c r="D939" s="113" t="s">
        <v>14515</v>
      </c>
      <c r="E939" s="113" t="str">
        <f t="shared" si="29"/>
        <v>DKG&lt;-&gt;Xuân An, Hà Tĩnh</v>
      </c>
    </row>
    <row r="940" spans="1:5" x14ac:dyDescent="0.3">
      <c r="A940" s="122" t="s">
        <v>12595</v>
      </c>
      <c r="B940" s="122" t="s">
        <v>12596</v>
      </c>
      <c r="C940" s="113" t="str">
        <f t="shared" si="28"/>
        <v>XECAUHAGO</v>
      </c>
      <c r="D940" s="113" t="s">
        <v>12596</v>
      </c>
      <c r="E940" s="113" t="str">
        <f t="shared" si="29"/>
        <v>Xe cẩu tự hành hạ gỗ</v>
      </c>
    </row>
    <row r="941" spans="1:5" x14ac:dyDescent="0.3">
      <c r="A941" s="122" t="s">
        <v>12597</v>
      </c>
      <c r="B941" s="122" t="s">
        <v>12598</v>
      </c>
      <c r="C941" s="113" t="str">
        <f t="shared" si="28"/>
        <v>XENGOAICHOGO</v>
      </c>
      <c r="D941" s="113" t="s">
        <v>12598</v>
      </c>
      <c r="E941" s="113" t="str">
        <f t="shared" si="29"/>
        <v>Xe ngoài vào bãi Hoàng Sơn lấy gỗ</v>
      </c>
    </row>
    <row r="942" spans="1:5" x14ac:dyDescent="0.3">
      <c r="A942" s="122" t="s">
        <v>12599</v>
      </c>
      <c r="B942" s="122" t="s">
        <v>12600</v>
      </c>
      <c r="C942" s="113" t="str">
        <f t="shared" si="28"/>
        <v>XM.HB.DKG</v>
      </c>
      <c r="D942" s="113" t="s">
        <v>14516</v>
      </c>
      <c r="E942" s="113" t="str">
        <f t="shared" si="29"/>
        <v>DKG&lt;-&gt;Xuân Mai, Hòa Bình</v>
      </c>
    </row>
    <row r="943" spans="1:5" x14ac:dyDescent="0.3">
      <c r="A943" s="122" t="s">
        <v>12601</v>
      </c>
      <c r="B943" s="122" t="s">
        <v>12602</v>
      </c>
      <c r="C943" s="113" t="str">
        <f t="shared" si="28"/>
        <v>XM.HB.THG</v>
      </c>
      <c r="D943" s="113" t="s">
        <v>14517</v>
      </c>
      <c r="E943" s="113" t="str">
        <f t="shared" si="29"/>
        <v>THG&lt;-&gt;Xuân Mai, Hòa Bình</v>
      </c>
    </row>
    <row r="944" spans="1:5" x14ac:dyDescent="0.3">
      <c r="A944" s="122" t="s">
        <v>12603</v>
      </c>
      <c r="B944" s="122" t="s">
        <v>12604</v>
      </c>
      <c r="C944" s="113" t="str">
        <f t="shared" si="28"/>
        <v>XM.HN.DKG</v>
      </c>
      <c r="D944" s="113" t="s">
        <v>14518</v>
      </c>
      <c r="E944" s="113" t="str">
        <f t="shared" si="29"/>
        <v>DKG&lt;-&gt;Xuân Mai, Hà Nội</v>
      </c>
    </row>
    <row r="945" spans="1:5" x14ac:dyDescent="0.3">
      <c r="A945" s="122" t="s">
        <v>12605</v>
      </c>
      <c r="B945" s="122" t="s">
        <v>12606</v>
      </c>
      <c r="C945" s="113" t="str">
        <f t="shared" si="28"/>
        <v>XT.ND.DKG</v>
      </c>
      <c r="D945" s="113" t="s">
        <v>14519</v>
      </c>
      <c r="E945" s="113" t="str">
        <f t="shared" si="29"/>
        <v>DKG&lt;-&gt;Xuân Trường, Nam Định</v>
      </c>
    </row>
    <row r="946" spans="1:5" x14ac:dyDescent="0.3">
      <c r="A946" s="122" t="s">
        <v>12607</v>
      </c>
      <c r="B946" s="122" t="s">
        <v>12608</v>
      </c>
      <c r="C946" s="113" t="str">
        <f t="shared" si="28"/>
        <v>XT.ND.THG</v>
      </c>
      <c r="D946" s="113" t="s">
        <v>14520</v>
      </c>
      <c r="E946" s="113" t="str">
        <f t="shared" si="29"/>
        <v>THG&lt;-&gt;Xuân Trường, Nam Định</v>
      </c>
    </row>
    <row r="947" spans="1:5" x14ac:dyDescent="0.3">
      <c r="A947" s="122" t="s">
        <v>12609</v>
      </c>
      <c r="B947" s="122" t="s">
        <v>12610</v>
      </c>
      <c r="C947" s="113" t="str">
        <f t="shared" si="28"/>
        <v>YB.YB.DKG</v>
      </c>
      <c r="D947" s="113" t="s">
        <v>14521</v>
      </c>
      <c r="E947" s="113" t="str">
        <f t="shared" si="29"/>
        <v>DKG&lt;-&gt;Yên Bình, Yên Bái</v>
      </c>
    </row>
    <row r="948" spans="1:5" x14ac:dyDescent="0.3">
      <c r="A948" s="122" t="s">
        <v>12611</v>
      </c>
      <c r="B948" s="122" t="s">
        <v>12612</v>
      </c>
      <c r="C948" s="113" t="str">
        <f t="shared" si="28"/>
        <v>YB.YB.DKS</v>
      </c>
      <c r="D948" s="113" t="s">
        <v>14522</v>
      </c>
      <c r="E948" s="113" t="str">
        <f t="shared" si="29"/>
        <v>DKS&lt;-&gt;Yên Bình, Yên Bái</v>
      </c>
    </row>
    <row r="949" spans="1:5" x14ac:dyDescent="0.3">
      <c r="A949" s="122" t="s">
        <v>12613</v>
      </c>
      <c r="B949" s="122" t="s">
        <v>12614</v>
      </c>
      <c r="C949" s="113" t="str">
        <f t="shared" si="28"/>
        <v>YD.BG.DKG</v>
      </c>
      <c r="D949" s="113" t="s">
        <v>14523</v>
      </c>
      <c r="E949" s="113" t="str">
        <f t="shared" si="29"/>
        <v>DKG&lt;-&gt;Yên Dũng, Bắc Giang</v>
      </c>
    </row>
    <row r="950" spans="1:5" x14ac:dyDescent="0.3">
      <c r="A950" s="122" t="s">
        <v>12615</v>
      </c>
      <c r="B950" s="122" t="s">
        <v>12616</v>
      </c>
      <c r="C950" s="113" t="str">
        <f t="shared" si="28"/>
        <v>YD.BG.THG</v>
      </c>
      <c r="D950" s="113" t="s">
        <v>14524</v>
      </c>
      <c r="E950" s="113" t="str">
        <f t="shared" si="29"/>
        <v>THG&lt;-&gt;Yên Dũng, Bắc Giang</v>
      </c>
    </row>
    <row r="951" spans="1:5" x14ac:dyDescent="0.3">
      <c r="A951" s="122" t="s">
        <v>12617</v>
      </c>
      <c r="B951" s="122" t="s">
        <v>12618</v>
      </c>
      <c r="C951" s="113" t="str">
        <f t="shared" si="28"/>
        <v>YD.TH.DKG</v>
      </c>
      <c r="D951" s="113" t="s">
        <v>14525</v>
      </c>
      <c r="E951" s="113" t="str">
        <f t="shared" si="29"/>
        <v>DKG&lt;-&gt;Yên Định, Thanh Hóa</v>
      </c>
    </row>
    <row r="952" spans="1:5" x14ac:dyDescent="0.3">
      <c r="A952" s="122" t="s">
        <v>12619</v>
      </c>
      <c r="B952" s="122" t="s">
        <v>12620</v>
      </c>
      <c r="C952" s="113" t="str">
        <f t="shared" si="28"/>
        <v>YD.TH.THG</v>
      </c>
      <c r="D952" s="113" t="s">
        <v>14526</v>
      </c>
      <c r="E952" s="113" t="str">
        <f t="shared" si="29"/>
        <v>THG&lt;-&gt;Yên Định, Thanh Hóa</v>
      </c>
    </row>
    <row r="953" spans="1:5" x14ac:dyDescent="0.3">
      <c r="A953" s="122" t="s">
        <v>12621</v>
      </c>
      <c r="B953" s="122" t="s">
        <v>12622</v>
      </c>
      <c r="C953" s="113" t="str">
        <f t="shared" si="28"/>
        <v>YK.NB.DKG</v>
      </c>
      <c r="D953" s="113" t="s">
        <v>14527</v>
      </c>
      <c r="E953" s="113" t="str">
        <f t="shared" si="29"/>
        <v>DKG&lt;-&gt;Yên Khánh, Ninh Bình</v>
      </c>
    </row>
    <row r="954" spans="1:5" x14ac:dyDescent="0.3">
      <c r="A954" s="122" t="s">
        <v>12623</v>
      </c>
      <c r="B954" s="122" t="s">
        <v>12624</v>
      </c>
      <c r="C954" s="113" t="str">
        <f t="shared" si="28"/>
        <v>YK.NB.DKS</v>
      </c>
      <c r="D954" s="113" t="s">
        <v>14528</v>
      </c>
      <c r="E954" s="113" t="str">
        <f t="shared" si="29"/>
        <v>DKS&lt;-&gt;Yên Khánh, Ninh Bình</v>
      </c>
    </row>
    <row r="955" spans="1:5" x14ac:dyDescent="0.3">
      <c r="A955" s="122" t="s">
        <v>12625</v>
      </c>
      <c r="B955" s="122" t="s">
        <v>12626</v>
      </c>
      <c r="C955" s="113" t="str">
        <f t="shared" si="28"/>
        <v>YK.NB.THG</v>
      </c>
      <c r="D955" s="113" t="s">
        <v>14529</v>
      </c>
      <c r="E955" s="113" t="str">
        <f t="shared" si="29"/>
        <v>THG&lt;-&gt;Yên Khánh, Ninh Bình</v>
      </c>
    </row>
    <row r="956" spans="1:5" x14ac:dyDescent="0.3">
      <c r="A956" s="122" t="s">
        <v>12627</v>
      </c>
      <c r="B956" s="122" t="s">
        <v>12628</v>
      </c>
      <c r="C956" s="113" t="str">
        <f t="shared" si="28"/>
        <v>YL.HNA.DKG</v>
      </c>
      <c r="D956" s="113" t="s">
        <v>14530</v>
      </c>
      <c r="E956" s="113" t="str">
        <f t="shared" si="29"/>
        <v>DKG&lt;-&gt;Yên Lệnh, Hà Nam</v>
      </c>
    </row>
    <row r="957" spans="1:5" x14ac:dyDescent="0.3">
      <c r="A957" s="122" t="s">
        <v>12629</v>
      </c>
      <c r="B957" s="122" t="s">
        <v>12630</v>
      </c>
      <c r="C957" s="113" t="str">
        <f t="shared" si="28"/>
        <v>YL.HNA.THG</v>
      </c>
      <c r="D957" s="113" t="s">
        <v>14531</v>
      </c>
      <c r="E957" s="113" t="str">
        <f t="shared" si="29"/>
        <v>THG&lt;-&gt;Yên Lệnh, Hà Nam</v>
      </c>
    </row>
    <row r="958" spans="1:5" x14ac:dyDescent="0.3">
      <c r="A958" s="122" t="s">
        <v>12631</v>
      </c>
      <c r="B958" s="122" t="s">
        <v>12632</v>
      </c>
      <c r="C958" s="113" t="str">
        <f t="shared" si="28"/>
        <v>YL.PT.DKS</v>
      </c>
      <c r="D958" s="113" t="s">
        <v>14532</v>
      </c>
      <c r="E958" s="113" t="str">
        <f t="shared" si="29"/>
        <v>DKS&lt;-&gt;Yên Lập, Phú Thọ</v>
      </c>
    </row>
    <row r="959" spans="1:5" x14ac:dyDescent="0.3">
      <c r="A959" s="122" t="s">
        <v>12633</v>
      </c>
      <c r="B959" s="122" t="s">
        <v>12634</v>
      </c>
      <c r="C959" s="113" t="str">
        <f t="shared" si="28"/>
        <v>YL.VP.DKG</v>
      </c>
      <c r="D959" s="113" t="s">
        <v>14533</v>
      </c>
      <c r="E959" s="113" t="str">
        <f t="shared" si="29"/>
        <v>DKG&lt;-&gt;Yên Lạc, Vĩnh Phúc</v>
      </c>
    </row>
    <row r="960" spans="1:5" x14ac:dyDescent="0.3">
      <c r="A960" s="122" t="s">
        <v>12635</v>
      </c>
      <c r="B960" s="122" t="s">
        <v>12636</v>
      </c>
      <c r="C960" s="113" t="str">
        <f t="shared" si="28"/>
        <v>YL.VP.DKS</v>
      </c>
      <c r="D960" s="113" t="s">
        <v>14534</v>
      </c>
      <c r="E960" s="113" t="str">
        <f t="shared" si="29"/>
        <v>DKS&lt;-&gt;Yên Lạc, Vĩnh Phúc</v>
      </c>
    </row>
    <row r="961" spans="1:5" x14ac:dyDescent="0.3">
      <c r="A961" s="122" t="s">
        <v>12637</v>
      </c>
      <c r="B961" s="122" t="s">
        <v>12638</v>
      </c>
      <c r="C961" s="113" t="str">
        <f t="shared" si="28"/>
        <v>YL.VP.THG</v>
      </c>
      <c r="D961" s="113" t="s">
        <v>14535</v>
      </c>
      <c r="E961" s="113" t="str">
        <f t="shared" si="29"/>
        <v>THG&lt;-&gt;Yên Lạc, Vĩnh Phúc</v>
      </c>
    </row>
    <row r="962" spans="1:5" x14ac:dyDescent="0.3">
      <c r="A962" s="122" t="s">
        <v>12639</v>
      </c>
      <c r="B962" s="122" t="s">
        <v>12640</v>
      </c>
      <c r="C962" s="113" t="str">
        <f t="shared" si="28"/>
        <v>YM.HY.DKG</v>
      </c>
      <c r="D962" s="113" t="s">
        <v>14536</v>
      </c>
      <c r="E962" s="113" t="str">
        <f t="shared" si="29"/>
        <v>DKG&lt;-&gt;Yên Mỹ, Hưng Yên</v>
      </c>
    </row>
    <row r="963" spans="1:5" x14ac:dyDescent="0.3">
      <c r="A963" s="122" t="s">
        <v>12641</v>
      </c>
      <c r="B963" s="122" t="s">
        <v>12642</v>
      </c>
      <c r="C963" s="113" t="str">
        <f t="shared" si="28"/>
        <v>YM.HY.DKS</v>
      </c>
      <c r="D963" s="113" t="s">
        <v>14537</v>
      </c>
      <c r="E963" s="113" t="str">
        <f t="shared" si="29"/>
        <v>DKS&lt;-&gt;Yên Mỹ, Hưng Yên</v>
      </c>
    </row>
    <row r="964" spans="1:5" x14ac:dyDescent="0.3">
      <c r="A964" s="122" t="s">
        <v>12643</v>
      </c>
      <c r="B964" s="122" t="s">
        <v>12644</v>
      </c>
      <c r="C964" s="113" t="str">
        <f t="shared" ref="C964:C985" si="30">+A964</f>
        <v>YM.HY.THG</v>
      </c>
      <c r="D964" s="113" t="s">
        <v>14538</v>
      </c>
      <c r="E964" s="113" t="str">
        <f t="shared" ref="E964:E984" si="31">B964</f>
        <v>THG&lt;-&gt;Yên Mỹ, Hưng Yên</v>
      </c>
    </row>
    <row r="965" spans="1:5" x14ac:dyDescent="0.3">
      <c r="A965" s="122" t="s">
        <v>12645</v>
      </c>
      <c r="B965" s="122" t="s">
        <v>12646</v>
      </c>
      <c r="C965" s="113" t="str">
        <f t="shared" si="30"/>
        <v>YM.NB.DKG</v>
      </c>
      <c r="D965" s="113" t="s">
        <v>14539</v>
      </c>
      <c r="E965" s="113" t="str">
        <f t="shared" si="31"/>
        <v>DKG&lt;-&gt;Yên Mỗ, Ninh Bình</v>
      </c>
    </row>
    <row r="966" spans="1:5" x14ac:dyDescent="0.3">
      <c r="A966" s="122" t="s">
        <v>12647</v>
      </c>
      <c r="B966" s="122" t="s">
        <v>12648</v>
      </c>
      <c r="C966" s="113" t="str">
        <f t="shared" si="30"/>
        <v>YN.HN.DKG</v>
      </c>
      <c r="D966" s="113" t="s">
        <v>14540</v>
      </c>
      <c r="E966" s="113" t="str">
        <f t="shared" si="31"/>
        <v>DKG&lt;-&gt;Yên Nghĩa, Hà Nội</v>
      </c>
    </row>
    <row r="967" spans="1:5" x14ac:dyDescent="0.3">
      <c r="A967" s="122" t="s">
        <v>12649</v>
      </c>
      <c r="B967" s="122" t="s">
        <v>12650</v>
      </c>
      <c r="C967" s="113" t="str">
        <f t="shared" si="30"/>
        <v>YP.BN.DKG</v>
      </c>
      <c r="D967" s="113" t="s">
        <v>14541</v>
      </c>
      <c r="E967" s="113" t="str">
        <f t="shared" si="31"/>
        <v>DKG&lt;-&gt;Yên Phong, Bắc Ninh</v>
      </c>
    </row>
    <row r="968" spans="1:5" x14ac:dyDescent="0.3">
      <c r="A968" s="122" t="s">
        <v>12651</v>
      </c>
      <c r="B968" s="122" t="s">
        <v>12652</v>
      </c>
      <c r="C968" s="113" t="str">
        <f t="shared" si="30"/>
        <v>YP.BN.DKS</v>
      </c>
      <c r="D968" s="113" t="s">
        <v>14542</v>
      </c>
      <c r="E968" s="113" t="str">
        <f t="shared" si="31"/>
        <v>DKS&lt;-&gt;Yên Phong, Bắc Ninh</v>
      </c>
    </row>
    <row r="969" spans="1:5" x14ac:dyDescent="0.3">
      <c r="A969" s="122" t="s">
        <v>12653</v>
      </c>
      <c r="B969" s="122" t="s">
        <v>12654</v>
      </c>
      <c r="C969" s="113" t="str">
        <f t="shared" si="30"/>
        <v>YP.BN.THG</v>
      </c>
      <c r="D969" s="113" t="s">
        <v>14543</v>
      </c>
      <c r="E969" s="113" t="str">
        <f t="shared" si="31"/>
        <v>THG&lt;-&gt;Yên Phong, Bắc Ninh</v>
      </c>
    </row>
    <row r="970" spans="1:5" x14ac:dyDescent="0.3">
      <c r="A970" s="122" t="s">
        <v>12655</v>
      </c>
      <c r="B970" s="122" t="s">
        <v>12656</v>
      </c>
      <c r="C970" s="113" t="str">
        <f t="shared" si="30"/>
        <v>YS.HN.DKG</v>
      </c>
      <c r="D970" s="113" t="s">
        <v>14544</v>
      </c>
      <c r="E970" s="113" t="str">
        <f t="shared" si="31"/>
        <v>DKG&lt;-&gt;Yên Sở, Hà Nội</v>
      </c>
    </row>
    <row r="971" spans="1:5" x14ac:dyDescent="0.3">
      <c r="A971" s="122" t="s">
        <v>12657</v>
      </c>
      <c r="B971" s="122" t="s">
        <v>12658</v>
      </c>
      <c r="C971" s="113" t="str">
        <f t="shared" si="30"/>
        <v>YS.TQ.DKG</v>
      </c>
      <c r="D971" s="113" t="s">
        <v>14545</v>
      </c>
      <c r="E971" s="113" t="str">
        <f t="shared" si="31"/>
        <v>DKG&lt;-&gt;Yên Sơn, Tuyên Quang</v>
      </c>
    </row>
    <row r="972" spans="1:5" x14ac:dyDescent="0.3">
      <c r="A972" s="122" t="s">
        <v>12659</v>
      </c>
      <c r="B972" s="122" t="s">
        <v>12660</v>
      </c>
      <c r="C972" s="113" t="str">
        <f t="shared" si="30"/>
        <v>YS.TQ.DKS</v>
      </c>
      <c r="D972" s="113" t="s">
        <v>14546</v>
      </c>
      <c r="E972" s="113" t="str">
        <f t="shared" si="31"/>
        <v>DKS&lt;-&gt;Yên Sơn, Tuyên Quang</v>
      </c>
    </row>
    <row r="973" spans="1:5" x14ac:dyDescent="0.3">
      <c r="A973" s="122" t="s">
        <v>12661</v>
      </c>
      <c r="B973" s="122" t="s">
        <v>12662</v>
      </c>
      <c r="C973" s="113" t="str">
        <f t="shared" si="30"/>
        <v>YT.BG.DKS</v>
      </c>
      <c r="D973" s="113" t="s">
        <v>14547</v>
      </c>
      <c r="E973" s="113" t="str">
        <f t="shared" si="31"/>
        <v>DKS&lt;-&gt;Yên Thế, Bắc Giang</v>
      </c>
    </row>
    <row r="974" spans="1:5" x14ac:dyDescent="0.3">
      <c r="A974" s="122" t="s">
        <v>12663</v>
      </c>
      <c r="B974" s="122" t="s">
        <v>12664</v>
      </c>
      <c r="C974" s="113" t="str">
        <f t="shared" si="30"/>
        <v>YT.NA.DKG</v>
      </c>
      <c r="D974" s="113" t="s">
        <v>14548</v>
      </c>
      <c r="E974" s="113" t="str">
        <f t="shared" si="31"/>
        <v>DKG&lt;-&gt;Yên Thành, Nghệ An</v>
      </c>
    </row>
    <row r="975" spans="1:5" x14ac:dyDescent="0.3">
      <c r="A975" s="122" t="s">
        <v>12665</v>
      </c>
      <c r="B975" s="122" t="s">
        <v>12666</v>
      </c>
      <c r="C975" s="113" t="str">
        <f t="shared" si="30"/>
        <v>YT.QN.DKG</v>
      </c>
      <c r="D975" s="113" t="s">
        <v>14549</v>
      </c>
      <c r="E975" s="113" t="str">
        <f t="shared" si="31"/>
        <v>DKG&lt;-&gt;Yên Tử, Quảng Ninh</v>
      </c>
    </row>
    <row r="976" spans="1:5" x14ac:dyDescent="0.3">
      <c r="A976" s="122" t="s">
        <v>12667</v>
      </c>
      <c r="B976" s="122" t="s">
        <v>12668</v>
      </c>
      <c r="C976" s="113" t="str">
        <f t="shared" si="30"/>
        <v>YT.QN.DKS</v>
      </c>
      <c r="D976" s="113" t="s">
        <v>14550</v>
      </c>
      <c r="E976" s="113" t="str">
        <f t="shared" si="31"/>
        <v>DKS&lt;-&gt;Yên Tử, Quảng Ninh</v>
      </c>
    </row>
    <row r="977" spans="1:5" x14ac:dyDescent="0.3">
      <c r="A977" s="122" t="s">
        <v>12669</v>
      </c>
      <c r="B977" s="122" t="s">
        <v>12670</v>
      </c>
      <c r="C977" s="113" t="str">
        <f t="shared" si="30"/>
        <v>YT.QN.THG</v>
      </c>
      <c r="D977" s="113" t="s">
        <v>14551</v>
      </c>
      <c r="E977" s="113" t="str">
        <f t="shared" si="31"/>
        <v>THG&lt;-&gt;Yên Tử, Quảng Ninh</v>
      </c>
    </row>
    <row r="978" spans="1:5" x14ac:dyDescent="0.3">
      <c r="A978" s="122" t="s">
        <v>199</v>
      </c>
      <c r="B978" s="122" t="s">
        <v>200</v>
      </c>
      <c r="C978" s="113" t="str">
        <f t="shared" si="30"/>
        <v>YY.ND.DKG</v>
      </c>
      <c r="D978" s="113" t="s">
        <v>14552</v>
      </c>
      <c r="E978" s="113" t="str">
        <f t="shared" si="31"/>
        <v>DKG&lt;-&gt;Ý Yên, Nam Định</v>
      </c>
    </row>
    <row r="979" spans="1:5" x14ac:dyDescent="0.3">
      <c r="A979" s="122" t="s">
        <v>12671</v>
      </c>
      <c r="B979" s="122" t="s">
        <v>12672</v>
      </c>
      <c r="C979" s="113" t="str">
        <f t="shared" si="30"/>
        <v>YY.ND.DKS</v>
      </c>
      <c r="D979" s="113" t="s">
        <v>14553</v>
      </c>
      <c r="E979" s="113" t="str">
        <f t="shared" si="31"/>
        <v>DKS&lt;-&gt;Ý Yên, Nam Định</v>
      </c>
    </row>
    <row r="980" spans="1:5" x14ac:dyDescent="0.3">
      <c r="A980" s="122" t="s">
        <v>12673</v>
      </c>
      <c r="B980" s="122" t="s">
        <v>12674</v>
      </c>
      <c r="C980" s="113" t="str">
        <f t="shared" si="30"/>
        <v>YY.ND.THG</v>
      </c>
      <c r="D980" s="113" t="s">
        <v>14554</v>
      </c>
      <c r="E980" s="113" t="str">
        <f t="shared" si="31"/>
        <v>THG&lt;-&gt;Ý Yên, Nam Định</v>
      </c>
    </row>
    <row r="981" spans="1:5" x14ac:dyDescent="0.3">
      <c r="C981" s="113">
        <f t="shared" si="30"/>
        <v>0</v>
      </c>
      <c r="E981" s="113">
        <f t="shared" si="31"/>
        <v>0</v>
      </c>
    </row>
    <row r="982" spans="1:5" x14ac:dyDescent="0.3">
      <c r="A982" s="318" t="s">
        <v>13600</v>
      </c>
      <c r="B982" s="318" t="s">
        <v>13601</v>
      </c>
      <c r="C982" s="113" t="str">
        <f t="shared" si="30"/>
        <v>Hdu.HN.DKG</v>
      </c>
      <c r="D982" s="113" t="s">
        <v>14555</v>
      </c>
      <c r="E982" s="113" t="str">
        <f t="shared" si="31"/>
        <v>DKG&lt;-&gt;Hoài Đức, Hà Nội</v>
      </c>
    </row>
    <row r="983" spans="1:5" x14ac:dyDescent="0.3">
      <c r="A983" s="122" t="s">
        <v>11137</v>
      </c>
      <c r="B983" s="122" t="s">
        <v>13834</v>
      </c>
      <c r="C983" s="113" t="str">
        <f t="shared" si="30"/>
        <v>HH.TH.DKG</v>
      </c>
      <c r="D983" s="113" t="s">
        <v>14556</v>
      </c>
      <c r="E983" s="113" t="str">
        <f t="shared" si="31"/>
        <v>DKG&lt;-&gt;Hoằng Hóa, Thanh Hóa</v>
      </c>
    </row>
    <row r="984" spans="1:5" x14ac:dyDescent="0.3">
      <c r="C984" s="113">
        <f t="shared" si="30"/>
        <v>0</v>
      </c>
      <c r="E984" s="113">
        <f t="shared" si="31"/>
        <v>0</v>
      </c>
    </row>
    <row r="985" spans="1:5" ht="15" thickBot="1" x14ac:dyDescent="0.35">
      <c r="A985" s="372" t="s">
        <v>11401</v>
      </c>
      <c r="B985" s="113" t="s">
        <v>15005</v>
      </c>
      <c r="C985" s="113" t="str">
        <f t="shared" si="30"/>
        <v>HS.HA</v>
      </c>
    </row>
    <row r="986" spans="1:5" x14ac:dyDescent="0.3">
      <c r="A986" s="381" t="s">
        <v>10790</v>
      </c>
      <c r="B986" s="382" t="s">
        <v>15006</v>
      </c>
      <c r="C986" s="383" t="s">
        <v>10790</v>
      </c>
      <c r="D986" s="383" t="s">
        <v>13876</v>
      </c>
      <c r="E986" s="384" t="s">
        <v>10791</v>
      </c>
    </row>
    <row r="987" spans="1:5" x14ac:dyDescent="0.3">
      <c r="A987" s="385" t="s">
        <v>10792</v>
      </c>
      <c r="B987" s="318" t="s">
        <v>15007</v>
      </c>
      <c r="C987" s="113" t="s">
        <v>10792</v>
      </c>
      <c r="D987" s="113" t="s">
        <v>13877</v>
      </c>
      <c r="E987" s="386" t="s">
        <v>10793</v>
      </c>
    </row>
    <row r="988" spans="1:5" x14ac:dyDescent="0.3">
      <c r="A988" s="385" t="s">
        <v>10794</v>
      </c>
      <c r="B988" s="318" t="s">
        <v>15008</v>
      </c>
      <c r="C988" s="113" t="s">
        <v>10794</v>
      </c>
      <c r="D988" s="113" t="s">
        <v>13878</v>
      </c>
      <c r="E988" s="386" t="s">
        <v>10795</v>
      </c>
    </row>
    <row r="989" spans="1:5" x14ac:dyDescent="0.3">
      <c r="A989" s="385" t="s">
        <v>11009</v>
      </c>
      <c r="B989" s="318" t="s">
        <v>15009</v>
      </c>
      <c r="C989" s="113" t="s">
        <v>11009</v>
      </c>
      <c r="D989" s="113" t="s">
        <v>13973</v>
      </c>
      <c r="E989" s="386" t="s">
        <v>11010</v>
      </c>
    </row>
    <row r="990" spans="1:5" x14ac:dyDescent="0.3">
      <c r="A990" s="385" t="s">
        <v>11011</v>
      </c>
      <c r="B990" s="318" t="s">
        <v>15010</v>
      </c>
      <c r="C990" s="113" t="s">
        <v>11011</v>
      </c>
      <c r="D990" s="113" t="s">
        <v>13974</v>
      </c>
      <c r="E990" s="386" t="s">
        <v>11012</v>
      </c>
    </row>
    <row r="991" spans="1:5" x14ac:dyDescent="0.3">
      <c r="A991" s="385" t="s">
        <v>11137</v>
      </c>
      <c r="B991" s="318" t="s">
        <v>15011</v>
      </c>
      <c r="C991" s="113" t="s">
        <v>11137</v>
      </c>
      <c r="D991" s="113" t="s">
        <v>14029</v>
      </c>
      <c r="E991" s="386" t="s">
        <v>11138</v>
      </c>
    </row>
    <row r="992" spans="1:5" x14ac:dyDescent="0.3">
      <c r="A992" s="385" t="s">
        <v>11139</v>
      </c>
      <c r="B992" s="318" t="s">
        <v>15012</v>
      </c>
      <c r="C992" s="113" t="s">
        <v>11139</v>
      </c>
      <c r="D992" s="113" t="s">
        <v>14030</v>
      </c>
      <c r="E992" s="386" t="s">
        <v>11140</v>
      </c>
    </row>
    <row r="993" spans="1:5" x14ac:dyDescent="0.3">
      <c r="A993" s="385" t="s">
        <v>11387</v>
      </c>
      <c r="B993" s="318" t="s">
        <v>15013</v>
      </c>
      <c r="C993" s="113" t="s">
        <v>11387</v>
      </c>
      <c r="D993" s="113" t="s">
        <v>14058</v>
      </c>
      <c r="E993" s="386" t="s">
        <v>11388</v>
      </c>
    </row>
    <row r="994" spans="1:5" x14ac:dyDescent="0.3">
      <c r="A994" s="385" t="s">
        <v>11389</v>
      </c>
      <c r="B994" s="318" t="s">
        <v>15014</v>
      </c>
      <c r="C994" s="113" t="s">
        <v>11389</v>
      </c>
      <c r="D994" s="113" t="s">
        <v>14059</v>
      </c>
      <c r="E994" s="386" t="s">
        <v>11390</v>
      </c>
    </row>
    <row r="995" spans="1:5" x14ac:dyDescent="0.3">
      <c r="A995" s="385" t="s">
        <v>11391</v>
      </c>
      <c r="B995" s="318" t="s">
        <v>15015</v>
      </c>
      <c r="C995" s="113" t="s">
        <v>11391</v>
      </c>
      <c r="D995" s="113" t="s">
        <v>14060</v>
      </c>
      <c r="E995" s="386" t="s">
        <v>11392</v>
      </c>
    </row>
    <row r="996" spans="1:5" x14ac:dyDescent="0.3">
      <c r="A996" s="385" t="s">
        <v>11409</v>
      </c>
      <c r="B996" s="318" t="s">
        <v>15016</v>
      </c>
      <c r="C996" s="113" t="s">
        <v>11409</v>
      </c>
      <c r="D996" s="113" t="s">
        <v>14068</v>
      </c>
      <c r="E996" s="386" t="s">
        <v>11410</v>
      </c>
    </row>
    <row r="997" spans="1:5" x14ac:dyDescent="0.3">
      <c r="A997" s="385" t="s">
        <v>11411</v>
      </c>
      <c r="B997" s="318" t="s">
        <v>15017</v>
      </c>
      <c r="C997" s="113" t="s">
        <v>11411</v>
      </c>
      <c r="D997" s="113" t="s">
        <v>14069</v>
      </c>
      <c r="E997" s="386" t="s">
        <v>11412</v>
      </c>
    </row>
    <row r="998" spans="1:5" x14ac:dyDescent="0.3">
      <c r="A998" s="385" t="s">
        <v>11539</v>
      </c>
      <c r="B998" s="318" t="s">
        <v>15018</v>
      </c>
      <c r="C998" s="113" t="s">
        <v>11539</v>
      </c>
      <c r="D998" s="113" t="s">
        <v>14128</v>
      </c>
      <c r="E998" s="386" t="s">
        <v>11540</v>
      </c>
    </row>
    <row r="999" spans="1:5" x14ac:dyDescent="0.3">
      <c r="A999" s="385" t="s">
        <v>11631</v>
      </c>
      <c r="B999" s="318" t="s">
        <v>15019</v>
      </c>
      <c r="C999" s="113" t="s">
        <v>11631</v>
      </c>
      <c r="D999" s="113" t="s">
        <v>14165</v>
      </c>
      <c r="E999" s="386" t="s">
        <v>11632</v>
      </c>
    </row>
    <row r="1000" spans="1:5" x14ac:dyDescent="0.3">
      <c r="A1000" s="385" t="s">
        <v>11647</v>
      </c>
      <c r="B1000" s="318" t="s">
        <v>15020</v>
      </c>
      <c r="C1000" s="113" t="s">
        <v>11647</v>
      </c>
      <c r="D1000" s="113" t="s">
        <v>14173</v>
      </c>
      <c r="E1000" s="386" t="s">
        <v>11648</v>
      </c>
    </row>
    <row r="1001" spans="1:5" x14ac:dyDescent="0.3">
      <c r="A1001" s="385" t="s">
        <v>11685</v>
      </c>
      <c r="B1001" s="318" t="s">
        <v>15021</v>
      </c>
      <c r="C1001" s="113" t="s">
        <v>11685</v>
      </c>
      <c r="D1001" s="113" t="s">
        <v>14192</v>
      </c>
      <c r="E1001" s="386" t="s">
        <v>11686</v>
      </c>
    </row>
    <row r="1002" spans="1:5" x14ac:dyDescent="0.3">
      <c r="A1002" s="385" t="s">
        <v>11687</v>
      </c>
      <c r="B1002" s="318" t="s">
        <v>15022</v>
      </c>
      <c r="C1002" s="113" t="s">
        <v>11687</v>
      </c>
      <c r="D1002" s="113" t="s">
        <v>14193</v>
      </c>
      <c r="E1002" s="386" t="s">
        <v>11688</v>
      </c>
    </row>
    <row r="1003" spans="1:5" x14ac:dyDescent="0.3">
      <c r="A1003" s="385" t="s">
        <v>11689</v>
      </c>
      <c r="B1003" s="318" t="s">
        <v>15023</v>
      </c>
      <c r="C1003" s="113" t="s">
        <v>11689</v>
      </c>
      <c r="D1003" s="113" t="s">
        <v>14194</v>
      </c>
      <c r="E1003" s="386" t="s">
        <v>11690</v>
      </c>
    </row>
    <row r="1004" spans="1:5" x14ac:dyDescent="0.3">
      <c r="A1004" s="385" t="s">
        <v>11702</v>
      </c>
      <c r="B1004" s="318" t="s">
        <v>15024</v>
      </c>
      <c r="C1004" s="113" t="s">
        <v>11702</v>
      </c>
      <c r="D1004" s="113" t="s">
        <v>14200</v>
      </c>
      <c r="E1004" s="386" t="s">
        <v>11703</v>
      </c>
    </row>
    <row r="1005" spans="1:5" x14ac:dyDescent="0.3">
      <c r="A1005" s="385" t="s">
        <v>11847</v>
      </c>
      <c r="B1005" s="318" t="s">
        <v>15025</v>
      </c>
      <c r="C1005" s="113" t="s">
        <v>11847</v>
      </c>
      <c r="D1005" s="113" t="s">
        <v>14272</v>
      </c>
      <c r="E1005" s="386" t="s">
        <v>11848</v>
      </c>
    </row>
    <row r="1006" spans="1:5" x14ac:dyDescent="0.3">
      <c r="A1006" s="385" t="s">
        <v>11883</v>
      </c>
      <c r="B1006" s="318" t="s">
        <v>15026</v>
      </c>
      <c r="C1006" s="113" t="s">
        <v>11883</v>
      </c>
      <c r="D1006" s="113" t="s">
        <v>14290</v>
      </c>
      <c r="E1006" s="386" t="s">
        <v>11884</v>
      </c>
    </row>
    <row r="1007" spans="1:5" x14ac:dyDescent="0.3">
      <c r="A1007" s="385" t="s">
        <v>11885</v>
      </c>
      <c r="B1007" s="318" t="s">
        <v>15027</v>
      </c>
      <c r="C1007" s="113" t="s">
        <v>11885</v>
      </c>
      <c r="D1007" s="113" t="s">
        <v>14291</v>
      </c>
      <c r="E1007" s="386" t="s">
        <v>11886</v>
      </c>
    </row>
    <row r="1008" spans="1:5" x14ac:dyDescent="0.3">
      <c r="A1008" s="385" t="s">
        <v>11887</v>
      </c>
      <c r="B1008" s="318" t="s">
        <v>15028</v>
      </c>
      <c r="C1008" s="113" t="s">
        <v>11887</v>
      </c>
      <c r="D1008" s="113" t="s">
        <v>14292</v>
      </c>
      <c r="E1008" s="386" t="s">
        <v>11888</v>
      </c>
    </row>
    <row r="1009" spans="1:5" x14ac:dyDescent="0.3">
      <c r="A1009" s="385" t="s">
        <v>11905</v>
      </c>
      <c r="B1009" s="318" t="s">
        <v>15029</v>
      </c>
      <c r="C1009" s="113" t="s">
        <v>11905</v>
      </c>
      <c r="D1009" s="113" t="s">
        <v>14296</v>
      </c>
      <c r="E1009" s="386" t="s">
        <v>11906</v>
      </c>
    </row>
    <row r="1010" spans="1:5" x14ac:dyDescent="0.3">
      <c r="A1010" s="385" t="s">
        <v>11907</v>
      </c>
      <c r="B1010" s="318" t="s">
        <v>15030</v>
      </c>
      <c r="C1010" s="113" t="s">
        <v>11907</v>
      </c>
      <c r="D1010" s="113" t="s">
        <v>14297</v>
      </c>
      <c r="E1010" s="386" t="s">
        <v>11908</v>
      </c>
    </row>
    <row r="1011" spans="1:5" x14ac:dyDescent="0.3">
      <c r="A1011" s="385" t="s">
        <v>11931</v>
      </c>
      <c r="B1011" s="318" t="s">
        <v>15031</v>
      </c>
      <c r="C1011" s="113" t="s">
        <v>11931</v>
      </c>
      <c r="D1011" s="113" t="s">
        <v>14309</v>
      </c>
      <c r="E1011" s="386" t="s">
        <v>11932</v>
      </c>
    </row>
    <row r="1012" spans="1:5" x14ac:dyDescent="0.3">
      <c r="A1012" s="385" t="s">
        <v>11933</v>
      </c>
      <c r="B1012" s="318" t="s">
        <v>15032</v>
      </c>
      <c r="C1012" s="113" t="s">
        <v>11933</v>
      </c>
      <c r="D1012" s="113" t="s">
        <v>14310</v>
      </c>
      <c r="E1012" s="386" t="s">
        <v>11934</v>
      </c>
    </row>
    <row r="1013" spans="1:5" x14ac:dyDescent="0.3">
      <c r="A1013" s="385" t="s">
        <v>11969</v>
      </c>
      <c r="B1013" s="318" t="s">
        <v>15033</v>
      </c>
      <c r="C1013" s="113" t="s">
        <v>11969</v>
      </c>
      <c r="D1013" s="113" t="s">
        <v>14328</v>
      </c>
      <c r="E1013" s="386" t="s">
        <v>11970</v>
      </c>
    </row>
    <row r="1014" spans="1:5" x14ac:dyDescent="0.3">
      <c r="A1014" s="385" t="s">
        <v>11971</v>
      </c>
      <c r="B1014" s="318" t="s">
        <v>15034</v>
      </c>
      <c r="C1014" s="113" t="s">
        <v>11971</v>
      </c>
      <c r="D1014" s="113" t="s">
        <v>14329</v>
      </c>
      <c r="E1014" s="386" t="s">
        <v>11972</v>
      </c>
    </row>
    <row r="1015" spans="1:5" x14ac:dyDescent="0.3">
      <c r="A1015" s="385" t="s">
        <v>11973</v>
      </c>
      <c r="B1015" s="318" t="s">
        <v>15035</v>
      </c>
      <c r="C1015" s="113" t="s">
        <v>11973</v>
      </c>
      <c r="D1015" s="113" t="s">
        <v>14330</v>
      </c>
      <c r="E1015" s="386" t="s">
        <v>11974</v>
      </c>
    </row>
    <row r="1016" spans="1:5" x14ac:dyDescent="0.3">
      <c r="A1016" s="385" t="s">
        <v>11983</v>
      </c>
      <c r="B1016" s="318" t="s">
        <v>15036</v>
      </c>
      <c r="C1016" s="113" t="s">
        <v>11983</v>
      </c>
      <c r="D1016" s="113" t="s">
        <v>14335</v>
      </c>
      <c r="E1016" s="386" t="s">
        <v>11984</v>
      </c>
    </row>
    <row r="1017" spans="1:5" x14ac:dyDescent="0.3">
      <c r="A1017" s="385" t="s">
        <v>11989</v>
      </c>
      <c r="B1017" s="318" t="s">
        <v>15037</v>
      </c>
      <c r="C1017" s="113" t="s">
        <v>11989</v>
      </c>
      <c r="D1017" s="113" t="s">
        <v>14338</v>
      </c>
      <c r="E1017" s="386" t="s">
        <v>11990</v>
      </c>
    </row>
    <row r="1018" spans="1:5" x14ac:dyDescent="0.3">
      <c r="A1018" s="385" t="s">
        <v>12140</v>
      </c>
      <c r="B1018" s="318" t="s">
        <v>15038</v>
      </c>
      <c r="C1018" s="113" t="s">
        <v>12140</v>
      </c>
      <c r="D1018" s="113" t="s">
        <v>14411</v>
      </c>
      <c r="E1018" s="386" t="s">
        <v>12141</v>
      </c>
    </row>
    <row r="1019" spans="1:5" x14ac:dyDescent="0.3">
      <c r="A1019" s="385" t="s">
        <v>12142</v>
      </c>
      <c r="B1019" s="318" t="s">
        <v>15039</v>
      </c>
      <c r="C1019" s="113" t="s">
        <v>12142</v>
      </c>
      <c r="D1019" s="113" t="s">
        <v>14412</v>
      </c>
      <c r="E1019" s="386" t="s">
        <v>12143</v>
      </c>
    </row>
    <row r="1020" spans="1:5" x14ac:dyDescent="0.3">
      <c r="A1020" s="385" t="s">
        <v>12186</v>
      </c>
      <c r="B1020" s="318" t="s">
        <v>15040</v>
      </c>
      <c r="C1020" s="113" t="s">
        <v>12186</v>
      </c>
      <c r="D1020" s="113" t="s">
        <v>14434</v>
      </c>
      <c r="E1020" s="386" t="s">
        <v>12187</v>
      </c>
    </row>
    <row r="1021" spans="1:5" x14ac:dyDescent="0.3">
      <c r="A1021" s="385" t="s">
        <v>12188</v>
      </c>
      <c r="B1021" s="318" t="s">
        <v>15041</v>
      </c>
      <c r="C1021" s="113" t="s">
        <v>12188</v>
      </c>
      <c r="D1021" s="113" t="s">
        <v>14435</v>
      </c>
      <c r="E1021" s="386" t="s">
        <v>12189</v>
      </c>
    </row>
    <row r="1022" spans="1:5" x14ac:dyDescent="0.3">
      <c r="A1022" s="385" t="s">
        <v>12210</v>
      </c>
      <c r="B1022" s="318" t="s">
        <v>15042</v>
      </c>
      <c r="C1022" s="113" t="s">
        <v>12210</v>
      </c>
      <c r="D1022" s="113" t="s">
        <v>14446</v>
      </c>
      <c r="E1022" s="386" t="s">
        <v>12211</v>
      </c>
    </row>
    <row r="1023" spans="1:5" x14ac:dyDescent="0.3">
      <c r="A1023" s="385" t="s">
        <v>12242</v>
      </c>
      <c r="B1023" s="318" t="s">
        <v>15043</v>
      </c>
      <c r="C1023" s="113" t="s">
        <v>12242</v>
      </c>
      <c r="D1023" s="113" t="s">
        <v>14462</v>
      </c>
      <c r="E1023" s="386" t="s">
        <v>12243</v>
      </c>
    </row>
    <row r="1024" spans="1:5" x14ac:dyDescent="0.3">
      <c r="A1024" s="385" t="s">
        <v>12244</v>
      </c>
      <c r="B1024" s="318" t="s">
        <v>15044</v>
      </c>
      <c r="C1024" s="113" t="s">
        <v>12244</v>
      </c>
      <c r="D1024" s="113" t="s">
        <v>14463</v>
      </c>
      <c r="E1024" s="386" t="s">
        <v>12245</v>
      </c>
    </row>
    <row r="1025" spans="1:5" x14ac:dyDescent="0.3">
      <c r="A1025" s="385" t="s">
        <v>12246</v>
      </c>
      <c r="B1025" s="318" t="s">
        <v>15045</v>
      </c>
      <c r="C1025" s="113" t="s">
        <v>12246</v>
      </c>
      <c r="D1025" s="113" t="s">
        <v>14464</v>
      </c>
      <c r="E1025" s="386" t="s">
        <v>12247</v>
      </c>
    </row>
    <row r="1026" spans="1:5" x14ac:dyDescent="0.3">
      <c r="A1026" s="385" t="s">
        <v>12617</v>
      </c>
      <c r="B1026" s="318" t="s">
        <v>15046</v>
      </c>
      <c r="C1026" s="113" t="s">
        <v>12617</v>
      </c>
      <c r="D1026" s="113" t="s">
        <v>14525</v>
      </c>
      <c r="E1026" s="386" t="s">
        <v>12618</v>
      </c>
    </row>
    <row r="1027" spans="1:5" x14ac:dyDescent="0.3">
      <c r="A1027" s="385" t="s">
        <v>12619</v>
      </c>
      <c r="B1027" s="318" t="s">
        <v>15047</v>
      </c>
      <c r="C1027" s="113" t="s">
        <v>12619</v>
      </c>
      <c r="D1027" s="113" t="s">
        <v>14526</v>
      </c>
      <c r="E1027" s="386" t="s">
        <v>12620</v>
      </c>
    </row>
    <row r="1028" spans="1:5" x14ac:dyDescent="0.3">
      <c r="A1028" s="385" t="s">
        <v>11137</v>
      </c>
      <c r="B1028" s="318" t="s">
        <v>15048</v>
      </c>
      <c r="C1028" s="113" t="s">
        <v>11137</v>
      </c>
      <c r="D1028" s="113" t="s">
        <v>14556</v>
      </c>
      <c r="E1028" s="386" t="s">
        <v>13834</v>
      </c>
    </row>
    <row r="1029" spans="1:5" ht="15" thickBot="1" x14ac:dyDescent="0.35">
      <c r="A1029" s="387" t="s">
        <v>12140</v>
      </c>
      <c r="B1029" s="388" t="s">
        <v>15049</v>
      </c>
      <c r="C1029" s="388" t="s">
        <v>12140</v>
      </c>
      <c r="D1029" s="388" t="s">
        <v>14574</v>
      </c>
      <c r="E1029" s="389"/>
    </row>
    <row r="1030" spans="1:5" x14ac:dyDescent="0.3">
      <c r="A1030" s="122" t="s">
        <v>12057</v>
      </c>
      <c r="B1030" s="122" t="s">
        <v>15050</v>
      </c>
      <c r="C1030" s="113" t="str">
        <f t="shared" ref="C1030" si="32">+A1030</f>
        <v>TNX.HP.DKG</v>
      </c>
      <c r="D1030" s="113" t="s">
        <v>14369</v>
      </c>
      <c r="E1030" s="113" t="str">
        <f t="shared" ref="E1030" si="33">B1030</f>
        <v>DKG&lt;-&gt;Thủy Nguyên, Hải Phòng</v>
      </c>
    </row>
    <row r="1046" spans="3:5" x14ac:dyDescent="0.3">
      <c r="C1046" s="113">
        <f t="shared" ref="C1046:C1091" si="34">+A1046</f>
        <v>0</v>
      </c>
      <c r="E1046" s="113">
        <f t="shared" ref="E1046:E1091" si="35">B1046</f>
        <v>0</v>
      </c>
    </row>
    <row r="1047" spans="3:5" x14ac:dyDescent="0.3">
      <c r="C1047" s="113">
        <f t="shared" si="34"/>
        <v>0</v>
      </c>
      <c r="E1047" s="113">
        <f t="shared" si="35"/>
        <v>0</v>
      </c>
    </row>
    <row r="1048" spans="3:5" x14ac:dyDescent="0.3">
      <c r="C1048" s="113">
        <f t="shared" si="34"/>
        <v>0</v>
      </c>
      <c r="E1048" s="113">
        <f t="shared" si="35"/>
        <v>0</v>
      </c>
    </row>
    <row r="1049" spans="3:5" x14ac:dyDescent="0.3">
      <c r="C1049" s="113">
        <f t="shared" si="34"/>
        <v>0</v>
      </c>
      <c r="E1049" s="113">
        <f t="shared" si="35"/>
        <v>0</v>
      </c>
    </row>
    <row r="1050" spans="3:5" x14ac:dyDescent="0.3">
      <c r="C1050" s="113">
        <f t="shared" si="34"/>
        <v>0</v>
      </c>
      <c r="E1050" s="113">
        <f t="shared" si="35"/>
        <v>0</v>
      </c>
    </row>
    <row r="1051" spans="3:5" x14ac:dyDescent="0.3">
      <c r="C1051" s="113">
        <f t="shared" si="34"/>
        <v>0</v>
      </c>
      <c r="E1051" s="113">
        <f t="shared" si="35"/>
        <v>0</v>
      </c>
    </row>
    <row r="1052" spans="3:5" x14ac:dyDescent="0.3">
      <c r="C1052" s="113">
        <f t="shared" si="34"/>
        <v>0</v>
      </c>
      <c r="E1052" s="113">
        <f t="shared" si="35"/>
        <v>0</v>
      </c>
    </row>
    <row r="1053" spans="3:5" x14ac:dyDescent="0.3">
      <c r="C1053" s="113">
        <f t="shared" si="34"/>
        <v>0</v>
      </c>
      <c r="E1053" s="113">
        <f t="shared" si="35"/>
        <v>0</v>
      </c>
    </row>
    <row r="1054" spans="3:5" x14ac:dyDescent="0.3">
      <c r="C1054" s="113">
        <f t="shared" si="34"/>
        <v>0</v>
      </c>
      <c r="E1054" s="113">
        <f t="shared" si="35"/>
        <v>0</v>
      </c>
    </row>
    <row r="1055" spans="3:5" x14ac:dyDescent="0.3">
      <c r="C1055" s="113">
        <f t="shared" si="34"/>
        <v>0</v>
      </c>
      <c r="E1055" s="113">
        <f t="shared" si="35"/>
        <v>0</v>
      </c>
    </row>
    <row r="1056" spans="3:5" x14ac:dyDescent="0.3">
      <c r="C1056" s="113">
        <f t="shared" si="34"/>
        <v>0</v>
      </c>
      <c r="E1056" s="113">
        <f t="shared" si="35"/>
        <v>0</v>
      </c>
    </row>
    <row r="1057" spans="3:5" x14ac:dyDescent="0.3">
      <c r="C1057" s="113">
        <f t="shared" si="34"/>
        <v>0</v>
      </c>
      <c r="E1057" s="113">
        <f t="shared" si="35"/>
        <v>0</v>
      </c>
    </row>
    <row r="1058" spans="3:5" x14ac:dyDescent="0.3">
      <c r="C1058" s="113">
        <f t="shared" si="34"/>
        <v>0</v>
      </c>
      <c r="E1058" s="113">
        <f t="shared" si="35"/>
        <v>0</v>
      </c>
    </row>
    <row r="1059" spans="3:5" x14ac:dyDescent="0.3">
      <c r="C1059" s="113">
        <f t="shared" si="34"/>
        <v>0</v>
      </c>
      <c r="E1059" s="113">
        <f t="shared" si="35"/>
        <v>0</v>
      </c>
    </row>
    <row r="1060" spans="3:5" x14ac:dyDescent="0.3">
      <c r="C1060" s="113">
        <f t="shared" si="34"/>
        <v>0</v>
      </c>
      <c r="E1060" s="113">
        <f t="shared" si="35"/>
        <v>0</v>
      </c>
    </row>
    <row r="1061" spans="3:5" x14ac:dyDescent="0.3">
      <c r="C1061" s="113">
        <f t="shared" si="34"/>
        <v>0</v>
      </c>
      <c r="E1061" s="113">
        <f t="shared" si="35"/>
        <v>0</v>
      </c>
    </row>
    <row r="1062" spans="3:5" x14ac:dyDescent="0.3">
      <c r="C1062" s="113">
        <f t="shared" si="34"/>
        <v>0</v>
      </c>
      <c r="E1062" s="113">
        <f t="shared" si="35"/>
        <v>0</v>
      </c>
    </row>
    <row r="1063" spans="3:5" x14ac:dyDescent="0.3">
      <c r="C1063" s="113">
        <f t="shared" si="34"/>
        <v>0</v>
      </c>
      <c r="E1063" s="113">
        <f t="shared" si="35"/>
        <v>0</v>
      </c>
    </row>
    <row r="1064" spans="3:5" x14ac:dyDescent="0.3">
      <c r="C1064" s="113">
        <f t="shared" si="34"/>
        <v>0</v>
      </c>
      <c r="E1064" s="113">
        <f t="shared" si="35"/>
        <v>0</v>
      </c>
    </row>
    <row r="1065" spans="3:5" x14ac:dyDescent="0.3">
      <c r="C1065" s="113">
        <f t="shared" si="34"/>
        <v>0</v>
      </c>
      <c r="E1065" s="113">
        <f t="shared" si="35"/>
        <v>0</v>
      </c>
    </row>
    <row r="1066" spans="3:5" x14ac:dyDescent="0.3">
      <c r="C1066" s="113">
        <f t="shared" si="34"/>
        <v>0</v>
      </c>
      <c r="E1066" s="113">
        <f t="shared" si="35"/>
        <v>0</v>
      </c>
    </row>
    <row r="1067" spans="3:5" x14ac:dyDescent="0.3">
      <c r="C1067" s="113">
        <f t="shared" si="34"/>
        <v>0</v>
      </c>
      <c r="E1067" s="113">
        <f t="shared" si="35"/>
        <v>0</v>
      </c>
    </row>
    <row r="1068" spans="3:5" x14ac:dyDescent="0.3">
      <c r="C1068" s="113">
        <f t="shared" si="34"/>
        <v>0</v>
      </c>
      <c r="E1068" s="113">
        <f t="shared" si="35"/>
        <v>0</v>
      </c>
    </row>
    <row r="1069" spans="3:5" x14ac:dyDescent="0.3">
      <c r="C1069" s="113">
        <f t="shared" si="34"/>
        <v>0</v>
      </c>
      <c r="E1069" s="113">
        <f t="shared" si="35"/>
        <v>0</v>
      </c>
    </row>
    <row r="1070" spans="3:5" x14ac:dyDescent="0.3">
      <c r="C1070" s="113">
        <f t="shared" si="34"/>
        <v>0</v>
      </c>
      <c r="E1070" s="113">
        <f t="shared" si="35"/>
        <v>0</v>
      </c>
    </row>
    <row r="1071" spans="3:5" x14ac:dyDescent="0.3">
      <c r="C1071" s="113">
        <f t="shared" si="34"/>
        <v>0</v>
      </c>
      <c r="E1071" s="113">
        <f t="shared" si="35"/>
        <v>0</v>
      </c>
    </row>
    <row r="1072" spans="3:5" x14ac:dyDescent="0.3">
      <c r="C1072" s="113">
        <f t="shared" si="34"/>
        <v>0</v>
      </c>
      <c r="E1072" s="113">
        <f t="shared" si="35"/>
        <v>0</v>
      </c>
    </row>
    <row r="1073" spans="3:5" x14ac:dyDescent="0.3">
      <c r="C1073" s="113">
        <f t="shared" si="34"/>
        <v>0</v>
      </c>
      <c r="E1073" s="113">
        <f t="shared" si="35"/>
        <v>0</v>
      </c>
    </row>
    <row r="1074" spans="3:5" x14ac:dyDescent="0.3">
      <c r="C1074" s="113">
        <f t="shared" si="34"/>
        <v>0</v>
      </c>
      <c r="E1074" s="113">
        <f t="shared" si="35"/>
        <v>0</v>
      </c>
    </row>
    <row r="1075" spans="3:5" x14ac:dyDescent="0.3">
      <c r="C1075" s="113">
        <f t="shared" si="34"/>
        <v>0</v>
      </c>
      <c r="E1075" s="113">
        <f t="shared" si="35"/>
        <v>0</v>
      </c>
    </row>
    <row r="1076" spans="3:5" x14ac:dyDescent="0.3">
      <c r="C1076" s="113">
        <f t="shared" si="34"/>
        <v>0</v>
      </c>
      <c r="E1076" s="113">
        <f t="shared" si="35"/>
        <v>0</v>
      </c>
    </row>
    <row r="1077" spans="3:5" x14ac:dyDescent="0.3">
      <c r="C1077" s="113">
        <f t="shared" si="34"/>
        <v>0</v>
      </c>
      <c r="E1077" s="113">
        <f t="shared" si="35"/>
        <v>0</v>
      </c>
    </row>
    <row r="1078" spans="3:5" x14ac:dyDescent="0.3">
      <c r="C1078" s="113">
        <f t="shared" si="34"/>
        <v>0</v>
      </c>
      <c r="E1078" s="113">
        <f t="shared" si="35"/>
        <v>0</v>
      </c>
    </row>
    <row r="1079" spans="3:5" x14ac:dyDescent="0.3">
      <c r="C1079" s="113">
        <f t="shared" si="34"/>
        <v>0</v>
      </c>
      <c r="E1079" s="113">
        <f t="shared" si="35"/>
        <v>0</v>
      </c>
    </row>
    <row r="1080" spans="3:5" x14ac:dyDescent="0.3">
      <c r="C1080" s="113">
        <f t="shared" si="34"/>
        <v>0</v>
      </c>
      <c r="E1080" s="113">
        <f t="shared" si="35"/>
        <v>0</v>
      </c>
    </row>
    <row r="1081" spans="3:5" x14ac:dyDescent="0.3">
      <c r="C1081" s="113">
        <f t="shared" si="34"/>
        <v>0</v>
      </c>
      <c r="E1081" s="113">
        <f t="shared" si="35"/>
        <v>0</v>
      </c>
    </row>
    <row r="1082" spans="3:5" x14ac:dyDescent="0.3">
      <c r="C1082" s="113">
        <f t="shared" si="34"/>
        <v>0</v>
      </c>
      <c r="E1082" s="113">
        <f t="shared" si="35"/>
        <v>0</v>
      </c>
    </row>
    <row r="1083" spans="3:5" x14ac:dyDescent="0.3">
      <c r="C1083" s="113">
        <f t="shared" si="34"/>
        <v>0</v>
      </c>
      <c r="E1083" s="113">
        <f t="shared" si="35"/>
        <v>0</v>
      </c>
    </row>
    <row r="1084" spans="3:5" x14ac:dyDescent="0.3">
      <c r="C1084" s="113">
        <f t="shared" si="34"/>
        <v>0</v>
      </c>
      <c r="E1084" s="113">
        <f t="shared" si="35"/>
        <v>0</v>
      </c>
    </row>
    <row r="1085" spans="3:5" x14ac:dyDescent="0.3">
      <c r="C1085" s="113">
        <f t="shared" si="34"/>
        <v>0</v>
      </c>
      <c r="E1085" s="113">
        <f t="shared" si="35"/>
        <v>0</v>
      </c>
    </row>
    <row r="1086" spans="3:5" x14ac:dyDescent="0.3">
      <c r="C1086" s="113">
        <f t="shared" si="34"/>
        <v>0</v>
      </c>
      <c r="E1086" s="113">
        <f t="shared" si="35"/>
        <v>0</v>
      </c>
    </row>
    <row r="1087" spans="3:5" x14ac:dyDescent="0.3">
      <c r="C1087" s="113">
        <f t="shared" si="34"/>
        <v>0</v>
      </c>
      <c r="E1087" s="113">
        <f t="shared" si="35"/>
        <v>0</v>
      </c>
    </row>
    <row r="1088" spans="3:5" x14ac:dyDescent="0.3">
      <c r="C1088" s="113">
        <f t="shared" si="34"/>
        <v>0</v>
      </c>
      <c r="E1088" s="113">
        <f t="shared" si="35"/>
        <v>0</v>
      </c>
    </row>
    <row r="1089" spans="3:5" x14ac:dyDescent="0.3">
      <c r="C1089" s="113">
        <f t="shared" si="34"/>
        <v>0</v>
      </c>
      <c r="E1089" s="113">
        <f t="shared" si="35"/>
        <v>0</v>
      </c>
    </row>
    <row r="1090" spans="3:5" x14ac:dyDescent="0.3">
      <c r="C1090" s="113">
        <f t="shared" si="34"/>
        <v>0</v>
      </c>
      <c r="E1090" s="113">
        <f t="shared" si="35"/>
        <v>0</v>
      </c>
    </row>
    <row r="1091" spans="3:5" x14ac:dyDescent="0.3">
      <c r="C1091" s="113">
        <f t="shared" si="34"/>
        <v>0</v>
      </c>
      <c r="E1091" s="113">
        <f t="shared" si="35"/>
        <v>0</v>
      </c>
    </row>
    <row r="1092" spans="3:5" x14ac:dyDescent="0.3">
      <c r="C1092" s="113">
        <f t="shared" ref="C1092:C1155" si="36">+A1092</f>
        <v>0</v>
      </c>
      <c r="E1092" s="113">
        <f t="shared" ref="E1092:E1155" si="37">B1092</f>
        <v>0</v>
      </c>
    </row>
    <row r="1093" spans="3:5" x14ac:dyDescent="0.3">
      <c r="C1093" s="113">
        <f t="shared" si="36"/>
        <v>0</v>
      </c>
      <c r="E1093" s="113">
        <f t="shared" si="37"/>
        <v>0</v>
      </c>
    </row>
    <row r="1094" spans="3:5" x14ac:dyDescent="0.3">
      <c r="C1094" s="113">
        <f t="shared" si="36"/>
        <v>0</v>
      </c>
      <c r="E1094" s="113">
        <f t="shared" si="37"/>
        <v>0</v>
      </c>
    </row>
    <row r="1095" spans="3:5" x14ac:dyDescent="0.3">
      <c r="C1095" s="113">
        <f t="shared" si="36"/>
        <v>0</v>
      </c>
      <c r="E1095" s="113">
        <f t="shared" si="37"/>
        <v>0</v>
      </c>
    </row>
    <row r="1096" spans="3:5" x14ac:dyDescent="0.3">
      <c r="C1096" s="113">
        <f t="shared" si="36"/>
        <v>0</v>
      </c>
      <c r="E1096" s="113">
        <f t="shared" si="37"/>
        <v>0</v>
      </c>
    </row>
    <row r="1097" spans="3:5" x14ac:dyDescent="0.3">
      <c r="C1097" s="113">
        <f t="shared" si="36"/>
        <v>0</v>
      </c>
      <c r="E1097" s="113">
        <f t="shared" si="37"/>
        <v>0</v>
      </c>
    </row>
    <row r="1098" spans="3:5" x14ac:dyDescent="0.3">
      <c r="C1098" s="113">
        <f t="shared" si="36"/>
        <v>0</v>
      </c>
      <c r="E1098" s="113">
        <f t="shared" si="37"/>
        <v>0</v>
      </c>
    </row>
    <row r="1099" spans="3:5" x14ac:dyDescent="0.3">
      <c r="C1099" s="113">
        <f t="shared" si="36"/>
        <v>0</v>
      </c>
      <c r="E1099" s="113">
        <f t="shared" si="37"/>
        <v>0</v>
      </c>
    </row>
    <row r="1100" spans="3:5" x14ac:dyDescent="0.3">
      <c r="C1100" s="113">
        <f t="shared" si="36"/>
        <v>0</v>
      </c>
      <c r="E1100" s="113">
        <f t="shared" si="37"/>
        <v>0</v>
      </c>
    </row>
    <row r="1101" spans="3:5" x14ac:dyDescent="0.3">
      <c r="C1101" s="113">
        <f t="shared" si="36"/>
        <v>0</v>
      </c>
      <c r="E1101" s="113">
        <f t="shared" si="37"/>
        <v>0</v>
      </c>
    </row>
    <row r="1102" spans="3:5" x14ac:dyDescent="0.3">
      <c r="C1102" s="113">
        <f t="shared" si="36"/>
        <v>0</v>
      </c>
      <c r="E1102" s="113">
        <f t="shared" si="37"/>
        <v>0</v>
      </c>
    </row>
    <row r="1103" spans="3:5" x14ac:dyDescent="0.3">
      <c r="C1103" s="113">
        <f t="shared" si="36"/>
        <v>0</v>
      </c>
      <c r="E1103" s="113">
        <f t="shared" si="37"/>
        <v>0</v>
      </c>
    </row>
    <row r="1104" spans="3:5" x14ac:dyDescent="0.3">
      <c r="C1104" s="113">
        <f t="shared" si="36"/>
        <v>0</v>
      </c>
      <c r="E1104" s="113">
        <f t="shared" si="37"/>
        <v>0</v>
      </c>
    </row>
    <row r="1105" spans="3:5" x14ac:dyDescent="0.3">
      <c r="C1105" s="113">
        <f t="shared" si="36"/>
        <v>0</v>
      </c>
      <c r="E1105" s="113">
        <f t="shared" si="37"/>
        <v>0</v>
      </c>
    </row>
    <row r="1106" spans="3:5" x14ac:dyDescent="0.3">
      <c r="C1106" s="113">
        <f t="shared" si="36"/>
        <v>0</v>
      </c>
      <c r="E1106" s="113">
        <f t="shared" si="37"/>
        <v>0</v>
      </c>
    </row>
    <row r="1107" spans="3:5" x14ac:dyDescent="0.3">
      <c r="C1107" s="113">
        <f t="shared" si="36"/>
        <v>0</v>
      </c>
      <c r="E1107" s="113">
        <f t="shared" si="37"/>
        <v>0</v>
      </c>
    </row>
    <row r="1108" spans="3:5" x14ac:dyDescent="0.3">
      <c r="C1108" s="113">
        <f t="shared" si="36"/>
        <v>0</v>
      </c>
      <c r="E1108" s="113">
        <f t="shared" si="37"/>
        <v>0</v>
      </c>
    </row>
    <row r="1109" spans="3:5" x14ac:dyDescent="0.3">
      <c r="C1109" s="113">
        <f t="shared" si="36"/>
        <v>0</v>
      </c>
      <c r="E1109" s="113">
        <f t="shared" si="37"/>
        <v>0</v>
      </c>
    </row>
    <row r="1110" spans="3:5" x14ac:dyDescent="0.3">
      <c r="C1110" s="113">
        <f t="shared" si="36"/>
        <v>0</v>
      </c>
      <c r="E1110" s="113">
        <f t="shared" si="37"/>
        <v>0</v>
      </c>
    </row>
    <row r="1111" spans="3:5" x14ac:dyDescent="0.3">
      <c r="C1111" s="113">
        <f t="shared" si="36"/>
        <v>0</v>
      </c>
      <c r="E1111" s="113">
        <f t="shared" si="37"/>
        <v>0</v>
      </c>
    </row>
    <row r="1112" spans="3:5" x14ac:dyDescent="0.3">
      <c r="C1112" s="113">
        <f t="shared" si="36"/>
        <v>0</v>
      </c>
      <c r="E1112" s="113">
        <f t="shared" si="37"/>
        <v>0</v>
      </c>
    </row>
    <row r="1113" spans="3:5" x14ac:dyDescent="0.3">
      <c r="C1113" s="113">
        <f t="shared" si="36"/>
        <v>0</v>
      </c>
      <c r="E1113" s="113">
        <f t="shared" si="37"/>
        <v>0</v>
      </c>
    </row>
    <row r="1114" spans="3:5" x14ac:dyDescent="0.3">
      <c r="C1114" s="113">
        <f t="shared" si="36"/>
        <v>0</v>
      </c>
      <c r="E1114" s="113">
        <f t="shared" si="37"/>
        <v>0</v>
      </c>
    </row>
    <row r="1115" spans="3:5" x14ac:dyDescent="0.3">
      <c r="C1115" s="113">
        <f t="shared" si="36"/>
        <v>0</v>
      </c>
      <c r="E1115" s="113">
        <f t="shared" si="37"/>
        <v>0</v>
      </c>
    </row>
    <row r="1116" spans="3:5" x14ac:dyDescent="0.3">
      <c r="C1116" s="113">
        <f t="shared" si="36"/>
        <v>0</v>
      </c>
      <c r="E1116" s="113">
        <f t="shared" si="37"/>
        <v>0</v>
      </c>
    </row>
    <row r="1117" spans="3:5" x14ac:dyDescent="0.3">
      <c r="C1117" s="113">
        <f t="shared" si="36"/>
        <v>0</v>
      </c>
      <c r="E1117" s="113">
        <f t="shared" si="37"/>
        <v>0</v>
      </c>
    </row>
    <row r="1118" spans="3:5" x14ac:dyDescent="0.3">
      <c r="C1118" s="113">
        <f t="shared" si="36"/>
        <v>0</v>
      </c>
      <c r="E1118" s="113">
        <f t="shared" si="37"/>
        <v>0</v>
      </c>
    </row>
    <row r="1119" spans="3:5" x14ac:dyDescent="0.3">
      <c r="C1119" s="113">
        <f t="shared" si="36"/>
        <v>0</v>
      </c>
      <c r="E1119" s="113">
        <f t="shared" si="37"/>
        <v>0</v>
      </c>
    </row>
    <row r="1120" spans="3:5" x14ac:dyDescent="0.3">
      <c r="C1120" s="113">
        <f t="shared" si="36"/>
        <v>0</v>
      </c>
      <c r="E1120" s="113">
        <f t="shared" si="37"/>
        <v>0</v>
      </c>
    </row>
    <row r="1121" spans="3:5" x14ac:dyDescent="0.3">
      <c r="C1121" s="113">
        <f t="shared" si="36"/>
        <v>0</v>
      </c>
      <c r="E1121" s="113">
        <f t="shared" si="37"/>
        <v>0</v>
      </c>
    </row>
    <row r="1122" spans="3:5" x14ac:dyDescent="0.3">
      <c r="C1122" s="113">
        <f t="shared" si="36"/>
        <v>0</v>
      </c>
      <c r="E1122" s="113">
        <f t="shared" si="37"/>
        <v>0</v>
      </c>
    </row>
    <row r="1123" spans="3:5" x14ac:dyDescent="0.3">
      <c r="C1123" s="113">
        <f t="shared" si="36"/>
        <v>0</v>
      </c>
      <c r="E1123" s="113">
        <f t="shared" si="37"/>
        <v>0</v>
      </c>
    </row>
    <row r="1124" spans="3:5" x14ac:dyDescent="0.3">
      <c r="C1124" s="113">
        <f t="shared" si="36"/>
        <v>0</v>
      </c>
      <c r="E1124" s="113">
        <f t="shared" si="37"/>
        <v>0</v>
      </c>
    </row>
    <row r="1125" spans="3:5" x14ac:dyDescent="0.3">
      <c r="C1125" s="113">
        <f t="shared" si="36"/>
        <v>0</v>
      </c>
      <c r="E1125" s="113">
        <f t="shared" si="37"/>
        <v>0</v>
      </c>
    </row>
    <row r="1126" spans="3:5" x14ac:dyDescent="0.3">
      <c r="C1126" s="113">
        <f t="shared" si="36"/>
        <v>0</v>
      </c>
      <c r="E1126" s="113">
        <f t="shared" si="37"/>
        <v>0</v>
      </c>
    </row>
    <row r="1127" spans="3:5" x14ac:dyDescent="0.3">
      <c r="C1127" s="113">
        <f t="shared" si="36"/>
        <v>0</v>
      </c>
      <c r="E1127" s="113">
        <f t="shared" si="37"/>
        <v>0</v>
      </c>
    </row>
    <row r="1128" spans="3:5" x14ac:dyDescent="0.3">
      <c r="C1128" s="113">
        <f t="shared" si="36"/>
        <v>0</v>
      </c>
      <c r="E1128" s="113">
        <f t="shared" si="37"/>
        <v>0</v>
      </c>
    </row>
    <row r="1129" spans="3:5" x14ac:dyDescent="0.3">
      <c r="C1129" s="113">
        <f t="shared" si="36"/>
        <v>0</v>
      </c>
      <c r="E1129" s="113">
        <f t="shared" si="37"/>
        <v>0</v>
      </c>
    </row>
    <row r="1130" spans="3:5" x14ac:dyDescent="0.3">
      <c r="C1130" s="113">
        <f t="shared" si="36"/>
        <v>0</v>
      </c>
      <c r="E1130" s="113">
        <f t="shared" si="37"/>
        <v>0</v>
      </c>
    </row>
    <row r="1131" spans="3:5" x14ac:dyDescent="0.3">
      <c r="C1131" s="113">
        <f t="shared" si="36"/>
        <v>0</v>
      </c>
      <c r="E1131" s="113">
        <f t="shared" si="37"/>
        <v>0</v>
      </c>
    </row>
    <row r="1132" spans="3:5" x14ac:dyDescent="0.3">
      <c r="C1132" s="113">
        <f t="shared" si="36"/>
        <v>0</v>
      </c>
      <c r="E1132" s="113">
        <f t="shared" si="37"/>
        <v>0</v>
      </c>
    </row>
    <row r="1133" spans="3:5" x14ac:dyDescent="0.3">
      <c r="C1133" s="113">
        <f t="shared" si="36"/>
        <v>0</v>
      </c>
      <c r="E1133" s="113">
        <f t="shared" si="37"/>
        <v>0</v>
      </c>
    </row>
    <row r="1134" spans="3:5" x14ac:dyDescent="0.3">
      <c r="C1134" s="113">
        <f t="shared" si="36"/>
        <v>0</v>
      </c>
      <c r="E1134" s="113">
        <f t="shared" si="37"/>
        <v>0</v>
      </c>
    </row>
    <row r="1135" spans="3:5" x14ac:dyDescent="0.3">
      <c r="C1135" s="113">
        <f t="shared" si="36"/>
        <v>0</v>
      </c>
      <c r="E1135" s="113">
        <f t="shared" si="37"/>
        <v>0</v>
      </c>
    </row>
    <row r="1136" spans="3:5" x14ac:dyDescent="0.3">
      <c r="C1136" s="113">
        <f t="shared" si="36"/>
        <v>0</v>
      </c>
      <c r="E1136" s="113">
        <f t="shared" si="37"/>
        <v>0</v>
      </c>
    </row>
    <row r="1137" spans="3:5" x14ac:dyDescent="0.3">
      <c r="C1137" s="113">
        <f t="shared" si="36"/>
        <v>0</v>
      </c>
      <c r="E1137" s="113">
        <f t="shared" si="37"/>
        <v>0</v>
      </c>
    </row>
    <row r="1138" spans="3:5" x14ac:dyDescent="0.3">
      <c r="C1138" s="113">
        <f t="shared" si="36"/>
        <v>0</v>
      </c>
      <c r="E1138" s="113">
        <f t="shared" si="37"/>
        <v>0</v>
      </c>
    </row>
    <row r="1139" spans="3:5" x14ac:dyDescent="0.3">
      <c r="C1139" s="113">
        <f t="shared" si="36"/>
        <v>0</v>
      </c>
      <c r="E1139" s="113">
        <f t="shared" si="37"/>
        <v>0</v>
      </c>
    </row>
    <row r="1140" spans="3:5" x14ac:dyDescent="0.3">
      <c r="C1140" s="113">
        <f t="shared" si="36"/>
        <v>0</v>
      </c>
      <c r="E1140" s="113">
        <f t="shared" si="37"/>
        <v>0</v>
      </c>
    </row>
    <row r="1141" spans="3:5" x14ac:dyDescent="0.3">
      <c r="C1141" s="113">
        <f t="shared" si="36"/>
        <v>0</v>
      </c>
      <c r="E1141" s="113">
        <f t="shared" si="37"/>
        <v>0</v>
      </c>
    </row>
    <row r="1142" spans="3:5" x14ac:dyDescent="0.3">
      <c r="C1142" s="113">
        <f t="shared" si="36"/>
        <v>0</v>
      </c>
      <c r="E1142" s="113">
        <f t="shared" si="37"/>
        <v>0</v>
      </c>
    </row>
    <row r="1143" spans="3:5" x14ac:dyDescent="0.3">
      <c r="C1143" s="113">
        <f t="shared" si="36"/>
        <v>0</v>
      </c>
      <c r="E1143" s="113">
        <f t="shared" si="37"/>
        <v>0</v>
      </c>
    </row>
    <row r="1144" spans="3:5" x14ac:dyDescent="0.3">
      <c r="C1144" s="113">
        <f t="shared" si="36"/>
        <v>0</v>
      </c>
      <c r="E1144" s="113">
        <f t="shared" si="37"/>
        <v>0</v>
      </c>
    </row>
    <row r="1145" spans="3:5" x14ac:dyDescent="0.3">
      <c r="C1145" s="113">
        <f t="shared" si="36"/>
        <v>0</v>
      </c>
      <c r="E1145" s="113">
        <f t="shared" si="37"/>
        <v>0</v>
      </c>
    </row>
    <row r="1146" spans="3:5" x14ac:dyDescent="0.3">
      <c r="C1146" s="113">
        <f t="shared" si="36"/>
        <v>0</v>
      </c>
      <c r="E1146" s="113">
        <f t="shared" si="37"/>
        <v>0</v>
      </c>
    </row>
    <row r="1147" spans="3:5" x14ac:dyDescent="0.3">
      <c r="C1147" s="113">
        <f t="shared" si="36"/>
        <v>0</v>
      </c>
      <c r="E1147" s="113">
        <f t="shared" si="37"/>
        <v>0</v>
      </c>
    </row>
    <row r="1148" spans="3:5" x14ac:dyDescent="0.3">
      <c r="C1148" s="113">
        <f t="shared" si="36"/>
        <v>0</v>
      </c>
      <c r="E1148" s="113">
        <f t="shared" si="37"/>
        <v>0</v>
      </c>
    </row>
    <row r="1149" spans="3:5" x14ac:dyDescent="0.3">
      <c r="C1149" s="113">
        <f t="shared" si="36"/>
        <v>0</v>
      </c>
      <c r="E1149" s="113">
        <f t="shared" si="37"/>
        <v>0</v>
      </c>
    </row>
    <row r="1150" spans="3:5" x14ac:dyDescent="0.3">
      <c r="C1150" s="113">
        <f t="shared" si="36"/>
        <v>0</v>
      </c>
      <c r="E1150" s="113">
        <f t="shared" si="37"/>
        <v>0</v>
      </c>
    </row>
    <row r="1151" spans="3:5" x14ac:dyDescent="0.3">
      <c r="C1151" s="113">
        <f t="shared" si="36"/>
        <v>0</v>
      </c>
      <c r="E1151" s="113">
        <f t="shared" si="37"/>
        <v>0</v>
      </c>
    </row>
    <row r="1152" spans="3:5" x14ac:dyDescent="0.3">
      <c r="C1152" s="113">
        <f t="shared" si="36"/>
        <v>0</v>
      </c>
      <c r="E1152" s="113">
        <f t="shared" si="37"/>
        <v>0</v>
      </c>
    </row>
    <row r="1153" spans="3:5" x14ac:dyDescent="0.3">
      <c r="C1153" s="113">
        <f t="shared" si="36"/>
        <v>0</v>
      </c>
      <c r="E1153" s="113">
        <f t="shared" si="37"/>
        <v>0</v>
      </c>
    </row>
    <row r="1154" spans="3:5" x14ac:dyDescent="0.3">
      <c r="C1154" s="113">
        <f t="shared" si="36"/>
        <v>0</v>
      </c>
      <c r="E1154" s="113">
        <f t="shared" si="37"/>
        <v>0</v>
      </c>
    </row>
    <row r="1155" spans="3:5" x14ac:dyDescent="0.3">
      <c r="C1155" s="113">
        <f t="shared" si="36"/>
        <v>0</v>
      </c>
      <c r="E1155" s="113">
        <f t="shared" si="37"/>
        <v>0</v>
      </c>
    </row>
    <row r="1156" spans="3:5" x14ac:dyDescent="0.3">
      <c r="C1156" s="113">
        <f t="shared" ref="C1156:C1219" si="38">+A1156</f>
        <v>0</v>
      </c>
      <c r="E1156" s="113">
        <f t="shared" ref="E1156:E1219" si="39">B1156</f>
        <v>0</v>
      </c>
    </row>
    <row r="1157" spans="3:5" x14ac:dyDescent="0.3">
      <c r="C1157" s="113">
        <f t="shared" si="38"/>
        <v>0</v>
      </c>
      <c r="E1157" s="113">
        <f t="shared" si="39"/>
        <v>0</v>
      </c>
    </row>
    <row r="1158" spans="3:5" x14ac:dyDescent="0.3">
      <c r="C1158" s="113">
        <f t="shared" si="38"/>
        <v>0</v>
      </c>
      <c r="E1158" s="113">
        <f t="shared" si="39"/>
        <v>0</v>
      </c>
    </row>
    <row r="1159" spans="3:5" x14ac:dyDescent="0.3">
      <c r="C1159" s="113">
        <f t="shared" si="38"/>
        <v>0</v>
      </c>
      <c r="E1159" s="113">
        <f t="shared" si="39"/>
        <v>0</v>
      </c>
    </row>
    <row r="1160" spans="3:5" x14ac:dyDescent="0.3">
      <c r="C1160" s="113">
        <f t="shared" si="38"/>
        <v>0</v>
      </c>
      <c r="E1160" s="113">
        <f t="shared" si="39"/>
        <v>0</v>
      </c>
    </row>
    <row r="1161" spans="3:5" x14ac:dyDescent="0.3">
      <c r="C1161" s="113">
        <f t="shared" si="38"/>
        <v>0</v>
      </c>
      <c r="E1161" s="113">
        <f t="shared" si="39"/>
        <v>0</v>
      </c>
    </row>
    <row r="1162" spans="3:5" x14ac:dyDescent="0.3">
      <c r="C1162" s="113">
        <f t="shared" si="38"/>
        <v>0</v>
      </c>
      <c r="E1162" s="113">
        <f t="shared" si="39"/>
        <v>0</v>
      </c>
    </row>
    <row r="1163" spans="3:5" x14ac:dyDescent="0.3">
      <c r="C1163" s="113">
        <f t="shared" si="38"/>
        <v>0</v>
      </c>
      <c r="E1163" s="113">
        <f t="shared" si="39"/>
        <v>0</v>
      </c>
    </row>
    <row r="1164" spans="3:5" x14ac:dyDescent="0.3">
      <c r="C1164" s="113">
        <f t="shared" si="38"/>
        <v>0</v>
      </c>
      <c r="E1164" s="113">
        <f t="shared" si="39"/>
        <v>0</v>
      </c>
    </row>
    <row r="1165" spans="3:5" x14ac:dyDescent="0.3">
      <c r="C1165" s="113">
        <f t="shared" si="38"/>
        <v>0</v>
      </c>
      <c r="E1165" s="113">
        <f t="shared" si="39"/>
        <v>0</v>
      </c>
    </row>
    <row r="1166" spans="3:5" x14ac:dyDescent="0.3">
      <c r="C1166" s="113">
        <f t="shared" si="38"/>
        <v>0</v>
      </c>
      <c r="E1166" s="113">
        <f t="shared" si="39"/>
        <v>0</v>
      </c>
    </row>
    <row r="1167" spans="3:5" x14ac:dyDescent="0.3">
      <c r="C1167" s="113">
        <f t="shared" si="38"/>
        <v>0</v>
      </c>
      <c r="E1167" s="113">
        <f t="shared" si="39"/>
        <v>0</v>
      </c>
    </row>
    <row r="1168" spans="3:5" x14ac:dyDescent="0.3">
      <c r="C1168" s="113">
        <f t="shared" si="38"/>
        <v>0</v>
      </c>
      <c r="E1168" s="113">
        <f t="shared" si="39"/>
        <v>0</v>
      </c>
    </row>
    <row r="1169" spans="3:5" x14ac:dyDescent="0.3">
      <c r="C1169" s="113">
        <f t="shared" si="38"/>
        <v>0</v>
      </c>
      <c r="E1169" s="113">
        <f t="shared" si="39"/>
        <v>0</v>
      </c>
    </row>
    <row r="1170" spans="3:5" x14ac:dyDescent="0.3">
      <c r="C1170" s="113">
        <f t="shared" si="38"/>
        <v>0</v>
      </c>
      <c r="E1170" s="113">
        <f t="shared" si="39"/>
        <v>0</v>
      </c>
    </row>
    <row r="1171" spans="3:5" x14ac:dyDescent="0.3">
      <c r="C1171" s="113">
        <f t="shared" si="38"/>
        <v>0</v>
      </c>
      <c r="E1171" s="113">
        <f t="shared" si="39"/>
        <v>0</v>
      </c>
    </row>
    <row r="1172" spans="3:5" x14ac:dyDescent="0.3">
      <c r="C1172" s="113">
        <f t="shared" si="38"/>
        <v>0</v>
      </c>
      <c r="E1172" s="113">
        <f t="shared" si="39"/>
        <v>0</v>
      </c>
    </row>
    <row r="1173" spans="3:5" x14ac:dyDescent="0.3">
      <c r="C1173" s="113">
        <f t="shared" si="38"/>
        <v>0</v>
      </c>
      <c r="E1173" s="113">
        <f t="shared" si="39"/>
        <v>0</v>
      </c>
    </row>
    <row r="1174" spans="3:5" x14ac:dyDescent="0.3">
      <c r="C1174" s="113">
        <f t="shared" si="38"/>
        <v>0</v>
      </c>
      <c r="E1174" s="113">
        <f t="shared" si="39"/>
        <v>0</v>
      </c>
    </row>
    <row r="1175" spans="3:5" x14ac:dyDescent="0.3">
      <c r="C1175" s="113">
        <f t="shared" si="38"/>
        <v>0</v>
      </c>
      <c r="E1175" s="113">
        <f t="shared" si="39"/>
        <v>0</v>
      </c>
    </row>
    <row r="1176" spans="3:5" x14ac:dyDescent="0.3">
      <c r="C1176" s="113">
        <f t="shared" si="38"/>
        <v>0</v>
      </c>
      <c r="E1176" s="113">
        <f t="shared" si="39"/>
        <v>0</v>
      </c>
    </row>
    <row r="1177" spans="3:5" x14ac:dyDescent="0.3">
      <c r="C1177" s="113">
        <f t="shared" si="38"/>
        <v>0</v>
      </c>
      <c r="E1177" s="113">
        <f t="shared" si="39"/>
        <v>0</v>
      </c>
    </row>
    <row r="1178" spans="3:5" x14ac:dyDescent="0.3">
      <c r="C1178" s="113">
        <f t="shared" si="38"/>
        <v>0</v>
      </c>
      <c r="E1178" s="113">
        <f t="shared" si="39"/>
        <v>0</v>
      </c>
    </row>
    <row r="1179" spans="3:5" x14ac:dyDescent="0.3">
      <c r="C1179" s="113">
        <f t="shared" si="38"/>
        <v>0</v>
      </c>
      <c r="E1179" s="113">
        <f t="shared" si="39"/>
        <v>0</v>
      </c>
    </row>
    <row r="1180" spans="3:5" x14ac:dyDescent="0.3">
      <c r="C1180" s="113">
        <f t="shared" si="38"/>
        <v>0</v>
      </c>
      <c r="E1180" s="113">
        <f t="shared" si="39"/>
        <v>0</v>
      </c>
    </row>
    <row r="1181" spans="3:5" x14ac:dyDescent="0.3">
      <c r="C1181" s="113">
        <f t="shared" si="38"/>
        <v>0</v>
      </c>
      <c r="E1181" s="113">
        <f t="shared" si="39"/>
        <v>0</v>
      </c>
    </row>
    <row r="1182" spans="3:5" x14ac:dyDescent="0.3">
      <c r="C1182" s="113">
        <f t="shared" si="38"/>
        <v>0</v>
      </c>
      <c r="E1182" s="113">
        <f t="shared" si="39"/>
        <v>0</v>
      </c>
    </row>
    <row r="1183" spans="3:5" x14ac:dyDescent="0.3">
      <c r="C1183" s="113">
        <f t="shared" si="38"/>
        <v>0</v>
      </c>
      <c r="E1183" s="113">
        <f t="shared" si="39"/>
        <v>0</v>
      </c>
    </row>
    <row r="1184" spans="3:5" x14ac:dyDescent="0.3">
      <c r="C1184" s="113">
        <f t="shared" si="38"/>
        <v>0</v>
      </c>
      <c r="E1184" s="113">
        <f t="shared" si="39"/>
        <v>0</v>
      </c>
    </row>
    <row r="1185" spans="3:5" x14ac:dyDescent="0.3">
      <c r="C1185" s="113">
        <f t="shared" si="38"/>
        <v>0</v>
      </c>
      <c r="E1185" s="113">
        <f t="shared" si="39"/>
        <v>0</v>
      </c>
    </row>
    <row r="1186" spans="3:5" x14ac:dyDescent="0.3">
      <c r="C1186" s="113">
        <f t="shared" si="38"/>
        <v>0</v>
      </c>
      <c r="E1186" s="113">
        <f t="shared" si="39"/>
        <v>0</v>
      </c>
    </row>
    <row r="1187" spans="3:5" x14ac:dyDescent="0.3">
      <c r="C1187" s="113">
        <f t="shared" si="38"/>
        <v>0</v>
      </c>
      <c r="E1187" s="113">
        <f t="shared" si="39"/>
        <v>0</v>
      </c>
    </row>
    <row r="1188" spans="3:5" x14ac:dyDescent="0.3">
      <c r="C1188" s="113">
        <f t="shared" si="38"/>
        <v>0</v>
      </c>
      <c r="E1188" s="113">
        <f t="shared" si="39"/>
        <v>0</v>
      </c>
    </row>
    <row r="1189" spans="3:5" x14ac:dyDescent="0.3">
      <c r="C1189" s="113">
        <f t="shared" si="38"/>
        <v>0</v>
      </c>
      <c r="E1189" s="113">
        <f t="shared" si="39"/>
        <v>0</v>
      </c>
    </row>
    <row r="1190" spans="3:5" x14ac:dyDescent="0.3">
      <c r="C1190" s="113">
        <f t="shared" si="38"/>
        <v>0</v>
      </c>
      <c r="E1190" s="113">
        <f t="shared" si="39"/>
        <v>0</v>
      </c>
    </row>
    <row r="1191" spans="3:5" x14ac:dyDescent="0.3">
      <c r="C1191" s="113">
        <f t="shared" si="38"/>
        <v>0</v>
      </c>
      <c r="E1191" s="113">
        <f t="shared" si="39"/>
        <v>0</v>
      </c>
    </row>
    <row r="1192" spans="3:5" x14ac:dyDescent="0.3">
      <c r="C1192" s="113">
        <f t="shared" si="38"/>
        <v>0</v>
      </c>
      <c r="E1192" s="113">
        <f t="shared" si="39"/>
        <v>0</v>
      </c>
    </row>
    <row r="1193" spans="3:5" x14ac:dyDescent="0.3">
      <c r="C1193" s="113">
        <f t="shared" si="38"/>
        <v>0</v>
      </c>
      <c r="E1193" s="113">
        <f t="shared" si="39"/>
        <v>0</v>
      </c>
    </row>
    <row r="1194" spans="3:5" x14ac:dyDescent="0.3">
      <c r="C1194" s="113">
        <f t="shared" si="38"/>
        <v>0</v>
      </c>
      <c r="E1194" s="113">
        <f t="shared" si="39"/>
        <v>0</v>
      </c>
    </row>
    <row r="1195" spans="3:5" x14ac:dyDescent="0.3">
      <c r="C1195" s="113">
        <f t="shared" si="38"/>
        <v>0</v>
      </c>
      <c r="E1195" s="113">
        <f t="shared" si="39"/>
        <v>0</v>
      </c>
    </row>
    <row r="1196" spans="3:5" x14ac:dyDescent="0.3">
      <c r="C1196" s="113">
        <f t="shared" si="38"/>
        <v>0</v>
      </c>
      <c r="E1196" s="113">
        <f t="shared" si="39"/>
        <v>0</v>
      </c>
    </row>
    <row r="1197" spans="3:5" x14ac:dyDescent="0.3">
      <c r="C1197" s="113">
        <f t="shared" si="38"/>
        <v>0</v>
      </c>
      <c r="E1197" s="113">
        <f t="shared" si="39"/>
        <v>0</v>
      </c>
    </row>
    <row r="1198" spans="3:5" x14ac:dyDescent="0.3">
      <c r="C1198" s="113">
        <f t="shared" si="38"/>
        <v>0</v>
      </c>
      <c r="E1198" s="113">
        <f t="shared" si="39"/>
        <v>0</v>
      </c>
    </row>
    <row r="1199" spans="3:5" x14ac:dyDescent="0.3">
      <c r="C1199" s="113">
        <f t="shared" si="38"/>
        <v>0</v>
      </c>
      <c r="E1199" s="113">
        <f t="shared" si="39"/>
        <v>0</v>
      </c>
    </row>
    <row r="1200" spans="3:5" x14ac:dyDescent="0.3">
      <c r="C1200" s="113">
        <f t="shared" si="38"/>
        <v>0</v>
      </c>
      <c r="E1200" s="113">
        <f t="shared" si="39"/>
        <v>0</v>
      </c>
    </row>
    <row r="1201" spans="3:5" x14ac:dyDescent="0.3">
      <c r="C1201" s="113">
        <f t="shared" si="38"/>
        <v>0</v>
      </c>
      <c r="E1201" s="113">
        <f t="shared" si="39"/>
        <v>0</v>
      </c>
    </row>
    <row r="1202" spans="3:5" x14ac:dyDescent="0.3">
      <c r="C1202" s="113">
        <f t="shared" si="38"/>
        <v>0</v>
      </c>
      <c r="E1202" s="113">
        <f t="shared" si="39"/>
        <v>0</v>
      </c>
    </row>
    <row r="1203" spans="3:5" x14ac:dyDescent="0.3">
      <c r="C1203" s="113">
        <f t="shared" si="38"/>
        <v>0</v>
      </c>
      <c r="E1203" s="113">
        <f t="shared" si="39"/>
        <v>0</v>
      </c>
    </row>
    <row r="1204" spans="3:5" x14ac:dyDescent="0.3">
      <c r="C1204" s="113">
        <f t="shared" si="38"/>
        <v>0</v>
      </c>
      <c r="E1204" s="113">
        <f t="shared" si="39"/>
        <v>0</v>
      </c>
    </row>
    <row r="1205" spans="3:5" x14ac:dyDescent="0.3">
      <c r="C1205" s="113">
        <f t="shared" si="38"/>
        <v>0</v>
      </c>
      <c r="E1205" s="113">
        <f t="shared" si="39"/>
        <v>0</v>
      </c>
    </row>
    <row r="1206" spans="3:5" x14ac:dyDescent="0.3">
      <c r="C1206" s="113">
        <f t="shared" si="38"/>
        <v>0</v>
      </c>
      <c r="E1206" s="113">
        <f t="shared" si="39"/>
        <v>0</v>
      </c>
    </row>
    <row r="1207" spans="3:5" x14ac:dyDescent="0.3">
      <c r="C1207" s="113">
        <f t="shared" si="38"/>
        <v>0</v>
      </c>
      <c r="E1207" s="113">
        <f t="shared" si="39"/>
        <v>0</v>
      </c>
    </row>
    <row r="1208" spans="3:5" x14ac:dyDescent="0.3">
      <c r="C1208" s="113">
        <f t="shared" si="38"/>
        <v>0</v>
      </c>
      <c r="E1208" s="113">
        <f t="shared" si="39"/>
        <v>0</v>
      </c>
    </row>
    <row r="1209" spans="3:5" x14ac:dyDescent="0.3">
      <c r="C1209" s="113">
        <f t="shared" si="38"/>
        <v>0</v>
      </c>
      <c r="E1209" s="113">
        <f t="shared" si="39"/>
        <v>0</v>
      </c>
    </row>
    <row r="1210" spans="3:5" x14ac:dyDescent="0.3">
      <c r="C1210" s="113">
        <f t="shared" si="38"/>
        <v>0</v>
      </c>
      <c r="E1210" s="113">
        <f t="shared" si="39"/>
        <v>0</v>
      </c>
    </row>
    <row r="1211" spans="3:5" x14ac:dyDescent="0.3">
      <c r="C1211" s="113">
        <f t="shared" si="38"/>
        <v>0</v>
      </c>
      <c r="E1211" s="113">
        <f t="shared" si="39"/>
        <v>0</v>
      </c>
    </row>
    <row r="1212" spans="3:5" x14ac:dyDescent="0.3">
      <c r="C1212" s="113">
        <f t="shared" si="38"/>
        <v>0</v>
      </c>
      <c r="E1212" s="113">
        <f t="shared" si="39"/>
        <v>0</v>
      </c>
    </row>
    <row r="1213" spans="3:5" x14ac:dyDescent="0.3">
      <c r="C1213" s="113">
        <f t="shared" si="38"/>
        <v>0</v>
      </c>
      <c r="E1213" s="113">
        <f t="shared" si="39"/>
        <v>0</v>
      </c>
    </row>
    <row r="1214" spans="3:5" x14ac:dyDescent="0.3">
      <c r="C1214" s="113">
        <f t="shared" si="38"/>
        <v>0</v>
      </c>
      <c r="E1214" s="113">
        <f t="shared" si="39"/>
        <v>0</v>
      </c>
    </row>
    <row r="1215" spans="3:5" x14ac:dyDescent="0.3">
      <c r="C1215" s="113">
        <f t="shared" si="38"/>
        <v>0</v>
      </c>
      <c r="E1215" s="113">
        <f t="shared" si="39"/>
        <v>0</v>
      </c>
    </row>
    <row r="1216" spans="3:5" x14ac:dyDescent="0.3">
      <c r="C1216" s="113">
        <f t="shared" si="38"/>
        <v>0</v>
      </c>
      <c r="E1216" s="113">
        <f t="shared" si="39"/>
        <v>0</v>
      </c>
    </row>
    <row r="1217" spans="3:5" x14ac:dyDescent="0.3">
      <c r="C1217" s="113">
        <f t="shared" si="38"/>
        <v>0</v>
      </c>
      <c r="E1217" s="113">
        <f t="shared" si="39"/>
        <v>0</v>
      </c>
    </row>
    <row r="1218" spans="3:5" x14ac:dyDescent="0.3">
      <c r="C1218" s="113">
        <f t="shared" si="38"/>
        <v>0</v>
      </c>
      <c r="E1218" s="113">
        <f t="shared" si="39"/>
        <v>0</v>
      </c>
    </row>
    <row r="1219" spans="3:5" x14ac:dyDescent="0.3">
      <c r="C1219" s="113">
        <f t="shared" si="38"/>
        <v>0</v>
      </c>
      <c r="E1219" s="113">
        <f t="shared" si="39"/>
        <v>0</v>
      </c>
    </row>
    <row r="1220" spans="3:5" x14ac:dyDescent="0.3">
      <c r="C1220" s="113">
        <f t="shared" ref="C1220:C1283" si="40">+A1220</f>
        <v>0</v>
      </c>
      <c r="E1220" s="113">
        <f t="shared" ref="E1220:E1229" si="41">B1220</f>
        <v>0</v>
      </c>
    </row>
    <row r="1221" spans="3:5" x14ac:dyDescent="0.3">
      <c r="C1221" s="113">
        <f t="shared" si="40"/>
        <v>0</v>
      </c>
      <c r="E1221" s="113">
        <f t="shared" si="41"/>
        <v>0</v>
      </c>
    </row>
    <row r="1222" spans="3:5" x14ac:dyDescent="0.3">
      <c r="C1222" s="113">
        <f t="shared" si="40"/>
        <v>0</v>
      </c>
      <c r="E1222" s="113">
        <f t="shared" si="41"/>
        <v>0</v>
      </c>
    </row>
    <row r="1223" spans="3:5" x14ac:dyDescent="0.3">
      <c r="C1223" s="113">
        <f t="shared" si="40"/>
        <v>0</v>
      </c>
      <c r="E1223" s="113">
        <f t="shared" si="41"/>
        <v>0</v>
      </c>
    </row>
    <row r="1224" spans="3:5" x14ac:dyDescent="0.3">
      <c r="C1224" s="113">
        <f t="shared" si="40"/>
        <v>0</v>
      </c>
      <c r="E1224" s="113">
        <f t="shared" si="41"/>
        <v>0</v>
      </c>
    </row>
    <row r="1225" spans="3:5" x14ac:dyDescent="0.3">
      <c r="C1225" s="113">
        <f t="shared" si="40"/>
        <v>0</v>
      </c>
      <c r="E1225" s="113">
        <f t="shared" si="41"/>
        <v>0</v>
      </c>
    </row>
    <row r="1226" spans="3:5" x14ac:dyDescent="0.3">
      <c r="C1226" s="113">
        <f t="shared" si="40"/>
        <v>0</v>
      </c>
      <c r="E1226" s="113">
        <f t="shared" si="41"/>
        <v>0</v>
      </c>
    </row>
    <row r="1227" spans="3:5" x14ac:dyDescent="0.3">
      <c r="C1227" s="113">
        <f t="shared" si="40"/>
        <v>0</v>
      </c>
      <c r="E1227" s="113">
        <f t="shared" si="41"/>
        <v>0</v>
      </c>
    </row>
    <row r="1228" spans="3:5" x14ac:dyDescent="0.3">
      <c r="C1228" s="113">
        <f t="shared" si="40"/>
        <v>0</v>
      </c>
      <c r="E1228" s="113">
        <f t="shared" si="41"/>
        <v>0</v>
      </c>
    </row>
    <row r="1229" spans="3:5" x14ac:dyDescent="0.3">
      <c r="C1229" s="113">
        <f t="shared" si="40"/>
        <v>0</v>
      </c>
      <c r="E1229" s="113">
        <f t="shared" si="41"/>
        <v>0</v>
      </c>
    </row>
    <row r="1230" spans="3:5" x14ac:dyDescent="0.3">
      <c r="C1230" s="113">
        <f t="shared" si="40"/>
        <v>0</v>
      </c>
    </row>
    <row r="1231" spans="3:5" x14ac:dyDescent="0.3">
      <c r="C1231" s="113">
        <f t="shared" si="40"/>
        <v>0</v>
      </c>
    </row>
    <row r="1232" spans="3:5" x14ac:dyDescent="0.3">
      <c r="C1232" s="113">
        <f t="shared" si="40"/>
        <v>0</v>
      </c>
    </row>
    <row r="1233" spans="3:3" x14ac:dyDescent="0.3">
      <c r="C1233" s="113">
        <f t="shared" si="40"/>
        <v>0</v>
      </c>
    </row>
    <row r="1234" spans="3:3" x14ac:dyDescent="0.3">
      <c r="C1234" s="113">
        <f t="shared" si="40"/>
        <v>0</v>
      </c>
    </row>
    <row r="1235" spans="3:3" x14ac:dyDescent="0.3">
      <c r="C1235" s="113">
        <f t="shared" si="40"/>
        <v>0</v>
      </c>
    </row>
    <row r="1236" spans="3:3" x14ac:dyDescent="0.3">
      <c r="C1236" s="113">
        <f t="shared" si="40"/>
        <v>0</v>
      </c>
    </row>
    <row r="1237" spans="3:3" x14ac:dyDescent="0.3">
      <c r="C1237" s="113">
        <f t="shared" si="40"/>
        <v>0</v>
      </c>
    </row>
    <row r="1238" spans="3:3" x14ac:dyDescent="0.3">
      <c r="C1238" s="113">
        <f t="shared" si="40"/>
        <v>0</v>
      </c>
    </row>
    <row r="1239" spans="3:3" x14ac:dyDescent="0.3">
      <c r="C1239" s="113">
        <f t="shared" si="40"/>
        <v>0</v>
      </c>
    </row>
    <row r="1240" spans="3:3" x14ac:dyDescent="0.3">
      <c r="C1240" s="113">
        <f t="shared" si="40"/>
        <v>0</v>
      </c>
    </row>
    <row r="1241" spans="3:3" x14ac:dyDescent="0.3">
      <c r="C1241" s="113">
        <f t="shared" si="40"/>
        <v>0</v>
      </c>
    </row>
    <row r="1242" spans="3:3" x14ac:dyDescent="0.3">
      <c r="C1242" s="113">
        <f t="shared" si="40"/>
        <v>0</v>
      </c>
    </row>
    <row r="1243" spans="3:3" x14ac:dyDescent="0.3">
      <c r="C1243" s="113">
        <f t="shared" si="40"/>
        <v>0</v>
      </c>
    </row>
    <row r="1244" spans="3:3" x14ac:dyDescent="0.3">
      <c r="C1244" s="113">
        <f t="shared" si="40"/>
        <v>0</v>
      </c>
    </row>
    <row r="1245" spans="3:3" x14ac:dyDescent="0.3">
      <c r="C1245" s="113">
        <f t="shared" si="40"/>
        <v>0</v>
      </c>
    </row>
    <row r="1246" spans="3:3" x14ac:dyDescent="0.3">
      <c r="C1246" s="113">
        <f t="shared" si="40"/>
        <v>0</v>
      </c>
    </row>
    <row r="1247" spans="3:3" x14ac:dyDescent="0.3">
      <c r="C1247" s="113">
        <f t="shared" si="40"/>
        <v>0</v>
      </c>
    </row>
    <row r="1248" spans="3:3" x14ac:dyDescent="0.3">
      <c r="C1248" s="113">
        <f t="shared" si="40"/>
        <v>0</v>
      </c>
    </row>
    <row r="1249" spans="3:3" x14ac:dyDescent="0.3">
      <c r="C1249" s="113">
        <f t="shared" si="40"/>
        <v>0</v>
      </c>
    </row>
    <row r="1250" spans="3:3" x14ac:dyDescent="0.3">
      <c r="C1250" s="113">
        <f t="shared" si="40"/>
        <v>0</v>
      </c>
    </row>
    <row r="1251" spans="3:3" x14ac:dyDescent="0.3">
      <c r="C1251" s="113">
        <f t="shared" si="40"/>
        <v>0</v>
      </c>
    </row>
    <row r="1252" spans="3:3" x14ac:dyDescent="0.3">
      <c r="C1252" s="113">
        <f t="shared" si="40"/>
        <v>0</v>
      </c>
    </row>
    <row r="1253" spans="3:3" x14ac:dyDescent="0.3">
      <c r="C1253" s="113">
        <f t="shared" si="40"/>
        <v>0</v>
      </c>
    </row>
    <row r="1254" spans="3:3" x14ac:dyDescent="0.3">
      <c r="C1254" s="113">
        <f t="shared" si="40"/>
        <v>0</v>
      </c>
    </row>
    <row r="1255" spans="3:3" x14ac:dyDescent="0.3">
      <c r="C1255" s="113">
        <f t="shared" si="40"/>
        <v>0</v>
      </c>
    </row>
    <row r="1256" spans="3:3" x14ac:dyDescent="0.3">
      <c r="C1256" s="113">
        <f t="shared" si="40"/>
        <v>0</v>
      </c>
    </row>
    <row r="1257" spans="3:3" x14ac:dyDescent="0.3">
      <c r="C1257" s="113">
        <f t="shared" si="40"/>
        <v>0</v>
      </c>
    </row>
    <row r="1258" spans="3:3" x14ac:dyDescent="0.3">
      <c r="C1258" s="113">
        <f t="shared" si="40"/>
        <v>0</v>
      </c>
    </row>
    <row r="1259" spans="3:3" x14ac:dyDescent="0.3">
      <c r="C1259" s="113">
        <f t="shared" si="40"/>
        <v>0</v>
      </c>
    </row>
    <row r="1260" spans="3:3" x14ac:dyDescent="0.3">
      <c r="C1260" s="113">
        <f t="shared" si="40"/>
        <v>0</v>
      </c>
    </row>
    <row r="1261" spans="3:3" x14ac:dyDescent="0.3">
      <c r="C1261" s="113">
        <f t="shared" si="40"/>
        <v>0</v>
      </c>
    </row>
    <row r="1262" spans="3:3" x14ac:dyDescent="0.3">
      <c r="C1262" s="113">
        <f t="shared" si="40"/>
        <v>0</v>
      </c>
    </row>
    <row r="1263" spans="3:3" x14ac:dyDescent="0.3">
      <c r="C1263" s="113">
        <f t="shared" si="40"/>
        <v>0</v>
      </c>
    </row>
    <row r="1264" spans="3:3" x14ac:dyDescent="0.3">
      <c r="C1264" s="113">
        <f t="shared" si="40"/>
        <v>0</v>
      </c>
    </row>
    <row r="1265" spans="3:3" x14ac:dyDescent="0.3">
      <c r="C1265" s="113">
        <f t="shared" si="40"/>
        <v>0</v>
      </c>
    </row>
    <row r="1266" spans="3:3" x14ac:dyDescent="0.3">
      <c r="C1266" s="113">
        <f t="shared" si="40"/>
        <v>0</v>
      </c>
    </row>
    <row r="1267" spans="3:3" x14ac:dyDescent="0.3">
      <c r="C1267" s="113">
        <f t="shared" si="40"/>
        <v>0</v>
      </c>
    </row>
    <row r="1268" spans="3:3" x14ac:dyDescent="0.3">
      <c r="C1268" s="113">
        <f t="shared" si="40"/>
        <v>0</v>
      </c>
    </row>
    <row r="1269" spans="3:3" x14ac:dyDescent="0.3">
      <c r="C1269" s="113">
        <f t="shared" si="40"/>
        <v>0</v>
      </c>
    </row>
    <row r="1270" spans="3:3" x14ac:dyDescent="0.3">
      <c r="C1270" s="113">
        <f t="shared" si="40"/>
        <v>0</v>
      </c>
    </row>
    <row r="1271" spans="3:3" x14ac:dyDescent="0.3">
      <c r="C1271" s="113">
        <f t="shared" si="40"/>
        <v>0</v>
      </c>
    </row>
    <row r="1272" spans="3:3" x14ac:dyDescent="0.3">
      <c r="C1272" s="113">
        <f t="shared" si="40"/>
        <v>0</v>
      </c>
    </row>
    <row r="1273" spans="3:3" x14ac:dyDescent="0.3">
      <c r="C1273" s="113">
        <f t="shared" si="40"/>
        <v>0</v>
      </c>
    </row>
    <row r="1274" spans="3:3" x14ac:dyDescent="0.3">
      <c r="C1274" s="113">
        <f t="shared" si="40"/>
        <v>0</v>
      </c>
    </row>
    <row r="1275" spans="3:3" x14ac:dyDescent="0.3">
      <c r="C1275" s="113">
        <f t="shared" si="40"/>
        <v>0</v>
      </c>
    </row>
    <row r="1276" spans="3:3" x14ac:dyDescent="0.3">
      <c r="C1276" s="113">
        <f t="shared" si="40"/>
        <v>0</v>
      </c>
    </row>
    <row r="1277" spans="3:3" x14ac:dyDescent="0.3">
      <c r="C1277" s="113">
        <f t="shared" si="40"/>
        <v>0</v>
      </c>
    </row>
    <row r="1278" spans="3:3" x14ac:dyDescent="0.3">
      <c r="C1278" s="113">
        <f t="shared" si="40"/>
        <v>0</v>
      </c>
    </row>
    <row r="1279" spans="3:3" x14ac:dyDescent="0.3">
      <c r="C1279" s="113">
        <f t="shared" si="40"/>
        <v>0</v>
      </c>
    </row>
    <row r="1280" spans="3:3" x14ac:dyDescent="0.3">
      <c r="C1280" s="113">
        <f t="shared" si="40"/>
        <v>0</v>
      </c>
    </row>
    <row r="1281" spans="3:3" x14ac:dyDescent="0.3">
      <c r="C1281" s="113">
        <f t="shared" si="40"/>
        <v>0</v>
      </c>
    </row>
    <row r="1282" spans="3:3" x14ac:dyDescent="0.3">
      <c r="C1282" s="113">
        <f t="shared" si="40"/>
        <v>0</v>
      </c>
    </row>
    <row r="1283" spans="3:3" x14ac:dyDescent="0.3">
      <c r="C1283" s="113">
        <f t="shared" si="40"/>
        <v>0</v>
      </c>
    </row>
    <row r="1284" spans="3:3" x14ac:dyDescent="0.3">
      <c r="C1284" s="113">
        <f t="shared" ref="C1284:C1347" si="42">+A1284</f>
        <v>0</v>
      </c>
    </row>
    <row r="1285" spans="3:3" x14ac:dyDescent="0.3">
      <c r="C1285" s="113">
        <f t="shared" si="42"/>
        <v>0</v>
      </c>
    </row>
    <row r="1286" spans="3:3" x14ac:dyDescent="0.3">
      <c r="C1286" s="113">
        <f t="shared" si="42"/>
        <v>0</v>
      </c>
    </row>
    <row r="1287" spans="3:3" x14ac:dyDescent="0.3">
      <c r="C1287" s="113">
        <f t="shared" si="42"/>
        <v>0</v>
      </c>
    </row>
    <row r="1288" spans="3:3" x14ac:dyDescent="0.3">
      <c r="C1288" s="113">
        <f t="shared" si="42"/>
        <v>0</v>
      </c>
    </row>
    <row r="1289" spans="3:3" x14ac:dyDescent="0.3">
      <c r="C1289" s="113">
        <f t="shared" si="42"/>
        <v>0</v>
      </c>
    </row>
    <row r="1290" spans="3:3" x14ac:dyDescent="0.3">
      <c r="C1290" s="113">
        <f t="shared" si="42"/>
        <v>0</v>
      </c>
    </row>
    <row r="1291" spans="3:3" x14ac:dyDescent="0.3">
      <c r="C1291" s="113">
        <f t="shared" si="42"/>
        <v>0</v>
      </c>
    </row>
    <row r="1292" spans="3:3" x14ac:dyDescent="0.3">
      <c r="C1292" s="113">
        <f t="shared" si="42"/>
        <v>0</v>
      </c>
    </row>
    <row r="1293" spans="3:3" x14ac:dyDescent="0.3">
      <c r="C1293" s="113">
        <f t="shared" si="42"/>
        <v>0</v>
      </c>
    </row>
    <row r="1294" spans="3:3" x14ac:dyDescent="0.3">
      <c r="C1294" s="113">
        <f t="shared" si="42"/>
        <v>0</v>
      </c>
    </row>
    <row r="1295" spans="3:3" x14ac:dyDescent="0.3">
      <c r="C1295" s="113">
        <f t="shared" si="42"/>
        <v>0</v>
      </c>
    </row>
    <row r="1296" spans="3:3" x14ac:dyDescent="0.3">
      <c r="C1296" s="113">
        <f t="shared" si="42"/>
        <v>0</v>
      </c>
    </row>
    <row r="1297" spans="3:3" x14ac:dyDescent="0.3">
      <c r="C1297" s="113">
        <f t="shared" si="42"/>
        <v>0</v>
      </c>
    </row>
    <row r="1298" spans="3:3" x14ac:dyDescent="0.3">
      <c r="C1298" s="113">
        <f t="shared" si="42"/>
        <v>0</v>
      </c>
    </row>
    <row r="1299" spans="3:3" x14ac:dyDescent="0.3">
      <c r="C1299" s="113">
        <f t="shared" si="42"/>
        <v>0</v>
      </c>
    </row>
    <row r="1300" spans="3:3" x14ac:dyDescent="0.3">
      <c r="C1300" s="113">
        <f t="shared" si="42"/>
        <v>0</v>
      </c>
    </row>
    <row r="1301" spans="3:3" x14ac:dyDescent="0.3">
      <c r="C1301" s="113">
        <f t="shared" si="42"/>
        <v>0</v>
      </c>
    </row>
    <row r="1302" spans="3:3" x14ac:dyDescent="0.3">
      <c r="C1302" s="113">
        <f t="shared" si="42"/>
        <v>0</v>
      </c>
    </row>
    <row r="1303" spans="3:3" x14ac:dyDescent="0.3">
      <c r="C1303" s="113">
        <f t="shared" si="42"/>
        <v>0</v>
      </c>
    </row>
    <row r="1304" spans="3:3" x14ac:dyDescent="0.3">
      <c r="C1304" s="113">
        <f t="shared" si="42"/>
        <v>0</v>
      </c>
    </row>
    <row r="1305" spans="3:3" x14ac:dyDescent="0.3">
      <c r="C1305" s="113">
        <f t="shared" si="42"/>
        <v>0</v>
      </c>
    </row>
    <row r="1306" spans="3:3" x14ac:dyDescent="0.3">
      <c r="C1306" s="113">
        <f t="shared" si="42"/>
        <v>0</v>
      </c>
    </row>
    <row r="1307" spans="3:3" x14ac:dyDescent="0.3">
      <c r="C1307" s="113">
        <f t="shared" si="42"/>
        <v>0</v>
      </c>
    </row>
    <row r="1308" spans="3:3" x14ac:dyDescent="0.3">
      <c r="C1308" s="113">
        <f t="shared" si="42"/>
        <v>0</v>
      </c>
    </row>
    <row r="1309" spans="3:3" x14ac:dyDescent="0.3">
      <c r="C1309" s="113">
        <f t="shared" si="42"/>
        <v>0</v>
      </c>
    </row>
    <row r="1310" spans="3:3" x14ac:dyDescent="0.3">
      <c r="C1310" s="113">
        <f t="shared" si="42"/>
        <v>0</v>
      </c>
    </row>
    <row r="1311" spans="3:3" x14ac:dyDescent="0.3">
      <c r="C1311" s="113">
        <f t="shared" si="42"/>
        <v>0</v>
      </c>
    </row>
    <row r="1312" spans="3:3" x14ac:dyDescent="0.3">
      <c r="C1312" s="113">
        <f t="shared" si="42"/>
        <v>0</v>
      </c>
    </row>
    <row r="1313" spans="3:3" x14ac:dyDescent="0.3">
      <c r="C1313" s="113">
        <f t="shared" si="42"/>
        <v>0</v>
      </c>
    </row>
    <row r="1314" spans="3:3" x14ac:dyDescent="0.3">
      <c r="C1314" s="113">
        <f t="shared" si="42"/>
        <v>0</v>
      </c>
    </row>
    <row r="1315" spans="3:3" x14ac:dyDescent="0.3">
      <c r="C1315" s="113">
        <f t="shared" si="42"/>
        <v>0</v>
      </c>
    </row>
    <row r="1316" spans="3:3" x14ac:dyDescent="0.3">
      <c r="C1316" s="113">
        <f t="shared" si="42"/>
        <v>0</v>
      </c>
    </row>
    <row r="1317" spans="3:3" x14ac:dyDescent="0.3">
      <c r="C1317" s="113">
        <f t="shared" si="42"/>
        <v>0</v>
      </c>
    </row>
    <row r="1318" spans="3:3" x14ac:dyDescent="0.3">
      <c r="C1318" s="113">
        <f t="shared" si="42"/>
        <v>0</v>
      </c>
    </row>
    <row r="1319" spans="3:3" x14ac:dyDescent="0.3">
      <c r="C1319" s="113">
        <f t="shared" si="42"/>
        <v>0</v>
      </c>
    </row>
    <row r="1320" spans="3:3" x14ac:dyDescent="0.3">
      <c r="C1320" s="113">
        <f t="shared" si="42"/>
        <v>0</v>
      </c>
    </row>
    <row r="1321" spans="3:3" x14ac:dyDescent="0.3">
      <c r="C1321" s="113">
        <f t="shared" si="42"/>
        <v>0</v>
      </c>
    </row>
    <row r="1322" spans="3:3" x14ac:dyDescent="0.3">
      <c r="C1322" s="113">
        <f t="shared" si="42"/>
        <v>0</v>
      </c>
    </row>
    <row r="1323" spans="3:3" x14ac:dyDescent="0.3">
      <c r="C1323" s="113">
        <f t="shared" si="42"/>
        <v>0</v>
      </c>
    </row>
    <row r="1324" spans="3:3" x14ac:dyDescent="0.3">
      <c r="C1324" s="113">
        <f t="shared" si="42"/>
        <v>0</v>
      </c>
    </row>
    <row r="1325" spans="3:3" x14ac:dyDescent="0.3">
      <c r="C1325" s="113">
        <f t="shared" si="42"/>
        <v>0</v>
      </c>
    </row>
    <row r="1326" spans="3:3" x14ac:dyDescent="0.3">
      <c r="C1326" s="113">
        <f t="shared" si="42"/>
        <v>0</v>
      </c>
    </row>
    <row r="1327" spans="3:3" x14ac:dyDescent="0.3">
      <c r="C1327" s="113">
        <f t="shared" si="42"/>
        <v>0</v>
      </c>
    </row>
    <row r="1328" spans="3:3" x14ac:dyDescent="0.3">
      <c r="C1328" s="113">
        <f t="shared" si="42"/>
        <v>0</v>
      </c>
    </row>
    <row r="1329" spans="3:3" x14ac:dyDescent="0.3">
      <c r="C1329" s="113">
        <f t="shared" si="42"/>
        <v>0</v>
      </c>
    </row>
    <row r="1330" spans="3:3" x14ac:dyDescent="0.3">
      <c r="C1330" s="113">
        <f t="shared" si="42"/>
        <v>0</v>
      </c>
    </row>
    <row r="1331" spans="3:3" x14ac:dyDescent="0.3">
      <c r="C1331" s="113">
        <f t="shared" si="42"/>
        <v>0</v>
      </c>
    </row>
    <row r="1332" spans="3:3" x14ac:dyDescent="0.3">
      <c r="C1332" s="113">
        <f t="shared" si="42"/>
        <v>0</v>
      </c>
    </row>
    <row r="1333" spans="3:3" x14ac:dyDescent="0.3">
      <c r="C1333" s="113">
        <f t="shared" si="42"/>
        <v>0</v>
      </c>
    </row>
    <row r="1334" spans="3:3" x14ac:dyDescent="0.3">
      <c r="C1334" s="113">
        <f t="shared" si="42"/>
        <v>0</v>
      </c>
    </row>
    <row r="1335" spans="3:3" x14ac:dyDescent="0.3">
      <c r="C1335" s="113">
        <f t="shared" si="42"/>
        <v>0</v>
      </c>
    </row>
    <row r="1336" spans="3:3" x14ac:dyDescent="0.3">
      <c r="C1336" s="113">
        <f t="shared" si="42"/>
        <v>0</v>
      </c>
    </row>
    <row r="1337" spans="3:3" x14ac:dyDescent="0.3">
      <c r="C1337" s="113">
        <f t="shared" si="42"/>
        <v>0</v>
      </c>
    </row>
    <row r="1338" spans="3:3" x14ac:dyDescent="0.3">
      <c r="C1338" s="113">
        <f t="shared" si="42"/>
        <v>0</v>
      </c>
    </row>
    <row r="1339" spans="3:3" x14ac:dyDescent="0.3">
      <c r="C1339" s="113">
        <f t="shared" si="42"/>
        <v>0</v>
      </c>
    </row>
    <row r="1340" spans="3:3" x14ac:dyDescent="0.3">
      <c r="C1340" s="113">
        <f t="shared" si="42"/>
        <v>0</v>
      </c>
    </row>
    <row r="1341" spans="3:3" x14ac:dyDescent="0.3">
      <c r="C1341" s="113">
        <f t="shared" si="42"/>
        <v>0</v>
      </c>
    </row>
    <row r="1342" spans="3:3" x14ac:dyDescent="0.3">
      <c r="C1342" s="113">
        <f t="shared" si="42"/>
        <v>0</v>
      </c>
    </row>
    <row r="1343" spans="3:3" x14ac:dyDescent="0.3">
      <c r="C1343" s="113">
        <f t="shared" si="42"/>
        <v>0</v>
      </c>
    </row>
    <row r="1344" spans="3:3" x14ac:dyDescent="0.3">
      <c r="C1344" s="113">
        <f t="shared" si="42"/>
        <v>0</v>
      </c>
    </row>
    <row r="1345" spans="3:3" x14ac:dyDescent="0.3">
      <c r="C1345" s="113">
        <f t="shared" si="42"/>
        <v>0</v>
      </c>
    </row>
    <row r="1346" spans="3:3" x14ac:dyDescent="0.3">
      <c r="C1346" s="113">
        <f t="shared" si="42"/>
        <v>0</v>
      </c>
    </row>
    <row r="1347" spans="3:3" x14ac:dyDescent="0.3">
      <c r="C1347" s="113">
        <f t="shared" si="42"/>
        <v>0</v>
      </c>
    </row>
    <row r="1348" spans="3:3" x14ac:dyDescent="0.3">
      <c r="C1348" s="113">
        <f t="shared" ref="C1348:C1411" si="43">+A1348</f>
        <v>0</v>
      </c>
    </row>
    <row r="1349" spans="3:3" x14ac:dyDescent="0.3">
      <c r="C1349" s="113">
        <f t="shared" si="43"/>
        <v>0</v>
      </c>
    </row>
    <row r="1350" spans="3:3" x14ac:dyDescent="0.3">
      <c r="C1350" s="113">
        <f t="shared" si="43"/>
        <v>0</v>
      </c>
    </row>
    <row r="1351" spans="3:3" x14ac:dyDescent="0.3">
      <c r="C1351" s="113">
        <f t="shared" si="43"/>
        <v>0</v>
      </c>
    </row>
    <row r="1352" spans="3:3" x14ac:dyDescent="0.3">
      <c r="C1352" s="113">
        <f t="shared" si="43"/>
        <v>0</v>
      </c>
    </row>
    <row r="1353" spans="3:3" x14ac:dyDescent="0.3">
      <c r="C1353" s="113">
        <f t="shared" si="43"/>
        <v>0</v>
      </c>
    </row>
    <row r="1354" spans="3:3" x14ac:dyDescent="0.3">
      <c r="C1354" s="113">
        <f t="shared" si="43"/>
        <v>0</v>
      </c>
    </row>
    <row r="1355" spans="3:3" x14ac:dyDescent="0.3">
      <c r="C1355" s="113">
        <f t="shared" si="43"/>
        <v>0</v>
      </c>
    </row>
    <row r="1356" spans="3:3" x14ac:dyDescent="0.3">
      <c r="C1356" s="113">
        <f t="shared" si="43"/>
        <v>0</v>
      </c>
    </row>
    <row r="1357" spans="3:3" x14ac:dyDescent="0.3">
      <c r="C1357" s="113">
        <f t="shared" si="43"/>
        <v>0</v>
      </c>
    </row>
    <row r="1358" spans="3:3" x14ac:dyDescent="0.3">
      <c r="C1358" s="113">
        <f t="shared" si="43"/>
        <v>0</v>
      </c>
    </row>
    <row r="1359" spans="3:3" x14ac:dyDescent="0.3">
      <c r="C1359" s="113">
        <f t="shared" si="43"/>
        <v>0</v>
      </c>
    </row>
    <row r="1360" spans="3:3" x14ac:dyDescent="0.3">
      <c r="C1360" s="113">
        <f t="shared" si="43"/>
        <v>0</v>
      </c>
    </row>
    <row r="1361" spans="3:3" x14ac:dyDescent="0.3">
      <c r="C1361" s="113">
        <f t="shared" si="43"/>
        <v>0</v>
      </c>
    </row>
    <row r="1362" spans="3:3" x14ac:dyDescent="0.3">
      <c r="C1362" s="113">
        <f t="shared" si="43"/>
        <v>0</v>
      </c>
    </row>
    <row r="1363" spans="3:3" x14ac:dyDescent="0.3">
      <c r="C1363" s="113">
        <f t="shared" si="43"/>
        <v>0</v>
      </c>
    </row>
    <row r="1364" spans="3:3" x14ac:dyDescent="0.3">
      <c r="C1364" s="113">
        <f t="shared" si="43"/>
        <v>0</v>
      </c>
    </row>
    <row r="1365" spans="3:3" x14ac:dyDescent="0.3">
      <c r="C1365" s="113">
        <f t="shared" si="43"/>
        <v>0</v>
      </c>
    </row>
    <row r="1366" spans="3:3" x14ac:dyDescent="0.3">
      <c r="C1366" s="113">
        <f t="shared" si="43"/>
        <v>0</v>
      </c>
    </row>
    <row r="1367" spans="3:3" x14ac:dyDescent="0.3">
      <c r="C1367" s="113">
        <f t="shared" si="43"/>
        <v>0</v>
      </c>
    </row>
    <row r="1368" spans="3:3" x14ac:dyDescent="0.3">
      <c r="C1368" s="113">
        <f t="shared" si="43"/>
        <v>0</v>
      </c>
    </row>
    <row r="1369" spans="3:3" x14ac:dyDescent="0.3">
      <c r="C1369" s="113">
        <f t="shared" si="43"/>
        <v>0</v>
      </c>
    </row>
    <row r="1370" spans="3:3" x14ac:dyDescent="0.3">
      <c r="C1370" s="113">
        <f t="shared" si="43"/>
        <v>0</v>
      </c>
    </row>
    <row r="1371" spans="3:3" x14ac:dyDescent="0.3">
      <c r="C1371" s="113">
        <f t="shared" si="43"/>
        <v>0</v>
      </c>
    </row>
    <row r="1372" spans="3:3" x14ac:dyDescent="0.3">
      <c r="C1372" s="113">
        <f t="shared" si="43"/>
        <v>0</v>
      </c>
    </row>
    <row r="1373" spans="3:3" x14ac:dyDescent="0.3">
      <c r="C1373" s="113">
        <f t="shared" si="43"/>
        <v>0</v>
      </c>
    </row>
    <row r="1374" spans="3:3" x14ac:dyDescent="0.3">
      <c r="C1374" s="113">
        <f t="shared" si="43"/>
        <v>0</v>
      </c>
    </row>
    <row r="1375" spans="3:3" x14ac:dyDescent="0.3">
      <c r="C1375" s="113">
        <f t="shared" si="43"/>
        <v>0</v>
      </c>
    </row>
    <row r="1376" spans="3:3" x14ac:dyDescent="0.3">
      <c r="C1376" s="113">
        <f t="shared" si="43"/>
        <v>0</v>
      </c>
    </row>
    <row r="1377" spans="3:3" x14ac:dyDescent="0.3">
      <c r="C1377" s="113">
        <f t="shared" si="43"/>
        <v>0</v>
      </c>
    </row>
    <row r="1378" spans="3:3" x14ac:dyDescent="0.3">
      <c r="C1378" s="113">
        <f t="shared" si="43"/>
        <v>0</v>
      </c>
    </row>
    <row r="1379" spans="3:3" x14ac:dyDescent="0.3">
      <c r="C1379" s="113">
        <f t="shared" si="43"/>
        <v>0</v>
      </c>
    </row>
    <row r="1380" spans="3:3" x14ac:dyDescent="0.3">
      <c r="C1380" s="113">
        <f t="shared" si="43"/>
        <v>0</v>
      </c>
    </row>
    <row r="1381" spans="3:3" x14ac:dyDescent="0.3">
      <c r="C1381" s="113">
        <f t="shared" si="43"/>
        <v>0</v>
      </c>
    </row>
    <row r="1382" spans="3:3" x14ac:dyDescent="0.3">
      <c r="C1382" s="113">
        <f t="shared" si="43"/>
        <v>0</v>
      </c>
    </row>
    <row r="1383" spans="3:3" x14ac:dyDescent="0.3">
      <c r="C1383" s="113">
        <f t="shared" si="43"/>
        <v>0</v>
      </c>
    </row>
    <row r="1384" spans="3:3" x14ac:dyDescent="0.3">
      <c r="C1384" s="113">
        <f t="shared" si="43"/>
        <v>0</v>
      </c>
    </row>
    <row r="1385" spans="3:3" x14ac:dyDescent="0.3">
      <c r="C1385" s="113">
        <f t="shared" si="43"/>
        <v>0</v>
      </c>
    </row>
    <row r="1386" spans="3:3" x14ac:dyDescent="0.3">
      <c r="C1386" s="113">
        <f t="shared" si="43"/>
        <v>0</v>
      </c>
    </row>
    <row r="1387" spans="3:3" x14ac:dyDescent="0.3">
      <c r="C1387" s="113">
        <f t="shared" si="43"/>
        <v>0</v>
      </c>
    </row>
    <row r="1388" spans="3:3" x14ac:dyDescent="0.3">
      <c r="C1388" s="113">
        <f t="shared" si="43"/>
        <v>0</v>
      </c>
    </row>
    <row r="1389" spans="3:3" x14ac:dyDescent="0.3">
      <c r="C1389" s="113">
        <f t="shared" si="43"/>
        <v>0</v>
      </c>
    </row>
    <row r="1390" spans="3:3" x14ac:dyDescent="0.3">
      <c r="C1390" s="113">
        <f t="shared" si="43"/>
        <v>0</v>
      </c>
    </row>
    <row r="1391" spans="3:3" x14ac:dyDescent="0.3">
      <c r="C1391" s="113">
        <f t="shared" si="43"/>
        <v>0</v>
      </c>
    </row>
    <row r="1392" spans="3:3" x14ac:dyDescent="0.3">
      <c r="C1392" s="113">
        <f t="shared" si="43"/>
        <v>0</v>
      </c>
    </row>
    <row r="1393" spans="3:3" x14ac:dyDescent="0.3">
      <c r="C1393" s="113">
        <f t="shared" si="43"/>
        <v>0</v>
      </c>
    </row>
    <row r="1394" spans="3:3" x14ac:dyDescent="0.3">
      <c r="C1394" s="113">
        <f t="shared" si="43"/>
        <v>0</v>
      </c>
    </row>
    <row r="1395" spans="3:3" x14ac:dyDescent="0.3">
      <c r="C1395" s="113">
        <f t="shared" si="43"/>
        <v>0</v>
      </c>
    </row>
    <row r="1396" spans="3:3" x14ac:dyDescent="0.3">
      <c r="C1396" s="113">
        <f t="shared" si="43"/>
        <v>0</v>
      </c>
    </row>
    <row r="1397" spans="3:3" x14ac:dyDescent="0.3">
      <c r="C1397" s="113">
        <f t="shared" si="43"/>
        <v>0</v>
      </c>
    </row>
    <row r="1398" spans="3:3" x14ac:dyDescent="0.3">
      <c r="C1398" s="113">
        <f t="shared" si="43"/>
        <v>0</v>
      </c>
    </row>
    <row r="1399" spans="3:3" x14ac:dyDescent="0.3">
      <c r="C1399" s="113">
        <f t="shared" si="43"/>
        <v>0</v>
      </c>
    </row>
    <row r="1400" spans="3:3" x14ac:dyDescent="0.3">
      <c r="C1400" s="113">
        <f t="shared" si="43"/>
        <v>0</v>
      </c>
    </row>
    <row r="1401" spans="3:3" x14ac:dyDescent="0.3">
      <c r="C1401" s="113">
        <f t="shared" si="43"/>
        <v>0</v>
      </c>
    </row>
    <row r="1402" spans="3:3" x14ac:dyDescent="0.3">
      <c r="C1402" s="113">
        <f t="shared" si="43"/>
        <v>0</v>
      </c>
    </row>
    <row r="1403" spans="3:3" x14ac:dyDescent="0.3">
      <c r="C1403" s="113">
        <f t="shared" si="43"/>
        <v>0</v>
      </c>
    </row>
    <row r="1404" spans="3:3" x14ac:dyDescent="0.3">
      <c r="C1404" s="113">
        <f t="shared" si="43"/>
        <v>0</v>
      </c>
    </row>
    <row r="1405" spans="3:3" x14ac:dyDescent="0.3">
      <c r="C1405" s="113">
        <f t="shared" si="43"/>
        <v>0</v>
      </c>
    </row>
    <row r="1406" spans="3:3" x14ac:dyDescent="0.3">
      <c r="C1406" s="113">
        <f t="shared" si="43"/>
        <v>0</v>
      </c>
    </row>
    <row r="1407" spans="3:3" x14ac:dyDescent="0.3">
      <c r="C1407" s="113">
        <f t="shared" si="43"/>
        <v>0</v>
      </c>
    </row>
    <row r="1408" spans="3:3" x14ac:dyDescent="0.3">
      <c r="C1408" s="113">
        <f t="shared" si="43"/>
        <v>0</v>
      </c>
    </row>
    <row r="1409" spans="3:3" x14ac:dyDescent="0.3">
      <c r="C1409" s="113">
        <f t="shared" si="43"/>
        <v>0</v>
      </c>
    </row>
    <row r="1410" spans="3:3" x14ac:dyDescent="0.3">
      <c r="C1410" s="113">
        <f t="shared" si="43"/>
        <v>0</v>
      </c>
    </row>
    <row r="1411" spans="3:3" x14ac:dyDescent="0.3">
      <c r="C1411" s="113">
        <f t="shared" si="43"/>
        <v>0</v>
      </c>
    </row>
    <row r="1412" spans="3:3" x14ac:dyDescent="0.3">
      <c r="C1412" s="113">
        <f t="shared" ref="C1412:C1475" si="44">+A1412</f>
        <v>0</v>
      </c>
    </row>
    <row r="1413" spans="3:3" x14ac:dyDescent="0.3">
      <c r="C1413" s="113">
        <f t="shared" si="44"/>
        <v>0</v>
      </c>
    </row>
    <row r="1414" spans="3:3" x14ac:dyDescent="0.3">
      <c r="C1414" s="113">
        <f t="shared" si="44"/>
        <v>0</v>
      </c>
    </row>
    <row r="1415" spans="3:3" x14ac:dyDescent="0.3">
      <c r="C1415" s="113">
        <f t="shared" si="44"/>
        <v>0</v>
      </c>
    </row>
    <row r="1416" spans="3:3" x14ac:dyDescent="0.3">
      <c r="C1416" s="113">
        <f t="shared" si="44"/>
        <v>0</v>
      </c>
    </row>
    <row r="1417" spans="3:3" x14ac:dyDescent="0.3">
      <c r="C1417" s="113">
        <f t="shared" si="44"/>
        <v>0</v>
      </c>
    </row>
    <row r="1418" spans="3:3" x14ac:dyDescent="0.3">
      <c r="C1418" s="113">
        <f t="shared" si="44"/>
        <v>0</v>
      </c>
    </row>
    <row r="1419" spans="3:3" x14ac:dyDescent="0.3">
      <c r="C1419" s="113">
        <f t="shared" si="44"/>
        <v>0</v>
      </c>
    </row>
    <row r="1420" spans="3:3" x14ac:dyDescent="0.3">
      <c r="C1420" s="113">
        <f t="shared" si="44"/>
        <v>0</v>
      </c>
    </row>
    <row r="1421" spans="3:3" x14ac:dyDescent="0.3">
      <c r="C1421" s="113">
        <f t="shared" si="44"/>
        <v>0</v>
      </c>
    </row>
    <row r="1422" spans="3:3" x14ac:dyDescent="0.3">
      <c r="C1422" s="113">
        <f t="shared" si="44"/>
        <v>0</v>
      </c>
    </row>
    <row r="1423" spans="3:3" x14ac:dyDescent="0.3">
      <c r="C1423" s="113">
        <f t="shared" si="44"/>
        <v>0</v>
      </c>
    </row>
    <row r="1424" spans="3:3" x14ac:dyDescent="0.3">
      <c r="C1424" s="113">
        <f t="shared" si="44"/>
        <v>0</v>
      </c>
    </row>
    <row r="1425" spans="3:3" x14ac:dyDescent="0.3">
      <c r="C1425" s="113">
        <f t="shared" si="44"/>
        <v>0</v>
      </c>
    </row>
    <row r="1426" spans="3:3" x14ac:dyDescent="0.3">
      <c r="C1426" s="113">
        <f t="shared" si="44"/>
        <v>0</v>
      </c>
    </row>
    <row r="1427" spans="3:3" x14ac:dyDescent="0.3">
      <c r="C1427" s="113">
        <f t="shared" si="44"/>
        <v>0</v>
      </c>
    </row>
    <row r="1428" spans="3:3" x14ac:dyDescent="0.3">
      <c r="C1428" s="113">
        <f t="shared" si="44"/>
        <v>0</v>
      </c>
    </row>
    <row r="1429" spans="3:3" x14ac:dyDescent="0.3">
      <c r="C1429" s="113">
        <f t="shared" si="44"/>
        <v>0</v>
      </c>
    </row>
    <row r="1430" spans="3:3" x14ac:dyDescent="0.3">
      <c r="C1430" s="113">
        <f t="shared" si="44"/>
        <v>0</v>
      </c>
    </row>
    <row r="1431" spans="3:3" x14ac:dyDescent="0.3">
      <c r="C1431" s="113">
        <f t="shared" si="44"/>
        <v>0</v>
      </c>
    </row>
    <row r="1432" spans="3:3" x14ac:dyDescent="0.3">
      <c r="C1432" s="113">
        <f t="shared" si="44"/>
        <v>0</v>
      </c>
    </row>
    <row r="1433" spans="3:3" x14ac:dyDescent="0.3">
      <c r="C1433" s="113">
        <f t="shared" si="44"/>
        <v>0</v>
      </c>
    </row>
    <row r="1434" spans="3:3" x14ac:dyDescent="0.3">
      <c r="C1434" s="113">
        <f t="shared" si="44"/>
        <v>0</v>
      </c>
    </row>
    <row r="1435" spans="3:3" x14ac:dyDescent="0.3">
      <c r="C1435" s="113">
        <f t="shared" si="44"/>
        <v>0</v>
      </c>
    </row>
    <row r="1436" spans="3:3" x14ac:dyDescent="0.3">
      <c r="C1436" s="113">
        <f t="shared" si="44"/>
        <v>0</v>
      </c>
    </row>
    <row r="1437" spans="3:3" x14ac:dyDescent="0.3">
      <c r="C1437" s="113">
        <f t="shared" si="44"/>
        <v>0</v>
      </c>
    </row>
    <row r="1438" spans="3:3" x14ac:dyDescent="0.3">
      <c r="C1438" s="113">
        <f t="shared" si="44"/>
        <v>0</v>
      </c>
    </row>
    <row r="1439" spans="3:3" x14ac:dyDescent="0.3">
      <c r="C1439" s="113">
        <f t="shared" si="44"/>
        <v>0</v>
      </c>
    </row>
    <row r="1440" spans="3:3" x14ac:dyDescent="0.3">
      <c r="C1440" s="113">
        <f t="shared" si="44"/>
        <v>0</v>
      </c>
    </row>
    <row r="1441" spans="3:3" x14ac:dyDescent="0.3">
      <c r="C1441" s="113">
        <f t="shared" si="44"/>
        <v>0</v>
      </c>
    </row>
    <row r="1442" spans="3:3" x14ac:dyDescent="0.3">
      <c r="C1442" s="113">
        <f t="shared" si="44"/>
        <v>0</v>
      </c>
    </row>
    <row r="1443" spans="3:3" x14ac:dyDescent="0.3">
      <c r="C1443" s="113">
        <f t="shared" si="44"/>
        <v>0</v>
      </c>
    </row>
    <row r="1444" spans="3:3" x14ac:dyDescent="0.3">
      <c r="C1444" s="113">
        <f t="shared" si="44"/>
        <v>0</v>
      </c>
    </row>
    <row r="1445" spans="3:3" x14ac:dyDescent="0.3">
      <c r="C1445" s="113">
        <f t="shared" si="44"/>
        <v>0</v>
      </c>
    </row>
    <row r="1446" spans="3:3" x14ac:dyDescent="0.3">
      <c r="C1446" s="113">
        <f t="shared" si="44"/>
        <v>0</v>
      </c>
    </row>
    <row r="1447" spans="3:3" x14ac:dyDescent="0.3">
      <c r="C1447" s="113">
        <f t="shared" si="44"/>
        <v>0</v>
      </c>
    </row>
    <row r="1448" spans="3:3" x14ac:dyDescent="0.3">
      <c r="C1448" s="113">
        <f t="shared" si="44"/>
        <v>0</v>
      </c>
    </row>
    <row r="1449" spans="3:3" x14ac:dyDescent="0.3">
      <c r="C1449" s="113">
        <f t="shared" si="44"/>
        <v>0</v>
      </c>
    </row>
    <row r="1450" spans="3:3" x14ac:dyDescent="0.3">
      <c r="C1450" s="113">
        <f t="shared" si="44"/>
        <v>0</v>
      </c>
    </row>
    <row r="1451" spans="3:3" x14ac:dyDescent="0.3">
      <c r="C1451" s="113">
        <f t="shared" si="44"/>
        <v>0</v>
      </c>
    </row>
    <row r="1452" spans="3:3" x14ac:dyDescent="0.3">
      <c r="C1452" s="113">
        <f t="shared" si="44"/>
        <v>0</v>
      </c>
    </row>
    <row r="1453" spans="3:3" x14ac:dyDescent="0.3">
      <c r="C1453" s="113">
        <f t="shared" si="44"/>
        <v>0</v>
      </c>
    </row>
    <row r="1454" spans="3:3" x14ac:dyDescent="0.3">
      <c r="C1454" s="113">
        <f t="shared" si="44"/>
        <v>0</v>
      </c>
    </row>
    <row r="1455" spans="3:3" x14ac:dyDescent="0.3">
      <c r="C1455" s="113">
        <f t="shared" si="44"/>
        <v>0</v>
      </c>
    </row>
    <row r="1456" spans="3:3" x14ac:dyDescent="0.3">
      <c r="C1456" s="113">
        <f t="shared" si="44"/>
        <v>0</v>
      </c>
    </row>
    <row r="1457" spans="3:3" x14ac:dyDescent="0.3">
      <c r="C1457" s="113">
        <f t="shared" si="44"/>
        <v>0</v>
      </c>
    </row>
    <row r="1458" spans="3:3" x14ac:dyDescent="0.3">
      <c r="C1458" s="113">
        <f t="shared" si="44"/>
        <v>0</v>
      </c>
    </row>
    <row r="1459" spans="3:3" x14ac:dyDescent="0.3">
      <c r="C1459" s="113">
        <f t="shared" si="44"/>
        <v>0</v>
      </c>
    </row>
    <row r="1460" spans="3:3" x14ac:dyDescent="0.3">
      <c r="C1460" s="113">
        <f t="shared" si="44"/>
        <v>0</v>
      </c>
    </row>
    <row r="1461" spans="3:3" x14ac:dyDescent="0.3">
      <c r="C1461" s="113">
        <f t="shared" si="44"/>
        <v>0</v>
      </c>
    </row>
    <row r="1462" spans="3:3" x14ac:dyDescent="0.3">
      <c r="C1462" s="113">
        <f t="shared" si="44"/>
        <v>0</v>
      </c>
    </row>
    <row r="1463" spans="3:3" x14ac:dyDescent="0.3">
      <c r="C1463" s="113">
        <f t="shared" si="44"/>
        <v>0</v>
      </c>
    </row>
    <row r="1464" spans="3:3" x14ac:dyDescent="0.3">
      <c r="C1464" s="113">
        <f t="shared" si="44"/>
        <v>0</v>
      </c>
    </row>
    <row r="1465" spans="3:3" x14ac:dyDescent="0.3">
      <c r="C1465" s="113">
        <f t="shared" si="44"/>
        <v>0</v>
      </c>
    </row>
    <row r="1466" spans="3:3" x14ac:dyDescent="0.3">
      <c r="C1466" s="113">
        <f t="shared" si="44"/>
        <v>0</v>
      </c>
    </row>
    <row r="1467" spans="3:3" x14ac:dyDescent="0.3">
      <c r="C1467" s="113">
        <f t="shared" si="44"/>
        <v>0</v>
      </c>
    </row>
    <row r="1468" spans="3:3" x14ac:dyDescent="0.3">
      <c r="C1468" s="113">
        <f t="shared" si="44"/>
        <v>0</v>
      </c>
    </row>
    <row r="1469" spans="3:3" x14ac:dyDescent="0.3">
      <c r="C1469" s="113">
        <f t="shared" si="44"/>
        <v>0</v>
      </c>
    </row>
    <row r="1470" spans="3:3" x14ac:dyDescent="0.3">
      <c r="C1470" s="113">
        <f t="shared" si="44"/>
        <v>0</v>
      </c>
    </row>
    <row r="1471" spans="3:3" x14ac:dyDescent="0.3">
      <c r="C1471" s="113">
        <f t="shared" si="44"/>
        <v>0</v>
      </c>
    </row>
    <row r="1472" spans="3:3" x14ac:dyDescent="0.3">
      <c r="C1472" s="113">
        <f t="shared" si="44"/>
        <v>0</v>
      </c>
    </row>
    <row r="1473" spans="3:3" x14ac:dyDescent="0.3">
      <c r="C1473" s="113">
        <f t="shared" si="44"/>
        <v>0</v>
      </c>
    </row>
    <row r="1474" spans="3:3" x14ac:dyDescent="0.3">
      <c r="C1474" s="113">
        <f t="shared" si="44"/>
        <v>0</v>
      </c>
    </row>
    <row r="1475" spans="3:3" x14ac:dyDescent="0.3">
      <c r="C1475" s="113">
        <f t="shared" si="44"/>
        <v>0</v>
      </c>
    </row>
    <row r="1476" spans="3:3" x14ac:dyDescent="0.3">
      <c r="C1476" s="113">
        <f t="shared" ref="C1476:C1539" si="45">+A1476</f>
        <v>0</v>
      </c>
    </row>
    <row r="1477" spans="3:3" x14ac:dyDescent="0.3">
      <c r="C1477" s="113">
        <f t="shared" si="45"/>
        <v>0</v>
      </c>
    </row>
    <row r="1478" spans="3:3" x14ac:dyDescent="0.3">
      <c r="C1478" s="113">
        <f t="shared" si="45"/>
        <v>0</v>
      </c>
    </row>
    <row r="1479" spans="3:3" x14ac:dyDescent="0.3">
      <c r="C1479" s="113">
        <f t="shared" si="45"/>
        <v>0</v>
      </c>
    </row>
    <row r="1480" spans="3:3" x14ac:dyDescent="0.3">
      <c r="C1480" s="113">
        <f t="shared" si="45"/>
        <v>0</v>
      </c>
    </row>
    <row r="1481" spans="3:3" x14ac:dyDescent="0.3">
      <c r="C1481" s="113">
        <f t="shared" si="45"/>
        <v>0</v>
      </c>
    </row>
    <row r="1482" spans="3:3" x14ac:dyDescent="0.3">
      <c r="C1482" s="113">
        <f t="shared" si="45"/>
        <v>0</v>
      </c>
    </row>
    <row r="1483" spans="3:3" x14ac:dyDescent="0.3">
      <c r="C1483" s="113">
        <f t="shared" si="45"/>
        <v>0</v>
      </c>
    </row>
    <row r="1484" spans="3:3" x14ac:dyDescent="0.3">
      <c r="C1484" s="113">
        <f t="shared" si="45"/>
        <v>0</v>
      </c>
    </row>
    <row r="1485" spans="3:3" x14ac:dyDescent="0.3">
      <c r="C1485" s="113">
        <f t="shared" si="45"/>
        <v>0</v>
      </c>
    </row>
    <row r="1486" spans="3:3" x14ac:dyDescent="0.3">
      <c r="C1486" s="113">
        <f t="shared" si="45"/>
        <v>0</v>
      </c>
    </row>
    <row r="1487" spans="3:3" x14ac:dyDescent="0.3">
      <c r="C1487" s="113">
        <f t="shared" si="45"/>
        <v>0</v>
      </c>
    </row>
    <row r="1488" spans="3:3" x14ac:dyDescent="0.3">
      <c r="C1488" s="113">
        <f t="shared" si="45"/>
        <v>0</v>
      </c>
    </row>
    <row r="1489" spans="3:3" x14ac:dyDescent="0.3">
      <c r="C1489" s="113">
        <f t="shared" si="45"/>
        <v>0</v>
      </c>
    </row>
    <row r="1490" spans="3:3" x14ac:dyDescent="0.3">
      <c r="C1490" s="113">
        <f t="shared" si="45"/>
        <v>0</v>
      </c>
    </row>
    <row r="1491" spans="3:3" x14ac:dyDescent="0.3">
      <c r="C1491" s="113">
        <f t="shared" si="45"/>
        <v>0</v>
      </c>
    </row>
    <row r="1492" spans="3:3" x14ac:dyDescent="0.3">
      <c r="C1492" s="113">
        <f t="shared" si="45"/>
        <v>0</v>
      </c>
    </row>
    <row r="1493" spans="3:3" x14ac:dyDescent="0.3">
      <c r="C1493" s="113">
        <f t="shared" si="45"/>
        <v>0</v>
      </c>
    </row>
    <row r="1494" spans="3:3" x14ac:dyDescent="0.3">
      <c r="C1494" s="113">
        <f t="shared" si="45"/>
        <v>0</v>
      </c>
    </row>
    <row r="1495" spans="3:3" x14ac:dyDescent="0.3">
      <c r="C1495" s="113">
        <f t="shared" si="45"/>
        <v>0</v>
      </c>
    </row>
    <row r="1496" spans="3:3" x14ac:dyDescent="0.3">
      <c r="C1496" s="113">
        <f t="shared" si="45"/>
        <v>0</v>
      </c>
    </row>
    <row r="1497" spans="3:3" x14ac:dyDescent="0.3">
      <c r="C1497" s="113">
        <f t="shared" si="45"/>
        <v>0</v>
      </c>
    </row>
    <row r="1498" spans="3:3" x14ac:dyDescent="0.3">
      <c r="C1498" s="113">
        <f t="shared" si="45"/>
        <v>0</v>
      </c>
    </row>
    <row r="1499" spans="3:3" x14ac:dyDescent="0.3">
      <c r="C1499" s="113">
        <f t="shared" si="45"/>
        <v>0</v>
      </c>
    </row>
    <row r="1500" spans="3:3" x14ac:dyDescent="0.3">
      <c r="C1500" s="113">
        <f t="shared" si="45"/>
        <v>0</v>
      </c>
    </row>
    <row r="1501" spans="3:3" x14ac:dyDescent="0.3">
      <c r="C1501" s="113">
        <f t="shared" si="45"/>
        <v>0</v>
      </c>
    </row>
    <row r="1502" spans="3:3" x14ac:dyDescent="0.3">
      <c r="C1502" s="113">
        <f t="shared" si="45"/>
        <v>0</v>
      </c>
    </row>
    <row r="1503" spans="3:3" x14ac:dyDescent="0.3">
      <c r="C1503" s="113">
        <f t="shared" si="45"/>
        <v>0</v>
      </c>
    </row>
    <row r="1504" spans="3:3" x14ac:dyDescent="0.3">
      <c r="C1504" s="113">
        <f t="shared" si="45"/>
        <v>0</v>
      </c>
    </row>
    <row r="1505" spans="3:3" x14ac:dyDescent="0.3">
      <c r="C1505" s="113">
        <f t="shared" si="45"/>
        <v>0</v>
      </c>
    </row>
    <row r="1506" spans="3:3" x14ac:dyDescent="0.3">
      <c r="C1506" s="113">
        <f t="shared" si="45"/>
        <v>0</v>
      </c>
    </row>
    <row r="1507" spans="3:3" x14ac:dyDescent="0.3">
      <c r="C1507" s="113">
        <f t="shared" si="45"/>
        <v>0</v>
      </c>
    </row>
    <row r="1508" spans="3:3" x14ac:dyDescent="0.3">
      <c r="C1508" s="113">
        <f t="shared" si="45"/>
        <v>0</v>
      </c>
    </row>
    <row r="1509" spans="3:3" x14ac:dyDescent="0.3">
      <c r="C1509" s="113">
        <f t="shared" si="45"/>
        <v>0</v>
      </c>
    </row>
    <row r="1510" spans="3:3" x14ac:dyDescent="0.3">
      <c r="C1510" s="113">
        <f t="shared" si="45"/>
        <v>0</v>
      </c>
    </row>
    <row r="1511" spans="3:3" x14ac:dyDescent="0.3">
      <c r="C1511" s="113">
        <f t="shared" si="45"/>
        <v>0</v>
      </c>
    </row>
    <row r="1512" spans="3:3" x14ac:dyDescent="0.3">
      <c r="C1512" s="113">
        <f t="shared" si="45"/>
        <v>0</v>
      </c>
    </row>
    <row r="1513" spans="3:3" x14ac:dyDescent="0.3">
      <c r="C1513" s="113">
        <f t="shared" si="45"/>
        <v>0</v>
      </c>
    </row>
    <row r="1514" spans="3:3" x14ac:dyDescent="0.3">
      <c r="C1514" s="113">
        <f t="shared" si="45"/>
        <v>0</v>
      </c>
    </row>
    <row r="1515" spans="3:3" x14ac:dyDescent="0.3">
      <c r="C1515" s="113">
        <f t="shared" si="45"/>
        <v>0</v>
      </c>
    </row>
    <row r="1516" spans="3:3" x14ac:dyDescent="0.3">
      <c r="C1516" s="113">
        <f t="shared" si="45"/>
        <v>0</v>
      </c>
    </row>
    <row r="1517" spans="3:3" x14ac:dyDescent="0.3">
      <c r="C1517" s="113">
        <f t="shared" si="45"/>
        <v>0</v>
      </c>
    </row>
    <row r="1518" spans="3:3" x14ac:dyDescent="0.3">
      <c r="C1518" s="113">
        <f t="shared" si="45"/>
        <v>0</v>
      </c>
    </row>
    <row r="1519" spans="3:3" x14ac:dyDescent="0.3">
      <c r="C1519" s="113">
        <f t="shared" si="45"/>
        <v>0</v>
      </c>
    </row>
    <row r="1520" spans="3:3" x14ac:dyDescent="0.3">
      <c r="C1520" s="113">
        <f t="shared" si="45"/>
        <v>0</v>
      </c>
    </row>
    <row r="1521" spans="3:3" x14ac:dyDescent="0.3">
      <c r="C1521" s="113">
        <f t="shared" si="45"/>
        <v>0</v>
      </c>
    </row>
    <row r="1522" spans="3:3" x14ac:dyDescent="0.3">
      <c r="C1522" s="113">
        <f t="shared" si="45"/>
        <v>0</v>
      </c>
    </row>
    <row r="1523" spans="3:3" x14ac:dyDescent="0.3">
      <c r="C1523" s="113">
        <f t="shared" si="45"/>
        <v>0</v>
      </c>
    </row>
    <row r="1524" spans="3:3" x14ac:dyDescent="0.3">
      <c r="C1524" s="113">
        <f t="shared" si="45"/>
        <v>0</v>
      </c>
    </row>
    <row r="1525" spans="3:3" x14ac:dyDescent="0.3">
      <c r="C1525" s="113">
        <f t="shared" si="45"/>
        <v>0</v>
      </c>
    </row>
    <row r="1526" spans="3:3" x14ac:dyDescent="0.3">
      <c r="C1526" s="113">
        <f t="shared" si="45"/>
        <v>0</v>
      </c>
    </row>
    <row r="1527" spans="3:3" x14ac:dyDescent="0.3">
      <c r="C1527" s="113">
        <f t="shared" si="45"/>
        <v>0</v>
      </c>
    </row>
    <row r="1528" spans="3:3" x14ac:dyDescent="0.3">
      <c r="C1528" s="113">
        <f t="shared" si="45"/>
        <v>0</v>
      </c>
    </row>
    <row r="1529" spans="3:3" x14ac:dyDescent="0.3">
      <c r="C1529" s="113">
        <f t="shared" si="45"/>
        <v>0</v>
      </c>
    </row>
    <row r="1530" spans="3:3" x14ac:dyDescent="0.3">
      <c r="C1530" s="113">
        <f t="shared" si="45"/>
        <v>0</v>
      </c>
    </row>
    <row r="1531" spans="3:3" x14ac:dyDescent="0.3">
      <c r="C1531" s="113">
        <f t="shared" si="45"/>
        <v>0</v>
      </c>
    </row>
    <row r="1532" spans="3:3" x14ac:dyDescent="0.3">
      <c r="C1532" s="113">
        <f t="shared" si="45"/>
        <v>0</v>
      </c>
    </row>
    <row r="1533" spans="3:3" x14ac:dyDescent="0.3">
      <c r="C1533" s="113">
        <f t="shared" si="45"/>
        <v>0</v>
      </c>
    </row>
    <row r="1534" spans="3:3" x14ac:dyDescent="0.3">
      <c r="C1534" s="113">
        <f t="shared" si="45"/>
        <v>0</v>
      </c>
    </row>
    <row r="1535" spans="3:3" x14ac:dyDescent="0.3">
      <c r="C1535" s="113">
        <f t="shared" si="45"/>
        <v>0</v>
      </c>
    </row>
    <row r="1536" spans="3:3" x14ac:dyDescent="0.3">
      <c r="C1536" s="113">
        <f t="shared" si="45"/>
        <v>0</v>
      </c>
    </row>
    <row r="1537" spans="3:3" x14ac:dyDescent="0.3">
      <c r="C1537" s="113">
        <f t="shared" si="45"/>
        <v>0</v>
      </c>
    </row>
    <row r="1538" spans="3:3" x14ac:dyDescent="0.3">
      <c r="C1538" s="113">
        <f t="shared" si="45"/>
        <v>0</v>
      </c>
    </row>
    <row r="1539" spans="3:3" x14ac:dyDescent="0.3">
      <c r="C1539" s="113">
        <f t="shared" si="45"/>
        <v>0</v>
      </c>
    </row>
    <row r="1540" spans="3:3" x14ac:dyDescent="0.3">
      <c r="C1540" s="113">
        <f t="shared" ref="C1540:C1603" si="46">+A1540</f>
        <v>0</v>
      </c>
    </row>
    <row r="1541" spans="3:3" x14ac:dyDescent="0.3">
      <c r="C1541" s="113">
        <f t="shared" si="46"/>
        <v>0</v>
      </c>
    </row>
    <row r="1542" spans="3:3" x14ac:dyDescent="0.3">
      <c r="C1542" s="113">
        <f t="shared" si="46"/>
        <v>0</v>
      </c>
    </row>
    <row r="1543" spans="3:3" x14ac:dyDescent="0.3">
      <c r="C1543" s="113">
        <f t="shared" si="46"/>
        <v>0</v>
      </c>
    </row>
    <row r="1544" spans="3:3" x14ac:dyDescent="0.3">
      <c r="C1544" s="113">
        <f t="shared" si="46"/>
        <v>0</v>
      </c>
    </row>
    <row r="1545" spans="3:3" x14ac:dyDescent="0.3">
      <c r="C1545" s="113">
        <f t="shared" si="46"/>
        <v>0</v>
      </c>
    </row>
    <row r="1546" spans="3:3" x14ac:dyDescent="0.3">
      <c r="C1546" s="113">
        <f t="shared" si="46"/>
        <v>0</v>
      </c>
    </row>
    <row r="1547" spans="3:3" x14ac:dyDescent="0.3">
      <c r="C1547" s="113">
        <f t="shared" si="46"/>
        <v>0</v>
      </c>
    </row>
    <row r="1548" spans="3:3" x14ac:dyDescent="0.3">
      <c r="C1548" s="113">
        <f t="shared" si="46"/>
        <v>0</v>
      </c>
    </row>
    <row r="1549" spans="3:3" x14ac:dyDescent="0.3">
      <c r="C1549" s="113">
        <f t="shared" si="46"/>
        <v>0</v>
      </c>
    </row>
    <row r="1550" spans="3:3" x14ac:dyDescent="0.3">
      <c r="C1550" s="113">
        <f t="shared" si="46"/>
        <v>0</v>
      </c>
    </row>
    <row r="1551" spans="3:3" x14ac:dyDescent="0.3">
      <c r="C1551" s="113">
        <f t="shared" si="46"/>
        <v>0</v>
      </c>
    </row>
    <row r="1552" spans="3:3" x14ac:dyDescent="0.3">
      <c r="C1552" s="113">
        <f t="shared" si="46"/>
        <v>0</v>
      </c>
    </row>
    <row r="1553" spans="3:3" x14ac:dyDescent="0.3">
      <c r="C1553" s="113">
        <f t="shared" si="46"/>
        <v>0</v>
      </c>
    </row>
    <row r="1554" spans="3:3" x14ac:dyDescent="0.3">
      <c r="C1554" s="113">
        <f t="shared" si="46"/>
        <v>0</v>
      </c>
    </row>
    <row r="1555" spans="3:3" x14ac:dyDescent="0.3">
      <c r="C1555" s="113">
        <f t="shared" si="46"/>
        <v>0</v>
      </c>
    </row>
    <row r="1556" spans="3:3" x14ac:dyDescent="0.3">
      <c r="C1556" s="113">
        <f t="shared" si="46"/>
        <v>0</v>
      </c>
    </row>
    <row r="1557" spans="3:3" x14ac:dyDescent="0.3">
      <c r="C1557" s="113">
        <f t="shared" si="46"/>
        <v>0</v>
      </c>
    </row>
    <row r="1558" spans="3:3" x14ac:dyDescent="0.3">
      <c r="C1558" s="113">
        <f t="shared" si="46"/>
        <v>0</v>
      </c>
    </row>
    <row r="1559" spans="3:3" x14ac:dyDescent="0.3">
      <c r="C1559" s="113">
        <f t="shared" si="46"/>
        <v>0</v>
      </c>
    </row>
    <row r="1560" spans="3:3" x14ac:dyDescent="0.3">
      <c r="C1560" s="113">
        <f t="shared" si="46"/>
        <v>0</v>
      </c>
    </row>
    <row r="1561" spans="3:3" x14ac:dyDescent="0.3">
      <c r="C1561" s="113">
        <f t="shared" si="46"/>
        <v>0</v>
      </c>
    </row>
    <row r="1562" spans="3:3" x14ac:dyDescent="0.3">
      <c r="C1562" s="113">
        <f t="shared" si="46"/>
        <v>0</v>
      </c>
    </row>
    <row r="1563" spans="3:3" x14ac:dyDescent="0.3">
      <c r="C1563" s="113">
        <f t="shared" si="46"/>
        <v>0</v>
      </c>
    </row>
    <row r="1564" spans="3:3" x14ac:dyDescent="0.3">
      <c r="C1564" s="113">
        <f t="shared" si="46"/>
        <v>0</v>
      </c>
    </row>
    <row r="1565" spans="3:3" x14ac:dyDescent="0.3">
      <c r="C1565" s="113">
        <f t="shared" si="46"/>
        <v>0</v>
      </c>
    </row>
    <row r="1566" spans="3:3" x14ac:dyDescent="0.3">
      <c r="C1566" s="113">
        <f t="shared" si="46"/>
        <v>0</v>
      </c>
    </row>
    <row r="1567" spans="3:3" x14ac:dyDescent="0.3">
      <c r="C1567" s="113">
        <f t="shared" si="46"/>
        <v>0</v>
      </c>
    </row>
    <row r="1568" spans="3:3" x14ac:dyDescent="0.3">
      <c r="C1568" s="113">
        <f t="shared" si="46"/>
        <v>0</v>
      </c>
    </row>
    <row r="1569" spans="3:3" x14ac:dyDescent="0.3">
      <c r="C1569" s="113">
        <f t="shared" si="46"/>
        <v>0</v>
      </c>
    </row>
    <row r="1570" spans="3:3" x14ac:dyDescent="0.3">
      <c r="C1570" s="113">
        <f t="shared" si="46"/>
        <v>0</v>
      </c>
    </row>
    <row r="1571" spans="3:3" x14ac:dyDescent="0.3">
      <c r="C1571" s="113">
        <f t="shared" si="46"/>
        <v>0</v>
      </c>
    </row>
    <row r="1572" spans="3:3" x14ac:dyDescent="0.3">
      <c r="C1572" s="113">
        <f t="shared" si="46"/>
        <v>0</v>
      </c>
    </row>
    <row r="1573" spans="3:3" x14ac:dyDescent="0.3">
      <c r="C1573" s="113">
        <f t="shared" si="46"/>
        <v>0</v>
      </c>
    </row>
    <row r="1574" spans="3:3" x14ac:dyDescent="0.3">
      <c r="C1574" s="113">
        <f t="shared" si="46"/>
        <v>0</v>
      </c>
    </row>
    <row r="1575" spans="3:3" x14ac:dyDescent="0.3">
      <c r="C1575" s="113">
        <f t="shared" si="46"/>
        <v>0</v>
      </c>
    </row>
    <row r="1576" spans="3:3" x14ac:dyDescent="0.3">
      <c r="C1576" s="113">
        <f t="shared" si="46"/>
        <v>0</v>
      </c>
    </row>
    <row r="1577" spans="3:3" x14ac:dyDescent="0.3">
      <c r="C1577" s="113">
        <f t="shared" si="46"/>
        <v>0</v>
      </c>
    </row>
    <row r="1578" spans="3:3" x14ac:dyDescent="0.3">
      <c r="C1578" s="113">
        <f t="shared" si="46"/>
        <v>0</v>
      </c>
    </row>
    <row r="1579" spans="3:3" x14ac:dyDescent="0.3">
      <c r="C1579" s="113">
        <f t="shared" si="46"/>
        <v>0</v>
      </c>
    </row>
    <row r="1580" spans="3:3" x14ac:dyDescent="0.3">
      <c r="C1580" s="113">
        <f t="shared" si="46"/>
        <v>0</v>
      </c>
    </row>
    <row r="1581" spans="3:3" x14ac:dyDescent="0.3">
      <c r="C1581" s="113">
        <f t="shared" si="46"/>
        <v>0</v>
      </c>
    </row>
    <row r="1582" spans="3:3" x14ac:dyDescent="0.3">
      <c r="C1582" s="113">
        <f t="shared" si="46"/>
        <v>0</v>
      </c>
    </row>
    <row r="1583" spans="3:3" x14ac:dyDescent="0.3">
      <c r="C1583" s="113">
        <f t="shared" si="46"/>
        <v>0</v>
      </c>
    </row>
    <row r="1584" spans="3:3" x14ac:dyDescent="0.3">
      <c r="C1584" s="113">
        <f t="shared" si="46"/>
        <v>0</v>
      </c>
    </row>
    <row r="1585" spans="3:3" x14ac:dyDescent="0.3">
      <c r="C1585" s="113">
        <f t="shared" si="46"/>
        <v>0</v>
      </c>
    </row>
    <row r="1586" spans="3:3" x14ac:dyDescent="0.3">
      <c r="C1586" s="113">
        <f t="shared" si="46"/>
        <v>0</v>
      </c>
    </row>
    <row r="1587" spans="3:3" x14ac:dyDescent="0.3">
      <c r="C1587" s="113">
        <f t="shared" si="46"/>
        <v>0</v>
      </c>
    </row>
    <row r="1588" spans="3:3" x14ac:dyDescent="0.3">
      <c r="C1588" s="113">
        <f t="shared" si="46"/>
        <v>0</v>
      </c>
    </row>
    <row r="1589" spans="3:3" x14ac:dyDescent="0.3">
      <c r="C1589" s="113">
        <f t="shared" si="46"/>
        <v>0</v>
      </c>
    </row>
    <row r="1590" spans="3:3" x14ac:dyDescent="0.3">
      <c r="C1590" s="113">
        <f t="shared" si="46"/>
        <v>0</v>
      </c>
    </row>
    <row r="1591" spans="3:3" x14ac:dyDescent="0.3">
      <c r="C1591" s="113">
        <f t="shared" si="46"/>
        <v>0</v>
      </c>
    </row>
    <row r="1592" spans="3:3" x14ac:dyDescent="0.3">
      <c r="C1592" s="113">
        <f t="shared" si="46"/>
        <v>0</v>
      </c>
    </row>
    <row r="1593" spans="3:3" x14ac:dyDescent="0.3">
      <c r="C1593" s="113">
        <f t="shared" si="46"/>
        <v>0</v>
      </c>
    </row>
    <row r="1594" spans="3:3" x14ac:dyDescent="0.3">
      <c r="C1594" s="113">
        <f t="shared" si="46"/>
        <v>0</v>
      </c>
    </row>
    <row r="1595" spans="3:3" x14ac:dyDescent="0.3">
      <c r="C1595" s="113">
        <f t="shared" si="46"/>
        <v>0</v>
      </c>
    </row>
    <row r="1596" spans="3:3" x14ac:dyDescent="0.3">
      <c r="C1596" s="113">
        <f t="shared" si="46"/>
        <v>0</v>
      </c>
    </row>
    <row r="1597" spans="3:3" x14ac:dyDescent="0.3">
      <c r="C1597" s="113">
        <f t="shared" si="46"/>
        <v>0</v>
      </c>
    </row>
    <row r="1598" spans="3:3" x14ac:dyDescent="0.3">
      <c r="C1598" s="113">
        <f t="shared" si="46"/>
        <v>0</v>
      </c>
    </row>
    <row r="1599" spans="3:3" x14ac:dyDescent="0.3">
      <c r="C1599" s="113">
        <f t="shared" si="46"/>
        <v>0</v>
      </c>
    </row>
    <row r="1600" spans="3:3" x14ac:dyDescent="0.3">
      <c r="C1600" s="113">
        <f t="shared" si="46"/>
        <v>0</v>
      </c>
    </row>
    <row r="1601" spans="3:3" x14ac:dyDescent="0.3">
      <c r="C1601" s="113">
        <f t="shared" si="46"/>
        <v>0</v>
      </c>
    </row>
    <row r="1602" spans="3:3" x14ac:dyDescent="0.3">
      <c r="C1602" s="113">
        <f t="shared" si="46"/>
        <v>0</v>
      </c>
    </row>
    <row r="1603" spans="3:3" x14ac:dyDescent="0.3">
      <c r="C1603" s="113">
        <f t="shared" si="46"/>
        <v>0</v>
      </c>
    </row>
    <row r="1604" spans="3:3" x14ac:dyDescent="0.3">
      <c r="C1604" s="113">
        <f t="shared" ref="C1604:C1667" si="47">+A1604</f>
        <v>0</v>
      </c>
    </row>
    <row r="1605" spans="3:3" x14ac:dyDescent="0.3">
      <c r="C1605" s="113">
        <f t="shared" si="47"/>
        <v>0</v>
      </c>
    </row>
    <row r="1606" spans="3:3" x14ac:dyDescent="0.3">
      <c r="C1606" s="113">
        <f t="shared" si="47"/>
        <v>0</v>
      </c>
    </row>
    <row r="1607" spans="3:3" x14ac:dyDescent="0.3">
      <c r="C1607" s="113">
        <f t="shared" si="47"/>
        <v>0</v>
      </c>
    </row>
    <row r="1608" spans="3:3" x14ac:dyDescent="0.3">
      <c r="C1608" s="113">
        <f t="shared" si="47"/>
        <v>0</v>
      </c>
    </row>
    <row r="1609" spans="3:3" x14ac:dyDescent="0.3">
      <c r="C1609" s="113">
        <f t="shared" si="47"/>
        <v>0</v>
      </c>
    </row>
    <row r="1610" spans="3:3" x14ac:dyDescent="0.3">
      <c r="C1610" s="113">
        <f t="shared" si="47"/>
        <v>0</v>
      </c>
    </row>
    <row r="1611" spans="3:3" x14ac:dyDescent="0.3">
      <c r="C1611" s="113">
        <f t="shared" si="47"/>
        <v>0</v>
      </c>
    </row>
    <row r="1612" spans="3:3" x14ac:dyDescent="0.3">
      <c r="C1612" s="113">
        <f t="shared" si="47"/>
        <v>0</v>
      </c>
    </row>
    <row r="1613" spans="3:3" x14ac:dyDescent="0.3">
      <c r="C1613" s="113">
        <f t="shared" si="47"/>
        <v>0</v>
      </c>
    </row>
    <row r="1614" spans="3:3" x14ac:dyDescent="0.3">
      <c r="C1614" s="113">
        <f t="shared" si="47"/>
        <v>0</v>
      </c>
    </row>
    <row r="1615" spans="3:3" x14ac:dyDescent="0.3">
      <c r="C1615" s="113">
        <f t="shared" si="47"/>
        <v>0</v>
      </c>
    </row>
    <row r="1616" spans="3:3" x14ac:dyDescent="0.3">
      <c r="C1616" s="113">
        <f t="shared" si="47"/>
        <v>0</v>
      </c>
    </row>
    <row r="1617" spans="3:3" x14ac:dyDescent="0.3">
      <c r="C1617" s="113">
        <f t="shared" si="47"/>
        <v>0</v>
      </c>
    </row>
    <row r="1618" spans="3:3" x14ac:dyDescent="0.3">
      <c r="C1618" s="113">
        <f t="shared" si="47"/>
        <v>0</v>
      </c>
    </row>
    <row r="1619" spans="3:3" x14ac:dyDescent="0.3">
      <c r="C1619" s="113">
        <f t="shared" si="47"/>
        <v>0</v>
      </c>
    </row>
    <row r="1620" spans="3:3" x14ac:dyDescent="0.3">
      <c r="C1620" s="113">
        <f t="shared" si="47"/>
        <v>0</v>
      </c>
    </row>
    <row r="1621" spans="3:3" x14ac:dyDescent="0.3">
      <c r="C1621" s="113">
        <f t="shared" si="47"/>
        <v>0</v>
      </c>
    </row>
    <row r="1622" spans="3:3" x14ac:dyDescent="0.3">
      <c r="C1622" s="113">
        <f t="shared" si="47"/>
        <v>0</v>
      </c>
    </row>
    <row r="1623" spans="3:3" x14ac:dyDescent="0.3">
      <c r="C1623" s="113">
        <f t="shared" si="47"/>
        <v>0</v>
      </c>
    </row>
    <row r="1624" spans="3:3" x14ac:dyDescent="0.3">
      <c r="C1624" s="113">
        <f t="shared" si="47"/>
        <v>0</v>
      </c>
    </row>
    <row r="1625" spans="3:3" x14ac:dyDescent="0.3">
      <c r="C1625" s="113">
        <f t="shared" si="47"/>
        <v>0</v>
      </c>
    </row>
    <row r="1626" spans="3:3" x14ac:dyDescent="0.3">
      <c r="C1626" s="113">
        <f t="shared" si="47"/>
        <v>0</v>
      </c>
    </row>
    <row r="1627" spans="3:3" x14ac:dyDescent="0.3">
      <c r="C1627" s="113">
        <f t="shared" si="47"/>
        <v>0</v>
      </c>
    </row>
    <row r="1628" spans="3:3" x14ac:dyDescent="0.3">
      <c r="C1628" s="113">
        <f t="shared" si="47"/>
        <v>0</v>
      </c>
    </row>
    <row r="1629" spans="3:3" x14ac:dyDescent="0.3">
      <c r="C1629" s="113">
        <f t="shared" si="47"/>
        <v>0</v>
      </c>
    </row>
    <row r="1630" spans="3:3" x14ac:dyDescent="0.3">
      <c r="C1630" s="113">
        <f t="shared" si="47"/>
        <v>0</v>
      </c>
    </row>
    <row r="1631" spans="3:3" x14ac:dyDescent="0.3">
      <c r="C1631" s="113">
        <f t="shared" si="47"/>
        <v>0</v>
      </c>
    </row>
    <row r="1632" spans="3:3" x14ac:dyDescent="0.3">
      <c r="C1632" s="113">
        <f t="shared" si="47"/>
        <v>0</v>
      </c>
    </row>
    <row r="1633" spans="1:4" x14ac:dyDescent="0.3">
      <c r="C1633" s="113">
        <f t="shared" si="47"/>
        <v>0</v>
      </c>
    </row>
    <row r="1634" spans="1:4" x14ac:dyDescent="0.3">
      <c r="C1634" s="113">
        <f t="shared" si="47"/>
        <v>0</v>
      </c>
    </row>
    <row r="1635" spans="1:4" x14ac:dyDescent="0.3">
      <c r="C1635" s="113">
        <f t="shared" si="47"/>
        <v>0</v>
      </c>
    </row>
    <row r="1636" spans="1:4" x14ac:dyDescent="0.3">
      <c r="C1636" s="113">
        <f t="shared" si="47"/>
        <v>0</v>
      </c>
    </row>
    <row r="1637" spans="1:4" x14ac:dyDescent="0.3">
      <c r="C1637" s="113">
        <f t="shared" si="47"/>
        <v>0</v>
      </c>
    </row>
    <row r="1638" spans="1:4" x14ac:dyDescent="0.3">
      <c r="A1638" s="122" t="s">
        <v>12071</v>
      </c>
      <c r="B1638" s="113" t="s">
        <v>13615</v>
      </c>
      <c r="C1638" s="113" t="str">
        <f t="shared" si="47"/>
        <v>TP.BG.DKG</v>
      </c>
      <c r="D1638" s="113" t="s">
        <v>14557</v>
      </c>
    </row>
    <row r="1639" spans="1:4" x14ac:dyDescent="0.3">
      <c r="A1639" s="122" t="s">
        <v>12077</v>
      </c>
      <c r="B1639" s="113" t="s">
        <v>13616</v>
      </c>
      <c r="C1639" s="113" t="str">
        <f t="shared" si="47"/>
        <v>TP.BN.DKG</v>
      </c>
      <c r="D1639" s="113" t="s">
        <v>14558</v>
      </c>
    </row>
    <row r="1640" spans="1:4" x14ac:dyDescent="0.3">
      <c r="A1640" s="122" t="s">
        <v>12082</v>
      </c>
      <c r="B1640" s="113" t="s">
        <v>13617</v>
      </c>
      <c r="C1640" s="113" t="str">
        <f t="shared" si="47"/>
        <v>TP.CB.DKG</v>
      </c>
      <c r="D1640" s="113" t="s">
        <v>14559</v>
      </c>
    </row>
    <row r="1641" spans="1:4" x14ac:dyDescent="0.3">
      <c r="A1641" s="122" t="s">
        <v>12086</v>
      </c>
      <c r="B1641" s="113" t="s">
        <v>13618</v>
      </c>
      <c r="C1641" s="113" t="str">
        <f t="shared" si="47"/>
        <v>TP.HB.DKG</v>
      </c>
      <c r="D1641" s="113" t="s">
        <v>14560</v>
      </c>
    </row>
    <row r="1642" spans="1:4" x14ac:dyDescent="0.3">
      <c r="A1642" s="122" t="s">
        <v>12092</v>
      </c>
      <c r="B1642" s="113" t="s">
        <v>13619</v>
      </c>
      <c r="C1642" s="113" t="str">
        <f t="shared" si="47"/>
        <v>TP.HD.DKG</v>
      </c>
      <c r="D1642" s="113" t="s">
        <v>14561</v>
      </c>
    </row>
    <row r="1643" spans="1:4" x14ac:dyDescent="0.3">
      <c r="A1643" s="122" t="s">
        <v>12098</v>
      </c>
      <c r="B1643" s="113" t="s">
        <v>13620</v>
      </c>
      <c r="C1643" s="113" t="str">
        <f t="shared" si="47"/>
        <v>TP.HG.DKG</v>
      </c>
      <c r="D1643" s="113" t="s">
        <v>14562</v>
      </c>
    </row>
    <row r="1644" spans="1:4" x14ac:dyDescent="0.3">
      <c r="A1644" s="122" t="s">
        <v>12100</v>
      </c>
      <c r="B1644" s="113" t="s">
        <v>13621</v>
      </c>
      <c r="C1644" s="113" t="str">
        <f t="shared" si="47"/>
        <v>TP.HN.DKG</v>
      </c>
      <c r="D1644" s="113" t="s">
        <v>14563</v>
      </c>
    </row>
    <row r="1645" spans="1:4" x14ac:dyDescent="0.3">
      <c r="A1645" s="122" t="s">
        <v>12104</v>
      </c>
      <c r="B1645" s="113" t="s">
        <v>13622</v>
      </c>
      <c r="C1645" s="113" t="str">
        <f t="shared" si="47"/>
        <v>TP.HT.DKG</v>
      </c>
      <c r="D1645" s="113" t="s">
        <v>14564</v>
      </c>
    </row>
    <row r="1646" spans="1:4" x14ac:dyDescent="0.3">
      <c r="A1646" s="122" t="s">
        <v>12108</v>
      </c>
      <c r="B1646" s="113" t="s">
        <v>13623</v>
      </c>
      <c r="C1646" s="113" t="str">
        <f t="shared" si="47"/>
        <v>TP.HY.DKG</v>
      </c>
      <c r="D1646" s="113" t="s">
        <v>14565</v>
      </c>
    </row>
    <row r="1647" spans="1:4" x14ac:dyDescent="0.3">
      <c r="A1647" s="122" t="s">
        <v>12110</v>
      </c>
      <c r="B1647" s="113" t="s">
        <v>13624</v>
      </c>
      <c r="C1647" s="113" t="str">
        <f t="shared" si="47"/>
        <v>TP.LC.DKG</v>
      </c>
      <c r="D1647" s="113" t="s">
        <v>14566</v>
      </c>
    </row>
    <row r="1648" spans="1:4" x14ac:dyDescent="0.3">
      <c r="A1648" s="122" t="s">
        <v>12112</v>
      </c>
      <c r="B1648" s="113" t="s">
        <v>13625</v>
      </c>
      <c r="C1648" s="113" t="str">
        <f t="shared" si="47"/>
        <v>TP.LS.DKG</v>
      </c>
      <c r="D1648" s="113" t="s">
        <v>14567</v>
      </c>
    </row>
    <row r="1649" spans="1:4" x14ac:dyDescent="0.3">
      <c r="A1649" s="122" t="s">
        <v>12116</v>
      </c>
      <c r="B1649" s="113" t="s">
        <v>13626</v>
      </c>
      <c r="C1649" s="113" t="str">
        <f t="shared" si="47"/>
        <v>TP.NB.DKG</v>
      </c>
      <c r="D1649" s="113" t="s">
        <v>14568</v>
      </c>
    </row>
    <row r="1650" spans="1:4" x14ac:dyDescent="0.3">
      <c r="A1650" s="122" t="s">
        <v>12122</v>
      </c>
      <c r="B1650" s="113" t="s">
        <v>13627</v>
      </c>
      <c r="C1650" s="113" t="str">
        <f t="shared" si="47"/>
        <v>TP.ND.DKG</v>
      </c>
      <c r="D1650" s="113" t="s">
        <v>14569</v>
      </c>
    </row>
    <row r="1651" spans="1:4" x14ac:dyDescent="0.3">
      <c r="A1651" s="122" t="s">
        <v>12128</v>
      </c>
      <c r="B1651" s="113" t="s">
        <v>13628</v>
      </c>
      <c r="C1651" s="113" t="str">
        <f t="shared" si="47"/>
        <v>TP.QB.DKG</v>
      </c>
      <c r="D1651" s="113" t="s">
        <v>14570</v>
      </c>
    </row>
    <row r="1652" spans="1:4" x14ac:dyDescent="0.3">
      <c r="A1652" s="122" t="s">
        <v>12130</v>
      </c>
      <c r="B1652" s="113" t="s">
        <v>13629</v>
      </c>
      <c r="C1652" s="113" t="str">
        <f t="shared" si="47"/>
        <v>TP.QT.DKG</v>
      </c>
      <c r="D1652" s="113" t="s">
        <v>14571</v>
      </c>
    </row>
    <row r="1653" spans="1:4" x14ac:dyDescent="0.3">
      <c r="A1653" s="122" t="s">
        <v>12132</v>
      </c>
      <c r="B1653" s="113" t="s">
        <v>13630</v>
      </c>
      <c r="C1653" s="113" t="str">
        <f t="shared" si="47"/>
        <v>TP.SP.DKG</v>
      </c>
      <c r="D1653" s="113" t="s">
        <v>14572</v>
      </c>
    </row>
    <row r="1654" spans="1:4" x14ac:dyDescent="0.3">
      <c r="A1654" s="122" t="s">
        <v>12134</v>
      </c>
      <c r="B1654" s="113" t="s">
        <v>13631</v>
      </c>
      <c r="C1654" s="113" t="str">
        <f t="shared" si="47"/>
        <v>TP.TB.DKG</v>
      </c>
      <c r="D1654" s="113" t="s">
        <v>14573</v>
      </c>
    </row>
    <row r="1655" spans="1:4" x14ac:dyDescent="0.3">
      <c r="A1655" s="122" t="s">
        <v>12140</v>
      </c>
      <c r="B1655" s="113" t="s">
        <v>13632</v>
      </c>
      <c r="C1655" s="113" t="str">
        <f t="shared" si="47"/>
        <v>TP.TH.DKG</v>
      </c>
      <c r="D1655" s="113" t="s">
        <v>14574</v>
      </c>
    </row>
    <row r="1656" spans="1:4" x14ac:dyDescent="0.3">
      <c r="A1656" s="122" t="s">
        <v>12144</v>
      </c>
      <c r="B1656" s="113" t="s">
        <v>13633</v>
      </c>
      <c r="C1656" s="113" t="str">
        <f t="shared" si="47"/>
        <v>TP.TN.DKG</v>
      </c>
      <c r="D1656" s="113" t="s">
        <v>14575</v>
      </c>
    </row>
    <row r="1657" spans="1:4" x14ac:dyDescent="0.3">
      <c r="A1657" s="122" t="s">
        <v>12150</v>
      </c>
      <c r="B1657" s="113" t="s">
        <v>13634</v>
      </c>
      <c r="C1657" s="113" t="str">
        <f t="shared" si="47"/>
        <v>TP.TQ.DKG</v>
      </c>
      <c r="D1657" s="113" t="s">
        <v>14576</v>
      </c>
    </row>
    <row r="1658" spans="1:4" x14ac:dyDescent="0.3">
      <c r="A1658" s="122" t="s">
        <v>12152</v>
      </c>
      <c r="B1658" s="113" t="s">
        <v>13635</v>
      </c>
      <c r="C1658" s="113" t="str">
        <f t="shared" si="47"/>
        <v>TP.VT.DKG</v>
      </c>
      <c r="D1658" s="113" t="s">
        <v>14577</v>
      </c>
    </row>
    <row r="1659" spans="1:4" x14ac:dyDescent="0.3">
      <c r="A1659" s="122" t="s">
        <v>12158</v>
      </c>
      <c r="B1659" s="113" t="s">
        <v>13636</v>
      </c>
      <c r="C1659" s="113" t="str">
        <f t="shared" si="47"/>
        <v>TP.YB.DKG</v>
      </c>
      <c r="D1659" s="113" t="s">
        <v>14578</v>
      </c>
    </row>
    <row r="1660" spans="1:4" x14ac:dyDescent="0.3">
      <c r="A1660" s="122" t="s">
        <v>12164</v>
      </c>
      <c r="B1660" s="113" t="s">
        <v>13637</v>
      </c>
      <c r="C1660" s="113" t="str">
        <f t="shared" si="47"/>
        <v>TPV.NA.DKG</v>
      </c>
      <c r="D1660" s="113" t="s">
        <v>14579</v>
      </c>
    </row>
    <row r="1661" spans="1:4" x14ac:dyDescent="0.3">
      <c r="C1661" s="113">
        <f t="shared" si="47"/>
        <v>0</v>
      </c>
    </row>
    <row r="1662" spans="1:4" x14ac:dyDescent="0.3">
      <c r="C1662" s="113">
        <f t="shared" si="47"/>
        <v>0</v>
      </c>
    </row>
    <row r="1663" spans="1:4" x14ac:dyDescent="0.3">
      <c r="C1663" s="113">
        <f t="shared" si="47"/>
        <v>0</v>
      </c>
    </row>
    <row r="1664" spans="1:4" x14ac:dyDescent="0.3">
      <c r="C1664" s="113">
        <f t="shared" si="47"/>
        <v>0</v>
      </c>
    </row>
    <row r="1665" spans="3:3" x14ac:dyDescent="0.3">
      <c r="C1665" s="113">
        <f t="shared" si="47"/>
        <v>0</v>
      </c>
    </row>
    <row r="1666" spans="3:3" x14ac:dyDescent="0.3">
      <c r="C1666" s="113">
        <f t="shared" si="47"/>
        <v>0</v>
      </c>
    </row>
    <row r="1667" spans="3:3" x14ac:dyDescent="0.3">
      <c r="C1667" s="113">
        <f t="shared" si="47"/>
        <v>0</v>
      </c>
    </row>
    <row r="1668" spans="3:3" x14ac:dyDescent="0.3">
      <c r="C1668" s="113">
        <f t="shared" ref="C1668:C1682" si="48">+A1668</f>
        <v>0</v>
      </c>
    </row>
    <row r="1669" spans="3:3" x14ac:dyDescent="0.3">
      <c r="C1669" s="113">
        <f t="shared" si="48"/>
        <v>0</v>
      </c>
    </row>
    <row r="1670" spans="3:3" x14ac:dyDescent="0.3">
      <c r="C1670" s="113">
        <f t="shared" si="48"/>
        <v>0</v>
      </c>
    </row>
    <row r="1671" spans="3:3" x14ac:dyDescent="0.3">
      <c r="C1671" s="113">
        <f t="shared" si="48"/>
        <v>0</v>
      </c>
    </row>
    <row r="1672" spans="3:3" x14ac:dyDescent="0.3">
      <c r="C1672" s="113">
        <f t="shared" si="48"/>
        <v>0</v>
      </c>
    </row>
    <row r="1673" spans="3:3" x14ac:dyDescent="0.3">
      <c r="C1673" s="113">
        <f t="shared" si="48"/>
        <v>0</v>
      </c>
    </row>
    <row r="1674" spans="3:3" x14ac:dyDescent="0.3">
      <c r="C1674" s="113">
        <f t="shared" si="48"/>
        <v>0</v>
      </c>
    </row>
    <row r="1675" spans="3:3" x14ac:dyDescent="0.3">
      <c r="C1675" s="113">
        <f t="shared" si="48"/>
        <v>0</v>
      </c>
    </row>
    <row r="1676" spans="3:3" x14ac:dyDescent="0.3">
      <c r="C1676" s="113">
        <f t="shared" si="48"/>
        <v>0</v>
      </c>
    </row>
    <row r="1677" spans="3:3" x14ac:dyDescent="0.3">
      <c r="C1677" s="113">
        <f t="shared" si="48"/>
        <v>0</v>
      </c>
    </row>
    <row r="1678" spans="3:3" x14ac:dyDescent="0.3">
      <c r="C1678" s="113">
        <f t="shared" si="48"/>
        <v>0</v>
      </c>
    </row>
    <row r="1679" spans="3:3" x14ac:dyDescent="0.3">
      <c r="C1679" s="113">
        <f t="shared" si="48"/>
        <v>0</v>
      </c>
    </row>
    <row r="1680" spans="3:3" x14ac:dyDescent="0.3">
      <c r="C1680" s="113">
        <f t="shared" si="48"/>
        <v>0</v>
      </c>
    </row>
    <row r="1681" spans="3:3" x14ac:dyDescent="0.3">
      <c r="C1681" s="113">
        <f t="shared" si="48"/>
        <v>0</v>
      </c>
    </row>
    <row r="1682" spans="3:3" x14ac:dyDescent="0.3">
      <c r="C1682" s="113">
        <f t="shared" si="48"/>
        <v>0</v>
      </c>
    </row>
  </sheetData>
  <autoFilter ref="A2:C1682" xr:uid="{00000000-0009-0000-0000-000009000000}"/>
  <mergeCells count="1">
    <mergeCell ref="A1:B1"/>
  </mergeCells>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D7"/>
  <sheetViews>
    <sheetView workbookViewId="0">
      <selection activeCell="A23" sqref="A23"/>
    </sheetView>
  </sheetViews>
  <sheetFormatPr defaultRowHeight="15.6" x14ac:dyDescent="0.3"/>
  <cols>
    <col min="1" max="1" width="44.8984375" bestFit="1" customWidth="1"/>
    <col min="4" max="4" width="12.5" bestFit="1" customWidth="1"/>
  </cols>
  <sheetData>
    <row r="1" spans="1:4" x14ac:dyDescent="0.3">
      <c r="A1" s="127" t="s">
        <v>12682</v>
      </c>
      <c r="B1" s="125" t="s">
        <v>12679</v>
      </c>
      <c r="C1" s="125" t="s">
        <v>12680</v>
      </c>
      <c r="D1" s="125" t="s">
        <v>12681</v>
      </c>
    </row>
    <row r="2" spans="1:4" x14ac:dyDescent="0.3">
      <c r="A2" s="125"/>
      <c r="B2" s="125"/>
      <c r="C2" s="125"/>
      <c r="D2" s="125"/>
    </row>
    <row r="3" spans="1:4" x14ac:dyDescent="0.3">
      <c r="A3" s="125"/>
      <c r="B3" s="125"/>
      <c r="C3" s="125"/>
      <c r="D3" s="125"/>
    </row>
    <row r="4" spans="1:4" x14ac:dyDescent="0.3">
      <c r="A4" s="125"/>
      <c r="B4" s="125"/>
      <c r="C4" s="125"/>
      <c r="D4" s="125"/>
    </row>
    <row r="5" spans="1:4" x14ac:dyDescent="0.3">
      <c r="A5" s="126"/>
      <c r="B5" s="125"/>
      <c r="C5" s="125"/>
      <c r="D5" s="125"/>
    </row>
    <row r="7" spans="1:4" x14ac:dyDescent="0.3">
      <c r="A7" t="s">
        <v>12683</v>
      </c>
      <c r="D7" s="124">
        <f>SUM(D2:D6)</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I396"/>
  <sheetViews>
    <sheetView zoomScale="90" zoomScaleNormal="90" workbookViewId="0">
      <selection activeCell="F1" sqref="F1:I400"/>
    </sheetView>
  </sheetViews>
  <sheetFormatPr defaultRowHeight="15.6" x14ac:dyDescent="0.3"/>
  <cols>
    <col min="1" max="1" width="4" customWidth="1"/>
    <col min="2" max="2" width="37.5" customWidth="1"/>
    <col min="3" max="3" width="7.8984375" customWidth="1"/>
    <col min="4" max="4" width="5" customWidth="1"/>
    <col min="5" max="5" width="3.19921875" customWidth="1"/>
    <col min="6" max="6" width="66" customWidth="1"/>
    <col min="7" max="7" width="17.3984375" customWidth="1"/>
    <col min="8" max="8" width="4.59765625" customWidth="1"/>
    <col min="9" max="9" width="4.09765625" customWidth="1"/>
    <col min="10" max="10" width="4.59765625" customWidth="1"/>
  </cols>
  <sheetData>
    <row r="1" spans="1:9" x14ac:dyDescent="0.3">
      <c r="A1">
        <v>1</v>
      </c>
      <c r="B1" t="s">
        <v>15054</v>
      </c>
      <c r="F1" t="s">
        <v>15121</v>
      </c>
      <c r="G1" t="s">
        <v>15121</v>
      </c>
    </row>
    <row r="2" spans="1:9" x14ac:dyDescent="0.3">
      <c r="A2">
        <v>2</v>
      </c>
      <c r="B2" t="s">
        <v>15055</v>
      </c>
      <c r="C2" t="s">
        <v>232</v>
      </c>
      <c r="F2" t="s">
        <v>15055</v>
      </c>
      <c r="G2" t="s">
        <v>232</v>
      </c>
    </row>
    <row r="3" spans="1:9" x14ac:dyDescent="0.3">
      <c r="A3">
        <v>3</v>
      </c>
      <c r="B3" t="s">
        <v>15056</v>
      </c>
      <c r="C3" t="s">
        <v>15057</v>
      </c>
      <c r="F3" t="s">
        <v>15056</v>
      </c>
      <c r="G3" t="s">
        <v>15057</v>
      </c>
    </row>
    <row r="4" spans="1:9" x14ac:dyDescent="0.3">
      <c r="A4">
        <v>4</v>
      </c>
      <c r="B4" t="s">
        <v>15058</v>
      </c>
      <c r="C4" t="s">
        <v>15059</v>
      </c>
      <c r="F4" t="s">
        <v>15058</v>
      </c>
      <c r="G4" t="s">
        <v>15059</v>
      </c>
    </row>
    <row r="5" spans="1:9" x14ac:dyDescent="0.3">
      <c r="A5">
        <v>5</v>
      </c>
      <c r="B5" t="s">
        <v>15060</v>
      </c>
      <c r="C5" t="s">
        <v>15061</v>
      </c>
      <c r="F5" t="s">
        <v>15060</v>
      </c>
      <c r="G5" t="s">
        <v>15061</v>
      </c>
    </row>
    <row r="6" spans="1:9" x14ac:dyDescent="0.3">
      <c r="A6">
        <v>6</v>
      </c>
      <c r="B6" t="s">
        <v>15062</v>
      </c>
      <c r="C6">
        <v>3</v>
      </c>
      <c r="D6" t="s">
        <v>15063</v>
      </c>
      <c r="F6" t="s">
        <v>15062</v>
      </c>
      <c r="G6">
        <v>3</v>
      </c>
      <c r="H6" t="s">
        <v>15063</v>
      </c>
    </row>
    <row r="7" spans="1:9" x14ac:dyDescent="0.3">
      <c r="A7">
        <v>7</v>
      </c>
      <c r="B7" t="s">
        <v>15064</v>
      </c>
      <c r="D7" s="128"/>
      <c r="F7" t="s">
        <v>15064</v>
      </c>
      <c r="G7" t="s">
        <v>15064</v>
      </c>
      <c r="I7" s="128"/>
    </row>
    <row r="8" spans="1:9" x14ac:dyDescent="0.3">
      <c r="A8">
        <v>8</v>
      </c>
      <c r="B8" t="s">
        <v>15065</v>
      </c>
      <c r="C8" t="s">
        <v>15066</v>
      </c>
      <c r="F8" t="s">
        <v>15065</v>
      </c>
      <c r="G8" t="s">
        <v>15066</v>
      </c>
    </row>
    <row r="9" spans="1:9" x14ac:dyDescent="0.3">
      <c r="A9">
        <v>9</v>
      </c>
      <c r="B9" t="s">
        <v>15067</v>
      </c>
      <c r="C9" s="310">
        <v>300</v>
      </c>
      <c r="D9" s="128">
        <v>1</v>
      </c>
      <c r="F9" t="s">
        <v>15067</v>
      </c>
      <c r="G9" s="310">
        <v>300</v>
      </c>
      <c r="H9" s="128">
        <v>1</v>
      </c>
    </row>
    <row r="10" spans="1:9" x14ac:dyDescent="0.3">
      <c r="A10">
        <v>10</v>
      </c>
      <c r="B10" t="s">
        <v>15068</v>
      </c>
      <c r="D10" s="128" t="s">
        <v>15069</v>
      </c>
      <c r="F10" t="s">
        <v>15068</v>
      </c>
      <c r="G10" t="s">
        <v>15068</v>
      </c>
      <c r="I10" s="128" t="s">
        <v>15069</v>
      </c>
    </row>
    <row r="11" spans="1:9" x14ac:dyDescent="0.3">
      <c r="A11">
        <v>11</v>
      </c>
      <c r="B11" t="s">
        <v>15070</v>
      </c>
      <c r="C11" t="s">
        <v>15071</v>
      </c>
      <c r="F11" t="s">
        <v>15070</v>
      </c>
      <c r="G11" t="s">
        <v>15071</v>
      </c>
    </row>
    <row r="12" spans="1:9" x14ac:dyDescent="0.3">
      <c r="A12">
        <v>12</v>
      </c>
      <c r="B12" t="s">
        <v>15072</v>
      </c>
      <c r="C12" s="310"/>
      <c r="D12" s="128" t="s">
        <v>15073</v>
      </c>
      <c r="F12" t="s">
        <v>15072</v>
      </c>
      <c r="G12" t="s">
        <v>15072</v>
      </c>
      <c r="H12" s="310"/>
      <c r="I12" s="128" t="s">
        <v>15073</v>
      </c>
    </row>
    <row r="13" spans="1:9" x14ac:dyDescent="0.3">
      <c r="A13">
        <v>1</v>
      </c>
      <c r="B13" t="s">
        <v>15074</v>
      </c>
      <c r="F13" t="s">
        <v>15121</v>
      </c>
      <c r="G13" t="s">
        <v>15121</v>
      </c>
    </row>
    <row r="14" spans="1:9" x14ac:dyDescent="0.3">
      <c r="A14">
        <v>2</v>
      </c>
      <c r="B14" t="s">
        <v>15055</v>
      </c>
      <c r="C14" t="s">
        <v>232</v>
      </c>
      <c r="F14" t="s">
        <v>15055</v>
      </c>
      <c r="G14" t="s">
        <v>232</v>
      </c>
    </row>
    <row r="15" spans="1:9" x14ac:dyDescent="0.3">
      <c r="A15">
        <v>3</v>
      </c>
      <c r="B15" t="s">
        <v>15056</v>
      </c>
      <c r="C15" t="s">
        <v>15075</v>
      </c>
      <c r="F15" t="s">
        <v>15056</v>
      </c>
      <c r="G15" t="s">
        <v>15075</v>
      </c>
    </row>
    <row r="16" spans="1:9" x14ac:dyDescent="0.3">
      <c r="A16">
        <v>4</v>
      </c>
      <c r="B16" t="s">
        <v>15058</v>
      </c>
      <c r="C16" t="s">
        <v>15076</v>
      </c>
      <c r="F16" t="s">
        <v>15058</v>
      </c>
      <c r="G16" t="s">
        <v>15076</v>
      </c>
    </row>
    <row r="17" spans="1:9" x14ac:dyDescent="0.3">
      <c r="A17">
        <v>5</v>
      </c>
      <c r="B17" t="s">
        <v>15060</v>
      </c>
      <c r="C17" t="s">
        <v>15061</v>
      </c>
      <c r="F17" t="s">
        <v>15060</v>
      </c>
      <c r="G17" t="s">
        <v>15061</v>
      </c>
    </row>
    <row r="18" spans="1:9" x14ac:dyDescent="0.3">
      <c r="A18">
        <v>6</v>
      </c>
      <c r="B18" t="s">
        <v>15062</v>
      </c>
      <c r="C18">
        <v>1</v>
      </c>
      <c r="D18" t="s">
        <v>15077</v>
      </c>
      <c r="F18" t="s">
        <v>15062</v>
      </c>
      <c r="G18">
        <v>1</v>
      </c>
      <c r="H18" t="s">
        <v>15077</v>
      </c>
    </row>
    <row r="19" spans="1:9" x14ac:dyDescent="0.3">
      <c r="A19">
        <v>7</v>
      </c>
      <c r="B19" t="s">
        <v>15064</v>
      </c>
      <c r="F19" t="s">
        <v>15064</v>
      </c>
      <c r="G19" t="s">
        <v>15064</v>
      </c>
    </row>
    <row r="20" spans="1:9" x14ac:dyDescent="0.3">
      <c r="A20">
        <v>8</v>
      </c>
      <c r="B20" t="s">
        <v>15065</v>
      </c>
      <c r="C20" t="s">
        <v>15078</v>
      </c>
      <c r="D20" s="128"/>
      <c r="F20" t="s">
        <v>15065</v>
      </c>
      <c r="G20" t="s">
        <v>15078</v>
      </c>
      <c r="H20" s="128"/>
    </row>
    <row r="21" spans="1:9" x14ac:dyDescent="0.3">
      <c r="A21">
        <v>9</v>
      </c>
      <c r="B21" t="s">
        <v>15067</v>
      </c>
      <c r="C21">
        <v>300</v>
      </c>
      <c r="D21" s="128">
        <v>1</v>
      </c>
      <c r="F21" t="s">
        <v>15067</v>
      </c>
      <c r="G21">
        <v>300</v>
      </c>
      <c r="H21" s="128">
        <v>1</v>
      </c>
    </row>
    <row r="22" spans="1:9" x14ac:dyDescent="0.3">
      <c r="A22">
        <v>10</v>
      </c>
      <c r="B22" t="s">
        <v>15068</v>
      </c>
      <c r="D22" t="s">
        <v>15069</v>
      </c>
      <c r="F22" t="s">
        <v>15068</v>
      </c>
      <c r="G22" t="s">
        <v>15068</v>
      </c>
      <c r="I22" t="s">
        <v>15069</v>
      </c>
    </row>
    <row r="23" spans="1:9" x14ac:dyDescent="0.3">
      <c r="A23">
        <v>11</v>
      </c>
      <c r="B23" t="s">
        <v>15070</v>
      </c>
      <c r="C23" t="s">
        <v>15079</v>
      </c>
      <c r="F23" t="s">
        <v>15070</v>
      </c>
      <c r="G23" t="s">
        <v>15079</v>
      </c>
    </row>
    <row r="24" spans="1:9" x14ac:dyDescent="0.3">
      <c r="A24">
        <v>12</v>
      </c>
      <c r="B24" t="s">
        <v>15072</v>
      </c>
      <c r="D24" t="s">
        <v>15073</v>
      </c>
      <c r="F24" t="s">
        <v>15072</v>
      </c>
      <c r="G24" t="s">
        <v>15072</v>
      </c>
      <c r="I24" t="s">
        <v>15073</v>
      </c>
    </row>
    <row r="25" spans="1:9" x14ac:dyDescent="0.3">
      <c r="A25">
        <v>1</v>
      </c>
      <c r="B25" t="s">
        <v>15074</v>
      </c>
      <c r="F25" t="s">
        <v>15121</v>
      </c>
      <c r="G25" t="s">
        <v>15121</v>
      </c>
    </row>
    <row r="26" spans="1:9" x14ac:dyDescent="0.3">
      <c r="A26">
        <v>2</v>
      </c>
      <c r="B26" t="s">
        <v>15055</v>
      </c>
      <c r="C26" t="s">
        <v>232</v>
      </c>
      <c r="F26" t="s">
        <v>15055</v>
      </c>
      <c r="G26" t="s">
        <v>232</v>
      </c>
    </row>
    <row r="27" spans="1:9" x14ac:dyDescent="0.3">
      <c r="A27">
        <v>3</v>
      </c>
      <c r="B27" s="283" t="s">
        <v>15056</v>
      </c>
      <c r="C27" t="s">
        <v>15075</v>
      </c>
      <c r="F27" s="283" t="s">
        <v>15056</v>
      </c>
      <c r="G27" t="s">
        <v>15075</v>
      </c>
    </row>
    <row r="28" spans="1:9" x14ac:dyDescent="0.3">
      <c r="A28">
        <v>4</v>
      </c>
      <c r="B28" t="s">
        <v>15058</v>
      </c>
      <c r="C28" t="s">
        <v>15080</v>
      </c>
      <c r="F28" t="s">
        <v>15058</v>
      </c>
      <c r="G28" t="s">
        <v>15080</v>
      </c>
    </row>
    <row r="29" spans="1:9" x14ac:dyDescent="0.3">
      <c r="A29">
        <v>5</v>
      </c>
      <c r="B29" t="s">
        <v>15060</v>
      </c>
      <c r="C29" t="s">
        <v>15081</v>
      </c>
      <c r="F29" t="s">
        <v>15060</v>
      </c>
      <c r="G29" t="s">
        <v>15081</v>
      </c>
    </row>
    <row r="30" spans="1:9" x14ac:dyDescent="0.3">
      <c r="A30">
        <v>6</v>
      </c>
      <c r="B30" t="s">
        <v>15062</v>
      </c>
      <c r="C30">
        <v>4</v>
      </c>
      <c r="D30" t="s">
        <v>15082</v>
      </c>
      <c r="F30" t="s">
        <v>15062</v>
      </c>
      <c r="G30">
        <v>4</v>
      </c>
      <c r="H30" t="s">
        <v>15082</v>
      </c>
    </row>
    <row r="31" spans="1:9" x14ac:dyDescent="0.3">
      <c r="A31">
        <v>7</v>
      </c>
      <c r="B31" t="s">
        <v>15064</v>
      </c>
      <c r="C31" t="s">
        <v>15083</v>
      </c>
      <c r="F31" t="s">
        <v>15064</v>
      </c>
      <c r="G31" t="s">
        <v>15083</v>
      </c>
    </row>
    <row r="32" spans="1:9" x14ac:dyDescent="0.3">
      <c r="A32">
        <v>8</v>
      </c>
      <c r="B32" t="s">
        <v>15065</v>
      </c>
      <c r="C32" t="s">
        <v>230</v>
      </c>
      <c r="F32" t="s">
        <v>15065</v>
      </c>
      <c r="G32" t="s">
        <v>230</v>
      </c>
    </row>
    <row r="33" spans="1:9" x14ac:dyDescent="0.3">
      <c r="A33">
        <v>9</v>
      </c>
      <c r="B33" t="s">
        <v>15084</v>
      </c>
      <c r="C33">
        <v>450</v>
      </c>
      <c r="D33" s="128">
        <v>0.97</v>
      </c>
      <c r="F33" t="s">
        <v>15084</v>
      </c>
      <c r="G33">
        <v>450</v>
      </c>
      <c r="H33" s="128">
        <v>0.97</v>
      </c>
    </row>
    <row r="34" spans="1:9" x14ac:dyDescent="0.3">
      <c r="A34">
        <v>10</v>
      </c>
      <c r="B34" t="s">
        <v>15068</v>
      </c>
      <c r="C34" t="s">
        <v>15085</v>
      </c>
      <c r="D34" t="s">
        <v>15069</v>
      </c>
      <c r="F34" t="s">
        <v>15068</v>
      </c>
      <c r="G34" t="s">
        <v>15085</v>
      </c>
      <c r="H34" t="s">
        <v>15069</v>
      </c>
    </row>
    <row r="35" spans="1:9" x14ac:dyDescent="0.3">
      <c r="A35">
        <v>11</v>
      </c>
      <c r="B35" t="s">
        <v>15070</v>
      </c>
      <c r="C35" t="s">
        <v>15086</v>
      </c>
      <c r="F35" t="s">
        <v>15070</v>
      </c>
      <c r="G35" t="s">
        <v>15086</v>
      </c>
    </row>
    <row r="36" spans="1:9" x14ac:dyDescent="0.3">
      <c r="A36">
        <v>12</v>
      </c>
      <c r="B36" t="s">
        <v>15072</v>
      </c>
      <c r="C36" t="s">
        <v>15087</v>
      </c>
      <c r="D36" t="s">
        <v>15073</v>
      </c>
      <c r="F36" t="s">
        <v>15072</v>
      </c>
      <c r="G36" t="s">
        <v>15087</v>
      </c>
      <c r="H36" t="s">
        <v>15073</v>
      </c>
    </row>
    <row r="37" spans="1:9" x14ac:dyDescent="0.3">
      <c r="A37">
        <v>1</v>
      </c>
      <c r="B37" t="s">
        <v>15088</v>
      </c>
      <c r="C37" t="s">
        <v>232</v>
      </c>
      <c r="F37" t="s">
        <v>15122</v>
      </c>
      <c r="G37" t="s">
        <v>232</v>
      </c>
    </row>
    <row r="38" spans="1:9" x14ac:dyDescent="0.3">
      <c r="A38">
        <v>2</v>
      </c>
      <c r="B38" t="s">
        <v>15056</v>
      </c>
      <c r="C38" t="s">
        <v>15075</v>
      </c>
      <c r="F38" t="s">
        <v>15056</v>
      </c>
      <c r="G38" t="s">
        <v>15075</v>
      </c>
    </row>
    <row r="39" spans="1:9" x14ac:dyDescent="0.3">
      <c r="A39">
        <v>3</v>
      </c>
      <c r="B39" t="s">
        <v>15058</v>
      </c>
      <c r="C39" t="s">
        <v>15080</v>
      </c>
      <c r="F39" t="s">
        <v>15058</v>
      </c>
      <c r="G39" t="s">
        <v>15080</v>
      </c>
    </row>
    <row r="40" spans="1:9" x14ac:dyDescent="0.3">
      <c r="A40">
        <v>4</v>
      </c>
      <c r="B40" t="s">
        <v>15060</v>
      </c>
      <c r="C40" t="s">
        <v>15089</v>
      </c>
      <c r="D40" s="128"/>
      <c r="F40" t="s">
        <v>15060</v>
      </c>
      <c r="G40" t="s">
        <v>15089</v>
      </c>
      <c r="H40" s="128"/>
    </row>
    <row r="41" spans="1:9" x14ac:dyDescent="0.3">
      <c r="A41">
        <v>5</v>
      </c>
      <c r="B41" t="s">
        <v>15062</v>
      </c>
      <c r="C41">
        <v>3</v>
      </c>
      <c r="D41" t="s">
        <v>15082</v>
      </c>
      <c r="F41" t="s">
        <v>15062</v>
      </c>
      <c r="G41">
        <v>3</v>
      </c>
      <c r="H41" t="s">
        <v>15082</v>
      </c>
    </row>
    <row r="42" spans="1:9" x14ac:dyDescent="0.3">
      <c r="A42">
        <v>6</v>
      </c>
      <c r="B42" t="s">
        <v>15064</v>
      </c>
      <c r="C42" t="s">
        <v>15090</v>
      </c>
      <c r="F42" t="s">
        <v>15064</v>
      </c>
      <c r="G42" t="s">
        <v>15090</v>
      </c>
    </row>
    <row r="43" spans="1:9" x14ac:dyDescent="0.3">
      <c r="A43">
        <v>7</v>
      </c>
      <c r="B43" t="s">
        <v>15065</v>
      </c>
      <c r="C43" t="s">
        <v>14982</v>
      </c>
      <c r="F43" t="s">
        <v>15065</v>
      </c>
      <c r="G43" t="s">
        <v>14982</v>
      </c>
    </row>
    <row r="44" spans="1:9" x14ac:dyDescent="0.3">
      <c r="A44">
        <v>8</v>
      </c>
      <c r="B44" t="s">
        <v>15084</v>
      </c>
      <c r="D44" s="128">
        <v>0.97</v>
      </c>
      <c r="F44" t="s">
        <v>15084</v>
      </c>
      <c r="G44" t="s">
        <v>15084</v>
      </c>
      <c r="I44" s="128">
        <v>0.97</v>
      </c>
    </row>
    <row r="45" spans="1:9" x14ac:dyDescent="0.3">
      <c r="A45">
        <v>9</v>
      </c>
      <c r="B45" t="s">
        <v>15068</v>
      </c>
      <c r="C45" s="310"/>
      <c r="D45" s="128"/>
      <c r="F45" t="s">
        <v>15068</v>
      </c>
      <c r="G45" t="s">
        <v>15068</v>
      </c>
      <c r="H45" s="310"/>
      <c r="I45" s="128"/>
    </row>
    <row r="46" spans="1:9" x14ac:dyDescent="0.3">
      <c r="A46">
        <v>10</v>
      </c>
      <c r="B46" t="s">
        <v>15070</v>
      </c>
      <c r="C46" t="s">
        <v>15086</v>
      </c>
      <c r="F46" t="s">
        <v>15070</v>
      </c>
      <c r="G46" t="s">
        <v>15086</v>
      </c>
    </row>
    <row r="47" spans="1:9" x14ac:dyDescent="0.3">
      <c r="A47">
        <v>11</v>
      </c>
      <c r="B47" t="s">
        <v>15072</v>
      </c>
      <c r="D47" t="s">
        <v>15073</v>
      </c>
      <c r="F47" t="s">
        <v>15072</v>
      </c>
      <c r="G47" t="s">
        <v>15072</v>
      </c>
      <c r="I47" t="s">
        <v>15073</v>
      </c>
    </row>
    <row r="48" spans="1:9" x14ac:dyDescent="0.3">
      <c r="A48">
        <v>12</v>
      </c>
    </row>
    <row r="49" spans="1:8" x14ac:dyDescent="0.3">
      <c r="A49">
        <v>1</v>
      </c>
      <c r="B49" t="s">
        <v>15091</v>
      </c>
      <c r="F49" t="s">
        <v>15121</v>
      </c>
      <c r="G49" t="s">
        <v>15121</v>
      </c>
    </row>
    <row r="50" spans="1:8" x14ac:dyDescent="0.3">
      <c r="A50">
        <v>2</v>
      </c>
      <c r="B50" t="s">
        <v>15055</v>
      </c>
      <c r="C50" t="s">
        <v>232</v>
      </c>
      <c r="F50" t="s">
        <v>15055</v>
      </c>
      <c r="G50" t="s">
        <v>232</v>
      </c>
    </row>
    <row r="51" spans="1:8" x14ac:dyDescent="0.3">
      <c r="A51">
        <v>3</v>
      </c>
      <c r="B51" t="s">
        <v>15056</v>
      </c>
      <c r="C51" t="s">
        <v>15075</v>
      </c>
      <c r="F51" t="s">
        <v>15056</v>
      </c>
      <c r="G51" t="s">
        <v>15075</v>
      </c>
    </row>
    <row r="52" spans="1:8" x14ac:dyDescent="0.3">
      <c r="A52">
        <v>4</v>
      </c>
      <c r="B52" t="s">
        <v>15058</v>
      </c>
      <c r="C52" t="s">
        <v>15092</v>
      </c>
      <c r="D52" s="128"/>
      <c r="F52" t="s">
        <v>15058</v>
      </c>
      <c r="G52" t="s">
        <v>15092</v>
      </c>
      <c r="H52" s="128"/>
    </row>
    <row r="53" spans="1:8" x14ac:dyDescent="0.3">
      <c r="A53">
        <v>5</v>
      </c>
      <c r="B53" t="s">
        <v>15060</v>
      </c>
      <c r="C53" s="310" t="s">
        <v>15093</v>
      </c>
      <c r="D53" s="128"/>
      <c r="F53" t="s">
        <v>15060</v>
      </c>
      <c r="G53" s="310" t="s">
        <v>15093</v>
      </c>
      <c r="H53" s="128"/>
    </row>
    <row r="54" spans="1:8" x14ac:dyDescent="0.3">
      <c r="A54">
        <v>6</v>
      </c>
      <c r="B54" t="s">
        <v>15062</v>
      </c>
      <c r="C54">
        <v>1</v>
      </c>
      <c r="D54" t="s">
        <v>15082</v>
      </c>
      <c r="F54" t="s">
        <v>15062</v>
      </c>
      <c r="G54">
        <v>1</v>
      </c>
      <c r="H54" t="s">
        <v>15082</v>
      </c>
    </row>
    <row r="55" spans="1:8" x14ac:dyDescent="0.3">
      <c r="A55">
        <v>7</v>
      </c>
      <c r="B55" t="s">
        <v>15064</v>
      </c>
      <c r="C55" t="s">
        <v>15094</v>
      </c>
      <c r="F55" t="s">
        <v>15064</v>
      </c>
      <c r="G55" t="s">
        <v>15094</v>
      </c>
    </row>
    <row r="56" spans="1:8" x14ac:dyDescent="0.3">
      <c r="A56">
        <v>8</v>
      </c>
      <c r="B56" t="s">
        <v>15065</v>
      </c>
      <c r="C56" t="s">
        <v>15095</v>
      </c>
      <c r="F56" t="s">
        <v>15065</v>
      </c>
      <c r="G56" t="s">
        <v>15095</v>
      </c>
    </row>
    <row r="57" spans="1:8" x14ac:dyDescent="0.3">
      <c r="A57">
        <v>9</v>
      </c>
      <c r="B57" t="s">
        <v>15084</v>
      </c>
      <c r="C57">
        <v>350</v>
      </c>
      <c r="D57" s="128">
        <v>0.97</v>
      </c>
      <c r="F57" t="s">
        <v>15084</v>
      </c>
      <c r="G57">
        <v>350</v>
      </c>
      <c r="H57" s="128">
        <v>0.97</v>
      </c>
    </row>
    <row r="58" spans="1:8" x14ac:dyDescent="0.3">
      <c r="A58">
        <v>10</v>
      </c>
      <c r="B58" t="s">
        <v>15068</v>
      </c>
      <c r="C58" t="s">
        <v>15096</v>
      </c>
      <c r="D58" s="128" t="s">
        <v>15069</v>
      </c>
      <c r="F58" t="s">
        <v>15068</v>
      </c>
      <c r="G58" t="s">
        <v>15096</v>
      </c>
      <c r="H58" s="128" t="s">
        <v>15069</v>
      </c>
    </row>
    <row r="59" spans="1:8" x14ac:dyDescent="0.3">
      <c r="A59">
        <v>11</v>
      </c>
      <c r="B59" t="s">
        <v>15070</v>
      </c>
      <c r="C59" t="s">
        <v>15086</v>
      </c>
      <c r="D59" s="128"/>
      <c r="F59" t="s">
        <v>15070</v>
      </c>
      <c r="G59" t="s">
        <v>15086</v>
      </c>
      <c r="H59" s="128"/>
    </row>
    <row r="60" spans="1:8" x14ac:dyDescent="0.3">
      <c r="A60">
        <v>12</v>
      </c>
      <c r="B60" t="s">
        <v>15072</v>
      </c>
      <c r="C60" t="s">
        <v>15097</v>
      </c>
      <c r="D60" s="128" t="s">
        <v>15073</v>
      </c>
      <c r="F60" t="s">
        <v>15072</v>
      </c>
      <c r="G60" t="s">
        <v>15097</v>
      </c>
      <c r="H60" s="128" t="s">
        <v>15073</v>
      </c>
    </row>
    <row r="61" spans="1:8" x14ac:dyDescent="0.3">
      <c r="A61">
        <v>1</v>
      </c>
      <c r="B61" t="s">
        <v>15098</v>
      </c>
      <c r="F61" t="s">
        <v>15121</v>
      </c>
      <c r="G61" t="s">
        <v>15121</v>
      </c>
    </row>
    <row r="62" spans="1:8" x14ac:dyDescent="0.3">
      <c r="A62">
        <v>2</v>
      </c>
      <c r="B62" t="s">
        <v>15055</v>
      </c>
      <c r="C62" t="s">
        <v>232</v>
      </c>
      <c r="F62" t="s">
        <v>15055</v>
      </c>
      <c r="G62" t="s">
        <v>232</v>
      </c>
    </row>
    <row r="63" spans="1:8" x14ac:dyDescent="0.3">
      <c r="A63">
        <v>3</v>
      </c>
      <c r="B63" t="s">
        <v>15056</v>
      </c>
      <c r="C63" t="s">
        <v>15099</v>
      </c>
      <c r="F63" t="s">
        <v>15056</v>
      </c>
      <c r="G63" t="s">
        <v>15099</v>
      </c>
    </row>
    <row r="64" spans="1:8" x14ac:dyDescent="0.3">
      <c r="A64">
        <v>4</v>
      </c>
      <c r="B64" t="s">
        <v>15058</v>
      </c>
      <c r="C64" t="s">
        <v>15100</v>
      </c>
      <c r="F64" t="s">
        <v>15058</v>
      </c>
      <c r="G64" t="s">
        <v>15100</v>
      </c>
    </row>
    <row r="65" spans="1:8" x14ac:dyDescent="0.3">
      <c r="A65">
        <v>5</v>
      </c>
      <c r="B65" t="s">
        <v>15060</v>
      </c>
      <c r="C65" t="s">
        <v>15101</v>
      </c>
      <c r="F65" t="s">
        <v>15060</v>
      </c>
      <c r="G65" t="s">
        <v>15101</v>
      </c>
    </row>
    <row r="66" spans="1:8" x14ac:dyDescent="0.3">
      <c r="A66">
        <v>6</v>
      </c>
      <c r="B66" t="s">
        <v>15062</v>
      </c>
      <c r="C66">
        <v>1</v>
      </c>
      <c r="D66" t="s">
        <v>15082</v>
      </c>
      <c r="F66" t="s">
        <v>15062</v>
      </c>
      <c r="G66">
        <v>1</v>
      </c>
      <c r="H66" t="s">
        <v>15082</v>
      </c>
    </row>
    <row r="67" spans="1:8" x14ac:dyDescent="0.3">
      <c r="A67">
        <v>7</v>
      </c>
      <c r="B67" t="s">
        <v>15064</v>
      </c>
      <c r="C67" t="s">
        <v>15102</v>
      </c>
      <c r="F67" t="s">
        <v>15064</v>
      </c>
      <c r="G67" t="s">
        <v>15102</v>
      </c>
    </row>
    <row r="68" spans="1:8" x14ac:dyDescent="0.3">
      <c r="A68">
        <v>8</v>
      </c>
      <c r="B68" t="s">
        <v>15065</v>
      </c>
      <c r="C68" t="s">
        <v>785</v>
      </c>
      <c r="F68" t="s">
        <v>15065</v>
      </c>
      <c r="G68" t="s">
        <v>785</v>
      </c>
    </row>
    <row r="69" spans="1:8" x14ac:dyDescent="0.3">
      <c r="A69">
        <v>9</v>
      </c>
      <c r="B69" t="s">
        <v>15084</v>
      </c>
      <c r="C69">
        <v>450</v>
      </c>
      <c r="D69" s="128">
        <v>1</v>
      </c>
      <c r="F69" t="s">
        <v>15084</v>
      </c>
      <c r="G69">
        <v>450</v>
      </c>
      <c r="H69" s="128">
        <v>1</v>
      </c>
    </row>
    <row r="70" spans="1:8" x14ac:dyDescent="0.3">
      <c r="A70">
        <v>10</v>
      </c>
      <c r="B70" t="s">
        <v>15068</v>
      </c>
      <c r="C70" t="s">
        <v>15103</v>
      </c>
      <c r="D70" s="128" t="s">
        <v>15104</v>
      </c>
      <c r="F70" t="s">
        <v>15068</v>
      </c>
      <c r="G70" t="s">
        <v>15103</v>
      </c>
      <c r="H70" s="128" t="s">
        <v>15104</v>
      </c>
    </row>
    <row r="71" spans="1:8" x14ac:dyDescent="0.3">
      <c r="A71">
        <v>11</v>
      </c>
      <c r="B71" t="s">
        <v>15070</v>
      </c>
      <c r="C71" t="s">
        <v>15086</v>
      </c>
      <c r="F71" t="s">
        <v>15070</v>
      </c>
      <c r="G71" t="s">
        <v>15086</v>
      </c>
    </row>
    <row r="72" spans="1:8" x14ac:dyDescent="0.3">
      <c r="A72">
        <v>12</v>
      </c>
      <c r="B72" t="s">
        <v>15072</v>
      </c>
      <c r="C72" t="s">
        <v>15105</v>
      </c>
      <c r="D72" s="128" t="s">
        <v>15073</v>
      </c>
      <c r="F72" t="s">
        <v>15072</v>
      </c>
      <c r="G72" t="s">
        <v>15105</v>
      </c>
      <c r="H72" s="128" t="s">
        <v>15073</v>
      </c>
    </row>
    <row r="73" spans="1:8" x14ac:dyDescent="0.3">
      <c r="A73">
        <v>1</v>
      </c>
      <c r="B73" t="s">
        <v>15098</v>
      </c>
      <c r="F73" t="s">
        <v>15121</v>
      </c>
      <c r="G73" t="s">
        <v>15121</v>
      </c>
    </row>
    <row r="74" spans="1:8" x14ac:dyDescent="0.3">
      <c r="A74">
        <v>2</v>
      </c>
      <c r="B74" t="s">
        <v>15055</v>
      </c>
      <c r="C74" t="s">
        <v>232</v>
      </c>
      <c r="F74" t="s">
        <v>15055</v>
      </c>
      <c r="G74" t="s">
        <v>232</v>
      </c>
    </row>
    <row r="75" spans="1:8" x14ac:dyDescent="0.3">
      <c r="A75">
        <v>3</v>
      </c>
      <c r="B75" t="s">
        <v>15056</v>
      </c>
      <c r="C75" t="s">
        <v>15099</v>
      </c>
      <c r="F75" t="s">
        <v>15056</v>
      </c>
      <c r="G75" t="s">
        <v>15099</v>
      </c>
    </row>
    <row r="76" spans="1:8" x14ac:dyDescent="0.3">
      <c r="A76">
        <v>4</v>
      </c>
      <c r="B76" t="s">
        <v>15058</v>
      </c>
      <c r="C76" t="s">
        <v>15100</v>
      </c>
      <c r="F76" t="s">
        <v>15058</v>
      </c>
      <c r="G76" t="s">
        <v>15100</v>
      </c>
    </row>
    <row r="77" spans="1:8" x14ac:dyDescent="0.3">
      <c r="A77">
        <v>5</v>
      </c>
      <c r="B77" t="s">
        <v>15060</v>
      </c>
      <c r="C77" t="s">
        <v>15106</v>
      </c>
      <c r="F77" t="s">
        <v>15060</v>
      </c>
      <c r="G77" t="s">
        <v>15106</v>
      </c>
    </row>
    <row r="78" spans="1:8" x14ac:dyDescent="0.3">
      <c r="A78">
        <v>6</v>
      </c>
      <c r="B78" t="s">
        <v>15062</v>
      </c>
      <c r="C78">
        <v>1</v>
      </c>
      <c r="D78" t="s">
        <v>15082</v>
      </c>
      <c r="F78" t="s">
        <v>15062</v>
      </c>
      <c r="G78">
        <v>1</v>
      </c>
      <c r="H78" t="s">
        <v>15082</v>
      </c>
    </row>
    <row r="79" spans="1:8" x14ac:dyDescent="0.3">
      <c r="A79">
        <v>7</v>
      </c>
      <c r="B79" t="s">
        <v>15064</v>
      </c>
      <c r="C79" t="s">
        <v>15107</v>
      </c>
      <c r="F79" t="s">
        <v>15064</v>
      </c>
      <c r="G79" t="s">
        <v>15107</v>
      </c>
    </row>
    <row r="80" spans="1:8" x14ac:dyDescent="0.3">
      <c r="A80">
        <v>8</v>
      </c>
      <c r="B80" t="s">
        <v>15065</v>
      </c>
      <c r="C80" t="s">
        <v>1587</v>
      </c>
      <c r="F80" t="s">
        <v>15065</v>
      </c>
      <c r="G80" t="s">
        <v>1587</v>
      </c>
    </row>
    <row r="81" spans="1:8" x14ac:dyDescent="0.3">
      <c r="A81">
        <v>9</v>
      </c>
      <c r="B81" t="s">
        <v>15084</v>
      </c>
      <c r="C81">
        <v>450</v>
      </c>
      <c r="D81" s="128">
        <v>1</v>
      </c>
      <c r="G81">
        <v>450</v>
      </c>
      <c r="H81" s="128">
        <v>1</v>
      </c>
    </row>
    <row r="82" spans="1:8" x14ac:dyDescent="0.3">
      <c r="A82">
        <v>10</v>
      </c>
      <c r="B82" t="s">
        <v>15068</v>
      </c>
      <c r="C82" t="s">
        <v>15108</v>
      </c>
      <c r="D82" t="s">
        <v>15104</v>
      </c>
      <c r="F82" t="s">
        <v>15068</v>
      </c>
      <c r="G82" t="s">
        <v>15108</v>
      </c>
      <c r="H82" t="s">
        <v>15104</v>
      </c>
    </row>
    <row r="83" spans="1:8" x14ac:dyDescent="0.3">
      <c r="A83">
        <v>11</v>
      </c>
      <c r="B83" t="s">
        <v>15070</v>
      </c>
      <c r="C83" t="s">
        <v>15086</v>
      </c>
      <c r="F83" t="s">
        <v>15070</v>
      </c>
      <c r="G83" t="s">
        <v>15086</v>
      </c>
    </row>
    <row r="84" spans="1:8" x14ac:dyDescent="0.3">
      <c r="A84">
        <v>12</v>
      </c>
      <c r="B84" t="s">
        <v>15072</v>
      </c>
      <c r="C84" t="s">
        <v>15105</v>
      </c>
      <c r="D84" t="s">
        <v>15073</v>
      </c>
      <c r="F84" t="s">
        <v>15072</v>
      </c>
      <c r="G84" t="s">
        <v>15105</v>
      </c>
      <c r="H84" t="s">
        <v>15073</v>
      </c>
    </row>
    <row r="85" spans="1:8" x14ac:dyDescent="0.3">
      <c r="A85">
        <v>1</v>
      </c>
      <c r="B85" t="s">
        <v>15109</v>
      </c>
      <c r="F85" t="s">
        <v>15123</v>
      </c>
      <c r="G85" t="s">
        <v>15123</v>
      </c>
    </row>
    <row r="86" spans="1:8" x14ac:dyDescent="0.3">
      <c r="A86">
        <v>2</v>
      </c>
      <c r="B86" t="s">
        <v>15110</v>
      </c>
      <c r="C86" t="s">
        <v>13691</v>
      </c>
      <c r="F86" t="s">
        <v>15110</v>
      </c>
      <c r="G86" t="s">
        <v>13691</v>
      </c>
    </row>
    <row r="87" spans="1:8" x14ac:dyDescent="0.3">
      <c r="A87">
        <v>3</v>
      </c>
      <c r="B87" t="s">
        <v>15111</v>
      </c>
      <c r="C87" t="s">
        <v>15112</v>
      </c>
      <c r="D87" s="128"/>
      <c r="F87" t="s">
        <v>15111</v>
      </c>
      <c r="G87" t="s">
        <v>15112</v>
      </c>
      <c r="H87" s="128"/>
    </row>
    <row r="88" spans="1:8" x14ac:dyDescent="0.3">
      <c r="A88">
        <v>4</v>
      </c>
      <c r="B88" t="s">
        <v>15113</v>
      </c>
      <c r="C88" t="s">
        <v>15114</v>
      </c>
      <c r="D88" s="128"/>
      <c r="F88" t="s">
        <v>15113</v>
      </c>
      <c r="G88" t="s">
        <v>15114</v>
      </c>
      <c r="H88" s="128"/>
    </row>
    <row r="89" spans="1:8" x14ac:dyDescent="0.3">
      <c r="A89">
        <v>5</v>
      </c>
      <c r="B89" t="s">
        <v>15115</v>
      </c>
      <c r="C89" t="s">
        <v>15114</v>
      </c>
      <c r="D89" s="128"/>
      <c r="F89" t="s">
        <v>15115</v>
      </c>
      <c r="G89" t="s">
        <v>15114</v>
      </c>
      <c r="H89" s="128"/>
    </row>
    <row r="90" spans="1:8" x14ac:dyDescent="0.3">
      <c r="A90">
        <v>6</v>
      </c>
      <c r="B90" t="s">
        <v>15068</v>
      </c>
      <c r="C90" t="s">
        <v>15116</v>
      </c>
      <c r="D90" t="s">
        <v>15117</v>
      </c>
      <c r="F90" t="s">
        <v>15068</v>
      </c>
      <c r="G90" t="s">
        <v>15116</v>
      </c>
      <c r="H90" t="s">
        <v>15117</v>
      </c>
    </row>
    <row r="91" spans="1:8" x14ac:dyDescent="0.3">
      <c r="A91">
        <v>7</v>
      </c>
      <c r="B91" t="s">
        <v>15072</v>
      </c>
      <c r="C91">
        <v>150</v>
      </c>
      <c r="D91" s="128" t="s">
        <v>15073</v>
      </c>
      <c r="F91" t="s">
        <v>15072</v>
      </c>
      <c r="G91">
        <v>150</v>
      </c>
      <c r="H91" s="128" t="s">
        <v>15073</v>
      </c>
    </row>
    <row r="92" spans="1:8" x14ac:dyDescent="0.3">
      <c r="A92">
        <v>8</v>
      </c>
      <c r="B92" t="s">
        <v>15118</v>
      </c>
      <c r="F92" t="s">
        <v>15118</v>
      </c>
      <c r="G92" t="s">
        <v>15118</v>
      </c>
    </row>
    <row r="93" spans="1:8" x14ac:dyDescent="0.3">
      <c r="A93">
        <v>9</v>
      </c>
      <c r="B93" t="s">
        <v>15119</v>
      </c>
      <c r="C93" t="s">
        <v>15120</v>
      </c>
      <c r="D93" s="128"/>
      <c r="F93" t="s">
        <v>15119</v>
      </c>
      <c r="G93" t="s">
        <v>15120</v>
      </c>
      <c r="H93" s="128"/>
    </row>
    <row r="94" spans="1:8" x14ac:dyDescent="0.3">
      <c r="A94">
        <v>10</v>
      </c>
    </row>
    <row r="95" spans="1:8" x14ac:dyDescent="0.3">
      <c r="A95">
        <v>11</v>
      </c>
    </row>
    <row r="96" spans="1:8" x14ac:dyDescent="0.3">
      <c r="A96">
        <v>12</v>
      </c>
    </row>
    <row r="97" spans="1:9" x14ac:dyDescent="0.3">
      <c r="A97">
        <v>1</v>
      </c>
    </row>
    <row r="98" spans="1:9" x14ac:dyDescent="0.3">
      <c r="A98">
        <v>2</v>
      </c>
    </row>
    <row r="99" spans="1:9" x14ac:dyDescent="0.3">
      <c r="A99">
        <v>3</v>
      </c>
      <c r="D99" s="128"/>
      <c r="I99" s="128"/>
    </row>
    <row r="100" spans="1:9" x14ac:dyDescent="0.3">
      <c r="A100">
        <v>4</v>
      </c>
    </row>
    <row r="101" spans="1:9" x14ac:dyDescent="0.3">
      <c r="A101">
        <v>5</v>
      </c>
      <c r="D101" s="128"/>
      <c r="I101" s="128"/>
    </row>
    <row r="102" spans="1:9" x14ac:dyDescent="0.3">
      <c r="A102">
        <v>6</v>
      </c>
    </row>
    <row r="103" spans="1:9" x14ac:dyDescent="0.3">
      <c r="A103">
        <v>7</v>
      </c>
    </row>
    <row r="104" spans="1:9" x14ac:dyDescent="0.3">
      <c r="A104">
        <v>8</v>
      </c>
    </row>
    <row r="105" spans="1:9" x14ac:dyDescent="0.3">
      <c r="A105">
        <v>9</v>
      </c>
    </row>
    <row r="106" spans="1:9" x14ac:dyDescent="0.3">
      <c r="A106">
        <v>10</v>
      </c>
      <c r="D106" s="128"/>
      <c r="I106" s="128"/>
    </row>
    <row r="107" spans="1:9" x14ac:dyDescent="0.3">
      <c r="A107">
        <v>11</v>
      </c>
      <c r="D107" s="128"/>
      <c r="I107" s="128"/>
    </row>
    <row r="108" spans="1:9" x14ac:dyDescent="0.3">
      <c r="A108">
        <v>12</v>
      </c>
    </row>
    <row r="109" spans="1:9" x14ac:dyDescent="0.3">
      <c r="A109">
        <v>1</v>
      </c>
    </row>
    <row r="110" spans="1:9" x14ac:dyDescent="0.3">
      <c r="A110">
        <v>2</v>
      </c>
    </row>
    <row r="111" spans="1:9" x14ac:dyDescent="0.3">
      <c r="A111">
        <v>3</v>
      </c>
    </row>
    <row r="112" spans="1:9" x14ac:dyDescent="0.3">
      <c r="A112">
        <v>4</v>
      </c>
      <c r="D112" s="128"/>
      <c r="I112" s="128"/>
    </row>
    <row r="113" spans="1:9" x14ac:dyDescent="0.3">
      <c r="A113">
        <v>5</v>
      </c>
      <c r="D113" s="128"/>
      <c r="I113" s="128"/>
    </row>
    <row r="114" spans="1:9" x14ac:dyDescent="0.3">
      <c r="A114">
        <v>6</v>
      </c>
    </row>
    <row r="115" spans="1:9" x14ac:dyDescent="0.3">
      <c r="A115">
        <v>7</v>
      </c>
    </row>
    <row r="116" spans="1:9" x14ac:dyDescent="0.3">
      <c r="A116">
        <v>8</v>
      </c>
    </row>
    <row r="117" spans="1:9" x14ac:dyDescent="0.3">
      <c r="A117">
        <v>9</v>
      </c>
    </row>
    <row r="118" spans="1:9" x14ac:dyDescent="0.3">
      <c r="A118">
        <v>10</v>
      </c>
    </row>
    <row r="119" spans="1:9" x14ac:dyDescent="0.3">
      <c r="A119">
        <v>11</v>
      </c>
    </row>
    <row r="120" spans="1:9" x14ac:dyDescent="0.3">
      <c r="A120">
        <v>12</v>
      </c>
    </row>
    <row r="121" spans="1:9" x14ac:dyDescent="0.3">
      <c r="A121">
        <v>1</v>
      </c>
    </row>
    <row r="122" spans="1:9" x14ac:dyDescent="0.3">
      <c r="A122">
        <v>2</v>
      </c>
    </row>
    <row r="123" spans="1:9" x14ac:dyDescent="0.3">
      <c r="A123">
        <v>3</v>
      </c>
    </row>
    <row r="124" spans="1:9" x14ac:dyDescent="0.3">
      <c r="A124">
        <v>4</v>
      </c>
      <c r="D124" s="128"/>
      <c r="I124" s="128"/>
    </row>
    <row r="125" spans="1:9" x14ac:dyDescent="0.3">
      <c r="A125">
        <v>5</v>
      </c>
    </row>
    <row r="126" spans="1:9" x14ac:dyDescent="0.3">
      <c r="A126">
        <v>6</v>
      </c>
    </row>
    <row r="127" spans="1:9" x14ac:dyDescent="0.3">
      <c r="A127">
        <v>7</v>
      </c>
    </row>
    <row r="128" spans="1:9" x14ac:dyDescent="0.3">
      <c r="A128">
        <v>8</v>
      </c>
    </row>
    <row r="129" spans="1:9" x14ac:dyDescent="0.3">
      <c r="A129">
        <v>9</v>
      </c>
    </row>
    <row r="130" spans="1:9" x14ac:dyDescent="0.3">
      <c r="A130">
        <v>10</v>
      </c>
    </row>
    <row r="131" spans="1:9" x14ac:dyDescent="0.3">
      <c r="A131">
        <v>11</v>
      </c>
    </row>
    <row r="132" spans="1:9" x14ac:dyDescent="0.3">
      <c r="A132">
        <v>12</v>
      </c>
      <c r="D132" s="128"/>
      <c r="I132" s="128"/>
    </row>
    <row r="133" spans="1:9" x14ac:dyDescent="0.3">
      <c r="A133">
        <v>1</v>
      </c>
    </row>
    <row r="134" spans="1:9" x14ac:dyDescent="0.3">
      <c r="A134">
        <v>2</v>
      </c>
    </row>
    <row r="135" spans="1:9" x14ac:dyDescent="0.3">
      <c r="A135">
        <v>3</v>
      </c>
    </row>
    <row r="136" spans="1:9" x14ac:dyDescent="0.3">
      <c r="A136">
        <v>4</v>
      </c>
      <c r="D136" s="128"/>
      <c r="I136" s="128"/>
    </row>
    <row r="137" spans="1:9" x14ac:dyDescent="0.3">
      <c r="A137">
        <v>5</v>
      </c>
      <c r="D137" s="128"/>
      <c r="I137" s="128"/>
    </row>
    <row r="138" spans="1:9" x14ac:dyDescent="0.3">
      <c r="A138">
        <v>6</v>
      </c>
    </row>
    <row r="139" spans="1:9" x14ac:dyDescent="0.3">
      <c r="A139">
        <v>7</v>
      </c>
    </row>
    <row r="140" spans="1:9" x14ac:dyDescent="0.3">
      <c r="A140">
        <v>8</v>
      </c>
      <c r="D140" s="128"/>
      <c r="I140" s="128"/>
    </row>
    <row r="141" spans="1:9" x14ac:dyDescent="0.3">
      <c r="A141">
        <v>9</v>
      </c>
    </row>
    <row r="142" spans="1:9" x14ac:dyDescent="0.3">
      <c r="A142">
        <v>10</v>
      </c>
    </row>
    <row r="143" spans="1:9" x14ac:dyDescent="0.3">
      <c r="A143">
        <v>11</v>
      </c>
    </row>
    <row r="144" spans="1:9" x14ac:dyDescent="0.3">
      <c r="A144">
        <v>12</v>
      </c>
    </row>
    <row r="145" spans="1:9" x14ac:dyDescent="0.3">
      <c r="A145">
        <v>1</v>
      </c>
    </row>
    <row r="146" spans="1:9" x14ac:dyDescent="0.3">
      <c r="A146">
        <v>2</v>
      </c>
    </row>
    <row r="147" spans="1:9" x14ac:dyDescent="0.3">
      <c r="A147">
        <v>3</v>
      </c>
    </row>
    <row r="148" spans="1:9" x14ac:dyDescent="0.3">
      <c r="A148">
        <v>4</v>
      </c>
      <c r="D148" s="128"/>
      <c r="I148" s="128"/>
    </row>
    <row r="149" spans="1:9" x14ac:dyDescent="0.3">
      <c r="A149">
        <v>5</v>
      </c>
    </row>
    <row r="150" spans="1:9" x14ac:dyDescent="0.3">
      <c r="A150">
        <v>6</v>
      </c>
    </row>
    <row r="151" spans="1:9" x14ac:dyDescent="0.3">
      <c r="A151">
        <v>7</v>
      </c>
    </row>
    <row r="152" spans="1:9" x14ac:dyDescent="0.3">
      <c r="A152">
        <v>8</v>
      </c>
    </row>
    <row r="153" spans="1:9" x14ac:dyDescent="0.3">
      <c r="A153">
        <v>9</v>
      </c>
    </row>
    <row r="154" spans="1:9" x14ac:dyDescent="0.3">
      <c r="A154">
        <v>10</v>
      </c>
    </row>
    <row r="155" spans="1:9" x14ac:dyDescent="0.3">
      <c r="A155">
        <v>11</v>
      </c>
    </row>
    <row r="156" spans="1:9" x14ac:dyDescent="0.3">
      <c r="A156">
        <v>12</v>
      </c>
    </row>
    <row r="157" spans="1:9" x14ac:dyDescent="0.3">
      <c r="A157">
        <v>1</v>
      </c>
    </row>
    <row r="158" spans="1:9" x14ac:dyDescent="0.3">
      <c r="A158">
        <v>2</v>
      </c>
    </row>
    <row r="159" spans="1:9" x14ac:dyDescent="0.3">
      <c r="A159">
        <v>3</v>
      </c>
    </row>
    <row r="160" spans="1:9" x14ac:dyDescent="0.3">
      <c r="A160">
        <v>4</v>
      </c>
      <c r="D160" s="128"/>
      <c r="I160" s="128"/>
    </row>
    <row r="161" spans="1:9" x14ac:dyDescent="0.3">
      <c r="A161">
        <v>5</v>
      </c>
    </row>
    <row r="162" spans="1:9" x14ac:dyDescent="0.3">
      <c r="A162">
        <v>6</v>
      </c>
    </row>
    <row r="163" spans="1:9" x14ac:dyDescent="0.3">
      <c r="A163">
        <v>7</v>
      </c>
    </row>
    <row r="164" spans="1:9" x14ac:dyDescent="0.3">
      <c r="A164">
        <v>8</v>
      </c>
      <c r="D164" s="128"/>
      <c r="I164" s="128"/>
    </row>
    <row r="165" spans="1:9" x14ac:dyDescent="0.3">
      <c r="A165">
        <v>9</v>
      </c>
    </row>
    <row r="166" spans="1:9" x14ac:dyDescent="0.3">
      <c r="A166">
        <v>10</v>
      </c>
    </row>
    <row r="167" spans="1:9" x14ac:dyDescent="0.3">
      <c r="A167">
        <v>11</v>
      </c>
    </row>
    <row r="168" spans="1:9" x14ac:dyDescent="0.3">
      <c r="A168">
        <v>12</v>
      </c>
    </row>
    <row r="169" spans="1:9" x14ac:dyDescent="0.3">
      <c r="A169">
        <v>1</v>
      </c>
    </row>
    <row r="170" spans="1:9" x14ac:dyDescent="0.3">
      <c r="A170">
        <v>2</v>
      </c>
    </row>
    <row r="171" spans="1:9" x14ac:dyDescent="0.3">
      <c r="A171">
        <v>3</v>
      </c>
      <c r="D171" s="128"/>
      <c r="I171" s="128"/>
    </row>
    <row r="172" spans="1:9" x14ac:dyDescent="0.3">
      <c r="A172">
        <v>4</v>
      </c>
      <c r="D172" s="128"/>
      <c r="I172" s="128"/>
    </row>
    <row r="173" spans="1:9" x14ac:dyDescent="0.3">
      <c r="A173">
        <v>5</v>
      </c>
      <c r="B173" s="223"/>
      <c r="F173" s="223"/>
      <c r="G173" s="223"/>
    </row>
    <row r="174" spans="1:9" x14ac:dyDescent="0.3">
      <c r="A174">
        <v>6</v>
      </c>
      <c r="D174" s="128"/>
      <c r="I174" s="128"/>
    </row>
    <row r="175" spans="1:9" x14ac:dyDescent="0.3">
      <c r="A175">
        <v>7</v>
      </c>
    </row>
    <row r="176" spans="1:9" x14ac:dyDescent="0.3">
      <c r="A176">
        <v>8</v>
      </c>
      <c r="D176" s="128"/>
      <c r="I176" s="128"/>
    </row>
    <row r="177" spans="1:9" x14ac:dyDescent="0.3">
      <c r="A177">
        <v>9</v>
      </c>
    </row>
    <row r="178" spans="1:9" x14ac:dyDescent="0.3">
      <c r="A178">
        <v>10</v>
      </c>
    </row>
    <row r="179" spans="1:9" x14ac:dyDescent="0.3">
      <c r="A179">
        <v>11</v>
      </c>
    </row>
    <row r="180" spans="1:9" x14ac:dyDescent="0.3">
      <c r="A180">
        <v>12</v>
      </c>
    </row>
    <row r="181" spans="1:9" x14ac:dyDescent="0.3">
      <c r="A181">
        <v>1</v>
      </c>
    </row>
    <row r="182" spans="1:9" x14ac:dyDescent="0.3">
      <c r="A182">
        <v>2</v>
      </c>
    </row>
    <row r="183" spans="1:9" x14ac:dyDescent="0.3">
      <c r="A183">
        <v>3</v>
      </c>
    </row>
    <row r="184" spans="1:9" x14ac:dyDescent="0.3">
      <c r="A184">
        <v>4</v>
      </c>
      <c r="D184" s="128"/>
      <c r="I184" s="128"/>
    </row>
    <row r="185" spans="1:9" x14ac:dyDescent="0.3">
      <c r="A185">
        <v>5</v>
      </c>
    </row>
    <row r="186" spans="1:9" x14ac:dyDescent="0.3">
      <c r="A186">
        <v>6</v>
      </c>
    </row>
    <row r="187" spans="1:9" x14ac:dyDescent="0.3">
      <c r="A187">
        <v>7</v>
      </c>
    </row>
    <row r="188" spans="1:9" x14ac:dyDescent="0.3">
      <c r="A188">
        <v>8</v>
      </c>
      <c r="D188" s="128"/>
      <c r="I188" s="128"/>
    </row>
    <row r="189" spans="1:9" x14ac:dyDescent="0.3">
      <c r="A189">
        <v>9</v>
      </c>
    </row>
    <row r="190" spans="1:9" x14ac:dyDescent="0.3">
      <c r="A190">
        <v>10</v>
      </c>
    </row>
    <row r="191" spans="1:9" x14ac:dyDescent="0.3">
      <c r="A191">
        <v>11</v>
      </c>
    </row>
    <row r="192" spans="1:9" x14ac:dyDescent="0.3">
      <c r="A192">
        <v>12</v>
      </c>
    </row>
    <row r="193" spans="1:9" x14ac:dyDescent="0.3">
      <c r="A193">
        <v>1</v>
      </c>
    </row>
    <row r="194" spans="1:9" x14ac:dyDescent="0.3">
      <c r="A194">
        <v>2</v>
      </c>
    </row>
    <row r="195" spans="1:9" x14ac:dyDescent="0.3">
      <c r="A195">
        <v>3</v>
      </c>
      <c r="D195" s="128"/>
      <c r="I195" s="128"/>
    </row>
    <row r="196" spans="1:9" x14ac:dyDescent="0.3">
      <c r="A196">
        <v>4</v>
      </c>
      <c r="D196" s="128"/>
      <c r="I196" s="128"/>
    </row>
    <row r="197" spans="1:9" x14ac:dyDescent="0.3">
      <c r="A197">
        <v>5</v>
      </c>
    </row>
    <row r="198" spans="1:9" x14ac:dyDescent="0.3">
      <c r="A198">
        <v>6</v>
      </c>
      <c r="D198" s="128"/>
      <c r="I198" s="128"/>
    </row>
    <row r="199" spans="1:9" x14ac:dyDescent="0.3">
      <c r="A199">
        <v>7</v>
      </c>
    </row>
    <row r="200" spans="1:9" x14ac:dyDescent="0.3">
      <c r="A200">
        <v>8</v>
      </c>
    </row>
    <row r="201" spans="1:9" x14ac:dyDescent="0.3">
      <c r="A201">
        <v>9</v>
      </c>
    </row>
    <row r="202" spans="1:9" x14ac:dyDescent="0.3">
      <c r="A202">
        <v>10</v>
      </c>
    </row>
    <row r="203" spans="1:9" x14ac:dyDescent="0.3">
      <c r="A203">
        <v>11</v>
      </c>
    </row>
    <row r="204" spans="1:9" x14ac:dyDescent="0.3">
      <c r="A204">
        <v>12</v>
      </c>
    </row>
    <row r="205" spans="1:9" x14ac:dyDescent="0.3">
      <c r="A205">
        <v>1</v>
      </c>
    </row>
    <row r="206" spans="1:9" x14ac:dyDescent="0.3">
      <c r="A206">
        <v>2</v>
      </c>
    </row>
    <row r="207" spans="1:9" x14ac:dyDescent="0.3">
      <c r="A207">
        <v>3</v>
      </c>
      <c r="D207" s="128"/>
      <c r="I207" s="128"/>
    </row>
    <row r="208" spans="1:9" x14ac:dyDescent="0.3">
      <c r="A208">
        <v>4</v>
      </c>
    </row>
    <row r="209" spans="1:9" x14ac:dyDescent="0.3">
      <c r="A209">
        <v>5</v>
      </c>
    </row>
    <row r="210" spans="1:9" x14ac:dyDescent="0.3">
      <c r="A210">
        <v>6</v>
      </c>
    </row>
    <row r="211" spans="1:9" x14ac:dyDescent="0.3">
      <c r="A211">
        <v>7</v>
      </c>
    </row>
    <row r="212" spans="1:9" x14ac:dyDescent="0.3">
      <c r="A212">
        <v>8</v>
      </c>
      <c r="D212" s="128"/>
      <c r="I212" s="128"/>
    </row>
    <row r="213" spans="1:9" x14ac:dyDescent="0.3">
      <c r="A213">
        <v>9</v>
      </c>
    </row>
    <row r="214" spans="1:9" x14ac:dyDescent="0.3">
      <c r="A214">
        <v>10</v>
      </c>
    </row>
    <row r="215" spans="1:9" x14ac:dyDescent="0.3">
      <c r="A215">
        <v>11</v>
      </c>
    </row>
    <row r="216" spans="1:9" x14ac:dyDescent="0.3">
      <c r="A216">
        <v>12</v>
      </c>
    </row>
    <row r="217" spans="1:9" x14ac:dyDescent="0.3">
      <c r="A217">
        <v>1</v>
      </c>
    </row>
    <row r="218" spans="1:9" x14ac:dyDescent="0.3">
      <c r="A218">
        <v>2</v>
      </c>
    </row>
    <row r="219" spans="1:9" x14ac:dyDescent="0.3">
      <c r="A219">
        <v>3</v>
      </c>
    </row>
    <row r="220" spans="1:9" x14ac:dyDescent="0.3">
      <c r="A220">
        <v>4</v>
      </c>
      <c r="D220" s="128"/>
      <c r="I220" s="128"/>
    </row>
    <row r="221" spans="1:9" x14ac:dyDescent="0.3">
      <c r="A221">
        <v>5</v>
      </c>
      <c r="D221" s="128"/>
      <c r="I221" s="128"/>
    </row>
    <row r="222" spans="1:9" x14ac:dyDescent="0.3">
      <c r="A222">
        <v>6</v>
      </c>
    </row>
    <row r="223" spans="1:9" x14ac:dyDescent="0.3">
      <c r="A223">
        <v>7</v>
      </c>
    </row>
    <row r="224" spans="1:9" x14ac:dyDescent="0.3">
      <c r="A224">
        <v>8</v>
      </c>
      <c r="D224" s="128"/>
      <c r="I224" s="128"/>
    </row>
    <row r="225" spans="1:9" x14ac:dyDescent="0.3">
      <c r="A225">
        <v>9</v>
      </c>
    </row>
    <row r="226" spans="1:9" x14ac:dyDescent="0.3">
      <c r="A226">
        <v>10</v>
      </c>
    </row>
    <row r="227" spans="1:9" x14ac:dyDescent="0.3">
      <c r="A227">
        <v>11</v>
      </c>
    </row>
    <row r="228" spans="1:9" x14ac:dyDescent="0.3">
      <c r="A228">
        <v>12</v>
      </c>
    </row>
    <row r="229" spans="1:9" x14ac:dyDescent="0.3">
      <c r="A229">
        <v>1</v>
      </c>
    </row>
    <row r="230" spans="1:9" x14ac:dyDescent="0.3">
      <c r="A230">
        <v>2</v>
      </c>
    </row>
    <row r="231" spans="1:9" x14ac:dyDescent="0.3">
      <c r="A231">
        <v>3</v>
      </c>
    </row>
    <row r="232" spans="1:9" x14ac:dyDescent="0.3">
      <c r="A232">
        <v>4</v>
      </c>
      <c r="D232" s="128"/>
      <c r="I232" s="128"/>
    </row>
    <row r="233" spans="1:9" x14ac:dyDescent="0.3">
      <c r="A233">
        <v>5</v>
      </c>
      <c r="D233" s="128"/>
      <c r="I233" s="128"/>
    </row>
    <row r="234" spans="1:9" x14ac:dyDescent="0.3">
      <c r="A234">
        <v>6</v>
      </c>
    </row>
    <row r="235" spans="1:9" x14ac:dyDescent="0.3">
      <c r="A235">
        <v>7</v>
      </c>
      <c r="D235" s="128"/>
      <c r="I235" s="128"/>
    </row>
    <row r="236" spans="1:9" x14ac:dyDescent="0.3">
      <c r="A236">
        <v>8</v>
      </c>
    </row>
    <row r="237" spans="1:9" x14ac:dyDescent="0.3">
      <c r="A237">
        <v>9</v>
      </c>
    </row>
    <row r="238" spans="1:9" x14ac:dyDescent="0.3">
      <c r="A238">
        <v>10</v>
      </c>
    </row>
    <row r="239" spans="1:9" x14ac:dyDescent="0.3">
      <c r="A239">
        <v>11</v>
      </c>
    </row>
    <row r="240" spans="1:9" x14ac:dyDescent="0.3">
      <c r="A240">
        <v>12</v>
      </c>
    </row>
    <row r="241" spans="1:1" x14ac:dyDescent="0.3">
      <c r="A241">
        <v>1</v>
      </c>
    </row>
    <row r="242" spans="1:1" x14ac:dyDescent="0.3">
      <c r="A242">
        <v>2</v>
      </c>
    </row>
    <row r="243" spans="1:1" x14ac:dyDescent="0.3">
      <c r="A243">
        <v>3</v>
      </c>
    </row>
    <row r="244" spans="1:1" x14ac:dyDescent="0.3">
      <c r="A244">
        <v>4</v>
      </c>
    </row>
    <row r="245" spans="1:1" x14ac:dyDescent="0.3">
      <c r="A245">
        <v>5</v>
      </c>
    </row>
    <row r="246" spans="1:1" x14ac:dyDescent="0.3">
      <c r="A246">
        <v>6</v>
      </c>
    </row>
    <row r="247" spans="1:1" x14ac:dyDescent="0.3">
      <c r="A247">
        <v>7</v>
      </c>
    </row>
    <row r="248" spans="1:1" x14ac:dyDescent="0.3">
      <c r="A248">
        <v>8</v>
      </c>
    </row>
    <row r="249" spans="1:1" x14ac:dyDescent="0.3">
      <c r="A249">
        <v>9</v>
      </c>
    </row>
    <row r="250" spans="1:1" x14ac:dyDescent="0.3">
      <c r="A250">
        <v>10</v>
      </c>
    </row>
    <row r="251" spans="1:1" x14ac:dyDescent="0.3">
      <c r="A251">
        <v>11</v>
      </c>
    </row>
    <row r="252" spans="1:1" x14ac:dyDescent="0.3">
      <c r="A252">
        <v>12</v>
      </c>
    </row>
    <row r="253" spans="1:1" x14ac:dyDescent="0.3">
      <c r="A253">
        <v>1</v>
      </c>
    </row>
    <row r="254" spans="1:1" x14ac:dyDescent="0.3">
      <c r="A254">
        <v>2</v>
      </c>
    </row>
    <row r="255" spans="1:1" x14ac:dyDescent="0.3">
      <c r="A255">
        <v>3</v>
      </c>
    </row>
    <row r="256" spans="1:1" x14ac:dyDescent="0.3">
      <c r="A256">
        <v>4</v>
      </c>
    </row>
    <row r="257" spans="1:9" x14ac:dyDescent="0.3">
      <c r="A257">
        <v>5</v>
      </c>
    </row>
    <row r="258" spans="1:9" x14ac:dyDescent="0.3">
      <c r="A258">
        <v>6</v>
      </c>
    </row>
    <row r="259" spans="1:9" x14ac:dyDescent="0.3">
      <c r="A259">
        <v>7</v>
      </c>
    </row>
    <row r="260" spans="1:9" x14ac:dyDescent="0.3">
      <c r="A260">
        <v>8</v>
      </c>
    </row>
    <row r="261" spans="1:9" x14ac:dyDescent="0.3">
      <c r="A261">
        <v>9</v>
      </c>
      <c r="D261" s="128"/>
      <c r="I261" s="128"/>
    </row>
    <row r="262" spans="1:9" x14ac:dyDescent="0.3">
      <c r="A262">
        <v>10</v>
      </c>
    </row>
    <row r="263" spans="1:9" x14ac:dyDescent="0.3">
      <c r="A263">
        <v>11</v>
      </c>
    </row>
    <row r="264" spans="1:9" x14ac:dyDescent="0.3">
      <c r="A264">
        <v>12</v>
      </c>
    </row>
    <row r="265" spans="1:9" x14ac:dyDescent="0.3">
      <c r="A265">
        <v>1</v>
      </c>
    </row>
    <row r="266" spans="1:9" x14ac:dyDescent="0.3">
      <c r="A266">
        <v>2</v>
      </c>
    </row>
    <row r="267" spans="1:9" x14ac:dyDescent="0.3">
      <c r="A267">
        <v>3</v>
      </c>
    </row>
    <row r="268" spans="1:9" x14ac:dyDescent="0.3">
      <c r="A268">
        <v>4</v>
      </c>
      <c r="D268" s="128"/>
      <c r="I268" s="128"/>
    </row>
    <row r="269" spans="1:9" x14ac:dyDescent="0.3">
      <c r="A269">
        <v>5</v>
      </c>
    </row>
    <row r="270" spans="1:9" x14ac:dyDescent="0.3">
      <c r="A270">
        <v>6</v>
      </c>
    </row>
    <row r="271" spans="1:9" x14ac:dyDescent="0.3">
      <c r="A271">
        <v>7</v>
      </c>
    </row>
    <row r="272" spans="1:9" x14ac:dyDescent="0.3">
      <c r="A272">
        <v>8</v>
      </c>
    </row>
    <row r="273" spans="1:9" x14ac:dyDescent="0.3">
      <c r="A273">
        <v>9</v>
      </c>
    </row>
    <row r="274" spans="1:9" x14ac:dyDescent="0.3">
      <c r="A274">
        <v>10</v>
      </c>
    </row>
    <row r="275" spans="1:9" x14ac:dyDescent="0.3">
      <c r="A275">
        <v>11</v>
      </c>
    </row>
    <row r="276" spans="1:9" x14ac:dyDescent="0.3">
      <c r="A276">
        <v>12</v>
      </c>
    </row>
    <row r="277" spans="1:9" x14ac:dyDescent="0.3">
      <c r="A277">
        <v>1</v>
      </c>
    </row>
    <row r="278" spans="1:9" x14ac:dyDescent="0.3">
      <c r="A278">
        <v>2</v>
      </c>
    </row>
    <row r="279" spans="1:9" x14ac:dyDescent="0.3">
      <c r="A279">
        <v>3</v>
      </c>
    </row>
    <row r="280" spans="1:9" x14ac:dyDescent="0.3">
      <c r="A280">
        <v>4</v>
      </c>
      <c r="D280" s="128"/>
      <c r="I280" s="128"/>
    </row>
    <row r="281" spans="1:9" x14ac:dyDescent="0.3">
      <c r="A281">
        <v>5</v>
      </c>
    </row>
    <row r="282" spans="1:9" x14ac:dyDescent="0.3">
      <c r="A282">
        <v>6</v>
      </c>
    </row>
    <row r="283" spans="1:9" x14ac:dyDescent="0.3">
      <c r="A283">
        <v>7</v>
      </c>
      <c r="D283" s="128"/>
      <c r="I283" s="128"/>
    </row>
    <row r="284" spans="1:9" x14ac:dyDescent="0.3">
      <c r="A284">
        <v>8</v>
      </c>
    </row>
    <row r="285" spans="1:9" x14ac:dyDescent="0.3">
      <c r="A285">
        <v>9</v>
      </c>
    </row>
    <row r="286" spans="1:9" x14ac:dyDescent="0.3">
      <c r="A286">
        <v>10</v>
      </c>
    </row>
    <row r="287" spans="1:9" x14ac:dyDescent="0.3">
      <c r="A287">
        <v>11</v>
      </c>
    </row>
    <row r="288" spans="1:9" x14ac:dyDescent="0.3">
      <c r="A288">
        <v>12</v>
      </c>
    </row>
    <row r="289" spans="1:9" x14ac:dyDescent="0.3">
      <c r="A289">
        <v>1</v>
      </c>
    </row>
    <row r="290" spans="1:9" x14ac:dyDescent="0.3">
      <c r="A290">
        <v>2</v>
      </c>
    </row>
    <row r="291" spans="1:9" x14ac:dyDescent="0.3">
      <c r="A291">
        <v>3</v>
      </c>
    </row>
    <row r="292" spans="1:9" x14ac:dyDescent="0.3">
      <c r="A292">
        <v>4</v>
      </c>
    </row>
    <row r="293" spans="1:9" x14ac:dyDescent="0.3">
      <c r="A293">
        <v>5</v>
      </c>
    </row>
    <row r="294" spans="1:9" x14ac:dyDescent="0.3">
      <c r="A294">
        <v>6</v>
      </c>
    </row>
    <row r="295" spans="1:9" x14ac:dyDescent="0.3">
      <c r="A295">
        <v>7</v>
      </c>
    </row>
    <row r="296" spans="1:9" x14ac:dyDescent="0.3">
      <c r="A296">
        <v>8</v>
      </c>
    </row>
    <row r="297" spans="1:9" x14ac:dyDescent="0.3">
      <c r="A297">
        <v>9</v>
      </c>
    </row>
    <row r="298" spans="1:9" x14ac:dyDescent="0.3">
      <c r="A298">
        <v>10</v>
      </c>
    </row>
    <row r="299" spans="1:9" x14ac:dyDescent="0.3">
      <c r="A299">
        <v>11</v>
      </c>
    </row>
    <row r="300" spans="1:9" x14ac:dyDescent="0.3">
      <c r="A300">
        <v>12</v>
      </c>
    </row>
    <row r="301" spans="1:9" x14ac:dyDescent="0.3">
      <c r="A301">
        <v>1</v>
      </c>
    </row>
    <row r="302" spans="1:9" x14ac:dyDescent="0.3">
      <c r="A302">
        <v>2</v>
      </c>
    </row>
    <row r="303" spans="1:9" x14ac:dyDescent="0.3">
      <c r="A303">
        <v>3</v>
      </c>
    </row>
    <row r="304" spans="1:9" x14ac:dyDescent="0.3">
      <c r="A304">
        <v>4</v>
      </c>
      <c r="D304" s="128"/>
      <c r="I304" s="128"/>
    </row>
    <row r="305" spans="1:1" x14ac:dyDescent="0.3">
      <c r="A305">
        <v>5</v>
      </c>
    </row>
    <row r="306" spans="1:1" x14ac:dyDescent="0.3">
      <c r="A306">
        <v>6</v>
      </c>
    </row>
    <row r="307" spans="1:1" x14ac:dyDescent="0.3">
      <c r="A307">
        <v>7</v>
      </c>
    </row>
    <row r="308" spans="1:1" x14ac:dyDescent="0.3">
      <c r="A308">
        <v>8</v>
      </c>
    </row>
    <row r="309" spans="1:1" x14ac:dyDescent="0.3">
      <c r="A309">
        <v>9</v>
      </c>
    </row>
    <row r="310" spans="1:1" x14ac:dyDescent="0.3">
      <c r="A310">
        <v>10</v>
      </c>
    </row>
    <row r="311" spans="1:1" x14ac:dyDescent="0.3">
      <c r="A311">
        <v>11</v>
      </c>
    </row>
    <row r="312" spans="1:1" x14ac:dyDescent="0.3">
      <c r="A312">
        <v>12</v>
      </c>
    </row>
    <row r="313" spans="1:1" x14ac:dyDescent="0.3">
      <c r="A313">
        <v>1</v>
      </c>
    </row>
    <row r="314" spans="1:1" x14ac:dyDescent="0.3">
      <c r="A314">
        <v>2</v>
      </c>
    </row>
    <row r="315" spans="1:1" x14ac:dyDescent="0.3">
      <c r="A315">
        <v>3</v>
      </c>
    </row>
    <row r="316" spans="1:1" x14ac:dyDescent="0.3">
      <c r="A316">
        <v>4</v>
      </c>
    </row>
    <row r="317" spans="1:1" x14ac:dyDescent="0.3">
      <c r="A317">
        <v>5</v>
      </c>
    </row>
    <row r="318" spans="1:1" x14ac:dyDescent="0.3">
      <c r="A318">
        <v>6</v>
      </c>
    </row>
    <row r="319" spans="1:1" x14ac:dyDescent="0.3">
      <c r="A319">
        <v>7</v>
      </c>
    </row>
    <row r="320" spans="1:1" x14ac:dyDescent="0.3">
      <c r="A320">
        <v>8</v>
      </c>
    </row>
    <row r="321" spans="1:9" x14ac:dyDescent="0.3">
      <c r="A321">
        <v>9</v>
      </c>
    </row>
    <row r="322" spans="1:9" x14ac:dyDescent="0.3">
      <c r="A322">
        <v>10</v>
      </c>
    </row>
    <row r="323" spans="1:9" x14ac:dyDescent="0.3">
      <c r="A323">
        <v>11</v>
      </c>
    </row>
    <row r="324" spans="1:9" x14ac:dyDescent="0.3">
      <c r="A324">
        <v>12</v>
      </c>
    </row>
    <row r="325" spans="1:9" x14ac:dyDescent="0.3">
      <c r="A325">
        <v>1</v>
      </c>
    </row>
    <row r="326" spans="1:9" x14ac:dyDescent="0.3">
      <c r="A326">
        <v>2</v>
      </c>
    </row>
    <row r="327" spans="1:9" x14ac:dyDescent="0.3">
      <c r="A327">
        <v>3</v>
      </c>
    </row>
    <row r="328" spans="1:9" x14ac:dyDescent="0.3">
      <c r="A328">
        <v>4</v>
      </c>
    </row>
    <row r="329" spans="1:9" x14ac:dyDescent="0.3">
      <c r="A329">
        <v>5</v>
      </c>
    </row>
    <row r="330" spans="1:9" x14ac:dyDescent="0.3">
      <c r="A330">
        <v>6</v>
      </c>
    </row>
    <row r="331" spans="1:9" x14ac:dyDescent="0.3">
      <c r="A331">
        <v>7</v>
      </c>
      <c r="D331" s="128"/>
      <c r="I331" s="128"/>
    </row>
    <row r="332" spans="1:9" x14ac:dyDescent="0.3">
      <c r="A332">
        <v>8</v>
      </c>
    </row>
    <row r="333" spans="1:9" x14ac:dyDescent="0.3">
      <c r="A333">
        <v>9</v>
      </c>
    </row>
    <row r="334" spans="1:9" x14ac:dyDescent="0.3">
      <c r="A334">
        <v>10</v>
      </c>
    </row>
    <row r="335" spans="1:9" x14ac:dyDescent="0.3">
      <c r="A335">
        <v>11</v>
      </c>
    </row>
    <row r="336" spans="1:9" x14ac:dyDescent="0.3">
      <c r="A336">
        <v>12</v>
      </c>
    </row>
    <row r="337" spans="1:1" x14ac:dyDescent="0.3">
      <c r="A337">
        <v>1</v>
      </c>
    </row>
    <row r="338" spans="1:1" x14ac:dyDescent="0.3">
      <c r="A338">
        <v>2</v>
      </c>
    </row>
    <row r="339" spans="1:1" x14ac:dyDescent="0.3">
      <c r="A339">
        <v>3</v>
      </c>
    </row>
    <row r="340" spans="1:1" x14ac:dyDescent="0.3">
      <c r="A340">
        <v>4</v>
      </c>
    </row>
    <row r="341" spans="1:1" x14ac:dyDescent="0.3">
      <c r="A341">
        <v>5</v>
      </c>
    </row>
    <row r="342" spans="1:1" x14ac:dyDescent="0.3">
      <c r="A342">
        <v>6</v>
      </c>
    </row>
    <row r="343" spans="1:1" x14ac:dyDescent="0.3">
      <c r="A343">
        <v>7</v>
      </c>
    </row>
    <row r="344" spans="1:1" x14ac:dyDescent="0.3">
      <c r="A344">
        <v>8</v>
      </c>
    </row>
    <row r="345" spans="1:1" x14ac:dyDescent="0.3">
      <c r="A345">
        <v>9</v>
      </c>
    </row>
    <row r="346" spans="1:1" x14ac:dyDescent="0.3">
      <c r="A346">
        <v>10</v>
      </c>
    </row>
    <row r="347" spans="1:1" x14ac:dyDescent="0.3">
      <c r="A347">
        <v>11</v>
      </c>
    </row>
    <row r="348" spans="1:1" x14ac:dyDescent="0.3">
      <c r="A348">
        <v>12</v>
      </c>
    </row>
    <row r="349" spans="1:1" x14ac:dyDescent="0.3">
      <c r="A349">
        <v>1</v>
      </c>
    </row>
    <row r="350" spans="1:1" x14ac:dyDescent="0.3">
      <c r="A350">
        <v>2</v>
      </c>
    </row>
    <row r="351" spans="1:1" x14ac:dyDescent="0.3">
      <c r="A351">
        <v>3</v>
      </c>
    </row>
    <row r="352" spans="1:1" x14ac:dyDescent="0.3">
      <c r="A352">
        <v>4</v>
      </c>
    </row>
    <row r="353" spans="1:1" x14ac:dyDescent="0.3">
      <c r="A353">
        <v>5</v>
      </c>
    </row>
    <row r="354" spans="1:1" x14ac:dyDescent="0.3">
      <c r="A354">
        <v>6</v>
      </c>
    </row>
    <row r="355" spans="1:1" x14ac:dyDescent="0.3">
      <c r="A355">
        <v>7</v>
      </c>
    </row>
    <row r="356" spans="1:1" x14ac:dyDescent="0.3">
      <c r="A356">
        <v>8</v>
      </c>
    </row>
    <row r="357" spans="1:1" x14ac:dyDescent="0.3">
      <c r="A357">
        <v>9</v>
      </c>
    </row>
    <row r="358" spans="1:1" x14ac:dyDescent="0.3">
      <c r="A358">
        <v>10</v>
      </c>
    </row>
    <row r="359" spans="1:1" x14ac:dyDescent="0.3">
      <c r="A359">
        <v>11</v>
      </c>
    </row>
    <row r="360" spans="1:1" x14ac:dyDescent="0.3">
      <c r="A360">
        <v>12</v>
      </c>
    </row>
    <row r="361" spans="1:1" x14ac:dyDescent="0.3">
      <c r="A361">
        <v>1</v>
      </c>
    </row>
    <row r="362" spans="1:1" x14ac:dyDescent="0.3">
      <c r="A362">
        <v>2</v>
      </c>
    </row>
    <row r="363" spans="1:1" x14ac:dyDescent="0.3">
      <c r="A363">
        <v>3</v>
      </c>
    </row>
    <row r="364" spans="1:1" x14ac:dyDescent="0.3">
      <c r="A364">
        <v>4</v>
      </c>
    </row>
    <row r="365" spans="1:1" x14ac:dyDescent="0.3">
      <c r="A365">
        <v>5</v>
      </c>
    </row>
    <row r="366" spans="1:1" x14ac:dyDescent="0.3">
      <c r="A366">
        <v>6</v>
      </c>
    </row>
    <row r="367" spans="1:1" x14ac:dyDescent="0.3">
      <c r="A367">
        <v>7</v>
      </c>
    </row>
    <row r="368" spans="1:1" x14ac:dyDescent="0.3">
      <c r="A368">
        <v>8</v>
      </c>
    </row>
    <row r="369" spans="1:1" x14ac:dyDescent="0.3">
      <c r="A369">
        <v>9</v>
      </c>
    </row>
    <row r="370" spans="1:1" x14ac:dyDescent="0.3">
      <c r="A370">
        <v>10</v>
      </c>
    </row>
    <row r="371" spans="1:1" x14ac:dyDescent="0.3">
      <c r="A371">
        <v>11</v>
      </c>
    </row>
    <row r="372" spans="1:1" x14ac:dyDescent="0.3">
      <c r="A372">
        <v>12</v>
      </c>
    </row>
    <row r="373" spans="1:1" x14ac:dyDescent="0.3">
      <c r="A373">
        <v>1</v>
      </c>
    </row>
    <row r="374" spans="1:1" x14ac:dyDescent="0.3">
      <c r="A374">
        <v>2</v>
      </c>
    </row>
    <row r="375" spans="1:1" x14ac:dyDescent="0.3">
      <c r="A375">
        <v>3</v>
      </c>
    </row>
    <row r="376" spans="1:1" x14ac:dyDescent="0.3">
      <c r="A376">
        <v>4</v>
      </c>
    </row>
    <row r="377" spans="1:1" x14ac:dyDescent="0.3">
      <c r="A377">
        <v>5</v>
      </c>
    </row>
    <row r="378" spans="1:1" x14ac:dyDescent="0.3">
      <c r="A378">
        <v>6</v>
      </c>
    </row>
    <row r="379" spans="1:1" x14ac:dyDescent="0.3">
      <c r="A379">
        <v>7</v>
      </c>
    </row>
    <row r="380" spans="1:1" x14ac:dyDescent="0.3">
      <c r="A380">
        <v>8</v>
      </c>
    </row>
    <row r="381" spans="1:1" x14ac:dyDescent="0.3">
      <c r="A381">
        <v>9</v>
      </c>
    </row>
    <row r="382" spans="1:1" x14ac:dyDescent="0.3">
      <c r="A382">
        <v>10</v>
      </c>
    </row>
    <row r="383" spans="1:1" x14ac:dyDescent="0.3">
      <c r="A383">
        <v>11</v>
      </c>
    </row>
    <row r="384" spans="1:1" x14ac:dyDescent="0.3">
      <c r="A384">
        <v>12</v>
      </c>
    </row>
    <row r="385" spans="1:1" x14ac:dyDescent="0.3">
      <c r="A385">
        <v>1</v>
      </c>
    </row>
    <row r="386" spans="1:1" x14ac:dyDescent="0.3">
      <c r="A386">
        <v>2</v>
      </c>
    </row>
    <row r="387" spans="1:1" x14ac:dyDescent="0.3">
      <c r="A387">
        <v>3</v>
      </c>
    </row>
    <row r="388" spans="1:1" x14ac:dyDescent="0.3">
      <c r="A388">
        <v>4</v>
      </c>
    </row>
    <row r="389" spans="1:1" x14ac:dyDescent="0.3">
      <c r="A389">
        <v>5</v>
      </c>
    </row>
    <row r="390" spans="1:1" x14ac:dyDescent="0.3">
      <c r="A390">
        <v>6</v>
      </c>
    </row>
    <row r="391" spans="1:1" x14ac:dyDescent="0.3">
      <c r="A391">
        <v>7</v>
      </c>
    </row>
    <row r="392" spans="1:1" x14ac:dyDescent="0.3">
      <c r="A392">
        <v>8</v>
      </c>
    </row>
    <row r="393" spans="1:1" x14ac:dyDescent="0.3">
      <c r="A393">
        <v>9</v>
      </c>
    </row>
    <row r="394" spans="1:1" x14ac:dyDescent="0.3">
      <c r="A394">
        <v>10</v>
      </c>
    </row>
    <row r="395" spans="1:1" x14ac:dyDescent="0.3">
      <c r="A395">
        <v>11</v>
      </c>
    </row>
    <row r="396" spans="1:1" x14ac:dyDescent="0.3">
      <c r="A396">
        <v>12</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Macro4copy">
                <anchor moveWithCells="1" sizeWithCells="1">
                  <from>
                    <xdr:col>10</xdr:col>
                    <xdr:colOff>495300</xdr:colOff>
                    <xdr:row>0</xdr:row>
                    <xdr:rowOff>76200</xdr:rowOff>
                  </from>
                  <to>
                    <xdr:col>12</xdr:col>
                    <xdr:colOff>480060</xdr:colOff>
                    <xdr:row>1</xdr:row>
                    <xdr:rowOff>106680</xdr:rowOff>
                  </to>
                </anchor>
              </controlPr>
            </control>
          </mc:Choice>
        </mc:AlternateContent>
        <mc:AlternateContent xmlns:mc="http://schemas.openxmlformats.org/markup-compatibility/2006">
          <mc:Choice Requires="x14">
            <control shapeId="9229" r:id="rId5" name="Button 13">
              <controlPr defaultSize="0" print="0" autoFill="0" autoPict="0" macro="[0]!Macro4KHThanh">
                <anchor moveWithCells="1" sizeWithCells="1">
                  <from>
                    <xdr:col>10</xdr:col>
                    <xdr:colOff>0</xdr:colOff>
                    <xdr:row>0</xdr:row>
                    <xdr:rowOff>114300</xdr:rowOff>
                  </from>
                  <to>
                    <xdr:col>10</xdr:col>
                    <xdr:colOff>525780</xdr:colOff>
                    <xdr:row>43</xdr:row>
                    <xdr:rowOff>106680</xdr:rowOff>
                  </to>
                </anchor>
              </controlPr>
            </control>
          </mc:Choice>
        </mc:AlternateContent>
        <mc:AlternateContent xmlns:mc="http://schemas.openxmlformats.org/markup-compatibility/2006">
          <mc:Choice Requires="x14">
            <control shapeId="9243" r:id="rId6" name="Button 27">
              <controlPr defaultSize="0" print="0" autoFill="0" autoPict="0" macro="[0]!Macro3DiChuyenKH">
                <anchor moveWithCells="1" sizeWithCells="1">
                  <from>
                    <xdr:col>4</xdr:col>
                    <xdr:colOff>45720</xdr:colOff>
                    <xdr:row>234</xdr:row>
                    <xdr:rowOff>175260</xdr:rowOff>
                  </from>
                  <to>
                    <xdr:col>4</xdr:col>
                    <xdr:colOff>213360</xdr:colOff>
                    <xdr:row>332</xdr:row>
                    <xdr:rowOff>38100</xdr:rowOff>
                  </to>
                </anchor>
              </controlPr>
            </control>
          </mc:Choice>
        </mc:AlternateContent>
        <mc:AlternateContent xmlns:mc="http://schemas.openxmlformats.org/markup-compatibility/2006">
          <mc:Choice Requires="x14">
            <control shapeId="9244" r:id="rId7" name="Button 28">
              <controlPr defaultSize="0" print="0" autoFill="0" autoPict="0" macro="[0]!Macro3DiChuyenKH">
                <anchor moveWithCells="1" sizeWithCells="1">
                  <from>
                    <xdr:col>8</xdr:col>
                    <xdr:colOff>45720</xdr:colOff>
                    <xdr:row>83</xdr:row>
                    <xdr:rowOff>175260</xdr:rowOff>
                  </from>
                  <to>
                    <xdr:col>8</xdr:col>
                    <xdr:colOff>213360</xdr:colOff>
                    <xdr:row>181</xdr:row>
                    <xdr:rowOff>38100</xdr:rowOff>
                  </to>
                </anchor>
              </controlPr>
            </control>
          </mc:Choice>
        </mc:AlternateContent>
        <mc:AlternateContent xmlns:mc="http://schemas.openxmlformats.org/markup-compatibility/2006">
          <mc:Choice Requires="x14">
            <control shapeId="9245" r:id="rId8" name="Button 29">
              <controlPr defaultSize="0" print="0" autoFill="0" autoPict="0" macro="[0]!Macro3DiChuyenKH">
                <anchor moveWithCells="1" sizeWithCells="1">
                  <from>
                    <xdr:col>9</xdr:col>
                    <xdr:colOff>45720</xdr:colOff>
                    <xdr:row>83</xdr:row>
                    <xdr:rowOff>175260</xdr:rowOff>
                  </from>
                  <to>
                    <xdr:col>9</xdr:col>
                    <xdr:colOff>213360</xdr:colOff>
                    <xdr:row>181</xdr:row>
                    <xdr:rowOff>38100</xdr:rowOff>
                  </to>
                </anchor>
              </controlPr>
            </control>
          </mc:Choice>
        </mc:AlternateContent>
        <mc:AlternateContent xmlns:mc="http://schemas.openxmlformats.org/markup-compatibility/2006">
          <mc:Choice Requires="x14">
            <control shapeId="9247" r:id="rId9" name="Button 31">
              <controlPr defaultSize="0" print="0" autoFill="0" autoPict="0" macro="[0]!Macro3DiChuyenKH">
                <anchor moveWithCells="1" sizeWithCells="1">
                  <from>
                    <xdr:col>4</xdr:col>
                    <xdr:colOff>45720</xdr:colOff>
                    <xdr:row>1</xdr:row>
                    <xdr:rowOff>175260</xdr:rowOff>
                  </from>
                  <to>
                    <xdr:col>4</xdr:col>
                    <xdr:colOff>213360</xdr:colOff>
                    <xdr:row>63</xdr:row>
                    <xdr:rowOff>38100</xdr:rowOff>
                  </to>
                </anchor>
              </controlPr>
            </control>
          </mc:Choice>
        </mc:AlternateContent>
        <mc:AlternateContent xmlns:mc="http://schemas.openxmlformats.org/markup-compatibility/2006">
          <mc:Choice Requires="x14">
            <control shapeId="9248" r:id="rId10" name="Button 32">
              <controlPr defaultSize="0" print="0" autoFill="0" autoPict="0" macro="[0]!Macro3DiChuyenKH">
                <anchor moveWithCells="1" sizeWithCells="1">
                  <from>
                    <xdr:col>8</xdr:col>
                    <xdr:colOff>45720</xdr:colOff>
                    <xdr:row>204</xdr:row>
                    <xdr:rowOff>175260</xdr:rowOff>
                  </from>
                  <to>
                    <xdr:col>8</xdr:col>
                    <xdr:colOff>213360</xdr:colOff>
                    <xdr:row>302</xdr:row>
                    <xdr:rowOff>38100</xdr:rowOff>
                  </to>
                </anchor>
              </controlPr>
            </control>
          </mc:Choice>
        </mc:AlternateContent>
        <mc:AlternateContent xmlns:mc="http://schemas.openxmlformats.org/markup-compatibility/2006">
          <mc:Choice Requires="x14">
            <control shapeId="9250" r:id="rId11" name="Button 34">
              <controlPr defaultSize="0" print="0" autoFill="0" autoPict="0" macro="[0]!Macro3DiChuyenKH">
                <anchor moveWithCells="1" sizeWithCells="1">
                  <from>
                    <xdr:col>9</xdr:col>
                    <xdr:colOff>45720</xdr:colOff>
                    <xdr:row>204</xdr:row>
                    <xdr:rowOff>175260</xdr:rowOff>
                  </from>
                  <to>
                    <xdr:col>9</xdr:col>
                    <xdr:colOff>213360</xdr:colOff>
                    <xdr:row>302</xdr:row>
                    <xdr:rowOff>38100</xdr:rowOff>
                  </to>
                </anchor>
              </controlPr>
            </control>
          </mc:Choice>
        </mc:AlternateContent>
        <mc:AlternateContent xmlns:mc="http://schemas.openxmlformats.org/markup-compatibility/2006">
          <mc:Choice Requires="x14">
            <control shapeId="9252" r:id="rId12" name="Button 36">
              <controlPr defaultSize="0" print="0" autoFill="0" autoPict="0" macro="[0]!Macro3DiChuyenKH">
                <anchor moveWithCells="1" sizeWithCells="1">
                  <from>
                    <xdr:col>8</xdr:col>
                    <xdr:colOff>45720</xdr:colOff>
                    <xdr:row>227</xdr:row>
                    <xdr:rowOff>175260</xdr:rowOff>
                  </from>
                  <to>
                    <xdr:col>8</xdr:col>
                    <xdr:colOff>213360</xdr:colOff>
                    <xdr:row>325</xdr:row>
                    <xdr:rowOff>38100</xdr:rowOff>
                  </to>
                </anchor>
              </controlPr>
            </control>
          </mc:Choice>
        </mc:AlternateContent>
        <mc:AlternateContent xmlns:mc="http://schemas.openxmlformats.org/markup-compatibility/2006">
          <mc:Choice Requires="x14">
            <control shapeId="9254" r:id="rId13" name="Button 38">
              <controlPr defaultSize="0" print="0" autoFill="0" autoPict="0" macro="[0]!Macro3DiChuyenKH">
                <anchor moveWithCells="1" sizeWithCells="1">
                  <from>
                    <xdr:col>9</xdr:col>
                    <xdr:colOff>45720</xdr:colOff>
                    <xdr:row>227</xdr:row>
                    <xdr:rowOff>175260</xdr:rowOff>
                  </from>
                  <to>
                    <xdr:col>9</xdr:col>
                    <xdr:colOff>213360</xdr:colOff>
                    <xdr:row>325</xdr:row>
                    <xdr:rowOff>38100</xdr:rowOff>
                  </to>
                </anchor>
              </controlPr>
            </control>
          </mc:Choice>
        </mc:AlternateContent>
        <mc:AlternateContent xmlns:mc="http://schemas.openxmlformats.org/markup-compatibility/2006">
          <mc:Choice Requires="x14">
            <control shapeId="9256" r:id="rId14" name="Button 40">
              <controlPr defaultSize="0" print="0" autoFill="0" autoPict="0" macro="[0]!Macro3DiChuyenKH">
                <anchor moveWithCells="1" sizeWithCells="1">
                  <from>
                    <xdr:col>8</xdr:col>
                    <xdr:colOff>45720</xdr:colOff>
                    <xdr:row>229</xdr:row>
                    <xdr:rowOff>175260</xdr:rowOff>
                  </from>
                  <to>
                    <xdr:col>8</xdr:col>
                    <xdr:colOff>213360</xdr:colOff>
                    <xdr:row>327</xdr:row>
                    <xdr:rowOff>38100</xdr:rowOff>
                  </to>
                </anchor>
              </controlPr>
            </control>
          </mc:Choice>
        </mc:AlternateContent>
        <mc:AlternateContent xmlns:mc="http://schemas.openxmlformats.org/markup-compatibility/2006">
          <mc:Choice Requires="x14">
            <control shapeId="9258" r:id="rId15" name="Button 42">
              <controlPr defaultSize="0" print="0" autoFill="0" autoPict="0" macro="[0]!Macro3DiChuyenKH">
                <anchor moveWithCells="1" sizeWithCells="1">
                  <from>
                    <xdr:col>9</xdr:col>
                    <xdr:colOff>45720</xdr:colOff>
                    <xdr:row>229</xdr:row>
                    <xdr:rowOff>175260</xdr:rowOff>
                  </from>
                  <to>
                    <xdr:col>9</xdr:col>
                    <xdr:colOff>213360</xdr:colOff>
                    <xdr:row>327</xdr:row>
                    <xdr:rowOff>38100</xdr:rowOff>
                  </to>
                </anchor>
              </controlPr>
            </control>
          </mc:Choice>
        </mc:AlternateContent>
        <mc:AlternateContent xmlns:mc="http://schemas.openxmlformats.org/markup-compatibility/2006">
          <mc:Choice Requires="x14">
            <control shapeId="9259" r:id="rId16" name="Button 43">
              <controlPr defaultSize="0" print="0" autoFill="0" autoPict="0" macro="[0]!Macro3DiChuyenKH">
                <anchor moveWithCells="1" sizeWithCells="1">
                  <from>
                    <xdr:col>8</xdr:col>
                    <xdr:colOff>45720</xdr:colOff>
                    <xdr:row>231</xdr:row>
                    <xdr:rowOff>175260</xdr:rowOff>
                  </from>
                  <to>
                    <xdr:col>8</xdr:col>
                    <xdr:colOff>213360</xdr:colOff>
                    <xdr:row>329</xdr:row>
                    <xdr:rowOff>38100</xdr:rowOff>
                  </to>
                </anchor>
              </controlPr>
            </control>
          </mc:Choice>
        </mc:AlternateContent>
        <mc:AlternateContent xmlns:mc="http://schemas.openxmlformats.org/markup-compatibility/2006">
          <mc:Choice Requires="x14">
            <control shapeId="9260" r:id="rId17" name="Button 44">
              <controlPr defaultSize="0" print="0" autoFill="0" autoPict="0" macro="[0]!Macro3DiChuyenKH">
                <anchor moveWithCells="1" sizeWithCells="1">
                  <from>
                    <xdr:col>8</xdr:col>
                    <xdr:colOff>45720</xdr:colOff>
                    <xdr:row>1</xdr:row>
                    <xdr:rowOff>175260</xdr:rowOff>
                  </from>
                  <to>
                    <xdr:col>8</xdr:col>
                    <xdr:colOff>213360</xdr:colOff>
                    <xdr:row>63</xdr:row>
                    <xdr:rowOff>38100</xdr:rowOff>
                  </to>
                </anchor>
              </controlPr>
            </control>
          </mc:Choice>
        </mc:AlternateContent>
        <mc:AlternateContent xmlns:mc="http://schemas.openxmlformats.org/markup-compatibility/2006">
          <mc:Choice Requires="x14">
            <control shapeId="9261" r:id="rId18" name="Button 45">
              <controlPr defaultSize="0" print="0" autoFill="0" autoPict="0" macro="[0]!Macro3DiChuyenKH">
                <anchor moveWithCells="1" sizeWithCells="1">
                  <from>
                    <xdr:col>9</xdr:col>
                    <xdr:colOff>45720</xdr:colOff>
                    <xdr:row>231</xdr:row>
                    <xdr:rowOff>175260</xdr:rowOff>
                  </from>
                  <to>
                    <xdr:col>9</xdr:col>
                    <xdr:colOff>213360</xdr:colOff>
                    <xdr:row>329</xdr:row>
                    <xdr:rowOff>38100</xdr:rowOff>
                  </to>
                </anchor>
              </controlPr>
            </control>
          </mc:Choice>
        </mc:AlternateContent>
        <mc:AlternateContent xmlns:mc="http://schemas.openxmlformats.org/markup-compatibility/2006">
          <mc:Choice Requires="x14">
            <control shapeId="9262" r:id="rId19" name="Button 46">
              <controlPr defaultSize="0" print="0" autoFill="0" autoPict="0" macro="[0]!Macro3DiChuyenKH">
                <anchor moveWithCells="1" sizeWithCells="1">
                  <from>
                    <xdr:col>9</xdr:col>
                    <xdr:colOff>45720</xdr:colOff>
                    <xdr:row>1</xdr:row>
                    <xdr:rowOff>175260</xdr:rowOff>
                  </from>
                  <to>
                    <xdr:col>9</xdr:col>
                    <xdr:colOff>213360</xdr:colOff>
                    <xdr:row>63</xdr:row>
                    <xdr:rowOff>38100</xdr:rowOff>
                  </to>
                </anchor>
              </controlPr>
            </control>
          </mc:Choice>
        </mc:AlternateContent>
        <mc:AlternateContent xmlns:mc="http://schemas.openxmlformats.org/markup-compatibility/2006">
          <mc:Choice Requires="x14">
            <control shapeId="9263" r:id="rId20" name="Button 47">
              <controlPr defaultSize="0" print="0" autoFill="0" autoPict="0" macro="[0]!Macro3DiChuyenKH">
                <anchor moveWithCells="1" sizeWithCells="1">
                  <from>
                    <xdr:col>8</xdr:col>
                    <xdr:colOff>45720</xdr:colOff>
                    <xdr:row>233</xdr:row>
                    <xdr:rowOff>175260</xdr:rowOff>
                  </from>
                  <to>
                    <xdr:col>8</xdr:col>
                    <xdr:colOff>213360</xdr:colOff>
                    <xdr:row>331</xdr:row>
                    <xdr:rowOff>38100</xdr:rowOff>
                  </to>
                </anchor>
              </controlPr>
            </control>
          </mc:Choice>
        </mc:AlternateContent>
        <mc:AlternateContent xmlns:mc="http://schemas.openxmlformats.org/markup-compatibility/2006">
          <mc:Choice Requires="x14">
            <control shapeId="9264" r:id="rId21" name="Button 48">
              <controlPr defaultSize="0" print="0" autoFill="0" autoPict="0" macro="[0]!Macro3DiChuyenKH">
                <anchor moveWithCells="1" sizeWithCells="1">
                  <from>
                    <xdr:col>8</xdr:col>
                    <xdr:colOff>45720</xdr:colOff>
                    <xdr:row>1</xdr:row>
                    <xdr:rowOff>175260</xdr:rowOff>
                  </from>
                  <to>
                    <xdr:col>8</xdr:col>
                    <xdr:colOff>213360</xdr:colOff>
                    <xdr:row>63</xdr:row>
                    <xdr:rowOff>38100</xdr:rowOff>
                  </to>
                </anchor>
              </controlPr>
            </control>
          </mc:Choice>
        </mc:AlternateContent>
        <mc:AlternateContent xmlns:mc="http://schemas.openxmlformats.org/markup-compatibility/2006">
          <mc:Choice Requires="x14">
            <control shapeId="9265" r:id="rId22" name="Button 49">
              <controlPr defaultSize="0" print="0" autoFill="0" autoPict="0" macro="[0]!Macro3DiChuyenKH">
                <anchor moveWithCells="1" sizeWithCells="1">
                  <from>
                    <xdr:col>9</xdr:col>
                    <xdr:colOff>45720</xdr:colOff>
                    <xdr:row>233</xdr:row>
                    <xdr:rowOff>175260</xdr:rowOff>
                  </from>
                  <to>
                    <xdr:col>9</xdr:col>
                    <xdr:colOff>213360</xdr:colOff>
                    <xdr:row>331</xdr:row>
                    <xdr:rowOff>38100</xdr:rowOff>
                  </to>
                </anchor>
              </controlPr>
            </control>
          </mc:Choice>
        </mc:AlternateContent>
        <mc:AlternateContent xmlns:mc="http://schemas.openxmlformats.org/markup-compatibility/2006">
          <mc:Choice Requires="x14">
            <control shapeId="9266" r:id="rId23" name="Button 50">
              <controlPr defaultSize="0" print="0" autoFill="0" autoPict="0" macro="[0]!Macro3DiChuyenKH">
                <anchor moveWithCells="1" sizeWithCells="1">
                  <from>
                    <xdr:col>9</xdr:col>
                    <xdr:colOff>45720</xdr:colOff>
                    <xdr:row>1</xdr:row>
                    <xdr:rowOff>175260</xdr:rowOff>
                  </from>
                  <to>
                    <xdr:col>9</xdr:col>
                    <xdr:colOff>213360</xdr:colOff>
                    <xdr:row>63</xdr:row>
                    <xdr:rowOff>38100</xdr:rowOff>
                  </to>
                </anchor>
              </controlPr>
            </control>
          </mc:Choice>
        </mc:AlternateContent>
        <mc:AlternateContent xmlns:mc="http://schemas.openxmlformats.org/markup-compatibility/2006">
          <mc:Choice Requires="x14">
            <control shapeId="9267" r:id="rId24" name="Button 51">
              <controlPr defaultSize="0" print="0" autoFill="0" autoPict="0" macro="[0]!Macro3DiChuyenKH">
                <anchor moveWithCells="1" sizeWithCells="1">
                  <from>
                    <xdr:col>8</xdr:col>
                    <xdr:colOff>45720</xdr:colOff>
                    <xdr:row>234</xdr:row>
                    <xdr:rowOff>175260</xdr:rowOff>
                  </from>
                  <to>
                    <xdr:col>8</xdr:col>
                    <xdr:colOff>213360</xdr:colOff>
                    <xdr:row>332</xdr:row>
                    <xdr:rowOff>38100</xdr:rowOff>
                  </to>
                </anchor>
              </controlPr>
            </control>
          </mc:Choice>
        </mc:AlternateContent>
        <mc:AlternateContent xmlns:mc="http://schemas.openxmlformats.org/markup-compatibility/2006">
          <mc:Choice Requires="x14">
            <control shapeId="9268" r:id="rId25" name="Button 52">
              <controlPr defaultSize="0" print="0" autoFill="0" autoPict="0" macro="[0]!Macro3DiChuyenKH">
                <anchor moveWithCells="1" sizeWithCells="1">
                  <from>
                    <xdr:col>8</xdr:col>
                    <xdr:colOff>45720</xdr:colOff>
                    <xdr:row>1</xdr:row>
                    <xdr:rowOff>175260</xdr:rowOff>
                  </from>
                  <to>
                    <xdr:col>8</xdr:col>
                    <xdr:colOff>213360</xdr:colOff>
                    <xdr:row>63</xdr:row>
                    <xdr:rowOff>38100</xdr:rowOff>
                  </to>
                </anchor>
              </controlPr>
            </control>
          </mc:Choice>
        </mc:AlternateContent>
        <mc:AlternateContent xmlns:mc="http://schemas.openxmlformats.org/markup-compatibility/2006">
          <mc:Choice Requires="x14">
            <control shapeId="9269" r:id="rId26" name="Button 53">
              <controlPr defaultSize="0" print="0" autoFill="0" autoPict="0" macro="[0]!Macro3DiChuyenKH">
                <anchor moveWithCells="1" sizeWithCells="1">
                  <from>
                    <xdr:col>9</xdr:col>
                    <xdr:colOff>45720</xdr:colOff>
                    <xdr:row>234</xdr:row>
                    <xdr:rowOff>175260</xdr:rowOff>
                  </from>
                  <to>
                    <xdr:col>9</xdr:col>
                    <xdr:colOff>213360</xdr:colOff>
                    <xdr:row>332</xdr:row>
                    <xdr:rowOff>38100</xdr:rowOff>
                  </to>
                </anchor>
              </controlPr>
            </control>
          </mc:Choice>
        </mc:AlternateContent>
        <mc:AlternateContent xmlns:mc="http://schemas.openxmlformats.org/markup-compatibility/2006">
          <mc:Choice Requires="x14">
            <control shapeId="9270" r:id="rId27" name="Button 54">
              <controlPr defaultSize="0" print="0" autoFill="0" autoPict="0" macro="[0]!Macro3DiChuyenKH">
                <anchor moveWithCells="1" sizeWithCells="1">
                  <from>
                    <xdr:col>9</xdr:col>
                    <xdr:colOff>45720</xdr:colOff>
                    <xdr:row>1</xdr:row>
                    <xdr:rowOff>175260</xdr:rowOff>
                  </from>
                  <to>
                    <xdr:col>9</xdr:col>
                    <xdr:colOff>213360</xdr:colOff>
                    <xdr:row>63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KH.</vt:lpstr>
      <vt:lpstr>HT</vt:lpstr>
      <vt:lpstr>pt</vt:lpstr>
      <vt:lpstr>Khach_hang</vt:lpstr>
      <vt:lpstr>23</vt:lpstr>
      <vt:lpstr>giaroi</vt:lpstr>
      <vt:lpstr>gia3</vt:lpstr>
      <vt:lpstr>cthuc</vt:lpstr>
      <vt:lpstr>sochu</vt:lpstr>
      <vt:lpstr>Hanghoa</vt:lpstr>
      <vt:lpstr>thu tien</vt:lpstr>
      <vt:lpstr>Sheet1</vt:lpstr>
      <vt:lpstr>'23'!Print_Titles</vt:lpstr>
      <vt:lpstr>'gia3'!Print_Titles</vt:lpstr>
      <vt:lpstr>giaroi!Print_Titles</vt:lpstr>
      <vt:lpstr>HT!Print_Titles</vt:lpstr>
    </vt:vector>
  </TitlesOfParts>
  <Company>Grizli777</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Administrator</cp:lastModifiedBy>
  <cp:lastPrinted>2024-07-19T02:04:51Z</cp:lastPrinted>
  <dcterms:created xsi:type="dcterms:W3CDTF">2016-08-17T03:07:38Z</dcterms:created>
  <dcterms:modified xsi:type="dcterms:W3CDTF">2024-07-19T02:23:38Z</dcterms:modified>
</cp:coreProperties>
</file>